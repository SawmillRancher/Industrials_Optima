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5505" yWindow="5505" windowWidth="14400" windowHeight="7275" tabRatio="500" firstSheet="0" activeTab="0" autoFilterDateGrouping="1"/>
  </bookViews>
  <sheets>
    <sheet xmlns:r="http://schemas.openxmlformats.org/officeDocument/2006/relationships" name="Model" sheetId="1" state="visible" r:id="rId1"/>
    <sheet xmlns:r="http://schemas.openxmlformats.org/officeDocument/2006/relationships" name="Bull-Base-Bear" sheetId="2" state="visible" r:id="rId2"/>
    <sheet xmlns:r="http://schemas.openxmlformats.org/officeDocument/2006/relationships" name="DCF" sheetId="3" state="visible" r:id="rId3"/>
    <sheet xmlns:r="http://schemas.openxmlformats.org/officeDocument/2006/relationships" name="Charts" sheetId="4" state="visible" r:id="rId4"/>
  </sheets>
  <definedNames/>
  <calcPr calcId="191029" fullCalcOnLoad="1" iterate="1" iterateDelta="0.0001"/>
</workbook>
</file>

<file path=xl/styles.xml><?xml version="1.0" encoding="utf-8"?>
<styleSheet xmlns="http://schemas.openxmlformats.org/spreadsheetml/2006/main">
  <numFmts count="23">
    <numFmt numFmtId="164" formatCode="#,##0.0;\(#,##0.0\);\-"/>
    <numFmt numFmtId="165" formatCode="0%;\(0%\);&quot;n/m&quot;"/>
    <numFmt numFmtId="166" formatCode="0.0%;\(0.0%\);\-"/>
    <numFmt numFmtId="167" formatCode="#,##0;\(#,##0\);\-"/>
    <numFmt numFmtId="168" formatCode="0.00;\(0.00\);\-"/>
    <numFmt numFmtId="169" formatCode="0.000\x;\(0.000&quot;x)&quot;;\-"/>
    <numFmt numFmtId="170" formatCode="0.0\x;\(0.0&quot;x)&quot;;\-"/>
    <numFmt numFmtId="171" formatCode="\+0.0%;\-0.0%"/>
    <numFmt numFmtId="172" formatCode="\+#,##0;\-#,##0"/>
    <numFmt numFmtId="173" formatCode="0.00\x;\(0.00&quot;x)&quot;;\-"/>
    <numFmt numFmtId="174" formatCode="0\d;\(0&quot;)d&quot;;\-"/>
    <numFmt numFmtId="175" formatCode="0%;\(0%\);\-"/>
    <numFmt numFmtId="176" formatCode="0.0\x"/>
    <numFmt numFmtId="177" formatCode="dd\-mmm\-yy"/>
    <numFmt numFmtId="178" formatCode="0.0%"/>
    <numFmt numFmtId="179" formatCode="0.000"/>
    <numFmt numFmtId="180" formatCode="d/mmm/yyyy"/>
    <numFmt numFmtId="181" formatCode="#,##0.0"/>
    <numFmt numFmtId="182" formatCode="0.0%;\(0.0%\)"/>
    <numFmt numFmtId="183" formatCode="0.00\x"/>
    <numFmt numFmtId="184" formatCode="0.0\x;\(0.0\x\)"/>
    <numFmt numFmtId="185" formatCode="&quot;$&quot;#,##0.00;\(&quot;$&quot;#,##0.00\);\-"/>
    <numFmt numFmtId="186" formatCode="#,##0.00;\(#,##0.00\);\-"/>
  </numFmts>
  <fonts count="59">
    <font>
      <name val="Calibri"/>
      <charset val="1"/>
      <family val="2"/>
      <color theme="1"/>
      <sz val="11"/>
    </font>
    <font>
      <name val="Calibri"/>
      <family val="2"/>
      <b val="1"/>
      <color rgb="FFC00000"/>
      <sz val="10"/>
    </font>
    <font>
      <name val="Calibri"/>
      <family val="2"/>
      <b val="1"/>
      <color rgb="FF1F3864"/>
      <sz val="16"/>
    </font>
    <font>
      <name val="Calibri"/>
      <family val="2"/>
      <b val="1"/>
      <color rgb="FF0000FF"/>
      <sz val="12"/>
    </font>
    <font>
      <name val="Calibri"/>
      <family val="2"/>
      <color rgb="FF595959"/>
      <sz val="10"/>
    </font>
    <font>
      <name val="Calibri"/>
      <family val="2"/>
      <color rgb="FFC00000"/>
      <sz val="10"/>
    </font>
    <font>
      <name val="Calibri"/>
      <family val="2"/>
      <b val="1"/>
      <color rgb="FFFFFFFF"/>
      <sz val="12"/>
    </font>
    <font>
      <name val="Calibri"/>
      <family val="2"/>
      <color rgb="FF666666"/>
      <sz val="9"/>
    </font>
    <font>
      <name val="Calibri"/>
      <family val="2"/>
      <b val="1"/>
      <color rgb="FF000000"/>
      <sz val="11"/>
    </font>
    <font>
      <name val="Calibri"/>
      <family val="2"/>
      <b val="1"/>
      <color rgb="FF000000"/>
      <sz val="12"/>
    </font>
    <font>
      <name val="Calibri"/>
      <family val="2"/>
      <sz val="10"/>
    </font>
    <font>
      <name val="Calibri"/>
      <family val="2"/>
      <b val="1"/>
      <color rgb="FFFFFFFF"/>
      <sz val="11"/>
    </font>
    <font>
      <name val="Calibri"/>
      <family val="2"/>
      <b val="1"/>
      <sz val="12"/>
    </font>
    <font>
      <name val="Calibri"/>
      <family val="2"/>
      <color rgb="FF404040"/>
      <sz val="12"/>
    </font>
    <font>
      <name val="Calibri"/>
      <family val="2"/>
      <color rgb="FFA6A6A6"/>
      <sz val="12"/>
    </font>
    <font>
      <name val="Calibri"/>
      <family val="2"/>
      <color rgb="FF000000"/>
      <sz val="12"/>
    </font>
    <font>
      <name val="Calibri"/>
      <family val="2"/>
      <sz val="12"/>
    </font>
    <font>
      <name val="Calibri"/>
      <family val="2"/>
      <color rgb="FF0000FF"/>
      <sz val="12"/>
    </font>
    <font>
      <name val="Calibri"/>
      <family val="2"/>
      <b val="1"/>
      <color rgb="FF595959"/>
      <sz val="12"/>
    </font>
    <font>
      <name val="Arial"/>
      <family val="2"/>
      <sz val="10"/>
    </font>
    <font>
      <name val="Calibri"/>
      <family val="2"/>
      <b val="1"/>
      <color rgb="FF2F3E46"/>
      <sz val="16"/>
    </font>
    <font>
      <name val="Calibri"/>
      <family val="2"/>
      <b val="1"/>
      <color rgb="FF008000"/>
      <sz val="12"/>
    </font>
    <font>
      <name val="Calibri"/>
      <family val="2"/>
      <b val="1"/>
      <color rgb="FF2F3E46"/>
      <sz val="12"/>
    </font>
    <font>
      <name val="Calibri"/>
      <family val="2"/>
      <b val="1"/>
      <color rgb="FFFFFFFF"/>
      <sz val="9"/>
    </font>
    <font>
      <name val="Calibri"/>
      <family val="2"/>
      <color rgb="FF595959"/>
      <sz val="12"/>
    </font>
    <font>
      <name val="Calibri"/>
      <family val="2"/>
      <color rgb="FF008000"/>
      <sz val="12"/>
    </font>
    <font>
      <name val="Calibri"/>
      <family val="2"/>
      <b val="1"/>
      <sz val="14"/>
    </font>
    <font>
      <name val="Calibri"/>
      <charset val="1"/>
      <family val="2"/>
      <color theme="1"/>
      <sz val="11"/>
    </font>
    <font>
      <name val="Calibri"/>
      <family val="2"/>
      <b val="1"/>
      <color rgb="FFFFFFFF"/>
      <sz val="14"/>
    </font>
    <font>
      <name val="Calibri"/>
      <family val="2"/>
      <color theme="1"/>
      <sz val="11"/>
    </font>
    <font>
      <name val="Calibri"/>
      <family val="2"/>
      <color rgb="FF000000"/>
      <sz val="11"/>
    </font>
    <font>
      <name val="Calibri"/>
      <family val="2"/>
      <b val="1"/>
      <color theme="1"/>
      <sz val="11"/>
    </font>
    <font>
      <name val="Calibri"/>
      <family val="2"/>
      <color rgb="FF0000FF"/>
      <sz val="11"/>
    </font>
    <font>
      <name val="Calibri"/>
      <family val="2"/>
      <sz val="11"/>
    </font>
    <font>
      <name val="Calibri"/>
      <family val="2"/>
      <color rgb="FF595959"/>
      <sz val="11"/>
    </font>
    <font>
      <name val="Calibri"/>
      <family val="2"/>
      <b val="1"/>
      <sz val="11"/>
    </font>
    <font>
      <name val="Calibri"/>
      <family val="2"/>
      <color rgb="FF008000"/>
      <sz val="11"/>
    </font>
    <font>
      <name val="Calibri"/>
      <family val="2"/>
      <b val="1"/>
      <color rgb="FF0000FF"/>
      <sz val="11"/>
    </font>
    <font>
      <name val="Calibri"/>
      <charset val="1"/>
      <family val="2"/>
      <color theme="1"/>
      <sz val="10"/>
    </font>
    <font>
      <name val="Calibri"/>
      <family val="2"/>
      <b val="1"/>
      <color rgb="FF666666"/>
      <sz val="12"/>
    </font>
    <font>
      <name val="Calibri"/>
      <family val="2"/>
      <b val="1"/>
      <color rgb="FFC00000"/>
      <sz val="11"/>
    </font>
    <font>
      <name val="Calibri"/>
      <color rgb="FF000000"/>
      <sz val="11"/>
    </font>
    <font>
      <name val="Calibri"/>
      <b val="1"/>
      <color rgb="FFFFFFFF"/>
      <sz val="14"/>
    </font>
    <font>
      <name val="Calibri"/>
      <b val="1"/>
      <color rgb="FFFFFFFF"/>
      <sz val="11"/>
    </font>
    <font>
      <name val="Calibri"/>
      <b val="1"/>
      <color rgb="FFFFFFFF"/>
      <sz val="12"/>
    </font>
    <font>
      <name val="Calibri"/>
      <color rgb="FF000000"/>
      <sz val="12"/>
    </font>
    <font>
      <name val="Calibri"/>
      <color rgb="FF0000FF"/>
      <sz val="12"/>
    </font>
    <font>
      <name val="Calibri"/>
      <color rgb="FF595959"/>
      <sz val="9"/>
    </font>
    <font>
      <name val="Calibri"/>
      <b val="1"/>
      <color rgb="FF000000"/>
      <sz val="12"/>
    </font>
    <font>
      <name val="Calibri"/>
      <color rgb="FF008000"/>
      <sz val="12"/>
    </font>
    <font>
      <name val="Calibri"/>
      <b val="1"/>
      <color rgb="FF000000"/>
      <sz val="11"/>
    </font>
    <font>
      <name val="Calibri"/>
      <b val="1"/>
      <color rgb="FF0000FF"/>
      <sz val="12"/>
    </font>
    <font>
      <name val="Tahoma"/>
      <charset val="1"/>
      <color indexed="81"/>
      <sz val="9"/>
    </font>
    <font>
      <name val="Tahoma"/>
      <charset val="1"/>
      <b val="1"/>
      <color indexed="81"/>
      <sz val="9"/>
    </font>
    <font>
      <name val="Calibri"/>
      <family val="2"/>
      <color rgb="FF2F3E46"/>
      <sz val="12"/>
    </font>
    <font>
      <name val="Calibri"/>
      <color rgb="FFA6A6A6"/>
      <sz val="12"/>
    </font>
    <font>
      <name val="Calibri"/>
      <b val="1"/>
      <i val="1"/>
      <color rgb="FFC00000"/>
      <sz val="10"/>
    </font>
    <font>
      <name val="Calibri"/>
      <color rgb="FF0000FF"/>
      <sz val="11"/>
    </font>
    <font>
      <name val="Calibri"/>
      <b val="1"/>
      <color rgb="FF0000FF"/>
      <sz val="10"/>
    </font>
  </fonts>
  <fills count="18">
    <fill>
      <patternFill/>
    </fill>
    <fill>
      <patternFill patternType="gray125"/>
    </fill>
    <fill>
      <patternFill patternType="solid">
        <fgColor rgb="FFFFFDE7"/>
        <bgColor rgb="FFFFF8DC"/>
      </patternFill>
    </fill>
    <fill>
      <patternFill patternType="solid">
        <fgColor rgb="FFFFFF00"/>
        <bgColor rgb="FFFFFF00"/>
      </patternFill>
    </fill>
    <fill>
      <patternFill patternType="solid">
        <fgColor rgb="FF84A98C"/>
        <bgColor rgb="FFA6A6A6"/>
      </patternFill>
    </fill>
    <fill>
      <patternFill patternType="solid">
        <fgColor rgb="FF2F3E46"/>
        <bgColor rgb="FF404040"/>
      </patternFill>
    </fill>
    <fill>
      <patternFill patternType="solid">
        <fgColor rgb="FFCAD2C5"/>
        <bgColor rgb="FFD9D9D9"/>
      </patternFill>
    </fill>
    <fill>
      <patternFill patternType="solid">
        <fgColor rgb="FF52796F"/>
        <bgColor rgb="FF666666"/>
      </patternFill>
    </fill>
    <fill>
      <patternFill patternType="solid">
        <fgColor rgb="FFE9ECEC"/>
        <bgColor rgb="FFE8EDE9"/>
      </patternFill>
    </fill>
    <fill>
      <patternFill patternType="solid">
        <fgColor rgb="FFF5F5F5"/>
        <bgColor rgb="FFF0F2F0"/>
      </patternFill>
    </fill>
    <fill>
      <patternFill patternType="solid">
        <fgColor rgb="FFE8EDE9"/>
        <bgColor rgb="FFE9ECEC"/>
      </patternFill>
    </fill>
    <fill>
      <patternFill patternType="solid">
        <fgColor rgb="FFF0F2F0"/>
        <bgColor rgb="FFF5F5F5"/>
      </patternFill>
    </fill>
    <fill>
      <patternFill patternType="solid">
        <fgColor rgb="FFFFF8DC"/>
        <bgColor rgb="FFFFFDE7"/>
      </patternFill>
    </fill>
    <fill>
      <patternFill patternType="solid">
        <fgColor rgb="FFFFFDE7"/>
        <bgColor indexed="64"/>
      </patternFill>
    </fill>
    <fill>
      <patternFill patternType="solid">
        <fgColor rgb="FF2F3E46"/>
        <bgColor indexed="64"/>
      </patternFill>
    </fill>
    <fill>
      <patternFill patternType="solid">
        <fgColor rgb="FF52796F"/>
        <bgColor indexed="64"/>
      </patternFill>
    </fill>
    <fill>
      <patternFill patternType="solid">
        <fgColor rgb="FFCAD2C5"/>
        <bgColor indexed="64"/>
      </patternFill>
    </fill>
    <fill>
      <patternFill patternType="solid">
        <fgColor rgb="FFFFFF00"/>
        <bgColor indexed="64"/>
      </patternFill>
    </fill>
  </fills>
  <borders count="12">
    <border>
      <left/>
      <right/>
      <top/>
      <bottom/>
      <diagonal/>
    </border>
    <border>
      <left style="medium">
        <color auto="1"/>
      </left>
      <right style="medium">
        <color auto="1"/>
      </right>
      <top style="medium">
        <color auto="1"/>
      </top>
      <bottom style="thin">
        <color auto="1"/>
      </bottom>
      <diagonal/>
    </border>
    <border>
      <left/>
      <right/>
      <top style="thin">
        <color auto="1"/>
      </top>
      <bottom/>
      <diagonal/>
    </border>
    <border>
      <left/>
      <right/>
      <top/>
      <bottom style="thin">
        <color indexed="64"/>
      </bottom>
      <diagonal/>
    </border>
    <border>
      <left/>
      <right/>
      <top style="thin">
        <color rgb="FF2F3E46"/>
      </top>
      <bottom/>
      <diagonal/>
    </border>
    <border>
      <left/>
      <right/>
      <top/>
      <bottom style="thin">
        <color rgb="FF2F3E46"/>
      </bottom>
      <diagonal/>
    </border>
    <border>
      <left style="thin">
        <color rgb="FF2F3E46"/>
      </left>
      <right/>
      <top style="thin">
        <color rgb="FF2F3E46"/>
      </top>
      <bottom/>
      <diagonal/>
    </border>
    <border>
      <left style="thin">
        <color rgb="FF2F3E46"/>
      </left>
      <right/>
      <top/>
      <bottom/>
      <diagonal/>
    </border>
    <border>
      <left style="thin">
        <color rgb="FF2F3E46"/>
      </left>
      <right/>
      <top/>
      <bottom style="thin">
        <color rgb="FF2F3E46"/>
      </bottom>
      <diagonal/>
    </border>
    <border>
      <left/>
      <right style="thin">
        <color rgb="FF2F3E46"/>
      </right>
      <top style="thin">
        <color rgb="FF2F3E46"/>
      </top>
      <bottom/>
      <diagonal/>
    </border>
    <border>
      <left/>
      <right style="thin">
        <color rgb="FF2F3E46"/>
      </right>
      <top/>
      <bottom/>
      <diagonal/>
    </border>
    <border>
      <left/>
      <right style="thin">
        <color rgb="FF2F3E46"/>
      </right>
      <top/>
      <bottom style="thin">
        <color rgb="FF2F3E46"/>
      </bottom>
      <diagonal/>
    </border>
  </borders>
  <cellStyleXfs count="2">
    <xf numFmtId="0" fontId="27" fillId="0" borderId="0"/>
    <xf numFmtId="9" fontId="27" fillId="0" borderId="0"/>
  </cellStyleXfs>
  <cellXfs count="307">
    <xf numFmtId="0" fontId="0" fillId="0" borderId="0" pivotButton="0" quotePrefix="0" xfId="0"/>
    <xf numFmtId="0" fontId="1" fillId="2" borderId="0" pivotButton="0" quotePrefix="0" xfId="0"/>
    <xf numFmtId="0" fontId="2" fillId="0" borderId="0" pivotButton="0" quotePrefix="0" xfId="0"/>
    <xf numFmtId="0" fontId="3" fillId="3" borderId="1" applyAlignment="1" pivotButton="0" quotePrefix="0" xfId="0">
      <alignment horizontal="center"/>
    </xf>
    <xf numFmtId="0" fontId="4" fillId="0" borderId="0" pivotButton="0" quotePrefix="0" xfId="0"/>
    <xf numFmtId="0" fontId="5" fillId="0" borderId="0" pivotButton="0" quotePrefix="0" xfId="0"/>
    <xf numFmtId="0" fontId="6" fillId="4" borderId="0" applyAlignment="1" pivotButton="0" quotePrefix="0" xfId="0">
      <alignment horizontal="center"/>
    </xf>
    <xf numFmtId="0" fontId="6" fillId="5" borderId="0" applyAlignment="1" pivotButton="0" quotePrefix="0" xfId="0">
      <alignment horizontal="left"/>
    </xf>
    <xf numFmtId="0" fontId="6" fillId="5" borderId="0" applyAlignment="1" pivotButton="0" quotePrefix="0" xfId="0">
      <alignment horizontal="center"/>
    </xf>
    <xf numFmtId="0" fontId="7" fillId="2" borderId="0" applyAlignment="1" pivotButton="0" quotePrefix="0" xfId="0">
      <alignment horizontal="center"/>
    </xf>
    <xf numFmtId="0" fontId="6" fillId="5" borderId="0" pivotButton="0" quotePrefix="0" xfId="0"/>
    <xf numFmtId="0" fontId="8" fillId="0" borderId="0" pivotButton="0" quotePrefix="0" xfId="0"/>
    <xf numFmtId="0" fontId="9" fillId="6" borderId="0" applyAlignment="1" pivotButton="0" quotePrefix="0" xfId="0">
      <alignment horizontal="center"/>
    </xf>
    <xf numFmtId="0" fontId="10" fillId="0" borderId="0" pivotButton="0" quotePrefix="0" xfId="0"/>
    <xf numFmtId="0" fontId="11" fillId="7" borderId="0" pivotButton="0" quotePrefix="0" xfId="0"/>
    <xf numFmtId="0" fontId="6" fillId="7" borderId="0" pivotButton="0" quotePrefix="0" xfId="0"/>
    <xf numFmtId="0" fontId="12" fillId="0" borderId="2" pivotButton="0" quotePrefix="0" xfId="0"/>
    <xf numFmtId="164" fontId="3" fillId="0" borderId="2" applyAlignment="1" pivotButton="0" quotePrefix="0" xfId="0">
      <alignment horizontal="right"/>
    </xf>
    <xf numFmtId="164" fontId="9" fillId="2" borderId="2" applyAlignment="1" pivotButton="0" quotePrefix="0" xfId="0">
      <alignment horizontal="right"/>
    </xf>
    <xf numFmtId="0" fontId="10" fillId="2" borderId="0" pivotButton="0" quotePrefix="0" xfId="0"/>
    <xf numFmtId="165" fontId="12" fillId="6" borderId="0" pivotButton="0" quotePrefix="0" xfId="0"/>
    <xf numFmtId="0" fontId="6" fillId="7" borderId="0" applyAlignment="1" pivotButton="0" quotePrefix="0" xfId="0">
      <alignment horizontal="center"/>
    </xf>
    <xf numFmtId="0" fontId="13" fillId="0" borderId="0" pivotButton="0" quotePrefix="0" xfId="0"/>
    <xf numFmtId="166" fontId="14" fillId="0" borderId="0" applyAlignment="1" pivotButton="0" quotePrefix="0" xfId="0">
      <alignment horizontal="right"/>
    </xf>
    <xf numFmtId="166" fontId="15" fillId="2" borderId="0" applyAlignment="1" pivotButton="0" quotePrefix="0" xfId="0">
      <alignment horizontal="right"/>
    </xf>
    <xf numFmtId="0" fontId="16" fillId="0" borderId="0" pivotButton="0" quotePrefix="0" xfId="0"/>
    <xf numFmtId="167" fontId="17" fillId="0" borderId="0" pivotButton="0" quotePrefix="0" xfId="0"/>
    <xf numFmtId="168" fontId="17" fillId="0" borderId="0" applyAlignment="1" pivotButton="0" quotePrefix="0" xfId="0">
      <alignment horizontal="right"/>
    </xf>
    <xf numFmtId="168" fontId="15" fillId="2" borderId="0" applyAlignment="1" pivotButton="0" quotePrefix="0" xfId="0">
      <alignment horizontal="right"/>
    </xf>
    <xf numFmtId="169" fontId="15" fillId="0" borderId="0" applyAlignment="1" pivotButton="0" quotePrefix="0" xfId="0">
      <alignment horizontal="right"/>
    </xf>
    <xf numFmtId="169" fontId="15" fillId="2" borderId="0" applyAlignment="1" pivotButton="0" quotePrefix="0" xfId="0">
      <alignment horizontal="right"/>
    </xf>
    <xf numFmtId="167" fontId="3" fillId="0" borderId="2" applyAlignment="1" pivotButton="0" quotePrefix="0" xfId="0">
      <alignment horizontal="right"/>
    </xf>
    <xf numFmtId="167" fontId="9" fillId="2" borderId="2" applyAlignment="1" pivotButton="0" quotePrefix="0" xfId="0">
      <alignment horizontal="right"/>
    </xf>
    <xf numFmtId="166" fontId="15" fillId="0" borderId="0" pivotButton="0" quotePrefix="0" xfId="0"/>
    <xf numFmtId="167" fontId="17" fillId="0" borderId="0" applyAlignment="1" pivotButton="0" quotePrefix="0" xfId="0">
      <alignment horizontal="right"/>
    </xf>
    <xf numFmtId="167" fontId="15" fillId="2" borderId="0" applyAlignment="1" pivotButton="0" quotePrefix="0" xfId="0">
      <alignment horizontal="right"/>
    </xf>
    <xf numFmtId="166" fontId="15" fillId="0" borderId="0" applyAlignment="1" pivotButton="0" quotePrefix="0" xfId="0">
      <alignment horizontal="right"/>
    </xf>
    <xf numFmtId="166" fontId="12" fillId="6" borderId="0" pivotButton="0" quotePrefix="0" xfId="0"/>
    <xf numFmtId="168" fontId="15" fillId="0" borderId="0" applyAlignment="1" pivotButton="0" quotePrefix="0" xfId="0">
      <alignment horizontal="right"/>
    </xf>
    <xf numFmtId="170" fontId="17" fillId="0" borderId="0" pivotButton="0" quotePrefix="0" xfId="0"/>
    <xf numFmtId="166" fontId="17" fillId="0" borderId="0" applyAlignment="1" pivotButton="0" quotePrefix="0" xfId="0">
      <alignment horizontal="right"/>
    </xf>
    <xf numFmtId="171" fontId="3" fillId="8" borderId="0" applyAlignment="1" pivotButton="0" quotePrefix="0" xfId="0">
      <alignment horizontal="center"/>
    </xf>
    <xf numFmtId="166" fontId="17" fillId="0" borderId="0" pivotButton="0" quotePrefix="0" xfId="0"/>
    <xf numFmtId="167" fontId="9" fillId="0" borderId="2" applyAlignment="1" pivotButton="0" quotePrefix="0" xfId="0">
      <alignment horizontal="right"/>
    </xf>
    <xf numFmtId="167" fontId="15" fillId="0" borderId="0" applyAlignment="1" pivotButton="0" quotePrefix="0" xfId="0">
      <alignment horizontal="right"/>
    </xf>
    <xf numFmtId="164" fontId="17" fillId="0" borderId="0" applyAlignment="1" pivotButton="0" quotePrefix="0" xfId="0">
      <alignment horizontal="right"/>
    </xf>
    <xf numFmtId="166" fontId="3" fillId="2" borderId="0" applyAlignment="1" pivotButton="0" quotePrefix="0" xfId="0">
      <alignment horizontal="right"/>
    </xf>
    <xf numFmtId="1" fontId="3" fillId="2" borderId="0" applyAlignment="1" pivotButton="0" quotePrefix="0" xfId="0">
      <alignment horizontal="right"/>
    </xf>
    <xf numFmtId="1" fontId="15" fillId="2" borderId="0" applyAlignment="1" pivotButton="0" quotePrefix="0" xfId="0">
      <alignment horizontal="right"/>
    </xf>
    <xf numFmtId="167" fontId="3" fillId="2" borderId="0" applyAlignment="1" pivotButton="0" quotePrefix="0" xfId="0">
      <alignment horizontal="right"/>
    </xf>
    <xf numFmtId="172" fontId="3" fillId="8" borderId="0" applyAlignment="1" pivotButton="0" quotePrefix="0" xfId="0">
      <alignment horizontal="center"/>
    </xf>
    <xf numFmtId="167" fontId="15" fillId="0" borderId="0" pivotButton="0" quotePrefix="0" xfId="0"/>
    <xf numFmtId="170" fontId="3" fillId="2" borderId="0" applyAlignment="1" pivotButton="0" quotePrefix="0" xfId="0">
      <alignment horizontal="right"/>
    </xf>
    <xf numFmtId="170" fontId="15" fillId="2" borderId="0" applyAlignment="1" pivotButton="0" quotePrefix="0" xfId="0">
      <alignment horizontal="right"/>
    </xf>
    <xf numFmtId="167" fontId="3" fillId="2" borderId="2" applyAlignment="1" pivotButton="0" quotePrefix="0" xfId="0">
      <alignment horizontal="right"/>
    </xf>
    <xf numFmtId="0" fontId="11" fillId="5" borderId="2" pivotButton="0" quotePrefix="0" xfId="0"/>
    <xf numFmtId="167" fontId="9" fillId="6" borderId="2" applyAlignment="1" pivotButton="0" quotePrefix="0" xfId="0">
      <alignment horizontal="right"/>
    </xf>
    <xf numFmtId="0" fontId="18" fillId="0" borderId="0" pivotButton="0" quotePrefix="0" xfId="0"/>
    <xf numFmtId="167" fontId="3" fillId="6" borderId="2" applyAlignment="1" pivotButton="0" quotePrefix="0" xfId="0">
      <alignment horizontal="right"/>
    </xf>
    <xf numFmtId="164" fontId="15" fillId="2" borderId="0" applyAlignment="1" pivotButton="0" quotePrefix="0" xfId="0">
      <alignment horizontal="right"/>
    </xf>
    <xf numFmtId="168" fontId="9" fillId="6" borderId="2" applyAlignment="1" pivotButton="0" quotePrefix="0" xfId="0">
      <alignment horizontal="right"/>
    </xf>
    <xf numFmtId="168" fontId="9" fillId="0" borderId="2" applyAlignment="1" pivotButton="0" quotePrefix="0" xfId="0">
      <alignment horizontal="right"/>
    </xf>
    <xf numFmtId="168" fontId="9" fillId="2" borderId="2" applyAlignment="1" pivotButton="0" quotePrefix="0" xfId="0">
      <alignment horizontal="right"/>
    </xf>
    <xf numFmtId="164" fontId="15" fillId="0" borderId="0" applyAlignment="1" pivotButton="0" quotePrefix="0" xfId="0">
      <alignment horizontal="right"/>
    </xf>
    <xf numFmtId="173" fontId="15" fillId="0" borderId="0" applyAlignment="1" pivotButton="0" quotePrefix="0" xfId="0">
      <alignment horizontal="right"/>
    </xf>
    <xf numFmtId="173" fontId="15" fillId="2" borderId="0" applyAlignment="1" pivotButton="0" quotePrefix="0" xfId="0">
      <alignment horizontal="right"/>
    </xf>
    <xf numFmtId="164" fontId="3" fillId="2" borderId="0" applyAlignment="1" pivotButton="0" quotePrefix="0" xfId="0">
      <alignment horizontal="right"/>
    </xf>
    <xf numFmtId="174" fontId="15" fillId="0" borderId="0" applyAlignment="1" pivotButton="0" quotePrefix="0" xfId="0">
      <alignment horizontal="right"/>
    </xf>
    <xf numFmtId="174" fontId="3" fillId="2" borderId="0" applyAlignment="1" pivotButton="0" quotePrefix="0" xfId="0">
      <alignment horizontal="right"/>
    </xf>
    <xf numFmtId="0" fontId="13" fillId="8" borderId="0" pivotButton="0" quotePrefix="0" xfId="0"/>
    <xf numFmtId="166" fontId="9" fillId="6" borderId="2" applyAlignment="1" pivotButton="0" quotePrefix="0" xfId="0">
      <alignment horizontal="right"/>
    </xf>
    <xf numFmtId="173" fontId="9" fillId="6" borderId="2" applyAlignment="1" pivotButton="0" quotePrefix="0" xfId="0">
      <alignment horizontal="right"/>
    </xf>
    <xf numFmtId="168" fontId="3" fillId="2" borderId="0" applyAlignment="1" pivotButton="0" quotePrefix="0" xfId="0">
      <alignment horizontal="right"/>
    </xf>
    <xf numFmtId="0" fontId="20" fillId="0" borderId="0" pivotButton="0" quotePrefix="0" xfId="0"/>
    <xf numFmtId="4" fontId="21" fillId="2" borderId="0" pivotButton="0" quotePrefix="0" xfId="0"/>
    <xf numFmtId="0" fontId="22" fillId="6" borderId="0" pivotButton="0" quotePrefix="0" xfId="0"/>
    <xf numFmtId="0" fontId="12" fillId="0" borderId="0" pivotButton="0" quotePrefix="0" xfId="0"/>
    <xf numFmtId="0" fontId="21" fillId="3" borderId="0" pivotButton="0" quotePrefix="0" xfId="0"/>
    <xf numFmtId="0" fontId="23" fillId="5" borderId="0" pivotButton="0" quotePrefix="0" xfId="0"/>
    <xf numFmtId="0" fontId="22" fillId="0" borderId="0" pivotButton="0" quotePrefix="0" xfId="0"/>
    <xf numFmtId="167" fontId="21" fillId="9" borderId="0" pivotButton="0" quotePrefix="0" xfId="0"/>
    <xf numFmtId="167" fontId="21" fillId="2" borderId="0" pivotButton="0" quotePrefix="0" xfId="0"/>
    <xf numFmtId="175" fontId="12" fillId="10" borderId="0" pivotButton="0" quotePrefix="0" xfId="0"/>
    <xf numFmtId="0" fontId="24" fillId="0" borderId="0" pivotButton="0" quotePrefix="0" xfId="0"/>
    <xf numFmtId="175" fontId="24" fillId="9" borderId="0" pivotButton="0" quotePrefix="0" xfId="0"/>
    <xf numFmtId="175" fontId="24" fillId="2" borderId="0" pivotButton="0" quotePrefix="0" xfId="0"/>
    <xf numFmtId="166" fontId="21" fillId="9" borderId="0" pivotButton="0" quotePrefix="0" xfId="0"/>
    <xf numFmtId="166" fontId="21" fillId="2" borderId="0" pivotButton="0" quotePrefix="0" xfId="0"/>
    <xf numFmtId="166" fontId="24" fillId="9" borderId="0" pivotButton="0" quotePrefix="0" xfId="0"/>
    <xf numFmtId="166" fontId="24" fillId="2" borderId="0" pivotButton="0" quotePrefix="0" xfId="0"/>
    <xf numFmtId="166" fontId="24" fillId="11" borderId="0" pivotButton="0" quotePrefix="0" xfId="0"/>
    <xf numFmtId="164" fontId="21" fillId="9" borderId="0" pivotButton="0" quotePrefix="0" xfId="0"/>
    <xf numFmtId="164" fontId="21" fillId="2" borderId="0" pivotButton="0" quotePrefix="0" xfId="0"/>
    <xf numFmtId="168" fontId="21" fillId="9" borderId="0" pivotButton="0" quotePrefix="0" xfId="0"/>
    <xf numFmtId="168" fontId="21" fillId="2" borderId="0" pivotButton="0" quotePrefix="0" xfId="0"/>
    <xf numFmtId="176" fontId="3" fillId="12" borderId="0" pivotButton="0" quotePrefix="0" xfId="0"/>
    <xf numFmtId="167" fontId="6" fillId="5" borderId="0" pivotButton="0" quotePrefix="0" xfId="0"/>
    <xf numFmtId="175" fontId="24" fillId="0" borderId="0" pivotButton="0" quotePrefix="0" xfId="0"/>
    <xf numFmtId="175" fontId="22" fillId="6" borderId="0" pivotButton="0" quotePrefix="0" xfId="0"/>
    <xf numFmtId="168" fontId="24" fillId="9" borderId="0" pivotButton="0" quotePrefix="0" xfId="0"/>
    <xf numFmtId="168" fontId="24" fillId="2" borderId="0" pivotButton="0" quotePrefix="0" xfId="0"/>
    <xf numFmtId="166" fontId="24" fillId="0" borderId="0" pivotButton="0" quotePrefix="0" xfId="0"/>
    <xf numFmtId="173" fontId="24" fillId="9" borderId="0" pivotButton="0" quotePrefix="0" xfId="0"/>
    <xf numFmtId="173" fontId="24" fillId="2" borderId="0" pivotButton="0" quotePrefix="0" xfId="0"/>
    <xf numFmtId="167" fontId="24" fillId="0" borderId="0" pivotButton="0" quotePrefix="0" xfId="0"/>
    <xf numFmtId="173" fontId="24" fillId="0" borderId="0" pivotButton="0" quotePrefix="0" xfId="0"/>
    <xf numFmtId="167" fontId="25" fillId="0" borderId="0" pivotButton="0" quotePrefix="0" xfId="0"/>
    <xf numFmtId="0" fontId="26" fillId="0" borderId="0" pivotButton="0" quotePrefix="0" xfId="0"/>
    <xf numFmtId="166" fontId="25" fillId="0" borderId="0" pivotButton="0" quotePrefix="0" xfId="0"/>
    <xf numFmtId="0" fontId="28" fillId="5" borderId="0" pivotButton="0" quotePrefix="0" xfId="0"/>
    <xf numFmtId="0" fontId="29" fillId="0" borderId="0" pivotButton="0" quotePrefix="0" xfId="0"/>
    <xf numFmtId="177" fontId="29" fillId="0" borderId="0" pivotButton="0" quotePrefix="0" xfId="0"/>
    <xf numFmtId="167" fontId="29" fillId="0" borderId="0" pivotButton="0" quotePrefix="0" xfId="0"/>
    <xf numFmtId="166" fontId="30" fillId="0" borderId="0" pivotButton="0" quotePrefix="0" xfId="0"/>
    <xf numFmtId="178" fontId="29" fillId="0" borderId="0" pivotButton="0" quotePrefix="0" xfId="0"/>
    <xf numFmtId="2" fontId="29" fillId="0" borderId="0" pivotButton="0" quotePrefix="0" xfId="0"/>
    <xf numFmtId="179" fontId="29" fillId="0" borderId="0" pivotButton="0" quotePrefix="0" xfId="0"/>
    <xf numFmtId="167" fontId="30" fillId="0" borderId="0" pivotButton="0" quotePrefix="0" xfId="0"/>
    <xf numFmtId="0" fontId="31" fillId="0" borderId="0" pivotButton="0" quotePrefix="0" xfId="0"/>
    <xf numFmtId="166" fontId="31" fillId="0" borderId="0" pivotButton="0" quotePrefix="0" xfId="0"/>
    <xf numFmtId="166" fontId="29" fillId="0" borderId="0" pivotButton="0" quotePrefix="0" xfId="0"/>
    <xf numFmtId="164" fontId="29" fillId="0" borderId="0" pivotButton="0" quotePrefix="0" xfId="0"/>
    <xf numFmtId="4" fontId="29" fillId="0" borderId="0" pivotButton="0" quotePrefix="0" xfId="0"/>
    <xf numFmtId="178" fontId="32" fillId="0" borderId="0" pivotButton="0" quotePrefix="0" xfId="0"/>
    <xf numFmtId="3" fontId="29" fillId="0" borderId="0" pivotButton="0" quotePrefix="0" xfId="0"/>
    <xf numFmtId="3" fontId="29" fillId="3" borderId="0" pivotButton="0" quotePrefix="0" xfId="0"/>
    <xf numFmtId="176" fontId="29" fillId="0" borderId="0" pivotButton="0" quotePrefix="0" xfId="0"/>
    <xf numFmtId="0" fontId="33" fillId="0" borderId="0" pivotButton="0" quotePrefix="0" xfId="0"/>
    <xf numFmtId="10" fontId="32" fillId="2" borderId="0" pivotButton="0" quotePrefix="0" xfId="0"/>
    <xf numFmtId="0" fontId="34" fillId="0" borderId="0" pivotButton="0" quotePrefix="0" xfId="0"/>
    <xf numFmtId="2" fontId="32" fillId="2" borderId="0" pivotButton="0" quotePrefix="0" xfId="0"/>
    <xf numFmtId="10" fontId="33" fillId="0" borderId="0" pivotButton="0" quotePrefix="0" xfId="0"/>
    <xf numFmtId="0" fontId="35" fillId="0" borderId="0" pivotButton="0" quotePrefix="0" xfId="0"/>
    <xf numFmtId="10" fontId="35" fillId="6" borderId="0" pivotButton="0" quotePrefix="0" xfId="0"/>
    <xf numFmtId="167" fontId="36" fillId="0" borderId="0" pivotButton="0" quotePrefix="0" xfId="0"/>
    <xf numFmtId="0" fontId="35" fillId="6" borderId="0" pivotButton="0" quotePrefix="0" xfId="0"/>
    <xf numFmtId="167" fontId="35" fillId="6" borderId="0" pivotButton="0" quotePrefix="0" xfId="0"/>
    <xf numFmtId="178" fontId="32" fillId="2" borderId="0" pivotButton="0" quotePrefix="0" xfId="0"/>
    <xf numFmtId="178" fontId="30" fillId="2" borderId="0" pivotButton="0" quotePrefix="0" xfId="0"/>
    <xf numFmtId="178" fontId="37" fillId="3" borderId="0" pivotButton="0" quotePrefix="0" xfId="0"/>
    <xf numFmtId="10" fontId="30" fillId="0" borderId="0" pivotButton="0" quotePrefix="0" xfId="0"/>
    <xf numFmtId="1" fontId="32" fillId="2" borderId="0" pivotButton="0" quotePrefix="0" xfId="0"/>
    <xf numFmtId="0" fontId="30" fillId="0" borderId="0" applyAlignment="1" pivotButton="0" quotePrefix="0" xfId="0">
      <alignment horizontal="right"/>
    </xf>
    <xf numFmtId="178" fontId="32" fillId="13" borderId="0" pivotButton="0" quotePrefix="0" xfId="0"/>
    <xf numFmtId="1" fontId="32" fillId="13" borderId="0" pivotButton="0" quotePrefix="0" xfId="0"/>
    <xf numFmtId="0" fontId="38" fillId="2" borderId="0" pivotButton="0" quotePrefix="0" xfId="0"/>
    <xf numFmtId="0" fontId="16" fillId="0" borderId="3" pivotButton="0" quotePrefix="0" xfId="0"/>
    <xf numFmtId="168" fontId="15" fillId="0" borderId="3" applyAlignment="1" pivotButton="0" quotePrefix="0" xfId="0">
      <alignment horizontal="right"/>
    </xf>
    <xf numFmtId="168" fontId="15" fillId="2" borderId="3" applyAlignment="1" pivotButton="0" quotePrefix="0" xfId="0">
      <alignment horizontal="right"/>
    </xf>
    <xf numFmtId="9" fontId="30" fillId="0" borderId="0" applyAlignment="1" pivotButton="0" quotePrefix="0" xfId="1">
      <alignment horizontal="left"/>
    </xf>
    <xf numFmtId="0" fontId="11" fillId="5" borderId="0" applyAlignment="1" pivotButton="0" quotePrefix="0" xfId="0">
      <alignment horizontal="center" vertical="center" wrapText="1"/>
    </xf>
    <xf numFmtId="0" fontId="11" fillId="7" borderId="0" applyAlignment="1" pivotButton="0" quotePrefix="0" xfId="0">
      <alignment horizontal="center" vertical="center" wrapText="1"/>
    </xf>
    <xf numFmtId="0" fontId="6" fillId="5" borderId="0" applyAlignment="1" pivotButton="0" quotePrefix="0" xfId="0">
      <alignment shrinkToFit="1"/>
    </xf>
    <xf numFmtId="0" fontId="0" fillId="2" borderId="0" pivotButton="0" quotePrefix="0" xfId="0"/>
    <xf numFmtId="0" fontId="0" fillId="0" borderId="2" pivotButton="0" quotePrefix="0" xfId="0"/>
    <xf numFmtId="166" fontId="17" fillId="2" borderId="0" applyAlignment="1" pivotButton="0" quotePrefix="0" xfId="0">
      <alignment horizontal="right"/>
    </xf>
    <xf numFmtId="0" fontId="39" fillId="0" borderId="0" pivotButton="0" quotePrefix="0" xfId="0"/>
    <xf numFmtId="0" fontId="0" fillId="2" borderId="2" pivotButton="0" quotePrefix="0" xfId="0"/>
    <xf numFmtId="0" fontId="40" fillId="0" borderId="0" pivotButton="0" quotePrefix="0" xfId="0"/>
    <xf numFmtId="0" fontId="1" fillId="0" borderId="0" pivotButton="0" quotePrefix="0" xfId="0"/>
    <xf numFmtId="0" fontId="0" fillId="6" borderId="2" pivotButton="0" quotePrefix="0" xfId="0"/>
    <xf numFmtId="177" fontId="0" fillId="0" borderId="0" pivotButton="0" quotePrefix="0" xfId="0"/>
    <xf numFmtId="0" fontId="11" fillId="5" borderId="0" pivotButton="0" quotePrefix="0" xfId="0"/>
    <xf numFmtId="0" fontId="11" fillId="5" borderId="0" applyAlignment="1" pivotButton="0" quotePrefix="0" xfId="0">
      <alignment horizontal="right"/>
    </xf>
    <xf numFmtId="166" fontId="8" fillId="0" borderId="0" pivotButton="0" quotePrefix="0" xfId="0"/>
    <xf numFmtId="4" fontId="11" fillId="5" borderId="0" pivotButton="0" quotePrefix="0" xfId="0"/>
    <xf numFmtId="4" fontId="8" fillId="0" borderId="0" pivotButton="0" quotePrefix="0" xfId="0"/>
    <xf numFmtId="178" fontId="8" fillId="0" borderId="0" pivotButton="0" quotePrefix="0" xfId="0"/>
    <xf numFmtId="176" fontId="11" fillId="5" borderId="0" pivotButton="0" quotePrefix="0" xfId="0"/>
    <xf numFmtId="10" fontId="46" fillId="13" borderId="0" pivotButton="0" quotePrefix="0" xfId="0"/>
    <xf numFmtId="2" fontId="46" fillId="13" borderId="0" pivotButton="0" quotePrefix="0" xfId="0"/>
    <xf numFmtId="10" fontId="45" fillId="0" borderId="0" pivotButton="0" quotePrefix="0" xfId="0"/>
    <xf numFmtId="180" fontId="46" fillId="0" borderId="0" applyAlignment="1" pivotButton="0" quotePrefix="0" xfId="0">
      <alignment horizontal="center"/>
    </xf>
    <xf numFmtId="167" fontId="49" fillId="0" borderId="0" pivotButton="0" quotePrefix="0" xfId="0"/>
    <xf numFmtId="167" fontId="45" fillId="0" borderId="0" pivotButton="0" quotePrefix="0" xfId="0"/>
    <xf numFmtId="166" fontId="45" fillId="0" borderId="0" pivotButton="0" quotePrefix="0" xfId="0"/>
    <xf numFmtId="166" fontId="45" fillId="0" borderId="0" applyAlignment="1" pivotButton="0" quotePrefix="0" xfId="0">
      <alignment horizontal="center"/>
    </xf>
    <xf numFmtId="2" fontId="45" fillId="0" borderId="0" pivotButton="0" quotePrefix="0" xfId="0"/>
    <xf numFmtId="167" fontId="48" fillId="0" borderId="0" pivotButton="0" quotePrefix="0" xfId="0"/>
    <xf numFmtId="167" fontId="48" fillId="16" borderId="0" pivotButton="0" quotePrefix="0" xfId="0"/>
    <xf numFmtId="166" fontId="48" fillId="16" borderId="0" pivotButton="0" quotePrefix="0" xfId="0"/>
    <xf numFmtId="166" fontId="48" fillId="16" borderId="0" applyAlignment="1" pivotButton="0" quotePrefix="0" xfId="0">
      <alignment horizontal="center"/>
    </xf>
    <xf numFmtId="178" fontId="46" fillId="13" borderId="0" pivotButton="0" quotePrefix="0" xfId="0"/>
    <xf numFmtId="178" fontId="45" fillId="13" borderId="0" pivotButton="0" quotePrefix="0" xfId="0"/>
    <xf numFmtId="178" fontId="51" fillId="17" borderId="0" pivotButton="0" quotePrefix="0" xfId="0"/>
    <xf numFmtId="179" fontId="45" fillId="0" borderId="0" pivotButton="0" quotePrefix="0" xfId="0"/>
    <xf numFmtId="181" fontId="49" fillId="0" borderId="0" pivotButton="0" quotePrefix="0" xfId="0"/>
    <xf numFmtId="4" fontId="44" fillId="14" borderId="0" pivotButton="0" quotePrefix="0" xfId="0"/>
    <xf numFmtId="4" fontId="49" fillId="0" borderId="0" pivotButton="0" quotePrefix="0" xfId="0"/>
    <xf numFmtId="182" fontId="48" fillId="16" borderId="0" pivotButton="0" quotePrefix="0" xfId="0"/>
    <xf numFmtId="4" fontId="48" fillId="16" borderId="0" pivotButton="0" quotePrefix="0" xfId="0"/>
    <xf numFmtId="1" fontId="46" fillId="13" borderId="0" pivotButton="0" quotePrefix="0" xfId="0"/>
    <xf numFmtId="0" fontId="41" fillId="0" borderId="0" pivotButton="0" quotePrefix="0" xfId="0"/>
    <xf numFmtId="0" fontId="42" fillId="14" borderId="0" pivotButton="0" quotePrefix="0" xfId="0"/>
    <xf numFmtId="0" fontId="43" fillId="14" borderId="0" pivotButton="0" quotePrefix="0" xfId="0"/>
    <xf numFmtId="0" fontId="44" fillId="15" borderId="0" pivotButton="0" quotePrefix="0" xfId="0"/>
    <xf numFmtId="0" fontId="43" fillId="15" borderId="0" pivotButton="0" quotePrefix="0" xfId="0"/>
    <xf numFmtId="0" fontId="45" fillId="0" borderId="0" pivotButton="0" quotePrefix="0" xfId="0"/>
    <xf numFmtId="0" fontId="47" fillId="0" borderId="0" pivotButton="0" quotePrefix="0" xfId="0"/>
    <xf numFmtId="0" fontId="48" fillId="0" borderId="0" pivotButton="0" quotePrefix="0" xfId="0"/>
    <xf numFmtId="0" fontId="48" fillId="16" borderId="0" pivotButton="0" quotePrefix="0" xfId="0"/>
    <xf numFmtId="0" fontId="41" fillId="15" borderId="0" pivotButton="0" quotePrefix="0" xfId="0"/>
    <xf numFmtId="0" fontId="44" fillId="14" borderId="0" pivotButton="0" quotePrefix="0" xfId="0"/>
    <xf numFmtId="0" fontId="44" fillId="14" borderId="0" applyAlignment="1" pivotButton="0" quotePrefix="0" xfId="0">
      <alignment horizontal="center"/>
    </xf>
    <xf numFmtId="0" fontId="43" fillId="14" borderId="0" applyAlignment="1" pivotButton="0" quotePrefix="0" xfId="0">
      <alignment horizontal="center"/>
    </xf>
    <xf numFmtId="0" fontId="47" fillId="0" borderId="0" applyAlignment="1" pivotButton="0" quotePrefix="0" xfId="0">
      <alignment horizontal="right"/>
    </xf>
    <xf numFmtId="0" fontId="50" fillId="0" borderId="0" applyAlignment="1" pivotButton="0" quotePrefix="0" xfId="0">
      <alignment horizontal="centerContinuous"/>
    </xf>
    <xf numFmtId="0" fontId="44" fillId="15" borderId="0" applyAlignment="1" pivotButton="0" quotePrefix="0" xfId="0">
      <alignment horizontal="right"/>
    </xf>
    <xf numFmtId="1" fontId="46" fillId="13" borderId="0" applyAlignment="1" pivotButton="0" quotePrefix="0" xfId="0">
      <alignment horizontal="center"/>
    </xf>
    <xf numFmtId="167" fontId="49" fillId="0" borderId="0" applyAlignment="1" pivotButton="0" quotePrefix="0" xfId="0">
      <alignment horizontal="right"/>
    </xf>
    <xf numFmtId="178" fontId="49" fillId="0" borderId="0" applyAlignment="1" pivotButton="0" quotePrefix="0" xfId="0">
      <alignment horizontal="right"/>
    </xf>
    <xf numFmtId="167" fontId="45" fillId="0" borderId="0" applyAlignment="1" pivotButton="0" quotePrefix="0" xfId="0">
      <alignment horizontal="right"/>
    </xf>
    <xf numFmtId="181" fontId="49" fillId="0" borderId="0" applyAlignment="1" pivotButton="0" quotePrefix="0" xfId="0">
      <alignment horizontal="right"/>
    </xf>
    <xf numFmtId="4" fontId="44" fillId="14" borderId="0" applyAlignment="1" pivotButton="0" quotePrefix="0" xfId="0">
      <alignment horizontal="right"/>
    </xf>
    <xf numFmtId="4" fontId="45" fillId="0" borderId="0" applyAlignment="1" pivotButton="0" quotePrefix="0" xfId="0">
      <alignment horizontal="right"/>
    </xf>
    <xf numFmtId="166" fontId="45" fillId="0" borderId="0" applyAlignment="1" pivotButton="0" quotePrefix="0" xfId="0">
      <alignment horizontal="right"/>
    </xf>
    <xf numFmtId="10" fontId="48" fillId="16" borderId="4" pivotButton="0" quotePrefix="0" xfId="0"/>
    <xf numFmtId="0" fontId="48" fillId="16" borderId="4" pivotButton="0" quotePrefix="0" xfId="0"/>
    <xf numFmtId="0" fontId="50" fillId="16" borderId="4" pivotButton="0" quotePrefix="0" xfId="0"/>
    <xf numFmtId="167" fontId="48" fillId="16" borderId="4" pivotButton="0" quotePrefix="0" xfId="0"/>
    <xf numFmtId="0" fontId="45" fillId="0" borderId="4" pivotButton="0" quotePrefix="0" xfId="0"/>
    <xf numFmtId="0" fontId="41" fillId="0" borderId="4" pivotButton="0" quotePrefix="0" xfId="0"/>
    <xf numFmtId="167" fontId="45" fillId="0" borderId="4" pivotButton="0" quotePrefix="0" xfId="0"/>
    <xf numFmtId="0" fontId="48" fillId="0" borderId="4" pivotButton="0" quotePrefix="0" xfId="0"/>
    <xf numFmtId="167" fontId="48" fillId="0" borderId="4" pivotButton="0" quotePrefix="0" xfId="0"/>
    <xf numFmtId="3" fontId="45" fillId="0" borderId="0" applyAlignment="1" pivotButton="0" quotePrefix="0" xfId="0">
      <alignment horizontal="center"/>
    </xf>
    <xf numFmtId="3" fontId="48" fillId="17" borderId="0" applyAlignment="1" pivotButton="0" quotePrefix="0" xfId="0">
      <alignment horizontal="center"/>
    </xf>
    <xf numFmtId="0" fontId="43" fillId="14" borderId="4" pivotButton="0" quotePrefix="0" xfId="0"/>
    <xf numFmtId="10" fontId="44" fillId="14" borderId="4" applyAlignment="1" pivotButton="0" quotePrefix="0" xfId="0">
      <alignment horizontal="center"/>
    </xf>
    <xf numFmtId="0" fontId="41" fillId="0" borderId="5" pivotButton="0" quotePrefix="0" xfId="0"/>
    <xf numFmtId="3" fontId="45" fillId="0" borderId="5" applyAlignment="1" pivotButton="0" quotePrefix="0" xfId="0">
      <alignment horizontal="center"/>
    </xf>
    <xf numFmtId="0" fontId="44" fillId="14" borderId="6" pivotButton="0" quotePrefix="0" xfId="0"/>
    <xf numFmtId="10" fontId="48" fillId="0" borderId="7" applyAlignment="1" pivotButton="0" quotePrefix="0" xfId="0">
      <alignment horizontal="right"/>
    </xf>
    <xf numFmtId="10" fontId="48" fillId="0" borderId="8" applyAlignment="1" pivotButton="0" quotePrefix="0" xfId="0">
      <alignment horizontal="right"/>
    </xf>
    <xf numFmtId="10" fontId="44" fillId="14" borderId="9" applyAlignment="1" pivotButton="0" quotePrefix="0" xfId="0">
      <alignment horizontal="center"/>
    </xf>
    <xf numFmtId="3" fontId="45" fillId="0" borderId="10" applyAlignment="1" pivotButton="0" quotePrefix="0" xfId="0">
      <alignment horizontal="center"/>
    </xf>
    <xf numFmtId="3" fontId="45" fillId="0" borderId="11" applyAlignment="1" pivotButton="0" quotePrefix="0" xfId="0">
      <alignment horizontal="center"/>
    </xf>
    <xf numFmtId="0" fontId="45" fillId="0" borderId="0" applyAlignment="1" pivotButton="0" quotePrefix="0" xfId="0">
      <alignment horizontal="left" indent="2"/>
    </xf>
    <xf numFmtId="10" fontId="49" fillId="0" borderId="0" applyAlignment="1" pivotButton="0" quotePrefix="0" xfId="0">
      <alignment horizontal="center"/>
    </xf>
    <xf numFmtId="10" fontId="46" fillId="13" borderId="0" applyAlignment="1" pivotButton="0" quotePrefix="0" xfId="0">
      <alignment horizontal="center"/>
    </xf>
    <xf numFmtId="183" fontId="45" fillId="0" borderId="0" applyAlignment="1" pivotButton="0" quotePrefix="0" xfId="0">
      <alignment horizontal="center"/>
    </xf>
    <xf numFmtId="2" fontId="45" fillId="0" borderId="0" applyAlignment="1" pivotButton="0" quotePrefix="0" xfId="0">
      <alignment horizontal="center"/>
    </xf>
    <xf numFmtId="179" fontId="45" fillId="0" borderId="0" applyAlignment="1" pivotButton="0" quotePrefix="0" xfId="0">
      <alignment horizontal="center"/>
    </xf>
    <xf numFmtId="176" fontId="44" fillId="14" borderId="0" applyAlignment="1" pivotButton="0" quotePrefix="0" xfId="0">
      <alignment horizontal="center"/>
    </xf>
    <xf numFmtId="176" fontId="45" fillId="0" borderId="0" applyAlignment="1" pivotButton="0" quotePrefix="0" xfId="0">
      <alignment horizontal="right"/>
    </xf>
    <xf numFmtId="182" fontId="48" fillId="16" borderId="0" applyAlignment="1" pivotButton="0" quotePrefix="0" xfId="0">
      <alignment horizontal="right"/>
    </xf>
    <xf numFmtId="176" fontId="44" fillId="14" borderId="0" applyAlignment="1" pivotButton="0" quotePrefix="0" xfId="0">
      <alignment horizontal="right"/>
    </xf>
    <xf numFmtId="184" fontId="48" fillId="0" borderId="0" applyAlignment="1" pivotButton="0" quotePrefix="0" xfId="0">
      <alignment horizontal="right"/>
    </xf>
    <xf numFmtId="167" fontId="25" fillId="2" borderId="0" pivotButton="0" quotePrefix="0" xfId="0"/>
    <xf numFmtId="185" fontId="25" fillId="2" borderId="0" pivotButton="0" quotePrefix="0" xfId="0"/>
    <xf numFmtId="168" fontId="25" fillId="2" borderId="0" pivotButton="0" quotePrefix="0" xfId="0"/>
    <xf numFmtId="0" fontId="0" fillId="0" borderId="0" pivotButton="0" quotePrefix="0" xfId="0"/>
    <xf numFmtId="0" fontId="54" fillId="0" borderId="0" pivotButton="0" quotePrefix="0" xfId="0"/>
    <xf numFmtId="164" fontId="46" fillId="0" borderId="0" applyAlignment="1" pivotButton="0" quotePrefix="0" xfId="0">
      <alignment horizontal="right"/>
    </xf>
    <xf numFmtId="164" fontId="45" fillId="2" borderId="0" applyAlignment="1" pivotButton="0" quotePrefix="0" xfId="0">
      <alignment horizontal="right"/>
    </xf>
    <xf numFmtId="166" fontId="55" fillId="0" borderId="0" applyAlignment="1" pivotButton="0" quotePrefix="0" xfId="0">
      <alignment horizontal="right"/>
    </xf>
    <xf numFmtId="166" fontId="45" fillId="2" borderId="0" applyAlignment="1" pivotButton="0" quotePrefix="0" xfId="0">
      <alignment horizontal="right"/>
    </xf>
    <xf numFmtId="166" fontId="46" fillId="0" borderId="0" pivotButton="0" quotePrefix="0" xfId="0"/>
    <xf numFmtId="168" fontId="46" fillId="0" borderId="0" pivotButton="0" quotePrefix="0" xfId="0"/>
    <xf numFmtId="167" fontId="46" fillId="0" borderId="0" pivotButton="0" quotePrefix="0" xfId="0"/>
    <xf numFmtId="164" fontId="46" fillId="0" borderId="0" pivotButton="0" quotePrefix="0" xfId="0"/>
    <xf numFmtId="164" fontId="45" fillId="0" borderId="0" applyAlignment="1" pivotButton="0" quotePrefix="0" xfId="0">
      <alignment horizontal="right"/>
    </xf>
    <xf numFmtId="164" fontId="48" fillId="0" borderId="2" applyAlignment="1" pivotButton="0" quotePrefix="0" xfId="0">
      <alignment horizontal="right"/>
    </xf>
    <xf numFmtId="164" fontId="48" fillId="2" borderId="2" applyAlignment="1" pivotButton="0" quotePrefix="0" xfId="0">
      <alignment horizontal="right"/>
    </xf>
    <xf numFmtId="176" fontId="17" fillId="0" borderId="0" pivotButton="0" quotePrefix="0" xfId="0"/>
    <xf numFmtId="164" fontId="51" fillId="0" borderId="2" applyAlignment="1" pivotButton="0" quotePrefix="0" xfId="0">
      <alignment horizontal="right"/>
    </xf>
    <xf numFmtId="166" fontId="46" fillId="0" borderId="0" applyAlignment="1" pivotButton="0" quotePrefix="0" xfId="0">
      <alignment horizontal="right"/>
    </xf>
    <xf numFmtId="164" fontId="41" fillId="2" borderId="0" pivotButton="0" quotePrefix="0" xfId="0"/>
    <xf numFmtId="167" fontId="51" fillId="2" borderId="0" applyAlignment="1" pivotButton="0" quotePrefix="0" xfId="0">
      <alignment horizontal="right"/>
    </xf>
    <xf numFmtId="167" fontId="45" fillId="2" borderId="0" applyAlignment="1" pivotButton="0" quotePrefix="0" xfId="0">
      <alignment horizontal="right"/>
    </xf>
    <xf numFmtId="173" fontId="51" fillId="2" borderId="0" applyAlignment="1" pivotButton="0" quotePrefix="0" xfId="0">
      <alignment horizontal="right"/>
    </xf>
    <xf numFmtId="166" fontId="51" fillId="2" borderId="0" applyAlignment="1" pivotButton="0" quotePrefix="0" xfId="0">
      <alignment horizontal="right"/>
    </xf>
    <xf numFmtId="167" fontId="51" fillId="2" borderId="2" applyAlignment="1" pivotButton="0" quotePrefix="0" xfId="0">
      <alignment horizontal="right"/>
    </xf>
    <xf numFmtId="167" fontId="48" fillId="2" borderId="2" applyAlignment="1" pivotButton="0" quotePrefix="0" xfId="0">
      <alignment horizontal="right"/>
    </xf>
    <xf numFmtId="0" fontId="51" fillId="2" borderId="0" applyAlignment="1" pivotButton="0" quotePrefix="0" xfId="0">
      <alignment horizontal="right"/>
    </xf>
    <xf numFmtId="164" fontId="48" fillId="6" borderId="2" applyAlignment="1" pivotButton="0" quotePrefix="0" xfId="0">
      <alignment horizontal="right"/>
    </xf>
    <xf numFmtId="166" fontId="41" fillId="2" borderId="0" pivotButton="0" quotePrefix="0" xfId="0"/>
    <xf numFmtId="168" fontId="41" fillId="2" borderId="0" pivotButton="0" quotePrefix="0" xfId="0"/>
    <xf numFmtId="168" fontId="45" fillId="2" borderId="0" applyAlignment="1" pivotButton="0" quotePrefix="0" xfId="0">
      <alignment horizontal="right"/>
    </xf>
    <xf numFmtId="164" fontId="51" fillId="2" borderId="0" applyAlignment="1" pivotButton="0" quotePrefix="0" xfId="0">
      <alignment horizontal="right"/>
    </xf>
    <xf numFmtId="164" fontId="51" fillId="6" borderId="2" applyAlignment="1" pivotButton="0" quotePrefix="0" xfId="0">
      <alignment horizontal="right"/>
    </xf>
    <xf numFmtId="168" fontId="48" fillId="6" borderId="2" applyAlignment="1" pivotButton="0" quotePrefix="0" xfId="0">
      <alignment horizontal="right"/>
    </xf>
    <xf numFmtId="168" fontId="46" fillId="0" borderId="0" applyAlignment="1" pivotButton="0" quotePrefix="0" xfId="0">
      <alignment horizontal="right"/>
    </xf>
    <xf numFmtId="168" fontId="45" fillId="0" borderId="0" applyAlignment="1" pivotButton="0" quotePrefix="0" xfId="0">
      <alignment horizontal="right"/>
    </xf>
    <xf numFmtId="168" fontId="51" fillId="2" borderId="0" applyAlignment="1" pivotButton="0" quotePrefix="0" xfId="0">
      <alignment horizontal="right"/>
    </xf>
    <xf numFmtId="0" fontId="56" fillId="0" borderId="0" pivotButton="0" quotePrefix="0" xfId="0"/>
    <xf numFmtId="173" fontId="45" fillId="0" borderId="0" applyAlignment="1" pivotButton="0" quotePrefix="0" xfId="0">
      <alignment horizontal="right"/>
    </xf>
    <xf numFmtId="173" fontId="45" fillId="2" borderId="0" applyAlignment="1" pivotButton="0" quotePrefix="0" xfId="0">
      <alignment horizontal="right"/>
    </xf>
    <xf numFmtId="186" fontId="45" fillId="2" borderId="0" applyAlignment="1" pivotButton="0" quotePrefix="0" xfId="0">
      <alignment horizontal="right"/>
    </xf>
    <xf numFmtId="186" fontId="51" fillId="2" borderId="0" applyAlignment="1" pivotButton="0" quotePrefix="0" xfId="0">
      <alignment horizontal="right"/>
    </xf>
    <xf numFmtId="174" fontId="45" fillId="0" borderId="0" applyAlignment="1" pivotButton="0" quotePrefix="0" xfId="0">
      <alignment horizontal="right"/>
    </xf>
    <xf numFmtId="174" fontId="51" fillId="2" borderId="0" applyAlignment="1" pivotButton="0" quotePrefix="0" xfId="0">
      <alignment horizontal="right"/>
    </xf>
    <xf numFmtId="0" fontId="57" fillId="0" borderId="0" pivotButton="0" quotePrefix="0" xfId="0"/>
    <xf numFmtId="0" fontId="58" fillId="0" borderId="0" pivotButton="0" quotePrefix="0" xfId="0"/>
    <xf numFmtId="176" fontId="45" fillId="2" borderId="0" applyAlignment="1" pivotButton="0" quotePrefix="0" xfId="0">
      <alignment horizontal="right"/>
    </xf>
    <xf numFmtId="166" fontId="48" fillId="6" borderId="2" applyAlignment="1" pivotButton="0" quotePrefix="0" xfId="0">
      <alignment horizontal="right"/>
    </xf>
    <xf numFmtId="173" fontId="48" fillId="6" borderId="2" applyAlignment="1" pivotButton="0" quotePrefix="0" xfId="0">
      <alignment horizontal="right"/>
    </xf>
    <xf numFmtId="177" fontId="0" fillId="0" borderId="0" pivotButton="0" quotePrefix="0" xfId="0"/>
    <xf numFmtId="175" fontId="12" fillId="10" borderId="0" pivotButton="0" quotePrefix="0" xfId="0"/>
    <xf numFmtId="175" fontId="24" fillId="9" borderId="0" pivotButton="0" quotePrefix="0" xfId="0"/>
    <xf numFmtId="175" fontId="24" fillId="2" borderId="0" pivotButton="0" quotePrefix="0" xfId="0"/>
    <xf numFmtId="176" fontId="3" fillId="12" borderId="0" pivotButton="0" quotePrefix="0" xfId="0"/>
    <xf numFmtId="175" fontId="24" fillId="0" borderId="0" pivotButton="0" quotePrefix="0" xfId="0"/>
    <xf numFmtId="175" fontId="22" fillId="6" borderId="0" pivotButton="0" quotePrefix="0" xfId="0"/>
    <xf numFmtId="176" fontId="44" fillId="14" borderId="0" applyAlignment="1" pivotButton="0" quotePrefix="0" xfId="0">
      <alignment horizontal="center"/>
    </xf>
    <xf numFmtId="176" fontId="45" fillId="0" borderId="0" applyAlignment="1" pivotButton="0" quotePrefix="0" xfId="0">
      <alignment horizontal="right"/>
    </xf>
    <xf numFmtId="176" fontId="44" fillId="14" borderId="0" applyAlignment="1" pivotButton="0" quotePrefix="0" xfId="0">
      <alignment horizontal="right"/>
    </xf>
  </cellXfs>
  <cellStyles count="2">
    <cellStyle name="Normal" xfId="0" builtinId="0"/>
    <cellStyle name="Percent" xfId="1" builtinId="5"/>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AD2C5"/>
      <rgbColor rgb="FF878787"/>
      <rgbColor rgb="FF84A98C"/>
      <rgbColor rgb="FF595959"/>
      <rgbColor rgb="FFFFF8DC"/>
      <rgbColor rgb="FFE8EDE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9ECEC"/>
      <rgbColor rgb="FFF0F2F0"/>
      <rgbColor rgb="FFFFFDE7"/>
      <rgbColor rgb="FFA8C5D6"/>
      <rgbColor rgb="FFFF99CC"/>
      <rgbColor rgb="FFCC99FF"/>
      <rgbColor rgb="FFF5F5F5"/>
      <rgbColor rgb="FF3366FF"/>
      <rgbColor rgb="FF33CCCC"/>
      <rgbColor rgb="FF99CC00"/>
      <rgbColor rgb="FFFFCC00"/>
      <rgbColor rgb="FFFF9900"/>
      <rgbColor rgb="FFC8553D"/>
      <rgbColor rgb="FF666666"/>
      <rgbColor rgb="FFA6A6A6"/>
      <rgbColor rgb="FF1F3864"/>
      <rgbColor rgb="FF52796F"/>
      <rgbColor rgb="FF003300"/>
      <rgbColor rgb="FF404040"/>
      <rgbColor rgb="FF993300"/>
      <rgbColor rgb="FF993366"/>
      <rgbColor rgb="FF1F4E79"/>
      <rgbColor rgb="FF2F3E4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Revenue Growth: MIS vs. MA Contribution, pp</a:t>
            </a:r>
          </a:p>
        </c:rich>
      </c:tx>
      <c:overlay val="0"/>
      <c:spPr>
        <a:noFill/>
        <a:ln w="0">
          <a:noFill/>
        </a:ln>
      </c:spPr>
    </c:title>
    <c:autoTitleDeleted val="0"/>
    <c:plotArea>
      <c:layout/>
      <c:barChart>
        <c:barDir val="col"/>
        <c:grouping val="stacked"/>
        <c:varyColors val="0"/>
        <c:ser>
          <c:idx val="0"/>
          <c:order val="0"/>
          <c:tx>
            <c:strRef>
              <c:f>Charts!$B$8</c:f>
            </c:strRef>
          </c:tx>
          <c:spPr>
            <a:solidFill>
              <a:srgbClr val="2F3E4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Charts!$C$8:$V$8</c:f>
            </c:numRef>
          </c:val>
          <c:extLst>
            <c:ext xmlns:c16="http://schemas.microsoft.com/office/drawing/2014/chart" uri="{C3380CC4-5D6E-409C-BE32-E72D297353CC}">
              <c16:uniqueId val="{00000000-FF49-44E0-9EFD-670A32200F47}"/>
            </c:ext>
          </c:extLst>
        </c:ser>
        <c:ser>
          <c:idx val="1"/>
          <c:order val="1"/>
          <c:tx>
            <c:strRef>
              <c:f>Charts!$B$9</c:f>
            </c:strRef>
          </c:tx>
          <c:spPr>
            <a:solidFill>
              <a:srgbClr val="84A98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Charts!$C$9:$V$9</c:f>
            </c:numRef>
          </c:val>
          <c:extLst>
            <c:ext xmlns:c16="http://schemas.microsoft.com/office/drawing/2014/chart" uri="{C3380CC4-5D6E-409C-BE32-E72D297353CC}">
              <c16:uniqueId val="{00000001-FF49-44E0-9EFD-670A32200F47}"/>
            </c:ext>
          </c:extLst>
        </c:ser>
        <c:dLbls>
          <c:showLegendKey val="0"/>
          <c:showVal val="0"/>
          <c:showCatName val="0"/>
          <c:showSerName val="0"/>
          <c:showPercent val="0"/>
          <c:showBubbleSize val="0"/>
        </c:dLbls>
        <c:gapWidth val="150"/>
        <c:overlap val="100"/>
        <c:axId val="20044735"/>
        <c:axId val="65342648"/>
      </c:barChart>
      <c:catAx>
        <c:axId val="2004473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342648"/>
        <c:crosses val="autoZero"/>
        <c:auto val="1"/>
        <c:lblAlgn val="ctr"/>
        <c:lblOffset val="100"/>
        <c:noMultiLvlLbl val="0"/>
      </c:catAx>
      <c:valAx>
        <c:axId val="6534264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004473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Adjusted Operating Income &amp; Operating Income (USDm)</a:t>
            </a:r>
          </a:p>
        </c:rich>
      </c:tx>
      <c:overlay val="0"/>
      <c:spPr>
        <a:noFill/>
        <a:ln w="0">
          <a:noFill/>
        </a:ln>
      </c:spPr>
    </c:title>
    <c:autoTitleDeleted val="0"/>
    <c:plotArea>
      <c:layout/>
      <c:barChart>
        <c:barDir val="col"/>
        <c:grouping val="clustered"/>
        <c:varyColors val="0"/>
        <c:ser>
          <c:idx val="0"/>
          <c:order val="0"/>
          <c:tx>
            <c:strRef>
              <c:f>Charts!$B$12</c:f>
            </c:strRef>
          </c:tx>
          <c:spPr>
            <a:solidFill>
              <a:srgbClr val="A8C5D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Charts!$C$12:$V$12</c:f>
            </c:numRef>
          </c:val>
          <c:extLst>
            <c:ext xmlns:c16="http://schemas.microsoft.com/office/drawing/2014/chart" uri="{C3380CC4-5D6E-409C-BE32-E72D297353CC}">
              <c16:uniqueId val="{00000000-70F1-4400-9151-F0905619F4D5}"/>
            </c:ext>
          </c:extLst>
        </c:ser>
        <c:ser>
          <c:idx val="1"/>
          <c:order val="1"/>
          <c:tx>
            <c:strRef>
              <c:f>Charts!$B$13</c:f>
            </c:strRef>
          </c:tx>
          <c:spPr>
            <a:solidFill>
              <a:srgbClr val="1F4E7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Charts!$C$13:$V$13</c:f>
            </c:numRef>
          </c:val>
          <c:extLst>
            <c:ext xmlns:c16="http://schemas.microsoft.com/office/drawing/2014/chart" uri="{C3380CC4-5D6E-409C-BE32-E72D297353CC}">
              <c16:uniqueId val="{00000001-70F1-4400-9151-F0905619F4D5}"/>
            </c:ext>
          </c:extLst>
        </c:ser>
        <c:dLbls>
          <c:showLegendKey val="0"/>
          <c:showVal val="0"/>
          <c:showCatName val="0"/>
          <c:showSerName val="0"/>
          <c:showPercent val="0"/>
          <c:showBubbleSize val="0"/>
        </c:dLbls>
        <c:gapWidth val="150"/>
        <c:axId val="22608424"/>
        <c:axId val="81960370"/>
      </c:barChart>
      <c:lineChart>
        <c:grouping val="standard"/>
        <c:varyColors val="0"/>
        <c:ser>
          <c:idx val="2"/>
          <c:order val="2"/>
          <c:tx>
            <c:strRef>
              <c:f>Charts!$B$14</c:f>
            </c:strRef>
          </c:tx>
          <c:spPr>
            <a:ln w="28440">
              <a:solidFill>
                <a:srgbClr val="2F3E46"/>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Charts!$C$14:$V$14</c:f>
            </c:numRef>
          </c:val>
          <c:smooth val="1"/>
          <c:extLst>
            <c:ext xmlns:c16="http://schemas.microsoft.com/office/drawing/2014/chart" uri="{C3380CC4-5D6E-409C-BE32-E72D297353CC}">
              <c16:uniqueId val="{00000002-70F1-4400-9151-F0905619F4D5}"/>
            </c:ext>
          </c:extLst>
        </c:ser>
        <c:ser>
          <c:idx val="3"/>
          <c:order val="3"/>
          <c:tx>
            <c:strRef>
              <c:f>Charts!$B$15</c:f>
            </c:strRef>
          </c:tx>
          <c:spPr>
            <a:ln w="28440">
              <a:solidFill>
                <a:srgbClr val="C8553D"/>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Charts!$C$15:$V$15</c:f>
            </c:numRef>
          </c:val>
          <c:smooth val="1"/>
          <c:extLst>
            <c:ext xmlns:c16="http://schemas.microsoft.com/office/drawing/2014/chart" uri="{C3380CC4-5D6E-409C-BE32-E72D297353CC}">
              <c16:uniqueId val="{00000003-70F1-4400-9151-F0905619F4D5}"/>
            </c:ext>
          </c:extLst>
        </c:ser>
        <c:dLbls>
          <c:showLegendKey val="0"/>
          <c:showVal val="0"/>
          <c:showCatName val="0"/>
          <c:showSerName val="0"/>
          <c:showPercent val="0"/>
          <c:showBubbleSize val="0"/>
        </c:dLbls>
        <c:hiLowLines>
          <c:spPr>
            <a:ln w="0">
              <a:noFill/>
            </a:ln>
          </c:spPr>
        </c:hiLowLines>
        <c:marker val="1"/>
        <c:smooth val="0"/>
        <c:axId val="99874911"/>
        <c:axId val="65694817"/>
      </c:lineChart>
      <c:catAx>
        <c:axId val="2260842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960370"/>
        <c:crosses val="autoZero"/>
        <c:auto val="1"/>
        <c:lblAlgn val="ctr"/>
        <c:lblOffset val="100"/>
        <c:noMultiLvlLbl val="0"/>
      </c:catAx>
      <c:valAx>
        <c:axId val="8196037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608424"/>
        <c:crosses val="autoZero"/>
        <c:crossBetween val="between"/>
      </c:valAx>
      <c:catAx>
        <c:axId val="9987491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694817"/>
        <c:crosses val="autoZero"/>
        <c:auto val="1"/>
        <c:lblAlgn val="ctr"/>
        <c:lblOffset val="100"/>
        <c:noMultiLvlLbl val="0"/>
      </c:catAx>
      <c:valAx>
        <c:axId val="65694817"/>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874911"/>
        <c:crosses val="max"/>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Returns Profile: FCF Conversion, Adj. EBITA Margin, Adj. Operating Margin &amp; FCF Margin</a:t>
            </a:r>
          </a:p>
        </c:rich>
      </c:tx>
      <c:overlay val="0"/>
      <c:spPr>
        <a:noFill/>
        <a:ln w="0">
          <a:noFill/>
        </a:ln>
      </c:spPr>
    </c:title>
    <c:autoTitleDeleted val="0"/>
    <c:plotArea>
      <c:layout/>
      <c:lineChart>
        <c:grouping val="standard"/>
        <c:varyColors val="0"/>
        <c:ser>
          <c:idx val="0"/>
          <c:order val="0"/>
          <c:tx>
            <c:strRef>
              <c:f>Charts!$B$18</c:f>
            </c:strRef>
          </c:tx>
          <c:spPr>
            <a:ln w="28440">
              <a:solidFill>
                <a:srgbClr val="2F3E46"/>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Charts!$C$18:$V$18</c:f>
            </c:numRef>
          </c:val>
          <c:smooth val="1"/>
          <c:extLst>
            <c:ext xmlns:c16="http://schemas.microsoft.com/office/drawing/2014/chart" uri="{C3380CC4-5D6E-409C-BE32-E72D297353CC}">
              <c16:uniqueId val="{00000000-D2EB-4AF7-A066-6A1A3BE056BF}"/>
            </c:ext>
          </c:extLst>
        </c:ser>
        <c:ser>
          <c:idx val="1"/>
          <c:order val="1"/>
          <c:tx>
            <c:strRef>
              <c:f>Charts!$B$19</c:f>
            </c:strRef>
          </c:tx>
          <c:spPr>
            <a:ln w="28440">
              <a:solidFill>
                <a:srgbClr val="84A98C"/>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Charts!$C$19:$V$19</c:f>
            </c:numRef>
          </c:val>
          <c:smooth val="1"/>
          <c:extLst>
            <c:ext xmlns:c16="http://schemas.microsoft.com/office/drawing/2014/chart" uri="{C3380CC4-5D6E-409C-BE32-E72D297353CC}">
              <c16:uniqueId val="{00000001-D2EB-4AF7-A066-6A1A3BE056BF}"/>
            </c:ext>
          </c:extLst>
        </c:ser>
        <c:ser>
          <c:idx val="2"/>
          <c:order val="2"/>
          <c:tx>
            <c:strRef>
              <c:f>Charts!$B$20</c:f>
            </c:strRef>
          </c:tx>
          <c:spPr>
            <a:ln w="28440">
              <a:solidFill>
                <a:srgbClr val="1F4E79"/>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Charts!$C$20:$V$20</c:f>
            </c:numRef>
          </c:val>
          <c:smooth val="1"/>
          <c:extLst>
            <c:ext xmlns:c16="http://schemas.microsoft.com/office/drawing/2014/chart" uri="{C3380CC4-5D6E-409C-BE32-E72D297353CC}">
              <c16:uniqueId val="{00000002-D2EB-4AF7-A066-6A1A3BE056BF}"/>
            </c:ext>
          </c:extLst>
        </c:ser>
        <c:ser>
          <c:idx val="3"/>
          <c:order val="3"/>
          <c:tx>
            <c:strRef>
              <c:f>Charts!$B$21</c:f>
            </c:strRef>
          </c:tx>
          <c:spPr>
            <a:ln w="28440">
              <a:solidFill>
                <a:srgbClr val="C8553D"/>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Charts!$C$7:$V$7</c:f>
            </c:numRef>
          </c:cat>
          <c:val>
            <c:numRef>
              <c:f>Charts!$C$21:$V$21</c:f>
            </c:numRef>
          </c:val>
          <c:smooth val="1"/>
          <c:extLst>
            <c:ext xmlns:c16="http://schemas.microsoft.com/office/drawing/2014/chart" uri="{C3380CC4-5D6E-409C-BE32-E72D297353CC}">
              <c16:uniqueId val="{00000003-D2EB-4AF7-A066-6A1A3BE056BF}"/>
            </c:ext>
          </c:extLst>
        </c:ser>
        <c:dLbls>
          <c:showLegendKey val="0"/>
          <c:showVal val="0"/>
          <c:showCatName val="0"/>
          <c:showSerName val="0"/>
          <c:showPercent val="0"/>
          <c:showBubbleSize val="0"/>
        </c:dLbls>
        <c:hiLowLines>
          <c:spPr>
            <a:ln w="0">
              <a:noFill/>
            </a:ln>
          </c:spPr>
        </c:hiLowLines>
        <c:smooth val="0"/>
        <c:axId val="27004353"/>
        <c:axId val="61682655"/>
      </c:lineChart>
      <c:catAx>
        <c:axId val="2700435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682655"/>
        <c:crosses val="autoZero"/>
        <c:auto val="1"/>
        <c:lblAlgn val="ctr"/>
        <c:lblOffset val="100"/>
        <c:noMultiLvlLbl val="0"/>
      </c:catAx>
      <c:valAx>
        <c:axId val="6168265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00435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omments/comment1.xml><?xml version="1.0" encoding="utf-8"?>
<comments xmlns="http://schemas.openxmlformats.org/spreadsheetml/2006/main">
  <authors>
    <author>MCO model</author>
  </authors>
  <commentList>
    <comment ref="CF2" authorId="0" shapeId="0">
      <text>
        <t>Scenario toggle. Choose Bull / Base / Bear. Drives: FY26 MIS / MA revenue-growth and adjusted-EPS guidance end-points (high / mid / low), 2H26 buybacks, 2027E–2030E revenue growth by line, segment margins, M&amp;A spend and the leverage target for 2027E+ buybacks (scenario table CN:CR).</t>
      </text>
    </comment>
    <comment ref="B11" authorId="0" shapeId="0">
      <text>
        <t>Source: Moody's earnings releases (Form 8-K Item 2.02, Ex. 99.1) — revenue by line of business table (external revenue, as originally reported in each release; 2006–07 on the 2008 MIS / MA basis from the FY2007 / FY2008 comparatives — the old segments were "Moody's Investors Service" incl. research and "Moody's KMV"). REIT revenue moved from SFG to CFG in the 2019 releases (2018 recast, not applied).</t>
      </text>
    </comment>
    <comment ref="C11" authorId="0" shapeId="0">
      <text>
        <t>FY2006 on the 2008 MIS / MA basis (FY2007 10-K / release comparatives); see the source comment on the label.</t>
      </text>
    </comment>
    <comment ref="D11" authorId="0" shapeId="0">
      <text>
        <t>FY2007 on the 2008 MIS / MA basis (FY2008 release comparatives).</t>
      </text>
    </comment>
    <comment ref="O27" authorId="0" shapeId="0">
      <text>
        <t>Q1–Q3/14 as originally reported (before the Q4-14 realignment moved KIS non-ratings revenue from MA RD&amp;A to the new "MIS Other" line); FY2014 is on the realigned basis, so Σ quarters ≠ FY (MIS −$10.1m, MA +$10.1m).</t>
      </text>
    </comment>
    <comment ref="B37" authorId="0" shapeId="0">
      <text>
        <t>Source: Moody's earnings releases (Form 8-K Item 2.02, Ex. 99.1) — segment table (Adjusted Operating Income by segment; from Q3-12; 10-K segment notes for FY2011–12). Segment allocations were refined each 1 January; values as first published.</t>
      </text>
    </comment>
    <comment ref="B44" authorId="0" shapeId="0">
      <text>
        <t>Source: Moody's earnings releases (Form 8-K Item 2.02, Ex. 99.1) — MA revenue by line. Decision Solutions / Research &amp; Insights / Data &amp; Information from 2022 (2021 from the 2022 restated comparatives); Banking / Insurance / KYC from the 2023 10-Q revenue notes and 2024+ releases (earlier quarters of the current basis from the following year's restated comparatives, used only where the restated lines sum to the originally reported MA revenue). Legacy structures are memo rows below.</t>
      </text>
    </comment>
    <comment ref="B70" authorId="0" shapeId="0">
      <text>
        <t>Legacy MA lines as originally reported: Subscriptions / Software / Consulting (2006–08; 2006–07 from the 2008 recast); Research, Data &amp; Analytics / Risk Management Software / Professional Services (2009–11); RD&amp;A / Enterprise Risk Solutions / Professional Services (2012–20; PS dropped from 2021 after the MAKS sale); Decision Solutions total (2022–23).</t>
      </text>
    </comment>
    <comment ref="B87" authorId="0" shapeId="0">
      <text>
        <t>Source: Moody's earnings releases (Form 8-K Item 2.02, Ex. 99.1) — segment table (intersegment royalty charged by MIS to MA; MA intersegment revenue from 2011).</t>
      </text>
    </comment>
    <comment ref="B150" authorId="0" shapeId="0">
      <text>
        <t>Source: XBRL company facts (AmortizationOfIntangibleAssets, 10-K / 10-Q as first filed; Q4 = FY − 9M).</t>
      </text>
    </comment>
    <comment ref="C155" authorId="0" shapeId="0">
      <text>
        <t>Company items (2006): Gain on sale of building -160.6 (model definition)</t>
      </text>
    </comment>
    <comment ref="I155" authorId="0" shapeId="0">
      <text>
        <t>Company items (2012): Goodwill impairment charge 12.2</t>
      </text>
    </comment>
    <comment ref="AB155" authorId="0" shapeId="0">
      <text>
        <t>Company items (Q4-16): Settlement charge 863.8</t>
      </text>
    </comment>
    <comment ref="AC155" authorId="0" shapeId="0">
      <text>
        <t>Company items (2016): Settlement charge 863.8</t>
      </text>
    </comment>
    <comment ref="AE155" authorId="0" shapeId="0">
      <text>
        <t>Company items (Q2-17): Acquisition-Related Expenses 6.6</t>
      </text>
    </comment>
    <comment ref="AF155" authorId="0" shapeId="0">
      <text>
        <t>Company items (Q3-17): Acquisition-Related Expenses 10.1</t>
      </text>
    </comment>
    <comment ref="AG155" authorId="0" shapeId="0">
      <text>
        <t>Company items (Q4-17): Acquisition-Related Expenses 5.8; Settlement Charge 0.0</t>
      </text>
    </comment>
    <comment ref="AH155" authorId="0" shapeId="0">
      <text>
        <t>Company items (2017): Acquisition-Related Expenses 22.5; Settlement Charge 0.0</t>
      </text>
    </comment>
    <comment ref="AI155" authorId="0" shapeId="0">
      <text>
        <t>Company items (Q1-18): Acquisition-Related Expenses 0.8</t>
      </text>
    </comment>
    <comment ref="AJ155" authorId="0" shapeId="0">
      <text>
        <t>Company items (Q2-18): Acquisition-Related Expenses 2.0</t>
      </text>
    </comment>
    <comment ref="AK155" authorId="0" shapeId="0">
      <text>
        <t>Company items (Q3-18): Acquisition-Related Expenses 1.3</t>
      </text>
    </comment>
    <comment ref="AL155" authorId="0" shapeId="0">
      <text>
        <t>Company items (Q4-18): Acquisition-Related Expenses 4.2</t>
      </text>
    </comment>
    <comment ref="AM155" authorId="0" shapeId="0">
      <text>
        <t>Company items (2018): Acquisition-Related Expenses 8.3</t>
      </text>
    </comment>
    <comment ref="AN155" authorId="0" shapeId="0">
      <text>
        <t>Company items (Q1-19): Acquisition-Related Expenses 1.4</t>
      </text>
    </comment>
    <comment ref="AO155" authorId="0" shapeId="0">
      <text>
        <t>Company items (Q2-19): Acquisition-Related Expenses 2.0; Impairment pursuant to the planned divestiture of MAKS 8.7</t>
      </text>
    </comment>
    <comment ref="AP155" authorId="0" shapeId="0">
      <text>
        <t>Company items (Q3-19): Impairment pursuant to the planned divestiture of MAKS 2.0; Captive insurance company settlement 15.5</t>
      </text>
    </comment>
    <comment ref="AQ155" authorId="0" shapeId="0">
      <text>
        <t>Company items (Q4-19): Loss pursuant to the divestiture of MAKS 3.0</t>
      </text>
    </comment>
    <comment ref="AR155" authorId="0" shapeId="0">
      <text>
        <t>Company items (2019): Acquisition-Related Expenses 3.0; Loss pursuant to the divestiture of MAKS 14.0; Captive insurance company settlement 16.0</t>
      </text>
    </comment>
    <comment ref="AS155" authorId="0" shapeId="0">
      <text>
        <t>Company items (Q1-20): Acquisition-Related Expenses 0.0; Loss pursuant to the divestiture of MAKS 9.0</t>
      </text>
    </comment>
    <comment ref="AW155" authorId="0" shapeId="0">
      <text>
        <t>Company items (2020): Loss pursuant to the divestiture of MAKS 9.0; Captive insurance company settlement 0.0; Acquisition-Related Expenses 0.0</t>
      </text>
    </comment>
    <comment ref="BN155" authorId="0" shapeId="0">
      <text>
        <t>Company items (Q2-24): Charges related to asset abandonment 15.0</t>
      </text>
    </comment>
    <comment ref="BO155" authorId="0" shapeId="0">
      <text>
        <t>Company items (Q3-24): Charges related to asset abandonment 15.0</t>
      </text>
    </comment>
    <comment ref="BP155" authorId="0" shapeId="0">
      <text>
        <t>Company items (Q4-24): Charges related to asset abandonment 13.0</t>
      </text>
    </comment>
    <comment ref="BQ155" authorId="0" shapeId="0">
      <text>
        <t>Company items (2024): Charges related to asset abandonment 43.0</t>
      </text>
    </comment>
    <comment ref="BR155" authorId="0" shapeId="0">
      <text>
        <t>Company items (Q1-25): Charges related to asset abandonment 2.0</t>
      </text>
    </comment>
    <comment ref="BS155" authorId="0" shapeId="0">
      <text>
        <t>Company items (Q2-25): Charges related to asset abandonment 1.0</t>
      </text>
    </comment>
    <comment ref="BT155" authorId="0" shapeId="0">
      <text>
        <t>Company items (Q3-25): Charges related to asset abandonment 1.0</t>
      </text>
    </comment>
    <comment ref="BU155" authorId="0" shapeId="0">
      <text>
        <t>Company items (Q4-25): Charges related to asset abandonment -1.0</t>
      </text>
    </comment>
    <comment ref="BV155" authorId="0" shapeId="0">
      <text>
        <t>Company items (2025): Charges related to asset abandonment 3.0</t>
      </text>
    </comment>
    <comment ref="BW155" authorId="0" shapeId="0">
      <text>
        <t>Company items (Q1-26): Reserve for international non-income tax obligation 34.0; Charges related to asset abandonment 0.0</t>
      </text>
    </comment>
    <comment ref="BX155" authorId="0" shapeId="0">
      <text>
        <t>Company items (Q2-26): Reserve for international non-income tax obligation 2.0; Duplicate rent 2.0; Charges related to asset abandonment 0.0</t>
      </text>
    </comment>
    <comment ref="B163" authorId="0" shapeId="0">
      <text>
        <t>Source: Moody's earnings releases (Form 8-K Item 2.02, Ex. 99.1) — consolidated statements of operations; annual columns per the 10-K (the 10-K wins where it differs from the Q4 release).</t>
      </text>
    </comment>
    <comment ref="AC167" authorId="0" shapeId="0">
      <text>
        <t>FY2016 per the 10-K ($12.0m); the Q4-16 release kept $3.6m inside SG&amp;A, so Σ quarters (8.4) ≠ FY.</t>
      </text>
    </comment>
    <comment ref="C168" authorId="0" shapeId="0">
      <text>
        <t>Company items (2006): Gain on sale of building -160.6</t>
      </text>
    </comment>
    <comment ref="I168" authorId="0" shapeId="0">
      <text>
        <t>Company items (2012): Goodwill impairment charge 12.2</t>
      </text>
    </comment>
    <comment ref="AB168" authorId="0" shapeId="0">
      <text>
        <t>Company items (Q4-16): Settlement charge 863.8</t>
      </text>
    </comment>
    <comment ref="AC168" authorId="0" shapeId="0">
      <text>
        <t>Company items (2016): Settlement Charge 863.8</t>
      </text>
    </comment>
    <comment ref="AE168" authorId="0" shapeId="0">
      <text>
        <t>Company items (Q2-17): Acquisition-Related Expenses 6.6</t>
      </text>
    </comment>
    <comment ref="AF168" authorId="0" shapeId="0">
      <text>
        <t>Company items (Q3-17): Acquisition-Related Expenses 10.1</t>
      </text>
    </comment>
    <comment ref="AG168" authorId="0" shapeId="0">
      <text>
        <t>Company items (Q4-17): Acquisition-Related Expenses 5.8</t>
      </text>
    </comment>
    <comment ref="AH168" authorId="0" shapeId="0">
      <text>
        <t>Company items (2017): Acquisition-Related Expenses 22.5</t>
      </text>
    </comment>
    <comment ref="AI168" authorId="0" shapeId="0">
      <text>
        <t>Company items (Q1-18): Acquisition-Related Expenses 0.8</t>
      </text>
    </comment>
    <comment ref="AJ168" authorId="0" shapeId="0">
      <text>
        <t>Company items (Q2-18): Acquisition-Related Expenses 2.0</t>
      </text>
    </comment>
    <comment ref="AK168" authorId="0" shapeId="0">
      <text>
        <t>Company items (Q3-18): Acquisition-Related Expenses 1.3</t>
      </text>
    </comment>
    <comment ref="AL168" authorId="0" shapeId="0">
      <text>
        <t>Company items (Q4-18): Acquisition-related expenses 4.2</t>
      </text>
    </comment>
    <comment ref="AM168" authorId="0" shapeId="0">
      <text>
        <t>Company items (2018): Acquisition-Related Expenses 8.3</t>
      </text>
    </comment>
    <comment ref="AN168" authorId="0" shapeId="0">
      <text>
        <t>Company items (Q1-19): Acquisition-Related Expenses 1.4</t>
      </text>
    </comment>
    <comment ref="AO168" authorId="0" shapeId="0">
      <text>
        <t>Company items (Q2-19): Acquisition-Related Expenses 2.0; Impairment pursuant to the planned divestiture of MAKS 8.7</t>
      </text>
    </comment>
    <comment ref="AP168" authorId="0" shapeId="0">
      <text>
        <t>Company items (Q3-19): Impairment pursuant to the planned divestiture of MAKS 2.0</t>
      </text>
    </comment>
    <comment ref="AQ168" authorId="0" shapeId="0">
      <text>
        <t>Company items (Q4-19): Loss pursuant to the divestiture of MAKS 3.0</t>
      </text>
    </comment>
    <comment ref="AR168" authorId="0" shapeId="0">
      <text>
        <t>Company items (2019): Acquisition-Related Expenses 3.0; Loss pursuant to the divestiture of MAKS 14.0</t>
      </text>
    </comment>
    <comment ref="AS168" authorId="0" shapeId="0">
      <text>
        <t>Company items (Q1-20): Loss pursuant to the divestiture of MAKS 9.0</t>
      </text>
    </comment>
    <comment ref="AW168" authorId="0" shapeId="0">
      <text>
        <t>Company items (2020): Loss pursuant to the divestiture of MAKS 9.0</t>
      </text>
    </comment>
    <comment ref="BN168" authorId="0" shapeId="0">
      <text>
        <t>Company items (Q2-24): Charges related to asset abandonment 15.0</t>
      </text>
    </comment>
    <comment ref="BO168" authorId="0" shapeId="0">
      <text>
        <t>Company items (Q3-24): Charges related to asset abandonment 15.0</t>
      </text>
    </comment>
    <comment ref="BP168" authorId="0" shapeId="0">
      <text>
        <t>Company items (Q4-24): Charges related to asset abandonment 13.0</t>
      </text>
    </comment>
    <comment ref="BQ168" authorId="0" shapeId="0">
      <text>
        <t>Company items (2024): Charges related to asset abandonment 43.0</t>
      </text>
    </comment>
    <comment ref="BR168" authorId="0" shapeId="0">
      <text>
        <t>Company items (Q1-25): Charges related to asset abandonment 2.0</t>
      </text>
    </comment>
    <comment ref="BS168" authorId="0" shapeId="0">
      <text>
        <t>Company items (Q2-25): Charges related to asset abandonment 1.0</t>
      </text>
    </comment>
    <comment ref="BT168" authorId="0" shapeId="0">
      <text>
        <t>Company items (Q3-25): Charges related to asset abandonment 1.0</t>
      </text>
    </comment>
    <comment ref="BU168" authorId="0" shapeId="0">
      <text>
        <t>Company items (Q4-25): Charges related to asset abandonment -1.0</t>
      </text>
    </comment>
    <comment ref="BV168" authorId="0" shapeId="0">
      <text>
        <t>Company items (2025): Charges related to asset abandonment 3.0</t>
      </text>
    </comment>
    <comment ref="AB170" authorId="0" shapeId="0">
      <text>
        <t>Q4-16 operating loss: $863.8m settlement charge with the US DOJ and 21 states (excluded from Adjusted Operating Income and adjusted EPS).</t>
      </text>
    </comment>
    <comment ref="P176" authorId="0" shapeId="0">
      <text>
        <t>Company items (Q2-14): ICRA Gain 102.8</t>
      </text>
    </comment>
    <comment ref="S176" authorId="0" shapeId="0">
      <text>
        <t>Company items (2014): ICRA Gain 102.8</t>
      </text>
    </comment>
    <comment ref="AD176" authorId="0" shapeId="0">
      <text>
        <t>Company items (Q1-17): CCXI Gain 59.7</t>
      </text>
    </comment>
    <comment ref="AE176" authorId="0" shapeId="0">
      <text>
        <t>Company items (Q2-17): Purchase Price Hedge Gain 41.2</t>
      </text>
    </comment>
    <comment ref="AF176" authorId="0" shapeId="0">
      <text>
        <t>Company items (Q3-17): Purchase price hedge gain 69.9</t>
      </text>
    </comment>
    <comment ref="AH176" authorId="0" shapeId="0">
      <text>
        <t>Company items (2017): Purchase Price Hedge Gain 111.1; CCXI Gain 59.7</t>
      </text>
    </comment>
    <comment ref="BF176" authorId="0" shapeId="0">
      <text>
        <t>Company items (Q4-22): Gain on extinguishment of debt 70.0</t>
      </text>
    </comment>
    <comment ref="BG176" authorId="0" shapeId="0">
      <text>
        <t>Company items (2022): Gain on extinguishment of debt 70.0</t>
      </text>
    </comment>
    <comment ref="BU176" authorId="0" shapeId="0">
      <text>
        <t>Company items (Q4-25): Gain on divestiture of business 23.0</t>
      </text>
    </comment>
    <comment ref="BV176" authorId="0" shapeId="0">
      <text>
        <t>Company items (2025): Gain on divestiture of business 23.0</t>
      </text>
    </comment>
    <comment ref="BX176" authorId="0" shapeId="0">
      <text>
        <t>Company items (Q2-26): Gain on business divestitures 181.0</t>
      </text>
    </comment>
    <comment ref="B188" authorId="0" shapeId="0">
      <text>
        <t>Source: Moody's earnings releases (Form 8-K Item 2.02, Ex. 99.1) — statements of operations (weighted average shares). No stock splits since 2005.</t>
      </text>
    </comment>
    <comment ref="AB192" authorId="0" shapeId="0">
      <text>
        <t>Q4-16 diluted EPS (2.22) as printed in the Q4-16 release; the 10-K and later filings show (2.25) (dilutive shares excluded in a loss quarter).</t>
      </text>
    </comment>
    <comment ref="C202" authorId="0" shapeId="0">
      <text>
        <t>Company measure in force: non-GAAP operating income 1,176.0 (items: Gain on sale of 99 Church Street -160.6; Stock-based compensation expense (SFAS No. 123R) 77.1) — before D&amp;A, so not comparable; the model applies the current definition (operating income + D&amp;A + restructuring + IS-face other operating items).</t>
      </text>
    </comment>
    <comment ref="D202" authorId="0" shapeId="0">
      <text>
        <t>Company measure in force: non-GAAP operating income 1,181.0 (items: Restructuring charge 50.0) — before D&amp;A, so not comparable; the model applies the current definition (operating income + D&amp;A + restructuring + IS-face other operating items).</t>
      </text>
    </comment>
    <comment ref="E202" authorId="0" shapeId="0">
      <text>
        <t>Company measure in force: non-GAAP operating income 745.7 (items: Adjustments made in 2008 relating to the 2007 restructuring charge -2.5) — before D&amp;A, so not comparable; the model applies the current definition (operating income + D&amp;A + restructuring + IS-face other operating items).</t>
      </text>
    </comment>
    <comment ref="F202" authorId="0" shapeId="0">
      <text>
        <t>Company measure in force: non-GAAP operating income 705.0 (items: Restructuring (adjustments relating to the 2007 restructuring charge and the 2009 restructuring plan) 17.5) — before D&amp;A, so not comparable; the model applies the current definition (operating income + D&amp;A + restructuring + IS-face other operating items).</t>
      </text>
    </comment>
    <comment ref="B204" authorId="0" shapeId="0">
      <text>
        <t>Source: Moody's earnings releases (Form 8-K Item 2.02, Ex. 99.1) — "Adjusted Operating Income and Adjusted Operating Margin" table (from Q3-12; FY2012+).</t>
      </text>
    </comment>
    <comment ref="I206" authorId="0" shapeId="0">
      <text>
        <t>First published in the Q3-12 release; FY2010–11 figures appeared only later as comparatives (839.2 / 967.6).</t>
      </text>
    </comment>
    <comment ref="C232" authorId="0" shapeId="0">
      <text>
        <t>Company items (2006): Gain on sale of 99 Church Street -160.6; Stock-based compensation expense (SFAS No. 123R) 77.1</t>
      </text>
    </comment>
    <comment ref="N232" authorId="0" shapeId="0">
      <text>
        <t>Company items (2013): Impact of litigation settlement $0.14/sh</t>
      </text>
    </comment>
    <comment ref="AE232" authorId="0" shapeId="0">
      <text>
        <t>Company items (Q2-17): Acquisition-Related Expenses 6.6</t>
      </text>
    </comment>
    <comment ref="AF232" authorId="0" shapeId="0">
      <text>
        <t>Company items (Q3-17): Acquisition-Related Expenses 10.1</t>
      </text>
    </comment>
    <comment ref="AG232" authorId="0" shapeId="0">
      <text>
        <t>Company items (Q4-17): Net Acquisition-Related Expenses $0.02/sh</t>
      </text>
    </comment>
    <comment ref="AI232" authorId="0" shapeId="0">
      <text>
        <t>Company items (Q1-18): Acquisition-Related Expenses 0.8</t>
      </text>
    </comment>
    <comment ref="AJ232" authorId="0" shapeId="0">
      <text>
        <t>Company items (Q2-18): Acquisition-Related Expenses 2.0</t>
      </text>
    </comment>
    <comment ref="AK232" authorId="0" shapeId="0">
      <text>
        <t>Company items (Q3-18): Acquisition-Related Expenses 1.3</t>
      </text>
    </comment>
    <comment ref="AL232" authorId="0" shapeId="0">
      <text>
        <t>Company items (Q4-18): Acquisition-Related Expenses 4.2</t>
      </text>
    </comment>
    <comment ref="AM232" authorId="0" shapeId="0">
      <text>
        <t>Company items (2018): Acquisition-Related Expenses 8.3</t>
      </text>
    </comment>
    <comment ref="AN232" authorId="0" shapeId="0">
      <text>
        <t>Company items (Q1-19): Acquisition-Related Expenses 1.4</t>
      </text>
    </comment>
    <comment ref="AO232" authorId="0" shapeId="0">
      <text>
        <t>Company items (Q2-19): Acquisition-Related Expenses 2.0</t>
      </text>
    </comment>
    <comment ref="AP232" authorId="0" shapeId="0">
      <text>
        <t>Company items (Q3-19): captive insurance company settlement 15.5</t>
      </text>
    </comment>
    <comment ref="AR232" authorId="0" shapeId="0">
      <text>
        <t>Company items (2019): Acquisition-Related Expenses 3.0; captive insurance company settlement 16.0</t>
      </text>
    </comment>
    <comment ref="BN232" authorId="0" shapeId="0">
      <text>
        <t>Company items (Q2-24): Charges related to asset abandonment 15.0</t>
      </text>
    </comment>
    <comment ref="BO232" authorId="0" shapeId="0">
      <text>
        <t>Company items (Q3-24): Charges related to asset abandonment 15.0</t>
      </text>
    </comment>
    <comment ref="BP232" authorId="0" shapeId="0">
      <text>
        <t>Company items (Q4-24): Charges related to asset abandonment 13.0</t>
      </text>
    </comment>
    <comment ref="BQ232" authorId="0" shapeId="0">
      <text>
        <t>Company items (2024): Charges related to asset abandonment 43.0</t>
      </text>
    </comment>
    <comment ref="BR232" authorId="0" shapeId="0">
      <text>
        <t>Company items (Q1-25): Charges related to asset abandonment 2.0</t>
      </text>
    </comment>
    <comment ref="BS232" authorId="0" shapeId="0">
      <text>
        <t>Company items (Q2-25): Charges related to asset abandonment 1.0</t>
      </text>
    </comment>
    <comment ref="BT232" authorId="0" shapeId="0">
      <text>
        <t>Company items (Q3-25): Charges related to asset abandonment 1.0</t>
      </text>
    </comment>
    <comment ref="BU232" authorId="0" shapeId="0">
      <text>
        <t>Company items (Q4-25): Charges related to asset abandonment -1.0</t>
      </text>
    </comment>
    <comment ref="BV232" authorId="0" shapeId="0">
      <text>
        <t>Company items (2025): Charges related to asset abandonment 3.0</t>
      </text>
    </comment>
    <comment ref="BW232" authorId="0" shapeId="0">
      <text>
        <t>Company items (Q1-26): Reserve for international non-income tax obligation and related interest and penalties 53.0</t>
      </text>
    </comment>
    <comment ref="BX232" authorId="0" shapeId="0">
      <text>
        <t>Company items (Q2-26): Reserve for international non-income tax obligation and related interest and penalties -1.0; Duplicate rent 2.0</t>
      </text>
    </comment>
    <comment ref="P233" authorId="0" shapeId="0">
      <text>
        <t>Company items (Q2-14): ICRA Gain -102.8</t>
      </text>
    </comment>
    <comment ref="S233" authorId="0" shapeId="0">
      <text>
        <t>Company items (2014): ICRA Gain -102.8</t>
      </text>
    </comment>
    <comment ref="AB233" authorId="0" shapeId="0">
      <text>
        <t>Company items (Q4-16): FX gain on subsidiary liquidation -34.8</t>
      </text>
    </comment>
    <comment ref="AC233" authorId="0" shapeId="0">
      <text>
        <t>Company items (2016): FX gain on subsidiary liquidation -34.8</t>
      </text>
    </comment>
    <comment ref="AD233" authorId="0" shapeId="0">
      <text>
        <t>Company items (Q1-17): CCXI Gain -59.7</t>
      </text>
    </comment>
    <comment ref="AH233" authorId="0" shapeId="0">
      <text>
        <t>Company items (2017): CCXI Gain -59.7</t>
      </text>
    </comment>
    <comment ref="AO233" authorId="0" shapeId="0">
      <text>
        <t>Company items (Q2-19): Impairment pursuant to the planned divestiture of MAKS 8.7</t>
      </text>
    </comment>
    <comment ref="AP233" authorId="0" shapeId="0">
      <text>
        <t>Company items (Q3-19): Impairment pursuant to the planned divestiture of MAKS 2.0</t>
      </text>
    </comment>
    <comment ref="AQ233" authorId="0" shapeId="0">
      <text>
        <t>Company items (Q4-19): Loss pursuant to the divestiture of MAKS 3.0</t>
      </text>
    </comment>
    <comment ref="AR233" authorId="0" shapeId="0">
      <text>
        <t>Company items (2019): Loss pursuant to the divestiture of MAKS 14.0</t>
      </text>
    </comment>
    <comment ref="AS233" authorId="0" shapeId="0">
      <text>
        <t>Company items (Q1-20): Loss pursuant to the divestiture of MAKS 9.0</t>
      </text>
    </comment>
    <comment ref="AW233" authorId="0" shapeId="0">
      <text>
        <t>Company items (2020): Loss pursuant to the divestiture of MAKS 9.0</t>
      </text>
    </comment>
    <comment ref="BA233" authorId="0" shapeId="0">
      <text>
        <t>Company items (Q4-21): Non-cash gain relating to minority investment in BitSight -36.0</t>
      </text>
    </comment>
    <comment ref="BB233" authorId="0" shapeId="0">
      <text>
        <t>Company items (2021): Non-cash gain relating to minority investment in BitSight -36.0</t>
      </text>
    </comment>
    <comment ref="BD233" authorId="0" shapeId="0">
      <text>
        <t>Company items (Q2-22): FX losses resulting from the Company no longer conducting commercial operations in Russia 20.0</t>
      </text>
    </comment>
    <comment ref="BF233" authorId="0" shapeId="0">
      <text>
        <t>Company items (Q4-22): Pre-tax gain on extinguishment of debt -70.0</t>
      </text>
    </comment>
    <comment ref="BG233" authorId="0" shapeId="0">
      <text>
        <t>Company items (2022): Pre-tax gain on extinguishment of debt -70.0; FX losses resulting from the Company no longer conducting commercial operations in Russia 20.0</t>
      </text>
    </comment>
    <comment ref="BO233" authorId="0" shapeId="0">
      <text>
        <t>Company items (Q3-24): Gain on previously held equity method investments -7.0</t>
      </text>
    </comment>
    <comment ref="BQ233" authorId="0" shapeId="0">
      <text>
        <t>Company items (2024): Gain on previously held equity method investments -7.0</t>
      </text>
    </comment>
    <comment ref="BU233" authorId="0" shapeId="0">
      <text>
        <t>Company items (Q4-25): Gain on divestiture of business and related costs -21.0</t>
      </text>
    </comment>
    <comment ref="BV233" authorId="0" shapeId="0">
      <text>
        <t>Company items (2025): Gain on divestiture of business and related costs -21.0</t>
      </text>
    </comment>
    <comment ref="BX233" authorId="0" shapeId="0">
      <text>
        <t>Company items (Q2-26): Gain on divestiture of MA Regulatory Solutions -179.0; Gain on divestiture of MA Learning Solutions -2.0</t>
      </text>
    </comment>
    <comment ref="I236" authorId="0" shapeId="0">
      <text>
        <t>Adjusted net income not published; derived as published adjusted EPS × diluted shares.</t>
      </text>
    </comment>
    <comment ref="L236" authorId="0" shapeId="0">
      <text>
        <t>Adjusted net income not published; derived as published adjusted EPS × diluted shares.</t>
      </text>
    </comment>
    <comment ref="M236" authorId="0" shapeId="0">
      <text>
        <t>Adjusted net income not published; derived as published adjusted EPS × diluted shares.</t>
      </text>
    </comment>
    <comment ref="N236" authorId="0" shapeId="0">
      <text>
        <t>Adjusted net income not published; derived as published adjusted EPS × diluted shares.</t>
      </text>
    </comment>
    <comment ref="O236" authorId="0" shapeId="0">
      <text>
        <t>Adjusted net income not published; derived as published adjusted EPS × diluted shares.</t>
      </text>
    </comment>
    <comment ref="P236" authorId="0" shapeId="0">
      <text>
        <t>Adjusted net income not published; derived as published adjusted EPS × diluted shares.</t>
      </text>
    </comment>
    <comment ref="Q236" authorId="0" shapeId="0">
      <text>
        <t>Adjusted net income not published; derived as published adjusted EPS × diluted shares.</t>
      </text>
    </comment>
    <comment ref="R236" authorId="0" shapeId="0">
      <text>
        <t>Adjusted net income not published; derived as published adjusted EPS × diluted shares.</t>
      </text>
    </comment>
    <comment ref="S236" authorId="0" shapeId="0">
      <text>
        <t>Adjusted net income not published; derived as published adjusted EPS × diluted shares.</t>
      </text>
    </comment>
    <comment ref="U236" authorId="0" shapeId="0">
      <text>
        <t>Adjusted net income not published; derived as published adjusted EPS × diluted shares.</t>
      </text>
    </comment>
    <comment ref="V236" authorId="0" shapeId="0">
      <text>
        <t>Adjusted net income not published; derived as published adjusted EPS × diluted shares.</t>
      </text>
    </comment>
    <comment ref="X236" authorId="0" shapeId="0">
      <text>
        <t>Adjusted net income not published; derived as published adjusted EPS × diluted shares.</t>
      </text>
    </comment>
    <comment ref="AA236" authorId="0" shapeId="0">
      <text>
        <t>Adjusted net income not published; derived as published adjusted EPS × diluted shares.</t>
      </text>
    </comment>
    <comment ref="B239" authorId="0" shapeId="0">
      <text>
        <t>Source: Moody's earnings releases (Form 8-K Item 2.02, Ex. 99.1) — non-GAAP / adjusted diluted EPS reconciliation (published when the company had adjusting items; definition in force per period — see the definition row).</t>
      </text>
    </comment>
    <comment ref="B262" authorId="0" shapeId="0">
      <text>
        <t>Source: 10-Q / 10-K cash-flow statements (year to date; discrete quarters derived, Q4 = FY − 9M).</t>
      </text>
    </comment>
    <comment ref="AO281" authorId="0" shapeId="0">
      <text>
        <t>Includes −$8.0m "reclassification of cash to assets held for sale" (MAKS).</t>
      </text>
    </comment>
    <comment ref="AP281" authorId="0" shapeId="0">
      <text>
        <t>Includes −$11.1m reclassification of cash to assets held for sale (MAKS).</t>
      </text>
    </comment>
    <comment ref="B312" authorId="0" shapeId="0">
      <text>
        <t>Source: 10-Q / 10-K balance sheets (period ends); shares outstanding from the release ("actual number of shares outstanding") or the 10-Q / 10-K.</t>
      </text>
    </comment>
    <comment ref="B353" authorId="0" shapeId="0">
      <text>
        <t>Source: 10-K acquisition notes (final allocations): Bureau van Dijk (Aug-2017), Reis (Oct-2018), RDC (Feb-2020), Catylist / ZM / Acquire Media (Q4-20), Cortera (Mar-2021), RMS (Sep-2021), PassFort (Nov-2021). Consideration and current assets shown net of cash acquired. Other deals (CAPE Analytics, GCR, Praedicat, Numerated, ICR Chile, Fintellix, MERIS, kompany) were described as not material; no allocation published.</t>
      </text>
    </comment>
    <comment ref="B368" authorId="0" shapeId="0">
      <text>
        <t>Source: 10-Q / 10-K balance sheets; Q2-26 10-Q Note 13 (indebtedness; 14 senior notes, $7,128m principal) and FY2025 10-K Note 16 (CP programme, 2024 credit facility).</t>
      </text>
    </comment>
  </commentList>
</comments>
</file>

<file path=xl/comments/comment2.xml><?xml version="1.0" encoding="utf-8"?>
<comments xmlns="http://schemas.openxmlformats.org/spreadsheetml/2006/main">
  <authors>
    <author>MCO model</author>
  </authors>
  <commentList>
    <comment ref="N26" authorId="0" shapeId="0">
      <text>
        <t>P/E on adjusted diluted EPS (company definition: excludes acquired-intangible amortization, restructuring and other items). MCO at $470 trades at ~28x FY2026E adjusted EPS (~$16.75 guidance mid-point). Exit multiples are assumptions: Base 31x, Bull 35x, Bear 24x applied to 2028E–30E (assumptions; the 2028E column was added to the Base and Bull panels).</t>
      </text>
    </comment>
    <comment ref="P40" authorId="0" shapeId="0">
      <text>
        <t>Snapshot (values) of Model rows 302, 301 and 303 (Share Buyback Schedule) with Model!CF2 = Bull / Bear. Base panel (D40:H42) is live-linked.</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twoCellAnchor editAs="oneCell">
    <from>
      <col>1</col>
      <colOff>0</colOff>
      <row>22</row>
      <rowOff>160560</rowOff>
    </from>
    <to>
      <col>12</col>
      <colOff>543600</colOff>
      <row>37</row>
      <rowOff>2160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43</row>
      <rowOff>160560</rowOff>
    </from>
    <to>
      <col>12</col>
      <colOff>543600</colOff>
      <row>58</row>
      <rowOff>1800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64</row>
      <rowOff>160560</rowOff>
    </from>
    <to>
      <col>12</col>
      <colOff>543600</colOff>
      <row>79</row>
      <rowOff>2160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CR437"/>
  <sheetViews>
    <sheetView showGridLines="0" tabSelected="1" zoomScale="70" zoomScaleNormal="70" workbookViewId="0">
      <pane xSplit="2" ySplit="7" topLeftCell="C8" activePane="bottomRight" state="frozen"/>
      <selection pane="topRight" activeCell="A1" sqref="A1"/>
      <selection pane="bottomLeft" activeCell="A1" sqref="A1"/>
      <selection pane="bottomRight" activeCell="C1" sqref="C1"/>
      <selection pane="bottomLeft" activeCell="A8" sqref="A8"/>
      <selection pane="bottomRight" activeCell="CA164" sqref="CA164"/>
    </sheetView>
  </sheetViews>
  <sheetFormatPr baseColWidth="8" defaultColWidth="8.5703125" defaultRowHeight="15" outlineLevelRow="2"/>
  <cols>
    <col width="2.42578125" customWidth="1" style="251" min="1" max="1"/>
    <col width="62" customWidth="1" style="251" min="2" max="2"/>
    <col width="13" customWidth="1" style="251" min="3" max="3"/>
    <col width="13" customWidth="1" style="251" min="4" max="4"/>
    <col width="13" customWidth="1" style="251" min="5" max="5"/>
    <col width="13" customWidth="1" style="251" min="6" max="6"/>
    <col width="13" customWidth="1" style="251" min="7" max="7"/>
    <col width="13" customWidth="1" style="251" min="8" max="8"/>
    <col width="13" customWidth="1" style="251" min="9" max="9"/>
    <col hidden="1" outlineLevel="1" width="9.5703125" customWidth="1" style="251" min="10" max="10"/>
    <col hidden="1" outlineLevel="1" width="9.5703125" customWidth="1" style="251" min="11" max="11"/>
    <col hidden="1" outlineLevel="1" width="9.5703125" customWidth="1" style="251" min="12" max="12"/>
    <col hidden="1" outlineLevel="1" width="9.5703125" customWidth="1" style="251" min="13" max="13"/>
    <col width="13" customWidth="1" style="251" min="14" max="14"/>
    <col hidden="1" outlineLevel="1" width="9.5703125" customWidth="1" style="251" min="15" max="15"/>
    <col hidden="1" outlineLevel="1" width="9.5703125" customWidth="1" style="251" min="16" max="16"/>
    <col hidden="1" outlineLevel="1" width="9.5703125" customWidth="1" style="251" min="17" max="17"/>
    <col hidden="1" outlineLevel="1" width="9.5703125" customWidth="1" style="251" min="18" max="18"/>
    <col width="13" customWidth="1" style="251" min="19" max="19"/>
    <col hidden="1" outlineLevel="1" width="9.5703125" customWidth="1" style="251" min="20" max="20"/>
    <col hidden="1" outlineLevel="1" width="9.5703125" customWidth="1" style="251" min="21" max="21"/>
    <col hidden="1" outlineLevel="1" width="9.5703125" customWidth="1" style="251" min="22" max="22"/>
    <col hidden="1" outlineLevel="1" width="9.5703125" customWidth="1" style="251" min="23" max="23"/>
    <col width="13" customWidth="1" style="251" min="24" max="24"/>
    <col hidden="1" outlineLevel="1" width="9.5703125" customWidth="1" style="251" min="25" max="25"/>
    <col hidden="1" outlineLevel="1" width="9.5703125" customWidth="1" style="251" min="26" max="26"/>
    <col hidden="1" outlineLevel="1" width="9.5703125" customWidth="1" style="251" min="27" max="27"/>
    <col hidden="1" outlineLevel="1" width="9.5703125" customWidth="1" style="251" min="28" max="28"/>
    <col width="13" customWidth="1" style="251" min="29" max="29"/>
    <col hidden="1" outlineLevel="1" width="9.5703125" customWidth="1" style="251" min="30" max="30"/>
    <col hidden="1" outlineLevel="1" width="9.5703125" customWidth="1" style="251" min="31" max="31"/>
    <col hidden="1" outlineLevel="1" width="9.5703125" customWidth="1" style="251" min="32" max="32"/>
    <col hidden="1" outlineLevel="1" width="9.5703125" customWidth="1" style="251" min="33" max="33"/>
    <col width="13" customWidth="1" style="251" min="34" max="34"/>
    <col hidden="1" outlineLevel="1" width="9.5703125" customWidth="1" style="251" min="35" max="35"/>
    <col hidden="1" outlineLevel="1" width="9.5703125" customWidth="1" style="251" min="36" max="36"/>
    <col hidden="1" outlineLevel="1" width="9.5703125" customWidth="1" style="251" min="37" max="37"/>
    <col hidden="1" outlineLevel="1" width="9.5703125" customWidth="1" style="251" min="38" max="38"/>
    <col width="13" customWidth="1" style="251" min="39" max="39"/>
    <col hidden="1" outlineLevel="1" width="9.5703125" customWidth="1" style="251" min="40" max="40"/>
    <col hidden="1" outlineLevel="1" width="9.5703125" customWidth="1" style="251" min="41" max="41"/>
    <col hidden="1" outlineLevel="1" width="9.5703125" customWidth="1" style="251" min="42" max="42"/>
    <col hidden="1" outlineLevel="1" width="9.5703125" customWidth="1" style="251" min="43" max="43"/>
    <col width="13" customWidth="1" style="251" min="44" max="44"/>
    <col hidden="1" outlineLevel="1" width="9.5703125" customWidth="1" style="251" min="45" max="45"/>
    <col hidden="1" outlineLevel="1" width="9.5703125" customWidth="1" style="251" min="46" max="46"/>
    <col hidden="1" outlineLevel="1" width="9.5703125" customWidth="1" style="251" min="47" max="47"/>
    <col hidden="1" outlineLevel="1" width="9.5703125" customWidth="1" style="251" min="48" max="48"/>
    <col width="13" customWidth="1" style="251" min="49" max="49"/>
    <col hidden="1" outlineLevel="1" width="9.5703125" customWidth="1" style="251" min="50" max="50"/>
    <col hidden="1" outlineLevel="1" width="9.5703125" customWidth="1" style="251" min="51" max="51"/>
    <col hidden="1" outlineLevel="1" width="9.5703125" customWidth="1" style="251" min="52" max="52"/>
    <col hidden="1" outlineLevel="1" width="9.5703125" customWidth="1" style="251" min="53" max="53"/>
    <col width="13" customWidth="1" style="251" min="54" max="54"/>
    <col hidden="1" outlineLevel="1" width="9.5703125" customWidth="1" style="251" min="55" max="55"/>
    <col hidden="1" outlineLevel="1" width="9.5703125" customWidth="1" style="251" min="56" max="56"/>
    <col hidden="1" outlineLevel="1" width="9.5703125" customWidth="1" style="251" min="57" max="57"/>
    <col hidden="1" outlineLevel="1" width="9.5703125" customWidth="1" style="251" min="58" max="58"/>
    <col width="13" customWidth="1" style="251" min="59" max="59"/>
    <col hidden="1" outlineLevel="1" width="9.5703125" customWidth="1" style="251" min="60" max="60"/>
    <col hidden="1" outlineLevel="1" width="9.5703125" customWidth="1" style="251" min="61" max="61"/>
    <col hidden="1" outlineLevel="1" width="9.5703125" customWidth="1" style="251" min="62" max="62"/>
    <col hidden="1" outlineLevel="1" width="9.5703125" customWidth="1" style="251" min="63" max="63"/>
    <col width="13" customWidth="1" style="251" min="64" max="64"/>
    <col hidden="1" outlineLevel="1" width="9.5703125" customWidth="1" style="251" min="65" max="65"/>
    <col hidden="1" outlineLevel="1" width="9.5703125" customWidth="1" style="251" min="66" max="66"/>
    <col hidden="1" outlineLevel="1" width="9.5703125" customWidth="1" style="251" min="67" max="67"/>
    <col hidden="1" outlineLevel="1" width="9.5703125" customWidth="1" style="251" min="68" max="68"/>
    <col width="13" customWidth="1" style="251" min="69" max="69"/>
    <col hidden="1" outlineLevel="1" width="9.5703125" customWidth="1" style="251" min="70" max="70"/>
    <col hidden="1" outlineLevel="1" width="9.5703125" customWidth="1" style="251" min="71" max="71"/>
    <col hidden="1" outlineLevel="1" width="9.5703125" customWidth="1" style="251" min="72" max="72"/>
    <col hidden="1" outlineLevel="1" width="9.5703125" customWidth="1" style="251" min="73" max="73"/>
    <col width="13" customWidth="1" style="251" min="74" max="74"/>
    <col hidden="1" outlineLevel="1" width="9.5703125" customWidth="1" style="251" min="75" max="75"/>
    <col hidden="1" outlineLevel="1" width="9.5703125" customWidth="1" style="251" min="76" max="76"/>
    <col hidden="1" outlineLevel="1" width="11.42578125" customWidth="1" style="251" min="77" max="77"/>
    <col hidden="1" outlineLevel="1" width="11.42578125" customWidth="1" style="251" min="78" max="78"/>
    <col width="14.140625" customWidth="1" style="251" min="79" max="79"/>
    <col width="13" customWidth="1" style="251" min="80" max="80"/>
    <col width="13" customWidth="1" style="251" min="81" max="81"/>
    <col width="13" customWidth="1" style="251" min="82" max="82"/>
    <col width="13" customWidth="1" style="251" min="83" max="83"/>
    <col width="86.85546875" customWidth="1" style="251" min="84" max="84"/>
    <col width="2" customWidth="1" style="251" min="85" max="85"/>
    <col width="14.140625" customWidth="1" style="251" min="86" max="86"/>
    <col width="12.42578125" customWidth="1" style="251" min="87" max="87"/>
    <col width="13.42578125" customWidth="1" style="251" min="88" max="88"/>
    <col width="13" customWidth="1" style="251" min="89" max="89"/>
    <col width="2" customWidth="1" style="251" min="90" max="90"/>
    <col width="6" customWidth="1" style="251" min="91" max="91"/>
    <col width="46" customWidth="1" style="251" min="92" max="92"/>
    <col width="11.5703125" customWidth="1" style="251" min="93" max="93"/>
    <col width="13" customWidth="1" style="251" min="94" max="94"/>
    <col width="13" customWidth="1" style="251" min="95" max="95"/>
    <col width="60" customWidth="1" style="251" min="96" max="96"/>
  </cols>
  <sheetData>
    <row r="1" ht="15" customHeight="1" s="251">
      <c r="CF1" s="1" t="inlineStr">
        <is>
          <t>SCENARIO SWITCH ▼ (Bull / Base / Bear) — drives all scenario-linked forecast drivers</t>
        </is>
      </c>
    </row>
    <row r="2" ht="21" customHeight="1" s="251">
      <c r="B2" s="2" t="inlineStr">
        <is>
          <t>Moody's Corporation (NYSE: MCO) — 3-Statement Financial Model</t>
        </is>
      </c>
      <c r="CF2" s="3" t="inlineStr">
        <is>
          <t>Base</t>
        </is>
      </c>
    </row>
    <row r="3" ht="15" customHeight="1" s="251">
      <c r="B3" s="4" t="inlineStr">
        <is>
          <t>US GAAP as reported · USD millions (per-share data in USD; shares in millions) · Calendar fiscal year · Source: Moody's Forms 10-K / 10-Q, Form 8-K earnings releases (Ex. 99.1), SEC EDGAR (CIK 1059556); XBRL company facts; investor-relations releases (ir.moodys.com) are the same documents as filed on EDGAR</t>
        </is>
      </c>
    </row>
    <row r="4" ht="15" customHeight="1" s="251">
      <c r="B4" s="5" t="inlineStr">
        <is>
          <t>Basis notes: as originally reported (10-K over the Q4 release for annual columns). Segments: MIS (ratings) and MA (analytics) since the Jan-2008 reorganisation (2006–07 revenue lines on the 2008 basis). MA lines on the current structure from 2021 (restated comparatives). Acquisitions: BvD Aug-17, Reis Oct-18, RDC Feb-20, RMS Sep-21; divestitures: MAKS Nov-19, Learning Solutions Q4-25, Regulatory Solutions Q2-26. Q3/Q4-26E calibrated to the FY26 guidance (22-Jul-2026). Share price $470.00 (user, 12-Oct-2026).</t>
        </is>
      </c>
    </row>
    <row r="5" ht="15" customHeight="1" s="251">
      <c r="BY5" s="153" t="n"/>
      <c r="BZ5" s="153" t="n"/>
      <c r="CA5" s="153" t="n"/>
      <c r="CB5" s="153" t="n"/>
      <c r="CC5" s="153" t="n"/>
      <c r="CD5" s="153" t="n"/>
      <c r="CE5" s="153" t="n"/>
      <c r="CH5" s="6" t="inlineStr">
        <is>
          <t>Forecast</t>
        </is>
      </c>
      <c r="CI5" s="6" t="inlineStr">
        <is>
          <t>Historical</t>
        </is>
      </c>
      <c r="CJ5" s="6" t="inlineStr">
        <is>
          <t>Historical</t>
        </is>
      </c>
      <c r="CK5" s="6" t="inlineStr">
        <is>
          <t>Historical</t>
        </is>
      </c>
    </row>
    <row r="6" ht="15" customHeight="1" s="251">
      <c r="B6" s="7" t="inlineStr">
        <is>
          <t>(USDm)</t>
        </is>
      </c>
      <c r="C6" s="8" t="n">
        <v>2006</v>
      </c>
      <c r="D6" s="8" t="n">
        <v>2007</v>
      </c>
      <c r="E6" s="8" t="n">
        <v>2008</v>
      </c>
      <c r="F6" s="8" t="n">
        <v>2009</v>
      </c>
      <c r="G6" s="8" t="n">
        <v>2010</v>
      </c>
      <c r="H6" s="8" t="n">
        <v>2011</v>
      </c>
      <c r="I6" s="8" t="n">
        <v>2012</v>
      </c>
      <c r="J6" s="8" t="inlineStr">
        <is>
          <t>Q1/13</t>
        </is>
      </c>
      <c r="K6" s="8" t="inlineStr">
        <is>
          <t>Q2/13</t>
        </is>
      </c>
      <c r="L6" s="8" t="inlineStr">
        <is>
          <t>Q3/13</t>
        </is>
      </c>
      <c r="M6" s="8" t="inlineStr">
        <is>
          <t>Q4/13</t>
        </is>
      </c>
      <c r="N6" s="8" t="n">
        <v>2013</v>
      </c>
      <c r="O6" s="8" t="inlineStr">
        <is>
          <t>Q1/14</t>
        </is>
      </c>
      <c r="P6" s="8" t="inlineStr">
        <is>
          <t>Q2/14</t>
        </is>
      </c>
      <c r="Q6" s="8" t="inlineStr">
        <is>
          <t>Q3/14</t>
        </is>
      </c>
      <c r="R6" s="8" t="inlineStr">
        <is>
          <t>Q4/14</t>
        </is>
      </c>
      <c r="S6" s="8" t="n">
        <v>2014</v>
      </c>
      <c r="T6" s="8" t="inlineStr">
        <is>
          <t>Q1/15</t>
        </is>
      </c>
      <c r="U6" s="8" t="inlineStr">
        <is>
          <t>Q2/15</t>
        </is>
      </c>
      <c r="V6" s="8" t="inlineStr">
        <is>
          <t>Q3/15</t>
        </is>
      </c>
      <c r="W6" s="8" t="inlineStr">
        <is>
          <t>Q4/15</t>
        </is>
      </c>
      <c r="X6" s="8" t="n">
        <v>2015</v>
      </c>
      <c r="Y6" s="8" t="inlineStr">
        <is>
          <t>Q1/16</t>
        </is>
      </c>
      <c r="Z6" s="8" t="inlineStr">
        <is>
          <t>Q2/16</t>
        </is>
      </c>
      <c r="AA6" s="8" t="inlineStr">
        <is>
          <t>Q3/16</t>
        </is>
      </c>
      <c r="AB6" s="8" t="inlineStr">
        <is>
          <t>Q4/16</t>
        </is>
      </c>
      <c r="AC6" s="8" t="n">
        <v>2016</v>
      </c>
      <c r="AD6" s="8" t="inlineStr">
        <is>
          <t>Q1/17</t>
        </is>
      </c>
      <c r="AE6" s="8" t="inlineStr">
        <is>
          <t>Q2/17</t>
        </is>
      </c>
      <c r="AF6" s="8" t="inlineStr">
        <is>
          <t>Q3/17</t>
        </is>
      </c>
      <c r="AG6" s="8" t="inlineStr">
        <is>
          <t>Q4/17</t>
        </is>
      </c>
      <c r="AH6" s="8" t="n">
        <v>2017</v>
      </c>
      <c r="AI6" s="8" t="inlineStr">
        <is>
          <t>Q1/18</t>
        </is>
      </c>
      <c r="AJ6" s="8" t="inlineStr">
        <is>
          <t>Q2/18</t>
        </is>
      </c>
      <c r="AK6" s="8" t="inlineStr">
        <is>
          <t>Q3/18</t>
        </is>
      </c>
      <c r="AL6" s="8" t="inlineStr">
        <is>
          <t>Q4/18</t>
        </is>
      </c>
      <c r="AM6" s="8" t="n">
        <v>2018</v>
      </c>
      <c r="AN6" s="8" t="inlineStr">
        <is>
          <t>Q1/19</t>
        </is>
      </c>
      <c r="AO6" s="8" t="inlineStr">
        <is>
          <t>Q2/19</t>
        </is>
      </c>
      <c r="AP6" s="8" t="inlineStr">
        <is>
          <t>Q3/19</t>
        </is>
      </c>
      <c r="AQ6" s="8" t="inlineStr">
        <is>
          <t>Q4/19</t>
        </is>
      </c>
      <c r="AR6" s="8" t="n">
        <v>2019</v>
      </c>
      <c r="AS6" s="8" t="inlineStr">
        <is>
          <t>Q1/20</t>
        </is>
      </c>
      <c r="AT6" s="8" t="inlineStr">
        <is>
          <t>Q2/20</t>
        </is>
      </c>
      <c r="AU6" s="8" t="inlineStr">
        <is>
          <t>Q3/20</t>
        </is>
      </c>
      <c r="AV6" s="8" t="inlineStr">
        <is>
          <t>Q4/20</t>
        </is>
      </c>
      <c r="AW6" s="8" t="n">
        <v>2020</v>
      </c>
      <c r="AX6" s="8" t="inlineStr">
        <is>
          <t>Q1/21</t>
        </is>
      </c>
      <c r="AY6" s="8" t="inlineStr">
        <is>
          <t>Q2/21</t>
        </is>
      </c>
      <c r="AZ6" s="8" t="inlineStr">
        <is>
          <t>Q3/21</t>
        </is>
      </c>
      <c r="BA6" s="8" t="inlineStr">
        <is>
          <t>Q4/21</t>
        </is>
      </c>
      <c r="BB6" s="8" t="n">
        <v>2021</v>
      </c>
      <c r="BC6" s="8" t="inlineStr">
        <is>
          <t>Q1/22</t>
        </is>
      </c>
      <c r="BD6" s="8" t="inlineStr">
        <is>
          <t>Q2/22</t>
        </is>
      </c>
      <c r="BE6" s="8" t="inlineStr">
        <is>
          <t>Q3/22</t>
        </is>
      </c>
      <c r="BF6" s="8" t="inlineStr">
        <is>
          <t>Q4/22</t>
        </is>
      </c>
      <c r="BG6" s="8" t="n">
        <v>2022</v>
      </c>
      <c r="BH6" s="8" t="inlineStr">
        <is>
          <t>Q1/23</t>
        </is>
      </c>
      <c r="BI6" s="8" t="inlineStr">
        <is>
          <t>Q2/23</t>
        </is>
      </c>
      <c r="BJ6" s="8" t="inlineStr">
        <is>
          <t>Q3/23</t>
        </is>
      </c>
      <c r="BK6" s="8" t="inlineStr">
        <is>
          <t>Q4/23</t>
        </is>
      </c>
      <c r="BL6" s="8" t="n">
        <v>2023</v>
      </c>
      <c r="BM6" s="8" t="inlineStr">
        <is>
          <t>Q1/24</t>
        </is>
      </c>
      <c r="BN6" s="8" t="inlineStr">
        <is>
          <t>Q2/24</t>
        </is>
      </c>
      <c r="BO6" s="8" t="inlineStr">
        <is>
          <t>Q3/24</t>
        </is>
      </c>
      <c r="BP6" s="8" t="inlineStr">
        <is>
          <t>Q4/24</t>
        </is>
      </c>
      <c r="BQ6" s="8" t="n">
        <v>2024</v>
      </c>
      <c r="BR6" s="8" t="inlineStr">
        <is>
          <t>Q1/25</t>
        </is>
      </c>
      <c r="BS6" s="8" t="inlineStr">
        <is>
          <t>Q2/25</t>
        </is>
      </c>
      <c r="BT6" s="8" t="inlineStr">
        <is>
          <t>Q3/25</t>
        </is>
      </c>
      <c r="BU6" s="8" t="inlineStr">
        <is>
          <t>Q4/25</t>
        </is>
      </c>
      <c r="BV6" s="8" t="n">
        <v>2025</v>
      </c>
      <c r="BW6" s="8" t="inlineStr">
        <is>
          <t>Q1/26</t>
        </is>
      </c>
      <c r="BX6" s="8" t="inlineStr">
        <is>
          <t>Q2/26</t>
        </is>
      </c>
      <c r="BY6" s="8" t="inlineStr">
        <is>
          <t>Q3/26E</t>
        </is>
      </c>
      <c r="BZ6" s="8" t="inlineStr">
        <is>
          <t>Q4/26E</t>
        </is>
      </c>
      <c r="CA6" s="8" t="inlineStr">
        <is>
          <t>2026E</t>
        </is>
      </c>
      <c r="CB6" s="8" t="inlineStr">
        <is>
          <t>2027E</t>
        </is>
      </c>
      <c r="CC6" s="8" t="inlineStr">
        <is>
          <t>2028E</t>
        </is>
      </c>
      <c r="CD6" s="8" t="inlineStr">
        <is>
          <t>2029E</t>
        </is>
      </c>
      <c r="CE6" s="8" t="inlineStr">
        <is>
          <t>2030E</t>
        </is>
      </c>
      <c r="CF6" s="8" t="inlineStr">
        <is>
          <t>Modelling Notes</t>
        </is>
      </c>
      <c r="CH6" s="6" t="inlineStr">
        <is>
          <t>5Y CAGR</t>
        </is>
      </c>
      <c r="CI6" s="6" t="inlineStr">
        <is>
          <t>5Y CAGR</t>
        </is>
      </c>
      <c r="CJ6" s="6" t="inlineStr">
        <is>
          <t>10Y CAGR</t>
        </is>
      </c>
      <c r="CK6" s="6" t="inlineStr">
        <is>
          <t>19Y CAGR</t>
        </is>
      </c>
    </row>
    <row r="7" ht="15" customHeight="1" s="251">
      <c r="CH7" s="9" t="inlineStr">
        <is>
          <t>25-'30</t>
        </is>
      </c>
      <c r="CI7" s="9" t="inlineStr">
        <is>
          <t>20-'25</t>
        </is>
      </c>
      <c r="CJ7" s="9" t="inlineStr">
        <is>
          <t>15-'25</t>
        </is>
      </c>
      <c r="CK7" s="9" t="inlineStr">
        <is>
          <t>06-'25</t>
        </is>
      </c>
    </row>
    <row r="8" ht="15" customHeight="1" s="251">
      <c r="B8" s="10" t="inlineStr">
        <is>
          <t>SEGMENT P&amp;L — MIS · MA (revenue by line of business × segment Adjusted Operating Margin)</t>
        </is>
      </c>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10" t="n"/>
      <c r="AS8" s="10" t="n"/>
      <c r="AT8" s="10" t="n"/>
      <c r="AU8" s="10" t="n"/>
      <c r="AV8" s="10" t="n"/>
      <c r="AW8" s="10" t="n"/>
      <c r="AX8" s="10" t="n"/>
      <c r="AY8" s="10" t="n"/>
      <c r="AZ8" s="10" t="n"/>
      <c r="BA8" s="10" t="n"/>
      <c r="BB8" s="10" t="n"/>
      <c r="BC8" s="10" t="n"/>
      <c r="BD8" s="10" t="n"/>
      <c r="BE8" s="10" t="n"/>
      <c r="BF8" s="10" t="n"/>
      <c r="BG8" s="10" t="n"/>
      <c r="BH8" s="10" t="n"/>
      <c r="BI8" s="10" t="n"/>
      <c r="BJ8" s="10" t="n"/>
      <c r="BK8" s="10" t="n"/>
      <c r="BL8" s="10" t="n"/>
      <c r="BM8" s="10" t="n"/>
      <c r="BN8" s="10" t="n"/>
      <c r="BO8" s="10" t="n"/>
      <c r="BP8" s="10" t="n"/>
      <c r="BQ8" s="10" t="n"/>
      <c r="BR8" s="10" t="n"/>
      <c r="BS8" s="10" t="n"/>
      <c r="BT8" s="10" t="n"/>
      <c r="BU8" s="10" t="n"/>
      <c r="BV8" s="10" t="n"/>
      <c r="BW8" s="10" t="n"/>
      <c r="BX8" s="10" t="n"/>
      <c r="BY8" s="10" t="n"/>
      <c r="BZ8" s="10" t="n"/>
      <c r="CA8" s="10" t="n"/>
      <c r="CB8" s="10" t="n"/>
      <c r="CC8" s="10" t="n"/>
      <c r="CD8" s="10" t="n"/>
      <c r="CE8" s="10" t="n"/>
      <c r="CF8" s="10" t="inlineStr">
        <is>
          <t>SEGMENT BUILD — modelling logic (revenue by line → segment external revenue + intersegment revenue → × segment Adjusted Operating Margin = segment Adjusted Operating Income → Σ = Adjusted Operating Income (company measure) → GAAP P&amp;L)</t>
        </is>
      </c>
    </row>
    <row r="9" ht="15" customHeight="1" s="251">
      <c r="CN9" s="11" t="inlineStr">
        <is>
          <t>SCENARIO INPUT TABLE — driver assumptions per Bull / Base / Bear</t>
        </is>
      </c>
      <c r="CO9" s="12" t="inlineStr">
        <is>
          <t>Bull</t>
        </is>
      </c>
      <c r="CP9" s="12" t="inlineStr">
        <is>
          <t>Base</t>
        </is>
      </c>
      <c r="CQ9" s="12" t="inlineStr">
        <is>
          <t>Bear</t>
        </is>
      </c>
      <c r="CR9" s="13" t="inlineStr">
        <is>
          <t>Bull / Bear = Base + Δ (Δ inputs on each block header). Outlook block = high / mid / low of the FY26 guidance (22-Jul-2026).</t>
        </is>
      </c>
    </row>
    <row r="10" ht="15" customHeight="1" s="251">
      <c r="B10" s="14" t="inlineStr">
        <is>
          <t>Moody's Investors Service (credit ratings; ratings revenue by line of business + MIS Other)</t>
        </is>
      </c>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c r="AH10" s="14" t="n"/>
      <c r="AI10" s="14" t="n"/>
      <c r="AJ10" s="14" t="n"/>
      <c r="AK10" s="14" t="n"/>
      <c r="AL10" s="14" t="n"/>
      <c r="AM10" s="14" t="n"/>
      <c r="AN10" s="14" t="n"/>
      <c r="AO10" s="14" t="n"/>
      <c r="AP10" s="14" t="n"/>
      <c r="AQ10" s="14" t="n"/>
      <c r="AR10" s="14" t="n"/>
      <c r="AS10" s="14" t="n"/>
      <c r="AT10" s="14" t="n"/>
      <c r="AU10" s="14" t="n"/>
      <c r="AV10" s="14" t="n"/>
      <c r="AW10" s="14" t="n"/>
      <c r="AX10" s="14" t="n"/>
      <c r="AY10" s="14" t="n"/>
      <c r="AZ10" s="14" t="n"/>
      <c r="BA10" s="14" t="n"/>
      <c r="BB10" s="14" t="n"/>
      <c r="BC10" s="14" t="n"/>
      <c r="BD10" s="14" t="n"/>
      <c r="BE10" s="14" t="n"/>
      <c r="BF10" s="14" t="n"/>
      <c r="BG10" s="14" t="n"/>
      <c r="BH10" s="14" t="n"/>
      <c r="BI10" s="14" t="n"/>
      <c r="BJ10" s="14" t="n"/>
      <c r="BK10" s="14" t="n"/>
      <c r="BL10" s="14" t="n"/>
      <c r="BM10" s="14" t="n"/>
      <c r="BN10" s="14" t="n"/>
      <c r="BO10" s="14" t="n"/>
      <c r="BP10" s="14" t="n"/>
      <c r="BQ10" s="14" t="n"/>
      <c r="BR10" s="14" t="n"/>
      <c r="BS10" s="14" t="n"/>
      <c r="BT10" s="14" t="n"/>
      <c r="BU10" s="14" t="n"/>
      <c r="BV10" s="14" t="n"/>
      <c r="BW10" s="14" t="n"/>
      <c r="BX10" s="14" t="n"/>
      <c r="BY10" s="14" t="n"/>
      <c r="BZ10" s="14" t="n"/>
      <c r="CA10" s="14" t="n"/>
      <c r="CB10" s="14" t="n"/>
      <c r="CC10" s="14" t="n"/>
      <c r="CD10" s="14" t="n"/>
      <c r="CE10" s="14" t="n"/>
      <c r="CF10" s="15" t="inlineStr">
        <is>
          <t>MIS — modelling logic</t>
        </is>
      </c>
    </row>
    <row r="11" ht="15" customHeight="1" s="251">
      <c r="B11" s="25" t="inlineStr">
        <is>
          <t xml:space="preserve">  Corporate Finance (CFG)</t>
        </is>
      </c>
      <c r="C11" s="253" t="n">
        <v>335.9</v>
      </c>
      <c r="D11" s="253" t="n">
        <v>411.5</v>
      </c>
      <c r="E11" s="253" t="n">
        <v>300.5</v>
      </c>
      <c r="F11" s="253" t="n">
        <v>408.2</v>
      </c>
      <c r="G11" s="253" t="n">
        <v>563.9</v>
      </c>
      <c r="H11" s="253" t="n">
        <v>652.1</v>
      </c>
      <c r="I11" s="253" t="n">
        <v>857.6</v>
      </c>
      <c r="J11" s="253" t="n">
        <v>258.3</v>
      </c>
      <c r="K11" s="253" t="n">
        <v>262.9</v>
      </c>
      <c r="L11" s="253" t="n">
        <v>233</v>
      </c>
      <c r="M11" s="253" t="n">
        <v>242.6</v>
      </c>
      <c r="N11" s="253" t="n">
        <v>996.8</v>
      </c>
      <c r="O11" s="253" t="n">
        <v>264.4</v>
      </c>
      <c r="P11" s="253" t="n">
        <v>320.9</v>
      </c>
      <c r="Q11" s="253" t="n">
        <v>260.7</v>
      </c>
      <c r="R11" s="253" t="n">
        <v>263.3</v>
      </c>
      <c r="S11" s="253" t="n">
        <v>1109.3</v>
      </c>
      <c r="T11" s="253" t="n">
        <v>298.7</v>
      </c>
      <c r="U11" s="253" t="n">
        <v>319.6</v>
      </c>
      <c r="V11" s="253" t="n">
        <v>248.3</v>
      </c>
      <c r="W11" s="253" t="n">
        <v>246.1</v>
      </c>
      <c r="X11" s="253" t="n">
        <v>1112.7</v>
      </c>
      <c r="Y11" s="253" t="n">
        <v>240.3</v>
      </c>
      <c r="Z11" s="253" t="n">
        <v>304.8</v>
      </c>
      <c r="AA11" s="253" t="n">
        <v>299.6</v>
      </c>
      <c r="AB11" s="253" t="n">
        <v>277.6</v>
      </c>
      <c r="AC11" s="253" t="n">
        <v>1122.3</v>
      </c>
      <c r="AD11" s="253" t="n">
        <v>352.8</v>
      </c>
      <c r="AE11" s="253" t="n">
        <v>355.8</v>
      </c>
      <c r="AF11" s="253" t="n">
        <v>350.2</v>
      </c>
      <c r="AG11" s="253" t="n">
        <v>333.9</v>
      </c>
      <c r="AH11" s="253" t="n">
        <v>1392.7</v>
      </c>
      <c r="AI11" s="253" t="n">
        <v>377.7</v>
      </c>
      <c r="AJ11" s="253" t="n">
        <v>377.6</v>
      </c>
      <c r="AK11" s="253" t="n">
        <v>296.1</v>
      </c>
      <c r="AL11" s="253" t="n">
        <v>282.7</v>
      </c>
      <c r="AM11" s="253" t="n">
        <v>1334.1</v>
      </c>
      <c r="AN11" s="253" t="n">
        <v>355.4</v>
      </c>
      <c r="AO11" s="253" t="n">
        <v>387.4</v>
      </c>
      <c r="AP11" s="253" t="n">
        <v>392</v>
      </c>
      <c r="AQ11" s="253" t="n">
        <v>362</v>
      </c>
      <c r="AR11" s="253" t="n">
        <v>1497</v>
      </c>
      <c r="AS11" s="253" t="n">
        <v>453</v>
      </c>
      <c r="AT11" s="253" t="n">
        <v>572</v>
      </c>
      <c r="AU11" s="253" t="n">
        <v>461</v>
      </c>
      <c r="AV11" s="253" t="n">
        <v>371</v>
      </c>
      <c r="AW11" s="253" t="n">
        <v>1857</v>
      </c>
      <c r="AX11" s="253" t="n">
        <v>605</v>
      </c>
      <c r="AY11" s="253" t="n">
        <v>550</v>
      </c>
      <c r="AZ11" s="253" t="n">
        <v>488</v>
      </c>
      <c r="BA11" s="253" t="n">
        <v>444</v>
      </c>
      <c r="BB11" s="253" t="n">
        <v>2087</v>
      </c>
      <c r="BC11" s="253" t="n">
        <v>417</v>
      </c>
      <c r="BD11" s="253" t="n">
        <v>322</v>
      </c>
      <c r="BE11" s="253" t="n">
        <v>277</v>
      </c>
      <c r="BF11" s="253" t="n">
        <v>253</v>
      </c>
      <c r="BG11" s="253" t="n">
        <v>1269</v>
      </c>
      <c r="BH11" s="253" t="n">
        <v>356</v>
      </c>
      <c r="BI11" s="253" t="n">
        <v>365</v>
      </c>
      <c r="BJ11" s="253" t="n">
        <v>346</v>
      </c>
      <c r="BK11" s="253" t="n">
        <v>337</v>
      </c>
      <c r="BL11" s="253" t="n">
        <v>1404</v>
      </c>
      <c r="BM11" s="253" t="n">
        <v>529</v>
      </c>
      <c r="BN11" s="253" t="n">
        <v>525</v>
      </c>
      <c r="BO11" s="253" t="n">
        <v>515</v>
      </c>
      <c r="BP11" s="253" t="n">
        <v>381</v>
      </c>
      <c r="BQ11" s="253" t="n">
        <v>1950</v>
      </c>
      <c r="BR11" s="253" t="n">
        <v>564</v>
      </c>
      <c r="BS11" s="253" t="n">
        <v>512</v>
      </c>
      <c r="BT11" s="253" t="n">
        <v>576</v>
      </c>
      <c r="BU11" s="253" t="n">
        <v>480</v>
      </c>
      <c r="BV11" s="253" t="n">
        <v>2132</v>
      </c>
      <c r="BW11" s="253" t="n">
        <v>633</v>
      </c>
      <c r="BX11" s="253" t="n">
        <v>651</v>
      </c>
      <c r="BY11" s="254">
        <f>BT11*(1+BY12)</f>
        <v>591.979051580873</v>
      </c>
      <c r="BZ11" s="254">
        <f>BU11*(1+BZ12)</f>
        <v>493.315876317394</v>
      </c>
      <c r="CA11" s="254">
        <f>SUM(BW11:BZ11)</f>
        <v>2369.29492789827</v>
      </c>
      <c r="CB11" s="254">
        <f>CA11*(1+CB12)</f>
        <v>2535.14557285115</v>
      </c>
      <c r="CC11" s="254">
        <f>CB11*(1+CC12)</f>
        <v>2687.25430722222</v>
      </c>
      <c r="CD11" s="254">
        <f>CC11*(1+CD12)</f>
        <v>2848.48956565555</v>
      </c>
      <c r="CE11" s="254">
        <f>CD11*(1+CE12)</f>
        <v>2990.91404393833</v>
      </c>
      <c r="CF11" s="19" t="inlineStr">
        <is>
          <t>External revenue by line as originally reported in each release. Q3/Q4-26E: prior-year quarter × (1 + growth). 2027E+: prior year × (1 + scenario lever).</t>
        </is>
      </c>
      <c r="CH11" s="20">
        <f>IFERROR((CE11/BV11)^(1/5)-1,"n/m")</f>
        <v>0.07004821364417</v>
      </c>
      <c r="CI11" s="20">
        <f>IFERROR((BV11/AW11)^(1/5)-1,"n/m")</f>
        <v>0.0280046031410401</v>
      </c>
      <c r="CJ11" s="20">
        <f>IFERROR((BV11/X11)^(1/10)-1,"n/m")</f>
        <v>0.0671879460792768</v>
      </c>
      <c r="CK11" s="20">
        <f>IFERROR((BV11/C11)^(1/19)-1,"n/m")</f>
        <v>0.10215050779447</v>
      </c>
      <c r="CN11" s="15" t="inlineStr">
        <is>
          <t>FY26 guidance — Q2-26 release (22-Jul-2026)</t>
        </is>
      </c>
      <c r="CO11" s="21" t="inlineStr">
        <is>
          <t>High</t>
        </is>
      </c>
      <c r="CP11" s="21" t="inlineStr">
        <is>
          <t>Mid</t>
        </is>
      </c>
      <c r="CQ11" s="21" t="inlineStr">
        <is>
          <t>Low</t>
        </is>
      </c>
      <c r="CR11" s="13" t="inlineStr">
        <is>
          <t>Revenue up high-single-digit %, adjusted operating margin 52–53%, adjusted diluted EPS $16.50–17.00 (raised from $16.40–17.00), diluted EPS $16.00–16.50, FCF $2.7–2.9bn, share repurchases up to $3.0bn, ETR 23–25%, net interest $220–240m; MIS revenue up high-single-digit % at ~65% margin; MA revenue up mid-single-digit % at 34–35%. Qualitative ranges are read as high-single-digit = 7–9% and mid-single-digit = 4–6% (model interpretation).</t>
        </is>
      </c>
    </row>
    <row r="12" ht="15" customHeight="1" s="251">
      <c r="B12" s="22" t="inlineStr">
        <is>
          <t xml:space="preserve">    y/y %</t>
        </is>
      </c>
      <c r="D12" s="255">
        <f>IF(AND(ISNUMBER(D11),ISNUMBER(C11)),IFERROR(D11/C11-1,""),"")</f>
        <v>0.225066984221495</v>
      </c>
      <c r="E12" s="255">
        <f>IF(AND(ISNUMBER(E11),ISNUMBER(D11)),IFERROR(E11/D11-1,""),"")</f>
        <v>-0.269744835965978</v>
      </c>
      <c r="F12" s="255">
        <f>IF(AND(ISNUMBER(F11),ISNUMBER(E11)),IFERROR(F11/E11-1,""),"")</f>
        <v>0.358402662229617</v>
      </c>
      <c r="G12" s="255">
        <f>IF(AND(ISNUMBER(G11),ISNUMBER(F11)),IFERROR(G11/F11-1,""),"")</f>
        <v>0.381430671239589</v>
      </c>
      <c r="H12" s="255">
        <f>IF(AND(ISNUMBER(H11),ISNUMBER(G11)),IFERROR(H11/G11-1,""),"")</f>
        <v>0.156410711118993</v>
      </c>
      <c r="I12" s="255">
        <f>IF(AND(ISNUMBER(I11),ISNUMBER(H11)),IFERROR(I11/H11-1,""),"")</f>
        <v>0.315135715381077</v>
      </c>
      <c r="N12" s="255">
        <f>IF(AND(ISNUMBER(N11),ISNUMBER(I11)),IFERROR(N11/I11-1,""),"")</f>
        <v>0.162313432835821</v>
      </c>
      <c r="O12" s="255">
        <f>IF(AND(ISNUMBER(O11),ISNUMBER(J11)),IFERROR(O11/J11-1,""),"")</f>
        <v>0.0236159504452187</v>
      </c>
      <c r="P12" s="255">
        <f>IF(AND(ISNUMBER(P11),ISNUMBER(K11)),IFERROR(P11/K11-1,""),"")</f>
        <v>0.220616203879802</v>
      </c>
      <c r="Q12" s="255">
        <f>IF(AND(ISNUMBER(Q11),ISNUMBER(L11)),IFERROR(Q11/L11-1,""),"")</f>
        <v>0.118884120171674</v>
      </c>
      <c r="R12" s="255">
        <f>IF(AND(ISNUMBER(R11),ISNUMBER(M11)),IFERROR(R11/M11-1,""),"")</f>
        <v>0.0853256389117891</v>
      </c>
      <c r="S12" s="255">
        <f>IF(AND(ISNUMBER(S11),ISNUMBER(N11)),IFERROR(S11/N11-1,""),"")</f>
        <v>0.112861155698234</v>
      </c>
      <c r="T12" s="255">
        <f>IF(AND(ISNUMBER(T11),ISNUMBER(O11)),IFERROR(T11/O11-1,""),"")</f>
        <v>0.129727685325265</v>
      </c>
      <c r="U12" s="255">
        <f>IF(AND(ISNUMBER(U11),ISNUMBER(P11)),IFERROR(U11/P11-1,""),"")</f>
        <v>-0.00405110626363336</v>
      </c>
      <c r="V12" s="255">
        <f>IF(AND(ISNUMBER(V11),ISNUMBER(Q11)),IFERROR(V11/Q11-1,""),"")</f>
        <v>-0.0475642500958956</v>
      </c>
      <c r="W12" s="255">
        <f>IF(AND(ISNUMBER(W11),ISNUMBER(R11)),IFERROR(W11/R11-1,""),"")</f>
        <v>-0.0653247246486898</v>
      </c>
      <c r="X12" s="255">
        <f>IF(AND(ISNUMBER(X11),ISNUMBER(S11)),IFERROR(X11/S11-1,""),"")</f>
        <v>0.00306499594338772</v>
      </c>
      <c r="Y12" s="255">
        <f>IF(AND(ISNUMBER(Y11),ISNUMBER(T11)),IFERROR(Y11/T11-1,""),"")</f>
        <v>-0.195513893538667</v>
      </c>
      <c r="Z12" s="255">
        <f>IF(AND(ISNUMBER(Z11),ISNUMBER(U11)),IFERROR(Z11/U11-1,""),"")</f>
        <v>-0.0463078848560701</v>
      </c>
      <c r="AA12" s="255">
        <f>IF(AND(ISNUMBER(AA11),ISNUMBER(V11)),IFERROR(AA11/V11-1,""),"")</f>
        <v>0.206604913411196</v>
      </c>
      <c r="AB12" s="255">
        <f>IF(AND(ISNUMBER(AB11),ISNUMBER(W11)),IFERROR(AB11/W11-1,""),"")</f>
        <v>0.127996749288907</v>
      </c>
      <c r="AC12" s="255">
        <f>IF(AND(ISNUMBER(AC11),ISNUMBER(X11)),IFERROR(AC11/X11-1,""),"")</f>
        <v>0.00862766244270685</v>
      </c>
      <c r="AD12" s="255">
        <f>IF(AND(ISNUMBER(AD11),ISNUMBER(Y11)),IFERROR(AD11/Y11-1,""),"")</f>
        <v>0.468164794007491</v>
      </c>
      <c r="AE12" s="255">
        <f>IF(AND(ISNUMBER(AE11),ISNUMBER(Z11)),IFERROR(AE11/Z11-1,""),"")</f>
        <v>0.167322834645669</v>
      </c>
      <c r="AF12" s="255">
        <f>IF(AND(ISNUMBER(AF11),ISNUMBER(AA11)),IFERROR(AF11/AA11-1,""),"")</f>
        <v>0.168891855807743</v>
      </c>
      <c r="AG12" s="255">
        <f>IF(AND(ISNUMBER(AG11),ISNUMBER(AB11)),IFERROR(AG11/AB11-1,""),"")</f>
        <v>0.202809798270893</v>
      </c>
      <c r="AH12" s="255">
        <f>IF(AND(ISNUMBER(AH11),ISNUMBER(AC11)),IFERROR(AH11/AC11-1,""),"")</f>
        <v>0.240933796667558</v>
      </c>
      <c r="AI12" s="255">
        <f>IF(AND(ISNUMBER(AI11),ISNUMBER(AD11)),IFERROR(AI11/AD11-1,""),"")</f>
        <v>0.070578231292517</v>
      </c>
      <c r="AJ12" s="255">
        <f>IF(AND(ISNUMBER(AJ11),ISNUMBER(AE11)),IFERROR(AJ11/AE11-1,""),"")</f>
        <v>0.0612703766160765</v>
      </c>
      <c r="AK12" s="255">
        <f>IF(AND(ISNUMBER(AK11),ISNUMBER(AF11)),IFERROR(AK11/AF11-1,""),"")</f>
        <v>-0.154483152484295</v>
      </c>
      <c r="AL12" s="255">
        <f>IF(AND(ISNUMBER(AL11),ISNUMBER(AG11)),IFERROR(AL11/AG11-1,""),"")</f>
        <v>-0.153339323150644</v>
      </c>
      <c r="AM12" s="255">
        <f>IF(AND(ISNUMBER(AM11),ISNUMBER(AH11)),IFERROR(AM11/AH11-1,""),"")</f>
        <v>-0.0420765419688376</v>
      </c>
      <c r="AN12" s="255">
        <f>IF(AND(ISNUMBER(AN11),ISNUMBER(AI11)),IFERROR(AN11/AI11-1,""),"")</f>
        <v>-0.0590415673815198</v>
      </c>
      <c r="AO12" s="255">
        <f>IF(AND(ISNUMBER(AO11),ISNUMBER(AJ11)),IFERROR(AO11/AJ11-1,""),"")</f>
        <v>0.0259533898305084</v>
      </c>
      <c r="AP12" s="255">
        <f>IF(AND(ISNUMBER(AP11),ISNUMBER(AK11)),IFERROR(AP11/AK11-1,""),"")</f>
        <v>0.32387706855792</v>
      </c>
      <c r="AQ12" s="255">
        <f>IF(AND(ISNUMBER(AQ11),ISNUMBER(AL11)),IFERROR(AQ11/AL11-1,""),"")</f>
        <v>0.280509373894588</v>
      </c>
      <c r="AR12" s="255">
        <f>IF(AND(ISNUMBER(AR11),ISNUMBER(AM11)),IFERROR(AR11/AM11-1,""),"")</f>
        <v>0.122104789745896</v>
      </c>
      <c r="AS12" s="255">
        <f>IF(AND(ISNUMBER(AS11),ISNUMBER(AN11)),IFERROR(AS11/AN11-1,""),"")</f>
        <v>0.274620146314013</v>
      </c>
      <c r="AT12" s="255">
        <f>IF(AND(ISNUMBER(AT11),ISNUMBER(AO11)),IFERROR(AT11/AO11-1,""),"")</f>
        <v>0.476510067114094</v>
      </c>
      <c r="AU12" s="255">
        <f>IF(AND(ISNUMBER(AU11),ISNUMBER(AP11)),IFERROR(AU11/AP11-1,""),"")</f>
        <v>0.176020408163265</v>
      </c>
      <c r="AV12" s="255">
        <f>IF(AND(ISNUMBER(AV11),ISNUMBER(AQ11)),IFERROR(AV11/AQ11-1,""),"")</f>
        <v>0.0248618784530388</v>
      </c>
      <c r="AW12" s="255">
        <f>IF(AND(ISNUMBER(AW11),ISNUMBER(AR11)),IFERROR(AW11/AR11-1,""),"")</f>
        <v>0.240480961923848</v>
      </c>
      <c r="AX12" s="255">
        <f>IF(AND(ISNUMBER(AX11),ISNUMBER(AS11)),IFERROR(AX11/AS11-1,""),"")</f>
        <v>0.335540838852097</v>
      </c>
      <c r="AY12" s="255">
        <f>IF(AND(ISNUMBER(AY11),ISNUMBER(AT11)),IFERROR(AY11/AT11-1,""),"")</f>
        <v>-0.0384615384615384</v>
      </c>
      <c r="AZ12" s="255">
        <f>IF(AND(ISNUMBER(AZ11),ISNUMBER(AU11)),IFERROR(AZ11/AU11-1,""),"")</f>
        <v>0.0585683297180044</v>
      </c>
      <c r="BA12" s="255">
        <f>IF(AND(ISNUMBER(BA11),ISNUMBER(AV11)),IFERROR(BA11/AV11-1,""),"")</f>
        <v>0.196765498652291</v>
      </c>
      <c r="BB12" s="255">
        <f>IF(AND(ISNUMBER(BB11),ISNUMBER(AW11)),IFERROR(BB11/AW11-1,""),"")</f>
        <v>0.123855681206247</v>
      </c>
      <c r="BC12" s="255">
        <f>IF(AND(ISNUMBER(BC11),ISNUMBER(AX11)),IFERROR(BC11/AX11-1,""),"")</f>
        <v>-0.310743801652893</v>
      </c>
      <c r="BD12" s="255">
        <f>IF(AND(ISNUMBER(BD11),ISNUMBER(AY11)),IFERROR(BD11/AY11-1,""),"")</f>
        <v>-0.414545454545455</v>
      </c>
      <c r="BE12" s="255">
        <f>IF(AND(ISNUMBER(BE11),ISNUMBER(AZ11)),IFERROR(BE11/AZ11-1,""),"")</f>
        <v>-0.432377049180328</v>
      </c>
      <c r="BF12" s="255">
        <f>IF(AND(ISNUMBER(BF11),ISNUMBER(BA11)),IFERROR(BF11/BA11-1,""),"")</f>
        <v>-0.43018018018018</v>
      </c>
      <c r="BG12" s="255">
        <f>IF(AND(ISNUMBER(BG11),ISNUMBER(BB11)),IFERROR(BG11/BB11-1,""),"")</f>
        <v>-0.39195016770484</v>
      </c>
      <c r="BH12" s="255">
        <f>IF(AND(ISNUMBER(BH11),ISNUMBER(BC11)),IFERROR(BH11/BC11-1,""),"")</f>
        <v>-0.146282973621103</v>
      </c>
      <c r="BI12" s="255">
        <f>IF(AND(ISNUMBER(BI11),ISNUMBER(BD11)),IFERROR(BI11/BD11-1,""),"")</f>
        <v>0.133540372670808</v>
      </c>
      <c r="BJ12" s="255">
        <f>IF(AND(ISNUMBER(BJ11),ISNUMBER(BE11)),IFERROR(BJ11/BE11-1,""),"")</f>
        <v>0.249097472924188</v>
      </c>
      <c r="BK12" s="255">
        <f>IF(AND(ISNUMBER(BK11),ISNUMBER(BF11)),IFERROR(BK11/BF11-1,""),"")</f>
        <v>0.33201581027668</v>
      </c>
      <c r="BL12" s="255">
        <f>IF(AND(ISNUMBER(BL11),ISNUMBER(BG11)),IFERROR(BL11/BG11-1,""),"")</f>
        <v>0.106382978723404</v>
      </c>
      <c r="BM12" s="255">
        <f>IF(AND(ISNUMBER(BM11),ISNUMBER(BH11)),IFERROR(BM11/BH11-1,""),"")</f>
        <v>0.485955056179775</v>
      </c>
      <c r="BN12" s="255">
        <f>IF(AND(ISNUMBER(BN11),ISNUMBER(BI11)),IFERROR(BN11/BI11-1,""),"")</f>
        <v>0.438356164383562</v>
      </c>
      <c r="BO12" s="255">
        <f>IF(AND(ISNUMBER(BO11),ISNUMBER(BJ11)),IFERROR(BO11/BJ11-1,""),"")</f>
        <v>0.488439306358381</v>
      </c>
      <c r="BP12" s="255">
        <f>IF(AND(ISNUMBER(BP11),ISNUMBER(BK11)),IFERROR(BP11/BK11-1,""),"")</f>
        <v>0.130563798219585</v>
      </c>
      <c r="BQ12" s="255">
        <f>IF(AND(ISNUMBER(BQ11),ISNUMBER(BL11)),IFERROR(BQ11/BL11-1,""),"")</f>
        <v>0.388888888888889</v>
      </c>
      <c r="BR12" s="255">
        <f>IF(AND(ISNUMBER(BR11),ISNUMBER(BM11)),IFERROR(BR11/BM11-1,""),"")</f>
        <v>0.0661625708884688</v>
      </c>
      <c r="BS12" s="255">
        <f>IF(AND(ISNUMBER(BS11),ISNUMBER(BN11)),IFERROR(BS11/BN11-1,""),"")</f>
        <v>-0.0247619047619048</v>
      </c>
      <c r="BT12" s="255">
        <f>IF(AND(ISNUMBER(BT11),ISNUMBER(BO11)),IFERROR(BT11/BO11-1,""),"")</f>
        <v>0.118446601941748</v>
      </c>
      <c r="BU12" s="255">
        <f>IF(AND(ISNUMBER(BU11),ISNUMBER(BP11)),IFERROR(BU11/BP11-1,""),"")</f>
        <v>0.259842519685039</v>
      </c>
      <c r="BV12" s="255">
        <f>IF(AND(ISNUMBER(BV11),ISNUMBER(BQ11)),IFERROR(BV11/BQ11-1,""),"")</f>
        <v>0.0933333333333333</v>
      </c>
      <c r="BW12" s="255">
        <f>IF(AND(ISNUMBER(BW11),ISNUMBER(BR11)),IFERROR(BW11/BR11-1,""),"")</f>
        <v>0.122340425531915</v>
      </c>
      <c r="BX12" s="255">
        <f>IF(AND(ISNUMBER(BX11),ISNUMBER(BS11)),IFERROR(BX11/BS11-1,""),"")</f>
        <v>0.271484375</v>
      </c>
      <c r="BY12" s="256">
        <f>BY13+$CA$120</f>
        <v>0.0277414089945716</v>
      </c>
      <c r="BZ12" s="256">
        <f>BZ13+$CA$120</f>
        <v>0.0277414089945716</v>
      </c>
      <c r="CA12" s="256">
        <f>IF(AND(ISNUMBER(CA11),ISNUMBER(BV11)),IFERROR(CA11/BV11-1,""),"")</f>
        <v>0.111301560927893</v>
      </c>
      <c r="CB12" s="256">
        <f>CHOOSE(MATCH($CF$2,{"Bull","Base","Bear"},0),$CO$38,$CP$38,$CQ$38)</f>
        <v>0.07</v>
      </c>
      <c r="CC12" s="256">
        <f>CHOOSE(MATCH($CF$2,{"Bull","Base","Bear"},0),$CO$39,$CP$39,$CQ$39)</f>
        <v>0.06</v>
      </c>
      <c r="CD12" s="256">
        <f>CHOOSE(MATCH($CF$2,{"Bull","Base","Bear"},0),$CO$40,$CP$40,$CQ$40)</f>
        <v>0.06</v>
      </c>
      <c r="CE12" s="256">
        <f>CHOOSE(MATCH($CF$2,{"Bull","Base","Bear"},0),$CO$41,$CP$41,$CQ$41)</f>
        <v>0.05</v>
      </c>
      <c r="CF12" s="153" t="inlineStr">
        <is>
          <t>Q3/Q4-26E: 1H26 y/y growth of the line + MIS revenue-guidance calibration Δ (Group block). 2027E–2030E: scenario lever (table →).</t>
        </is>
      </c>
      <c r="CN12" s="25" t="inlineStr">
        <is>
          <t xml:space="preserve">  FY26 MIS revenue growth</t>
        </is>
      </c>
      <c r="CO12" s="257" t="n">
        <v>0.09</v>
      </c>
      <c r="CP12" s="257" t="n">
        <v>0.08</v>
      </c>
      <c r="CQ12" s="257" t="n">
        <v>0.07000000000000001</v>
      </c>
      <c r="CR12" s="13" t="inlineStr">
        <is>
          <t>Guided "increase in the high-single-digit percent range" (read as 7–9%). Drives the Q3/Q4-26E MIS revenue calibration.</t>
        </is>
      </c>
    </row>
    <row r="13" ht="15" customHeight="1" s="251">
      <c r="B13" s="25" t="inlineStr">
        <is>
          <t xml:space="preserve">    Q3/Q4-26E growth before calibration (1H26 y/y)</t>
        </is>
      </c>
      <c r="C13" s="36"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c r="AA13" s="36" t="n"/>
      <c r="AB13" s="36" t="n"/>
      <c r="AC13" s="36" t="n"/>
      <c r="AD13" s="36" t="n"/>
      <c r="AE13" s="36" t="n"/>
      <c r="AF13" s="36" t="n"/>
      <c r="AG13" s="36" t="n"/>
      <c r="AH13" s="36" t="n"/>
      <c r="AI13" s="36" t="n"/>
      <c r="AJ13" s="36" t="n"/>
      <c r="AK13" s="36" t="n"/>
      <c r="AL13" s="36" t="n"/>
      <c r="AM13" s="36" t="n"/>
      <c r="AN13" s="36" t="n"/>
      <c r="AO13" s="36" t="n"/>
      <c r="AP13" s="36" t="n"/>
      <c r="AQ13" s="36" t="n"/>
      <c r="AR13" s="36" t="n"/>
      <c r="AS13" s="36" t="n"/>
      <c r="AT13" s="36" t="n"/>
      <c r="AU13" s="36" t="n"/>
      <c r="AV13" s="36" t="n"/>
      <c r="AW13" s="36" t="n"/>
      <c r="AX13" s="36" t="n"/>
      <c r="AY13" s="36" t="n"/>
      <c r="AZ13" s="36" t="n"/>
      <c r="BA13" s="36" t="n"/>
      <c r="BB13" s="36" t="n"/>
      <c r="BC13" s="36" t="n"/>
      <c r="BD13" s="36" t="n"/>
      <c r="BE13" s="36" t="n"/>
      <c r="BF13" s="36" t="n"/>
      <c r="BG13" s="36" t="n"/>
      <c r="BH13" s="36" t="n"/>
      <c r="BI13" s="36" t="n"/>
      <c r="BJ13" s="36" t="n"/>
      <c r="BK13" s="36" t="n"/>
      <c r="BL13" s="36" t="n"/>
      <c r="BM13" s="36" t="n"/>
      <c r="BN13" s="36" t="n"/>
      <c r="BO13" s="36" t="n"/>
      <c r="BP13" s="36" t="n"/>
      <c r="BQ13" s="36" t="n"/>
      <c r="BR13" s="36" t="n"/>
      <c r="BS13" s="36" t="n"/>
      <c r="BT13" s="36" t="n"/>
      <c r="BU13" s="36" t="n"/>
      <c r="BV13" s="36" t="n"/>
      <c r="BW13" s="36" t="n"/>
      <c r="BX13" s="36" t="n"/>
      <c r="BY13" s="256">
        <f>IFERROR(SUM(BW11:BX11)/SUM(BR11:BS11)-1,0)</f>
        <v>0.193308550185874</v>
      </c>
      <c r="BZ13" s="256">
        <f>IFERROR(SUM(BW11:BX11)/SUM(BR11:BS11)-1,0)</f>
        <v>0.193308550185874</v>
      </c>
      <c r="CA13" s="24" t="n"/>
      <c r="CB13" s="46" t="n"/>
      <c r="CC13" s="46" t="n"/>
      <c r="CD13" s="46" t="n"/>
      <c r="CE13" s="46" t="n"/>
      <c r="CF13" s="19" t="n"/>
      <c r="CN13" s="25" t="inlineStr">
        <is>
          <t xml:space="preserve">  FY26 MA revenue growth</t>
        </is>
      </c>
      <c r="CO13" s="257" t="n">
        <v>0.06</v>
      </c>
      <c r="CP13" s="257" t="n">
        <v>0.05</v>
      </c>
      <c r="CQ13" s="257" t="n">
        <v>0.04</v>
      </c>
      <c r="CR13" s="13" t="inlineStr">
        <is>
          <t>Guided "increase in the mid-single-digit percent range" (read as 4–6%; incl. ~4 pts inorganic drag from the Learning and Regulatory Solutions divestitures and ~(0.5) pts FX). Drives the MA calibration.</t>
        </is>
      </c>
    </row>
    <row r="14" ht="15" customHeight="1" s="251">
      <c r="B14" s="25" t="inlineStr">
        <is>
          <t xml:space="preserve">  Structured Finance (SFG)</t>
        </is>
      </c>
      <c r="C14" s="253" t="n">
        <v>872.6</v>
      </c>
      <c r="D14" s="253" t="n">
        <v>873.3</v>
      </c>
      <c r="E14" s="253" t="n">
        <v>411.2</v>
      </c>
      <c r="F14" s="253" t="n">
        <v>304.9</v>
      </c>
      <c r="G14" s="253" t="n">
        <v>290.8</v>
      </c>
      <c r="H14" s="253" t="n">
        <v>344.6</v>
      </c>
      <c r="I14" s="253" t="n">
        <v>381</v>
      </c>
      <c r="J14" s="253" t="n">
        <v>93</v>
      </c>
      <c r="K14" s="253" t="n">
        <v>97.2</v>
      </c>
      <c r="L14" s="253" t="n">
        <v>83.5</v>
      </c>
      <c r="M14" s="253" t="n">
        <v>108.8</v>
      </c>
      <c r="N14" s="253" t="n">
        <v>382.5</v>
      </c>
      <c r="O14" s="253" t="n">
        <v>95.3</v>
      </c>
      <c r="P14" s="253" t="n">
        <v>110.6</v>
      </c>
      <c r="Q14" s="253" t="n">
        <v>102.1</v>
      </c>
      <c r="R14" s="253" t="n">
        <v>118.5</v>
      </c>
      <c r="S14" s="253" t="n">
        <v>426.5</v>
      </c>
      <c r="T14" s="253" t="n">
        <v>101.3</v>
      </c>
      <c r="U14" s="253" t="n">
        <v>121.2</v>
      </c>
      <c r="V14" s="253" t="n">
        <v>112.5</v>
      </c>
      <c r="W14" s="253" t="n">
        <v>114.1</v>
      </c>
      <c r="X14" s="253" t="n">
        <v>449.1</v>
      </c>
      <c r="Y14" s="253" t="n">
        <v>90.59999999999999</v>
      </c>
      <c r="Z14" s="253" t="n">
        <v>111.5</v>
      </c>
      <c r="AA14" s="253" t="n">
        <v>104.2</v>
      </c>
      <c r="AB14" s="253" t="n">
        <v>130.5</v>
      </c>
      <c r="AC14" s="253" t="n">
        <v>436.8</v>
      </c>
      <c r="AD14" s="253" t="n">
        <v>100.2</v>
      </c>
      <c r="AE14" s="253" t="n">
        <v>119.2</v>
      </c>
      <c r="AF14" s="253" t="n">
        <v>128.3</v>
      </c>
      <c r="AG14" s="253" t="n">
        <v>147.8</v>
      </c>
      <c r="AH14" s="253" t="n">
        <v>495.5</v>
      </c>
      <c r="AI14" s="253" t="n">
        <v>129.7</v>
      </c>
      <c r="AJ14" s="253" t="n">
        <v>141.6</v>
      </c>
      <c r="AK14" s="253" t="n">
        <v>125.4</v>
      </c>
      <c r="AL14" s="253" t="n">
        <v>129.8</v>
      </c>
      <c r="AM14" s="253" t="n">
        <v>526.5</v>
      </c>
      <c r="AN14" s="253" t="n">
        <v>100.7</v>
      </c>
      <c r="AO14" s="253" t="n">
        <v>112.1</v>
      </c>
      <c r="AP14" s="253" t="n">
        <v>105.4</v>
      </c>
      <c r="AQ14" s="253" t="n">
        <v>109</v>
      </c>
      <c r="AR14" s="253" t="n">
        <v>427</v>
      </c>
      <c r="AS14" s="253" t="n">
        <v>96</v>
      </c>
      <c r="AT14" s="253" t="n">
        <v>81</v>
      </c>
      <c r="AU14" s="253" t="n">
        <v>88</v>
      </c>
      <c r="AV14" s="253" t="n">
        <v>97</v>
      </c>
      <c r="AW14" s="253" t="n">
        <v>362</v>
      </c>
      <c r="AX14" s="253" t="n">
        <v>116</v>
      </c>
      <c r="AY14" s="253" t="n">
        <v>140</v>
      </c>
      <c r="AZ14" s="253" t="n">
        <v>143</v>
      </c>
      <c r="BA14" s="253" t="n">
        <v>161</v>
      </c>
      <c r="BB14" s="253" t="n">
        <v>560</v>
      </c>
      <c r="BC14" s="253" t="n">
        <v>144</v>
      </c>
      <c r="BD14" s="253" t="n">
        <v>123</v>
      </c>
      <c r="BE14" s="253" t="n">
        <v>101</v>
      </c>
      <c r="BF14" s="253" t="n">
        <v>94</v>
      </c>
      <c r="BG14" s="253" t="n">
        <v>462</v>
      </c>
      <c r="BH14" s="253" t="n">
        <v>99</v>
      </c>
      <c r="BI14" s="253" t="n">
        <v>102</v>
      </c>
      <c r="BJ14" s="253" t="n">
        <v>102</v>
      </c>
      <c r="BK14" s="253" t="n">
        <v>102</v>
      </c>
      <c r="BL14" s="253" t="n">
        <v>405</v>
      </c>
      <c r="BM14" s="253" t="n">
        <v>114</v>
      </c>
      <c r="BN14" s="253" t="n">
        <v>131</v>
      </c>
      <c r="BO14" s="253" t="n">
        <v>135</v>
      </c>
      <c r="BP14" s="253" t="n">
        <v>138</v>
      </c>
      <c r="BQ14" s="253" t="n">
        <v>518</v>
      </c>
      <c r="BR14" s="253" t="n">
        <v>138</v>
      </c>
      <c r="BS14" s="253" t="n">
        <v>135</v>
      </c>
      <c r="BT14" s="253" t="n">
        <v>146</v>
      </c>
      <c r="BU14" s="253" t="n">
        <v>139</v>
      </c>
      <c r="BV14" s="253" t="n">
        <v>558</v>
      </c>
      <c r="BW14" s="253" t="n">
        <v>137</v>
      </c>
      <c r="BX14" s="253" t="n">
        <v>151</v>
      </c>
      <c r="BY14" s="254">
        <f>BT14*(1+BY15)</f>
        <v>129.849175408048</v>
      </c>
      <c r="BZ14" s="254">
        <f>BU14*(1+BZ15)</f>
        <v>123.623530011772</v>
      </c>
      <c r="CA14" s="254">
        <f>SUM(BW14:BZ14)</f>
        <v>541.47270541982</v>
      </c>
      <c r="CB14" s="254">
        <f>CA14*(1+CB15)</f>
        <v>568.546340690811</v>
      </c>
      <c r="CC14" s="254">
        <f>CB14*(1+CC15)</f>
        <v>591.288194318443</v>
      </c>
      <c r="CD14" s="254">
        <f>CC14*(1+CD15)</f>
        <v>614.939722091181</v>
      </c>
      <c r="CE14" s="254">
        <f>CD14*(1+CE15)</f>
        <v>639.537310974828</v>
      </c>
      <c r="CF14" s="19" t="n"/>
      <c r="CH14" s="20">
        <f>IFERROR((CE14/BV14)^(1/5)-1,"n/m")</f>
        <v>0.0276526287815213</v>
      </c>
      <c r="CI14" s="20">
        <f>IFERROR((BV14/AW14)^(1/5)-1,"n/m")</f>
        <v>0.0903981994358762</v>
      </c>
      <c r="CJ14" s="20">
        <f>IFERROR((BV14/X14)^(1/10)-1,"n/m")</f>
        <v>0.0219487443544257</v>
      </c>
      <c r="CK14" s="20">
        <f>IFERROR((BV14/C14)^(1/19)-1,"n/m")</f>
        <v>-0.0232578110084962</v>
      </c>
      <c r="CN14" s="25" t="inlineStr">
        <is>
          <t xml:space="preserve">  FY26 adjusted diluted EPS ($)</t>
        </is>
      </c>
      <c r="CO14" s="258" t="n">
        <v>17</v>
      </c>
      <c r="CP14" s="258" t="n">
        <v>16.75</v>
      </c>
      <c r="CQ14" s="258" t="n">
        <v>16.5</v>
      </c>
      <c r="CR14" s="13" t="inlineStr">
        <is>
          <t>Guided $16.50–17.00. Drives the Q3/Q4-26E segment-margin calibration.</t>
        </is>
      </c>
    </row>
    <row r="15" ht="15" customHeight="1" s="251">
      <c r="B15" s="22" t="inlineStr">
        <is>
          <t xml:space="preserve">    y/y %</t>
        </is>
      </c>
      <c r="D15" s="255">
        <f>IF(AND(ISNUMBER(D14),ISNUMBER(C14)),IFERROR(D14/C14-1,""),"")</f>
        <v>0.000802200320880075</v>
      </c>
      <c r="E15" s="255">
        <f>IF(AND(ISNUMBER(E14),ISNUMBER(D14)),IFERROR(E14/D14-1,""),"")</f>
        <v>-0.529142333676858</v>
      </c>
      <c r="F15" s="255">
        <f>IF(AND(ISNUMBER(F14),ISNUMBER(E14)),IFERROR(F14/E14-1,""),"")</f>
        <v>-0.258511673151751</v>
      </c>
      <c r="G15" s="255">
        <f>IF(AND(ISNUMBER(G14),ISNUMBER(F14)),IFERROR(G14/F14-1,""),"")</f>
        <v>-0.0462446703837323</v>
      </c>
      <c r="H15" s="255">
        <f>IF(AND(ISNUMBER(H14),ISNUMBER(G14)),IFERROR(H14/G14-1,""),"")</f>
        <v>0.185006877579092</v>
      </c>
      <c r="I15" s="255">
        <f>IF(AND(ISNUMBER(I14),ISNUMBER(H14)),IFERROR(I14/H14-1,""),"")</f>
        <v>0.105629715612304</v>
      </c>
      <c r="N15" s="255">
        <f>IF(AND(ISNUMBER(N14),ISNUMBER(I14)),IFERROR(N14/I14-1,""),"")</f>
        <v>0.00393700787401574</v>
      </c>
      <c r="O15" s="255">
        <f>IF(AND(ISNUMBER(O14),ISNUMBER(J14)),IFERROR(O14/J14-1,""),"")</f>
        <v>0.0247311827956989</v>
      </c>
      <c r="P15" s="255">
        <f>IF(AND(ISNUMBER(P14),ISNUMBER(K14)),IFERROR(P14/K14-1,""),"")</f>
        <v>0.137860082304527</v>
      </c>
      <c r="Q15" s="255">
        <f>IF(AND(ISNUMBER(Q14),ISNUMBER(L14)),IFERROR(Q14/L14-1,""),"")</f>
        <v>0.222754491017964</v>
      </c>
      <c r="R15" s="255">
        <f>IF(AND(ISNUMBER(R14),ISNUMBER(M14)),IFERROR(R14/M14-1,""),"")</f>
        <v>0.0891544117647058</v>
      </c>
      <c r="S15" s="255">
        <f>IF(AND(ISNUMBER(S14),ISNUMBER(N14)),IFERROR(S14/N14-1,""),"")</f>
        <v>0.115032679738562</v>
      </c>
      <c r="T15" s="255">
        <f>IF(AND(ISNUMBER(T14),ISNUMBER(O14)),IFERROR(T14/O14-1,""),"")</f>
        <v>0.0629590766002099</v>
      </c>
      <c r="U15" s="255">
        <f>IF(AND(ISNUMBER(U14),ISNUMBER(P14)),IFERROR(U14/P14-1,""),"")</f>
        <v>0.0958408679927667</v>
      </c>
      <c r="V15" s="255">
        <f>IF(AND(ISNUMBER(V14),ISNUMBER(Q14)),IFERROR(V14/Q14-1,""),"")</f>
        <v>0.101860920666014</v>
      </c>
      <c r="W15" s="255">
        <f>IF(AND(ISNUMBER(W14),ISNUMBER(R14)),IFERROR(W14/R14-1,""),"")</f>
        <v>-0.0371308016877637</v>
      </c>
      <c r="X15" s="255">
        <f>IF(AND(ISNUMBER(X14),ISNUMBER(S14)),IFERROR(X14/S14-1,""),"")</f>
        <v>0.052989449003517</v>
      </c>
      <c r="Y15" s="255">
        <f>IF(AND(ISNUMBER(Y14),ISNUMBER(T14)),IFERROR(Y14/T14-1,""),"")</f>
        <v>-0.105626850937809</v>
      </c>
      <c r="Z15" s="255">
        <f>IF(AND(ISNUMBER(Z14),ISNUMBER(U14)),IFERROR(Z14/U14-1,""),"")</f>
        <v>-0.08003300330033</v>
      </c>
      <c r="AA15" s="255">
        <f>IF(AND(ISNUMBER(AA14),ISNUMBER(V14)),IFERROR(AA14/V14-1,""),"")</f>
        <v>-0.0737777777777777</v>
      </c>
      <c r="AB15" s="255">
        <f>IF(AND(ISNUMBER(AB14),ISNUMBER(W14)),IFERROR(AB14/W14-1,""),"")</f>
        <v>0.143733567046451</v>
      </c>
      <c r="AC15" s="255">
        <f>IF(AND(ISNUMBER(AC14),ISNUMBER(X14)),IFERROR(AC14/X14-1,""),"")</f>
        <v>-0.0273881095524382</v>
      </c>
      <c r="AD15" s="255">
        <f>IF(AND(ISNUMBER(AD14),ISNUMBER(Y14)),IFERROR(AD14/Y14-1,""),"")</f>
        <v>0.105960264900662</v>
      </c>
      <c r="AE15" s="255">
        <f>IF(AND(ISNUMBER(AE14),ISNUMBER(Z14)),IFERROR(AE14/Z14-1,""),"")</f>
        <v>0.0690582959641255</v>
      </c>
      <c r="AF15" s="255">
        <f>IF(AND(ISNUMBER(AF14),ISNUMBER(AA14)),IFERROR(AF14/AA14-1,""),"")</f>
        <v>0.231285988483685</v>
      </c>
      <c r="AG15" s="255">
        <f>IF(AND(ISNUMBER(AG14),ISNUMBER(AB14)),IFERROR(AG14/AB14-1,""),"")</f>
        <v>0.132567049808429</v>
      </c>
      <c r="AH15" s="255">
        <f>IF(AND(ISNUMBER(AH14),ISNUMBER(AC14)),IFERROR(AH14/AC14-1,""),"")</f>
        <v>0.134386446886447</v>
      </c>
      <c r="AI15" s="255">
        <f>IF(AND(ISNUMBER(AI14),ISNUMBER(AD14)),IFERROR(AI14/AD14-1,""),"")</f>
        <v>0.294411177644711</v>
      </c>
      <c r="AJ15" s="255">
        <f>IF(AND(ISNUMBER(AJ14),ISNUMBER(AE14)),IFERROR(AJ14/AE14-1,""),"")</f>
        <v>0.187919463087248</v>
      </c>
      <c r="AK15" s="255">
        <f>IF(AND(ISNUMBER(AK14),ISNUMBER(AF14)),IFERROR(AK14/AF14-1,""),"")</f>
        <v>-0.0226032735775527</v>
      </c>
      <c r="AL15" s="255">
        <f>IF(AND(ISNUMBER(AL14),ISNUMBER(AG14)),IFERROR(AL14/AG14-1,""),"")</f>
        <v>-0.121786197564276</v>
      </c>
      <c r="AM15" s="255">
        <f>IF(AND(ISNUMBER(AM14),ISNUMBER(AH14)),IFERROR(AM14/AH14-1,""),"")</f>
        <v>0.0625630676084763</v>
      </c>
      <c r="AN15" s="255">
        <f>IF(AND(ISNUMBER(AN14),ISNUMBER(AI14)),IFERROR(AN14/AI14-1,""),"")</f>
        <v>-0.223592906707787</v>
      </c>
      <c r="AO15" s="255">
        <f>IF(AND(ISNUMBER(AO14),ISNUMBER(AJ14)),IFERROR(AO14/AJ14-1,""),"")</f>
        <v>-0.208333333333333</v>
      </c>
      <c r="AP15" s="255">
        <f>IF(AND(ISNUMBER(AP14),ISNUMBER(AK14)),IFERROR(AP14/AK14-1,""),"")</f>
        <v>-0.159489633173844</v>
      </c>
      <c r="AQ15" s="255">
        <f>IF(AND(ISNUMBER(AQ14),ISNUMBER(AL14)),IFERROR(AQ14/AL14-1,""),"")</f>
        <v>-0.160246533127889</v>
      </c>
      <c r="AR15" s="255">
        <f>IF(AND(ISNUMBER(AR14),ISNUMBER(AM14)),IFERROR(AR14/AM14-1,""),"")</f>
        <v>-0.188983855650522</v>
      </c>
      <c r="AS15" s="255">
        <f>IF(AND(ISNUMBER(AS14),ISNUMBER(AN14)),IFERROR(AS14/AN14-1,""),"")</f>
        <v>-0.0466732869910625</v>
      </c>
      <c r="AT15" s="255">
        <f>IF(AND(ISNUMBER(AT14),ISNUMBER(AO14)),IFERROR(AT14/AO14-1,""),"")</f>
        <v>-0.27743086529884</v>
      </c>
      <c r="AU15" s="255">
        <f>IF(AND(ISNUMBER(AU14),ISNUMBER(AP14)),IFERROR(AU14/AP14-1,""),"")</f>
        <v>-0.165085388994307</v>
      </c>
      <c r="AV15" s="255">
        <f>IF(AND(ISNUMBER(AV14),ISNUMBER(AQ14)),IFERROR(AV14/AQ14-1,""),"")</f>
        <v>-0.110091743119266</v>
      </c>
      <c r="AW15" s="255">
        <f>IF(AND(ISNUMBER(AW14),ISNUMBER(AR14)),IFERROR(AW14/AR14-1,""),"")</f>
        <v>-0.152224824355972</v>
      </c>
      <c r="AX15" s="255">
        <f>IF(AND(ISNUMBER(AX14),ISNUMBER(AS14)),IFERROR(AX14/AS14-1,""),"")</f>
        <v>0.208333333333333</v>
      </c>
      <c r="AY15" s="255">
        <f>IF(AND(ISNUMBER(AY14),ISNUMBER(AT14)),IFERROR(AY14/AT14-1,""),"")</f>
        <v>0.728395061728395</v>
      </c>
      <c r="AZ15" s="255">
        <f>IF(AND(ISNUMBER(AZ14),ISNUMBER(AU14)),IFERROR(AZ14/AU14-1,""),"")</f>
        <v>0.625</v>
      </c>
      <c r="BA15" s="255">
        <f>IF(AND(ISNUMBER(BA14),ISNUMBER(AV14)),IFERROR(BA14/AV14-1,""),"")</f>
        <v>0.65979381443299</v>
      </c>
      <c r="BB15" s="255">
        <f>IF(AND(ISNUMBER(BB14),ISNUMBER(AW14)),IFERROR(BB14/AW14-1,""),"")</f>
        <v>0.546961325966851</v>
      </c>
      <c r="BC15" s="255">
        <f>IF(AND(ISNUMBER(BC14),ISNUMBER(AX14)),IFERROR(BC14/AX14-1,""),"")</f>
        <v>0.241379310344828</v>
      </c>
      <c r="BD15" s="255">
        <f>IF(AND(ISNUMBER(BD14),ISNUMBER(AY14)),IFERROR(BD14/AY14-1,""),"")</f>
        <v>-0.121428571428571</v>
      </c>
      <c r="BE15" s="255">
        <f>IF(AND(ISNUMBER(BE14),ISNUMBER(AZ14)),IFERROR(BE14/AZ14-1,""),"")</f>
        <v>-0.293706293706294</v>
      </c>
      <c r="BF15" s="255">
        <f>IF(AND(ISNUMBER(BF14),ISNUMBER(BA14)),IFERROR(BF14/BA14-1,""),"")</f>
        <v>-0.416149068322981</v>
      </c>
      <c r="BG15" s="255">
        <f>IF(AND(ISNUMBER(BG14),ISNUMBER(BB14)),IFERROR(BG14/BB14-1,""),"")</f>
        <v>-0.175</v>
      </c>
      <c r="BH15" s="255">
        <f>IF(AND(ISNUMBER(BH14),ISNUMBER(BC14)),IFERROR(BH14/BC14-1,""),"")</f>
        <v>-0.3125</v>
      </c>
      <c r="BI15" s="255">
        <f>IF(AND(ISNUMBER(BI14),ISNUMBER(BD14)),IFERROR(BI14/BD14-1,""),"")</f>
        <v>-0.170731707317073</v>
      </c>
      <c r="BJ15" s="255">
        <f>IF(AND(ISNUMBER(BJ14),ISNUMBER(BE14)),IFERROR(BJ14/BE14-1,""),"")</f>
        <v>0.00990099009900991</v>
      </c>
      <c r="BK15" s="255">
        <f>IF(AND(ISNUMBER(BK14),ISNUMBER(BF14)),IFERROR(BK14/BF14-1,""),"")</f>
        <v>0.0851063829787233</v>
      </c>
      <c r="BL15" s="255">
        <f>IF(AND(ISNUMBER(BL14),ISNUMBER(BG14)),IFERROR(BL14/BG14-1,""),"")</f>
        <v>-0.123376623376623</v>
      </c>
      <c r="BM15" s="255">
        <f>IF(AND(ISNUMBER(BM14),ISNUMBER(BH14)),IFERROR(BM14/BH14-1,""),"")</f>
        <v>0.151515151515152</v>
      </c>
      <c r="BN15" s="255">
        <f>IF(AND(ISNUMBER(BN14),ISNUMBER(BI14)),IFERROR(BN14/BI14-1,""),"")</f>
        <v>0.284313725490196</v>
      </c>
      <c r="BO15" s="255">
        <f>IF(AND(ISNUMBER(BO14),ISNUMBER(BJ14)),IFERROR(BO14/BJ14-1,""),"")</f>
        <v>0.323529411764706</v>
      </c>
      <c r="BP15" s="255">
        <f>IF(AND(ISNUMBER(BP14),ISNUMBER(BK14)),IFERROR(BP14/BK14-1,""),"")</f>
        <v>0.352941176470588</v>
      </c>
      <c r="BQ15" s="255">
        <f>IF(AND(ISNUMBER(BQ14),ISNUMBER(BL14)),IFERROR(BQ14/BL14-1,""),"")</f>
        <v>0.279012345679012</v>
      </c>
      <c r="BR15" s="255">
        <f>IF(AND(ISNUMBER(BR14),ISNUMBER(BM14)),IFERROR(BR14/BM14-1,""),"")</f>
        <v>0.210526315789474</v>
      </c>
      <c r="BS15" s="255">
        <f>IF(AND(ISNUMBER(BS14),ISNUMBER(BN14)),IFERROR(BS14/BN14-1,""),"")</f>
        <v>0.0305343511450382</v>
      </c>
      <c r="BT15" s="255">
        <f>IF(AND(ISNUMBER(BT14),ISNUMBER(BO14)),IFERROR(BT14/BO14-1,""),"")</f>
        <v>0.0814814814814815</v>
      </c>
      <c r="BU15" s="255">
        <f>IF(AND(ISNUMBER(BU14),ISNUMBER(BP14)),IFERROR(BU14/BP14-1,""),"")</f>
        <v>0.00724637681159424</v>
      </c>
      <c r="BV15" s="255">
        <f>IF(AND(ISNUMBER(BV14),ISNUMBER(BQ14)),IFERROR(BV14/BQ14-1,""),"")</f>
        <v>0.0772200772200773</v>
      </c>
      <c r="BW15" s="255">
        <f>IF(AND(ISNUMBER(BW14),ISNUMBER(BR14)),IFERROR(BW14/BR14-1,""),"")</f>
        <v>-0.00724637681159424</v>
      </c>
      <c r="BX15" s="255">
        <f>IF(AND(ISNUMBER(BX14),ISNUMBER(BS14)),IFERROR(BX14/BS14-1,""),"")</f>
        <v>0.118518518518518</v>
      </c>
      <c r="BY15" s="256">
        <f>BY16+$CA$120</f>
        <v>-0.110622086246247</v>
      </c>
      <c r="BZ15" s="256">
        <f>BZ16+$CA$120</f>
        <v>-0.110622086246247</v>
      </c>
      <c r="CA15" s="256">
        <f>IF(AND(ISNUMBER(CA14),ISNUMBER(BV14)),IFERROR(CA14/BV14-1,""),"")</f>
        <v>-0.0296188074913627</v>
      </c>
      <c r="CB15" s="256">
        <f>CHOOSE(MATCH($CF$2,{"Bull","Base","Bear"},0),$CO$43,$CP$43,$CQ$43)</f>
        <v>0.05</v>
      </c>
      <c r="CC15" s="256">
        <f>CHOOSE(MATCH($CF$2,{"Bull","Base","Bear"},0),$CO$44,$CP$44,$CQ$44)</f>
        <v>0.04</v>
      </c>
      <c r="CD15" s="256">
        <f>CHOOSE(MATCH($CF$2,{"Bull","Base","Bear"},0),$CO$45,$CP$45,$CQ$45)</f>
        <v>0.04</v>
      </c>
      <c r="CE15" s="256">
        <f>CHOOSE(MATCH($CF$2,{"Bull","Base","Bear"},0),$CO$46,$CP$46,$CQ$46)</f>
        <v>0.04</v>
      </c>
      <c r="CF15" s="153" t="n"/>
      <c r="CN15" s="25" t="inlineStr">
        <is>
          <t xml:space="preserve">  FY26 MCO revenue growth — memo</t>
        </is>
      </c>
      <c r="CO15" s="257" t="n">
        <v>0.09</v>
      </c>
      <c r="CP15" s="257" t="n">
        <v>0.08</v>
      </c>
      <c r="CQ15" s="257" t="n">
        <v>0.07000000000000001</v>
      </c>
      <c r="CR15" s="13" t="inlineStr">
        <is>
          <t>Guided "high-single-digit" (information row; the model total follows the segment end-points).</t>
        </is>
      </c>
    </row>
    <row r="16" ht="15" customHeight="1" s="251">
      <c r="B16" s="25" t="inlineStr">
        <is>
          <t xml:space="preserve">    Q3/Q4-26E growth before calibration (1H26 y/y)</t>
        </is>
      </c>
      <c r="C16" s="36"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c r="AA16" s="36" t="n"/>
      <c r="AB16" s="36" t="n"/>
      <c r="AC16" s="36" t="n"/>
      <c r="AD16" s="36" t="n"/>
      <c r="AE16" s="36" t="n"/>
      <c r="AF16" s="36" t="n"/>
      <c r="AG16" s="36" t="n"/>
      <c r="AH16" s="36" t="n"/>
      <c r="AI16" s="36" t="n"/>
      <c r="AJ16" s="36" t="n"/>
      <c r="AK16" s="36" t="n"/>
      <c r="AL16" s="36" t="n"/>
      <c r="AM16" s="36" t="n"/>
      <c r="AN16" s="36" t="n"/>
      <c r="AO16" s="36" t="n"/>
      <c r="AP16" s="36" t="n"/>
      <c r="AQ16" s="36" t="n"/>
      <c r="AR16" s="36" t="n"/>
      <c r="AS16" s="36" t="n"/>
      <c r="AT16" s="36" t="n"/>
      <c r="AU16" s="36" t="n"/>
      <c r="AV16" s="36" t="n"/>
      <c r="AW16" s="36" t="n"/>
      <c r="AX16" s="36" t="n"/>
      <c r="AY16" s="36" t="n"/>
      <c r="AZ16" s="36" t="n"/>
      <c r="BA16" s="36" t="n"/>
      <c r="BB16" s="36" t="n"/>
      <c r="BC16" s="36" t="n"/>
      <c r="BD16" s="36" t="n"/>
      <c r="BE16" s="36" t="n"/>
      <c r="BF16" s="36" t="n"/>
      <c r="BG16" s="36" t="n"/>
      <c r="BH16" s="36" t="n"/>
      <c r="BI16" s="36" t="n"/>
      <c r="BJ16" s="36" t="n"/>
      <c r="BK16" s="36" t="n"/>
      <c r="BL16" s="36" t="n"/>
      <c r="BM16" s="36" t="n"/>
      <c r="BN16" s="36" t="n"/>
      <c r="BO16" s="36" t="n"/>
      <c r="BP16" s="36" t="n"/>
      <c r="BQ16" s="36" t="n"/>
      <c r="BR16" s="36" t="n"/>
      <c r="BS16" s="36" t="n"/>
      <c r="BT16" s="36" t="n"/>
      <c r="BU16" s="36" t="n"/>
      <c r="BV16" s="36" t="n"/>
      <c r="BW16" s="36" t="n"/>
      <c r="BX16" s="36" t="n"/>
      <c r="BY16" s="256">
        <f>IFERROR(SUM(BW14:BX14)/SUM(BR14:BS14)-1,0)</f>
        <v>0.054945054945055</v>
      </c>
      <c r="BZ16" s="256">
        <f>IFERROR(SUM(BW14:BX14)/SUM(BR14:BS14)-1,0)</f>
        <v>0.054945054945055</v>
      </c>
      <c r="CA16" s="24" t="n"/>
      <c r="CB16" s="46" t="n"/>
      <c r="CC16" s="46" t="n"/>
      <c r="CD16" s="46" t="n"/>
      <c r="CE16" s="46" t="n"/>
      <c r="CF16" s="19" t="n"/>
      <c r="CN16" s="25" t="inlineStr">
        <is>
          <t xml:space="preserve">  FY26 Adjusted Operating Margin — memo</t>
        </is>
      </c>
      <c r="CO16" s="257" t="n">
        <v>0.53</v>
      </c>
      <c r="CP16" s="257" t="n">
        <v>0.525</v>
      </c>
      <c r="CQ16" s="257" t="n">
        <v>0.52</v>
      </c>
      <c r="CR16" s="13" t="inlineStr">
        <is>
          <t>Guided 52–53% (information row).</t>
        </is>
      </c>
    </row>
    <row r="17" ht="15" customHeight="1" s="251">
      <c r="B17" s="25" t="inlineStr">
        <is>
          <t xml:space="preserve">  Financial Institutions (FIG)</t>
        </is>
      </c>
      <c r="C17" s="253" t="n">
        <v>233.1</v>
      </c>
      <c r="D17" s="253" t="n">
        <v>274.3</v>
      </c>
      <c r="E17" s="253" t="n">
        <v>263</v>
      </c>
      <c r="F17" s="253" t="n">
        <v>258.5</v>
      </c>
      <c r="G17" s="253" t="n">
        <v>278.7</v>
      </c>
      <c r="H17" s="253" t="n">
        <v>294.9</v>
      </c>
      <c r="I17" s="253" t="n">
        <v>325.5</v>
      </c>
      <c r="J17" s="253" t="n">
        <v>86.5</v>
      </c>
      <c r="K17" s="253" t="n">
        <v>84.5</v>
      </c>
      <c r="L17" s="253" t="n">
        <v>78.90000000000001</v>
      </c>
      <c r="M17" s="253" t="n">
        <v>88.90000000000001</v>
      </c>
      <c r="N17" s="253" t="n">
        <v>338.8</v>
      </c>
      <c r="O17" s="253" t="n">
        <v>85.40000000000001</v>
      </c>
      <c r="P17" s="253" t="n">
        <v>92.2</v>
      </c>
      <c r="Q17" s="253" t="n">
        <v>91.8</v>
      </c>
      <c r="R17" s="253" t="n">
        <v>85.3</v>
      </c>
      <c r="S17" s="253" t="n">
        <v>354.7</v>
      </c>
      <c r="T17" s="253" t="n">
        <v>93.8</v>
      </c>
      <c r="U17" s="253" t="n">
        <v>90.40000000000001</v>
      </c>
      <c r="V17" s="253" t="n">
        <v>89.5</v>
      </c>
      <c r="W17" s="253" t="n">
        <v>91.90000000000001</v>
      </c>
      <c r="X17" s="253" t="n">
        <v>365.6</v>
      </c>
      <c r="Y17" s="253" t="n">
        <v>94.90000000000001</v>
      </c>
      <c r="Z17" s="253" t="n">
        <v>89.7</v>
      </c>
      <c r="AA17" s="253" t="n">
        <v>95.8</v>
      </c>
      <c r="AB17" s="253" t="n">
        <v>88.5</v>
      </c>
      <c r="AC17" s="253" t="n">
        <v>368.9</v>
      </c>
      <c r="AD17" s="253" t="n">
        <v>112.3</v>
      </c>
      <c r="AE17" s="253" t="n">
        <v>102.4</v>
      </c>
      <c r="AF17" s="253" t="n">
        <v>102.1</v>
      </c>
      <c r="AG17" s="253" t="n">
        <v>119</v>
      </c>
      <c r="AH17" s="253" t="n">
        <v>435.8</v>
      </c>
      <c r="AI17" s="253" t="n">
        <v>114.3</v>
      </c>
      <c r="AJ17" s="253" t="n">
        <v>120.6</v>
      </c>
      <c r="AK17" s="253" t="n">
        <v>119.5</v>
      </c>
      <c r="AL17" s="253" t="n">
        <v>87.3</v>
      </c>
      <c r="AM17" s="253" t="n">
        <v>441.7</v>
      </c>
      <c r="AN17" s="253" t="n">
        <v>115.8</v>
      </c>
      <c r="AO17" s="253" t="n">
        <v>125.2</v>
      </c>
      <c r="AP17" s="253" t="n">
        <v>120.5</v>
      </c>
      <c r="AQ17" s="253" t="n">
        <v>115</v>
      </c>
      <c r="AR17" s="253" t="n">
        <v>476</v>
      </c>
      <c r="AS17" s="253" t="n">
        <v>125</v>
      </c>
      <c r="AT17" s="253" t="n">
        <v>142</v>
      </c>
      <c r="AU17" s="253" t="n">
        <v>134</v>
      </c>
      <c r="AV17" s="253" t="n">
        <v>129</v>
      </c>
      <c r="AW17" s="253" t="n">
        <v>530</v>
      </c>
      <c r="AX17" s="253" t="n">
        <v>162</v>
      </c>
      <c r="AY17" s="253" t="n">
        <v>150</v>
      </c>
      <c r="AZ17" s="253" t="n">
        <v>153</v>
      </c>
      <c r="BA17" s="253" t="n">
        <v>137</v>
      </c>
      <c r="BB17" s="253" t="n">
        <v>602</v>
      </c>
      <c r="BC17" s="253" t="n">
        <v>131</v>
      </c>
      <c r="BD17" s="253" t="n">
        <v>128</v>
      </c>
      <c r="BE17" s="253" t="n">
        <v>109</v>
      </c>
      <c r="BF17" s="253" t="n">
        <v>123</v>
      </c>
      <c r="BG17" s="253" t="n">
        <v>491</v>
      </c>
      <c r="BH17" s="253" t="n">
        <v>142</v>
      </c>
      <c r="BI17" s="253" t="n">
        <v>145</v>
      </c>
      <c r="BJ17" s="253" t="n">
        <v>126</v>
      </c>
      <c r="BK17" s="253" t="n">
        <v>132</v>
      </c>
      <c r="BL17" s="253" t="n">
        <v>545</v>
      </c>
      <c r="BM17" s="253" t="n">
        <v>195</v>
      </c>
      <c r="BN17" s="253" t="n">
        <v>195</v>
      </c>
      <c r="BO17" s="253" t="n">
        <v>170</v>
      </c>
      <c r="BP17" s="253" t="n">
        <v>167</v>
      </c>
      <c r="BQ17" s="253" t="n">
        <v>727</v>
      </c>
      <c r="BR17" s="253" t="n">
        <v>191</v>
      </c>
      <c r="BS17" s="253" t="n">
        <v>191</v>
      </c>
      <c r="BT17" s="253" t="n">
        <v>208</v>
      </c>
      <c r="BU17" s="253" t="n">
        <v>169</v>
      </c>
      <c r="BV17" s="253" t="n">
        <v>759</v>
      </c>
      <c r="BW17" s="253" t="n">
        <v>194</v>
      </c>
      <c r="BX17" s="253" t="n">
        <v>222</v>
      </c>
      <c r="BY17" s="254">
        <f>BT17*(1+BY18)</f>
        <v>192.075123637445</v>
      </c>
      <c r="BZ17" s="254">
        <f>BU17*(1+BZ18)</f>
        <v>156.061037955424</v>
      </c>
      <c r="CA17" s="254">
        <f>SUM(BW17:BZ17)</f>
        <v>764.136161592869</v>
      </c>
      <c r="CB17" s="254">
        <f>CA17*(1+CB18)</f>
        <v>809.984331288441</v>
      </c>
      <c r="CC17" s="254">
        <f>CB17*(1+CC18)</f>
        <v>850.483547852863</v>
      </c>
      <c r="CD17" s="254">
        <f>CC17*(1+CD18)</f>
        <v>893.007725245506</v>
      </c>
      <c r="CE17" s="254">
        <f>CD17*(1+CE18)</f>
        <v>937.658111507782</v>
      </c>
      <c r="CF17" s="19" t="n"/>
      <c r="CH17" s="20">
        <f>IFERROR((CE17/BV17)^(1/5)-1,"n/m")</f>
        <v>0.0431831123044366</v>
      </c>
      <c r="CI17" s="20">
        <f>IFERROR((BV17/AW17)^(1/5)-1,"n/m")</f>
        <v>0.074467246590352</v>
      </c>
      <c r="CJ17" s="20">
        <f>IFERROR((BV17/X17)^(1/10)-1,"n/m")</f>
        <v>0.0757802301238968</v>
      </c>
      <c r="CK17" s="20">
        <f>IFERROR((BV17/C17)^(1/19)-1,"n/m")</f>
        <v>0.0641042661259406</v>
      </c>
      <c r="CN17" s="25" t="inlineStr">
        <is>
          <t xml:space="preserve">  FY26 MIS Adjusted Operating Margin — memo</t>
        </is>
      </c>
      <c r="CO17" s="257" t="n">
        <v>0.65</v>
      </c>
      <c r="CP17" s="257" t="n">
        <v>0.65</v>
      </c>
      <c r="CQ17" s="257" t="n">
        <v>0.65</v>
      </c>
      <c r="CR17" s="13" t="inlineStr">
        <is>
          <t>Guided ~65% (information row).</t>
        </is>
      </c>
    </row>
    <row r="18" ht="15" customHeight="1" s="251">
      <c r="B18" s="22" t="inlineStr">
        <is>
          <t xml:space="preserve">    y/y %</t>
        </is>
      </c>
      <c r="D18" s="255">
        <f>IF(AND(ISNUMBER(D17),ISNUMBER(C17)),IFERROR(D17/C17-1,""),"")</f>
        <v>0.176748176748177</v>
      </c>
      <c r="E18" s="255">
        <f>IF(AND(ISNUMBER(E17),ISNUMBER(D17)),IFERROR(E17/D17-1,""),"")</f>
        <v>-0.041195771053591</v>
      </c>
      <c r="F18" s="255">
        <f>IF(AND(ISNUMBER(F17),ISNUMBER(E17)),IFERROR(F17/E17-1,""),"")</f>
        <v>-0.0171102661596958</v>
      </c>
      <c r="G18" s="255">
        <f>IF(AND(ISNUMBER(G17),ISNUMBER(F17)),IFERROR(G17/F17-1,""),"")</f>
        <v>0.0781431334622824</v>
      </c>
      <c r="H18" s="255">
        <f>IF(AND(ISNUMBER(H17),ISNUMBER(G17)),IFERROR(H17/G17-1,""),"")</f>
        <v>0.0581270182992464</v>
      </c>
      <c r="I18" s="255">
        <f>IF(AND(ISNUMBER(I17),ISNUMBER(H17)),IFERROR(I17/H17-1,""),"")</f>
        <v>0.103763987792472</v>
      </c>
      <c r="N18" s="255">
        <f>IF(AND(ISNUMBER(N17),ISNUMBER(I17)),IFERROR(N17/I17-1,""),"")</f>
        <v>0.0408602150537636</v>
      </c>
      <c r="O18" s="255">
        <f>IF(AND(ISNUMBER(O17),ISNUMBER(J17)),IFERROR(O17/J17-1,""),"")</f>
        <v>-0.0127167630057803</v>
      </c>
      <c r="P18" s="255">
        <f>IF(AND(ISNUMBER(P17),ISNUMBER(K17)),IFERROR(P17/K17-1,""),"")</f>
        <v>0.0911242603550295</v>
      </c>
      <c r="Q18" s="255">
        <f>IF(AND(ISNUMBER(Q17),ISNUMBER(L17)),IFERROR(Q17/L17-1,""),"")</f>
        <v>0.163498098859316</v>
      </c>
      <c r="R18" s="255">
        <f>IF(AND(ISNUMBER(R17),ISNUMBER(M17)),IFERROR(R17/M17-1,""),"")</f>
        <v>-0.0404949381327335</v>
      </c>
      <c r="S18" s="255">
        <f>IF(AND(ISNUMBER(S17),ISNUMBER(N17)),IFERROR(S17/N17-1,""),"")</f>
        <v>0.0469303423848877</v>
      </c>
      <c r="T18" s="255">
        <f>IF(AND(ISNUMBER(T17),ISNUMBER(O17)),IFERROR(T17/O17-1,""),"")</f>
        <v>0.0983606557377048</v>
      </c>
      <c r="U18" s="255">
        <f>IF(AND(ISNUMBER(U17),ISNUMBER(P17)),IFERROR(U17/P17-1,""),"")</f>
        <v>-0.0195227765726681</v>
      </c>
      <c r="V18" s="255">
        <f>IF(AND(ISNUMBER(V17),ISNUMBER(Q17)),IFERROR(V17/Q17-1,""),"")</f>
        <v>-0.0250544662309368</v>
      </c>
      <c r="W18" s="255">
        <f>IF(AND(ISNUMBER(W17),ISNUMBER(R17)),IFERROR(W17/R17-1,""),"")</f>
        <v>0.0773739742086754</v>
      </c>
      <c r="X18" s="255">
        <f>IF(AND(ISNUMBER(X17),ISNUMBER(S17)),IFERROR(X17/S17-1,""),"")</f>
        <v>0.0307301945305893</v>
      </c>
      <c r="Y18" s="255">
        <f>IF(AND(ISNUMBER(Y17),ISNUMBER(T17)),IFERROR(Y17/T17-1,""),"")</f>
        <v>0.011727078891258</v>
      </c>
      <c r="Z18" s="255">
        <f>IF(AND(ISNUMBER(Z17),ISNUMBER(U17)),IFERROR(Z17/U17-1,""),"")</f>
        <v>-0.00774336283185839</v>
      </c>
      <c r="AA18" s="255">
        <f>IF(AND(ISNUMBER(AA17),ISNUMBER(V17)),IFERROR(AA17/V17-1,""),"")</f>
        <v>0.0703910614525138</v>
      </c>
      <c r="AB18" s="255">
        <f>IF(AND(ISNUMBER(AB17),ISNUMBER(W17)),IFERROR(AB17/W17-1,""),"")</f>
        <v>-0.0369967355821546</v>
      </c>
      <c r="AC18" s="255">
        <f>IF(AND(ISNUMBER(AC17),ISNUMBER(X17)),IFERROR(AC17/X17-1,""),"")</f>
        <v>0.00902625820568925</v>
      </c>
      <c r="AD18" s="255">
        <f>IF(AND(ISNUMBER(AD17),ISNUMBER(Y17)),IFERROR(AD17/Y17-1,""),"")</f>
        <v>0.183350895679663</v>
      </c>
      <c r="AE18" s="255">
        <f>IF(AND(ISNUMBER(AE17),ISNUMBER(Z17)),IFERROR(AE17/Z17-1,""),"")</f>
        <v>0.141583054626533</v>
      </c>
      <c r="AF18" s="255">
        <f>IF(AND(ISNUMBER(AF17),ISNUMBER(AA17)),IFERROR(AF17/AA17-1,""),"")</f>
        <v>0.0657620041753653</v>
      </c>
      <c r="AG18" s="255">
        <f>IF(AND(ISNUMBER(AG17),ISNUMBER(AB17)),IFERROR(AG17/AB17-1,""),"")</f>
        <v>0.344632768361582</v>
      </c>
      <c r="AH18" s="255">
        <f>IF(AND(ISNUMBER(AH17),ISNUMBER(AC17)),IFERROR(AH17/AC17-1,""),"")</f>
        <v>0.181349959338574</v>
      </c>
      <c r="AI18" s="255">
        <f>IF(AND(ISNUMBER(AI17),ISNUMBER(AD17)),IFERROR(AI17/AD17-1,""),"")</f>
        <v>0.0178094390026715</v>
      </c>
      <c r="AJ18" s="255">
        <f>IF(AND(ISNUMBER(AJ17),ISNUMBER(AE17)),IFERROR(AJ17/AE17-1,""),"")</f>
        <v>0.177734375</v>
      </c>
      <c r="AK18" s="255">
        <f>IF(AND(ISNUMBER(AK17),ISNUMBER(AF17)),IFERROR(AK17/AF17-1,""),"")</f>
        <v>0.170421155729677</v>
      </c>
      <c r="AL18" s="255">
        <f>IF(AND(ISNUMBER(AL17),ISNUMBER(AG17)),IFERROR(AL17/AG17-1,""),"")</f>
        <v>-0.266386554621849</v>
      </c>
      <c r="AM18" s="255">
        <f>IF(AND(ISNUMBER(AM17),ISNUMBER(AH17)),IFERROR(AM17/AH17-1,""),"")</f>
        <v>0.0135383203304267</v>
      </c>
      <c r="AN18" s="255">
        <f>IF(AND(ISNUMBER(AN17),ISNUMBER(AI17)),IFERROR(AN17/AI17-1,""),"")</f>
        <v>0.0131233595800524</v>
      </c>
      <c r="AO18" s="255">
        <f>IF(AND(ISNUMBER(AO17),ISNUMBER(AJ17)),IFERROR(AO17/AJ17-1,""),"")</f>
        <v>0.0381426202321726</v>
      </c>
      <c r="AP18" s="255">
        <f>IF(AND(ISNUMBER(AP17),ISNUMBER(AK17)),IFERROR(AP17/AK17-1,""),"")</f>
        <v>0.00836820083681999</v>
      </c>
      <c r="AQ18" s="255">
        <f>IF(AND(ISNUMBER(AQ17),ISNUMBER(AL17)),IFERROR(AQ17/AL17-1,""),"")</f>
        <v>0.31729667812142</v>
      </c>
      <c r="AR18" s="255">
        <f>IF(AND(ISNUMBER(AR17),ISNUMBER(AM17)),IFERROR(AR17/AM17-1,""),"")</f>
        <v>0.0776545166402536</v>
      </c>
      <c r="AS18" s="255">
        <f>IF(AND(ISNUMBER(AS17),ISNUMBER(AN17)),IFERROR(AS17/AN17-1,""),"")</f>
        <v>0.0794473229706392</v>
      </c>
      <c r="AT18" s="255">
        <f>IF(AND(ISNUMBER(AT17),ISNUMBER(AO17)),IFERROR(AT17/AO17-1,""),"")</f>
        <v>0.134185303514377</v>
      </c>
      <c r="AU18" s="255">
        <f>IF(AND(ISNUMBER(AU17),ISNUMBER(AP17)),IFERROR(AU17/AP17-1,""),"")</f>
        <v>0.112033195020747</v>
      </c>
      <c r="AV18" s="255">
        <f>IF(AND(ISNUMBER(AV17),ISNUMBER(AQ17)),IFERROR(AV17/AQ17-1,""),"")</f>
        <v>0.121739130434783</v>
      </c>
      <c r="AW18" s="255">
        <f>IF(AND(ISNUMBER(AW17),ISNUMBER(AR17)),IFERROR(AW17/AR17-1,""),"")</f>
        <v>0.113445378151261</v>
      </c>
      <c r="AX18" s="255">
        <f>IF(AND(ISNUMBER(AX17),ISNUMBER(AS17)),IFERROR(AX17/AS17-1,""),"")</f>
        <v>0.296</v>
      </c>
      <c r="AY18" s="255">
        <f>IF(AND(ISNUMBER(AY17),ISNUMBER(AT17)),IFERROR(AY17/AT17-1,""),"")</f>
        <v>0.056338028169014</v>
      </c>
      <c r="AZ18" s="255">
        <f>IF(AND(ISNUMBER(AZ17),ISNUMBER(AU17)),IFERROR(AZ17/AU17-1,""),"")</f>
        <v>0.141791044776119</v>
      </c>
      <c r="BA18" s="255">
        <f>IF(AND(ISNUMBER(BA17),ISNUMBER(AV17)),IFERROR(BA17/AV17-1,""),"")</f>
        <v>0.0620155038759691</v>
      </c>
      <c r="BB18" s="255">
        <f>IF(AND(ISNUMBER(BB17),ISNUMBER(AW17)),IFERROR(BB17/AW17-1,""),"")</f>
        <v>0.135849056603774</v>
      </c>
      <c r="BC18" s="255">
        <f>IF(AND(ISNUMBER(BC17),ISNUMBER(AX17)),IFERROR(BC17/AX17-1,""),"")</f>
        <v>-0.191358024691358</v>
      </c>
      <c r="BD18" s="255">
        <f>IF(AND(ISNUMBER(BD17),ISNUMBER(AY17)),IFERROR(BD17/AY17-1,""),"")</f>
        <v>-0.146666666666667</v>
      </c>
      <c r="BE18" s="255">
        <f>IF(AND(ISNUMBER(BE17),ISNUMBER(AZ17)),IFERROR(BE17/AZ17-1,""),"")</f>
        <v>-0.287581699346405</v>
      </c>
      <c r="BF18" s="255">
        <f>IF(AND(ISNUMBER(BF17),ISNUMBER(BA17)),IFERROR(BF17/BA17-1,""),"")</f>
        <v>-0.102189781021898</v>
      </c>
      <c r="BG18" s="255">
        <f>IF(AND(ISNUMBER(BG17),ISNUMBER(BB17)),IFERROR(BG17/BB17-1,""),"")</f>
        <v>-0.184385382059801</v>
      </c>
      <c r="BH18" s="255">
        <f>IF(AND(ISNUMBER(BH17),ISNUMBER(BC17)),IFERROR(BH17/BC17-1,""),"")</f>
        <v>0.083969465648855</v>
      </c>
      <c r="BI18" s="255">
        <f>IF(AND(ISNUMBER(BI17),ISNUMBER(BD17)),IFERROR(BI17/BD17-1,""),"")</f>
        <v>0.1328125</v>
      </c>
      <c r="BJ18" s="255">
        <f>IF(AND(ISNUMBER(BJ17),ISNUMBER(BE17)),IFERROR(BJ17/BE17-1,""),"")</f>
        <v>0.155963302752294</v>
      </c>
      <c r="BK18" s="255">
        <f>IF(AND(ISNUMBER(BK17),ISNUMBER(BF17)),IFERROR(BK17/BF17-1,""),"")</f>
        <v>0.0731707317073171</v>
      </c>
      <c r="BL18" s="255">
        <f>IF(AND(ISNUMBER(BL17),ISNUMBER(BG17)),IFERROR(BL17/BG17-1,""),"")</f>
        <v>0.109979633401222</v>
      </c>
      <c r="BM18" s="255">
        <f>IF(AND(ISNUMBER(BM17),ISNUMBER(BH17)),IFERROR(BM17/BH17-1,""),"")</f>
        <v>0.373239436619718</v>
      </c>
      <c r="BN18" s="255">
        <f>IF(AND(ISNUMBER(BN17),ISNUMBER(BI17)),IFERROR(BN17/BI17-1,""),"")</f>
        <v>0.344827586206897</v>
      </c>
      <c r="BO18" s="255">
        <f>IF(AND(ISNUMBER(BO17),ISNUMBER(BJ17)),IFERROR(BO17/BJ17-1,""),"")</f>
        <v>0.349206349206349</v>
      </c>
      <c r="BP18" s="255">
        <f>IF(AND(ISNUMBER(BP17),ISNUMBER(BK17)),IFERROR(BP17/BK17-1,""),"")</f>
        <v>0.265151515151515</v>
      </c>
      <c r="BQ18" s="255">
        <f>IF(AND(ISNUMBER(BQ17),ISNUMBER(BL17)),IFERROR(BQ17/BL17-1,""),"")</f>
        <v>0.33394495412844</v>
      </c>
      <c r="BR18" s="255">
        <f>IF(AND(ISNUMBER(BR17),ISNUMBER(BM17)),IFERROR(BR17/BM17-1,""),"")</f>
        <v>-0.0205128205128206</v>
      </c>
      <c r="BS18" s="255">
        <f>IF(AND(ISNUMBER(BS17),ISNUMBER(BN17)),IFERROR(BS17/BN17-1,""),"")</f>
        <v>-0.0205128205128206</v>
      </c>
      <c r="BT18" s="255">
        <f>IF(AND(ISNUMBER(BT17),ISNUMBER(BO17)),IFERROR(BT17/BO17-1,""),"")</f>
        <v>0.223529411764706</v>
      </c>
      <c r="BU18" s="255">
        <f>IF(AND(ISNUMBER(BU17),ISNUMBER(BP17)),IFERROR(BU17/BP17-1,""),"")</f>
        <v>0.0119760479041917</v>
      </c>
      <c r="BV18" s="255">
        <f>IF(AND(ISNUMBER(BV17),ISNUMBER(BQ17)),IFERROR(BV17/BQ17-1,""),"")</f>
        <v>0.0440165061898212</v>
      </c>
      <c r="BW18" s="255">
        <f>IF(AND(ISNUMBER(BW17),ISNUMBER(BR17)),IFERROR(BW17/BR17-1,""),"")</f>
        <v>0.0157068062827226</v>
      </c>
      <c r="BX18" s="255">
        <f>IF(AND(ISNUMBER(BX17),ISNUMBER(BS17)),IFERROR(BX17/BS17-1,""),"")</f>
        <v>0.162303664921466</v>
      </c>
      <c r="BY18" s="256">
        <f>BY19+$CA$120</f>
        <v>-0.0765619055892077</v>
      </c>
      <c r="BZ18" s="256">
        <f>BZ19+$CA$120</f>
        <v>-0.0765619055892077</v>
      </c>
      <c r="CA18" s="256">
        <f>IF(AND(ISNUMBER(CA17),ISNUMBER(BV17)),IFERROR(CA17/BV17-1,""),"")</f>
        <v>0.00676701132130253</v>
      </c>
      <c r="CB18" s="256">
        <f>CHOOSE(MATCH($CF$2,{"Bull","Base","Bear"},0),$CO$48,$CP$48,$CQ$48)</f>
        <v>0.06</v>
      </c>
      <c r="CC18" s="256">
        <f>CHOOSE(MATCH($CF$2,{"Bull","Base","Bear"},0),$CO$49,$CP$49,$CQ$49)</f>
        <v>0.05</v>
      </c>
      <c r="CD18" s="256">
        <f>CHOOSE(MATCH($CF$2,{"Bull","Base","Bear"},0),$CO$50,$CP$50,$CQ$50)</f>
        <v>0.05</v>
      </c>
      <c r="CE18" s="256">
        <f>CHOOSE(MATCH($CF$2,{"Bull","Base","Bear"},0),$CO$51,$CP$51,$CQ$51)</f>
        <v>0.05</v>
      </c>
      <c r="CF18" s="153" t="n"/>
      <c r="CN18" s="25" t="inlineStr">
        <is>
          <t xml:space="preserve">  FY26 MA Adjusted Operating Margin — memo</t>
        </is>
      </c>
      <c r="CO18" s="257" t="n">
        <v>0.35</v>
      </c>
      <c r="CP18" s="257" t="n">
        <v>0.345</v>
      </c>
      <c r="CQ18" s="257" t="n">
        <v>0.34</v>
      </c>
      <c r="CR18" s="13" t="inlineStr">
        <is>
          <t>Guided 34–35% (information row).</t>
        </is>
      </c>
    </row>
    <row r="19" ht="15" customHeight="1" s="251">
      <c r="B19" s="25" t="inlineStr">
        <is>
          <t xml:space="preserve">    Q3/Q4-26E growth before calibration (1H26 y/y)</t>
        </is>
      </c>
      <c r="C19" s="36"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c r="AA19" s="36" t="n"/>
      <c r="AB19" s="36" t="n"/>
      <c r="AC19" s="36" t="n"/>
      <c r="AD19" s="36" t="n"/>
      <c r="AE19" s="36" t="n"/>
      <c r="AF19" s="36" t="n"/>
      <c r="AG19" s="36" t="n"/>
      <c r="AH19" s="36" t="n"/>
      <c r="AI19" s="36" t="n"/>
      <c r="AJ19" s="36" t="n"/>
      <c r="AK19" s="36" t="n"/>
      <c r="AL19" s="36" t="n"/>
      <c r="AM19" s="36" t="n"/>
      <c r="AN19" s="36" t="n"/>
      <c r="AO19" s="36" t="n"/>
      <c r="AP19" s="36" t="n"/>
      <c r="AQ19" s="36" t="n"/>
      <c r="AR19" s="36" t="n"/>
      <c r="AS19" s="36" t="n"/>
      <c r="AT19" s="36" t="n"/>
      <c r="AU19" s="36" t="n"/>
      <c r="AV19" s="36" t="n"/>
      <c r="AW19" s="36" t="n"/>
      <c r="AX19" s="36" t="n"/>
      <c r="AY19" s="36" t="n"/>
      <c r="AZ19" s="36" t="n"/>
      <c r="BA19" s="36" t="n"/>
      <c r="BB19" s="36" t="n"/>
      <c r="BC19" s="36" t="n"/>
      <c r="BD19" s="36" t="n"/>
      <c r="BE19" s="36" t="n"/>
      <c r="BF19" s="36" t="n"/>
      <c r="BG19" s="36" t="n"/>
      <c r="BH19" s="36" t="n"/>
      <c r="BI19" s="36" t="n"/>
      <c r="BJ19" s="36" t="n"/>
      <c r="BK19" s="36" t="n"/>
      <c r="BL19" s="36" t="n"/>
      <c r="BM19" s="36" t="n"/>
      <c r="BN19" s="36" t="n"/>
      <c r="BO19" s="36" t="n"/>
      <c r="BP19" s="36" t="n"/>
      <c r="BQ19" s="36" t="n"/>
      <c r="BR19" s="36" t="n"/>
      <c r="BS19" s="36" t="n"/>
      <c r="BT19" s="36" t="n"/>
      <c r="BU19" s="36" t="n"/>
      <c r="BV19" s="36" t="n"/>
      <c r="BW19" s="36" t="n"/>
      <c r="BX19" s="36" t="n"/>
      <c r="BY19" s="256">
        <f>IFERROR(SUM(BW17:BX17)/SUM(BR17:BS17)-1,0)</f>
        <v>0.0890052356020943</v>
      </c>
      <c r="BZ19" s="256">
        <f>IFERROR(SUM(BW17:BX17)/SUM(BR17:BS17)-1,0)</f>
        <v>0.0890052356020943</v>
      </c>
      <c r="CA19" s="24" t="n"/>
      <c r="CB19" s="46" t="n"/>
      <c r="CC19" s="46" t="n"/>
      <c r="CD19" s="46" t="n"/>
      <c r="CE19" s="46" t="n"/>
      <c r="CF19" s="19" t="n"/>
      <c r="CN19" s="25" t="inlineStr">
        <is>
          <t xml:space="preserve">  FY26 diluted EPS ($) — memo</t>
        </is>
      </c>
      <c r="CO19" s="258" t="n">
        <v>16.5</v>
      </c>
      <c r="CP19" s="258" t="n">
        <v>16.25</v>
      </c>
      <c r="CQ19" s="258" t="n">
        <v>16</v>
      </c>
      <c r="CR19" s="13" t="inlineStr">
        <is>
          <t>Guided $16.00–16.50 (information row).</t>
        </is>
      </c>
    </row>
    <row r="20" ht="15" customHeight="1" s="251">
      <c r="B20" s="25" t="inlineStr">
        <is>
          <t xml:space="preserve">  Public, Project &amp; Infrastructure Finance (PPIF)</t>
        </is>
      </c>
      <c r="C20" s="253" t="n">
        <v>198.2</v>
      </c>
      <c r="D20" s="253" t="n">
        <v>220.8</v>
      </c>
      <c r="E20" s="253" t="n">
        <v>230</v>
      </c>
      <c r="F20" s="253" t="n">
        <v>246.1</v>
      </c>
      <c r="G20" s="253" t="n">
        <v>271.6</v>
      </c>
      <c r="H20" s="253" t="n">
        <v>277.3</v>
      </c>
      <c r="I20" s="253" t="n">
        <v>322.7</v>
      </c>
      <c r="J20" s="253" t="n">
        <v>83.40000000000001</v>
      </c>
      <c r="K20" s="253" t="n">
        <v>92.7</v>
      </c>
      <c r="L20" s="253" t="n">
        <v>82.7</v>
      </c>
      <c r="M20" s="253" t="n">
        <v>82.5</v>
      </c>
      <c r="N20" s="253" t="n">
        <v>341.3</v>
      </c>
      <c r="O20" s="253" t="n">
        <v>80.7</v>
      </c>
      <c r="P20" s="253" t="n">
        <v>98</v>
      </c>
      <c r="Q20" s="253" t="n">
        <v>88.5</v>
      </c>
      <c r="R20" s="253" t="n">
        <v>90.09999999999999</v>
      </c>
      <c r="S20" s="253" t="n">
        <v>357.3</v>
      </c>
      <c r="T20" s="253" t="n">
        <v>100.7</v>
      </c>
      <c r="U20" s="253" t="n">
        <v>99.90000000000001</v>
      </c>
      <c r="V20" s="253" t="n">
        <v>90.59999999999999</v>
      </c>
      <c r="W20" s="253" t="n">
        <v>85.2</v>
      </c>
      <c r="X20" s="253" t="n">
        <v>376.4</v>
      </c>
      <c r="Y20" s="253" t="n">
        <v>91.5</v>
      </c>
      <c r="Z20" s="253" t="n">
        <v>112.3</v>
      </c>
      <c r="AA20" s="253" t="n">
        <v>105.2</v>
      </c>
      <c r="AB20" s="253" t="n">
        <v>103.2</v>
      </c>
      <c r="AC20" s="253" t="n">
        <v>412.2</v>
      </c>
      <c r="AD20" s="253" t="n">
        <v>98.09999999999999</v>
      </c>
      <c r="AE20" s="253" t="n">
        <v>104.7</v>
      </c>
      <c r="AF20" s="253" t="n">
        <v>109.2</v>
      </c>
      <c r="AG20" s="253" t="n">
        <v>119.3</v>
      </c>
      <c r="AH20" s="253" t="n">
        <v>431.3</v>
      </c>
      <c r="AI20" s="253" t="n">
        <v>93.2</v>
      </c>
      <c r="AJ20" s="253" t="n">
        <v>108.1</v>
      </c>
      <c r="AK20" s="253" t="n">
        <v>99</v>
      </c>
      <c r="AL20" s="253" t="n">
        <v>90.8</v>
      </c>
      <c r="AM20" s="253" t="n">
        <v>391.1</v>
      </c>
      <c r="AN20" s="253" t="n">
        <v>92.7</v>
      </c>
      <c r="AO20" s="253" t="n">
        <v>108.6</v>
      </c>
      <c r="AP20" s="253" t="n">
        <v>119.8</v>
      </c>
      <c r="AQ20" s="253" t="n">
        <v>125</v>
      </c>
      <c r="AR20" s="253" t="n">
        <v>446</v>
      </c>
      <c r="AS20" s="253" t="n">
        <v>109</v>
      </c>
      <c r="AT20" s="253" t="n">
        <v>133</v>
      </c>
      <c r="AU20" s="253" t="n">
        <v>133</v>
      </c>
      <c r="AV20" s="253" t="n">
        <v>121</v>
      </c>
      <c r="AW20" s="253" t="n">
        <v>496</v>
      </c>
      <c r="AX20" s="253" t="n">
        <v>143</v>
      </c>
      <c r="AY20" s="253" t="n">
        <v>130</v>
      </c>
      <c r="AZ20" s="253" t="n">
        <v>130</v>
      </c>
      <c r="BA20" s="253" t="n">
        <v>118</v>
      </c>
      <c r="BB20" s="253" t="n">
        <v>521</v>
      </c>
      <c r="BC20" s="253" t="n">
        <v>123</v>
      </c>
      <c r="BD20" s="253" t="n">
        <v>122</v>
      </c>
      <c r="BE20" s="253" t="n">
        <v>92</v>
      </c>
      <c r="BF20" s="253" t="n">
        <v>94</v>
      </c>
      <c r="BG20" s="253" t="n">
        <v>431</v>
      </c>
      <c r="BH20" s="253" t="n">
        <v>129</v>
      </c>
      <c r="BI20" s="253" t="n">
        <v>127</v>
      </c>
      <c r="BJ20" s="253" t="n">
        <v>115</v>
      </c>
      <c r="BK20" s="253" t="n">
        <v>105</v>
      </c>
      <c r="BL20" s="253" t="n">
        <v>476</v>
      </c>
      <c r="BM20" s="253" t="n">
        <v>141</v>
      </c>
      <c r="BN20" s="253" t="n">
        <v>154</v>
      </c>
      <c r="BO20" s="253" t="n">
        <v>154</v>
      </c>
      <c r="BP20" s="253" t="n">
        <v>115</v>
      </c>
      <c r="BQ20" s="253" t="n">
        <v>564</v>
      </c>
      <c r="BR20" s="253" t="n">
        <v>163</v>
      </c>
      <c r="BS20" s="253" t="n">
        <v>162</v>
      </c>
      <c r="BT20" s="253" t="n">
        <v>161</v>
      </c>
      <c r="BU20" s="253" t="n">
        <v>149</v>
      </c>
      <c r="BV20" s="253" t="n">
        <v>635</v>
      </c>
      <c r="BW20" s="253" t="n">
        <v>176</v>
      </c>
      <c r="BX20" s="253" t="n">
        <v>224</v>
      </c>
      <c r="BY20" s="254">
        <f>BT20*(1+BY21)</f>
        <v>171.497536422047</v>
      </c>
      <c r="BZ20" s="254">
        <f>BU20*(1+BZ21)</f>
        <v>158.715111347111</v>
      </c>
      <c r="CA20" s="254">
        <f>SUM(BW20:BZ20)</f>
        <v>730.212647769158</v>
      </c>
      <c r="CB20" s="254">
        <f>CA20*(1+CB21)</f>
        <v>774.025406635307</v>
      </c>
      <c r="CC20" s="254">
        <f>CB20*(1+CC21)</f>
        <v>820.466931033426</v>
      </c>
      <c r="CD20" s="254">
        <f>CC20*(1+CD21)</f>
        <v>861.490277585097</v>
      </c>
      <c r="CE20" s="254">
        <f>CD20*(1+CE21)</f>
        <v>904.564791464352</v>
      </c>
      <c r="CF20" s="19" t="n"/>
      <c r="CH20" s="20">
        <f>IFERROR((CE20/BV20)^(1/5)-1,"n/m")</f>
        <v>0.073329808789443</v>
      </c>
      <c r="CI20" s="20">
        <f>IFERROR((BV20/AW20)^(1/5)-1,"n/m")</f>
        <v>0.0506508344013563</v>
      </c>
      <c r="CJ20" s="20">
        <f>IFERROR((BV20/X20)^(1/10)-1,"n/m")</f>
        <v>0.0536889146019848</v>
      </c>
      <c r="CK20" s="20">
        <f>IFERROR((BV20/C20)^(1/19)-1,"n/m")</f>
        <v>0.0631981554657537</v>
      </c>
      <c r="CN20" s="25" t="inlineStr">
        <is>
          <t xml:space="preserve">  FY26 Free Cash Flow ($m) — memo</t>
        </is>
      </c>
      <c r="CO20" s="259" t="n">
        <v>2900</v>
      </c>
      <c r="CP20" s="259" t="n">
        <v>2800</v>
      </c>
      <c r="CQ20" s="259" t="n">
        <v>2700</v>
      </c>
      <c r="CR20" s="13" t="inlineStr">
        <is>
          <t>Guided $2.7–2.9bn (operating cash flow $3.15–3.35bn less capex ~$450m) (information row).</t>
        </is>
      </c>
    </row>
    <row r="21" ht="15" customHeight="1" s="251">
      <c r="B21" s="22" t="inlineStr">
        <is>
          <t xml:space="preserve">    y/y %</t>
        </is>
      </c>
      <c r="D21" s="255">
        <f>IF(AND(ISNUMBER(D20),ISNUMBER(C20)),IFERROR(D20/C20-1,""),"")</f>
        <v>0.114026236125126</v>
      </c>
      <c r="E21" s="255">
        <f>IF(AND(ISNUMBER(E20),ISNUMBER(D20)),IFERROR(E20/D20-1,""),"")</f>
        <v>0.0416666666666665</v>
      </c>
      <c r="F21" s="255">
        <f>IF(AND(ISNUMBER(F20),ISNUMBER(E20)),IFERROR(F20/E20-1,""),"")</f>
        <v>0.0700000000000001</v>
      </c>
      <c r="G21" s="255">
        <f>IF(AND(ISNUMBER(G20),ISNUMBER(F20)),IFERROR(G20/F20-1,""),"")</f>
        <v>0.10361641609102</v>
      </c>
      <c r="H21" s="255">
        <f>IF(AND(ISNUMBER(H20),ISNUMBER(G20)),IFERROR(H20/G20-1,""),"")</f>
        <v>0.0209867452135493</v>
      </c>
      <c r="I21" s="255">
        <f>IF(AND(ISNUMBER(I20),ISNUMBER(H20)),IFERROR(I20/H20-1,""),"")</f>
        <v>0.163721601153985</v>
      </c>
      <c r="N21" s="255">
        <f>IF(AND(ISNUMBER(N20),ISNUMBER(I20)),IFERROR(N20/I20-1,""),"")</f>
        <v>0.0576386736907346</v>
      </c>
      <c r="O21" s="255">
        <f>IF(AND(ISNUMBER(O20),ISNUMBER(J20)),IFERROR(O20/J20-1,""),"")</f>
        <v>-0.0323741007194245</v>
      </c>
      <c r="P21" s="255">
        <f>IF(AND(ISNUMBER(P20),ISNUMBER(K20)),IFERROR(P20/K20-1,""),"")</f>
        <v>0.0571736785329018</v>
      </c>
      <c r="Q21" s="255">
        <f>IF(AND(ISNUMBER(Q20),ISNUMBER(L20)),IFERROR(Q20/L20-1,""),"")</f>
        <v>0.0701330108827085</v>
      </c>
      <c r="R21" s="255">
        <f>IF(AND(ISNUMBER(R20),ISNUMBER(M20)),IFERROR(R20/M20-1,""),"")</f>
        <v>0.0921212121212121</v>
      </c>
      <c r="S21" s="255">
        <f>IF(AND(ISNUMBER(S20),ISNUMBER(N20)),IFERROR(S20/N20-1,""),"")</f>
        <v>0.0468795780837972</v>
      </c>
      <c r="T21" s="255">
        <f>IF(AND(ISNUMBER(T20),ISNUMBER(O20)),IFERROR(T20/O20-1,""),"")</f>
        <v>0.247831474597274</v>
      </c>
      <c r="U21" s="255">
        <f>IF(AND(ISNUMBER(U20),ISNUMBER(P20)),IFERROR(U20/P20-1,""),"")</f>
        <v>0.0193877551020409</v>
      </c>
      <c r="V21" s="255">
        <f>IF(AND(ISNUMBER(V20),ISNUMBER(Q20)),IFERROR(V20/Q20-1,""),"")</f>
        <v>0.0237288135593219</v>
      </c>
      <c r="W21" s="255">
        <f>IF(AND(ISNUMBER(W20),ISNUMBER(R20)),IFERROR(W20/R20-1,""),"")</f>
        <v>-0.0543840177580466</v>
      </c>
      <c r="X21" s="255">
        <f>IF(AND(ISNUMBER(X20),ISNUMBER(S20)),IFERROR(X20/S20-1,""),"")</f>
        <v>0.0534564791491743</v>
      </c>
      <c r="Y21" s="255">
        <f>IF(AND(ISNUMBER(Y20),ISNUMBER(T20)),IFERROR(Y20/T20-1,""),"")</f>
        <v>-0.0913604766633566</v>
      </c>
      <c r="Z21" s="255">
        <f>IF(AND(ISNUMBER(Z20),ISNUMBER(U20)),IFERROR(Z20/U20-1,""),"")</f>
        <v>0.124124124124124</v>
      </c>
      <c r="AA21" s="255">
        <f>IF(AND(ISNUMBER(AA20),ISNUMBER(V20)),IFERROR(AA20/V20-1,""),"")</f>
        <v>0.161147902869757</v>
      </c>
      <c r="AB21" s="255">
        <f>IF(AND(ISNUMBER(AB20),ISNUMBER(W20)),IFERROR(AB20/W20-1,""),"")</f>
        <v>0.211267605633803</v>
      </c>
      <c r="AC21" s="255">
        <f>IF(AND(ISNUMBER(AC20),ISNUMBER(X20)),IFERROR(AC20/X20-1,""),"")</f>
        <v>0.0951115834218916</v>
      </c>
      <c r="AD21" s="255">
        <f>IF(AND(ISNUMBER(AD20),ISNUMBER(Y20)),IFERROR(AD20/Y20-1,""),"")</f>
        <v>0.0721311475409836</v>
      </c>
      <c r="AE21" s="255">
        <f>IF(AND(ISNUMBER(AE20),ISNUMBER(Z20)),IFERROR(AE20/Z20-1,""),"")</f>
        <v>-0.0676758682101514</v>
      </c>
      <c r="AF21" s="255">
        <f>IF(AND(ISNUMBER(AF20),ISNUMBER(AA20)),IFERROR(AF20/AA20-1,""),"")</f>
        <v>0.038022813688213</v>
      </c>
      <c r="AG21" s="255">
        <f>IF(AND(ISNUMBER(AG20),ISNUMBER(AB20)),IFERROR(AG20/AB20-1,""),"")</f>
        <v>0.156007751937984</v>
      </c>
      <c r="AH21" s="255">
        <f>IF(AND(ISNUMBER(AH20),ISNUMBER(AC20)),IFERROR(AH20/AC20-1,""),"")</f>
        <v>0.0463367297428434</v>
      </c>
      <c r="AI21" s="255">
        <f>IF(AND(ISNUMBER(AI20),ISNUMBER(AD20)),IFERROR(AI20/AD20-1,""),"")</f>
        <v>-0.0499490316004076</v>
      </c>
      <c r="AJ21" s="255">
        <f>IF(AND(ISNUMBER(AJ20),ISNUMBER(AE20)),IFERROR(AJ20/AE20-1,""),"")</f>
        <v>0.032473734479465</v>
      </c>
      <c r="AK21" s="255">
        <f>IF(AND(ISNUMBER(AK20),ISNUMBER(AF20)),IFERROR(AK20/AF20-1,""),"")</f>
        <v>-0.0934065934065934</v>
      </c>
      <c r="AL21" s="255">
        <f>IF(AND(ISNUMBER(AL20),ISNUMBER(AG20)),IFERROR(AL20/AG20-1,""),"")</f>
        <v>-0.238893545683152</v>
      </c>
      <c r="AM21" s="255">
        <f>IF(AND(ISNUMBER(AM20),ISNUMBER(AH20)),IFERROR(AM20/AH20-1,""),"")</f>
        <v>-0.0932065847437978</v>
      </c>
      <c r="AN21" s="255">
        <f>IF(AND(ISNUMBER(AN20),ISNUMBER(AI20)),IFERROR(AN20/AI20-1,""),"")</f>
        <v>-0.00536480686695284</v>
      </c>
      <c r="AO21" s="255">
        <f>IF(AND(ISNUMBER(AO20),ISNUMBER(AJ20)),IFERROR(AO20/AJ20-1,""),"")</f>
        <v>0.00462534690101757</v>
      </c>
      <c r="AP21" s="255">
        <f>IF(AND(ISNUMBER(AP20),ISNUMBER(AK20)),IFERROR(AP20/AK20-1,""),"")</f>
        <v>0.21010101010101</v>
      </c>
      <c r="AQ21" s="255">
        <f>IF(AND(ISNUMBER(AQ20),ISNUMBER(AL20)),IFERROR(AQ20/AL20-1,""),"")</f>
        <v>0.376651982378855</v>
      </c>
      <c r="AR21" s="255">
        <f>IF(AND(ISNUMBER(AR20),ISNUMBER(AM20)),IFERROR(AR20/AM20-1,""),"")</f>
        <v>0.140373306059831</v>
      </c>
      <c r="AS21" s="255">
        <f>IF(AND(ISNUMBER(AS20),ISNUMBER(AN20)),IFERROR(AS20/AN20-1,""),"")</f>
        <v>0.175836030204962</v>
      </c>
      <c r="AT21" s="255">
        <f>IF(AND(ISNUMBER(AT20),ISNUMBER(AO20)),IFERROR(AT20/AO20-1,""),"")</f>
        <v>0.224677716390424</v>
      </c>
      <c r="AU21" s="255">
        <f>IF(AND(ISNUMBER(AU20),ISNUMBER(AP20)),IFERROR(AU20/AP20-1,""),"")</f>
        <v>0.110183639398998</v>
      </c>
      <c r="AV21" s="255">
        <f>IF(AND(ISNUMBER(AV20),ISNUMBER(AQ20)),IFERROR(AV20/AQ20-1,""),"")</f>
        <v>-0.032</v>
      </c>
      <c r="AW21" s="255">
        <f>IF(AND(ISNUMBER(AW20),ISNUMBER(AR20)),IFERROR(AW20/AR20-1,""),"")</f>
        <v>0.112107623318386</v>
      </c>
      <c r="AX21" s="255">
        <f>IF(AND(ISNUMBER(AX20),ISNUMBER(AS20)),IFERROR(AX20/AS20-1,""),"")</f>
        <v>0.311926605504587</v>
      </c>
      <c r="AY21" s="255">
        <f>IF(AND(ISNUMBER(AY20),ISNUMBER(AT20)),IFERROR(AY20/AT20-1,""),"")</f>
        <v>-0.0225563909774437</v>
      </c>
      <c r="AZ21" s="255">
        <f>IF(AND(ISNUMBER(AZ20),ISNUMBER(AU20)),IFERROR(AZ20/AU20-1,""),"")</f>
        <v>-0.0225563909774437</v>
      </c>
      <c r="BA21" s="255">
        <f>IF(AND(ISNUMBER(BA20),ISNUMBER(AV20)),IFERROR(BA20/AV20-1,""),"")</f>
        <v>-0.0247933884297521</v>
      </c>
      <c r="BB21" s="255">
        <f>IF(AND(ISNUMBER(BB20),ISNUMBER(AW20)),IFERROR(BB20/AW20-1,""),"")</f>
        <v>0.0504032258064515</v>
      </c>
      <c r="BC21" s="255">
        <f>IF(AND(ISNUMBER(BC20),ISNUMBER(AX20)),IFERROR(BC20/AX20-1,""),"")</f>
        <v>-0.13986013986014</v>
      </c>
      <c r="BD21" s="255">
        <f>IF(AND(ISNUMBER(BD20),ISNUMBER(AY20)),IFERROR(BD20/AY20-1,""),"")</f>
        <v>-0.0615384615384615</v>
      </c>
      <c r="BE21" s="255">
        <f>IF(AND(ISNUMBER(BE20),ISNUMBER(AZ20)),IFERROR(BE20/AZ20-1,""),"")</f>
        <v>-0.292307692307692</v>
      </c>
      <c r="BF21" s="255">
        <f>IF(AND(ISNUMBER(BF20),ISNUMBER(BA20)),IFERROR(BF20/BA20-1,""),"")</f>
        <v>-0.203389830508475</v>
      </c>
      <c r="BG21" s="255">
        <f>IF(AND(ISNUMBER(BG20),ISNUMBER(BB20)),IFERROR(BG20/BB20-1,""),"")</f>
        <v>-0.17274472168906</v>
      </c>
      <c r="BH21" s="255">
        <f>IF(AND(ISNUMBER(BH20),ISNUMBER(BC20)),IFERROR(BH20/BC20-1,""),"")</f>
        <v>0.0487804878048781</v>
      </c>
      <c r="BI21" s="255">
        <f>IF(AND(ISNUMBER(BI20),ISNUMBER(BD20)),IFERROR(BI20/BD20-1,""),"")</f>
        <v>0.040983606557377</v>
      </c>
      <c r="BJ21" s="255">
        <f>IF(AND(ISNUMBER(BJ20),ISNUMBER(BE20)),IFERROR(BJ20/BE20-1,""),"")</f>
        <v>0.25</v>
      </c>
      <c r="BK21" s="255">
        <f>IF(AND(ISNUMBER(BK20),ISNUMBER(BF20)),IFERROR(BK20/BF20-1,""),"")</f>
        <v>0.117021276595745</v>
      </c>
      <c r="BL21" s="255">
        <f>IF(AND(ISNUMBER(BL20),ISNUMBER(BG20)),IFERROR(BL20/BG20-1,""),"")</f>
        <v>0.104408352668213</v>
      </c>
      <c r="BM21" s="255">
        <f>IF(AND(ISNUMBER(BM20),ISNUMBER(BH20)),IFERROR(BM20/BH20-1,""),"")</f>
        <v>0.0930232558139534</v>
      </c>
      <c r="BN21" s="255">
        <f>IF(AND(ISNUMBER(BN20),ISNUMBER(BI20)),IFERROR(BN20/BI20-1,""),"")</f>
        <v>0.21259842519685</v>
      </c>
      <c r="BO21" s="255">
        <f>IF(AND(ISNUMBER(BO20),ISNUMBER(BJ20)),IFERROR(BO20/BJ20-1,""),"")</f>
        <v>0.339130434782609</v>
      </c>
      <c r="BP21" s="255">
        <f>IF(AND(ISNUMBER(BP20),ISNUMBER(BK20)),IFERROR(BP20/BK20-1,""),"")</f>
        <v>0.0952380952380953</v>
      </c>
      <c r="BQ21" s="255">
        <f>IF(AND(ISNUMBER(BQ20),ISNUMBER(BL20)),IFERROR(BQ20/BL20-1,""),"")</f>
        <v>0.184873949579832</v>
      </c>
      <c r="BR21" s="255">
        <f>IF(AND(ISNUMBER(BR20),ISNUMBER(BM20)),IFERROR(BR20/BM20-1,""),"")</f>
        <v>0.156028368794326</v>
      </c>
      <c r="BS21" s="255">
        <f>IF(AND(ISNUMBER(BS20),ISNUMBER(BN20)),IFERROR(BS20/BN20-1,""),"")</f>
        <v>0.051948051948052</v>
      </c>
      <c r="BT21" s="255">
        <f>IF(AND(ISNUMBER(BT20),ISNUMBER(BO20)),IFERROR(BT20/BO20-1,""),"")</f>
        <v>0.0454545454545454</v>
      </c>
      <c r="BU21" s="255">
        <f>IF(AND(ISNUMBER(BU20),ISNUMBER(BP20)),IFERROR(BU20/BP20-1,""),"")</f>
        <v>0.295652173913044</v>
      </c>
      <c r="BV21" s="255">
        <f>IF(AND(ISNUMBER(BV20),ISNUMBER(BQ20)),IFERROR(BV20/BQ20-1,""),"")</f>
        <v>0.125886524822695</v>
      </c>
      <c r="BW21" s="255">
        <f>IF(AND(ISNUMBER(BW20),ISNUMBER(BR20)),IFERROR(BW20/BR20-1,""),"")</f>
        <v>0.0797546012269939</v>
      </c>
      <c r="BX21" s="255">
        <f>IF(AND(ISNUMBER(BX20),ISNUMBER(BS20)),IFERROR(BX20/BS20-1,""),"")</f>
        <v>0.382716049382716</v>
      </c>
      <c r="BY21" s="256">
        <f>BY22+$CA$120</f>
        <v>0.0652020895779289</v>
      </c>
      <c r="BZ21" s="256">
        <f>BZ22+$CA$120</f>
        <v>0.0652020895779289</v>
      </c>
      <c r="CA21" s="256">
        <f>IF(AND(ISNUMBER(CA20),ISNUMBER(BV20)),IFERROR(CA20/BV20-1,""),"")</f>
        <v>0.149941177589225</v>
      </c>
      <c r="CB21" s="256">
        <f>CHOOSE(MATCH($CF$2,{"Bull","Base","Bear"},0),$CO$53,$CP$53,$CQ$53)</f>
        <v>0.06</v>
      </c>
      <c r="CC21" s="256">
        <f>CHOOSE(MATCH($CF$2,{"Bull","Base","Bear"},0),$CO$54,$CP$54,$CQ$54)</f>
        <v>0.06</v>
      </c>
      <c r="CD21" s="256">
        <f>CHOOSE(MATCH($CF$2,{"Bull","Base","Bear"},0),$CO$55,$CP$55,$CQ$55)</f>
        <v>0.05</v>
      </c>
      <c r="CE21" s="256">
        <f>CHOOSE(MATCH($CF$2,{"Bull","Base","Bear"},0),$CO$56,$CP$56,$CQ$56)</f>
        <v>0.05</v>
      </c>
      <c r="CF21" s="153" t="n"/>
      <c r="CN21" s="25" t="inlineStr">
        <is>
          <t xml:space="preserve">  2H26E share repurchases ($m)</t>
        </is>
      </c>
      <c r="CO21" s="259" t="n">
        <v>835</v>
      </c>
      <c r="CP21" s="259" t="n">
        <v>685</v>
      </c>
      <c r="CQ21" s="259" t="n">
        <v>535</v>
      </c>
      <c r="CR21" s="13" t="inlineStr">
        <is>
          <t>1H26 $2,165m (treasury shares); FY26 guidance "up to $3.0bn" → 2H up to $835m (high), $2.85bn FY (mid), $2.7bn FY (low). $1.8bn authorization remaining at 30-Jun-2026.</t>
        </is>
      </c>
    </row>
    <row r="22" ht="15" customHeight="1" s="251">
      <c r="B22" s="25" t="inlineStr">
        <is>
          <t xml:space="preserve">    Q3/Q4-26E growth before calibration (1H26 y/y)</t>
        </is>
      </c>
      <c r="C22" s="36"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c r="AA22" s="36" t="n"/>
      <c r="AB22" s="36" t="n"/>
      <c r="AC22" s="36" t="n"/>
      <c r="AD22" s="36" t="n"/>
      <c r="AE22" s="36" t="n"/>
      <c r="AF22" s="36" t="n"/>
      <c r="AG22" s="36" t="n"/>
      <c r="AH22" s="36" t="n"/>
      <c r="AI22" s="36" t="n"/>
      <c r="AJ22" s="36" t="n"/>
      <c r="AK22" s="36" t="n"/>
      <c r="AL22" s="36" t="n"/>
      <c r="AM22" s="36" t="n"/>
      <c r="AN22" s="36" t="n"/>
      <c r="AO22" s="36" t="n"/>
      <c r="AP22" s="36" t="n"/>
      <c r="AQ22" s="36" t="n"/>
      <c r="AR22" s="36" t="n"/>
      <c r="AS22" s="36" t="n"/>
      <c r="AT22" s="36" t="n"/>
      <c r="AU22" s="36" t="n"/>
      <c r="AV22" s="36" t="n"/>
      <c r="AW22" s="36" t="n"/>
      <c r="AX22" s="36" t="n"/>
      <c r="AY22" s="36" t="n"/>
      <c r="AZ22" s="36" t="n"/>
      <c r="BA22" s="36" t="n"/>
      <c r="BB22" s="36" t="n"/>
      <c r="BC22" s="36" t="n"/>
      <c r="BD22" s="36" t="n"/>
      <c r="BE22" s="36" t="n"/>
      <c r="BF22" s="36" t="n"/>
      <c r="BG22" s="36" t="n"/>
      <c r="BH22" s="36" t="n"/>
      <c r="BI22" s="36" t="n"/>
      <c r="BJ22" s="36" t="n"/>
      <c r="BK22" s="36" t="n"/>
      <c r="BL22" s="36" t="n"/>
      <c r="BM22" s="36" t="n"/>
      <c r="BN22" s="36" t="n"/>
      <c r="BO22" s="36" t="n"/>
      <c r="BP22" s="36" t="n"/>
      <c r="BQ22" s="36" t="n"/>
      <c r="BR22" s="36" t="n"/>
      <c r="BS22" s="36" t="n"/>
      <c r="BT22" s="36" t="n"/>
      <c r="BU22" s="36" t="n"/>
      <c r="BV22" s="36" t="n"/>
      <c r="BW22" s="36" t="n"/>
      <c r="BX22" s="36" t="n"/>
      <c r="BY22" s="256">
        <f>IFERROR(SUM(BW20:BX20)/SUM(BR20:BS20)-1,0)</f>
        <v>0.230769230769231</v>
      </c>
      <c r="BZ22" s="256">
        <f>IFERROR(SUM(BW20:BX20)/SUM(BR20:BS20)-1,0)</f>
        <v>0.230769230769231</v>
      </c>
      <c r="CA22" s="24" t="n"/>
      <c r="CB22" s="46" t="n"/>
      <c r="CC22" s="46" t="n"/>
      <c r="CD22" s="46" t="n"/>
      <c r="CE22" s="46" t="n"/>
      <c r="CF22" s="19" t="n"/>
    </row>
    <row r="23" ht="15" customHeight="1" s="251">
      <c r="B23" s="25" t="inlineStr">
        <is>
          <t xml:space="preserve">  MIS Other (ICRA non-ratings, data / research)</t>
        </is>
      </c>
      <c r="C23" s="34" t="n"/>
      <c r="D23" s="34" t="n"/>
      <c r="E23" s="34" t="n"/>
      <c r="F23" s="34" t="n"/>
      <c r="G23" s="34" t="n"/>
      <c r="H23" s="34" t="n"/>
      <c r="I23" s="34" t="n"/>
      <c r="J23" s="34" t="n"/>
      <c r="K23" s="34" t="n"/>
      <c r="L23" s="34" t="n"/>
      <c r="M23" s="34" t="n"/>
      <c r="N23" s="34" t="n"/>
      <c r="O23" s="34" t="n"/>
      <c r="P23" s="34" t="n"/>
      <c r="Q23" s="34" t="n"/>
      <c r="R23" s="253" t="n">
        <v>7.9</v>
      </c>
      <c r="S23" s="253" t="n">
        <v>18</v>
      </c>
      <c r="T23" s="253" t="n">
        <v>7.8</v>
      </c>
      <c r="U23" s="253" t="n">
        <v>8.1</v>
      </c>
      <c r="V23" s="253" t="n">
        <v>7.2</v>
      </c>
      <c r="W23" s="253" t="n">
        <v>7.3</v>
      </c>
      <c r="X23" s="253" t="n">
        <v>30.4</v>
      </c>
      <c r="Y23" s="253" t="n">
        <v>7.8</v>
      </c>
      <c r="Z23" s="253" t="n">
        <v>7.3</v>
      </c>
      <c r="AA23" s="253" t="n">
        <v>7.5</v>
      </c>
      <c r="AB23" s="253" t="n">
        <v>8</v>
      </c>
      <c r="AC23" s="253" t="n">
        <v>30.6</v>
      </c>
      <c r="AD23" s="253" t="n">
        <v>4.8</v>
      </c>
      <c r="AE23" s="253" t="n">
        <v>4.6</v>
      </c>
      <c r="AF23" s="253" t="n">
        <v>4.4</v>
      </c>
      <c r="AG23" s="253" t="n">
        <v>4.7</v>
      </c>
      <c r="AH23" s="253" t="n">
        <v>18.5</v>
      </c>
      <c r="AI23" s="253" t="n">
        <v>5</v>
      </c>
      <c r="AJ23" s="253" t="n">
        <v>4.4</v>
      </c>
      <c r="AK23" s="253" t="n">
        <v>4.8</v>
      </c>
      <c r="AL23" s="253" t="n">
        <v>4.8</v>
      </c>
      <c r="AM23" s="253" t="n">
        <v>19</v>
      </c>
      <c r="AN23" s="253" t="n">
        <v>5.5</v>
      </c>
      <c r="AO23" s="253" t="n">
        <v>5.1</v>
      </c>
      <c r="AP23" s="253" t="n">
        <v>8.9</v>
      </c>
      <c r="AQ23" s="253" t="n">
        <v>9</v>
      </c>
      <c r="AR23" s="253" t="n">
        <v>29</v>
      </c>
      <c r="AS23" s="253" t="n">
        <v>11</v>
      </c>
      <c r="AT23" s="253" t="n">
        <v>10</v>
      </c>
      <c r="AU23" s="253" t="n">
        <v>9</v>
      </c>
      <c r="AV23" s="253" t="n">
        <v>17</v>
      </c>
      <c r="AW23" s="253" t="n">
        <v>47</v>
      </c>
      <c r="AX23" s="253" t="n">
        <v>10</v>
      </c>
      <c r="AY23" s="253" t="n">
        <v>10</v>
      </c>
      <c r="AZ23" s="253" t="n">
        <v>11</v>
      </c>
      <c r="BA23" s="253" t="n">
        <v>11</v>
      </c>
      <c r="BB23" s="253" t="n">
        <v>42</v>
      </c>
      <c r="BC23" s="253" t="n">
        <v>12</v>
      </c>
      <c r="BD23" s="253" t="n">
        <v>11</v>
      </c>
      <c r="BE23" s="253" t="n">
        <v>11</v>
      </c>
      <c r="BF23" s="253" t="n">
        <v>12</v>
      </c>
      <c r="BG23" s="253" t="n">
        <v>46</v>
      </c>
      <c r="BH23" s="253" t="n">
        <v>7</v>
      </c>
      <c r="BI23" s="253" t="n">
        <v>8</v>
      </c>
      <c r="BJ23" s="253" t="n">
        <v>7</v>
      </c>
      <c r="BK23" s="253" t="n">
        <v>8</v>
      </c>
      <c r="BL23" s="253" t="n">
        <v>30</v>
      </c>
      <c r="BM23" s="253" t="n">
        <v>8</v>
      </c>
      <c r="BN23" s="253" t="n">
        <v>10</v>
      </c>
      <c r="BO23" s="253" t="n">
        <v>8</v>
      </c>
      <c r="BP23" s="253" t="n">
        <v>8</v>
      </c>
      <c r="BQ23" s="253" t="n">
        <v>34</v>
      </c>
      <c r="BR23" s="253" t="n">
        <v>9</v>
      </c>
      <c r="BS23" s="253" t="n">
        <v>10</v>
      </c>
      <c r="BT23" s="253" t="n">
        <v>7</v>
      </c>
      <c r="BU23" s="253" t="n">
        <v>9</v>
      </c>
      <c r="BV23" s="253" t="n">
        <v>35</v>
      </c>
      <c r="BW23" s="253" t="n">
        <v>13</v>
      </c>
      <c r="BX23" s="253" t="n">
        <v>12</v>
      </c>
      <c r="BY23" s="254">
        <f>BT23*(1+BY24)</f>
        <v>8.05155632745036</v>
      </c>
      <c r="BZ23" s="254">
        <f>BU23*(1+BZ24)</f>
        <v>10.3520009924362</v>
      </c>
      <c r="CA23" s="254">
        <f>SUM(BW23:BZ23)</f>
        <v>43.4035573198865</v>
      </c>
      <c r="CB23" s="254">
        <f>CA23*(1+CB24)</f>
        <v>46.0077707590797</v>
      </c>
      <c r="CC23" s="254">
        <f>CB23*(1+CC24)</f>
        <v>48.3081592970337</v>
      </c>
      <c r="CD23" s="254">
        <f>CC23*(1+CD24)</f>
        <v>50.7235672618854</v>
      </c>
      <c r="CE23" s="254">
        <f>CD23*(1+CE24)</f>
        <v>53.2597456249797</v>
      </c>
      <c r="CF23" s="19" t="n"/>
      <c r="CN23" s="15" t="inlineStr">
        <is>
          <t>Q3/26E–Q4/26E and FY26 point estimates (all cases)</t>
        </is>
      </c>
      <c r="CO23" s="21" t="n"/>
      <c r="CP23" s="21" t="n"/>
      <c r="CQ23" s="21" t="n"/>
    </row>
    <row r="24" ht="15" customHeight="1" s="251">
      <c r="B24" s="22" t="inlineStr">
        <is>
          <t xml:space="preserve">    y/y %</t>
        </is>
      </c>
      <c r="D24" s="255">
        <f>IF(AND(ISNUMBER(D23),ISNUMBER(C23)),IFERROR(D23/C23-1,""),"")</f>
      </c>
      <c r="E24" s="255">
        <f>IF(AND(ISNUMBER(E23),ISNUMBER(D23)),IFERROR(E23/D23-1,""),"")</f>
      </c>
      <c r="F24" s="255">
        <f>IF(AND(ISNUMBER(F23),ISNUMBER(E23)),IFERROR(F23/E23-1,""),"")</f>
      </c>
      <c r="G24" s="255">
        <f>IF(AND(ISNUMBER(G23),ISNUMBER(F23)),IFERROR(G23/F23-1,""),"")</f>
      </c>
      <c r="H24" s="255">
        <f>IF(AND(ISNUMBER(H23),ISNUMBER(G23)),IFERROR(H23/G23-1,""),"")</f>
      </c>
      <c r="I24" s="255">
        <f>IF(AND(ISNUMBER(I23),ISNUMBER(H23)),IFERROR(I23/H23-1,""),"")</f>
      </c>
      <c r="N24" s="255">
        <f>IF(AND(ISNUMBER(N23),ISNUMBER(I23)),IFERROR(N23/I23-1,""),"")</f>
      </c>
      <c r="O24" s="255">
        <f>IF(AND(ISNUMBER(O23),ISNUMBER(J23)),IFERROR(O23/J23-1,""),"")</f>
      </c>
      <c r="P24" s="255">
        <f>IF(AND(ISNUMBER(P23),ISNUMBER(K23)),IFERROR(P23/K23-1,""),"")</f>
      </c>
      <c r="Q24" s="255">
        <f>IF(AND(ISNUMBER(Q23),ISNUMBER(L23)),IFERROR(Q23/L23-1,""),"")</f>
      </c>
      <c r="R24" s="255">
        <f>IF(AND(ISNUMBER(R23),ISNUMBER(M23)),IFERROR(R23/M23-1,""),"")</f>
      </c>
      <c r="S24" s="255">
        <f>IF(AND(ISNUMBER(S23),ISNUMBER(N23)),IFERROR(S23/N23-1,""),"")</f>
      </c>
      <c r="T24" s="255">
        <f>IF(AND(ISNUMBER(T23),ISNUMBER(O23)),IFERROR(T23/O23-1,""),"")</f>
      </c>
      <c r="U24" s="255">
        <f>IF(AND(ISNUMBER(U23),ISNUMBER(P23)),IFERROR(U23/P23-1,""),"")</f>
      </c>
      <c r="V24" s="255">
        <f>IF(AND(ISNUMBER(V23),ISNUMBER(Q23)),IFERROR(V23/Q23-1,""),"")</f>
      </c>
      <c r="W24" s="255">
        <f>IF(AND(ISNUMBER(W23),ISNUMBER(R23)),IFERROR(W23/R23-1,""),"")</f>
        <v>-0.0759493670886077</v>
      </c>
      <c r="X24" s="255">
        <f>IF(AND(ISNUMBER(X23),ISNUMBER(S23)),IFERROR(X23/S23-1,""),"")</f>
        <v>0.688888888888889</v>
      </c>
      <c r="Y24" s="255">
        <f>IF(AND(ISNUMBER(Y23),ISNUMBER(T23)),IFERROR(Y23/T23-1,""),"")</f>
        <v>0</v>
      </c>
      <c r="Z24" s="255">
        <f>IF(AND(ISNUMBER(Z23),ISNUMBER(U23)),IFERROR(Z23/U23-1,""),"")</f>
        <v>-0.0987654320987654</v>
      </c>
      <c r="AA24" s="255">
        <f>IF(AND(ISNUMBER(AA23),ISNUMBER(V23)),IFERROR(AA23/V23-1,""),"")</f>
        <v>0.0416666666666667</v>
      </c>
      <c r="AB24" s="255">
        <f>IF(AND(ISNUMBER(AB23),ISNUMBER(W23)),IFERROR(AB23/W23-1,""),"")</f>
        <v>0.0958904109589041</v>
      </c>
      <c r="AC24" s="255">
        <f>IF(AND(ISNUMBER(AC23),ISNUMBER(X23)),IFERROR(AC23/X23-1,""),"")</f>
        <v>0.00657894736842124</v>
      </c>
      <c r="AD24" s="255">
        <f>IF(AND(ISNUMBER(AD23),ISNUMBER(Y23)),IFERROR(AD23/Y23-1,""),"")</f>
        <v>-0.384615384615385</v>
      </c>
      <c r="AE24" s="255">
        <f>IF(AND(ISNUMBER(AE23),ISNUMBER(Z23)),IFERROR(AE23/Z23-1,""),"")</f>
        <v>-0.36986301369863</v>
      </c>
      <c r="AF24" s="255">
        <f>IF(AND(ISNUMBER(AF23),ISNUMBER(AA23)),IFERROR(AF23/AA23-1,""),"")</f>
        <v>-0.413333333333333</v>
      </c>
      <c r="AG24" s="255">
        <f>IF(AND(ISNUMBER(AG23),ISNUMBER(AB23)),IFERROR(AG23/AB23-1,""),"")</f>
        <v>-0.4125</v>
      </c>
      <c r="AH24" s="255">
        <f>IF(AND(ISNUMBER(AH23),ISNUMBER(AC23)),IFERROR(AH23/AC23-1,""),"")</f>
        <v>-0.395424836601307</v>
      </c>
      <c r="AI24" s="255">
        <f>IF(AND(ISNUMBER(AI23),ISNUMBER(AD23)),IFERROR(AI23/AD23-1,""),"")</f>
        <v>0.0416666666666667</v>
      </c>
      <c r="AJ24" s="255">
        <f>IF(AND(ISNUMBER(AJ23),ISNUMBER(AE23)),IFERROR(AJ23/AE23-1,""),"")</f>
        <v>-0.0434782608695651</v>
      </c>
      <c r="AK24" s="255">
        <f>IF(AND(ISNUMBER(AK23),ISNUMBER(AF23)),IFERROR(AK23/AF23-1,""),"")</f>
        <v>0.0909090909090908</v>
      </c>
      <c r="AL24" s="255">
        <f>IF(AND(ISNUMBER(AL23),ISNUMBER(AG23)),IFERROR(AL23/AG23-1,""),"")</f>
        <v>0.0212765957446808</v>
      </c>
      <c r="AM24" s="255">
        <f>IF(AND(ISNUMBER(AM23),ISNUMBER(AH23)),IFERROR(AM23/AH23-1,""),"")</f>
        <v>0.027027027027027</v>
      </c>
      <c r="AN24" s="255">
        <f>IF(AND(ISNUMBER(AN23),ISNUMBER(AI23)),IFERROR(AN23/AI23-1,""),"")</f>
        <v>0.1</v>
      </c>
      <c r="AO24" s="255">
        <f>IF(AND(ISNUMBER(AO23),ISNUMBER(AJ23)),IFERROR(AO23/AJ23-1,""),"")</f>
        <v>0.159090909090909</v>
      </c>
      <c r="AP24" s="255">
        <f>IF(AND(ISNUMBER(AP23),ISNUMBER(AK23)),IFERROR(AP23/AK23-1,""),"")</f>
        <v>0.854166666666667</v>
      </c>
      <c r="AQ24" s="255">
        <f>IF(AND(ISNUMBER(AQ23),ISNUMBER(AL23)),IFERROR(AQ23/AL23-1,""),"")</f>
        <v>0.875</v>
      </c>
      <c r="AR24" s="255">
        <f>IF(AND(ISNUMBER(AR23),ISNUMBER(AM23)),IFERROR(AR23/AM23-1,""),"")</f>
        <v>0.526315789473684</v>
      </c>
      <c r="AS24" s="255">
        <f>IF(AND(ISNUMBER(AS23),ISNUMBER(AN23)),IFERROR(AS23/AN23-1,""),"")</f>
        <v>1</v>
      </c>
      <c r="AT24" s="255">
        <f>IF(AND(ISNUMBER(AT23),ISNUMBER(AO23)),IFERROR(AT23/AO23-1,""),"")</f>
        <v>0.96078431372549</v>
      </c>
      <c r="AU24" s="255">
        <f>IF(AND(ISNUMBER(AU23),ISNUMBER(AP23)),IFERROR(AU23/AP23-1,""),"")</f>
        <v>0.0112359550561798</v>
      </c>
      <c r="AV24" s="255">
        <f>IF(AND(ISNUMBER(AV23),ISNUMBER(AQ23)),IFERROR(AV23/AQ23-1,""),"")</f>
        <v>0.888888888888889</v>
      </c>
      <c r="AW24" s="255">
        <f>IF(AND(ISNUMBER(AW23),ISNUMBER(AR23)),IFERROR(AW23/AR23-1,""),"")</f>
        <v>0.620689655172414</v>
      </c>
      <c r="AX24" s="255">
        <f>IF(AND(ISNUMBER(AX23),ISNUMBER(AS23)),IFERROR(AX23/AS23-1,""),"")</f>
        <v>-0.0909090909090909</v>
      </c>
      <c r="AY24" s="255">
        <f>IF(AND(ISNUMBER(AY23),ISNUMBER(AT23)),IFERROR(AY23/AT23-1,""),"")</f>
        <v>0</v>
      </c>
      <c r="AZ24" s="255">
        <f>IF(AND(ISNUMBER(AZ23),ISNUMBER(AU23)),IFERROR(AZ23/AU23-1,""),"")</f>
        <v>0.222222222222222</v>
      </c>
      <c r="BA24" s="255">
        <f>IF(AND(ISNUMBER(BA23),ISNUMBER(AV23)),IFERROR(BA23/AV23-1,""),"")</f>
        <v>-0.352941176470588</v>
      </c>
      <c r="BB24" s="255">
        <f>IF(AND(ISNUMBER(BB23),ISNUMBER(AW23)),IFERROR(BB23/AW23-1,""),"")</f>
        <v>-0.106382978723404</v>
      </c>
      <c r="BC24" s="255">
        <f>IF(AND(ISNUMBER(BC23),ISNUMBER(AX23)),IFERROR(BC23/AX23-1,""),"")</f>
        <v>0.2</v>
      </c>
      <c r="BD24" s="255">
        <f>IF(AND(ISNUMBER(BD23),ISNUMBER(AY23)),IFERROR(BD23/AY23-1,""),"")</f>
        <v>0.1</v>
      </c>
      <c r="BE24" s="255">
        <f>IF(AND(ISNUMBER(BE23),ISNUMBER(AZ23)),IFERROR(BE23/AZ23-1,""),"")</f>
        <v>0</v>
      </c>
      <c r="BF24" s="255">
        <f>IF(AND(ISNUMBER(BF23),ISNUMBER(BA23)),IFERROR(BF23/BA23-1,""),"")</f>
        <v>0.0909090909090908</v>
      </c>
      <c r="BG24" s="255">
        <f>IF(AND(ISNUMBER(BG23),ISNUMBER(BB23)),IFERROR(BG23/BB23-1,""),"")</f>
        <v>0.0952380952380953</v>
      </c>
      <c r="BH24" s="255">
        <f>IF(AND(ISNUMBER(BH23),ISNUMBER(BC23)),IFERROR(BH23/BC23-1,""),"")</f>
        <v>-0.416666666666667</v>
      </c>
      <c r="BI24" s="255">
        <f>IF(AND(ISNUMBER(BI23),ISNUMBER(BD23)),IFERROR(BI23/BD23-1,""),"")</f>
        <v>-0.272727272727273</v>
      </c>
      <c r="BJ24" s="255">
        <f>IF(AND(ISNUMBER(BJ23),ISNUMBER(BE23)),IFERROR(BJ23/BE23-1,""),"")</f>
        <v>-0.363636363636364</v>
      </c>
      <c r="BK24" s="255">
        <f>IF(AND(ISNUMBER(BK23),ISNUMBER(BF23)),IFERROR(BK23/BF23-1,""),"")</f>
        <v>-0.333333333333333</v>
      </c>
      <c r="BL24" s="255">
        <f>IF(AND(ISNUMBER(BL23),ISNUMBER(BG23)),IFERROR(BL23/BG23-1,""),"")</f>
        <v>-0.347826086956522</v>
      </c>
      <c r="BM24" s="255">
        <f>IF(AND(ISNUMBER(BM23),ISNUMBER(BH23)),IFERROR(BM23/BH23-1,""),"")</f>
        <v>0.142857142857143</v>
      </c>
      <c r="BN24" s="255">
        <f>IF(AND(ISNUMBER(BN23),ISNUMBER(BI23)),IFERROR(BN23/BI23-1,""),"")</f>
        <v>0.25</v>
      </c>
      <c r="BO24" s="255">
        <f>IF(AND(ISNUMBER(BO23),ISNUMBER(BJ23)),IFERROR(BO23/BJ23-1,""),"")</f>
        <v>0.142857142857143</v>
      </c>
      <c r="BP24" s="255">
        <f>IF(AND(ISNUMBER(BP23),ISNUMBER(BK23)),IFERROR(BP23/BK23-1,""),"")</f>
        <v>0</v>
      </c>
      <c r="BQ24" s="255">
        <f>IF(AND(ISNUMBER(BQ23),ISNUMBER(BL23)),IFERROR(BQ23/BL23-1,""),"")</f>
        <v>0.133333333333333</v>
      </c>
      <c r="BR24" s="255">
        <f>IF(AND(ISNUMBER(BR23),ISNUMBER(BM23)),IFERROR(BR23/BM23-1,""),"")</f>
        <v>0.125</v>
      </c>
      <c r="BS24" s="255">
        <f>IF(AND(ISNUMBER(BS23),ISNUMBER(BN23)),IFERROR(BS23/BN23-1,""),"")</f>
        <v>0</v>
      </c>
      <c r="BT24" s="255">
        <f>IF(AND(ISNUMBER(BT23),ISNUMBER(BO23)),IFERROR(BT23/BO23-1,""),"")</f>
        <v>-0.125</v>
      </c>
      <c r="BU24" s="255">
        <f>IF(AND(ISNUMBER(BU23),ISNUMBER(BP23)),IFERROR(BU23/BP23-1,""),"")</f>
        <v>0.125</v>
      </c>
      <c r="BV24" s="255">
        <f>IF(AND(ISNUMBER(BV23),ISNUMBER(BQ23)),IFERROR(BV23/BQ23-1,""),"")</f>
        <v>0.0294117647058823</v>
      </c>
      <c r="BW24" s="255">
        <f>IF(AND(ISNUMBER(BW23),ISNUMBER(BR23)),IFERROR(BW23/BR23-1,""),"")</f>
        <v>0.444444444444444</v>
      </c>
      <c r="BX24" s="255">
        <f>IF(AND(ISNUMBER(BX23),ISNUMBER(BS23)),IFERROR(BX23/BS23-1,""),"")</f>
        <v>0.2</v>
      </c>
      <c r="BY24" s="256">
        <f>BY25+$CA$120</f>
        <v>0.150222332492909</v>
      </c>
      <c r="BZ24" s="256">
        <f>BZ25+$CA$120</f>
        <v>0.150222332492909</v>
      </c>
      <c r="CA24" s="256">
        <f>IF(AND(ISNUMBER(CA23),ISNUMBER(BV23)),IFERROR(CA23/BV23-1,""),"")</f>
        <v>0.240101637711044</v>
      </c>
      <c r="CB24" s="256">
        <f>CHOOSE(MATCH($CF$2,{"Bull","Base","Bear"},0),$CO$58,$CP$58,$CQ$58)</f>
        <v>0.06</v>
      </c>
      <c r="CC24" s="256">
        <f>CHOOSE(MATCH($CF$2,{"Bull","Base","Bear"},0),$CO$59,$CP$59,$CQ$59)</f>
        <v>0.05</v>
      </c>
      <c r="CD24" s="256">
        <f>CHOOSE(MATCH($CF$2,{"Bull","Base","Bear"},0),$CO$60,$CP$60,$CQ$60)</f>
        <v>0.05</v>
      </c>
      <c r="CE24" s="256">
        <f>CHOOSE(MATCH($CF$2,{"Bull","Base","Bear"},0),$CO$61,$CP$61,$CQ$61)</f>
        <v>0.05</v>
      </c>
      <c r="CF24" s="153" t="n"/>
      <c r="CN24" s="25" t="inlineStr">
        <is>
          <t xml:space="preserve">  Q3/Q4-26E interest expense, net (per quarter, $m; expense −)</t>
        </is>
      </c>
      <c r="CP24" s="260" t="n">
        <v>-53</v>
      </c>
      <c r="CR24" s="13" t="inlineStr">
        <is>
          <t>FY26 guidance $220–240m (mid $230m) − 1H26 $124m = $106m for 2H.</t>
        </is>
      </c>
    </row>
    <row r="25" ht="15" customHeight="1" s="251">
      <c r="B25" s="25" t="inlineStr">
        <is>
          <t xml:space="preserve">    Q3/Q4-26E growth before calibration (1H26 y/y)</t>
        </is>
      </c>
      <c r="C25" s="36"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c r="AA25" s="36" t="n"/>
      <c r="AB25" s="36" t="n"/>
      <c r="AC25" s="36" t="n"/>
      <c r="AD25" s="36" t="n"/>
      <c r="AE25" s="36" t="n"/>
      <c r="AF25" s="36" t="n"/>
      <c r="AG25" s="36" t="n"/>
      <c r="AH25" s="36" t="n"/>
      <c r="AI25" s="36" t="n"/>
      <c r="AJ25" s="36" t="n"/>
      <c r="AK25" s="36" t="n"/>
      <c r="AL25" s="36" t="n"/>
      <c r="AM25" s="36" t="n"/>
      <c r="AN25" s="36" t="n"/>
      <c r="AO25" s="36" t="n"/>
      <c r="AP25" s="36" t="n"/>
      <c r="AQ25" s="36" t="n"/>
      <c r="AR25" s="36" t="n"/>
      <c r="AS25" s="36" t="n"/>
      <c r="AT25" s="36" t="n"/>
      <c r="AU25" s="36" t="n"/>
      <c r="AV25" s="36" t="n"/>
      <c r="AW25" s="36" t="n"/>
      <c r="AX25" s="36" t="n"/>
      <c r="AY25" s="36" t="n"/>
      <c r="AZ25" s="36" t="n"/>
      <c r="BA25" s="36" t="n"/>
      <c r="BB25" s="36" t="n"/>
      <c r="BC25" s="36" t="n"/>
      <c r="BD25" s="36" t="n"/>
      <c r="BE25" s="36" t="n"/>
      <c r="BF25" s="36" t="n"/>
      <c r="BG25" s="36" t="n"/>
      <c r="BH25" s="36" t="n"/>
      <c r="BI25" s="36" t="n"/>
      <c r="BJ25" s="36" t="n"/>
      <c r="BK25" s="36" t="n"/>
      <c r="BL25" s="36" t="n"/>
      <c r="BM25" s="36" t="n"/>
      <c r="BN25" s="36" t="n"/>
      <c r="BO25" s="36" t="n"/>
      <c r="BP25" s="36" t="n"/>
      <c r="BQ25" s="36" t="n"/>
      <c r="BR25" s="36" t="n"/>
      <c r="BS25" s="36" t="n"/>
      <c r="BT25" s="36" t="n"/>
      <c r="BU25" s="36" t="n"/>
      <c r="BV25" s="36" t="n"/>
      <c r="BW25" s="36" t="n"/>
      <c r="BX25" s="36" t="n"/>
      <c r="BY25" s="256">
        <f>IFERROR(SUM(BW23:BX23)/SUM(BR23:BS23)-1,0)</f>
        <v>0.315789473684211</v>
      </c>
      <c r="BZ25" s="256">
        <f>IFERROR(SUM(BW23:BX23)/SUM(BR23:BS23)-1,0)</f>
        <v>0.315789473684211</v>
      </c>
      <c r="CA25" s="24" t="n"/>
      <c r="CB25" s="46" t="n"/>
      <c r="CC25" s="46" t="n"/>
      <c r="CD25" s="46" t="n"/>
      <c r="CE25" s="46" t="n"/>
      <c r="CF25" s="19" t="n"/>
      <c r="CN25" s="25" t="inlineStr">
        <is>
          <t xml:space="preserve">  Q3/Q4-26E other non-operating income, net (per quarter, $m)</t>
        </is>
      </c>
      <c r="CP25" s="260" t="n">
        <v>0</v>
      </c>
      <c r="CR25" s="13" t="inlineStr">
        <is>
          <t>Guided non-operating income $70–90m incl. interest and divestiture gains → other non-operating ≈ nil in 2H (1H26 +$16m).</t>
        </is>
      </c>
    </row>
    <row r="26" ht="15" customHeight="1" s="251">
      <c r="B26" s="25" t="inlineStr">
        <is>
          <t xml:space="preserve">  MIS revenue not split on the current lines (history before the current line structure; derived)</t>
        </is>
      </c>
      <c r="C26" s="261">
        <f>IF(ISNUMBER(C30),C30-(N(C11)+N(C14)+N(C17)+N(C20)+N(C23)),"")</f>
        <v>0</v>
      </c>
      <c r="D26" s="261">
        <f>IF(ISNUMBER(D30),D30-(N(D11)+N(D14)+N(D17)+N(D20)+N(D23)),"")</f>
        <v>0</v>
      </c>
      <c r="E26" s="261">
        <f>IF(ISNUMBER(E30),E30-(N(E11)+N(E14)+N(E17)+N(E20)+N(E23)),"")</f>
        <v>0</v>
      </c>
      <c r="F26" s="261">
        <f>IF(ISNUMBER(F30),F30-(N(F11)+N(F14)+N(F17)+N(F20)+N(F23)),"")</f>
        <v>0</v>
      </c>
      <c r="G26" s="261">
        <f>IF(ISNUMBER(G30),G30-(N(G11)+N(G14)+N(G17)+N(G20)+N(G23)),"")</f>
        <v>0</v>
      </c>
      <c r="H26" s="261">
        <f>IF(ISNUMBER(H30),H30-(N(H11)+N(H14)+N(H17)+N(H20)+N(H23)),"")</f>
        <v>0</v>
      </c>
      <c r="I26" s="261">
        <f>IF(ISNUMBER(I30),I30-(N(I11)+N(I14)+N(I17)+N(I20)+N(I23)),"")</f>
        <v>0</v>
      </c>
      <c r="J26" s="261">
        <f>IF(ISNUMBER(J30),J30-(N(J11)+N(J14)+N(J17)+N(J20)+N(J23)),"")</f>
        <v>0</v>
      </c>
      <c r="K26" s="261">
        <f>IF(ISNUMBER(K30),K30-(N(K11)+N(K14)+N(K17)+N(K20)+N(K23)),"")</f>
        <v>0</v>
      </c>
      <c r="L26" s="261">
        <f>IF(ISNUMBER(L30),L30-(N(L11)+N(L14)+N(L17)+N(L20)+N(L23)),"")</f>
        <v>0</v>
      </c>
      <c r="M26" s="261">
        <f>IF(ISNUMBER(M30),M30-(N(M11)+N(M14)+N(M17)+N(M20)+N(M23)),"")</f>
        <v>0</v>
      </c>
      <c r="N26" s="261">
        <f>IF(ISNUMBER(N30),N30-(N(N11)+N(N14)+N(N17)+N(N20)+N(N23)),"")</f>
        <v>0</v>
      </c>
      <c r="O26" s="261">
        <f>IF(ISNUMBER(O30),O30-(N(O11)+N(O14)+N(O17)+N(O20)+N(O23)),"")</f>
        <v>0</v>
      </c>
      <c r="P26" s="261">
        <f>IF(ISNUMBER(P30),P30-(N(P11)+N(P14)+N(P17)+N(P20)+N(P23)),"")</f>
        <v>0</v>
      </c>
      <c r="Q26" s="261">
        <f>IF(ISNUMBER(Q30),Q30-(N(Q11)+N(Q14)+N(Q17)+N(Q20)+N(Q23)),"")</f>
        <v>0</v>
      </c>
      <c r="R26" s="261">
        <f>IF(ISNUMBER(R30),R30-(N(R11)+N(R14)+N(R17)+N(R20)+N(R23)),"")</f>
        <v>0</v>
      </c>
      <c r="S26" s="261">
        <f>IF(ISNUMBER(S30),S30-(N(S11)+N(S14)+N(S17)+N(S20)+N(S23)),"")</f>
        <v>0</v>
      </c>
      <c r="T26" s="261">
        <f>IF(ISNUMBER(T30),T30-(N(T11)+N(T14)+N(T17)+N(T20)+N(T23)),"")</f>
        <v>0</v>
      </c>
      <c r="U26" s="261">
        <f>IF(ISNUMBER(U30),U30-(N(U11)+N(U14)+N(U17)+N(U20)+N(U23)),"")</f>
        <v>0</v>
      </c>
      <c r="V26" s="261">
        <f>IF(ISNUMBER(V30),V30-(N(V11)+N(V14)+N(V17)+N(V20)+N(V23)),"")</f>
        <v>0</v>
      </c>
      <c r="W26" s="261">
        <f>IF(ISNUMBER(W30),W30-(N(W11)+N(W14)+N(W17)+N(W20)+N(W23)),"")</f>
        <v>0</v>
      </c>
      <c r="X26" s="261">
        <f>IF(ISNUMBER(X30),X30-(N(X11)+N(X14)+N(X17)+N(X20)+N(X23)),"")</f>
        <v>0</v>
      </c>
      <c r="Y26" s="261">
        <f>IF(ISNUMBER(Y30),Y30-(N(Y11)+N(Y14)+N(Y17)+N(Y20)+N(Y23)),"")</f>
        <v>0</v>
      </c>
      <c r="Z26" s="261">
        <f>IF(ISNUMBER(Z30),Z30-(N(Z11)+N(Z14)+N(Z17)+N(Z20)+N(Z23)),"")</f>
        <v>0</v>
      </c>
      <c r="AA26" s="261">
        <f>IF(ISNUMBER(AA30),AA30-(N(AA11)+N(AA14)+N(AA17)+N(AA20)+N(AA23)),"")</f>
        <v>0</v>
      </c>
      <c r="AB26" s="261">
        <f>IF(ISNUMBER(AB30),AB30-(N(AB11)+N(AB14)+N(AB17)+N(AB20)+N(AB23)),"")</f>
        <v>0</v>
      </c>
      <c r="AC26" s="261">
        <f>IF(ISNUMBER(AC30),AC30-(N(AC11)+N(AC14)+N(AC17)+N(AC20)+N(AC23)),"")</f>
        <v>0</v>
      </c>
      <c r="AD26" s="261">
        <f>IF(ISNUMBER(AD30),AD30-(N(AD11)+N(AD14)+N(AD17)+N(AD20)+N(AD23)),"")</f>
        <v>0</v>
      </c>
      <c r="AE26" s="261">
        <f>IF(ISNUMBER(AE30),AE30-(N(AE11)+N(AE14)+N(AE17)+N(AE20)+N(AE23)),"")</f>
        <v>0</v>
      </c>
      <c r="AF26" s="261">
        <f>IF(ISNUMBER(AF30),AF30-(N(AF11)+N(AF14)+N(AF17)+N(AF20)+N(AF23)),"")</f>
        <v>0</v>
      </c>
      <c r="AG26" s="261">
        <f>IF(ISNUMBER(AG30),AG30-(N(AG11)+N(AG14)+N(AG17)+N(AG20)+N(AG23)),"")</f>
        <v>0</v>
      </c>
      <c r="AH26" s="261">
        <f>IF(ISNUMBER(AH30),AH30-(N(AH11)+N(AH14)+N(AH17)+N(AH20)+N(AH23)),"")</f>
        <v>0</v>
      </c>
      <c r="AI26" s="261">
        <f>IF(ISNUMBER(AI30),AI30-(N(AI11)+N(AI14)+N(AI17)+N(AI20)+N(AI23)),"")</f>
        <v>0</v>
      </c>
      <c r="AJ26" s="261">
        <f>IF(ISNUMBER(AJ30),AJ30-(N(AJ11)+N(AJ14)+N(AJ17)+N(AJ20)+N(AJ23)),"")</f>
        <v>0</v>
      </c>
      <c r="AK26" s="261">
        <f>IF(ISNUMBER(AK30),AK30-(N(AK11)+N(AK14)+N(AK17)+N(AK20)+N(AK23)),"")</f>
        <v>0</v>
      </c>
      <c r="AL26" s="261">
        <f>IF(ISNUMBER(AL30),AL30-(N(AL11)+N(AL14)+N(AL17)+N(AL20)+N(AL23)),"")</f>
        <v>0</v>
      </c>
      <c r="AM26" s="261">
        <f>IF(ISNUMBER(AM30),AM30-(N(AM11)+N(AM14)+N(AM17)+N(AM20)+N(AM23)),"")</f>
        <v>0</v>
      </c>
      <c r="AN26" s="261">
        <f>IF(ISNUMBER(AN30),AN30-(N(AN11)+N(AN14)+N(AN17)+N(AN20)+N(AN23)),"")</f>
        <v>0</v>
      </c>
      <c r="AO26" s="261">
        <f>IF(ISNUMBER(AO30),AO30-(N(AO11)+N(AO14)+N(AO17)+N(AO20)+N(AO23)),"")</f>
        <v>0</v>
      </c>
      <c r="AP26" s="261">
        <f>IF(ISNUMBER(AP30),AP30-(N(AP11)+N(AP14)+N(AP17)+N(AP20)+N(AP23)),"")</f>
        <v>0</v>
      </c>
      <c r="AQ26" s="261">
        <f>IF(ISNUMBER(AQ30),AQ30-(N(AQ11)+N(AQ14)+N(AQ17)+N(AQ20)+N(AQ23)),"")</f>
        <v>0</v>
      </c>
      <c r="AR26" s="261">
        <f>IF(ISNUMBER(AR30),AR30-(N(AR11)+N(AR14)+N(AR17)+N(AR20)+N(AR23)),"")</f>
        <v>0</v>
      </c>
      <c r="AS26" s="261">
        <f>IF(ISNUMBER(AS30),AS30-(N(AS11)+N(AS14)+N(AS17)+N(AS20)+N(AS23)),"")</f>
        <v>0</v>
      </c>
      <c r="AT26" s="261">
        <f>IF(ISNUMBER(AT30),AT30-(N(AT11)+N(AT14)+N(AT17)+N(AT20)+N(AT23)),"")</f>
        <v>0</v>
      </c>
      <c r="AU26" s="261">
        <f>IF(ISNUMBER(AU30),AU30-(N(AU11)+N(AU14)+N(AU17)+N(AU20)+N(AU23)),"")</f>
        <v>0</v>
      </c>
      <c r="AV26" s="261">
        <f>IF(ISNUMBER(AV30),AV30-(N(AV11)+N(AV14)+N(AV17)+N(AV20)+N(AV23)),"")</f>
        <v>0</v>
      </c>
      <c r="AW26" s="261">
        <f>IF(ISNUMBER(AW30),AW30-(N(AW11)+N(AW14)+N(AW17)+N(AW20)+N(AW23)),"")</f>
        <v>0</v>
      </c>
      <c r="AX26" s="261">
        <f>IF(ISNUMBER(AX30),AX30-(N(AX11)+N(AX14)+N(AX17)+N(AX20)+N(AX23)),"")</f>
        <v>0</v>
      </c>
      <c r="AY26" s="261">
        <f>IF(ISNUMBER(AY30),AY30-(N(AY11)+N(AY14)+N(AY17)+N(AY20)+N(AY23)),"")</f>
        <v>0</v>
      </c>
      <c r="AZ26" s="261">
        <f>IF(ISNUMBER(AZ30),AZ30-(N(AZ11)+N(AZ14)+N(AZ17)+N(AZ20)+N(AZ23)),"")</f>
        <v>0</v>
      </c>
      <c r="BA26" s="261">
        <f>IF(ISNUMBER(BA30),BA30-(N(BA11)+N(BA14)+N(BA17)+N(BA20)+N(BA23)),"")</f>
        <v>0</v>
      </c>
      <c r="BB26" s="261">
        <f>IF(ISNUMBER(BB30),BB30-(N(BB11)+N(BB14)+N(BB17)+N(BB20)+N(BB23)),"")</f>
        <v>0</v>
      </c>
      <c r="BC26" s="261">
        <f>IF(ISNUMBER(BC30),BC30-(N(BC11)+N(BC14)+N(BC17)+N(BC20)+N(BC23)),"")</f>
        <v>0</v>
      </c>
      <c r="BD26" s="261">
        <f>IF(ISNUMBER(BD30),BD30-(N(BD11)+N(BD14)+N(BD17)+N(BD20)+N(BD23)),"")</f>
        <v>0</v>
      </c>
      <c r="BE26" s="261">
        <f>IF(ISNUMBER(BE30),BE30-(N(BE11)+N(BE14)+N(BE17)+N(BE20)+N(BE23)),"")</f>
        <v>0</v>
      </c>
      <c r="BF26" s="261">
        <f>IF(ISNUMBER(BF30),BF30-(N(BF11)+N(BF14)+N(BF17)+N(BF20)+N(BF23)),"")</f>
        <v>0</v>
      </c>
      <c r="BG26" s="261">
        <f>IF(ISNUMBER(BG30),BG30-(N(BG11)+N(BG14)+N(BG17)+N(BG20)+N(BG23)),"")</f>
        <v>0</v>
      </c>
      <c r="BH26" s="261">
        <f>IF(ISNUMBER(BH30),BH30-(N(BH11)+N(BH14)+N(BH17)+N(BH20)+N(BH23)),"")</f>
        <v>0</v>
      </c>
      <c r="BI26" s="261">
        <f>IF(ISNUMBER(BI30),BI30-(N(BI11)+N(BI14)+N(BI17)+N(BI20)+N(BI23)),"")</f>
        <v>0</v>
      </c>
      <c r="BJ26" s="261">
        <f>IF(ISNUMBER(BJ30),BJ30-(N(BJ11)+N(BJ14)+N(BJ17)+N(BJ20)+N(BJ23)),"")</f>
        <v>0</v>
      </c>
      <c r="BK26" s="261">
        <f>IF(ISNUMBER(BK30),BK30-(N(BK11)+N(BK14)+N(BK17)+N(BK20)+N(BK23)),"")</f>
        <v>0</v>
      </c>
      <c r="BL26" s="261">
        <f>IF(ISNUMBER(BL30),BL30-(N(BL11)+N(BL14)+N(BL17)+N(BL20)+N(BL23)),"")</f>
        <v>0</v>
      </c>
      <c r="BM26" s="261">
        <f>IF(ISNUMBER(BM30),BM30-(N(BM11)+N(BM14)+N(BM17)+N(BM20)+N(BM23)),"")</f>
        <v>0</v>
      </c>
      <c r="BN26" s="261">
        <f>IF(ISNUMBER(BN30),BN30-(N(BN11)+N(BN14)+N(BN17)+N(BN20)+N(BN23)),"")</f>
        <v>0</v>
      </c>
      <c r="BO26" s="261">
        <f>IF(ISNUMBER(BO30),BO30-(N(BO11)+N(BO14)+N(BO17)+N(BO20)+N(BO23)),"")</f>
        <v>0</v>
      </c>
      <c r="BP26" s="261">
        <f>IF(ISNUMBER(BP30),BP30-(N(BP11)+N(BP14)+N(BP17)+N(BP20)+N(BP23)),"")</f>
        <v>0</v>
      </c>
      <c r="BQ26" s="261">
        <f>IF(ISNUMBER(BQ30),BQ30-(N(BQ11)+N(BQ14)+N(BQ17)+N(BQ20)+N(BQ23)),"")</f>
        <v>0</v>
      </c>
      <c r="BR26" s="261">
        <f>IF(ISNUMBER(BR30),BR30-(N(BR11)+N(BR14)+N(BR17)+N(BR20)+N(BR23)),"")</f>
        <v>0</v>
      </c>
      <c r="BS26" s="261">
        <f>IF(ISNUMBER(BS30),BS30-(N(BS11)+N(BS14)+N(BS17)+N(BS20)+N(BS23)),"")</f>
        <v>0</v>
      </c>
      <c r="BT26" s="261">
        <f>IF(ISNUMBER(BT30),BT30-(N(BT11)+N(BT14)+N(BT17)+N(BT20)+N(BT23)),"")</f>
        <v>0</v>
      </c>
      <c r="BU26" s="261">
        <f>IF(ISNUMBER(BU30),BU30-(N(BU11)+N(BU14)+N(BU17)+N(BU20)+N(BU23)),"")</f>
        <v>0</v>
      </c>
      <c r="BV26" s="261">
        <f>IF(ISNUMBER(BV30),BV30-(N(BV11)+N(BV14)+N(BV17)+N(BV20)+N(BV23)),"")</f>
        <v>0</v>
      </c>
      <c r="BW26" s="261">
        <f>IF(ISNUMBER(BW30),BW30-(N(BW11)+N(BW14)+N(BW17)+N(BW20)+N(BW23)),"")</f>
        <v>0</v>
      </c>
      <c r="BX26" s="261">
        <f>IF(ISNUMBER(BX30),BX30-(N(BX11)+N(BX14)+N(BX17)+N(BX20)+N(BX23)),"")</f>
        <v>0</v>
      </c>
      <c r="BY26" s="254">
        <f>0</f>
        <v>0</v>
      </c>
      <c r="BZ26" s="254">
        <f>0</f>
        <v>0</v>
      </c>
      <c r="CA26" s="254">
        <f>SUM(BW26:BZ26)</f>
        <v>0</v>
      </c>
      <c r="CB26" s="254">
        <f>0</f>
        <v>0</v>
      </c>
      <c r="CC26" s="254">
        <f>0</f>
        <v>0</v>
      </c>
      <c r="CD26" s="254">
        <f>0</f>
        <v>0</v>
      </c>
      <c r="CE26" s="254">
        <f>0</f>
        <v>0</v>
      </c>
      <c r="CF26" s="19" t="inlineStr">
        <is>
          <t>Consolidated segment revenue less the current lines: carries the periods before each line was first published (MIS Other from 2013; MA lines on the 2022 / 2024 bases; legacy MA lines are memo rows below).</t>
        </is>
      </c>
      <c r="CN26" s="25" t="inlineStr">
        <is>
          <t xml:space="preserve">  Q4/26E contingent gain on the Regulatory Solutions divestiture ($m)</t>
        </is>
      </c>
      <c r="CP26" s="260" t="n">
        <v>119</v>
      </c>
      <c r="CR26" s="13" t="inlineStr">
        <is>
          <t>Up to $119m of contingent consideration payable on post-closing conditions in 2H26 (Q2-26 10-Q); the FY26 EPS bridge gain of ~$(1.25) less the Q2 $(0.72) implies ~$0.53 net ≈ $119m pre-tax. Timing assumed Q4.</t>
        </is>
      </c>
    </row>
    <row r="27" ht="15" customHeight="1" s="251">
      <c r="B27" s="16" t="inlineStr">
        <is>
          <t xml:space="preserve">  MIS — external revenue</t>
        </is>
      </c>
      <c r="C27" s="262">
        <f>IF(ISNUMBER(C30),N(C11)+N(C14)+N(C17)+N(C20)+N(C23)+C26,"")</f>
        <v>1639.8</v>
      </c>
      <c r="D27" s="262">
        <f>IF(ISNUMBER(D30),N(D11)+N(D14)+N(D17)+N(D20)+N(D23)+D26,"")</f>
        <v>1779.9</v>
      </c>
      <c r="E27" s="262">
        <f>IF(ISNUMBER(E30),N(E11)+N(E14)+N(E17)+N(E20)+N(E23)+E26,"")</f>
        <v>1204.7</v>
      </c>
      <c r="F27" s="262">
        <f>IF(ISNUMBER(F30),N(F11)+N(F14)+N(F17)+N(F20)+N(F23)+F26,"")</f>
        <v>1217.7</v>
      </c>
      <c r="G27" s="262">
        <f>IF(ISNUMBER(G30),N(G11)+N(G14)+N(G17)+N(G20)+N(G23)+G26,"")</f>
        <v>1405</v>
      </c>
      <c r="H27" s="262">
        <f>IF(ISNUMBER(H30),N(H11)+N(H14)+N(H17)+N(H20)+N(H23)+H26,"")</f>
        <v>1568.9</v>
      </c>
      <c r="I27" s="262">
        <f>IF(ISNUMBER(I30),N(I11)+N(I14)+N(I17)+N(I20)+N(I23)+I26,"")</f>
        <v>1886.8</v>
      </c>
      <c r="J27" s="262">
        <f>IF(ISNUMBER(J30),N(J11)+N(J14)+N(J17)+N(J20)+N(J23)+J26,"")</f>
        <v>521.2</v>
      </c>
      <c r="K27" s="262">
        <f>IF(ISNUMBER(K30),N(K11)+N(K14)+N(K17)+N(K20)+N(K23)+K26,"")</f>
        <v>537.3</v>
      </c>
      <c r="L27" s="262">
        <f>IF(ISNUMBER(L30),N(L11)+N(L14)+N(L17)+N(L20)+N(L23)+L26,"")</f>
        <v>478.1</v>
      </c>
      <c r="M27" s="262">
        <f>IF(ISNUMBER(M30),N(M11)+N(M14)+N(M17)+N(M20)+N(M23)+M26,"")</f>
        <v>522.8</v>
      </c>
      <c r="N27" s="262">
        <f>IF(ISNUMBER(N30),N(N11)+N(N14)+N(N17)+N(N20)+N(N23)+N26,"")</f>
        <v>2059.4</v>
      </c>
      <c r="O27" s="262">
        <f>IF(ISNUMBER(O30),N(O11)+N(O14)+N(O17)+N(O20)+N(O23)+O26,"")</f>
        <v>525.8</v>
      </c>
      <c r="P27" s="262">
        <f>IF(ISNUMBER(P30),N(P11)+N(P14)+N(P17)+N(P20)+N(P23)+P26,"")</f>
        <v>621.7</v>
      </c>
      <c r="Q27" s="262">
        <f>IF(ISNUMBER(Q30),N(Q11)+N(Q14)+N(Q17)+N(Q20)+N(Q23)+Q26,"")</f>
        <v>543.1</v>
      </c>
      <c r="R27" s="262">
        <f>IF(ISNUMBER(R30),N(R11)+N(R14)+N(R17)+N(R20)+N(R23)+R26,"")</f>
        <v>565.1</v>
      </c>
      <c r="S27" s="262">
        <f>IF(ISNUMBER(S30),N(S11)+N(S14)+N(S17)+N(S20)+N(S23)+S26,"")</f>
        <v>2265.8</v>
      </c>
      <c r="T27" s="262">
        <f>IF(ISNUMBER(T30),N(T11)+N(T14)+N(T17)+N(T20)+N(T23)+T26,"")</f>
        <v>602.3</v>
      </c>
      <c r="U27" s="262">
        <f>IF(ISNUMBER(U30),N(U11)+N(U14)+N(U17)+N(U20)+N(U23)+U26,"")</f>
        <v>639.2</v>
      </c>
      <c r="V27" s="262">
        <f>IF(ISNUMBER(V30),N(V11)+N(V14)+N(V17)+N(V20)+N(V23)+V26,"")</f>
        <v>548.1</v>
      </c>
      <c r="W27" s="262">
        <f>IF(ISNUMBER(W30),N(W11)+N(W14)+N(W17)+N(W20)+N(W23)+W26,"")</f>
        <v>544.6</v>
      </c>
      <c r="X27" s="262">
        <f>IF(ISNUMBER(X30),N(X11)+N(X14)+N(X17)+N(X20)+N(X23)+X26,"")</f>
        <v>2334.2</v>
      </c>
      <c r="Y27" s="262">
        <f>IF(ISNUMBER(Y30),N(Y11)+N(Y14)+N(Y17)+N(Y20)+N(Y23)+Y26,"")</f>
        <v>525.1</v>
      </c>
      <c r="Z27" s="262">
        <f>IF(ISNUMBER(Z30),N(Z11)+N(Z14)+N(Z17)+N(Z20)+N(Z23)+Z26,"")</f>
        <v>625.6</v>
      </c>
      <c r="AA27" s="262">
        <f>IF(ISNUMBER(AA30),N(AA11)+N(AA14)+N(AA17)+N(AA20)+N(AA23)+AA26,"")</f>
        <v>612.3</v>
      </c>
      <c r="AB27" s="262">
        <f>IF(ISNUMBER(AB30),N(AB11)+N(AB14)+N(AB17)+N(AB20)+N(AB23)+AB26,"")</f>
        <v>607.8</v>
      </c>
      <c r="AC27" s="262">
        <f>IF(ISNUMBER(AC30),N(AC11)+N(AC14)+N(AC17)+N(AC20)+N(AC23)+AC26,"")</f>
        <v>2370.8</v>
      </c>
      <c r="AD27" s="262">
        <f>IF(ISNUMBER(AD30),N(AD11)+N(AD14)+N(AD17)+N(AD20)+N(AD23)+AD26,"")</f>
        <v>668.2</v>
      </c>
      <c r="AE27" s="262">
        <f>IF(ISNUMBER(AE30),N(AE11)+N(AE14)+N(AE17)+N(AE20)+N(AE23)+AE26,"")</f>
        <v>686.7</v>
      </c>
      <c r="AF27" s="262">
        <f>IF(ISNUMBER(AF30),N(AF11)+N(AF14)+N(AF17)+N(AF20)+N(AF23)+AF26,"")</f>
        <v>694.2</v>
      </c>
      <c r="AG27" s="262">
        <f>IF(ISNUMBER(AG30),N(AG11)+N(AG14)+N(AG17)+N(AG20)+N(AG23)+AG26,"")</f>
        <v>724.7</v>
      </c>
      <c r="AH27" s="262">
        <f>IF(ISNUMBER(AH30),N(AH11)+N(AH14)+N(AH17)+N(AH20)+N(AH23)+AH26,"")</f>
        <v>2773.8</v>
      </c>
      <c r="AI27" s="262">
        <f>IF(ISNUMBER(AI30),N(AI11)+N(AI14)+N(AI17)+N(AI20)+N(AI23)+AI26,"")</f>
        <v>719.9</v>
      </c>
      <c r="AJ27" s="262">
        <f>IF(ISNUMBER(AJ30),N(AJ11)+N(AJ14)+N(AJ17)+N(AJ20)+N(AJ23)+AJ26,"")</f>
        <v>752.3</v>
      </c>
      <c r="AK27" s="262">
        <f>IF(ISNUMBER(AK30),N(AK11)+N(AK14)+N(AK17)+N(AK20)+N(AK23)+AK26,"")</f>
        <v>644.8</v>
      </c>
      <c r="AL27" s="262">
        <f>IF(ISNUMBER(AL30),N(AL11)+N(AL14)+N(AL17)+N(AL20)+N(AL23)+AL26,"")</f>
        <v>595.4</v>
      </c>
      <c r="AM27" s="262">
        <f>IF(ISNUMBER(AM30),N(AM11)+N(AM14)+N(AM17)+N(AM20)+N(AM23)+AM26,"")</f>
        <v>2712.4</v>
      </c>
      <c r="AN27" s="262">
        <f>IF(ISNUMBER(AN30),N(AN11)+N(AN14)+N(AN17)+N(AN20)+N(AN23)+AN26,"")</f>
        <v>670.1</v>
      </c>
      <c r="AO27" s="262">
        <f>IF(ISNUMBER(AO30),N(AO11)+N(AO14)+N(AO17)+N(AO20)+N(AO23)+AO26,"")</f>
        <v>738.4</v>
      </c>
      <c r="AP27" s="262">
        <f>IF(ISNUMBER(AP30),N(AP11)+N(AP14)+N(AP17)+N(AP20)+N(AP23)+AP26,"")</f>
        <v>746.6</v>
      </c>
      <c r="AQ27" s="262">
        <f>IF(ISNUMBER(AQ30),N(AQ11)+N(AQ14)+N(AQ17)+N(AQ20)+N(AQ23)+AQ26,"")</f>
        <v>720</v>
      </c>
      <c r="AR27" s="262">
        <f>IF(ISNUMBER(AR30),N(AR11)+N(AR14)+N(AR17)+N(AR20)+N(AR23)+AR26,"")</f>
        <v>2875</v>
      </c>
      <c r="AS27" s="262">
        <f>IF(ISNUMBER(AS30),N(AS11)+N(AS14)+N(AS17)+N(AS20)+N(AS23)+AS26,"")</f>
        <v>794</v>
      </c>
      <c r="AT27" s="262">
        <f>IF(ISNUMBER(AT30),N(AT11)+N(AT14)+N(AT17)+N(AT20)+N(AT23)+AT26,"")</f>
        <v>938</v>
      </c>
      <c r="AU27" s="262">
        <f>IF(ISNUMBER(AU30),N(AU11)+N(AU14)+N(AU17)+N(AU20)+N(AU23)+AU26,"")</f>
        <v>825</v>
      </c>
      <c r="AV27" s="262">
        <f>IF(ISNUMBER(AV30),N(AV11)+N(AV14)+N(AV17)+N(AV20)+N(AV23)+AV26,"")</f>
        <v>735</v>
      </c>
      <c r="AW27" s="262">
        <f>IF(ISNUMBER(AW30),N(AW11)+N(AW14)+N(AW17)+N(AW20)+N(AW23)+AW26,"")</f>
        <v>3292</v>
      </c>
      <c r="AX27" s="262">
        <f>IF(ISNUMBER(AX30),N(AX11)+N(AX14)+N(AX17)+N(AX20)+N(AX23)+AX26,"")</f>
        <v>1036</v>
      </c>
      <c r="AY27" s="262">
        <f>IF(ISNUMBER(AY30),N(AY11)+N(AY14)+N(AY17)+N(AY20)+N(AY23)+AY26,"")</f>
        <v>980</v>
      </c>
      <c r="AZ27" s="262">
        <f>IF(ISNUMBER(AZ30),N(AZ11)+N(AZ14)+N(AZ17)+N(AZ20)+N(AZ23)+AZ26,"")</f>
        <v>925</v>
      </c>
      <c r="BA27" s="262">
        <f>IF(ISNUMBER(BA30),N(BA11)+N(BA14)+N(BA17)+N(BA20)+N(BA23)+BA26,"")</f>
        <v>871</v>
      </c>
      <c r="BB27" s="262">
        <f>IF(ISNUMBER(BB30),N(BB11)+N(BB14)+N(BB17)+N(BB20)+N(BB23)+BB26,"")</f>
        <v>3812</v>
      </c>
      <c r="BC27" s="262">
        <f>IF(ISNUMBER(BC30),N(BC11)+N(BC14)+N(BC17)+N(BC20)+N(BC23)+BC26,"")</f>
        <v>827</v>
      </c>
      <c r="BD27" s="262">
        <f>IF(ISNUMBER(BD30),N(BD11)+N(BD14)+N(BD17)+N(BD20)+N(BD23)+BD26,"")</f>
        <v>706</v>
      </c>
      <c r="BE27" s="262">
        <f>IF(ISNUMBER(BE30),N(BE11)+N(BE14)+N(BE17)+N(BE20)+N(BE23)+BE26,"")</f>
        <v>590</v>
      </c>
      <c r="BF27" s="262">
        <f>IF(ISNUMBER(BF30),N(BF11)+N(BF14)+N(BF17)+N(BF20)+N(BF23)+BF26,"")</f>
        <v>576</v>
      </c>
      <c r="BG27" s="262">
        <f>IF(ISNUMBER(BG30),N(BG11)+N(BG14)+N(BG17)+N(BG20)+N(BG23)+BG26,"")</f>
        <v>2699</v>
      </c>
      <c r="BH27" s="262">
        <f>IF(ISNUMBER(BH30),N(BH11)+N(BH14)+N(BH17)+N(BH20)+N(BH23)+BH26,"")</f>
        <v>733</v>
      </c>
      <c r="BI27" s="262">
        <f>IF(ISNUMBER(BI30),N(BI11)+N(BI14)+N(BI17)+N(BI20)+N(BI23)+BI26,"")</f>
        <v>747</v>
      </c>
      <c r="BJ27" s="262">
        <f>IF(ISNUMBER(BJ30),N(BJ11)+N(BJ14)+N(BJ17)+N(BJ20)+N(BJ23)+BJ26,"")</f>
        <v>696</v>
      </c>
      <c r="BK27" s="262">
        <f>IF(ISNUMBER(BK30),N(BK11)+N(BK14)+N(BK17)+N(BK20)+N(BK23)+BK26,"")</f>
        <v>684</v>
      </c>
      <c r="BL27" s="262">
        <f>IF(ISNUMBER(BL30),N(BL11)+N(BL14)+N(BL17)+N(BL20)+N(BL23)+BL26,"")</f>
        <v>2860</v>
      </c>
      <c r="BM27" s="262">
        <f>IF(ISNUMBER(BM30),N(BM11)+N(BM14)+N(BM17)+N(BM20)+N(BM23)+BM26,"")</f>
        <v>987</v>
      </c>
      <c r="BN27" s="262">
        <f>IF(ISNUMBER(BN30),N(BN11)+N(BN14)+N(BN17)+N(BN20)+N(BN23)+BN26,"")</f>
        <v>1015</v>
      </c>
      <c r="BO27" s="262">
        <f>IF(ISNUMBER(BO30),N(BO11)+N(BO14)+N(BO17)+N(BO20)+N(BO23)+BO26,"")</f>
        <v>982</v>
      </c>
      <c r="BP27" s="262">
        <f>IF(ISNUMBER(BP30),N(BP11)+N(BP14)+N(BP17)+N(BP20)+N(BP23)+BP26,"")</f>
        <v>809</v>
      </c>
      <c r="BQ27" s="262">
        <f>IF(ISNUMBER(BQ30),N(BQ11)+N(BQ14)+N(BQ17)+N(BQ20)+N(BQ23)+BQ26,"")</f>
        <v>3793</v>
      </c>
      <c r="BR27" s="262">
        <f>IF(ISNUMBER(BR30),N(BR11)+N(BR14)+N(BR17)+N(BR20)+N(BR23)+BR26,"")</f>
        <v>1065</v>
      </c>
      <c r="BS27" s="262">
        <f>IF(ISNUMBER(BS30),N(BS11)+N(BS14)+N(BS17)+N(BS20)+N(BS23)+BS26,"")</f>
        <v>1010</v>
      </c>
      <c r="BT27" s="262">
        <f>IF(ISNUMBER(BT30),N(BT11)+N(BT14)+N(BT17)+N(BT20)+N(BT23)+BT26,"")</f>
        <v>1098</v>
      </c>
      <c r="BU27" s="262">
        <f>IF(ISNUMBER(BU30),N(BU11)+N(BU14)+N(BU17)+N(BU20)+N(BU23)+BU26,"")</f>
        <v>946</v>
      </c>
      <c r="BV27" s="262">
        <f>IF(ISNUMBER(BV30),N(BV11)+N(BV14)+N(BV17)+N(BV20)+N(BV23)+BV26,"")</f>
        <v>4119</v>
      </c>
      <c r="BW27" s="262">
        <f>IF(ISNUMBER(BW30),N(BW11)+N(BW14)+N(BW17)+N(BW20)+N(BW23)+BW26,"")</f>
        <v>1153</v>
      </c>
      <c r="BX27" s="262">
        <f>IF(ISNUMBER(BX30),N(BX11)+N(BX14)+N(BX17)+N(BX20)+N(BX23)+BX26,"")</f>
        <v>1260</v>
      </c>
      <c r="BY27" s="263">
        <f>BY11+BY14+BY17+BY20+BY23</f>
        <v>1093.45244337586</v>
      </c>
      <c r="BZ27" s="263">
        <f>BZ11+BZ14+BZ17+BZ20+BZ23</f>
        <v>942.067556624137</v>
      </c>
      <c r="CA27" s="263">
        <f>SUM(BW27:BZ27)</f>
        <v>4448.52</v>
      </c>
      <c r="CB27" s="263">
        <f>CB11+CB14+CB17+CB20+CB23</f>
        <v>4733.70942222479</v>
      </c>
      <c r="CC27" s="263">
        <f>CC11+CC14+CC17+CC20+CC23</f>
        <v>4997.80113972398</v>
      </c>
      <c r="CD27" s="263">
        <f>CD11+CD14+CD17+CD20+CD23</f>
        <v>5268.65085783922</v>
      </c>
      <c r="CE27" s="263">
        <f>CE11+CE14+CE17+CE20+CE23</f>
        <v>5525.93400351027</v>
      </c>
      <c r="CF27" s="153" t="inlineStr">
        <is>
          <t>Σ lines (+ not-split residual in history) = segment external revenue as reported.</t>
        </is>
      </c>
      <c r="CH27" s="20">
        <f>IFERROR((CE27/BV27)^(1/5)-1,"n/m")</f>
        <v>0.0605295656586333</v>
      </c>
      <c r="CI27" s="20">
        <f>IFERROR((BV27/AW27)^(1/5)-1,"n/m")</f>
        <v>0.0458427571059821</v>
      </c>
      <c r="CJ27" s="20">
        <f>IFERROR((BV27/X27)^(1/10)-1,"n/m")</f>
        <v>0.058437876291352</v>
      </c>
      <c r="CK27" s="20">
        <f>IFERROR((BV27/C27)^(1/19)-1,"n/m")</f>
        <v>0.049669744774993</v>
      </c>
      <c r="CN27" s="25" t="inlineStr">
        <is>
          <t xml:space="preserve">  Q3/Q4-26E acquired-intangible amortization (per quarter, $m)</t>
        </is>
      </c>
      <c r="CP27" s="260" t="n">
        <v>50.5</v>
      </c>
      <c r="CR27" s="13" t="inlineStr">
        <is>
          <t>FY2025 10-K schedule 2026 $207m − 1H26 $106m, split evenly.</t>
        </is>
      </c>
    </row>
    <row r="28" ht="15" customHeight="1" s="251">
      <c r="B28" s="22" t="inlineStr">
        <is>
          <t xml:space="preserve">  Segment revenue y/y %</t>
        </is>
      </c>
      <c r="D28" s="255">
        <f>IF(AND(ISNUMBER(D27),ISNUMBER(C27)),IFERROR(D27/C27-1,""),"")</f>
        <v>0.0854372484449322</v>
      </c>
      <c r="E28" s="255">
        <f>IF(AND(ISNUMBER(E27),ISNUMBER(D27)),IFERROR(E27/D27-1,""),"")</f>
        <v>-0.323164222709141</v>
      </c>
      <c r="F28" s="255">
        <f>IF(AND(ISNUMBER(F27),ISNUMBER(E27)),IFERROR(F27/E27-1,""),"")</f>
        <v>0.010791068315763</v>
      </c>
      <c r="G28" s="255">
        <f>IF(AND(ISNUMBER(G27),ISNUMBER(F27)),IFERROR(G27/F27-1,""),"")</f>
        <v>0.153814568448715</v>
      </c>
      <c r="H28" s="255">
        <f>IF(AND(ISNUMBER(H27),ISNUMBER(G27)),IFERROR(H27/G27-1,""),"")</f>
        <v>0.116654804270462</v>
      </c>
      <c r="I28" s="255">
        <f>IF(AND(ISNUMBER(I27),ISNUMBER(H27)),IFERROR(I27/H27-1,""),"")</f>
        <v>0.202626043724903</v>
      </c>
      <c r="N28" s="255">
        <f>IF(AND(ISNUMBER(N27),ISNUMBER(I27)),IFERROR(N27/I27-1,""),"")</f>
        <v>0.0914776340894636</v>
      </c>
      <c r="O28" s="255">
        <f>IF(AND(ISNUMBER(O27),ISNUMBER(J27)),IFERROR(O27/J27-1,""),"")</f>
        <v>0.00882578664620115</v>
      </c>
      <c r="P28" s="255">
        <f>IF(AND(ISNUMBER(P27),ISNUMBER(K27)),IFERROR(P27/K27-1,""),"")</f>
        <v>0.157081704820399</v>
      </c>
      <c r="Q28" s="255">
        <f>IF(AND(ISNUMBER(Q27),ISNUMBER(L27)),IFERROR(Q27/L27-1,""),"")</f>
        <v>0.13595482116712</v>
      </c>
      <c r="R28" s="255">
        <f>IF(AND(ISNUMBER(R27),ISNUMBER(M27)),IFERROR(R27/M27-1,""),"")</f>
        <v>0.0809104820198929</v>
      </c>
      <c r="S28" s="255">
        <f>IF(AND(ISNUMBER(S27),ISNUMBER(N27)),IFERROR(S27/N27-1,""),"")</f>
        <v>0.10022336602894</v>
      </c>
      <c r="T28" s="255">
        <f>IF(AND(ISNUMBER(T27),ISNUMBER(O27)),IFERROR(T27/O27-1,""),"")</f>
        <v>0.145492582731076</v>
      </c>
      <c r="U28" s="255">
        <f>IF(AND(ISNUMBER(U27),ISNUMBER(P27)),IFERROR(U27/P27-1,""),"")</f>
        <v>0.02814862473862</v>
      </c>
      <c r="V28" s="255">
        <f>IF(AND(ISNUMBER(V27),ISNUMBER(Q27)),IFERROR(V27/Q27-1,""),"")</f>
        <v>0.00920640765973135</v>
      </c>
      <c r="W28" s="255">
        <f>IF(AND(ISNUMBER(W27),ISNUMBER(R27)),IFERROR(W27/R27-1,""),"")</f>
        <v>-0.0362767651743055</v>
      </c>
      <c r="X28" s="255">
        <f>IF(AND(ISNUMBER(X27),ISNUMBER(S27)),IFERROR(X27/S27-1,""),"")</f>
        <v>0.0301880130638186</v>
      </c>
      <c r="Y28" s="255">
        <f>IF(AND(ISNUMBER(Y27),ISNUMBER(T27)),IFERROR(Y27/T27-1,""),"")</f>
        <v>-0.12817532790968</v>
      </c>
      <c r="Z28" s="255">
        <f>IF(AND(ISNUMBER(Z27),ISNUMBER(U27)),IFERROR(Z27/U27-1,""),"")</f>
        <v>-0.0212765957446811</v>
      </c>
      <c r="AA28" s="255">
        <f>IF(AND(ISNUMBER(AA27),ISNUMBER(V27)),IFERROR(AA27/V27-1,""),"")</f>
        <v>0.117131910235359</v>
      </c>
      <c r="AB28" s="255">
        <f>IF(AND(ISNUMBER(AB27),ISNUMBER(W27)),IFERROR(AB27/W27-1,""),"")</f>
        <v>0.116048475945648</v>
      </c>
      <c r="AC28" s="255">
        <f>IF(AND(ISNUMBER(AC27),ISNUMBER(X27)),IFERROR(AC27/X27-1,""),"")</f>
        <v>0.0156798903264499</v>
      </c>
      <c r="AD28" s="255">
        <f>IF(AND(ISNUMBER(AD27),ISNUMBER(Y27)),IFERROR(AD27/Y27-1,""),"")</f>
        <v>0.272519520091411</v>
      </c>
      <c r="AE28" s="255">
        <f>IF(AND(ISNUMBER(AE27),ISNUMBER(Z27)),IFERROR(AE27/Z27-1,""),"")</f>
        <v>0.0976662404092075</v>
      </c>
      <c r="AF28" s="255">
        <f>IF(AND(ISNUMBER(AF27),ISNUMBER(AA27)),IFERROR(AF27/AA27-1,""),"")</f>
        <v>0.133757961783439</v>
      </c>
      <c r="AG28" s="255">
        <f>IF(AND(ISNUMBER(AG27),ISNUMBER(AB27)),IFERROR(AG27/AB27-1,""),"")</f>
        <v>0.192333004277723</v>
      </c>
      <c r="AH28" s="255">
        <f>IF(AND(ISNUMBER(AH27),ISNUMBER(AC27)),IFERROR(AH27/AC27-1,""),"")</f>
        <v>0.169984815252236</v>
      </c>
      <c r="AI28" s="255">
        <f>IF(AND(ISNUMBER(AI27),ISNUMBER(AD27)),IFERROR(AI27/AD27-1,""),"")</f>
        <v>0.0773720442981145</v>
      </c>
      <c r="AJ28" s="255">
        <f>IF(AND(ISNUMBER(AJ27),ISNUMBER(AE27)),IFERROR(AJ27/AE27-1,""),"")</f>
        <v>0.0955293432357653</v>
      </c>
      <c r="AK28" s="255">
        <f>IF(AND(ISNUMBER(AK27),ISNUMBER(AF27)),IFERROR(AK27/AF27-1,""),"")</f>
        <v>-0.0711610486891388</v>
      </c>
      <c r="AL28" s="255">
        <f>IF(AND(ISNUMBER(AL27),ISNUMBER(AG27)),IFERROR(AL27/AG27-1,""),"")</f>
        <v>-0.178418655995584</v>
      </c>
      <c r="AM28" s="255">
        <f>IF(AND(ISNUMBER(AM27),ISNUMBER(AH27)),IFERROR(AM27/AH27-1,""),"")</f>
        <v>-0.0221356983199944</v>
      </c>
      <c r="AN28" s="255">
        <f>IF(AND(ISNUMBER(AN27),ISNUMBER(AI27)),IFERROR(AN27/AI27-1,""),"")</f>
        <v>-0.0691762744825669</v>
      </c>
      <c r="AO28" s="255">
        <f>IF(AND(ISNUMBER(AO27),ISNUMBER(AJ27)),IFERROR(AO27/AJ27-1,""),"")</f>
        <v>-0.0184766715406087</v>
      </c>
      <c r="AP28" s="255">
        <f>IF(AND(ISNUMBER(AP27),ISNUMBER(AK27)),IFERROR(AP27/AK27-1,""),"")</f>
        <v>0.15787841191067</v>
      </c>
      <c r="AQ28" s="255">
        <f>IF(AND(ISNUMBER(AQ27),ISNUMBER(AL27)),IFERROR(AQ27/AL27-1,""),"")</f>
        <v>0.209271078266712</v>
      </c>
      <c r="AR28" s="255">
        <f>IF(AND(ISNUMBER(AR27),ISNUMBER(AM27)),IFERROR(AR27/AM27-1,""),"")</f>
        <v>0.0599469104851793</v>
      </c>
      <c r="AS28" s="255">
        <f>IF(AND(ISNUMBER(AS27),ISNUMBER(AN27)),IFERROR(AS27/AN27-1,""),"")</f>
        <v>0.184897776451276</v>
      </c>
      <c r="AT28" s="255">
        <f>IF(AND(ISNUMBER(AT27),ISNUMBER(AO27)),IFERROR(AT27/AO27-1,""),"")</f>
        <v>0.270314192849404</v>
      </c>
      <c r="AU28" s="255">
        <f>IF(AND(ISNUMBER(AU27),ISNUMBER(AP27)),IFERROR(AU27/AP27-1,""),"")</f>
        <v>0.105009375837128</v>
      </c>
      <c r="AV28" s="255">
        <f>IF(AND(ISNUMBER(AV27),ISNUMBER(AQ27)),IFERROR(AV27/AQ27-1,""),"")</f>
        <v>0.0208333333333333</v>
      </c>
      <c r="AW28" s="255">
        <f>IF(AND(ISNUMBER(AW27),ISNUMBER(AR27)),IFERROR(AW27/AR27-1,""),"")</f>
        <v>0.14504347826087</v>
      </c>
      <c r="AX28" s="255">
        <f>IF(AND(ISNUMBER(AX27),ISNUMBER(AS27)),IFERROR(AX27/AS27-1,""),"")</f>
        <v>0.304785894206549</v>
      </c>
      <c r="AY28" s="255">
        <f>IF(AND(ISNUMBER(AY27),ISNUMBER(AT27)),IFERROR(AY27/AT27-1,""),"")</f>
        <v>0.044776119402985</v>
      </c>
      <c r="AZ28" s="255">
        <f>IF(AND(ISNUMBER(AZ27),ISNUMBER(AU27)),IFERROR(AZ27/AU27-1,""),"")</f>
        <v>0.121212121212121</v>
      </c>
      <c r="BA28" s="255">
        <f>IF(AND(ISNUMBER(BA27),ISNUMBER(AV27)),IFERROR(BA27/AV27-1,""),"")</f>
        <v>0.185034013605442</v>
      </c>
      <c r="BB28" s="255">
        <f>IF(AND(ISNUMBER(BB27),ISNUMBER(AW27)),IFERROR(BB27/AW27-1,""),"")</f>
        <v>0.157958687727825</v>
      </c>
      <c r="BC28" s="255">
        <f>IF(AND(ISNUMBER(BC27),ISNUMBER(AX27)),IFERROR(BC27/AX27-1,""),"")</f>
        <v>-0.201737451737452</v>
      </c>
      <c r="BD28" s="255">
        <f>IF(AND(ISNUMBER(BD27),ISNUMBER(AY27)),IFERROR(BD27/AY27-1,""),"")</f>
        <v>-0.279591836734694</v>
      </c>
      <c r="BE28" s="255">
        <f>IF(AND(ISNUMBER(BE27),ISNUMBER(AZ27)),IFERROR(BE27/AZ27-1,""),"")</f>
        <v>-0.362162162162162</v>
      </c>
      <c r="BF28" s="255">
        <f>IF(AND(ISNUMBER(BF27),ISNUMBER(BA27)),IFERROR(BF27/BA27-1,""),"")</f>
        <v>-0.338691159586682</v>
      </c>
      <c r="BG28" s="255">
        <f>IF(AND(ISNUMBER(BG27),ISNUMBER(BB27)),IFERROR(BG27/BB27-1,""),"")</f>
        <v>-0.291972717733473</v>
      </c>
      <c r="BH28" s="255">
        <f>IF(AND(ISNUMBER(BH27),ISNUMBER(BC27)),IFERROR(BH27/BC27-1,""),"")</f>
        <v>-0.1136638452237</v>
      </c>
      <c r="BI28" s="255">
        <f>IF(AND(ISNUMBER(BI27),ISNUMBER(BD27)),IFERROR(BI27/BD27-1,""),"")</f>
        <v>0.0580736543909348</v>
      </c>
      <c r="BJ28" s="255">
        <f>IF(AND(ISNUMBER(BJ27),ISNUMBER(BE27)),IFERROR(BJ27/BE27-1,""),"")</f>
        <v>0.179661016949153</v>
      </c>
      <c r="BK28" s="255">
        <f>IF(AND(ISNUMBER(BK27),ISNUMBER(BF27)),IFERROR(BK27/BF27-1,""),"")</f>
        <v>0.1875</v>
      </c>
      <c r="BL28" s="255">
        <f>IF(AND(ISNUMBER(BL27),ISNUMBER(BG27)),IFERROR(BL27/BG27-1,""),"")</f>
        <v>0.0596517228603186</v>
      </c>
      <c r="BM28" s="255">
        <f>IF(AND(ISNUMBER(BM27),ISNUMBER(BH27)),IFERROR(BM27/BH27-1,""),"")</f>
        <v>0.346521145975443</v>
      </c>
      <c r="BN28" s="255">
        <f>IF(AND(ISNUMBER(BN27),ISNUMBER(BI27)),IFERROR(BN27/BI27-1,""),"")</f>
        <v>0.358768406961178</v>
      </c>
      <c r="BO28" s="255">
        <f>IF(AND(ISNUMBER(BO27),ISNUMBER(BJ27)),IFERROR(BO27/BJ27-1,""),"")</f>
        <v>0.410919540229885</v>
      </c>
      <c r="BP28" s="255">
        <f>IF(AND(ISNUMBER(BP27),ISNUMBER(BK27)),IFERROR(BP27/BK27-1,""),"")</f>
        <v>0.182748538011696</v>
      </c>
      <c r="BQ28" s="255">
        <f>IF(AND(ISNUMBER(BQ27),ISNUMBER(BL27)),IFERROR(BQ27/BL27-1,""),"")</f>
        <v>0.326223776223776</v>
      </c>
      <c r="BR28" s="255">
        <f>IF(AND(ISNUMBER(BR27),ISNUMBER(BM27)),IFERROR(BR27/BM27-1,""),"")</f>
        <v>0.0790273556231003</v>
      </c>
      <c r="BS28" s="255">
        <f>IF(AND(ISNUMBER(BS27),ISNUMBER(BN27)),IFERROR(BS27/BN27-1,""),"")</f>
        <v>-0.00492610837438423</v>
      </c>
      <c r="BT28" s="255">
        <f>IF(AND(ISNUMBER(BT27),ISNUMBER(BO27)),IFERROR(BT27/BO27-1,""),"")</f>
        <v>0.118126272912424</v>
      </c>
      <c r="BU28" s="255">
        <f>IF(AND(ISNUMBER(BU27),ISNUMBER(BP27)),IFERROR(BU27/BP27-1,""),"")</f>
        <v>0.169344870210136</v>
      </c>
      <c r="BV28" s="255">
        <f>IF(AND(ISNUMBER(BV27),ISNUMBER(BQ27)),IFERROR(BV27/BQ27-1,""),"")</f>
        <v>0.0859477985763248</v>
      </c>
      <c r="BW28" s="255">
        <f>IF(AND(ISNUMBER(BW27),ISNUMBER(BR27)),IFERROR(BW27/BR27-1,""),"")</f>
        <v>0.0826291079812207</v>
      </c>
      <c r="BX28" s="255">
        <f>IF(AND(ISNUMBER(BX27),ISNUMBER(BS27)),IFERROR(BX27/BS27-1,""),"")</f>
        <v>0.247524752475248</v>
      </c>
      <c r="BY28" s="256">
        <f>IF(AND(ISNUMBER(BY27),ISNUMBER(BT27)),IFERROR(BY27/BT27-1,""),"")</f>
        <v>-0.00414167269957844</v>
      </c>
      <c r="BZ28" s="256">
        <f>IF(AND(ISNUMBER(BZ27),ISNUMBER(BU27)),IFERROR(BZ27/BU27-1,""),"")</f>
        <v>-0.00415691688780395</v>
      </c>
      <c r="CA28" s="256">
        <f>IF(AND(ISNUMBER(CA27),ISNUMBER(BV27)),IFERROR(CA27/BV27-1,""),"")</f>
        <v>0.0800000000000001</v>
      </c>
      <c r="CB28" s="256">
        <f>IF(AND(ISNUMBER(CB27),ISNUMBER(CA27)),IFERROR(CB27/CA27-1,""),"")</f>
        <v>0.0641088322014478</v>
      </c>
      <c r="CC28" s="256">
        <f>IF(AND(ISNUMBER(CC27),ISNUMBER(CB27)),IFERROR(CC27/CB27-1,""),"")</f>
        <v>0.0557895920394445</v>
      </c>
      <c r="CD28" s="256">
        <f>IF(AND(ISNUMBER(CD27),ISNUMBER(CC27)),IFERROR(CD27/CC27-1,""),"")</f>
        <v>0.0541937765315319</v>
      </c>
      <c r="CE28" s="256">
        <f>IF(AND(ISNUMBER(CE27),ISNUMBER(CD27)),IFERROR(CE27/CD27-1,""),"")</f>
        <v>0.048832832657385</v>
      </c>
      <c r="CF28" s="153" t="n"/>
      <c r="CN28" s="25" t="inlineStr">
        <is>
          <t xml:space="preserve">  Q3/Q4-26E other depreciation &amp; amortization (per quarter, $m)</t>
        </is>
      </c>
      <c r="CP28" s="260" t="n">
        <v>68</v>
      </c>
      <c r="CR28" s="13" t="inlineStr">
        <is>
          <t>D&amp;A guided ~6% of revenue; 1H26 other D&amp;A $142m ($71m/qtr) → $68m/qtr with amortization ≈ 6.1% of FY revenue.</t>
        </is>
      </c>
    </row>
    <row r="29" ht="15" customHeight="1" s="251">
      <c r="B29" s="25" t="inlineStr">
        <is>
          <t xml:space="preserve">  % of total revenue</t>
        </is>
      </c>
      <c r="C29" s="215">
        <f>IF(AND(ISNUMBER(C27),ISNUMBER(C110)),IFERROR(C27/C110,""),"")</f>
        <v>0.804967846448383</v>
      </c>
      <c r="D29" s="215">
        <f>IF(AND(ISNUMBER(D27),ISNUMBER(D110)),IFERROR(D27/D110,""),"")</f>
        <v>0.787915006640106</v>
      </c>
      <c r="E29" s="215">
        <f>IF(AND(ISNUMBER(E27),ISNUMBER(E110)),IFERROR(E27/E110,""),"")</f>
        <v>0.686282328813946</v>
      </c>
      <c r="F29" s="215">
        <f>IF(AND(ISNUMBER(F27),ISNUMBER(F110)),IFERROR(F27/F110,""),"")</f>
        <v>0.67755397284665</v>
      </c>
      <c r="G29" s="215">
        <f>IF(AND(ISNUMBER(G27),ISNUMBER(G110)),IFERROR(G27/G110,""),"")</f>
        <v>0.691437007874016</v>
      </c>
      <c r="H29" s="215">
        <f>IF(AND(ISNUMBER(H27),ISNUMBER(H110)),IFERROR(H27/H110,""),"")</f>
        <v>0.687902836848336</v>
      </c>
      <c r="I29" s="215">
        <f>IF(AND(ISNUMBER(I27),ISNUMBER(I110)),IFERROR(I27/I110,""),"")</f>
        <v>0.691059590521188</v>
      </c>
      <c r="J29" s="215">
        <f>IF(AND(ISNUMBER(J27),ISNUMBER(J110)),IFERROR(J27/J110,""),"")</f>
        <v>0.712216452582673</v>
      </c>
      <c r="K29" s="215">
        <f>IF(AND(ISNUMBER(K27),ISNUMBER(K110)),IFERROR(K27/K110,""),"")</f>
        <v>0.710714285714286</v>
      </c>
      <c r="L29" s="215">
        <f>IF(AND(ISNUMBER(L27),ISNUMBER(L110)),IFERROR(L27/L110,""),"")</f>
        <v>0.677675407512403</v>
      </c>
      <c r="M29" s="215">
        <f>IF(AND(ISNUMBER(M27),ISNUMBER(M110)),IFERROR(M27/M110,""),"")</f>
        <v>0.670944558521561</v>
      </c>
      <c r="N29" s="215">
        <f>IF(AND(ISNUMBER(N27),ISNUMBER(N110)),IFERROR(N27/N110,""),"")</f>
        <v>0.692817493692178</v>
      </c>
      <c r="O29" s="215">
        <f>IF(AND(ISNUMBER(O27),ISNUMBER(O110)),IFERROR(O27/O110,""),"")</f>
        <v>0.685349322210636</v>
      </c>
      <c r="P29" s="215">
        <f>IF(AND(ISNUMBER(P27),ISNUMBER(P110)),IFERROR(P27/P110,""),"")</f>
        <v>0.711734401831712</v>
      </c>
      <c r="Q29" s="215">
        <f>IF(AND(ISNUMBER(Q27),ISNUMBER(Q110)),IFERROR(Q27/Q110,""),"")</f>
        <v>0.665482171302536</v>
      </c>
      <c r="R29" s="215">
        <f>IF(AND(ISNUMBER(R27),ISNUMBER(R110)),IFERROR(R27/R110,""),"")</f>
        <v>0.643988603988604</v>
      </c>
      <c r="S29" s="215">
        <f>IF(AND(ISNUMBER(S27),ISNUMBER(S110)),IFERROR(S27/S110,""),"")</f>
        <v>0.679542932549561</v>
      </c>
      <c r="T29" s="215">
        <f>IF(AND(ISNUMBER(T27),ISNUMBER(T110)),IFERROR(T27/T110,""),"")</f>
        <v>0.695817929759704</v>
      </c>
      <c r="U29" s="215">
        <f>IF(AND(ISNUMBER(U27),ISNUMBER(U110)),IFERROR(U27/U110,""),"")</f>
        <v>0.696220455288095</v>
      </c>
      <c r="V29" s="215">
        <f>IF(AND(ISNUMBER(V27),ISNUMBER(V110)),IFERROR(V27/V110,""),"")</f>
        <v>0.656485806683435</v>
      </c>
      <c r="W29" s="215">
        <f>IF(AND(ISNUMBER(W27),ISNUMBER(W110)),IFERROR(W27/W110,""),"")</f>
        <v>0.628940986257074</v>
      </c>
      <c r="X29" s="215">
        <f>IF(AND(ISNUMBER(X27),ISNUMBER(X110)),IFERROR(X27/X110,""),"")</f>
        <v>0.669880901133592</v>
      </c>
      <c r="Y29" s="215">
        <f>IF(AND(ISNUMBER(Y27),ISNUMBER(Y110)),IFERROR(Y27/Y110,""),"")</f>
        <v>0.643426050729077</v>
      </c>
      <c r="Z29" s="215">
        <f>IF(AND(ISNUMBER(Z27),ISNUMBER(Z110)),IFERROR(Z27/Z110,""),"")</f>
        <v>0.673484766928625</v>
      </c>
      <c r="AA29" s="215">
        <f>IF(AND(ISNUMBER(AA27),ISNUMBER(AA110)),IFERROR(AA27/AA110,""),"")</f>
        <v>0.667648020935558</v>
      </c>
      <c r="AB29" s="215">
        <f>IF(AND(ISNUMBER(AB27),ISNUMBER(AB110)),IFERROR(AB27/AB110,""),"")</f>
        <v>0.645154442203588</v>
      </c>
      <c r="AC29" s="215">
        <f>IF(AND(ISNUMBER(AC27),ISNUMBER(AC110)),IFERROR(AC27/AC110,""),"")</f>
        <v>0.657788136063481</v>
      </c>
      <c r="AD29" s="215">
        <f>IF(AND(ISNUMBER(AD27),ISNUMBER(AD110)),IFERROR(AD27/AD110,""),"")</f>
        <v>0.685192780968007</v>
      </c>
      <c r="AE29" s="215">
        <f>IF(AND(ISNUMBER(AE27),ISNUMBER(AE110)),IFERROR(AE27/AE110,""),"")</f>
        <v>0.686356821589205</v>
      </c>
      <c r="AF29" s="215">
        <f>IF(AND(ISNUMBER(AF27),ISNUMBER(AF110)),IFERROR(AF27/AF110,""),"")</f>
        <v>0.653118825853796</v>
      </c>
      <c r="AG29" s="215">
        <f>IF(AND(ISNUMBER(AG27),ISNUMBER(AG110)),IFERROR(AG27/AG110,""),"")</f>
        <v>0.621793221793222</v>
      </c>
      <c r="AH29" s="215">
        <f>IF(AND(ISNUMBER(AH27),ISNUMBER(AH110)),IFERROR(AH27/AH110,""),"")</f>
        <v>0.659784496087153</v>
      </c>
      <c r="AI29" s="215">
        <f>IF(AND(ISNUMBER(AI27),ISNUMBER(AI110)),IFERROR(AI27/AI110,""),"")</f>
        <v>0.638945593325641</v>
      </c>
      <c r="AJ29" s="215">
        <f>IF(AND(ISNUMBER(AJ27),ISNUMBER(AJ110)),IFERROR(AJ27/AJ110,""),"")</f>
        <v>0.640200833971577</v>
      </c>
      <c r="AK29" s="215">
        <f>IF(AND(ISNUMBER(AK27),ISNUMBER(AK110)),IFERROR(AK27/AK110,""),"")</f>
        <v>0.59659511472983</v>
      </c>
      <c r="AL29" s="215">
        <f>IF(AND(ISNUMBER(AL27),ISNUMBER(AL110)),IFERROR(AL27/AL110,""),"")</f>
        <v>0.56164512781813</v>
      </c>
      <c r="AM29" s="215">
        <f>IF(AND(ISNUMBER(AM27),ISNUMBER(AM110)),IFERROR(AM27/AM110,""),"")</f>
        <v>0.610529632880906</v>
      </c>
      <c r="AN29" s="215">
        <f>IF(AND(ISNUMBER(AN27),ISNUMBER(AN110)),IFERROR(AN27/AN110,""),"")</f>
        <v>0.586726206111549</v>
      </c>
      <c r="AO29" s="215">
        <f>IF(AND(ISNUMBER(AO27),ISNUMBER(AO110)),IFERROR(AO27/AO110,""),"")</f>
        <v>0.608437705998682</v>
      </c>
      <c r="AP29" s="215">
        <f>IF(AND(ISNUMBER(AP27),ISNUMBER(AP110)),IFERROR(AP27/AP110,""),"")</f>
        <v>0.601854091092301</v>
      </c>
      <c r="AQ29" s="215">
        <f>IF(AND(ISNUMBER(AQ27),ISNUMBER(AQ110)),IFERROR(AQ27/AQ110,""),"")</f>
        <v>0.583941605839416</v>
      </c>
      <c r="AR29" s="215">
        <f>IF(AND(ISNUMBER(AR27),ISNUMBER(AR110)),IFERROR(AR27/AR110,""),"")</f>
        <v>0.595361358459308</v>
      </c>
      <c r="AS29" s="215">
        <f>IF(AND(ISNUMBER(AS27),ISNUMBER(AS110)),IFERROR(AS27/AS110,""),"")</f>
        <v>0.615503875968992</v>
      </c>
      <c r="AT29" s="215">
        <f>IF(AND(ISNUMBER(AT27),ISNUMBER(AT110)),IFERROR(AT27/AT110,""),"")</f>
        <v>0.653658536585366</v>
      </c>
      <c r="AU29" s="215">
        <f>IF(AND(ISNUMBER(AU27),ISNUMBER(AU110)),IFERROR(AU27/AU110,""),"")</f>
        <v>0.608407079646018</v>
      </c>
      <c r="AV29" s="215">
        <f>IF(AND(ISNUMBER(AV27),ISNUMBER(AV110)),IFERROR(AV27/AV110,""),"")</f>
        <v>0.569767441860465</v>
      </c>
      <c r="AW29" s="215">
        <f>IF(AND(ISNUMBER(AW27),ISNUMBER(AW110)),IFERROR(AW27/AW110,""),"")</f>
        <v>0.612921243716254</v>
      </c>
      <c r="AX29" s="215">
        <f>IF(AND(ISNUMBER(AX27),ISNUMBER(AX110)),IFERROR(AX27/AX110,""),"")</f>
        <v>0.6475</v>
      </c>
      <c r="AY29" s="215">
        <f>IF(AND(ISNUMBER(AY27),ISNUMBER(AY110)),IFERROR(AY27/AY110,""),"")</f>
        <v>0.631036703155184</v>
      </c>
      <c r="AZ29" s="215">
        <f>IF(AND(ISNUMBER(AZ27),ISNUMBER(AZ110)),IFERROR(AZ27/AZ110,""),"")</f>
        <v>0.606159895150721</v>
      </c>
      <c r="BA29" s="215">
        <f>IF(AND(ISNUMBER(BA27),ISNUMBER(BA110)),IFERROR(BA27/BA110,""),"")</f>
        <v>0.56595191682911</v>
      </c>
      <c r="BB29" s="215">
        <f>IF(AND(ISNUMBER(BB27),ISNUMBER(BB110)),IFERROR(BB27/BB110,""),"")</f>
        <v>0.613058861370216</v>
      </c>
      <c r="BC29" s="215">
        <f>IF(AND(ISNUMBER(BC27),ISNUMBER(BC110)),IFERROR(BC27/BC110,""),"")</f>
        <v>0.543363994743758</v>
      </c>
      <c r="BD29" s="215">
        <f>IF(AND(ISNUMBER(BD27),ISNUMBER(BD110)),IFERROR(BD27/BD110,""),"")</f>
        <v>0.511223750905141</v>
      </c>
      <c r="BE29" s="215">
        <f>IF(AND(ISNUMBER(BE27),ISNUMBER(BE110)),IFERROR(BE27/BE110,""),"")</f>
        <v>0.462745098039216</v>
      </c>
      <c r="BF29" s="215">
        <f>IF(AND(ISNUMBER(BF27),ISNUMBER(BF110)),IFERROR(BF27/BF110,""),"")</f>
        <v>0.446511627906977</v>
      </c>
      <c r="BG29" s="215">
        <f>IF(AND(ISNUMBER(BG27),ISNUMBER(BG110)),IFERROR(BG27/BG110,""),"")</f>
        <v>0.493599122165326</v>
      </c>
      <c r="BH29" s="215">
        <f>IF(AND(ISNUMBER(BH27),ISNUMBER(BH110)),IFERROR(BH27/BH110,""),"")</f>
        <v>0.498639455782313</v>
      </c>
      <c r="BI29" s="215">
        <f>IF(AND(ISNUMBER(BI27),ISNUMBER(BI110)),IFERROR(BI27/BI110,""),"")</f>
        <v>0.5</v>
      </c>
      <c r="BJ29" s="215">
        <f>IF(AND(ISNUMBER(BJ27),ISNUMBER(BJ110)),IFERROR(BJ27/BJ110,""),"")</f>
        <v>0.472826086956522</v>
      </c>
      <c r="BK29" s="215">
        <f>IF(AND(ISNUMBER(BK27),ISNUMBER(BK110)),IFERROR(BK27/BK110,""),"")</f>
        <v>0.462162162162162</v>
      </c>
      <c r="BL29" s="215">
        <f>IF(AND(ISNUMBER(BL27),ISNUMBER(BL110)),IFERROR(BL27/BL110,""),"")</f>
        <v>0.48343475321163</v>
      </c>
      <c r="BM29" s="215">
        <f>IF(AND(ISNUMBER(BM27),ISNUMBER(BM110)),IFERROR(BM27/BM110,""),"")</f>
        <v>0.552631578947369</v>
      </c>
      <c r="BN29" s="215">
        <f>IF(AND(ISNUMBER(BN27),ISNUMBER(BN110)),IFERROR(BN27/BN110,""),"")</f>
        <v>0.558613098514034</v>
      </c>
      <c r="BO29" s="215">
        <f>IF(AND(ISNUMBER(BO27),ISNUMBER(BO110)),IFERROR(BO27/BO110,""),"")</f>
        <v>0.541643684500827</v>
      </c>
      <c r="BP29" s="215">
        <f>IF(AND(ISNUMBER(BP27),ISNUMBER(BP110)),IFERROR(BP27/BP110,""),"")</f>
        <v>0.483851674641148</v>
      </c>
      <c r="BQ29" s="215">
        <f>IF(AND(ISNUMBER(BQ27),ISNUMBER(BQ110)),IFERROR(BQ27/BQ110,""),"")</f>
        <v>0.535129796839729</v>
      </c>
      <c r="BR29" s="215">
        <f>IF(AND(ISNUMBER(BR27),ISNUMBER(BR110)),IFERROR(BR27/BR110,""),"")</f>
        <v>0.553534303534304</v>
      </c>
      <c r="BS29" s="215">
        <f>IF(AND(ISNUMBER(BS27),ISNUMBER(BS110)),IFERROR(BS27/BS110,""),"")</f>
        <v>0.53213909378293</v>
      </c>
      <c r="BT29" s="215">
        <f>IF(AND(ISNUMBER(BT27),ISNUMBER(BT110)),IFERROR(BT27/BT110,""),"")</f>
        <v>0.547085201793722</v>
      </c>
      <c r="BU29" s="215">
        <f>IF(AND(ISNUMBER(BU27),ISNUMBER(BU110)),IFERROR(BU27/BU110,""),"")</f>
        <v>0.500794070937004</v>
      </c>
      <c r="BV29" s="215">
        <f>IF(AND(ISNUMBER(BV27),ISNUMBER(BV110)),IFERROR(BV27/BV110,""),"")</f>
        <v>0.533687483804094</v>
      </c>
      <c r="BW29" s="215">
        <f>IF(AND(ISNUMBER(BW27),ISNUMBER(BW110)),IFERROR(BW27/BW110,""),"")</f>
        <v>0.554593554593555</v>
      </c>
      <c r="BX29" s="215">
        <f>IF(AND(ISNUMBER(BX27),ISNUMBER(BX110)),IFERROR(BX27/BX110,""),"")</f>
        <v>0.576659038901602</v>
      </c>
      <c r="BY29" s="256">
        <f>IF(AND(ISNUMBER(BY27),ISNUMBER(BY110)),IFERROR(BY27/BY110,""),"")</f>
        <v>0.535981565079151</v>
      </c>
      <c r="BZ29" s="256">
        <f>IF(AND(ISNUMBER(BZ27),ISNUMBER(BZ110)),IFERROR(BZ27/BZ110,""),"")</f>
        <v>0.489798798335957</v>
      </c>
      <c r="CA29" s="256">
        <f>IF(AND(ISNUMBER(CA27),ISNUMBER(CA110)),IFERROR(CA27/CA110,""),"")</f>
        <v>0.540691123759795</v>
      </c>
      <c r="CB29" s="256">
        <f>IF(AND(ISNUMBER(CB27),ISNUMBER(CB110)),IFERROR(CB27/CB110,""),"")</f>
        <v>0.536674846096167</v>
      </c>
      <c r="CC29" s="256">
        <f>IF(AND(ISNUMBER(CC27),ISNUMBER(CC110)),IFERROR(CC27/CC110,""),"")</f>
        <v>0.53059569287885</v>
      </c>
      <c r="CD29" s="256">
        <f>IF(AND(ISNUMBER(CD27),ISNUMBER(CD110)),IFERROR(CD27/CD110,""),"")</f>
        <v>0.525434186051101</v>
      </c>
      <c r="CE29" s="256">
        <f>IF(AND(ISNUMBER(CE27),ISNUMBER(CE110)),IFERROR(CE27/CE110,""),"")</f>
        <v>0.519857421310047</v>
      </c>
      <c r="CF29" s="153" t="n"/>
      <c r="CH29" s="37">
        <f>IFERROR(AVERAGE(CA29,CB29,CC29,CD29,CE29),"n/m")</f>
        <v>0.530650654019192</v>
      </c>
      <c r="CI29" s="37">
        <f>IFERROR(AVERAGE(BB29,BG29,BL29,BQ29,BV29),"n/m")</f>
        <v>0.531782003478199</v>
      </c>
      <c r="CJ29" s="37">
        <f>IFERROR(AVERAGE(AC29,AH29,AM29,AR29,AW29,BB29,BG29,BL29,BQ29,BV29),"n/m")</f>
        <v>0.57952948845981</v>
      </c>
      <c r="CK29" s="37">
        <f>IFERROR(AVERAGE(C29,D29,E29,F29,G29,H29,I29,N29,S29,X29,AC29,AH29,AM29,AR29,AW29,BB29,BG29,BL29,BQ29,BV29),"n/m")</f>
        <v>0.643232740098303</v>
      </c>
      <c r="CN29" s="25" t="inlineStr">
        <is>
          <t xml:space="preserve">  Q3/Q4-26E restructuring (per quarter, $m)</t>
        </is>
      </c>
      <c r="CP29" s="260" t="n">
        <v>30</v>
      </c>
      <c r="CR29" s="13" t="inlineStr">
        <is>
          <t>Guided ~1.5% of revenue (≈ $118m) − 1H26 $59m ≈ $59m for 2H (programme expanded Jul-2026 to $300–350m total).</t>
        </is>
      </c>
    </row>
    <row r="30" ht="15" customHeight="1" s="251">
      <c r="B30" s="156" t="inlineStr">
        <is>
          <t xml:space="preserve">  Memo: MIS external revenue as reported</t>
        </is>
      </c>
      <c r="C30" s="253" t="n">
        <v>1639.8</v>
      </c>
      <c r="D30" s="253" t="n">
        <v>1779.9</v>
      </c>
      <c r="E30" s="253" t="n">
        <v>1204.7</v>
      </c>
      <c r="F30" s="253" t="n">
        <v>1217.7</v>
      </c>
      <c r="G30" s="253" t="n">
        <v>1405</v>
      </c>
      <c r="H30" s="253" t="n">
        <v>1568.9</v>
      </c>
      <c r="I30" s="253" t="n">
        <v>1886.8</v>
      </c>
      <c r="J30" s="253" t="n">
        <v>521.2</v>
      </c>
      <c r="K30" s="253" t="n">
        <v>537.3</v>
      </c>
      <c r="L30" s="253" t="n">
        <v>478.1</v>
      </c>
      <c r="M30" s="253" t="n">
        <v>522.8</v>
      </c>
      <c r="N30" s="253" t="n">
        <v>2059.4</v>
      </c>
      <c r="O30" s="253" t="n">
        <v>525.8</v>
      </c>
      <c r="P30" s="253" t="n">
        <v>621.7</v>
      </c>
      <c r="Q30" s="253" t="n">
        <v>543.1</v>
      </c>
      <c r="R30" s="253" t="n">
        <v>565.1</v>
      </c>
      <c r="S30" s="253" t="n">
        <v>2265.8</v>
      </c>
      <c r="T30" s="253" t="n">
        <v>602.3</v>
      </c>
      <c r="U30" s="253" t="n">
        <v>639.2</v>
      </c>
      <c r="V30" s="253" t="n">
        <v>548.1</v>
      </c>
      <c r="W30" s="253" t="n">
        <v>544.6</v>
      </c>
      <c r="X30" s="253" t="n">
        <v>2334.2</v>
      </c>
      <c r="Y30" s="253" t="n">
        <v>525.1</v>
      </c>
      <c r="Z30" s="253" t="n">
        <v>625.6</v>
      </c>
      <c r="AA30" s="253" t="n">
        <v>612.3</v>
      </c>
      <c r="AB30" s="253" t="n">
        <v>607.8</v>
      </c>
      <c r="AC30" s="253" t="n">
        <v>2370.8</v>
      </c>
      <c r="AD30" s="253" t="n">
        <v>668.2</v>
      </c>
      <c r="AE30" s="253" t="n">
        <v>686.7</v>
      </c>
      <c r="AF30" s="253" t="n">
        <v>694.2</v>
      </c>
      <c r="AG30" s="253" t="n">
        <v>724.7</v>
      </c>
      <c r="AH30" s="253" t="n">
        <v>2773.8</v>
      </c>
      <c r="AI30" s="253" t="n">
        <v>719.9</v>
      </c>
      <c r="AJ30" s="253" t="n">
        <v>752.3</v>
      </c>
      <c r="AK30" s="253" t="n">
        <v>644.8</v>
      </c>
      <c r="AL30" s="253" t="n">
        <v>595.4</v>
      </c>
      <c r="AM30" s="253" t="n">
        <v>2712.4</v>
      </c>
      <c r="AN30" s="253" t="n">
        <v>670.1</v>
      </c>
      <c r="AO30" s="253" t="n">
        <v>738.4</v>
      </c>
      <c r="AP30" s="253" t="n">
        <v>746.6</v>
      </c>
      <c r="AQ30" s="253" t="n">
        <v>720</v>
      </c>
      <c r="AR30" s="253" t="n">
        <v>2875</v>
      </c>
      <c r="AS30" s="253" t="n">
        <v>794</v>
      </c>
      <c r="AT30" s="253" t="n">
        <v>938</v>
      </c>
      <c r="AU30" s="253" t="n">
        <v>825</v>
      </c>
      <c r="AV30" s="253" t="n">
        <v>735</v>
      </c>
      <c r="AW30" s="253" t="n">
        <v>3292</v>
      </c>
      <c r="AX30" s="253" t="n">
        <v>1036</v>
      </c>
      <c r="AY30" s="253" t="n">
        <v>980</v>
      </c>
      <c r="AZ30" s="253" t="n">
        <v>925</v>
      </c>
      <c r="BA30" s="253" t="n">
        <v>871</v>
      </c>
      <c r="BB30" s="253" t="n">
        <v>3812</v>
      </c>
      <c r="BC30" s="253" t="n">
        <v>827</v>
      </c>
      <c r="BD30" s="253" t="n">
        <v>706</v>
      </c>
      <c r="BE30" s="253" t="n">
        <v>590</v>
      </c>
      <c r="BF30" s="253" t="n">
        <v>576</v>
      </c>
      <c r="BG30" s="253" t="n">
        <v>2699</v>
      </c>
      <c r="BH30" s="253" t="n">
        <v>733</v>
      </c>
      <c r="BI30" s="253" t="n">
        <v>747</v>
      </c>
      <c r="BJ30" s="253" t="n">
        <v>696</v>
      </c>
      <c r="BK30" s="253" t="n">
        <v>684</v>
      </c>
      <c r="BL30" s="253" t="n">
        <v>2860</v>
      </c>
      <c r="BM30" s="253" t="n">
        <v>987</v>
      </c>
      <c r="BN30" s="253" t="n">
        <v>1015</v>
      </c>
      <c r="BO30" s="253" t="n">
        <v>982</v>
      </c>
      <c r="BP30" s="253" t="n">
        <v>809</v>
      </c>
      <c r="BQ30" s="253" t="n">
        <v>3793</v>
      </c>
      <c r="BR30" s="253" t="n">
        <v>1065</v>
      </c>
      <c r="BS30" s="253" t="n">
        <v>1010</v>
      </c>
      <c r="BT30" s="253" t="n">
        <v>1098</v>
      </c>
      <c r="BU30" s="253" t="n">
        <v>946</v>
      </c>
      <c r="BV30" s="253" t="n">
        <v>4119</v>
      </c>
      <c r="BW30" s="253" t="n">
        <v>1153</v>
      </c>
      <c r="BX30" s="253" t="n">
        <v>1260</v>
      </c>
      <c r="BY30" s="153" t="n"/>
      <c r="BZ30" s="153" t="n"/>
      <c r="CA30" s="153" t="n"/>
      <c r="CB30" s="153" t="n"/>
      <c r="CC30" s="153" t="n"/>
      <c r="CD30" s="153" t="n"/>
      <c r="CE30" s="153" t="n"/>
      <c r="CF30" s="153" t="n"/>
      <c r="CN30" s="25" t="inlineStr">
        <is>
          <t xml:space="preserve">  Q3/Q4-26E other items excluded from Adjusted Operating Income (per quarter, $m)</t>
        </is>
      </c>
      <c r="CP30" s="260" t="n">
        <v>11.5</v>
      </c>
      <c r="CR30" s="13" t="inlineStr">
        <is>
          <t>Reserve for an international non-income tax obligation ~0.5% of revenue (1H26 $36m) and duplicate rent (NY HQ; EPS bridge ~$0.10 ≈ $22m pre-tax for FY; 1H26 $2m).</t>
        </is>
      </c>
    </row>
    <row r="31" ht="15" customHeight="1" s="251">
      <c r="B31" s="57" t="inlineStr">
        <is>
          <t xml:space="preserve">  Check: MIS line build vs reported (should be 0)</t>
        </is>
      </c>
      <c r="C31" s="261">
        <f>IF(AND(ISNUMBER(C27),ISNUMBER(C30)),IF(ABS(C27-C30)&lt;=0.6,0,ROUND(C27-C30,1)),"")</f>
        <v>0</v>
      </c>
      <c r="D31" s="261">
        <f>IF(AND(ISNUMBER(D27),ISNUMBER(D30)),IF(ABS(D27-D30)&lt;=0.6,0,ROUND(D27-D30,1)),"")</f>
        <v>0</v>
      </c>
      <c r="E31" s="261">
        <f>IF(AND(ISNUMBER(E27),ISNUMBER(E30)),IF(ABS(E27-E30)&lt;=0.6,0,ROUND(E27-E30,1)),"")</f>
        <v>0</v>
      </c>
      <c r="F31" s="261">
        <f>IF(AND(ISNUMBER(F27),ISNUMBER(F30)),IF(ABS(F27-F30)&lt;=0.6,0,ROUND(F27-F30,1)),"")</f>
        <v>0</v>
      </c>
      <c r="G31" s="261">
        <f>IF(AND(ISNUMBER(G27),ISNUMBER(G30)),IF(ABS(G27-G30)&lt;=0.6,0,ROUND(G27-G30,1)),"")</f>
        <v>0</v>
      </c>
      <c r="H31" s="261">
        <f>IF(AND(ISNUMBER(H27),ISNUMBER(H30)),IF(ABS(H27-H30)&lt;=0.6,0,ROUND(H27-H30,1)),"")</f>
        <v>0</v>
      </c>
      <c r="I31" s="261">
        <f>IF(AND(ISNUMBER(I27),ISNUMBER(I30)),IF(ABS(I27-I30)&lt;=0.6,0,ROUND(I27-I30,1)),"")</f>
        <v>0</v>
      </c>
      <c r="J31" s="261">
        <f>IF(AND(ISNUMBER(J27),ISNUMBER(J30)),IF(ABS(J27-J30)&lt;=0.6,0,ROUND(J27-J30,1)),"")</f>
        <v>0</v>
      </c>
      <c r="K31" s="261">
        <f>IF(AND(ISNUMBER(K27),ISNUMBER(K30)),IF(ABS(K27-K30)&lt;=0.6,0,ROUND(K27-K30,1)),"")</f>
        <v>0</v>
      </c>
      <c r="L31" s="261">
        <f>IF(AND(ISNUMBER(L27),ISNUMBER(L30)),IF(ABS(L27-L30)&lt;=0.6,0,ROUND(L27-L30,1)),"")</f>
        <v>0</v>
      </c>
      <c r="M31" s="261">
        <f>IF(AND(ISNUMBER(M27),ISNUMBER(M30)),IF(ABS(M27-M30)&lt;=0.6,0,ROUND(M27-M30,1)),"")</f>
        <v>0</v>
      </c>
      <c r="N31" s="261">
        <f>IF(AND(ISNUMBER(N27),ISNUMBER(N30)),IF(ABS(N27-N30)&lt;=0.6,0,ROUND(N27-N30,1)),"")</f>
        <v>0</v>
      </c>
      <c r="O31" s="261">
        <f>IF(AND(ISNUMBER(O27),ISNUMBER(O30)),IF(ABS(O27-O30)&lt;=0.6,0,ROUND(O27-O30,1)),"")</f>
        <v>0</v>
      </c>
      <c r="P31" s="261">
        <f>IF(AND(ISNUMBER(P27),ISNUMBER(P30)),IF(ABS(P27-P30)&lt;=0.6,0,ROUND(P27-P30,1)),"")</f>
        <v>0</v>
      </c>
      <c r="Q31" s="261">
        <f>IF(AND(ISNUMBER(Q27),ISNUMBER(Q30)),IF(ABS(Q27-Q30)&lt;=0.6,0,ROUND(Q27-Q30,1)),"")</f>
        <v>0</v>
      </c>
      <c r="R31" s="261">
        <f>IF(AND(ISNUMBER(R27),ISNUMBER(R30)),IF(ABS(R27-R30)&lt;=0.6,0,ROUND(R27-R30,1)),"")</f>
        <v>0</v>
      </c>
      <c r="S31" s="261">
        <f>IF(AND(ISNUMBER(S27),ISNUMBER(S30)),IF(ABS(S27-S30)&lt;=0.6,0,ROUND(S27-S30,1)),"")</f>
        <v>0</v>
      </c>
      <c r="T31" s="261">
        <f>IF(AND(ISNUMBER(T27),ISNUMBER(T30)),IF(ABS(T27-T30)&lt;=0.6,0,ROUND(T27-T30,1)),"")</f>
        <v>0</v>
      </c>
      <c r="U31" s="261">
        <f>IF(AND(ISNUMBER(U27),ISNUMBER(U30)),IF(ABS(U27-U30)&lt;=0.6,0,ROUND(U27-U30,1)),"")</f>
        <v>0</v>
      </c>
      <c r="V31" s="261">
        <f>IF(AND(ISNUMBER(V27),ISNUMBER(V30)),IF(ABS(V27-V30)&lt;=0.6,0,ROUND(V27-V30,1)),"")</f>
        <v>0</v>
      </c>
      <c r="W31" s="261">
        <f>IF(AND(ISNUMBER(W27),ISNUMBER(W30)),IF(ABS(W27-W30)&lt;=0.6,0,ROUND(W27-W30,1)),"")</f>
        <v>0</v>
      </c>
      <c r="X31" s="261">
        <f>IF(AND(ISNUMBER(X27),ISNUMBER(X30)),IF(ABS(X27-X30)&lt;=0.6,0,ROUND(X27-X30,1)),"")</f>
        <v>0</v>
      </c>
      <c r="Y31" s="261">
        <f>IF(AND(ISNUMBER(Y27),ISNUMBER(Y30)),IF(ABS(Y27-Y30)&lt;=0.6,0,ROUND(Y27-Y30,1)),"")</f>
        <v>0</v>
      </c>
      <c r="Z31" s="261">
        <f>IF(AND(ISNUMBER(Z27),ISNUMBER(Z30)),IF(ABS(Z27-Z30)&lt;=0.6,0,ROUND(Z27-Z30,1)),"")</f>
        <v>0</v>
      </c>
      <c r="AA31" s="261">
        <f>IF(AND(ISNUMBER(AA27),ISNUMBER(AA30)),IF(ABS(AA27-AA30)&lt;=0.6,0,ROUND(AA27-AA30,1)),"")</f>
        <v>0</v>
      </c>
      <c r="AB31" s="261">
        <f>IF(AND(ISNUMBER(AB27),ISNUMBER(AB30)),IF(ABS(AB27-AB30)&lt;=0.6,0,ROUND(AB27-AB30,1)),"")</f>
        <v>0</v>
      </c>
      <c r="AC31" s="261">
        <f>IF(AND(ISNUMBER(AC27),ISNUMBER(AC30)),IF(ABS(AC27-AC30)&lt;=0.6,0,ROUND(AC27-AC30,1)),"")</f>
        <v>0</v>
      </c>
      <c r="AD31" s="261">
        <f>IF(AND(ISNUMBER(AD27),ISNUMBER(AD30)),IF(ABS(AD27-AD30)&lt;=0.6,0,ROUND(AD27-AD30,1)),"")</f>
        <v>0</v>
      </c>
      <c r="AE31" s="261">
        <f>IF(AND(ISNUMBER(AE27),ISNUMBER(AE30)),IF(ABS(AE27-AE30)&lt;=0.6,0,ROUND(AE27-AE30,1)),"")</f>
        <v>0</v>
      </c>
      <c r="AF31" s="261">
        <f>IF(AND(ISNUMBER(AF27),ISNUMBER(AF30)),IF(ABS(AF27-AF30)&lt;=0.6,0,ROUND(AF27-AF30,1)),"")</f>
        <v>0</v>
      </c>
      <c r="AG31" s="261">
        <f>IF(AND(ISNUMBER(AG27),ISNUMBER(AG30)),IF(ABS(AG27-AG30)&lt;=0.6,0,ROUND(AG27-AG30,1)),"")</f>
        <v>0</v>
      </c>
      <c r="AH31" s="261">
        <f>IF(AND(ISNUMBER(AH27),ISNUMBER(AH30)),IF(ABS(AH27-AH30)&lt;=0.6,0,ROUND(AH27-AH30,1)),"")</f>
        <v>0</v>
      </c>
      <c r="AI31" s="261">
        <f>IF(AND(ISNUMBER(AI27),ISNUMBER(AI30)),IF(ABS(AI27-AI30)&lt;=0.6,0,ROUND(AI27-AI30,1)),"")</f>
        <v>0</v>
      </c>
      <c r="AJ31" s="261">
        <f>IF(AND(ISNUMBER(AJ27),ISNUMBER(AJ30)),IF(ABS(AJ27-AJ30)&lt;=0.6,0,ROUND(AJ27-AJ30,1)),"")</f>
        <v>0</v>
      </c>
      <c r="AK31" s="261">
        <f>IF(AND(ISNUMBER(AK27),ISNUMBER(AK30)),IF(ABS(AK27-AK30)&lt;=0.6,0,ROUND(AK27-AK30,1)),"")</f>
        <v>0</v>
      </c>
      <c r="AL31" s="261">
        <f>IF(AND(ISNUMBER(AL27),ISNUMBER(AL30)),IF(ABS(AL27-AL30)&lt;=0.6,0,ROUND(AL27-AL30,1)),"")</f>
        <v>0</v>
      </c>
      <c r="AM31" s="261">
        <f>IF(AND(ISNUMBER(AM27),ISNUMBER(AM30)),IF(ABS(AM27-AM30)&lt;=0.6,0,ROUND(AM27-AM30,1)),"")</f>
        <v>0</v>
      </c>
      <c r="AN31" s="261">
        <f>IF(AND(ISNUMBER(AN27),ISNUMBER(AN30)),IF(ABS(AN27-AN30)&lt;=0.6,0,ROUND(AN27-AN30,1)),"")</f>
        <v>0</v>
      </c>
      <c r="AO31" s="261">
        <f>IF(AND(ISNUMBER(AO27),ISNUMBER(AO30)),IF(ABS(AO27-AO30)&lt;=0.6,0,ROUND(AO27-AO30,1)),"")</f>
        <v>0</v>
      </c>
      <c r="AP31" s="261">
        <f>IF(AND(ISNUMBER(AP27),ISNUMBER(AP30)),IF(ABS(AP27-AP30)&lt;=0.6,0,ROUND(AP27-AP30,1)),"")</f>
        <v>0</v>
      </c>
      <c r="AQ31" s="261">
        <f>IF(AND(ISNUMBER(AQ27),ISNUMBER(AQ30)),IF(ABS(AQ27-AQ30)&lt;=0.6,0,ROUND(AQ27-AQ30,1)),"")</f>
        <v>0</v>
      </c>
      <c r="AR31" s="261">
        <f>IF(AND(ISNUMBER(AR27),ISNUMBER(AR30)),IF(ABS(AR27-AR30)&lt;=0.6,0,ROUND(AR27-AR30,1)),"")</f>
        <v>0</v>
      </c>
      <c r="AS31" s="261">
        <f>IF(AND(ISNUMBER(AS27),ISNUMBER(AS30)),IF(ABS(AS27-AS30)&lt;=0.6,0,ROUND(AS27-AS30,1)),"")</f>
        <v>0</v>
      </c>
      <c r="AT31" s="261">
        <f>IF(AND(ISNUMBER(AT27),ISNUMBER(AT30)),IF(ABS(AT27-AT30)&lt;=0.6,0,ROUND(AT27-AT30,1)),"")</f>
        <v>0</v>
      </c>
      <c r="AU31" s="261">
        <f>IF(AND(ISNUMBER(AU27),ISNUMBER(AU30)),IF(ABS(AU27-AU30)&lt;=0.6,0,ROUND(AU27-AU30,1)),"")</f>
        <v>0</v>
      </c>
      <c r="AV31" s="261">
        <f>IF(AND(ISNUMBER(AV27),ISNUMBER(AV30)),IF(ABS(AV27-AV30)&lt;=0.6,0,ROUND(AV27-AV30,1)),"")</f>
        <v>0</v>
      </c>
      <c r="AW31" s="261">
        <f>IF(AND(ISNUMBER(AW27),ISNUMBER(AW30)),IF(ABS(AW27-AW30)&lt;=0.6,0,ROUND(AW27-AW30,1)),"")</f>
        <v>0</v>
      </c>
      <c r="AX31" s="261">
        <f>IF(AND(ISNUMBER(AX27),ISNUMBER(AX30)),IF(ABS(AX27-AX30)&lt;=0.6,0,ROUND(AX27-AX30,1)),"")</f>
        <v>0</v>
      </c>
      <c r="AY31" s="261">
        <f>IF(AND(ISNUMBER(AY27),ISNUMBER(AY30)),IF(ABS(AY27-AY30)&lt;=0.6,0,ROUND(AY27-AY30,1)),"")</f>
        <v>0</v>
      </c>
      <c r="AZ31" s="261">
        <f>IF(AND(ISNUMBER(AZ27),ISNUMBER(AZ30)),IF(ABS(AZ27-AZ30)&lt;=0.6,0,ROUND(AZ27-AZ30,1)),"")</f>
        <v>0</v>
      </c>
      <c r="BA31" s="261">
        <f>IF(AND(ISNUMBER(BA27),ISNUMBER(BA30)),IF(ABS(BA27-BA30)&lt;=0.6,0,ROUND(BA27-BA30,1)),"")</f>
        <v>0</v>
      </c>
      <c r="BB31" s="261">
        <f>IF(AND(ISNUMBER(BB27),ISNUMBER(BB30)),IF(ABS(BB27-BB30)&lt;=0.6,0,ROUND(BB27-BB30,1)),"")</f>
        <v>0</v>
      </c>
      <c r="BC31" s="261">
        <f>IF(AND(ISNUMBER(BC27),ISNUMBER(BC30)),IF(ABS(BC27-BC30)&lt;=0.6,0,ROUND(BC27-BC30,1)),"")</f>
        <v>0</v>
      </c>
      <c r="BD31" s="261">
        <f>IF(AND(ISNUMBER(BD27),ISNUMBER(BD30)),IF(ABS(BD27-BD30)&lt;=0.6,0,ROUND(BD27-BD30,1)),"")</f>
        <v>0</v>
      </c>
      <c r="BE31" s="261">
        <f>IF(AND(ISNUMBER(BE27),ISNUMBER(BE30)),IF(ABS(BE27-BE30)&lt;=0.6,0,ROUND(BE27-BE30,1)),"")</f>
        <v>0</v>
      </c>
      <c r="BF31" s="261">
        <f>IF(AND(ISNUMBER(BF27),ISNUMBER(BF30)),IF(ABS(BF27-BF30)&lt;=0.6,0,ROUND(BF27-BF30,1)),"")</f>
        <v>0</v>
      </c>
      <c r="BG31" s="261">
        <f>IF(AND(ISNUMBER(BG27),ISNUMBER(BG30)),IF(ABS(BG27-BG30)&lt;=0.6,0,ROUND(BG27-BG30,1)),"")</f>
        <v>0</v>
      </c>
      <c r="BH31" s="261">
        <f>IF(AND(ISNUMBER(BH27),ISNUMBER(BH30)),IF(ABS(BH27-BH30)&lt;=0.6,0,ROUND(BH27-BH30,1)),"")</f>
        <v>0</v>
      </c>
      <c r="BI31" s="261">
        <f>IF(AND(ISNUMBER(BI27),ISNUMBER(BI30)),IF(ABS(BI27-BI30)&lt;=0.6,0,ROUND(BI27-BI30,1)),"")</f>
        <v>0</v>
      </c>
      <c r="BJ31" s="261">
        <f>IF(AND(ISNUMBER(BJ27),ISNUMBER(BJ30)),IF(ABS(BJ27-BJ30)&lt;=0.6,0,ROUND(BJ27-BJ30,1)),"")</f>
        <v>0</v>
      </c>
      <c r="BK31" s="261">
        <f>IF(AND(ISNUMBER(BK27),ISNUMBER(BK30)),IF(ABS(BK27-BK30)&lt;=0.6,0,ROUND(BK27-BK30,1)),"")</f>
        <v>0</v>
      </c>
      <c r="BL31" s="261">
        <f>IF(AND(ISNUMBER(BL27),ISNUMBER(BL30)),IF(ABS(BL27-BL30)&lt;=0.6,0,ROUND(BL27-BL30,1)),"")</f>
        <v>0</v>
      </c>
      <c r="BM31" s="261">
        <f>IF(AND(ISNUMBER(BM27),ISNUMBER(BM30)),IF(ABS(BM27-BM30)&lt;=0.6,0,ROUND(BM27-BM30,1)),"")</f>
        <v>0</v>
      </c>
      <c r="BN31" s="261">
        <f>IF(AND(ISNUMBER(BN27),ISNUMBER(BN30)),IF(ABS(BN27-BN30)&lt;=0.6,0,ROUND(BN27-BN30,1)),"")</f>
        <v>0</v>
      </c>
      <c r="BO31" s="261">
        <f>IF(AND(ISNUMBER(BO27),ISNUMBER(BO30)),IF(ABS(BO27-BO30)&lt;=0.6,0,ROUND(BO27-BO30,1)),"")</f>
        <v>0</v>
      </c>
      <c r="BP31" s="261">
        <f>IF(AND(ISNUMBER(BP27),ISNUMBER(BP30)),IF(ABS(BP27-BP30)&lt;=0.6,0,ROUND(BP27-BP30,1)),"")</f>
        <v>0</v>
      </c>
      <c r="BQ31" s="261">
        <f>IF(AND(ISNUMBER(BQ27),ISNUMBER(BQ30)),IF(ABS(BQ27-BQ30)&lt;=0.6,0,ROUND(BQ27-BQ30,1)),"")</f>
        <v>0</v>
      </c>
      <c r="BR31" s="261">
        <f>IF(AND(ISNUMBER(BR27),ISNUMBER(BR30)),IF(ABS(BR27-BR30)&lt;=0.6,0,ROUND(BR27-BR30,1)),"")</f>
        <v>0</v>
      </c>
      <c r="BS31" s="261">
        <f>IF(AND(ISNUMBER(BS27),ISNUMBER(BS30)),IF(ABS(BS27-BS30)&lt;=0.6,0,ROUND(BS27-BS30,1)),"")</f>
        <v>0</v>
      </c>
      <c r="BT31" s="261">
        <f>IF(AND(ISNUMBER(BT27),ISNUMBER(BT30)),IF(ABS(BT27-BT30)&lt;=0.6,0,ROUND(BT27-BT30,1)),"")</f>
        <v>0</v>
      </c>
      <c r="BU31" s="261">
        <f>IF(AND(ISNUMBER(BU27),ISNUMBER(BU30)),IF(ABS(BU27-BU30)&lt;=0.6,0,ROUND(BU27-BU30,1)),"")</f>
        <v>0</v>
      </c>
      <c r="BV31" s="261">
        <f>IF(AND(ISNUMBER(BV27),ISNUMBER(BV30)),IF(ABS(BV27-BV30)&lt;=0.6,0,ROUND(BV27-BV30,1)),"")</f>
        <v>0</v>
      </c>
      <c r="BW31" s="261">
        <f>IF(AND(ISNUMBER(BW27),ISNUMBER(BW30)),IF(ABS(BW27-BW30)&lt;=0.6,0,ROUND(BW27-BW30,1)),"")</f>
        <v>0</v>
      </c>
      <c r="BX31" s="261">
        <f>IF(AND(ISNUMBER(BX27),ISNUMBER(BX30)),IF(ABS(BX27-BX30)&lt;=0.6,0,ROUND(BX27-BX30,1)),"")</f>
        <v>0</v>
      </c>
      <c r="BY31" s="153" t="n"/>
      <c r="BZ31" s="153" t="n"/>
      <c r="CA31" s="153" t="n"/>
      <c r="CB31" s="153" t="n"/>
      <c r="CC31" s="153" t="n"/>
      <c r="CD31" s="153" t="n"/>
      <c r="CE31" s="153" t="n"/>
      <c r="CF31" s="153" t="n"/>
      <c r="CN31" s="25" t="inlineStr">
        <is>
          <t xml:space="preserve">  Q3/Q4-26E tax rate (GAAP and on adjusting items)</t>
        </is>
      </c>
      <c r="CP31" s="257" t="n">
        <v>0.24</v>
      </c>
      <c r="CR31" s="13" t="inlineStr">
        <is>
          <t>FY26 guidance 23–25%; 1H26 24.5%.</t>
        </is>
      </c>
    </row>
    <row r="32" ht="15" customHeight="1" s="251">
      <c r="B32" s="156" t="inlineStr">
        <is>
          <t xml:space="preserve">  Memo: MIS recurring revenue (as reported)</t>
        </is>
      </c>
      <c r="C32" s="34" t="n"/>
      <c r="D32" s="34" t="n"/>
      <c r="E32" s="34" t="n"/>
      <c r="F32" s="34" t="n"/>
      <c r="G32" s="34" t="n"/>
      <c r="H32" s="34" t="n"/>
      <c r="I32" s="34" t="n"/>
      <c r="J32" s="34" t="n"/>
      <c r="K32" s="34" t="n"/>
      <c r="L32" s="34" t="n"/>
      <c r="M32" s="34" t="n"/>
      <c r="N32" s="34" t="n"/>
      <c r="O32" s="34" t="n"/>
      <c r="P32" s="253" t="n">
        <v>218.9</v>
      </c>
      <c r="Q32" s="253" t="n">
        <v>216.6</v>
      </c>
      <c r="R32" s="253" t="n">
        <v>226.7</v>
      </c>
      <c r="S32" s="253" t="n">
        <v>882.5</v>
      </c>
      <c r="T32" s="253" t="n">
        <v>221.4</v>
      </c>
      <c r="U32" s="253" t="n">
        <v>227</v>
      </c>
      <c r="V32" s="253" t="n">
        <v>231.8</v>
      </c>
      <c r="W32" s="253" t="n">
        <v>222</v>
      </c>
      <c r="X32" s="253" t="n">
        <v>901.8</v>
      </c>
      <c r="Y32" s="253" t="n">
        <v>230.6</v>
      </c>
      <c r="Z32" s="253" t="n">
        <v>236.4</v>
      </c>
      <c r="AA32" s="253" t="n">
        <v>229.6</v>
      </c>
      <c r="AB32" s="253" t="n">
        <v>233.3</v>
      </c>
      <c r="AC32" s="253" t="n">
        <v>929.8</v>
      </c>
      <c r="AD32" s="253" t="n">
        <v>237.2</v>
      </c>
      <c r="AE32" s="253" t="n">
        <v>237.6</v>
      </c>
      <c r="AF32" s="253" t="n">
        <v>243.7</v>
      </c>
      <c r="AG32" s="253" t="n">
        <v>247.5</v>
      </c>
      <c r="AH32" s="253" t="n">
        <v>966</v>
      </c>
      <c r="AI32" s="253" t="n">
        <v>256.9</v>
      </c>
      <c r="AJ32" s="253" t="n">
        <v>256.4</v>
      </c>
      <c r="AK32" s="253" t="n">
        <v>254.3</v>
      </c>
      <c r="AL32" s="253" t="n">
        <v>258.7</v>
      </c>
      <c r="AM32" s="253" t="n">
        <v>1026.3</v>
      </c>
      <c r="AN32" s="253" t="n">
        <v>260.2</v>
      </c>
      <c r="AO32" s="253" t="n">
        <v>260.8</v>
      </c>
      <c r="AP32" s="253" t="n">
        <v>268</v>
      </c>
      <c r="AQ32" s="253" t="n">
        <v>277</v>
      </c>
      <c r="AR32" s="253" t="n">
        <v>1066</v>
      </c>
      <c r="AS32" s="253" t="n">
        <v>275</v>
      </c>
      <c r="AT32" s="253" t="n">
        <v>274</v>
      </c>
      <c r="AU32" s="253" t="n">
        <v>277</v>
      </c>
      <c r="AV32" s="253" t="n">
        <v>284</v>
      </c>
      <c r="AW32" s="253" t="n">
        <v>1110</v>
      </c>
      <c r="AX32" s="253" t="n">
        <v>291</v>
      </c>
      <c r="AY32" s="253" t="n">
        <v>294</v>
      </c>
      <c r="AZ32" s="253" t="n">
        <v>294</v>
      </c>
      <c r="BA32" s="253" t="n">
        <v>293</v>
      </c>
      <c r="BB32" s="253" t="n">
        <v>1172</v>
      </c>
      <c r="BC32" s="253" t="n">
        <v>298</v>
      </c>
      <c r="BD32" s="253" t="n">
        <v>294</v>
      </c>
      <c r="BE32" s="253" t="n">
        <v>294</v>
      </c>
      <c r="BF32" s="253" t="n">
        <v>299</v>
      </c>
      <c r="BG32" s="253" t="n">
        <v>1187</v>
      </c>
      <c r="BH32" s="253" t="n">
        <v>302</v>
      </c>
      <c r="BI32" s="253" t="n">
        <v>304</v>
      </c>
      <c r="BJ32" s="253" t="n">
        <v>308</v>
      </c>
      <c r="BK32" s="253" t="n">
        <v>309</v>
      </c>
      <c r="BL32" s="253" t="n">
        <v>1222</v>
      </c>
      <c r="BM32" s="253" t="n">
        <v>310</v>
      </c>
      <c r="BN32" s="253" t="n">
        <v>323</v>
      </c>
      <c r="BO32" s="253" t="n">
        <v>319</v>
      </c>
      <c r="BP32" s="253" t="n">
        <v>324</v>
      </c>
      <c r="BQ32" s="253" t="n">
        <v>1276</v>
      </c>
      <c r="BR32" s="253" t="n">
        <v>333</v>
      </c>
      <c r="BS32" s="253" t="n">
        <v>347</v>
      </c>
      <c r="BT32" s="253" t="n">
        <v>345</v>
      </c>
      <c r="BU32" s="253" t="n">
        <v>353</v>
      </c>
      <c r="BV32" s="253" t="n">
        <v>1378</v>
      </c>
      <c r="BW32" s="253" t="n">
        <v>363</v>
      </c>
      <c r="BX32" s="253" t="n">
        <v>369</v>
      </c>
      <c r="BY32" s="153" t="n"/>
      <c r="BZ32" s="153" t="n"/>
      <c r="CA32" s="153" t="n"/>
      <c r="CB32" s="153" t="n"/>
      <c r="CC32" s="153" t="n"/>
      <c r="CD32" s="153" t="n"/>
      <c r="CE32" s="153" t="n"/>
      <c r="CF32" s="153" t="n"/>
      <c r="CH32" s="20">
        <f>IFERROR((CE32/BV32)^(1/5)-1,"n/m")</f>
        <v>-1</v>
      </c>
      <c r="CI32" s="20">
        <f>IFERROR((BV32/AW32)^(1/5)-1,"n/m")</f>
        <v>0.0442037481199502</v>
      </c>
      <c r="CJ32" s="20">
        <f>IFERROR((BV32/X32)^(1/10)-1,"n/m")</f>
        <v>0.0433112698572398</v>
      </c>
      <c r="CK32" s="20" t="str">
        <f>IFERROR((BV32/C32)^(1/19)-1,"n/m")</f>
        <v>n/m</v>
      </c>
      <c r="CN32" s="25" t="inlineStr">
        <is>
          <t xml:space="preserve">  Q3/Q4-26E net income attributable to NCI (per quarter, $m)</t>
        </is>
      </c>
      <c r="CP32" s="260" t="n">
        <v>1</v>
      </c>
      <c r="CR32" s="13" t="inlineStr">
        <is>
          <t>ICRA minority; 1H26 $1m.</t>
        </is>
      </c>
    </row>
    <row r="33" ht="15" customHeight="1" s="251">
      <c r="B33" s="25" t="inlineStr">
        <is>
          <t xml:space="preserve">  MIS recurring revenue % of segment revenue</t>
        </is>
      </c>
      <c r="C33" s="215">
        <f>IF(ISNUMBER(C32),IFERROR(C32/C27,""),"")</f>
      </c>
      <c r="D33" s="215">
        <f>IF(ISNUMBER(D32),IFERROR(D32/D27,""),"")</f>
      </c>
      <c r="E33" s="215">
        <f>IF(ISNUMBER(E32),IFERROR(E32/E27,""),"")</f>
      </c>
      <c r="F33" s="215">
        <f>IF(ISNUMBER(F32),IFERROR(F32/F27,""),"")</f>
      </c>
      <c r="G33" s="215">
        <f>IF(ISNUMBER(G32),IFERROR(G32/G27,""),"")</f>
      </c>
      <c r="H33" s="215">
        <f>IF(ISNUMBER(H32),IFERROR(H32/H27,""),"")</f>
      </c>
      <c r="I33" s="215">
        <f>IF(ISNUMBER(I32),IFERROR(I32/I27,""),"")</f>
      </c>
      <c r="J33" s="215">
        <f>IF(ISNUMBER(J32),IFERROR(J32/J27,""),"")</f>
      </c>
      <c r="K33" s="215">
        <f>IF(ISNUMBER(K32),IFERROR(K32/K27,""),"")</f>
      </c>
      <c r="L33" s="215">
        <f>IF(ISNUMBER(L32),IFERROR(L32/L27,""),"")</f>
      </c>
      <c r="M33" s="215">
        <f>IF(ISNUMBER(M32),IFERROR(M32/M27,""),"")</f>
      </c>
      <c r="N33" s="215">
        <f>IF(ISNUMBER(N32),IFERROR(N32/N27,""),"")</f>
      </c>
      <c r="O33" s="215">
        <f>IF(ISNUMBER(O32),IFERROR(O32/O27,""),"")</f>
      </c>
      <c r="P33" s="215">
        <f>IF(ISNUMBER(P32),IFERROR(P32/P27,""),"")</f>
        <v>0.35209908315908</v>
      </c>
      <c r="Q33" s="215">
        <f>IF(ISNUMBER(Q32),IFERROR(Q32/Q27,""),"")</f>
        <v>0.398821579819554</v>
      </c>
      <c r="R33" s="215">
        <f>IF(ISNUMBER(R32),IFERROR(R32/R27,""),"")</f>
        <v>0.401167934878783</v>
      </c>
      <c r="S33" s="215">
        <f>IF(ISNUMBER(S32),IFERROR(S32/S27,""),"")</f>
        <v>0.389487156854091</v>
      </c>
      <c r="T33" s="215">
        <f>IF(ISNUMBER(T32),IFERROR(T32/T27,""),"")</f>
        <v>0.367590901544081</v>
      </c>
      <c r="U33" s="215">
        <f>IF(ISNUMBER(U32),IFERROR(U32/U27,""),"")</f>
        <v>0.355131414267835</v>
      </c>
      <c r="V33" s="215">
        <f>IF(ISNUMBER(V32),IFERROR(V32/V27,""),"")</f>
        <v>0.422915526363802</v>
      </c>
      <c r="W33" s="215">
        <f>IF(ISNUMBER(W32),IFERROR(W32/W27,""),"")</f>
        <v>0.407638633859714</v>
      </c>
      <c r="X33" s="215">
        <f>IF(ISNUMBER(X32),IFERROR(X32/X27,""),"")</f>
        <v>0.386342215748436</v>
      </c>
      <c r="Y33" s="215">
        <f>IF(ISNUMBER(Y32),IFERROR(Y32/Y27,""),"")</f>
        <v>0.439154446772043</v>
      </c>
      <c r="Z33" s="215">
        <f>IF(ISNUMBER(Z32),IFERROR(Z32/Z27,""),"")</f>
        <v>0.377877237851663</v>
      </c>
      <c r="AA33" s="215">
        <f>IF(ISNUMBER(AA32),IFERROR(AA32/AA27,""),"")</f>
        <v>0.374979585170668</v>
      </c>
      <c r="AB33" s="215">
        <f>IF(ISNUMBER(AB32),IFERROR(AB32/AB27,""),"")</f>
        <v>0.383843369529451</v>
      </c>
      <c r="AC33" s="215">
        <f>IF(ISNUMBER(AC32),IFERROR(AC32/AC27,""),"")</f>
        <v>0.392188290872279</v>
      </c>
      <c r="AD33" s="215">
        <f>IF(ISNUMBER(AD32),IFERROR(AD32/AD27,""),"")</f>
        <v>0.354983537862915</v>
      </c>
      <c r="AE33" s="215">
        <f>IF(ISNUMBER(AE32),IFERROR(AE32/AE27,""),"")</f>
        <v>0.346002621231979</v>
      </c>
      <c r="AF33" s="215">
        <f>IF(ISNUMBER(AF32),IFERROR(AF32/AF27,""),"")</f>
        <v>0.351051570152694</v>
      </c>
      <c r="AG33" s="215">
        <f>IF(ISNUMBER(AG32),IFERROR(AG32/AG27,""),"")</f>
        <v>0.341520629225887</v>
      </c>
      <c r="AH33" s="215">
        <f>IF(ISNUMBER(AH32),IFERROR(AH32/AH27,""),"")</f>
        <v>0.348258706467662</v>
      </c>
      <c r="AI33" s="215">
        <f>IF(ISNUMBER(AI32),IFERROR(AI32/AI27,""),"")</f>
        <v>0.356855118766495</v>
      </c>
      <c r="AJ33" s="215">
        <f>IF(ISNUMBER(AJ32),IFERROR(AJ32/AJ27,""),"")</f>
        <v>0.340821480792237</v>
      </c>
      <c r="AK33" s="215">
        <f>IF(ISNUMBER(AK32),IFERROR(AK32/AK27,""),"")</f>
        <v>0.394385856079405</v>
      </c>
      <c r="AL33" s="215">
        <f>IF(ISNUMBER(AL32),IFERROR(AL32/AL27,""),"")</f>
        <v>0.434497816593887</v>
      </c>
      <c r="AM33" s="215">
        <f>IF(ISNUMBER(AM32),IFERROR(AM32/AM27,""),"")</f>
        <v>0.37837339625424</v>
      </c>
      <c r="AN33" s="215">
        <f>IF(ISNUMBER(AN32),IFERROR(AN32/AN27,""),"")</f>
        <v>0.388300253693479</v>
      </c>
      <c r="AO33" s="215">
        <f>IF(ISNUMBER(AO32),IFERROR(AO32/AO27,""),"")</f>
        <v>0.353196099674973</v>
      </c>
      <c r="AP33" s="215">
        <f>IF(ISNUMBER(AP32),IFERROR(AP32/AP27,""),"")</f>
        <v>0.358960621484061</v>
      </c>
      <c r="AQ33" s="215">
        <f>IF(ISNUMBER(AQ32),IFERROR(AQ32/AQ27,""),"")</f>
        <v>0.384722222222222</v>
      </c>
      <c r="AR33" s="215">
        <f>IF(ISNUMBER(AR32),IFERROR(AR32/AR27,""),"")</f>
        <v>0.370782608695652</v>
      </c>
      <c r="AS33" s="215">
        <f>IF(ISNUMBER(AS32),IFERROR(AS32/AS27,""),"")</f>
        <v>0.346347607052897</v>
      </c>
      <c r="AT33" s="215">
        <f>IF(ISNUMBER(AT32),IFERROR(AT32/AT27,""),"")</f>
        <v>0.292110874200426</v>
      </c>
      <c r="AU33" s="215">
        <f>IF(ISNUMBER(AU32),IFERROR(AU32/AU27,""),"")</f>
        <v>0.335757575757576</v>
      </c>
      <c r="AV33" s="215">
        <f>IF(ISNUMBER(AV32),IFERROR(AV32/AV27,""),"")</f>
        <v>0.386394557823129</v>
      </c>
      <c r="AW33" s="215">
        <f>IF(ISNUMBER(AW32),IFERROR(AW32/AW27,""),"")</f>
        <v>0.337181044957473</v>
      </c>
      <c r="AX33" s="215">
        <f>IF(ISNUMBER(AX32),IFERROR(AX32/AX27,""),"")</f>
        <v>0.280888030888031</v>
      </c>
      <c r="AY33" s="215">
        <f>IF(ISNUMBER(AY32),IFERROR(AY32/AY27,""),"")</f>
        <v>0.3</v>
      </c>
      <c r="AZ33" s="215">
        <f>IF(ISNUMBER(AZ32),IFERROR(AZ32/AZ27,""),"")</f>
        <v>0.317837837837838</v>
      </c>
      <c r="BA33" s="215">
        <f>IF(ISNUMBER(BA32),IFERROR(BA32/BA27,""),"")</f>
        <v>0.336394948335247</v>
      </c>
      <c r="BB33" s="215">
        <f>IF(ISNUMBER(BB32),IFERROR(BB32/BB27,""),"")</f>
        <v>0.307450157397692</v>
      </c>
      <c r="BC33" s="215">
        <f>IF(ISNUMBER(BC32),IFERROR(BC32/BC27,""),"")</f>
        <v>0.360338573155986</v>
      </c>
      <c r="BD33" s="215">
        <f>IF(ISNUMBER(BD32),IFERROR(BD32/BD27,""),"")</f>
        <v>0.41643059490085</v>
      </c>
      <c r="BE33" s="215">
        <f>IF(ISNUMBER(BE32),IFERROR(BE32/BE27,""),"")</f>
        <v>0.498305084745763</v>
      </c>
      <c r="BF33" s="215">
        <f>IF(ISNUMBER(BF32),IFERROR(BF32/BF27,""),"")</f>
        <v>0.519097222222222</v>
      </c>
      <c r="BG33" s="215">
        <f>IF(ISNUMBER(BG32),IFERROR(BG32/BG27,""),"")</f>
        <v>0.439792515746573</v>
      </c>
      <c r="BH33" s="215">
        <f>IF(ISNUMBER(BH32),IFERROR(BH32/BH27,""),"")</f>
        <v>0.412005457025921</v>
      </c>
      <c r="BI33" s="215">
        <f>IF(ISNUMBER(BI32),IFERROR(BI32/BI27,""),"")</f>
        <v>0.406961178045515</v>
      </c>
      <c r="BJ33" s="215">
        <f>IF(ISNUMBER(BJ32),IFERROR(BJ32/BJ27,""),"")</f>
        <v>0.442528735632184</v>
      </c>
      <c r="BK33" s="215">
        <f>IF(ISNUMBER(BK32),IFERROR(BK32/BK27,""),"")</f>
        <v>0.451754385964912</v>
      </c>
      <c r="BL33" s="215">
        <f>IF(ISNUMBER(BL32),IFERROR(BL32/BL27,""),"")</f>
        <v>0.427272727272727</v>
      </c>
      <c r="BM33" s="215">
        <f>IF(ISNUMBER(BM32),IFERROR(BM32/BM27,""),"")</f>
        <v>0.314083080040527</v>
      </c>
      <c r="BN33" s="215">
        <f>IF(ISNUMBER(BN32),IFERROR(BN32/BN27,""),"")</f>
        <v>0.318226600985222</v>
      </c>
      <c r="BO33" s="215">
        <f>IF(ISNUMBER(BO32),IFERROR(BO32/BO27,""),"")</f>
        <v>0.324847250509165</v>
      </c>
      <c r="BP33" s="215">
        <f>IF(ISNUMBER(BP32),IFERROR(BP32/BP27,""),"")</f>
        <v>0.400494437577256</v>
      </c>
      <c r="BQ33" s="215">
        <f>IF(ISNUMBER(BQ32),IFERROR(BQ32/BQ27,""),"")</f>
        <v>0.336409174795676</v>
      </c>
      <c r="BR33" s="215">
        <f>IF(ISNUMBER(BR32),IFERROR(BR32/BR27,""),"")</f>
        <v>0.312676056338028</v>
      </c>
      <c r="BS33" s="215">
        <f>IF(ISNUMBER(BS32),IFERROR(BS32/BS27,""),"")</f>
        <v>0.343564356435644</v>
      </c>
      <c r="BT33" s="215">
        <f>IF(ISNUMBER(BT32),IFERROR(BT32/BT27,""),"")</f>
        <v>0.314207650273224</v>
      </c>
      <c r="BU33" s="215">
        <f>IF(ISNUMBER(BU32),IFERROR(BU32/BU27,""),"")</f>
        <v>0.373150105708245</v>
      </c>
      <c r="BV33" s="215">
        <f>IF(ISNUMBER(BV32),IFERROR(BV32/BV27,""),"")</f>
        <v>0.334547220199077</v>
      </c>
      <c r="BW33" s="215">
        <f>IF(ISNUMBER(BW32),IFERROR(BW32/BW27,""),"")</f>
        <v>0.314830875975716</v>
      </c>
      <c r="BX33" s="215">
        <f>IF(ISNUMBER(BX32),IFERROR(BX32/BX27,""),"")</f>
        <v>0.292857142857143</v>
      </c>
      <c r="BY33" s="24" t="n"/>
      <c r="BZ33" s="24" t="n"/>
      <c r="CA33" s="24" t="n"/>
      <c r="CB33" s="24" t="n"/>
      <c r="CC33" s="24" t="n"/>
      <c r="CD33" s="24" t="n"/>
      <c r="CE33" s="24" t="n"/>
      <c r="CF33" s="153" t="n"/>
      <c r="CH33" s="37" t="str">
        <f>IFERROR(AVERAGE(CA33,CB33,CC33,CD33,CE33),"n/m")</f>
        <v>n/m</v>
      </c>
      <c r="CI33" s="37">
        <f>IFERROR(AVERAGE(BB33,BG33,BL33,BQ33,BV33),"n/m")</f>
        <v>0.369094359082349</v>
      </c>
      <c r="CJ33" s="37">
        <f>IFERROR(AVERAGE(AC33,AH33,AM33,AR33,AW33,BB33,BG33,BL33,BQ33,BV33),"n/m")</f>
        <v>0.367225584265905</v>
      </c>
      <c r="CK33" s="37">
        <f>IFERROR(AVERAGE(C33,D33,E33,F33,G33,H33,I33,N33,S33,X33,AC33,AH33,AM33,AR33,AW33,BB33,BG33,BL33,BQ33,BV33),"n/m")</f>
        <v>0.370673767938465</v>
      </c>
      <c r="CN33" s="25" t="inlineStr">
        <is>
          <t xml:space="preserve">  FY26 capital additions ($m)</t>
        </is>
      </c>
      <c r="CP33" s="260" t="n">
        <v>450</v>
      </c>
      <c r="CR33" s="13" t="inlineStr">
        <is>
          <t>Guided ~$450m (incl. ~$100m of New York and London office relocations); 1H26 $186m.</t>
        </is>
      </c>
    </row>
    <row r="34" ht="15" customHeight="1" s="251">
      <c r="B34" s="25" t="inlineStr">
        <is>
          <t xml:space="preserve">  MIS intersegment revenue</t>
        </is>
      </c>
      <c r="C34" s="34" t="n"/>
      <c r="D34" s="34" t="n"/>
      <c r="E34" s="253" t="n">
        <v>63.6</v>
      </c>
      <c r="F34" s="253" t="n">
        <v>60</v>
      </c>
      <c r="G34" s="253" t="n">
        <v>61.3</v>
      </c>
      <c r="H34" s="253" t="n">
        <v>65.8</v>
      </c>
      <c r="I34" s="253" t="n">
        <v>71.5</v>
      </c>
      <c r="J34" s="253" t="n">
        <v>18.9</v>
      </c>
      <c r="K34" s="253" t="n">
        <v>19</v>
      </c>
      <c r="L34" s="253" t="n">
        <v>19.6</v>
      </c>
      <c r="M34" s="253" t="n">
        <v>21.1</v>
      </c>
      <c r="N34" s="253" t="n">
        <v>78.59999999999999</v>
      </c>
      <c r="O34" s="253" t="n">
        <v>21.5</v>
      </c>
      <c r="P34" s="253" t="n">
        <v>21.9</v>
      </c>
      <c r="Q34" s="253" t="n">
        <v>22.3</v>
      </c>
      <c r="R34" s="253" t="n">
        <v>21.9</v>
      </c>
      <c r="S34" s="253" t="n">
        <v>87.59999999999999</v>
      </c>
      <c r="T34" s="253" t="n">
        <v>22.3</v>
      </c>
      <c r="U34" s="253" t="n">
        <v>23.7</v>
      </c>
      <c r="V34" s="253" t="n">
        <v>23.5</v>
      </c>
      <c r="W34" s="253" t="n">
        <v>24</v>
      </c>
      <c r="X34" s="253" t="n">
        <v>93.5</v>
      </c>
      <c r="Y34" s="253" t="n">
        <v>24</v>
      </c>
      <c r="Z34" s="253" t="n">
        <v>24.6</v>
      </c>
      <c r="AA34" s="253" t="n">
        <v>25.3</v>
      </c>
      <c r="AB34" s="253" t="n">
        <v>26.3</v>
      </c>
      <c r="AC34" s="253" t="n">
        <v>100.2</v>
      </c>
      <c r="AD34" s="253" t="n">
        <v>26</v>
      </c>
      <c r="AE34" s="253" t="n">
        <v>27</v>
      </c>
      <c r="AF34" s="253" t="n">
        <v>29</v>
      </c>
      <c r="AG34" s="253" t="n">
        <v>29.7</v>
      </c>
      <c r="AH34" s="253" t="n">
        <v>111.7</v>
      </c>
      <c r="AI34" s="253" t="n">
        <v>29.8</v>
      </c>
      <c r="AJ34" s="253" t="n">
        <v>30.6</v>
      </c>
      <c r="AK34" s="253" t="n">
        <v>31.6</v>
      </c>
      <c r="AL34" s="253" t="n">
        <v>32</v>
      </c>
      <c r="AM34" s="253" t="n">
        <v>124</v>
      </c>
      <c r="AN34" s="253" t="n">
        <v>32.3</v>
      </c>
      <c r="AO34" s="253" t="n">
        <v>33</v>
      </c>
      <c r="AP34" s="253" t="n">
        <v>34.3</v>
      </c>
      <c r="AQ34" s="253" t="n">
        <v>35</v>
      </c>
      <c r="AR34" s="253" t="n">
        <v>134</v>
      </c>
      <c r="AS34" s="253" t="n">
        <v>37</v>
      </c>
      <c r="AT34" s="253" t="n">
        <v>35</v>
      </c>
      <c r="AU34" s="253" t="n">
        <v>38</v>
      </c>
      <c r="AV34" s="253" t="n">
        <v>38</v>
      </c>
      <c r="AW34" s="253" t="n">
        <v>148</v>
      </c>
      <c r="AX34" s="253" t="n">
        <v>40</v>
      </c>
      <c r="AY34" s="253" t="n">
        <v>42</v>
      </c>
      <c r="AZ34" s="253" t="n">
        <v>42</v>
      </c>
      <c r="BA34" s="253" t="n">
        <v>41</v>
      </c>
      <c r="BB34" s="253" t="n">
        <v>165</v>
      </c>
      <c r="BC34" s="253" t="n">
        <v>43</v>
      </c>
      <c r="BD34" s="253" t="n">
        <v>43</v>
      </c>
      <c r="BE34" s="253" t="n">
        <v>43</v>
      </c>
      <c r="BF34" s="253" t="n">
        <v>45</v>
      </c>
      <c r="BG34" s="253" t="n">
        <v>174</v>
      </c>
      <c r="BH34" s="253" t="n">
        <v>45</v>
      </c>
      <c r="BI34" s="253" t="n">
        <v>46</v>
      </c>
      <c r="BJ34" s="253" t="n">
        <v>47</v>
      </c>
      <c r="BK34" s="253" t="n">
        <v>48</v>
      </c>
      <c r="BL34" s="253" t="n">
        <v>186</v>
      </c>
      <c r="BM34" s="253" t="n">
        <v>47</v>
      </c>
      <c r="BN34" s="253" t="n">
        <v>49</v>
      </c>
      <c r="BO34" s="253" t="n">
        <v>48</v>
      </c>
      <c r="BP34" s="253" t="n">
        <v>49</v>
      </c>
      <c r="BQ34" s="253" t="n">
        <v>193</v>
      </c>
      <c r="BR34" s="253" t="n">
        <v>49</v>
      </c>
      <c r="BS34" s="253" t="n">
        <v>50</v>
      </c>
      <c r="BT34" s="253" t="n">
        <v>50</v>
      </c>
      <c r="BU34" s="253" t="n">
        <v>49</v>
      </c>
      <c r="BV34" s="253" t="n">
        <v>198</v>
      </c>
      <c r="BW34" s="253" t="n">
        <v>51</v>
      </c>
      <c r="BX34" s="253" t="n">
        <v>52</v>
      </c>
      <c r="BY34" s="254">
        <f>BY27*BY35</f>
        <v>46.6745137454264</v>
      </c>
      <c r="BZ34" s="254">
        <f>BZ27*BZ35</f>
        <v>40.2125811571845</v>
      </c>
      <c r="CA34" s="254">
        <f>SUM(BW34:BZ34)</f>
        <v>189.887094902611</v>
      </c>
      <c r="CB34" s="254">
        <f>CB27*CB35</f>
        <v>202.060534806943</v>
      </c>
      <c r="CC34" s="254">
        <f>CC27*CC35</f>
        <v>213.333409611094</v>
      </c>
      <c r="CD34" s="254">
        <f>CD27*CD35</f>
        <v>224.894752738268</v>
      </c>
      <c r="CE34" s="254">
        <f>CE27*CE35</f>
        <v>235.877000564259</v>
      </c>
      <c r="CF34" s="19" t="inlineStr">
        <is>
          <t>MIS: royalty / fees charged to MA for use of ratings content; MA: products and services sold to MIS. Eliminated on consolidation. Forecast: % of segment external revenue held at the 1H26 ratio.</t>
        </is>
      </c>
    </row>
    <row r="35" ht="15" customHeight="1" s="251">
      <c r="B35" s="25" t="inlineStr">
        <is>
          <t xml:space="preserve">    Intersegment revenue % of external revenue</t>
        </is>
      </c>
      <c r="C35" s="215">
        <f>IF(AND(ISNUMBER(C34),ISNUMBER(C27)),IFERROR(C34/C27,""),"")</f>
      </c>
      <c r="D35" s="215">
        <f>IF(AND(ISNUMBER(D34),ISNUMBER(D27)),IFERROR(D34/D27,""),"")</f>
      </c>
      <c r="E35" s="215">
        <f>IF(AND(ISNUMBER(E34),ISNUMBER(E27)),IFERROR(E34/E27,""),"")</f>
        <v>0.0527932265294264</v>
      </c>
      <c r="F35" s="215">
        <f>IF(AND(ISNUMBER(F34),ISNUMBER(F27)),IFERROR(F34/F27,""),"")</f>
        <v>0.0492732200049273</v>
      </c>
      <c r="G35" s="215">
        <f>IF(AND(ISNUMBER(G34),ISNUMBER(G27)),IFERROR(G34/G27,""),"")</f>
        <v>0.0436298932384342</v>
      </c>
      <c r="H35" s="215">
        <f>IF(AND(ISNUMBER(H34),ISNUMBER(H27)),IFERROR(H34/H27,""),"")</f>
        <v>0.0419402128880107</v>
      </c>
      <c r="I35" s="215">
        <f>IF(AND(ISNUMBER(I34),ISNUMBER(I27)),IFERROR(I34/I27,""),"")</f>
        <v>0.0378948484206063</v>
      </c>
      <c r="J35" s="215">
        <f>IF(AND(ISNUMBER(J34),ISNUMBER(J27)),IFERROR(J34/J27,""),"")</f>
        <v>0.0362624712202609</v>
      </c>
      <c r="K35" s="215">
        <f>IF(AND(ISNUMBER(K34),ISNUMBER(K27)),IFERROR(K34/K27,""),"")</f>
        <v>0.0353619951609901</v>
      </c>
      <c r="L35" s="215">
        <f>IF(AND(ISNUMBER(L34),ISNUMBER(L27)),IFERROR(L34/L27,""),"")</f>
        <v>0.04099560761347</v>
      </c>
      <c r="M35" s="215">
        <f>IF(AND(ISNUMBER(M34),ISNUMBER(M27)),IFERROR(M34/M27,""),"")</f>
        <v>0.0403596021423106</v>
      </c>
      <c r="N35" s="215">
        <f>IF(AND(ISNUMBER(N34),ISNUMBER(N27)),IFERROR(N34/N27,""),"")</f>
        <v>0.038166456249393</v>
      </c>
      <c r="O35" s="215">
        <f>IF(AND(ISNUMBER(O34),ISNUMBER(O27)),IFERROR(O34/O27,""),"")</f>
        <v>0.0408900722708254</v>
      </c>
      <c r="P35" s="215">
        <f>IF(AND(ISNUMBER(P34),ISNUMBER(P27)),IFERROR(P34/P27,""),"")</f>
        <v>0.0352259932443301</v>
      </c>
      <c r="Q35" s="215">
        <f>IF(AND(ISNUMBER(Q34),ISNUMBER(Q27)),IFERROR(Q34/Q27,""),"")</f>
        <v>0.041060578162401</v>
      </c>
      <c r="R35" s="215">
        <f>IF(AND(ISNUMBER(R34),ISNUMBER(R27)),IFERROR(R34/R27,""),"")</f>
        <v>0.0387542027959653</v>
      </c>
      <c r="S35" s="215">
        <f>IF(AND(ISNUMBER(S34),ISNUMBER(S27)),IFERROR(S34/S27,""),"")</f>
        <v>0.0386618412922588</v>
      </c>
      <c r="T35" s="215">
        <f>IF(AND(ISNUMBER(T34),ISNUMBER(T27)),IFERROR(T34/T27,""),"")</f>
        <v>0.0370247385024074</v>
      </c>
      <c r="U35" s="215">
        <f>IF(AND(ISNUMBER(U34),ISNUMBER(U27)),IFERROR(U34/U27,""),"")</f>
        <v>0.0370775969962453</v>
      </c>
      <c r="V35" s="215">
        <f>IF(AND(ISNUMBER(V34),ISNUMBER(V27)),IFERROR(V34/V27,""),"")</f>
        <v>0.0428753877029739</v>
      </c>
      <c r="W35" s="215">
        <f>IF(AND(ISNUMBER(W34),ISNUMBER(W27)),IFERROR(W34/W27,""),"")</f>
        <v>0.0440690414983474</v>
      </c>
      <c r="X35" s="215">
        <f>IF(AND(ISNUMBER(X34),ISNUMBER(X27)),IFERROR(X34/X27,""),"")</f>
        <v>0.0400565504241282</v>
      </c>
      <c r="Y35" s="215">
        <f>IF(AND(ISNUMBER(Y34),ISNUMBER(Y27)),IFERROR(Y34/Y27,""),"")</f>
        <v>0.0457055798895449</v>
      </c>
      <c r="Z35" s="215">
        <f>IF(AND(ISNUMBER(Z34),ISNUMBER(Z27)),IFERROR(Z34/Z27,""),"")</f>
        <v>0.0393222506393862</v>
      </c>
      <c r="AA35" s="215">
        <f>IF(AND(ISNUMBER(AA34),ISNUMBER(AA27)),IFERROR(AA34/AA27,""),"")</f>
        <v>0.0413196145680222</v>
      </c>
      <c r="AB35" s="215">
        <f>IF(AND(ISNUMBER(AB34),ISNUMBER(AB27)),IFERROR(AB34/AB27,""),"")</f>
        <v>0.0432708127673577</v>
      </c>
      <c r="AC35" s="215">
        <f>IF(AND(ISNUMBER(AC34),ISNUMBER(AC27)),IFERROR(AC34/AC27,""),"")</f>
        <v>0.0422642146111018</v>
      </c>
      <c r="AD35" s="215">
        <f>IF(AND(ISNUMBER(AD34),ISNUMBER(AD27)),IFERROR(AD34/AD27,""),"")</f>
        <v>0.0389105058365759</v>
      </c>
      <c r="AE35" s="215">
        <f>IF(AND(ISNUMBER(AE34),ISNUMBER(AE27)),IFERROR(AE34/AE27,""),"")</f>
        <v>0.0393184796854522</v>
      </c>
      <c r="AF35" s="215">
        <f>IF(AND(ISNUMBER(AF34),ISNUMBER(AF27)),IFERROR(AF34/AF27,""),"")</f>
        <v>0.041774704696053</v>
      </c>
      <c r="AG35" s="215">
        <f>IF(AND(ISNUMBER(AG34),ISNUMBER(AG27)),IFERROR(AG34/AG27,""),"")</f>
        <v>0.0409824755071064</v>
      </c>
      <c r="AH35" s="215">
        <f>IF(AND(ISNUMBER(AH34),ISNUMBER(AH27)),IFERROR(AH34/AH27,""),"")</f>
        <v>0.0402696661619439</v>
      </c>
      <c r="AI35" s="215">
        <f>IF(AND(ISNUMBER(AI34),ISNUMBER(AI27)),IFERROR(AI34/AI27,""),"")</f>
        <v>0.0413946381441867</v>
      </c>
      <c r="AJ35" s="215">
        <f>IF(AND(ISNUMBER(AJ34),ISNUMBER(AJ27)),IFERROR(AJ34/AJ27,""),"")</f>
        <v>0.0406752625282467</v>
      </c>
      <c r="AK35" s="215">
        <f>IF(AND(ISNUMBER(AK34),ISNUMBER(AK27)),IFERROR(AK34/AK27,""),"")</f>
        <v>0.0490074441687345</v>
      </c>
      <c r="AL35" s="215">
        <f>IF(AND(ISNUMBER(AL34),ISNUMBER(AL27)),IFERROR(AL34/AL27,""),"")</f>
        <v>0.0537453812562983</v>
      </c>
      <c r="AM35" s="215">
        <f>IF(AND(ISNUMBER(AM34),ISNUMBER(AM27)),IFERROR(AM34/AM27,""),"")</f>
        <v>0.0457159710957086</v>
      </c>
      <c r="AN35" s="215">
        <f>IF(AND(ISNUMBER(AN34),ISNUMBER(AN27)),IFERROR(AN34/AN27,""),"")</f>
        <v>0.0482017609312043</v>
      </c>
      <c r="AO35" s="215">
        <f>IF(AND(ISNUMBER(AO34),ISNUMBER(AO27)),IFERROR(AO34/AO27,""),"")</f>
        <v>0.0446912242686891</v>
      </c>
      <c r="AP35" s="215">
        <f>IF(AND(ISNUMBER(AP34),ISNUMBER(AP27)),IFERROR(AP34/AP27,""),"")</f>
        <v>0.0459416019287436</v>
      </c>
      <c r="AQ35" s="215">
        <f>IF(AND(ISNUMBER(AQ34),ISNUMBER(AQ27)),IFERROR(AQ34/AQ27,""),"")</f>
        <v>0.0486111111111111</v>
      </c>
      <c r="AR35" s="215">
        <f>IF(AND(ISNUMBER(AR34),ISNUMBER(AR27)),IFERROR(AR34/AR27,""),"")</f>
        <v>0.0466086956521739</v>
      </c>
      <c r="AS35" s="215">
        <f>IF(AND(ISNUMBER(AS34),ISNUMBER(AS27)),IFERROR(AS34/AS27,""),"")</f>
        <v>0.0465994962216625</v>
      </c>
      <c r="AT35" s="215">
        <f>IF(AND(ISNUMBER(AT34),ISNUMBER(AT27)),IFERROR(AT34/AT27,""),"")</f>
        <v>0.0373134328358209</v>
      </c>
      <c r="AU35" s="215">
        <f>IF(AND(ISNUMBER(AU34),ISNUMBER(AU27)),IFERROR(AU34/AU27,""),"")</f>
        <v>0.0460606060606061</v>
      </c>
      <c r="AV35" s="215">
        <f>IF(AND(ISNUMBER(AV34),ISNUMBER(AV27)),IFERROR(AV34/AV27,""),"")</f>
        <v>0.0517006802721088</v>
      </c>
      <c r="AW35" s="215">
        <f>IF(AND(ISNUMBER(AW34),ISNUMBER(AW27)),IFERROR(AW34/AW27,""),"")</f>
        <v>0.0449574726609964</v>
      </c>
      <c r="AX35" s="215">
        <f>IF(AND(ISNUMBER(AX34),ISNUMBER(AX27)),IFERROR(AX34/AX27,""),"")</f>
        <v>0.0386100386100386</v>
      </c>
      <c r="AY35" s="215">
        <f>IF(AND(ISNUMBER(AY34),ISNUMBER(AY27)),IFERROR(AY34/AY27,""),"")</f>
        <v>0.0428571428571429</v>
      </c>
      <c r="AZ35" s="215">
        <f>IF(AND(ISNUMBER(AZ34),ISNUMBER(AZ27)),IFERROR(AZ34/AZ27,""),"")</f>
        <v>0.0454054054054054</v>
      </c>
      <c r="BA35" s="215">
        <f>IF(AND(ISNUMBER(BA34),ISNUMBER(BA27)),IFERROR(BA34/BA27,""),"")</f>
        <v>0.0470723306544202</v>
      </c>
      <c r="BB35" s="215">
        <f>IF(AND(ISNUMBER(BB34),ISNUMBER(BB27)),IFERROR(BB34/BB27,""),"")</f>
        <v>0.0432843651626443</v>
      </c>
      <c r="BC35" s="215">
        <f>IF(AND(ISNUMBER(BC34),ISNUMBER(BC27)),IFERROR(BC34/BC27,""),"")</f>
        <v>0.0519951632406288</v>
      </c>
      <c r="BD35" s="215">
        <f>IF(AND(ISNUMBER(BD34),ISNUMBER(BD27)),IFERROR(BD34/BD27,""),"")</f>
        <v>0.0609065155807365</v>
      </c>
      <c r="BE35" s="215">
        <f>IF(AND(ISNUMBER(BE34),ISNUMBER(BE27)),IFERROR(BE34/BE27,""),"")</f>
        <v>0.0728813559322034</v>
      </c>
      <c r="BF35" s="215">
        <f>IF(AND(ISNUMBER(BF34),ISNUMBER(BF27)),IFERROR(BF34/BF27,""),"")</f>
        <v>0.078125</v>
      </c>
      <c r="BG35" s="215">
        <f>IF(AND(ISNUMBER(BG34),ISNUMBER(BG27)),IFERROR(BG34/BG27,""),"")</f>
        <v>0.0644683216005928</v>
      </c>
      <c r="BH35" s="215">
        <f>IF(AND(ISNUMBER(BH34),ISNUMBER(BH27)),IFERROR(BH34/BH27,""),"")</f>
        <v>0.0613915416098226</v>
      </c>
      <c r="BI35" s="215">
        <f>IF(AND(ISNUMBER(BI34),ISNUMBER(BI27)),IFERROR(BI34/BI27,""),"")</f>
        <v>0.0615796519410977</v>
      </c>
      <c r="BJ35" s="215">
        <f>IF(AND(ISNUMBER(BJ34),ISNUMBER(BJ27)),IFERROR(BJ34/BJ27,""),"")</f>
        <v>0.0675287356321839</v>
      </c>
      <c r="BK35" s="215">
        <f>IF(AND(ISNUMBER(BK34),ISNUMBER(BK27)),IFERROR(BK34/BK27,""),"")</f>
        <v>0.0701754385964912</v>
      </c>
      <c r="BL35" s="215">
        <f>IF(AND(ISNUMBER(BL34),ISNUMBER(BL27)),IFERROR(BL34/BL27,""),"")</f>
        <v>0.065034965034965</v>
      </c>
      <c r="BM35" s="215">
        <f>IF(AND(ISNUMBER(BM34),ISNUMBER(BM27)),IFERROR(BM34/BM27,""),"")</f>
        <v>0.0476190476190476</v>
      </c>
      <c r="BN35" s="215">
        <f>IF(AND(ISNUMBER(BN34),ISNUMBER(BN27)),IFERROR(BN34/BN27,""),"")</f>
        <v>0.0482758620689655</v>
      </c>
      <c r="BO35" s="215">
        <f>IF(AND(ISNUMBER(BO34),ISNUMBER(BO27)),IFERROR(BO34/BO27,""),"")</f>
        <v>0.0488798370672098</v>
      </c>
      <c r="BP35" s="215">
        <f>IF(AND(ISNUMBER(BP34),ISNUMBER(BP27)),IFERROR(BP34/BP27,""),"")</f>
        <v>0.0605686032138443</v>
      </c>
      <c r="BQ35" s="215">
        <f>IF(AND(ISNUMBER(BQ34),ISNUMBER(BQ27)),IFERROR(BQ34/BQ27,""),"")</f>
        <v>0.0508832059056156</v>
      </c>
      <c r="BR35" s="215">
        <f>IF(AND(ISNUMBER(BR34),ISNUMBER(BR27)),IFERROR(BR34/BR27,""),"")</f>
        <v>0.0460093896713615</v>
      </c>
      <c r="BS35" s="215">
        <f>IF(AND(ISNUMBER(BS34),ISNUMBER(BS27)),IFERROR(BS34/BS27,""),"")</f>
        <v>0.0495049504950495</v>
      </c>
      <c r="BT35" s="215">
        <f>IF(AND(ISNUMBER(BT34),ISNUMBER(BT27)),IFERROR(BT34/BT27,""),"")</f>
        <v>0.0455373406193078</v>
      </c>
      <c r="BU35" s="215">
        <f>IF(AND(ISNUMBER(BU34),ISNUMBER(BU27)),IFERROR(BU34/BU27,""),"")</f>
        <v>0.0517970401691332</v>
      </c>
      <c r="BV35" s="215">
        <f>IF(AND(ISNUMBER(BV34),ISNUMBER(BV27)),IFERROR(BV34/BV27,""),"")</f>
        <v>0.0480699198834669</v>
      </c>
      <c r="BW35" s="215">
        <f>IF(AND(ISNUMBER(BW34),ISNUMBER(BW27)),IFERROR(BW34/BW27,""),"")</f>
        <v>0.0442324371205551</v>
      </c>
      <c r="BX35" s="215">
        <f>IF(AND(ISNUMBER(BX34),ISNUMBER(BX27)),IFERROR(BX34/BX27,""),"")</f>
        <v>0.0412698412698413</v>
      </c>
      <c r="BY35" s="256">
        <f>IFERROR(SUM(BW34:BX34)/SUM(BW27:BX27),0)</f>
        <v>0.0426854537919602</v>
      </c>
      <c r="BZ35" s="256">
        <f>IFERROR(SUM(BW34:BX34)/SUM(BW27:BX27),0)</f>
        <v>0.0426854537919602</v>
      </c>
      <c r="CA35" s="256">
        <f>IFERROR(SUM(BW34:BX34)/SUM(BW27:BX27),0)</f>
        <v>0.0426854537919602</v>
      </c>
      <c r="CB35" s="256">
        <f>$CA$35</f>
        <v>0.0426854537919602</v>
      </c>
      <c r="CC35" s="256">
        <f>$CA$35</f>
        <v>0.0426854537919602</v>
      </c>
      <c r="CD35" s="256">
        <f>$CA$35</f>
        <v>0.0426854537919602</v>
      </c>
      <c r="CE35" s="256">
        <f>$CA$35</f>
        <v>0.0426854537919602</v>
      </c>
      <c r="CF35" s="153" t="n"/>
      <c r="CN35" s="25" t="inlineStr">
        <is>
          <t xml:space="preserve">  Target net debt / Adjusted Operating Income (x) — buyback plug 2027E+</t>
        </is>
      </c>
      <c r="CO35" s="264" t="n">
        <v>1.5</v>
      </c>
      <c r="CP35" s="264" t="n">
        <v>1.25</v>
      </c>
      <c r="CQ35" s="264" t="n">
        <v>1</v>
      </c>
      <c r="CR35" s="13" t="inlineStr">
        <is>
          <t>Net debt / Adjusted Operating Income was ~1.2x at YE2025 (total debt $7.0bn less cash and short-term investments $2.4bn ÷ $4.0bn); FY2021–25 range 1.2–2.4x (2.4x after the RMS acquisition). Target = leverage up to which surplus cash is returned via buybacks (assumption; Moody's gives no numeric net-leverage target). Bull = more buybacks.</t>
        </is>
      </c>
    </row>
    <row r="36" ht="15" customHeight="1" s="251">
      <c r="B36" s="25" t="inlineStr">
        <is>
          <t xml:space="preserve">  MIS — total segment revenue (external + intersegment)</t>
        </is>
      </c>
      <c r="C36" s="261">
        <f>IF(AND(ISNUMBER(C27),ISNUMBER(C34)),C27+C34,"")</f>
      </c>
      <c r="D36" s="261">
        <f>IF(AND(ISNUMBER(D27),ISNUMBER(D34)),D27+D34,"")</f>
      </c>
      <c r="E36" s="261">
        <f>IF(AND(ISNUMBER(E27),ISNUMBER(E34)),E27+E34,"")</f>
        <v>1268.3</v>
      </c>
      <c r="F36" s="261">
        <f>IF(AND(ISNUMBER(F27),ISNUMBER(F34)),F27+F34,"")</f>
        <v>1277.7</v>
      </c>
      <c r="G36" s="261">
        <f>IF(AND(ISNUMBER(G27),ISNUMBER(G34)),G27+G34,"")</f>
        <v>1466.3</v>
      </c>
      <c r="H36" s="261">
        <f>IF(AND(ISNUMBER(H27),ISNUMBER(H34)),H27+H34,"")</f>
        <v>1634.7</v>
      </c>
      <c r="I36" s="261">
        <f>IF(AND(ISNUMBER(I27),ISNUMBER(I34)),I27+I34,"")</f>
        <v>1958.3</v>
      </c>
      <c r="J36" s="261">
        <f>IF(AND(ISNUMBER(J27),ISNUMBER(J34)),J27+J34,"")</f>
        <v>540.1</v>
      </c>
      <c r="K36" s="261">
        <f>IF(AND(ISNUMBER(K27),ISNUMBER(K34)),K27+K34,"")</f>
        <v>556.3</v>
      </c>
      <c r="L36" s="261">
        <f>IF(AND(ISNUMBER(L27),ISNUMBER(L34)),L27+L34,"")</f>
        <v>497.7</v>
      </c>
      <c r="M36" s="261">
        <f>IF(AND(ISNUMBER(M27),ISNUMBER(M34)),M27+M34,"")</f>
        <v>543.9</v>
      </c>
      <c r="N36" s="261">
        <f>IF(AND(ISNUMBER(N27),ISNUMBER(N34)),N27+N34,"")</f>
        <v>2138</v>
      </c>
      <c r="O36" s="261">
        <f>IF(AND(ISNUMBER(O27),ISNUMBER(O34)),O27+O34,"")</f>
        <v>547.3</v>
      </c>
      <c r="P36" s="261">
        <f>IF(AND(ISNUMBER(P27),ISNUMBER(P34)),P27+P34,"")</f>
        <v>643.6</v>
      </c>
      <c r="Q36" s="261">
        <f>IF(AND(ISNUMBER(Q27),ISNUMBER(Q34)),Q27+Q34,"")</f>
        <v>565.4</v>
      </c>
      <c r="R36" s="261">
        <f>IF(AND(ISNUMBER(R27),ISNUMBER(R34)),R27+R34,"")</f>
        <v>587</v>
      </c>
      <c r="S36" s="261">
        <f>IF(AND(ISNUMBER(S27),ISNUMBER(S34)),S27+S34,"")</f>
        <v>2353.4</v>
      </c>
      <c r="T36" s="261">
        <f>IF(AND(ISNUMBER(T27),ISNUMBER(T34)),T27+T34,"")</f>
        <v>624.6</v>
      </c>
      <c r="U36" s="261">
        <f>IF(AND(ISNUMBER(U27),ISNUMBER(U34)),U27+U34,"")</f>
        <v>662.9</v>
      </c>
      <c r="V36" s="261">
        <f>IF(AND(ISNUMBER(V27),ISNUMBER(V34)),V27+V34,"")</f>
        <v>571.6</v>
      </c>
      <c r="W36" s="261">
        <f>IF(AND(ISNUMBER(W27),ISNUMBER(W34)),W27+W34,"")</f>
        <v>568.6</v>
      </c>
      <c r="X36" s="261">
        <f>IF(AND(ISNUMBER(X27),ISNUMBER(X34)),X27+X34,"")</f>
        <v>2427.7</v>
      </c>
      <c r="Y36" s="261">
        <f>IF(AND(ISNUMBER(Y27),ISNUMBER(Y34)),Y27+Y34,"")</f>
        <v>549.1</v>
      </c>
      <c r="Z36" s="261">
        <f>IF(AND(ISNUMBER(Z27),ISNUMBER(Z34)),Z27+Z34,"")</f>
        <v>650.2</v>
      </c>
      <c r="AA36" s="261">
        <f>IF(AND(ISNUMBER(AA27),ISNUMBER(AA34)),AA27+AA34,"")</f>
        <v>637.6</v>
      </c>
      <c r="AB36" s="261">
        <f>IF(AND(ISNUMBER(AB27),ISNUMBER(AB34)),AB27+AB34,"")</f>
        <v>634.1</v>
      </c>
      <c r="AC36" s="261">
        <f>IF(AND(ISNUMBER(AC27),ISNUMBER(AC34)),AC27+AC34,"")</f>
        <v>2471</v>
      </c>
      <c r="AD36" s="261">
        <f>IF(AND(ISNUMBER(AD27),ISNUMBER(AD34)),AD27+AD34,"")</f>
        <v>694.2</v>
      </c>
      <c r="AE36" s="261">
        <f>IF(AND(ISNUMBER(AE27),ISNUMBER(AE34)),AE27+AE34,"")</f>
        <v>713.7</v>
      </c>
      <c r="AF36" s="261">
        <f>IF(AND(ISNUMBER(AF27),ISNUMBER(AF34)),AF27+AF34,"")</f>
        <v>723.2</v>
      </c>
      <c r="AG36" s="261">
        <f>IF(AND(ISNUMBER(AG27),ISNUMBER(AG34)),AG27+AG34,"")</f>
        <v>754.4</v>
      </c>
      <c r="AH36" s="261">
        <f>IF(AND(ISNUMBER(AH27),ISNUMBER(AH34)),AH27+AH34,"")</f>
        <v>2885.5</v>
      </c>
      <c r="AI36" s="261">
        <f>IF(AND(ISNUMBER(AI27),ISNUMBER(AI34)),AI27+AI34,"")</f>
        <v>749.7</v>
      </c>
      <c r="AJ36" s="261">
        <f>IF(AND(ISNUMBER(AJ27),ISNUMBER(AJ34)),AJ27+AJ34,"")</f>
        <v>782.9</v>
      </c>
      <c r="AK36" s="261">
        <f>IF(AND(ISNUMBER(AK27),ISNUMBER(AK34)),AK27+AK34,"")</f>
        <v>676.4</v>
      </c>
      <c r="AL36" s="261">
        <f>IF(AND(ISNUMBER(AL27),ISNUMBER(AL34)),AL27+AL34,"")</f>
        <v>627.4</v>
      </c>
      <c r="AM36" s="261">
        <f>IF(AND(ISNUMBER(AM27),ISNUMBER(AM34)),AM27+AM34,"")</f>
        <v>2836.4</v>
      </c>
      <c r="AN36" s="261">
        <f>IF(AND(ISNUMBER(AN27),ISNUMBER(AN34)),AN27+AN34,"")</f>
        <v>702.4</v>
      </c>
      <c r="AO36" s="261">
        <f>IF(AND(ISNUMBER(AO27),ISNUMBER(AO34)),AO27+AO34,"")</f>
        <v>771.4</v>
      </c>
      <c r="AP36" s="261">
        <f>IF(AND(ISNUMBER(AP27),ISNUMBER(AP34)),AP27+AP34,"")</f>
        <v>780.9</v>
      </c>
      <c r="AQ36" s="261">
        <f>IF(AND(ISNUMBER(AQ27),ISNUMBER(AQ34)),AQ27+AQ34,"")</f>
        <v>755</v>
      </c>
      <c r="AR36" s="261">
        <f>IF(AND(ISNUMBER(AR27),ISNUMBER(AR34)),AR27+AR34,"")</f>
        <v>3009</v>
      </c>
      <c r="AS36" s="261">
        <f>IF(AND(ISNUMBER(AS27),ISNUMBER(AS34)),AS27+AS34,"")</f>
        <v>831</v>
      </c>
      <c r="AT36" s="261">
        <f>IF(AND(ISNUMBER(AT27),ISNUMBER(AT34)),AT27+AT34,"")</f>
        <v>973</v>
      </c>
      <c r="AU36" s="261">
        <f>IF(AND(ISNUMBER(AU27),ISNUMBER(AU34)),AU27+AU34,"")</f>
        <v>863</v>
      </c>
      <c r="AV36" s="261">
        <f>IF(AND(ISNUMBER(AV27),ISNUMBER(AV34)),AV27+AV34,"")</f>
        <v>773</v>
      </c>
      <c r="AW36" s="261">
        <f>IF(AND(ISNUMBER(AW27),ISNUMBER(AW34)),AW27+AW34,"")</f>
        <v>3440</v>
      </c>
      <c r="AX36" s="261">
        <f>IF(AND(ISNUMBER(AX27),ISNUMBER(AX34)),AX27+AX34,"")</f>
        <v>1076</v>
      </c>
      <c r="AY36" s="261">
        <f>IF(AND(ISNUMBER(AY27),ISNUMBER(AY34)),AY27+AY34,"")</f>
        <v>1022</v>
      </c>
      <c r="AZ36" s="261">
        <f>IF(AND(ISNUMBER(AZ27),ISNUMBER(AZ34)),AZ27+AZ34,"")</f>
        <v>967</v>
      </c>
      <c r="BA36" s="261">
        <f>IF(AND(ISNUMBER(BA27),ISNUMBER(BA34)),BA27+BA34,"")</f>
        <v>912</v>
      </c>
      <c r="BB36" s="261">
        <f>IF(AND(ISNUMBER(BB27),ISNUMBER(BB34)),BB27+BB34,"")</f>
        <v>3977</v>
      </c>
      <c r="BC36" s="261">
        <f>IF(AND(ISNUMBER(BC27),ISNUMBER(BC34)),BC27+BC34,"")</f>
        <v>870</v>
      </c>
      <c r="BD36" s="261">
        <f>IF(AND(ISNUMBER(BD27),ISNUMBER(BD34)),BD27+BD34,"")</f>
        <v>749</v>
      </c>
      <c r="BE36" s="261">
        <f>IF(AND(ISNUMBER(BE27),ISNUMBER(BE34)),BE27+BE34,"")</f>
        <v>633</v>
      </c>
      <c r="BF36" s="261">
        <f>IF(AND(ISNUMBER(BF27),ISNUMBER(BF34)),BF27+BF34,"")</f>
        <v>621</v>
      </c>
      <c r="BG36" s="261">
        <f>IF(AND(ISNUMBER(BG27),ISNUMBER(BG34)),BG27+BG34,"")</f>
        <v>2873</v>
      </c>
      <c r="BH36" s="261">
        <f>IF(AND(ISNUMBER(BH27),ISNUMBER(BH34)),BH27+BH34,"")</f>
        <v>778</v>
      </c>
      <c r="BI36" s="261">
        <f>IF(AND(ISNUMBER(BI27),ISNUMBER(BI34)),BI27+BI34,"")</f>
        <v>793</v>
      </c>
      <c r="BJ36" s="261">
        <f>IF(AND(ISNUMBER(BJ27),ISNUMBER(BJ34)),BJ27+BJ34,"")</f>
        <v>743</v>
      </c>
      <c r="BK36" s="261">
        <f>IF(AND(ISNUMBER(BK27),ISNUMBER(BK34)),BK27+BK34,"")</f>
        <v>732</v>
      </c>
      <c r="BL36" s="261">
        <f>IF(AND(ISNUMBER(BL27),ISNUMBER(BL34)),BL27+BL34,"")</f>
        <v>3046</v>
      </c>
      <c r="BM36" s="261">
        <f>IF(AND(ISNUMBER(BM27),ISNUMBER(BM34)),BM27+BM34,"")</f>
        <v>1034</v>
      </c>
      <c r="BN36" s="261">
        <f>IF(AND(ISNUMBER(BN27),ISNUMBER(BN34)),BN27+BN34,"")</f>
        <v>1064</v>
      </c>
      <c r="BO36" s="261">
        <f>IF(AND(ISNUMBER(BO27),ISNUMBER(BO34)),BO27+BO34,"")</f>
        <v>1030</v>
      </c>
      <c r="BP36" s="261">
        <f>IF(AND(ISNUMBER(BP27),ISNUMBER(BP34)),BP27+BP34,"")</f>
        <v>858</v>
      </c>
      <c r="BQ36" s="261">
        <f>IF(AND(ISNUMBER(BQ27),ISNUMBER(BQ34)),BQ27+BQ34,"")</f>
        <v>3986</v>
      </c>
      <c r="BR36" s="261">
        <f>IF(AND(ISNUMBER(BR27),ISNUMBER(BR34)),BR27+BR34,"")</f>
        <v>1114</v>
      </c>
      <c r="BS36" s="261">
        <f>IF(AND(ISNUMBER(BS27),ISNUMBER(BS34)),BS27+BS34,"")</f>
        <v>1060</v>
      </c>
      <c r="BT36" s="261">
        <f>IF(AND(ISNUMBER(BT27),ISNUMBER(BT34)),BT27+BT34,"")</f>
        <v>1148</v>
      </c>
      <c r="BU36" s="261">
        <f>IF(AND(ISNUMBER(BU27),ISNUMBER(BU34)),BU27+BU34,"")</f>
        <v>995</v>
      </c>
      <c r="BV36" s="261">
        <f>IF(AND(ISNUMBER(BV27),ISNUMBER(BV34)),BV27+BV34,"")</f>
        <v>4317</v>
      </c>
      <c r="BW36" s="261">
        <f>IF(AND(ISNUMBER(BW27),ISNUMBER(BW34)),BW27+BW34,"")</f>
        <v>1204</v>
      </c>
      <c r="BX36" s="261">
        <f>IF(AND(ISNUMBER(BX27),ISNUMBER(BX34)),BX27+BX34,"")</f>
        <v>1312</v>
      </c>
      <c r="BY36" s="254">
        <f>IF(AND(ISNUMBER(BY27),ISNUMBER(BY34)),BY27+BY34,"")</f>
        <v>1140.12695712129</v>
      </c>
      <c r="BZ36" s="254">
        <f>IF(AND(ISNUMBER(BZ27),ISNUMBER(BZ34)),BZ27+BZ34,"")</f>
        <v>982.280137781322</v>
      </c>
      <c r="CA36" s="254">
        <f>IF(AND(ISNUMBER(CA27),ISNUMBER(CA34)),CA27+CA34,"")</f>
        <v>4638.40709490261</v>
      </c>
      <c r="CB36" s="254">
        <f>IF(AND(ISNUMBER(CB27),ISNUMBER(CB34)),CB27+CB34,"")</f>
        <v>4935.76995703173</v>
      </c>
      <c r="CC36" s="254">
        <f>IF(AND(ISNUMBER(CC27),ISNUMBER(CC34)),CC27+CC34,"")</f>
        <v>5211.13454933508</v>
      </c>
      <c r="CD36" s="254">
        <f>IF(AND(ISNUMBER(CD27),ISNUMBER(CD34)),CD27+CD34,"")</f>
        <v>5493.54561057749</v>
      </c>
      <c r="CE36" s="254">
        <f>IF(AND(ISNUMBER(CE27),ISNUMBER(CE34)),CE27+CE34,"")</f>
        <v>5761.81100407453</v>
      </c>
      <c r="CF36" s="19" t="n"/>
    </row>
    <row r="37" ht="15" customHeight="1" s="251">
      <c r="B37" s="16" t="inlineStr">
        <is>
          <t xml:space="preserve">  MIS Adjusted Operating Income (segment measure)</t>
        </is>
      </c>
      <c r="C37" s="43" t="n"/>
      <c r="D37" s="43" t="n"/>
      <c r="E37" s="43" t="n"/>
      <c r="F37" s="43" t="n"/>
      <c r="G37" s="43" t="n"/>
      <c r="H37" s="43" t="n"/>
      <c r="I37" s="265" t="n">
        <v>991.2</v>
      </c>
      <c r="J37" s="265" t="n">
        <v>255.8</v>
      </c>
      <c r="K37" s="265" t="n">
        <v>320.1</v>
      </c>
      <c r="L37" s="265" t="n">
        <v>262.1</v>
      </c>
      <c r="M37" s="265" t="n">
        <v>277.4</v>
      </c>
      <c r="N37" s="265" t="n">
        <v>1115.4</v>
      </c>
      <c r="O37" s="265" t="n">
        <v>301.6</v>
      </c>
      <c r="P37" s="265" t="n">
        <v>374.7</v>
      </c>
      <c r="Q37" s="265" t="n">
        <v>304.6</v>
      </c>
      <c r="R37" s="265" t="n">
        <v>294.4</v>
      </c>
      <c r="S37" s="265" t="n">
        <v>1277.2</v>
      </c>
      <c r="T37" s="265" t="n">
        <v>343.3</v>
      </c>
      <c r="U37" s="265" t="n">
        <v>375.9</v>
      </c>
      <c r="V37" s="265" t="n">
        <v>303.5</v>
      </c>
      <c r="W37" s="265" t="n">
        <v>284.7</v>
      </c>
      <c r="X37" s="265" t="n">
        <v>1307.4</v>
      </c>
      <c r="Y37" s="265" t="n">
        <v>270.5</v>
      </c>
      <c r="Z37" s="265" t="n">
        <v>368.9</v>
      </c>
      <c r="AA37" s="265" t="n">
        <v>364.8</v>
      </c>
      <c r="AB37" s="265" t="n">
        <v>348.6</v>
      </c>
      <c r="AC37" s="265" t="n">
        <v>1355.4</v>
      </c>
      <c r="AD37" s="265" t="n">
        <v>405.9</v>
      </c>
      <c r="AE37" s="265" t="n">
        <v>422.3</v>
      </c>
      <c r="AF37" s="265" t="n">
        <v>404</v>
      </c>
      <c r="AG37" s="265" t="n">
        <v>406.4</v>
      </c>
      <c r="AH37" s="265" t="n">
        <v>1638.6</v>
      </c>
      <c r="AI37" s="265" t="n">
        <v>439.3</v>
      </c>
      <c r="AJ37" s="265" t="n">
        <v>479.3</v>
      </c>
      <c r="AK37" s="265" t="n">
        <v>388.7</v>
      </c>
      <c r="AL37" s="265" t="n">
        <v>350.1</v>
      </c>
      <c r="AM37" s="265" t="n">
        <v>1657.4</v>
      </c>
      <c r="AN37" s="265" t="n">
        <v>385.6</v>
      </c>
      <c r="AO37" s="265" t="n">
        <v>464.4</v>
      </c>
      <c r="AP37" s="265" t="n">
        <v>468.3</v>
      </c>
      <c r="AQ37" s="265" t="n">
        <v>427</v>
      </c>
      <c r="AR37" s="265" t="n">
        <v>1745</v>
      </c>
      <c r="AS37" s="265" t="n">
        <v>503</v>
      </c>
      <c r="AT37" s="265" t="n">
        <v>623</v>
      </c>
      <c r="AU37" s="265" t="n">
        <v>554</v>
      </c>
      <c r="AV37" s="265" t="n">
        <v>373</v>
      </c>
      <c r="AW37" s="265" t="n">
        <v>2053</v>
      </c>
      <c r="AX37" s="265" t="n">
        <v>728</v>
      </c>
      <c r="AY37" s="265" t="n">
        <v>678</v>
      </c>
      <c r="AZ37" s="265" t="n">
        <v>580</v>
      </c>
      <c r="BA37" s="265" t="n">
        <v>489</v>
      </c>
      <c r="BB37" s="265" t="n">
        <v>2474</v>
      </c>
      <c r="BC37" s="265" t="n">
        <v>510</v>
      </c>
      <c r="BD37" s="265" t="n">
        <v>415</v>
      </c>
      <c r="BE37" s="265" t="n">
        <v>289</v>
      </c>
      <c r="BF37" s="265" t="n">
        <v>274</v>
      </c>
      <c r="BG37" s="265" t="n">
        <v>1488</v>
      </c>
      <c r="BH37" s="265" t="n">
        <v>442</v>
      </c>
      <c r="BI37" s="265" t="n">
        <v>443</v>
      </c>
      <c r="BJ37" s="265" t="n">
        <v>395</v>
      </c>
      <c r="BK37" s="265" t="n">
        <v>380</v>
      </c>
      <c r="BL37" s="265" t="n">
        <v>1660</v>
      </c>
      <c r="BM37" s="265" t="n">
        <v>668</v>
      </c>
      <c r="BN37" s="265" t="n">
        <v>672</v>
      </c>
      <c r="BO37" s="265" t="n">
        <v>614</v>
      </c>
      <c r="BP37" s="265" t="n">
        <v>440</v>
      </c>
      <c r="BQ37" s="265" t="n">
        <v>2394</v>
      </c>
      <c r="BR37" s="265" t="n">
        <v>735</v>
      </c>
      <c r="BS37" s="265" t="n">
        <v>680</v>
      </c>
      <c r="BT37" s="265" t="n">
        <v>749</v>
      </c>
      <c r="BU37" s="265" t="n">
        <v>582</v>
      </c>
      <c r="BV37" s="265" t="n">
        <v>2746</v>
      </c>
      <c r="BW37" s="265" t="n">
        <v>803</v>
      </c>
      <c r="BX37" s="265" t="n">
        <v>896</v>
      </c>
      <c r="BY37" s="263">
        <f>BY36*BY38</f>
        <v>749.309077068807</v>
      </c>
      <c r="BZ37" s="263">
        <f>BZ36*BZ38</f>
        <v>579.251649694921</v>
      </c>
      <c r="CA37" s="263">
        <f>SUM(BW37:BZ37)</f>
        <v>3027.56072676373</v>
      </c>
      <c r="CB37" s="263">
        <f>CB36*CB38</f>
        <v>3232.92932185578</v>
      </c>
      <c r="CC37" s="263">
        <f>CC36*CC38</f>
        <v>3439.34880256115</v>
      </c>
      <c r="CD37" s="263">
        <f>CD36*CD38</f>
        <v>3653.20783103403</v>
      </c>
      <c r="CE37" s="263">
        <f>CE36*CE38</f>
        <v>3860.41337272993</v>
      </c>
      <c r="CF37" s="153" t="inlineStr">
        <is>
          <t>Company segment measure (operating income + D&amp;A + restructuring + other items excluded by the company; includes intersegment revenue and expense). Forecast = total segment revenue × Adjusted Operating Margin.</t>
        </is>
      </c>
      <c r="CH37" s="20">
        <f>IFERROR((CE37/BV37)^(1/5)-1,"n/m")</f>
        <v>0.0704999607211927</v>
      </c>
      <c r="CI37" s="20">
        <f>IFERROR((BV37/AW37)^(1/5)-1,"n/m")</f>
        <v>0.0598937146110237</v>
      </c>
      <c r="CJ37" s="20">
        <f>IFERROR((BV37/X37)^(1/10)-1,"n/m")</f>
        <v>0.0770334837404003</v>
      </c>
      <c r="CK37" s="20" t="str">
        <f>IFERROR((BV37/C37)^(1/19)-1,"n/m")</f>
        <v>n/m</v>
      </c>
      <c r="CN37" s="15" t="inlineStr">
        <is>
          <t>MIS_CFG (Corporate Finance y/y)</t>
        </is>
      </c>
      <c r="CO37" s="41" t="n">
        <v>0.03</v>
      </c>
      <c r="CP37" s="21" t="inlineStr">
        <is>
          <t>Δ →</t>
        </is>
      </c>
      <c r="CQ37" s="41" t="n">
        <v>-0.05</v>
      </c>
      <c r="CR37" s="13" t="inlineStr">
        <is>
          <t>FY2015–25 CAGR 6.7%; 1H26 +19% on refinancing / M&amp;A issuance; leveraged-finance refinancing walls 2027–28.</t>
        </is>
      </c>
    </row>
    <row r="38" ht="15" customHeight="1" s="251">
      <c r="B38" s="25" t="inlineStr">
        <is>
          <t xml:space="preserve">  MIS Adjusted Operating Margin % (company basis: on total segment revenue)</t>
        </is>
      </c>
      <c r="C38" s="215">
        <f>IF(AND(ISNUMBER(C37),ISNUMBER(C36)),IFERROR(C37/C36,""),"")</f>
      </c>
      <c r="D38" s="215">
        <f>IF(AND(ISNUMBER(D37),ISNUMBER(D36)),IFERROR(D37/D36,""),"")</f>
      </c>
      <c r="E38" s="215">
        <f>IF(AND(ISNUMBER(E37),ISNUMBER(E36)),IFERROR(E37/E36,""),"")</f>
      </c>
      <c r="F38" s="215">
        <f>IF(AND(ISNUMBER(F37),ISNUMBER(F36)),IFERROR(F37/F36,""),"")</f>
      </c>
      <c r="G38" s="215">
        <f>IF(AND(ISNUMBER(G37),ISNUMBER(G36)),IFERROR(G37/G36,""),"")</f>
      </c>
      <c r="H38" s="215">
        <f>IF(AND(ISNUMBER(H37),ISNUMBER(H36)),IFERROR(H37/H36,""),"")</f>
      </c>
      <c r="I38" s="215">
        <f>IF(AND(ISNUMBER(I37),ISNUMBER(I36)),IFERROR(I37/I36,""),"")</f>
        <v>0.506153296226319</v>
      </c>
      <c r="J38" s="215">
        <f>IF(AND(ISNUMBER(J37),ISNUMBER(J36)),IFERROR(J37/J36,""),"")</f>
        <v>0.473615997037586</v>
      </c>
      <c r="K38" s="215">
        <f>IF(AND(ISNUMBER(K37),ISNUMBER(K36)),IFERROR(K37/K36,""),"")</f>
        <v>0.575408952004314</v>
      </c>
      <c r="L38" s="215">
        <f>IF(AND(ISNUMBER(L37),ISNUMBER(L36)),IFERROR(L37/L36,""),"")</f>
        <v>0.526622463331324</v>
      </c>
      <c r="M38" s="215">
        <f>IF(AND(ISNUMBER(M37),ISNUMBER(M36)),IFERROR(M37/M36,""),"")</f>
        <v>0.510020224305939</v>
      </c>
      <c r="N38" s="215">
        <f>IF(AND(ISNUMBER(N37),ISNUMBER(N36)),IFERROR(N37/N36,""),"")</f>
        <v>0.521702525724977</v>
      </c>
      <c r="O38" s="215">
        <f>IF(AND(ISNUMBER(O37),ISNUMBER(O36)),IFERROR(O37/O36,""),"")</f>
        <v>0.551068883610451</v>
      </c>
      <c r="P38" s="215">
        <f>IF(AND(ISNUMBER(P37),ISNUMBER(P36)),IFERROR(P37/P36,""),"")</f>
        <v>0.58219390926041</v>
      </c>
      <c r="Q38" s="215">
        <f>IF(AND(ISNUMBER(Q37),ISNUMBER(Q36)),IFERROR(Q37/Q36,""),"")</f>
        <v>0.538733639900955</v>
      </c>
      <c r="R38" s="215">
        <f>IF(AND(ISNUMBER(R37),ISNUMBER(R36)),IFERROR(R37/R36,""),"")</f>
        <v>0.501533219761499</v>
      </c>
      <c r="S38" s="215">
        <f>IF(AND(ISNUMBER(S37),ISNUMBER(S36)),IFERROR(S37/S36,""),"")</f>
        <v>0.542704172686326</v>
      </c>
      <c r="T38" s="215">
        <f>IF(AND(ISNUMBER(T37),ISNUMBER(T36)),IFERROR(T37/T36,""),"")</f>
        <v>0.549631764329171</v>
      </c>
      <c r="U38" s="215">
        <f>IF(AND(ISNUMBER(U37),ISNUMBER(U36)),IFERROR(U37/U36,""),"")</f>
        <v>0.567053854276663</v>
      </c>
      <c r="V38" s="215">
        <f>IF(AND(ISNUMBER(V37),ISNUMBER(V36)),IFERROR(V37/V36,""),"")</f>
        <v>0.530965710286914</v>
      </c>
      <c r="W38" s="215">
        <f>IF(AND(ISNUMBER(W37),ISNUMBER(W36)),IFERROR(W37/W36,""),"")</f>
        <v>0.500703482237074</v>
      </c>
      <c r="X38" s="215">
        <f>IF(AND(ISNUMBER(X37),ISNUMBER(X36)),IFERROR(X37/X36,""),"")</f>
        <v>0.538534415290192</v>
      </c>
      <c r="Y38" s="215">
        <f>IF(AND(ISNUMBER(Y37),ISNUMBER(Y36)),IFERROR(Y37/Y36,""),"")</f>
        <v>0.492624294299763</v>
      </c>
      <c r="Z38" s="215">
        <f>IF(AND(ISNUMBER(Z37),ISNUMBER(Z36)),IFERROR(Z37/Z36,""),"")</f>
        <v>0.567363888034451</v>
      </c>
      <c r="AA38" s="215">
        <f>IF(AND(ISNUMBER(AA37),ISNUMBER(AA36)),IFERROR(AA37/AA36,""),"")</f>
        <v>0.572145545796738</v>
      </c>
      <c r="AB38" s="215">
        <f>IF(AND(ISNUMBER(AB37),ISNUMBER(AB36)),IFERROR(AB37/AB36,""),"")</f>
        <v>0.549755559060085</v>
      </c>
      <c r="AC38" s="215">
        <f>IF(AND(ISNUMBER(AC37),ISNUMBER(AC36)),IFERROR(AC37/AC36,""),"")</f>
        <v>0.548522865236746</v>
      </c>
      <c r="AD38" s="215">
        <f>IF(AND(ISNUMBER(AD37),ISNUMBER(AD36)),IFERROR(AD37/AD36,""),"")</f>
        <v>0.584701815038894</v>
      </c>
      <c r="AE38" s="215">
        <f>IF(AND(ISNUMBER(AE37),ISNUMBER(AE36)),IFERROR(AE37/AE36,""),"")</f>
        <v>0.591705198262575</v>
      </c>
      <c r="AF38" s="215">
        <f>IF(AND(ISNUMBER(AF37),ISNUMBER(AF36)),IFERROR(AF37/AF36,""),"")</f>
        <v>0.558628318584071</v>
      </c>
      <c r="AG38" s="215">
        <f>IF(AND(ISNUMBER(AG37),ISNUMBER(AG36)),IFERROR(AG37/AG36,""),"")</f>
        <v>0.538706256627784</v>
      </c>
      <c r="AH38" s="215">
        <f>IF(AND(ISNUMBER(AH37),ISNUMBER(AH36)),IFERROR(AH37/AH36,""),"")</f>
        <v>0.567873852018714</v>
      </c>
      <c r="AI38" s="215">
        <f>IF(AND(ISNUMBER(AI37),ISNUMBER(AI36)),IFERROR(AI37/AI36,""),"")</f>
        <v>0.585967720421502</v>
      </c>
      <c r="AJ38" s="215">
        <f>IF(AND(ISNUMBER(AJ37),ISNUMBER(AJ36)),IFERROR(AJ37/AJ36,""),"")</f>
        <v>0.612211010346149</v>
      </c>
      <c r="AK38" s="215">
        <f>IF(AND(ISNUMBER(AK37),ISNUMBER(AK36)),IFERROR(AK37/AK36,""),"")</f>
        <v>0.574659964518037</v>
      </c>
      <c r="AL38" s="215">
        <f>IF(AND(ISNUMBER(AL37),ISNUMBER(AL36)),IFERROR(AL37/AL36,""),"")</f>
        <v>0.558017213898629</v>
      </c>
      <c r="AM38" s="215">
        <f>IF(AND(ISNUMBER(AM37),ISNUMBER(AM36)),IFERROR(AM37/AM36,""),"")</f>
        <v>0.584332252150614</v>
      </c>
      <c r="AN38" s="215">
        <f>IF(AND(ISNUMBER(AN37),ISNUMBER(AN36)),IFERROR(AN37/AN36,""),"")</f>
        <v>0.548974943052392</v>
      </c>
      <c r="AO38" s="215">
        <f>IF(AND(ISNUMBER(AO37),ISNUMBER(AO36)),IFERROR(AO37/AO36,""),"")</f>
        <v>0.602022297122116</v>
      </c>
      <c r="AP38" s="215">
        <f>IF(AND(ISNUMBER(AP37),ISNUMBER(AP36)),IFERROR(AP37/AP36,""),"")</f>
        <v>0.599692662312716</v>
      </c>
      <c r="AQ38" s="215">
        <f>IF(AND(ISNUMBER(AQ37),ISNUMBER(AQ36)),IFERROR(AQ37/AQ36,""),"")</f>
        <v>0.565562913907285</v>
      </c>
      <c r="AR38" s="215">
        <f>IF(AND(ISNUMBER(AR37),ISNUMBER(AR36)),IFERROR(AR37/AR36,""),"")</f>
        <v>0.579926886008641</v>
      </c>
      <c r="AS38" s="215">
        <f>IF(AND(ISNUMBER(AS37),ISNUMBER(AS36)),IFERROR(AS37/AS36,""),"")</f>
        <v>0.605294825511432</v>
      </c>
      <c r="AT38" s="215">
        <f>IF(AND(ISNUMBER(AT37),ISNUMBER(AT36)),IFERROR(AT37/AT36,""),"")</f>
        <v>0.640287769784173</v>
      </c>
      <c r="AU38" s="215">
        <f>IF(AND(ISNUMBER(AU37),ISNUMBER(AU36)),IFERROR(AU37/AU36,""),"")</f>
        <v>0.641946697566628</v>
      </c>
      <c r="AV38" s="215">
        <f>IF(AND(ISNUMBER(AV37),ISNUMBER(AV36)),IFERROR(AV37/AV36,""),"")</f>
        <v>0.482535575679172</v>
      </c>
      <c r="AW38" s="215">
        <f>IF(AND(ISNUMBER(AW37),ISNUMBER(AW36)),IFERROR(AW37/AW36,""),"")</f>
        <v>0.596802325581395</v>
      </c>
      <c r="AX38" s="215">
        <f>IF(AND(ISNUMBER(AX37),ISNUMBER(AX36)),IFERROR(AX37/AX36,""),"")</f>
        <v>0.676579925650558</v>
      </c>
      <c r="AY38" s="215">
        <f>IF(AND(ISNUMBER(AY37),ISNUMBER(AY36)),IFERROR(AY37/AY36,""),"")</f>
        <v>0.663405088062622</v>
      </c>
      <c r="AZ38" s="215">
        <f>IF(AND(ISNUMBER(AZ37),ISNUMBER(AZ36)),IFERROR(AZ37/AZ36,""),"")</f>
        <v>0.599793174767322</v>
      </c>
      <c r="BA38" s="215">
        <f>IF(AND(ISNUMBER(BA37),ISNUMBER(BA36)),IFERROR(BA37/BA36,""),"")</f>
        <v>0.536184210526316</v>
      </c>
      <c r="BB38" s="215">
        <f>IF(AND(ISNUMBER(BB37),ISNUMBER(BB36)),IFERROR(BB37/BB36,""),"")</f>
        <v>0.622076942418909</v>
      </c>
      <c r="BC38" s="215">
        <f>IF(AND(ISNUMBER(BC37),ISNUMBER(BC36)),IFERROR(BC37/BC36,""),"")</f>
        <v>0.586206896551724</v>
      </c>
      <c r="BD38" s="215">
        <f>IF(AND(ISNUMBER(BD37),ISNUMBER(BD36)),IFERROR(BD37/BD36,""),"")</f>
        <v>0.554072096128171</v>
      </c>
      <c r="BE38" s="215">
        <f>IF(AND(ISNUMBER(BE37),ISNUMBER(BE36)),IFERROR(BE37/BE36,""),"")</f>
        <v>0.456556082148499</v>
      </c>
      <c r="BF38" s="215">
        <f>IF(AND(ISNUMBER(BF37),ISNUMBER(BF36)),IFERROR(BF37/BF36,""),"")</f>
        <v>0.44122383252818</v>
      </c>
      <c r="BG38" s="215">
        <f>IF(AND(ISNUMBER(BG37),ISNUMBER(BG36)),IFERROR(BG37/BG36,""),"")</f>
        <v>0.517925513400627</v>
      </c>
      <c r="BH38" s="215">
        <f>IF(AND(ISNUMBER(BH37),ISNUMBER(BH36)),IFERROR(BH37/BH36,""),"")</f>
        <v>0.568123393316195</v>
      </c>
      <c r="BI38" s="215">
        <f>IF(AND(ISNUMBER(BI37),ISNUMBER(BI36)),IFERROR(BI37/BI36,""),"")</f>
        <v>0.558638083228247</v>
      </c>
      <c r="BJ38" s="215">
        <f>IF(AND(ISNUMBER(BJ37),ISNUMBER(BJ36)),IFERROR(BJ37/BJ36,""),"")</f>
        <v>0.531628532974428</v>
      </c>
      <c r="BK38" s="215">
        <f>IF(AND(ISNUMBER(BK37),ISNUMBER(BK36)),IFERROR(BK37/BK36,""),"")</f>
        <v>0.519125683060109</v>
      </c>
      <c r="BL38" s="215">
        <f>IF(AND(ISNUMBER(BL37),ISNUMBER(BL36)),IFERROR(BL37/BL36,""),"")</f>
        <v>0.544977019041366</v>
      </c>
      <c r="BM38" s="215">
        <f>IF(AND(ISNUMBER(BM37),ISNUMBER(BM36)),IFERROR(BM37/BM36,""),"")</f>
        <v>0.646034816247582</v>
      </c>
      <c r="BN38" s="215">
        <f>IF(AND(ISNUMBER(BN37),ISNUMBER(BN36)),IFERROR(BN37/BN36,""),"")</f>
        <v>0.631578947368421</v>
      </c>
      <c r="BO38" s="215">
        <f>IF(AND(ISNUMBER(BO37),ISNUMBER(BO36)),IFERROR(BO37/BO36,""),"")</f>
        <v>0.596116504854369</v>
      </c>
      <c r="BP38" s="215">
        <f>IF(AND(ISNUMBER(BP37),ISNUMBER(BP36)),IFERROR(BP37/BP36,""),"")</f>
        <v>0.512820512820513</v>
      </c>
      <c r="BQ38" s="215">
        <f>IF(AND(ISNUMBER(BQ37),ISNUMBER(BQ36)),IFERROR(BQ37/BQ36,""),"")</f>
        <v>0.600602107375815</v>
      </c>
      <c r="BR38" s="215">
        <f>IF(AND(ISNUMBER(BR37),ISNUMBER(BR36)),IFERROR(BR37/BR36,""),"")</f>
        <v>0.659784560143627</v>
      </c>
      <c r="BS38" s="215">
        <f>IF(AND(ISNUMBER(BS37),ISNUMBER(BS36)),IFERROR(BS37/BS36,""),"")</f>
        <v>0.641509433962264</v>
      </c>
      <c r="BT38" s="215">
        <f>IF(AND(ISNUMBER(BT37),ISNUMBER(BT36)),IFERROR(BT37/BT36,""),"")</f>
        <v>0.652439024390244</v>
      </c>
      <c r="BU38" s="215">
        <f>IF(AND(ISNUMBER(BU37),ISNUMBER(BU36)),IFERROR(BU37/BU36,""),"")</f>
        <v>0.584924623115578</v>
      </c>
      <c r="BV38" s="215">
        <f>IF(AND(ISNUMBER(BV37),ISNUMBER(BV36)),IFERROR(BV37/BV36,""),"")</f>
        <v>0.636089877229558</v>
      </c>
      <c r="BW38" s="215">
        <f>IF(AND(ISNUMBER(BW37),ISNUMBER(BW36)),IFERROR(BW37/BW36,""),"")</f>
        <v>0.666943521594684</v>
      </c>
      <c r="BX38" s="215">
        <f>IF(AND(ISNUMBER(BX37),ISNUMBER(BX36)),IFERROR(BX37/BX36,""),"")</f>
        <v>0.682926829268293</v>
      </c>
      <c r="BY38" s="256">
        <f>BY39+$CA$135</f>
        <v>0.657215472705549</v>
      </c>
      <c r="BZ38" s="256">
        <f>BZ39+$CA$135</f>
        <v>0.589701071430883</v>
      </c>
      <c r="CA38" s="256">
        <f>IF(AND(ISNUMBER(CA37),ISNUMBER(CA36)),IFERROR(CA37/CA36,""),"")</f>
        <v>0.65271561223914</v>
      </c>
      <c r="CB38" s="256">
        <f>CHOOSE(MATCH($CF$2,{"Bull","Base","Bear"},0),$CO$88,$CP$88,$CQ$88)</f>
        <v>0.655</v>
      </c>
      <c r="CC38" s="256">
        <f>CHOOSE(MATCH($CF$2,{"Bull","Base","Bear"},0),$CO$89,$CP$89,$CQ$89)</f>
        <v>0.66</v>
      </c>
      <c r="CD38" s="256">
        <f>CHOOSE(MATCH($CF$2,{"Bull","Base","Bear"},0),$CO$90,$CP$90,$CQ$90)</f>
        <v>0.665</v>
      </c>
      <c r="CE38" s="256">
        <f>CHOOSE(MATCH($CF$2,{"Bull","Base","Bear"},0),$CO$91,$CP$91,$CQ$91)</f>
        <v>0.67</v>
      </c>
      <c r="CF38" s="153" t="inlineStr">
        <is>
          <t>Q3/Q4-26E: margin before calibration + adjusted-EPS-guidance calibration Δ (Group block). 2027E+: scenario lever.</t>
        </is>
      </c>
      <c r="CH38" s="37">
        <f>IFERROR(AVERAGE(CA38,CB38,CC38,CD38,CE38),"n/m")</f>
        <v>0.660543122447828</v>
      </c>
      <c r="CI38" s="37">
        <f>IFERROR(AVERAGE(BB38,BG38,BL38,BQ38,BV38),"n/m")</f>
        <v>0.584334291893255</v>
      </c>
      <c r="CJ38" s="37">
        <f>IFERROR(AVERAGE(AC38,AH38,AM38,AR38,AW38,BB38,BG38,BL38,BQ38,BV38),"n/m")</f>
        <v>0.579912964046238</v>
      </c>
      <c r="CK38" s="37">
        <f>IFERROR(AVERAGE(C38,D38,E38,F38,G38,H38,I38,N38,S38,X38,AC38,AH38,AM38,AR38,AW38,BB38,BG38,BL38,BQ38,BV38),"n/m")</f>
        <v>0.564873146456443</v>
      </c>
      <c r="CN38" s="25" t="inlineStr">
        <is>
          <t xml:space="preserve">  2027E</t>
        </is>
      </c>
      <c r="CO38" s="33">
        <f>CP38+$CO$37</f>
        <v>0.1</v>
      </c>
      <c r="CP38" s="42" t="n">
        <v>0.07000000000000001</v>
      </c>
      <c r="CQ38" s="33">
        <f>CP38+$CQ$37</f>
        <v>0.02</v>
      </c>
    </row>
    <row r="39" ht="15" customHeight="1" s="251">
      <c r="B39" s="25" t="inlineStr">
        <is>
          <t xml:space="preserve">  Q3/Q4-26E margin before EPS calibration (prior-year quarter + 1H26 y/y drift)</t>
        </is>
      </c>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c r="AA39" s="36" t="n"/>
      <c r="AB39" s="36" t="n"/>
      <c r="AC39" s="36" t="n"/>
      <c r="AD39" s="36" t="n"/>
      <c r="AE39" s="36" t="n"/>
      <c r="AF39" s="36" t="n"/>
      <c r="AG39" s="36" t="n"/>
      <c r="AH39" s="36" t="n"/>
      <c r="AI39" s="36" t="n"/>
      <c r="AJ39" s="36" t="n"/>
      <c r="AK39" s="36" t="n"/>
      <c r="AL39" s="36" t="n"/>
      <c r="AM39" s="36" t="n"/>
      <c r="AN39" s="36" t="n"/>
      <c r="AO39" s="36" t="n"/>
      <c r="AP39" s="36" t="n"/>
      <c r="AQ39" s="36" t="n"/>
      <c r="AR39" s="36" t="n"/>
      <c r="AS39" s="36" t="n"/>
      <c r="AT39" s="36" t="n"/>
      <c r="AU39" s="36" t="n"/>
      <c r="AV39" s="36" t="n"/>
      <c r="AW39" s="36" t="n"/>
      <c r="AX39" s="36" t="n"/>
      <c r="AY39" s="36" t="n"/>
      <c r="AZ39" s="36" t="n"/>
      <c r="BA39" s="36" t="n"/>
      <c r="BB39" s="36" t="n"/>
      <c r="BC39" s="36" t="n"/>
      <c r="BD39" s="36" t="n"/>
      <c r="BE39" s="36" t="n"/>
      <c r="BF39" s="36" t="n"/>
      <c r="BG39" s="36" t="n"/>
      <c r="BH39" s="36" t="n"/>
      <c r="BI39" s="36" t="n"/>
      <c r="BJ39" s="36" t="n"/>
      <c r="BK39" s="36" t="n"/>
      <c r="BL39" s="36" t="n"/>
      <c r="BM39" s="36" t="n"/>
      <c r="BN39" s="36" t="n"/>
      <c r="BO39" s="36" t="n"/>
      <c r="BP39" s="36" t="n"/>
      <c r="BQ39" s="36" t="n"/>
      <c r="BR39" s="36" t="n"/>
      <c r="BS39" s="36" t="n"/>
      <c r="BT39" s="36" t="n"/>
      <c r="BU39" s="36" t="n"/>
      <c r="BV39" s="36" t="n"/>
      <c r="BW39" s="36" t="n"/>
      <c r="BX39" s="36" t="n"/>
      <c r="BY39" s="256">
        <f>BT38+IFERROR(SUM(BW37:BX37)/SUM(BW36:BX36)-SUM(BR37:BS37)/SUM(BR36:BS36),0)</f>
        <v>0.676843278744712</v>
      </c>
      <c r="BZ39" s="256">
        <f>BU38+IFERROR(SUM(BW37:BX37)/SUM(BW36:BX36)-SUM(BR37:BS37)/SUM(BR36:BS36),0)</f>
        <v>0.609328877470046</v>
      </c>
      <c r="CA39" s="24" t="n"/>
      <c r="CB39" s="46" t="n"/>
      <c r="CC39" s="46" t="n"/>
      <c r="CD39" s="46" t="n"/>
      <c r="CE39" s="46" t="n"/>
      <c r="CF39" s="19" t="n"/>
      <c r="CN39" s="25" t="inlineStr">
        <is>
          <t xml:space="preserve">  2028E</t>
        </is>
      </c>
      <c r="CO39" s="33">
        <f>CP39+$CO$37</f>
        <v>0.09</v>
      </c>
      <c r="CP39" s="42" t="n">
        <v>0.06</v>
      </c>
      <c r="CQ39" s="33">
        <f>CP39+$CQ$37</f>
        <v>0.01</v>
      </c>
    </row>
    <row r="40" ht="15" customHeight="1" s="251">
      <c r="B40" s="156" t="inlineStr">
        <is>
          <t xml:space="preserve">  Memo: MIS Adjusted Operating Margin as published (%)</t>
        </is>
      </c>
      <c r="C40" s="34" t="n"/>
      <c r="D40" s="34" t="n"/>
      <c r="E40" s="34" t="n"/>
      <c r="F40" s="34" t="n"/>
      <c r="G40" s="34" t="n"/>
      <c r="H40" s="34" t="n"/>
      <c r="I40" s="266" t="n">
        <v>0.506</v>
      </c>
      <c r="J40" s="266" t="n">
        <v>0.474</v>
      </c>
      <c r="K40" s="266" t="n">
        <v>0.575</v>
      </c>
      <c r="L40" s="266" t="n">
        <v>0.527</v>
      </c>
      <c r="M40" s="266" t="n">
        <v>0.51</v>
      </c>
      <c r="N40" s="266" t="n">
        <v>0.522</v>
      </c>
      <c r="O40" s="266" t="n">
        <v>0.551</v>
      </c>
      <c r="P40" s="266" t="n">
        <v>0.582</v>
      </c>
      <c r="Q40" s="266" t="n">
        <v>0.539</v>
      </c>
      <c r="R40" s="266" t="n">
        <v>0.502</v>
      </c>
      <c r="S40" s="266" t="n">
        <v>0.543</v>
      </c>
      <c r="T40" s="266" t="n">
        <v>0.55</v>
      </c>
      <c r="U40" s="266" t="n">
        <v>0.5669999999999999</v>
      </c>
      <c r="V40" s="266" t="n">
        <v>0.531</v>
      </c>
      <c r="W40" s="266" t="n">
        <v>0.501</v>
      </c>
      <c r="X40" s="266" t="n">
        <v>0.539</v>
      </c>
      <c r="Y40" s="266" t="n">
        <v>0.493</v>
      </c>
      <c r="Z40" s="266" t="n">
        <v>0.5669999999999999</v>
      </c>
      <c r="AA40" s="266" t="n">
        <v>0.572</v>
      </c>
      <c r="AB40" s="266" t="n">
        <v>0.55</v>
      </c>
      <c r="AC40" s="266" t="n">
        <v>0.549</v>
      </c>
      <c r="AD40" s="266" t="n">
        <v>0.585</v>
      </c>
      <c r="AE40" s="266" t="n">
        <v>0.592</v>
      </c>
      <c r="AF40" s="266" t="n">
        <v>0.5590000000000001</v>
      </c>
      <c r="AG40" s="266" t="n">
        <v>0.539</v>
      </c>
      <c r="AH40" s="266" t="n">
        <v>0.5679999999999999</v>
      </c>
      <c r="AI40" s="266" t="n">
        <v>0.586</v>
      </c>
      <c r="AJ40" s="266" t="n">
        <v>0.612</v>
      </c>
      <c r="AK40" s="266" t="n">
        <v>0.575</v>
      </c>
      <c r="AL40" s="266" t="n">
        <v>0.5580000000000001</v>
      </c>
      <c r="AM40" s="266" t="n">
        <v>0.584</v>
      </c>
      <c r="AN40" s="266" t="n">
        <v>0.549</v>
      </c>
      <c r="AO40" s="266" t="n">
        <v>0.602</v>
      </c>
      <c r="AP40" s="266" t="n">
        <v>0.6</v>
      </c>
      <c r="AQ40" s="266" t="n">
        <v>0.5659999999999999</v>
      </c>
      <c r="AR40" s="266" t="n">
        <v>0.58</v>
      </c>
      <c r="AS40" s="266" t="n">
        <v>0.605</v>
      </c>
      <c r="AT40" s="266" t="n">
        <v>0.64</v>
      </c>
      <c r="AU40" s="266" t="n">
        <v>0.642</v>
      </c>
      <c r="AV40" s="266" t="n">
        <v>0.483</v>
      </c>
      <c r="AW40" s="266" t="n">
        <v>0.597</v>
      </c>
      <c r="AX40" s="266" t="n">
        <v>0.677</v>
      </c>
      <c r="AY40" s="266" t="n">
        <v>0.663</v>
      </c>
      <c r="AZ40" s="266" t="n">
        <v>0.6</v>
      </c>
      <c r="BA40" s="266" t="n">
        <v>0.536</v>
      </c>
      <c r="BB40" s="266" t="n">
        <v>0.622</v>
      </c>
      <c r="BC40" s="266" t="n">
        <v>0.586</v>
      </c>
      <c r="BD40" s="266" t="n">
        <v>0.554</v>
      </c>
      <c r="BE40" s="266" t="n">
        <v>0.457</v>
      </c>
      <c r="BF40" s="266" t="n">
        <v>0.441</v>
      </c>
      <c r="BG40" s="266" t="n">
        <v>0.518</v>
      </c>
      <c r="BH40" s="266" t="n">
        <v>0.5679999999999999</v>
      </c>
      <c r="BI40" s="266" t="n">
        <v>0.5590000000000001</v>
      </c>
      <c r="BJ40" s="266" t="n">
        <v>0.532</v>
      </c>
      <c r="BK40" s="266" t="n">
        <v>0.519</v>
      </c>
      <c r="BL40" s="266" t="n">
        <v>0.545</v>
      </c>
      <c r="BM40" s="266" t="n">
        <v>0.646</v>
      </c>
      <c r="BN40" s="266" t="n">
        <v>0.632</v>
      </c>
      <c r="BO40" s="266" t="n">
        <v>0.596</v>
      </c>
      <c r="BP40" s="266" t="n">
        <v>0.513</v>
      </c>
      <c r="BQ40" s="266" t="n">
        <v>0.601</v>
      </c>
      <c r="BR40" s="266" t="n">
        <v>0.66</v>
      </c>
      <c r="BS40" s="266" t="n">
        <v>0.642</v>
      </c>
      <c r="BT40" s="266" t="n">
        <v>0.652</v>
      </c>
      <c r="BU40" s="266" t="n">
        <v>0.585</v>
      </c>
      <c r="BV40" s="266" t="n">
        <v>0.636</v>
      </c>
      <c r="BW40" s="266" t="n">
        <v>0.667</v>
      </c>
      <c r="BX40" s="266" t="n">
        <v>0.6830000000000001</v>
      </c>
      <c r="BY40" s="153" t="n"/>
      <c r="BZ40" s="153" t="n"/>
      <c r="CA40" s="153" t="n"/>
      <c r="CB40" s="153" t="n"/>
      <c r="CC40" s="153" t="n"/>
      <c r="CD40" s="153" t="n"/>
      <c r="CE40" s="153" t="n"/>
      <c r="CF40" s="153" t="n"/>
      <c r="CN40" s="25" t="inlineStr">
        <is>
          <t xml:space="preserve">  2029E</t>
        </is>
      </c>
      <c r="CO40" s="33">
        <f>CP40+$CO$37</f>
        <v>0.09</v>
      </c>
      <c r="CP40" s="42" t="n">
        <v>0.06</v>
      </c>
      <c r="CQ40" s="33">
        <f>CP40+$CQ$37</f>
        <v>0.01</v>
      </c>
    </row>
    <row r="41" ht="15" customHeight="1" s="251">
      <c r="B41" s="25" t="inlineStr">
        <is>
          <t xml:space="preserve">  Incremental Adjusted Operating Margin (Δ AOI / Δ total revenue)</t>
        </is>
      </c>
      <c r="C41" s="36" t="n"/>
      <c r="D41" s="215">
        <f>IFERROR((D37-C37)/(D36-C36),"")</f>
      </c>
      <c r="E41" s="215">
        <f>IFERROR((E37-D37)/(E36-D36),"")</f>
      </c>
      <c r="F41" s="215">
        <f>IFERROR((F37-E37)/(F36-E36),"")</f>
        <v>0</v>
      </c>
      <c r="G41" s="215">
        <f>IFERROR((G37-F37)/(G36-F36),"")</f>
        <v>0</v>
      </c>
      <c r="H41" s="215">
        <f>IFERROR((H37-G37)/(H36-G36),"")</f>
        <v>0</v>
      </c>
      <c r="I41" s="215">
        <f>IFERROR((I37-H37)/(I36-H36),"")</f>
        <v>3.06304079110012</v>
      </c>
      <c r="J41" s="36" t="n"/>
      <c r="K41" s="36" t="n"/>
      <c r="L41" s="36" t="n"/>
      <c r="M41" s="36" t="n"/>
      <c r="N41" s="215">
        <f>IFERROR((N37-I37)/(N36-I36),"")</f>
        <v>0.691151919866444</v>
      </c>
      <c r="O41" s="215">
        <f>IFERROR((O37-J37)/(O36-J36),"")</f>
        <v>6.36111111111107</v>
      </c>
      <c r="P41" s="215">
        <f>IFERROR((P37-K37)/(P36-K36),"")</f>
        <v>0.625429553264604</v>
      </c>
      <c r="Q41" s="215">
        <f>IFERROR((Q37-L37)/(Q36-L36),"")</f>
        <v>0.627769571639588</v>
      </c>
      <c r="R41" s="215">
        <f>IFERROR((R37-M37)/(R36-M36),"")</f>
        <v>0.394431554524362</v>
      </c>
      <c r="S41" s="215">
        <f>IFERROR((S37-N37)/(S36-N36),"")</f>
        <v>0.751160631383472</v>
      </c>
      <c r="T41" s="215">
        <f>IFERROR((T37-O37)/(T36-O36),"")</f>
        <v>0.539456662354464</v>
      </c>
      <c r="U41" s="215">
        <f>IFERROR((U37-P37)/(U36-P36),"")</f>
        <v>0.062176165803108</v>
      </c>
      <c r="V41" s="215">
        <f>IFERROR((V37-Q37)/(V36-Q36),"")</f>
        <v>-0.177419354838709</v>
      </c>
      <c r="W41" s="215">
        <f>IFERROR((W37-R37)/(W36-R36),"")</f>
        <v>0.527173913043478</v>
      </c>
      <c r="X41" s="215">
        <f>IFERROR((X37-S37)/(X36-S36),"")</f>
        <v>0.406460296096904</v>
      </c>
      <c r="Y41" s="215">
        <f>IFERROR((Y37-T37)/(Y36-T36),"")</f>
        <v>0.964238410596027</v>
      </c>
      <c r="Z41" s="215">
        <f>IFERROR((Z37-U37)/(Z36-U36),"")</f>
        <v>0.551181102362198</v>
      </c>
      <c r="AA41" s="215">
        <f>IFERROR((AA37-V37)/(AA36-V36),"")</f>
        <v>0.928787878787879</v>
      </c>
      <c r="AB41" s="215">
        <f>IFERROR((AB37-W37)/(AB36-W36),"")</f>
        <v>0.97557251908397</v>
      </c>
      <c r="AC41" s="215">
        <f>IFERROR((AC37-X37)/(AC36-X36),"")</f>
        <v>1.10854503464205</v>
      </c>
      <c r="AD41" s="215">
        <f>IFERROR((AD37-Y37)/(AD36-Y36),"")</f>
        <v>0.93314955203308</v>
      </c>
      <c r="AE41" s="215">
        <f>IFERROR((AE37-Z37)/(AE36-Z36),"")</f>
        <v>0.840944881889763</v>
      </c>
      <c r="AF41" s="215">
        <f>IFERROR((AF37-AA37)/(AF36-AA36),"")</f>
        <v>0.457943925233645</v>
      </c>
      <c r="AG41" s="215">
        <f>IFERROR((AG37-AB37)/(AG36-AB36),"")</f>
        <v>0.480465502909393</v>
      </c>
      <c r="AH41" s="215">
        <f>IFERROR((AH37-AC37)/(AH36-AC36),"")</f>
        <v>0.683232810615198</v>
      </c>
      <c r="AI41" s="215">
        <f>IFERROR((AI37-AD37)/(AI36-AD36),"")</f>
        <v>0.601801801801802</v>
      </c>
      <c r="AJ41" s="215">
        <f>IFERROR((AJ37-AE37)/(AJ36-AE36),"")</f>
        <v>0.823699421965317</v>
      </c>
      <c r="AK41" s="215">
        <f>IFERROR((AK37-AF37)/(AK36-AF36),"")</f>
        <v>0.326923076923077</v>
      </c>
      <c r="AL41" s="215">
        <f>IFERROR((AL37-AG37)/(AL36-AG36),"")</f>
        <v>0.443307086614172</v>
      </c>
      <c r="AM41" s="215">
        <f>IFERROR((AM37-AH37)/(AM36-AH36),"")</f>
        <v>-0.382892057026477</v>
      </c>
      <c r="AN41" s="215">
        <f>IFERROR((AN37-AI37)/(AN36-AI36),"")</f>
        <v>1.13530655391121</v>
      </c>
      <c r="AO41" s="215">
        <f>IFERROR((AO37-AJ37)/(AO36-AJ36),"")</f>
        <v>1.29565217391305</v>
      </c>
      <c r="AP41" s="215">
        <f>IFERROR((AP37-AK37)/(AP36-AK36),"")</f>
        <v>0.761722488038279</v>
      </c>
      <c r="AQ41" s="215">
        <f>IFERROR((AQ37-AL37)/(AQ36-AL36),"")</f>
        <v>0.602664576802508</v>
      </c>
      <c r="AR41" s="215">
        <f>IFERROR((AR37-AM37)/(AR36-AM36),"")</f>
        <v>0.507531865585166</v>
      </c>
      <c r="AS41" s="215">
        <f>IFERROR((AS37-AN37)/(AS36-AN36),"")</f>
        <v>0.912908242612752</v>
      </c>
      <c r="AT41" s="215">
        <f>IFERROR((AT37-AO37)/(AT36-AO36),"")</f>
        <v>0.78670634920635</v>
      </c>
      <c r="AU41" s="215">
        <f>IFERROR((AU37-AP37)/(AU36-AP36),"")</f>
        <v>1.04384896467722</v>
      </c>
      <c r="AV41" s="215">
        <f>IFERROR((AV37-AQ37)/(AV36-AQ36),"")</f>
        <v>-3</v>
      </c>
      <c r="AW41" s="215">
        <f>IFERROR((AW37-AR37)/(AW36-AR36),"")</f>
        <v>0.71461716937355</v>
      </c>
      <c r="AX41" s="215">
        <f>IFERROR((AX37-AS37)/(AX36-AS36),"")</f>
        <v>0.918367346938776</v>
      </c>
      <c r="AY41" s="215">
        <f>IFERROR((AY37-AT37)/(AY36-AT36),"")</f>
        <v>1.12244897959184</v>
      </c>
      <c r="AZ41" s="215">
        <f>IFERROR((AZ37-AU37)/(AZ36-AU36),"")</f>
        <v>0.25</v>
      </c>
      <c r="BA41" s="215">
        <f>IFERROR((BA37-AV37)/(BA36-AV36),"")</f>
        <v>0.83453237410072</v>
      </c>
      <c r="BB41" s="215">
        <f>IFERROR((BB37-AW37)/(BB36-AW36),"")</f>
        <v>0.783985102420857</v>
      </c>
      <c r="BC41" s="215">
        <f>IFERROR((BC37-AX37)/(BC36-AX36),"")</f>
        <v>1.05825242718447</v>
      </c>
      <c r="BD41" s="215">
        <f>IFERROR((BD37-AY37)/(BD36-AY36),"")</f>
        <v>0.963369963369963</v>
      </c>
      <c r="BE41" s="215">
        <f>IFERROR((BE37-AZ37)/(BE36-AZ36),"")</f>
        <v>0.87125748502994</v>
      </c>
      <c r="BF41" s="215">
        <f>IFERROR((BF37-BA37)/(BF36-BA36),"")</f>
        <v>0.738831615120275</v>
      </c>
      <c r="BG41" s="215">
        <f>IFERROR((BG37-BB37)/(BG36-BB36),"")</f>
        <v>0.893115942028986</v>
      </c>
      <c r="BH41" s="215">
        <f>IFERROR((BH37-BC37)/(BH36-BC36),"")</f>
        <v>0.739130434782609</v>
      </c>
      <c r="BI41" s="215">
        <f>IFERROR((BI37-BD37)/(BI36-BD36),"")</f>
        <v>0.636363636363636</v>
      </c>
      <c r="BJ41" s="215">
        <f>IFERROR((BJ37-BE37)/(BJ36-BE36),"")</f>
        <v>0.963636363636364</v>
      </c>
      <c r="BK41" s="215">
        <f>IFERROR((BK37-BF37)/(BK36-BF36),"")</f>
        <v>0.954954954954955</v>
      </c>
      <c r="BL41" s="215">
        <f>IFERROR((BL37-BG37)/(BL36-BG36),"")</f>
        <v>0.994219653179191</v>
      </c>
      <c r="BM41" s="215">
        <f>IFERROR((BM37-BH37)/(BM36-BH36),"")</f>
        <v>0.8828125</v>
      </c>
      <c r="BN41" s="215">
        <f>IFERROR((BN37-BI37)/(BN36-BI36),"")</f>
        <v>0.845018450184502</v>
      </c>
      <c r="BO41" s="215">
        <f>IFERROR((BO37-BJ37)/(BO36-BJ36),"")</f>
        <v>0.763066202090592</v>
      </c>
      <c r="BP41" s="215">
        <f>IFERROR((BP37-BK37)/(BP36-BK36),"")</f>
        <v>0.476190476190476</v>
      </c>
      <c r="BQ41" s="215">
        <f>IFERROR((BQ37-BL37)/(BQ36-BL36),"")</f>
        <v>0.780851063829787</v>
      </c>
      <c r="BR41" s="215">
        <f>IFERROR((BR37-BM37)/(BR36-BM36),"")</f>
        <v>0.8375</v>
      </c>
      <c r="BS41" s="215">
        <f>IFERROR((BS37-BN37)/(BS36-BN36),"")</f>
        <v>-2</v>
      </c>
      <c r="BT41" s="215">
        <f>IFERROR((BT37-BO37)/(BT36-BO36),"")</f>
        <v>1.14406779661017</v>
      </c>
      <c r="BU41" s="215">
        <f>IFERROR((BU37-BP37)/(BU36-BP36),"")</f>
        <v>1.03649635036496</v>
      </c>
      <c r="BV41" s="215">
        <f>IFERROR((BV37-BQ37)/(BV36-BQ36),"")</f>
        <v>1.06344410876133</v>
      </c>
      <c r="BW41" s="215">
        <f>IFERROR((BW37-BR37)/(BW36-BR36),"")</f>
        <v>0.755555555555556</v>
      </c>
      <c r="BX41" s="215">
        <f>IFERROR((BX37-BS37)/(BX36-BS36),"")</f>
        <v>0.857142857142857</v>
      </c>
      <c r="BY41" s="256">
        <f>IFERROR((BY37-BT37)/(BY36-BT36),"")</f>
        <v>-0.0392576381925859</v>
      </c>
      <c r="BZ41" s="256">
        <f>IFERROR((BZ37-BU37)/(BZ36-BU36),"")</f>
        <v>0.216067615971777</v>
      </c>
      <c r="CA41" s="256">
        <f>IFERROR((CA37-BV37)/(CA36-BV36),"")</f>
        <v>0.876025237865528</v>
      </c>
      <c r="CB41" s="256">
        <f>IFERROR((CB37-CA37)/(CB36-CA36),"")</f>
        <v>0.690632964794648</v>
      </c>
      <c r="CC41" s="256">
        <f>IFERROR((CC37-CB37)/(CC36-CB36),"")</f>
        <v>0.749622451378832</v>
      </c>
      <c r="CD41" s="256">
        <f>IFERROR((CD37-CC37)/(CD36-CC36),"")</f>
        <v>0.757261516358631</v>
      </c>
      <c r="CE41" s="256">
        <f>IFERROR((CE37-CD37)/(CE36-CD36),"")</f>
        <v>0.772390128278661</v>
      </c>
      <c r="CF41" s="153" t="n"/>
      <c r="CN41" s="25" t="inlineStr">
        <is>
          <t xml:space="preserve">  2030E</t>
        </is>
      </c>
      <c r="CO41" s="33">
        <f>CP41+$CO$37</f>
        <v>0.08</v>
      </c>
      <c r="CP41" s="42" t="n">
        <v>0.05</v>
      </c>
      <c r="CQ41" s="33">
        <f>CP41+$CQ$37</f>
        <v>0</v>
      </c>
    </row>
    <row r="42" ht="15" customHeight="1" s="251">
      <c r="CN42" s="15" t="inlineStr">
        <is>
          <t>MIS_SFG (Structured Finance y/y)</t>
        </is>
      </c>
      <c r="CO42" s="41" t="n">
        <v>0.03</v>
      </c>
      <c r="CP42" s="21" t="inlineStr">
        <is>
          <t>Δ →</t>
        </is>
      </c>
      <c r="CQ42" s="41" t="n">
        <v>-0.05</v>
      </c>
      <c r="CR42" s="13" t="inlineStr">
        <is>
          <t>1H26 +5%; private credit / CLO / ABS growth vs CMBS cyclicality.</t>
        </is>
      </c>
    </row>
    <row r="43" ht="15" customHeight="1" s="251">
      <c r="B43" s="14" t="inlineStr">
        <is>
          <t>Moody's Analytics (data, research, analytics and software; recurring subscription / SaaS)</t>
        </is>
      </c>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c r="AD43" s="14" t="n"/>
      <c r="AE43" s="14" t="n"/>
      <c r="AF43" s="14" t="n"/>
      <c r="AG43" s="14" t="n"/>
      <c r="AH43" s="14" t="n"/>
      <c r="AI43" s="14" t="n"/>
      <c r="AJ43" s="14" t="n"/>
      <c r="AK43" s="14" t="n"/>
      <c r="AL43" s="14" t="n"/>
      <c r="AM43" s="14" t="n"/>
      <c r="AN43" s="14" t="n"/>
      <c r="AO43" s="14" t="n"/>
      <c r="AP43" s="14" t="n"/>
      <c r="AQ43" s="14" t="n"/>
      <c r="AR43" s="14" t="n"/>
      <c r="AS43" s="14" t="n"/>
      <c r="AT43" s="14" t="n"/>
      <c r="AU43" s="14" t="n"/>
      <c r="AV43" s="14" t="n"/>
      <c r="AW43" s="14" t="n"/>
      <c r="AX43" s="14" t="n"/>
      <c r="AY43" s="14" t="n"/>
      <c r="AZ43" s="14" t="n"/>
      <c r="BA43" s="14" t="n"/>
      <c r="BB43" s="14" t="n"/>
      <c r="BC43" s="14" t="n"/>
      <c r="BD43" s="14" t="n"/>
      <c r="BE43" s="14" t="n"/>
      <c r="BF43" s="14" t="n"/>
      <c r="BG43" s="14" t="n"/>
      <c r="BH43" s="14" t="n"/>
      <c r="BI43" s="14" t="n"/>
      <c r="BJ43" s="14" t="n"/>
      <c r="BK43" s="14" t="n"/>
      <c r="BL43" s="14" t="n"/>
      <c r="BM43" s="14" t="n"/>
      <c r="BN43" s="14" t="n"/>
      <c r="BO43" s="14" t="n"/>
      <c r="BP43" s="14" t="n"/>
      <c r="BQ43" s="14" t="n"/>
      <c r="BR43" s="14" t="n"/>
      <c r="BS43" s="14" t="n"/>
      <c r="BT43" s="14" t="n"/>
      <c r="BU43" s="14" t="n"/>
      <c r="BV43" s="14" t="n"/>
      <c r="BW43" s="14" t="n"/>
      <c r="BX43" s="14" t="n"/>
      <c r="BY43" s="14" t="n"/>
      <c r="BZ43" s="14" t="n"/>
      <c r="CA43" s="14" t="n"/>
      <c r="CB43" s="14" t="n"/>
      <c r="CC43" s="14" t="n"/>
      <c r="CD43" s="14" t="n"/>
      <c r="CE43" s="14" t="n"/>
      <c r="CF43" s="15" t="inlineStr">
        <is>
          <t>MA — modelling logic</t>
        </is>
      </c>
      <c r="CN43" s="25" t="inlineStr">
        <is>
          <t xml:space="preserve">  2027E</t>
        </is>
      </c>
      <c r="CO43" s="33">
        <f>CP43+$CO$42</f>
        <v>0.08</v>
      </c>
      <c r="CP43" s="42" t="n">
        <v>0.05</v>
      </c>
      <c r="CQ43" s="33">
        <f>CP43+$CQ$42</f>
        <v>0</v>
      </c>
    </row>
    <row r="44" ht="15" customHeight="1" s="251">
      <c r="B44" s="25" t="inlineStr">
        <is>
          <t xml:space="preserve">  Decision Solutions — Banking</t>
        </is>
      </c>
      <c r="C44" s="34" t="n"/>
      <c r="D44" s="34" t="n"/>
      <c r="E44" s="34" t="n"/>
      <c r="F44" s="34" t="n"/>
      <c r="G44" s="34" t="n"/>
      <c r="H44" s="34" t="n"/>
      <c r="I44" s="34" t="n"/>
      <c r="J44" s="34" t="n"/>
      <c r="K44" s="34" t="n"/>
      <c r="L44" s="34" t="n"/>
      <c r="M44" s="34" t="n"/>
      <c r="N44" s="34" t="n"/>
      <c r="O44" s="34" t="n"/>
      <c r="P44" s="34" t="n"/>
      <c r="Q44" s="34" t="n"/>
      <c r="R44" s="34" t="n"/>
      <c r="S44" s="34" t="n"/>
      <c r="T44" s="34" t="n"/>
      <c r="U44" s="34" t="n"/>
      <c r="V44" s="34" t="n"/>
      <c r="W44" s="34" t="n"/>
      <c r="X44" s="34" t="n"/>
      <c r="Y44" s="34" t="n"/>
      <c r="Z44" s="34" t="n"/>
      <c r="AA44" s="34" t="n"/>
      <c r="AB44" s="34" t="n"/>
      <c r="AC44" s="34" t="n"/>
      <c r="AD44" s="34" t="n"/>
      <c r="AE44" s="34" t="n"/>
      <c r="AF44" s="34" t="n"/>
      <c r="AG44" s="34" t="n"/>
      <c r="AH44" s="34" t="n"/>
      <c r="AI44" s="34" t="n"/>
      <c r="AJ44" s="34" t="n"/>
      <c r="AK44" s="34" t="n"/>
      <c r="AL44" s="34" t="n"/>
      <c r="AM44" s="34" t="n"/>
      <c r="AN44" s="34" t="n"/>
      <c r="AO44" s="34" t="n"/>
      <c r="AP44" s="34" t="n"/>
      <c r="AQ44" s="34" t="n"/>
      <c r="AR44" s="34" t="n"/>
      <c r="AS44" s="34" t="n"/>
      <c r="AT44" s="34" t="n"/>
      <c r="AU44" s="34" t="n"/>
      <c r="AV44" s="34" t="n"/>
      <c r="AW44" s="34" t="n"/>
      <c r="AX44" s="34" t="n"/>
      <c r="AY44" s="34" t="n"/>
      <c r="AZ44" s="34" t="n"/>
      <c r="BA44" s="34" t="n"/>
      <c r="BB44" s="34" t="n"/>
      <c r="BC44" s="34" t="n"/>
      <c r="BD44" s="34" t="n"/>
      <c r="BE44" s="34" t="n"/>
      <c r="BF44" s="34" t="n"/>
      <c r="BG44" s="34" t="n"/>
      <c r="BH44" s="34" t="n"/>
      <c r="BI44" s="253" t="n">
        <v>123</v>
      </c>
      <c r="BJ44" s="253" t="n">
        <v>136</v>
      </c>
      <c r="BK44" s="34" t="n"/>
      <c r="BL44" s="253" t="n">
        <v>521</v>
      </c>
      <c r="BM44" s="253" t="n">
        <v>134</v>
      </c>
      <c r="BN44" s="253" t="n">
        <v>131</v>
      </c>
      <c r="BO44" s="253" t="n">
        <v>140</v>
      </c>
      <c r="BP44" s="253" t="n">
        <v>146</v>
      </c>
      <c r="BQ44" s="253" t="n">
        <v>551</v>
      </c>
      <c r="BR44" s="253" t="n">
        <v>141</v>
      </c>
      <c r="BS44" s="253" t="n">
        <v>138</v>
      </c>
      <c r="BT44" s="253" t="n">
        <v>140</v>
      </c>
      <c r="BU44" s="253" t="n">
        <v>150</v>
      </c>
      <c r="BV44" s="253" t="n">
        <v>569</v>
      </c>
      <c r="BW44" s="253" t="n">
        <v>133</v>
      </c>
      <c r="BX44" s="253" t="n">
        <v>119</v>
      </c>
      <c r="BY44" s="254">
        <f>BT44*(1+BY45)</f>
        <v>123.721627735809</v>
      </c>
      <c r="BZ44" s="254">
        <f>BU44*(1+BZ45)</f>
        <v>132.558886859795</v>
      </c>
      <c r="CA44" s="254">
        <f>SUM(BW44:BZ44)</f>
        <v>508.280514595604</v>
      </c>
      <c r="CB44" s="254">
        <f>CA44*(1+CB45)</f>
        <v>543.860150617297</v>
      </c>
      <c r="CC44" s="254">
        <f>CB44*(1+CC45)</f>
        <v>581.930361160508</v>
      </c>
      <c r="CD44" s="254">
        <f>CC44*(1+CD45)</f>
        <v>616.846182830138</v>
      </c>
      <c r="CE44" s="254">
        <f>CD44*(1+CE45)</f>
        <v>653.856953799946</v>
      </c>
      <c r="CF44" s="19" t="inlineStr">
        <is>
          <t>External revenue by line as originally reported in each release. Q3/Q4-26E: prior-year quarter × (1 + growth). 2027E+: prior year × (1 + scenario lever).</t>
        </is>
      </c>
      <c r="CH44" s="20">
        <f>IFERROR((CE44/BV44)^(1/5)-1,"n/m")</f>
        <v>0.0281917055716481</v>
      </c>
      <c r="CI44" s="20" t="str">
        <f>IFERROR((BV44/AW44)^(1/5)-1,"n/m")</f>
        <v>n/m</v>
      </c>
      <c r="CJ44" s="20" t="str">
        <f>IFERROR((BV44/X44)^(1/10)-1,"n/m")</f>
        <v>n/m</v>
      </c>
      <c r="CK44" s="20" t="str">
        <f>IFERROR((BV44/C44)^(1/19)-1,"n/m")</f>
        <v>n/m</v>
      </c>
      <c r="CN44" s="25" t="inlineStr">
        <is>
          <t xml:space="preserve">  2028E</t>
        </is>
      </c>
      <c r="CO44" s="33">
        <f>CP44+$CO$42</f>
        <v>0.07</v>
      </c>
      <c r="CP44" s="42" t="n">
        <v>0.04</v>
      </c>
      <c r="CQ44" s="33">
        <f>CP44+$CQ$42</f>
        <v>-0.01</v>
      </c>
    </row>
    <row r="45" ht="15" customHeight="1" s="251">
      <c r="B45" s="22" t="inlineStr">
        <is>
          <t xml:space="preserve">    y/y %</t>
        </is>
      </c>
      <c r="D45" s="255">
        <f>IF(AND(ISNUMBER(D44),ISNUMBER(C44)),IFERROR(D44/C44-1,""),"")</f>
      </c>
      <c r="E45" s="255">
        <f>IF(AND(ISNUMBER(E44),ISNUMBER(D44)),IFERROR(E44/D44-1,""),"")</f>
      </c>
      <c r="F45" s="255">
        <f>IF(AND(ISNUMBER(F44),ISNUMBER(E44)),IFERROR(F44/E44-1,""),"")</f>
      </c>
      <c r="G45" s="255">
        <f>IF(AND(ISNUMBER(G44),ISNUMBER(F44)),IFERROR(G44/F44-1,""),"")</f>
      </c>
      <c r="H45" s="255">
        <f>IF(AND(ISNUMBER(H44),ISNUMBER(G44)),IFERROR(H44/G44-1,""),"")</f>
      </c>
      <c r="I45" s="255">
        <f>IF(AND(ISNUMBER(I44),ISNUMBER(H44)),IFERROR(I44/H44-1,""),"")</f>
      </c>
      <c r="N45" s="255">
        <f>IF(AND(ISNUMBER(N44),ISNUMBER(I44)),IFERROR(N44/I44-1,""),"")</f>
      </c>
      <c r="O45" s="255">
        <f>IF(AND(ISNUMBER(O44),ISNUMBER(J44)),IFERROR(O44/J44-1,""),"")</f>
      </c>
      <c r="P45" s="255">
        <f>IF(AND(ISNUMBER(P44),ISNUMBER(K44)),IFERROR(P44/K44-1,""),"")</f>
      </c>
      <c r="Q45" s="255">
        <f>IF(AND(ISNUMBER(Q44),ISNUMBER(L44)),IFERROR(Q44/L44-1,""),"")</f>
      </c>
      <c r="R45" s="255">
        <f>IF(AND(ISNUMBER(R44),ISNUMBER(M44)),IFERROR(R44/M44-1,""),"")</f>
      </c>
      <c r="S45" s="255">
        <f>IF(AND(ISNUMBER(S44),ISNUMBER(N44)),IFERROR(S44/N44-1,""),"")</f>
      </c>
      <c r="T45" s="255">
        <f>IF(AND(ISNUMBER(T44),ISNUMBER(O44)),IFERROR(T44/O44-1,""),"")</f>
      </c>
      <c r="U45" s="255">
        <f>IF(AND(ISNUMBER(U44),ISNUMBER(P44)),IFERROR(U44/P44-1,""),"")</f>
      </c>
      <c r="V45" s="255">
        <f>IF(AND(ISNUMBER(V44),ISNUMBER(Q44)),IFERROR(V44/Q44-1,""),"")</f>
      </c>
      <c r="W45" s="255">
        <f>IF(AND(ISNUMBER(W44),ISNUMBER(R44)),IFERROR(W44/R44-1,""),"")</f>
      </c>
      <c r="X45" s="255">
        <f>IF(AND(ISNUMBER(X44),ISNUMBER(S44)),IFERROR(X44/S44-1,""),"")</f>
      </c>
      <c r="Y45" s="255">
        <f>IF(AND(ISNUMBER(Y44),ISNUMBER(T44)),IFERROR(Y44/T44-1,""),"")</f>
      </c>
      <c r="Z45" s="255">
        <f>IF(AND(ISNUMBER(Z44),ISNUMBER(U44)),IFERROR(Z44/U44-1,""),"")</f>
      </c>
      <c r="AA45" s="255">
        <f>IF(AND(ISNUMBER(AA44),ISNUMBER(V44)),IFERROR(AA44/V44-1,""),"")</f>
      </c>
      <c r="AB45" s="255">
        <f>IF(AND(ISNUMBER(AB44),ISNUMBER(W44)),IFERROR(AB44/W44-1,""),"")</f>
      </c>
      <c r="AC45" s="255">
        <f>IF(AND(ISNUMBER(AC44),ISNUMBER(X44)),IFERROR(AC44/X44-1,""),"")</f>
      </c>
      <c r="AD45" s="255">
        <f>IF(AND(ISNUMBER(AD44),ISNUMBER(Y44)),IFERROR(AD44/Y44-1,""),"")</f>
      </c>
      <c r="AE45" s="255">
        <f>IF(AND(ISNUMBER(AE44),ISNUMBER(Z44)),IFERROR(AE44/Z44-1,""),"")</f>
      </c>
      <c r="AF45" s="255">
        <f>IF(AND(ISNUMBER(AF44),ISNUMBER(AA44)),IFERROR(AF44/AA44-1,""),"")</f>
      </c>
      <c r="AG45" s="255">
        <f>IF(AND(ISNUMBER(AG44),ISNUMBER(AB44)),IFERROR(AG44/AB44-1,""),"")</f>
      </c>
      <c r="AH45" s="255">
        <f>IF(AND(ISNUMBER(AH44),ISNUMBER(AC44)),IFERROR(AH44/AC44-1,""),"")</f>
      </c>
      <c r="AI45" s="255">
        <f>IF(AND(ISNUMBER(AI44),ISNUMBER(AD44)),IFERROR(AI44/AD44-1,""),"")</f>
      </c>
      <c r="AJ45" s="255">
        <f>IF(AND(ISNUMBER(AJ44),ISNUMBER(AE44)),IFERROR(AJ44/AE44-1,""),"")</f>
      </c>
      <c r="AK45" s="255">
        <f>IF(AND(ISNUMBER(AK44),ISNUMBER(AF44)),IFERROR(AK44/AF44-1,""),"")</f>
      </c>
      <c r="AL45" s="255">
        <f>IF(AND(ISNUMBER(AL44),ISNUMBER(AG44)),IFERROR(AL44/AG44-1,""),"")</f>
      </c>
      <c r="AM45" s="255">
        <f>IF(AND(ISNUMBER(AM44),ISNUMBER(AH44)),IFERROR(AM44/AH44-1,""),"")</f>
      </c>
      <c r="AN45" s="255">
        <f>IF(AND(ISNUMBER(AN44),ISNUMBER(AI44)),IFERROR(AN44/AI44-1,""),"")</f>
      </c>
      <c r="AO45" s="255">
        <f>IF(AND(ISNUMBER(AO44),ISNUMBER(AJ44)),IFERROR(AO44/AJ44-1,""),"")</f>
      </c>
      <c r="AP45" s="255">
        <f>IF(AND(ISNUMBER(AP44),ISNUMBER(AK44)),IFERROR(AP44/AK44-1,""),"")</f>
      </c>
      <c r="AQ45" s="255">
        <f>IF(AND(ISNUMBER(AQ44),ISNUMBER(AL44)),IFERROR(AQ44/AL44-1,""),"")</f>
      </c>
      <c r="AR45" s="255">
        <f>IF(AND(ISNUMBER(AR44),ISNUMBER(AM44)),IFERROR(AR44/AM44-1,""),"")</f>
      </c>
      <c r="AS45" s="255">
        <f>IF(AND(ISNUMBER(AS44),ISNUMBER(AN44)),IFERROR(AS44/AN44-1,""),"")</f>
      </c>
      <c r="AT45" s="255">
        <f>IF(AND(ISNUMBER(AT44),ISNUMBER(AO44)),IFERROR(AT44/AO44-1,""),"")</f>
      </c>
      <c r="AU45" s="255">
        <f>IF(AND(ISNUMBER(AU44),ISNUMBER(AP44)),IFERROR(AU44/AP44-1,""),"")</f>
      </c>
      <c r="AV45" s="255">
        <f>IF(AND(ISNUMBER(AV44),ISNUMBER(AQ44)),IFERROR(AV44/AQ44-1,""),"")</f>
      </c>
      <c r="AW45" s="255">
        <f>IF(AND(ISNUMBER(AW44),ISNUMBER(AR44)),IFERROR(AW44/AR44-1,""),"")</f>
      </c>
      <c r="AX45" s="255">
        <f>IF(AND(ISNUMBER(AX44),ISNUMBER(AS44)),IFERROR(AX44/AS44-1,""),"")</f>
      </c>
      <c r="AY45" s="255">
        <f>IF(AND(ISNUMBER(AY44),ISNUMBER(AT44)),IFERROR(AY44/AT44-1,""),"")</f>
      </c>
      <c r="AZ45" s="255">
        <f>IF(AND(ISNUMBER(AZ44),ISNUMBER(AU44)),IFERROR(AZ44/AU44-1,""),"")</f>
      </c>
      <c r="BA45" s="255">
        <f>IF(AND(ISNUMBER(BA44),ISNUMBER(AV44)),IFERROR(BA44/AV44-1,""),"")</f>
      </c>
      <c r="BB45" s="255">
        <f>IF(AND(ISNUMBER(BB44),ISNUMBER(AW44)),IFERROR(BB44/AW44-1,""),"")</f>
      </c>
      <c r="BC45" s="255">
        <f>IF(AND(ISNUMBER(BC44),ISNUMBER(AX44)),IFERROR(BC44/AX44-1,""),"")</f>
      </c>
      <c r="BD45" s="255">
        <f>IF(AND(ISNUMBER(BD44),ISNUMBER(AY44)),IFERROR(BD44/AY44-1,""),"")</f>
      </c>
      <c r="BE45" s="255">
        <f>IF(AND(ISNUMBER(BE44),ISNUMBER(AZ44)),IFERROR(BE44/AZ44-1,""),"")</f>
      </c>
      <c r="BF45" s="255">
        <f>IF(AND(ISNUMBER(BF44),ISNUMBER(BA44)),IFERROR(BF44/BA44-1,""),"")</f>
      </c>
      <c r="BG45" s="255">
        <f>IF(AND(ISNUMBER(BG44),ISNUMBER(BB44)),IFERROR(BG44/BB44-1,""),"")</f>
      </c>
      <c r="BH45" s="255">
        <f>IF(AND(ISNUMBER(BH44),ISNUMBER(BC44)),IFERROR(BH44/BC44-1,""),"")</f>
      </c>
      <c r="BI45" s="255">
        <f>IF(AND(ISNUMBER(BI44),ISNUMBER(BD44)),IFERROR(BI44/BD44-1,""),"")</f>
      </c>
      <c r="BJ45" s="255">
        <f>IF(AND(ISNUMBER(BJ44),ISNUMBER(BE44)),IFERROR(BJ44/BE44-1,""),"")</f>
      </c>
      <c r="BK45" s="255">
        <f>IF(AND(ISNUMBER(BK44),ISNUMBER(BF44)),IFERROR(BK44/BF44-1,""),"")</f>
      </c>
      <c r="BL45" s="255">
        <f>IF(AND(ISNUMBER(BL44),ISNUMBER(BG44)),IFERROR(BL44/BG44-1,""),"")</f>
      </c>
      <c r="BM45" s="255">
        <f>IF(AND(ISNUMBER(BM44),ISNUMBER(BH44)),IFERROR(BM44/BH44-1,""),"")</f>
      </c>
      <c r="BN45" s="255">
        <f>IF(AND(ISNUMBER(BN44),ISNUMBER(BI44)),IFERROR(BN44/BI44-1,""),"")</f>
        <v>0.065040650406504</v>
      </c>
      <c r="BO45" s="255">
        <f>IF(AND(ISNUMBER(BO44),ISNUMBER(BJ44)),IFERROR(BO44/BJ44-1,""),"")</f>
        <v>0.0294117647058823</v>
      </c>
      <c r="BP45" s="255">
        <f>IF(AND(ISNUMBER(BP44),ISNUMBER(BK44)),IFERROR(BP44/BK44-1,""),"")</f>
      </c>
      <c r="BQ45" s="255">
        <f>IF(AND(ISNUMBER(BQ44),ISNUMBER(BL44)),IFERROR(BQ44/BL44-1,""),"")</f>
        <v>0.0575815738963532</v>
      </c>
      <c r="BR45" s="255">
        <f>IF(AND(ISNUMBER(BR44),ISNUMBER(BM44)),IFERROR(BR44/BM44-1,""),"")</f>
        <v>0.0522388059701493</v>
      </c>
      <c r="BS45" s="255">
        <f>IF(AND(ISNUMBER(BS44),ISNUMBER(BN44)),IFERROR(BS44/BN44-1,""),"")</f>
        <v>0.0534351145038168</v>
      </c>
      <c r="BT45" s="255">
        <f>IF(AND(ISNUMBER(BT44),ISNUMBER(BO44)),IFERROR(BT44/BO44-1,""),"")</f>
        <v>0</v>
      </c>
      <c r="BU45" s="255">
        <f>IF(AND(ISNUMBER(BU44),ISNUMBER(BP44)),IFERROR(BU44/BP44-1,""),"")</f>
        <v>0.0273972602739727</v>
      </c>
      <c r="BV45" s="255">
        <f>IF(AND(ISNUMBER(BV44),ISNUMBER(BQ44)),IFERROR(BV44/BQ44-1,""),"")</f>
        <v>0.0326678765880217</v>
      </c>
      <c r="BW45" s="255">
        <f>IF(AND(ISNUMBER(BW44),ISNUMBER(BR44)),IFERROR(BW44/BR44-1,""),"")</f>
        <v>-0.0567375886524822</v>
      </c>
      <c r="BX45" s="255">
        <f>IF(AND(ISNUMBER(BX44),ISNUMBER(BS44)),IFERROR(BX44/BS44-1,""),"")</f>
        <v>-0.13768115942029</v>
      </c>
      <c r="BY45" s="256">
        <f>BY46+$CA$125</f>
        <v>-0.116274087601364</v>
      </c>
      <c r="BZ45" s="256">
        <f>BZ46+$CA$125</f>
        <v>-0.116274087601364</v>
      </c>
      <c r="CA45" s="256">
        <f>IF(AND(ISNUMBER(CA44),ISNUMBER(BV44)),IFERROR(CA44/BV44-1,""),"")</f>
        <v>-0.106712628127233</v>
      </c>
      <c r="CB45" s="256">
        <f>CHOOSE(MATCH($CF$2,{"Bull","Base","Bear"},0),$CO$63,$CP$63,$CQ$63)</f>
        <v>0.07</v>
      </c>
      <c r="CC45" s="256">
        <f>CHOOSE(MATCH($CF$2,{"Bull","Base","Bear"},0),$CO$64,$CP$64,$CQ$64)</f>
        <v>0.07</v>
      </c>
      <c r="CD45" s="256">
        <f>CHOOSE(MATCH($CF$2,{"Bull","Base","Bear"},0),$CO$65,$CP$65,$CQ$65)</f>
        <v>0.06</v>
      </c>
      <c r="CE45" s="256">
        <f>CHOOSE(MATCH($CF$2,{"Bull","Base","Bear"},0),$CO$66,$CP$66,$CQ$66)</f>
        <v>0.06</v>
      </c>
      <c r="CF45" s="153" t="inlineStr">
        <is>
          <t>Q3/Q4-26E: 1H26 y/y growth of the line + MA revenue-guidance calibration Δ (Group block). 2027E–2030E: scenario lever (table →).</t>
        </is>
      </c>
      <c r="CN45" s="25" t="inlineStr">
        <is>
          <t xml:space="preserve">  2029E</t>
        </is>
      </c>
      <c r="CO45" s="33">
        <f>CP45+$CO$42</f>
        <v>0.07</v>
      </c>
      <c r="CP45" s="42" t="n">
        <v>0.04</v>
      </c>
      <c r="CQ45" s="33">
        <f>CP45+$CQ$42</f>
        <v>-0.01</v>
      </c>
    </row>
    <row r="46" ht="15" customHeight="1" s="251">
      <c r="B46" s="25" t="inlineStr">
        <is>
          <t xml:space="preserve">    Q3/Q4-26E growth before calibration (1H26 y/y)</t>
        </is>
      </c>
      <c r="C46" s="36"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c r="AA46" s="36" t="n"/>
      <c r="AB46" s="36" t="n"/>
      <c r="AC46" s="36" t="n"/>
      <c r="AD46" s="36" t="n"/>
      <c r="AE46" s="36" t="n"/>
      <c r="AF46" s="36" t="n"/>
      <c r="AG46" s="36" t="n"/>
      <c r="AH46" s="36" t="n"/>
      <c r="AI46" s="36" t="n"/>
      <c r="AJ46" s="36" t="n"/>
      <c r="AK46" s="36" t="n"/>
      <c r="AL46" s="36" t="n"/>
      <c r="AM46" s="36" t="n"/>
      <c r="AN46" s="36" t="n"/>
      <c r="AO46" s="36" t="n"/>
      <c r="AP46" s="36" t="n"/>
      <c r="AQ46" s="36" t="n"/>
      <c r="AR46" s="36" t="n"/>
      <c r="AS46" s="36" t="n"/>
      <c r="AT46" s="36" t="n"/>
      <c r="AU46" s="36" t="n"/>
      <c r="AV46" s="36" t="n"/>
      <c r="AW46" s="36" t="n"/>
      <c r="AX46" s="36" t="n"/>
      <c r="AY46" s="36" t="n"/>
      <c r="AZ46" s="36" t="n"/>
      <c r="BA46" s="36" t="n"/>
      <c r="BB46" s="36" t="n"/>
      <c r="BC46" s="36" t="n"/>
      <c r="BD46" s="36" t="n"/>
      <c r="BE46" s="36" t="n"/>
      <c r="BF46" s="36" t="n"/>
      <c r="BG46" s="36" t="n"/>
      <c r="BH46" s="36" t="n"/>
      <c r="BI46" s="36" t="n"/>
      <c r="BJ46" s="36" t="n"/>
      <c r="BK46" s="36" t="n"/>
      <c r="BL46" s="36" t="n"/>
      <c r="BM46" s="36" t="n"/>
      <c r="BN46" s="36" t="n"/>
      <c r="BO46" s="36" t="n"/>
      <c r="BP46" s="36" t="n"/>
      <c r="BQ46" s="36" t="n"/>
      <c r="BR46" s="36" t="n"/>
      <c r="BS46" s="36" t="n"/>
      <c r="BT46" s="36" t="n"/>
      <c r="BU46" s="36" t="n"/>
      <c r="BV46" s="36" t="n"/>
      <c r="BW46" s="36" t="n"/>
      <c r="BX46" s="36" t="n"/>
      <c r="BY46" s="256">
        <f>IFERROR(SUM(BW44:BX44)/SUM(BR44:BS44)-1,0)</f>
        <v>-0.0967741935483871</v>
      </c>
      <c r="BZ46" s="256">
        <f>IFERROR(SUM(BW44:BX44)/SUM(BR44:BS44)-1,0)</f>
        <v>-0.0967741935483871</v>
      </c>
      <c r="CA46" s="24" t="n"/>
      <c r="CB46" s="46" t="n"/>
      <c r="CC46" s="46" t="n"/>
      <c r="CD46" s="46" t="n"/>
      <c r="CE46" s="46" t="n"/>
      <c r="CF46" s="19" t="n"/>
      <c r="CN46" s="25" t="inlineStr">
        <is>
          <t xml:space="preserve">  2030E</t>
        </is>
      </c>
      <c r="CO46" s="33">
        <f>CP46+$CO$42</f>
        <v>0.07</v>
      </c>
      <c r="CP46" s="42" t="n">
        <v>0.04</v>
      </c>
      <c r="CQ46" s="33">
        <f>CP46+$CQ$42</f>
        <v>-0.01</v>
      </c>
    </row>
    <row r="47" ht="15" customHeight="1" s="251">
      <c r="B47" s="25" t="inlineStr">
        <is>
          <t xml:space="preserve">  Decision Solutions — Insurance</t>
        </is>
      </c>
      <c r="C47" s="34" t="n"/>
      <c r="D47" s="34" t="n"/>
      <c r="E47" s="34" t="n"/>
      <c r="F47" s="34" t="n"/>
      <c r="G47" s="34" t="n"/>
      <c r="H47" s="34" t="n"/>
      <c r="I47" s="34" t="n"/>
      <c r="J47" s="34" t="n"/>
      <c r="K47" s="34" t="n"/>
      <c r="L47" s="34" t="n"/>
      <c r="M47" s="34" t="n"/>
      <c r="N47" s="34" t="n"/>
      <c r="O47" s="34" t="n"/>
      <c r="P47" s="34" t="n"/>
      <c r="Q47" s="34" t="n"/>
      <c r="R47" s="34" t="n"/>
      <c r="S47" s="34" t="n"/>
      <c r="T47" s="34" t="n"/>
      <c r="U47" s="34" t="n"/>
      <c r="V47" s="34" t="n"/>
      <c r="W47" s="34" t="n"/>
      <c r="X47" s="34" t="n"/>
      <c r="Y47" s="34" t="n"/>
      <c r="Z47" s="34" t="n"/>
      <c r="AA47" s="34" t="n"/>
      <c r="AB47" s="34" t="n"/>
      <c r="AC47" s="34" t="n"/>
      <c r="AD47" s="34" t="n"/>
      <c r="AE47" s="34" t="n"/>
      <c r="AF47" s="34" t="n"/>
      <c r="AG47" s="34" t="n"/>
      <c r="AH47" s="34" t="n"/>
      <c r="AI47" s="34" t="n"/>
      <c r="AJ47" s="34" t="n"/>
      <c r="AK47" s="34" t="n"/>
      <c r="AL47" s="34" t="n"/>
      <c r="AM47" s="34" t="n"/>
      <c r="AN47" s="34" t="n"/>
      <c r="AO47" s="34" t="n"/>
      <c r="AP47" s="34" t="n"/>
      <c r="AQ47" s="34" t="n"/>
      <c r="AR47" s="34" t="n"/>
      <c r="AS47" s="34" t="n"/>
      <c r="AT47" s="34" t="n"/>
      <c r="AU47" s="34" t="n"/>
      <c r="AV47" s="34" t="n"/>
      <c r="AW47" s="34" t="n"/>
      <c r="AX47" s="34" t="n"/>
      <c r="AY47" s="34" t="n"/>
      <c r="AZ47" s="34" t="n"/>
      <c r="BA47" s="34" t="n"/>
      <c r="BB47" s="34" t="n"/>
      <c r="BC47" s="34" t="n"/>
      <c r="BD47" s="34" t="n"/>
      <c r="BE47" s="34" t="n"/>
      <c r="BF47" s="34" t="n"/>
      <c r="BG47" s="34" t="n"/>
      <c r="BH47" s="34" t="n"/>
      <c r="BI47" s="253" t="n">
        <v>133</v>
      </c>
      <c r="BJ47" s="253" t="n">
        <v>138</v>
      </c>
      <c r="BK47" s="34" t="n"/>
      <c r="BL47" s="253" t="n">
        <v>550</v>
      </c>
      <c r="BM47" s="253" t="n">
        <v>144</v>
      </c>
      <c r="BN47" s="253" t="n">
        <v>147</v>
      </c>
      <c r="BO47" s="253" t="n">
        <v>148</v>
      </c>
      <c r="BP47" s="253" t="n">
        <v>159</v>
      </c>
      <c r="BQ47" s="253" t="n">
        <v>598</v>
      </c>
      <c r="BR47" s="253" t="n">
        <v>163</v>
      </c>
      <c r="BS47" s="253" t="n">
        <v>168</v>
      </c>
      <c r="BT47" s="253" t="n">
        <v>171</v>
      </c>
      <c r="BU47" s="253" t="n">
        <v>183</v>
      </c>
      <c r="BV47" s="253" t="n">
        <v>685</v>
      </c>
      <c r="BW47" s="253" t="n">
        <v>181</v>
      </c>
      <c r="BX47" s="253" t="n">
        <v>183</v>
      </c>
      <c r="BY47" s="254">
        <f>BT47*(1+BY48)</f>
        <v>184.713856485521</v>
      </c>
      <c r="BZ47" s="254">
        <f>BU47*(1+BZ48)</f>
        <v>197.676232379242</v>
      </c>
      <c r="CA47" s="254">
        <f>SUM(BW47:BZ47)</f>
        <v>746.390088864763</v>
      </c>
      <c r="CB47" s="254">
        <f>CA47*(1+CB48)</f>
        <v>813.565196862591</v>
      </c>
      <c r="CC47" s="254">
        <f>CB47*(1+CC48)</f>
        <v>878.650412611599</v>
      </c>
      <c r="CD47" s="254">
        <f>CC47*(1+CD48)</f>
        <v>948.942445620527</v>
      </c>
      <c r="CE47" s="254">
        <f>CD47*(1+CE48)</f>
        <v>1015.36841681396</v>
      </c>
      <c r="CF47" s="19" t="n"/>
      <c r="CH47" s="20">
        <f>IFERROR((CE47/BV47)^(1/5)-1,"n/m")</f>
        <v>0.0818987419736283</v>
      </c>
      <c r="CI47" s="20" t="str">
        <f>IFERROR((BV47/AW47)^(1/5)-1,"n/m")</f>
        <v>n/m</v>
      </c>
      <c r="CJ47" s="20" t="str">
        <f>IFERROR((BV47/X47)^(1/10)-1,"n/m")</f>
        <v>n/m</v>
      </c>
      <c r="CK47" s="20" t="str">
        <f>IFERROR((BV47/C47)^(1/19)-1,"n/m")</f>
        <v>n/m</v>
      </c>
      <c r="CN47" s="15" t="inlineStr">
        <is>
          <t>MIS_FIG (Financial Institutions y/y)</t>
        </is>
      </c>
      <c r="CO47" s="41" t="n">
        <v>0.02</v>
      </c>
      <c r="CP47" s="21" t="inlineStr">
        <is>
          <t>Δ →</t>
        </is>
      </c>
      <c r="CQ47" s="41" t="n">
        <v>-0.04</v>
      </c>
      <c r="CR47" s="13" t="inlineStr">
        <is>
          <t>1H26 +9%; bank / insurer issuance; private-credit fund ratings.</t>
        </is>
      </c>
    </row>
    <row r="48" ht="15" customHeight="1" s="251">
      <c r="B48" s="22" t="inlineStr">
        <is>
          <t xml:space="preserve">    y/y %</t>
        </is>
      </c>
      <c r="D48" s="255">
        <f>IF(AND(ISNUMBER(D47),ISNUMBER(C47)),IFERROR(D47/C47-1,""),"")</f>
      </c>
      <c r="E48" s="255">
        <f>IF(AND(ISNUMBER(E47),ISNUMBER(D47)),IFERROR(E47/D47-1,""),"")</f>
      </c>
      <c r="F48" s="255">
        <f>IF(AND(ISNUMBER(F47),ISNUMBER(E47)),IFERROR(F47/E47-1,""),"")</f>
      </c>
      <c r="G48" s="255">
        <f>IF(AND(ISNUMBER(G47),ISNUMBER(F47)),IFERROR(G47/F47-1,""),"")</f>
      </c>
      <c r="H48" s="255">
        <f>IF(AND(ISNUMBER(H47),ISNUMBER(G47)),IFERROR(H47/G47-1,""),"")</f>
      </c>
      <c r="I48" s="255">
        <f>IF(AND(ISNUMBER(I47),ISNUMBER(H47)),IFERROR(I47/H47-1,""),"")</f>
      </c>
      <c r="N48" s="255">
        <f>IF(AND(ISNUMBER(N47),ISNUMBER(I47)),IFERROR(N47/I47-1,""),"")</f>
      </c>
      <c r="O48" s="255">
        <f>IF(AND(ISNUMBER(O47),ISNUMBER(J47)),IFERROR(O47/J47-1,""),"")</f>
      </c>
      <c r="P48" s="255">
        <f>IF(AND(ISNUMBER(P47),ISNUMBER(K47)),IFERROR(P47/K47-1,""),"")</f>
      </c>
      <c r="Q48" s="255">
        <f>IF(AND(ISNUMBER(Q47),ISNUMBER(L47)),IFERROR(Q47/L47-1,""),"")</f>
      </c>
      <c r="R48" s="255">
        <f>IF(AND(ISNUMBER(R47),ISNUMBER(M47)),IFERROR(R47/M47-1,""),"")</f>
      </c>
      <c r="S48" s="255">
        <f>IF(AND(ISNUMBER(S47),ISNUMBER(N47)),IFERROR(S47/N47-1,""),"")</f>
      </c>
      <c r="T48" s="255">
        <f>IF(AND(ISNUMBER(T47),ISNUMBER(O47)),IFERROR(T47/O47-1,""),"")</f>
      </c>
      <c r="U48" s="255">
        <f>IF(AND(ISNUMBER(U47),ISNUMBER(P47)),IFERROR(U47/P47-1,""),"")</f>
      </c>
      <c r="V48" s="255">
        <f>IF(AND(ISNUMBER(V47),ISNUMBER(Q47)),IFERROR(V47/Q47-1,""),"")</f>
      </c>
      <c r="W48" s="255">
        <f>IF(AND(ISNUMBER(W47),ISNUMBER(R47)),IFERROR(W47/R47-1,""),"")</f>
      </c>
      <c r="X48" s="255">
        <f>IF(AND(ISNUMBER(X47),ISNUMBER(S47)),IFERROR(X47/S47-1,""),"")</f>
      </c>
      <c r="Y48" s="255">
        <f>IF(AND(ISNUMBER(Y47),ISNUMBER(T47)),IFERROR(Y47/T47-1,""),"")</f>
      </c>
      <c r="Z48" s="255">
        <f>IF(AND(ISNUMBER(Z47),ISNUMBER(U47)),IFERROR(Z47/U47-1,""),"")</f>
      </c>
      <c r="AA48" s="255">
        <f>IF(AND(ISNUMBER(AA47),ISNUMBER(V47)),IFERROR(AA47/V47-1,""),"")</f>
      </c>
      <c r="AB48" s="255">
        <f>IF(AND(ISNUMBER(AB47),ISNUMBER(W47)),IFERROR(AB47/W47-1,""),"")</f>
      </c>
      <c r="AC48" s="255">
        <f>IF(AND(ISNUMBER(AC47),ISNUMBER(X47)),IFERROR(AC47/X47-1,""),"")</f>
      </c>
      <c r="AD48" s="255">
        <f>IF(AND(ISNUMBER(AD47),ISNUMBER(Y47)),IFERROR(AD47/Y47-1,""),"")</f>
      </c>
      <c r="AE48" s="255">
        <f>IF(AND(ISNUMBER(AE47),ISNUMBER(Z47)),IFERROR(AE47/Z47-1,""),"")</f>
      </c>
      <c r="AF48" s="255">
        <f>IF(AND(ISNUMBER(AF47),ISNUMBER(AA47)),IFERROR(AF47/AA47-1,""),"")</f>
      </c>
      <c r="AG48" s="255">
        <f>IF(AND(ISNUMBER(AG47),ISNUMBER(AB47)),IFERROR(AG47/AB47-1,""),"")</f>
      </c>
      <c r="AH48" s="255">
        <f>IF(AND(ISNUMBER(AH47),ISNUMBER(AC47)),IFERROR(AH47/AC47-1,""),"")</f>
      </c>
      <c r="AI48" s="255">
        <f>IF(AND(ISNUMBER(AI47),ISNUMBER(AD47)),IFERROR(AI47/AD47-1,""),"")</f>
      </c>
      <c r="AJ48" s="255">
        <f>IF(AND(ISNUMBER(AJ47),ISNUMBER(AE47)),IFERROR(AJ47/AE47-1,""),"")</f>
      </c>
      <c r="AK48" s="255">
        <f>IF(AND(ISNUMBER(AK47),ISNUMBER(AF47)),IFERROR(AK47/AF47-1,""),"")</f>
      </c>
      <c r="AL48" s="255">
        <f>IF(AND(ISNUMBER(AL47),ISNUMBER(AG47)),IFERROR(AL47/AG47-1,""),"")</f>
      </c>
      <c r="AM48" s="255">
        <f>IF(AND(ISNUMBER(AM47),ISNUMBER(AH47)),IFERROR(AM47/AH47-1,""),"")</f>
      </c>
      <c r="AN48" s="255">
        <f>IF(AND(ISNUMBER(AN47),ISNUMBER(AI47)),IFERROR(AN47/AI47-1,""),"")</f>
      </c>
      <c r="AO48" s="255">
        <f>IF(AND(ISNUMBER(AO47),ISNUMBER(AJ47)),IFERROR(AO47/AJ47-1,""),"")</f>
      </c>
      <c r="AP48" s="255">
        <f>IF(AND(ISNUMBER(AP47),ISNUMBER(AK47)),IFERROR(AP47/AK47-1,""),"")</f>
      </c>
      <c r="AQ48" s="255">
        <f>IF(AND(ISNUMBER(AQ47),ISNUMBER(AL47)),IFERROR(AQ47/AL47-1,""),"")</f>
      </c>
      <c r="AR48" s="255">
        <f>IF(AND(ISNUMBER(AR47),ISNUMBER(AM47)),IFERROR(AR47/AM47-1,""),"")</f>
      </c>
      <c r="AS48" s="255">
        <f>IF(AND(ISNUMBER(AS47),ISNUMBER(AN47)),IFERROR(AS47/AN47-1,""),"")</f>
      </c>
      <c r="AT48" s="255">
        <f>IF(AND(ISNUMBER(AT47),ISNUMBER(AO47)),IFERROR(AT47/AO47-1,""),"")</f>
      </c>
      <c r="AU48" s="255">
        <f>IF(AND(ISNUMBER(AU47),ISNUMBER(AP47)),IFERROR(AU47/AP47-1,""),"")</f>
      </c>
      <c r="AV48" s="255">
        <f>IF(AND(ISNUMBER(AV47),ISNUMBER(AQ47)),IFERROR(AV47/AQ47-1,""),"")</f>
      </c>
      <c r="AW48" s="255">
        <f>IF(AND(ISNUMBER(AW47),ISNUMBER(AR47)),IFERROR(AW47/AR47-1,""),"")</f>
      </c>
      <c r="AX48" s="255">
        <f>IF(AND(ISNUMBER(AX47),ISNUMBER(AS47)),IFERROR(AX47/AS47-1,""),"")</f>
      </c>
      <c r="AY48" s="255">
        <f>IF(AND(ISNUMBER(AY47),ISNUMBER(AT47)),IFERROR(AY47/AT47-1,""),"")</f>
      </c>
      <c r="AZ48" s="255">
        <f>IF(AND(ISNUMBER(AZ47),ISNUMBER(AU47)),IFERROR(AZ47/AU47-1,""),"")</f>
      </c>
      <c r="BA48" s="255">
        <f>IF(AND(ISNUMBER(BA47),ISNUMBER(AV47)),IFERROR(BA47/AV47-1,""),"")</f>
      </c>
      <c r="BB48" s="255">
        <f>IF(AND(ISNUMBER(BB47),ISNUMBER(AW47)),IFERROR(BB47/AW47-1,""),"")</f>
      </c>
      <c r="BC48" s="255">
        <f>IF(AND(ISNUMBER(BC47),ISNUMBER(AX47)),IFERROR(BC47/AX47-1,""),"")</f>
      </c>
      <c r="BD48" s="255">
        <f>IF(AND(ISNUMBER(BD47),ISNUMBER(AY47)),IFERROR(BD47/AY47-1,""),"")</f>
      </c>
      <c r="BE48" s="255">
        <f>IF(AND(ISNUMBER(BE47),ISNUMBER(AZ47)),IFERROR(BE47/AZ47-1,""),"")</f>
      </c>
      <c r="BF48" s="255">
        <f>IF(AND(ISNUMBER(BF47),ISNUMBER(BA47)),IFERROR(BF47/BA47-1,""),"")</f>
      </c>
      <c r="BG48" s="255">
        <f>IF(AND(ISNUMBER(BG47),ISNUMBER(BB47)),IFERROR(BG47/BB47-1,""),"")</f>
      </c>
      <c r="BH48" s="255">
        <f>IF(AND(ISNUMBER(BH47),ISNUMBER(BC47)),IFERROR(BH47/BC47-1,""),"")</f>
      </c>
      <c r="BI48" s="255">
        <f>IF(AND(ISNUMBER(BI47),ISNUMBER(BD47)),IFERROR(BI47/BD47-1,""),"")</f>
      </c>
      <c r="BJ48" s="255">
        <f>IF(AND(ISNUMBER(BJ47),ISNUMBER(BE47)),IFERROR(BJ47/BE47-1,""),"")</f>
      </c>
      <c r="BK48" s="255">
        <f>IF(AND(ISNUMBER(BK47),ISNUMBER(BF47)),IFERROR(BK47/BF47-1,""),"")</f>
      </c>
      <c r="BL48" s="255">
        <f>IF(AND(ISNUMBER(BL47),ISNUMBER(BG47)),IFERROR(BL47/BG47-1,""),"")</f>
      </c>
      <c r="BM48" s="255">
        <f>IF(AND(ISNUMBER(BM47),ISNUMBER(BH47)),IFERROR(BM47/BH47-1,""),"")</f>
      </c>
      <c r="BN48" s="255">
        <f>IF(AND(ISNUMBER(BN47),ISNUMBER(BI47)),IFERROR(BN47/BI47-1,""),"")</f>
        <v>0.105263157894737</v>
      </c>
      <c r="BO48" s="255">
        <f>IF(AND(ISNUMBER(BO47),ISNUMBER(BJ47)),IFERROR(BO47/BJ47-1,""),"")</f>
        <v>0.0724637681159421</v>
      </c>
      <c r="BP48" s="255">
        <f>IF(AND(ISNUMBER(BP47),ISNUMBER(BK47)),IFERROR(BP47/BK47-1,""),"")</f>
      </c>
      <c r="BQ48" s="255">
        <f>IF(AND(ISNUMBER(BQ47),ISNUMBER(BL47)),IFERROR(BQ47/BL47-1,""),"")</f>
        <v>0.0872727272727272</v>
      </c>
      <c r="BR48" s="255">
        <f>IF(AND(ISNUMBER(BR47),ISNUMBER(BM47)),IFERROR(BR47/BM47-1,""),"")</f>
        <v>0.131944444444444</v>
      </c>
      <c r="BS48" s="255">
        <f>IF(AND(ISNUMBER(BS47),ISNUMBER(BN47)),IFERROR(BS47/BN47-1,""),"")</f>
        <v>0.142857142857143</v>
      </c>
      <c r="BT48" s="255">
        <f>IF(AND(ISNUMBER(BT47),ISNUMBER(BO47)),IFERROR(BT47/BO47-1,""),"")</f>
        <v>0.155405405405405</v>
      </c>
      <c r="BU48" s="255">
        <f>IF(AND(ISNUMBER(BU47),ISNUMBER(BP47)),IFERROR(BU47/BP47-1,""),"")</f>
        <v>0.150943396226415</v>
      </c>
      <c r="BV48" s="255">
        <f>IF(AND(ISNUMBER(BV47),ISNUMBER(BQ47)),IFERROR(BV47/BQ47-1,""),"")</f>
        <v>0.145484949832776</v>
      </c>
      <c r="BW48" s="255">
        <f>IF(AND(ISNUMBER(BW47),ISNUMBER(BR47)),IFERROR(BW47/BR47-1,""),"")</f>
        <v>0.110429447852761</v>
      </c>
      <c r="BX48" s="255">
        <f>IF(AND(ISNUMBER(BX47),ISNUMBER(BS47)),IFERROR(BX47/BS47-1,""),"")</f>
        <v>0.0892857142857142</v>
      </c>
      <c r="BY48" s="256">
        <f>BY49+$CA$125</f>
        <v>0.0801979911433975</v>
      </c>
      <c r="BZ48" s="256">
        <f>BZ49+$CA$125</f>
        <v>0.0801979911433975</v>
      </c>
      <c r="CA48" s="256">
        <f>IF(AND(ISNUMBER(CA47),ISNUMBER(BV47)),IFERROR(CA47/BV47-1,""),"")</f>
        <v>0.0896205676857849</v>
      </c>
      <c r="CB48" s="256">
        <f>CHOOSE(MATCH($CF$2,{"Bull","Base","Bear"},0),$CO$68,$CP$68,$CQ$68)</f>
        <v>0.09</v>
      </c>
      <c r="CC48" s="256">
        <f>CHOOSE(MATCH($CF$2,{"Bull","Base","Bear"},0),$CO$69,$CP$69,$CQ$69)</f>
        <v>0.08</v>
      </c>
      <c r="CD48" s="256">
        <f>CHOOSE(MATCH($CF$2,{"Bull","Base","Bear"},0),$CO$70,$CP$70,$CQ$70)</f>
        <v>0.08</v>
      </c>
      <c r="CE48" s="256">
        <f>CHOOSE(MATCH($CF$2,{"Bull","Base","Bear"},0),$CO$71,$CP$71,$CQ$71)</f>
        <v>0.07</v>
      </c>
      <c r="CF48" s="153" t="n"/>
      <c r="CN48" s="25" t="inlineStr">
        <is>
          <t xml:space="preserve">  2027E</t>
        </is>
      </c>
      <c r="CO48" s="33">
        <f>CP48+$CO$47</f>
        <v>0.08</v>
      </c>
      <c r="CP48" s="42" t="n">
        <v>0.06</v>
      </c>
      <c r="CQ48" s="33">
        <f>CP48+$CQ$47</f>
        <v>0.02</v>
      </c>
    </row>
    <row r="49" ht="15" customHeight="1" s="251">
      <c r="B49" s="25" t="inlineStr">
        <is>
          <t xml:space="preserve">    Q3/Q4-26E growth before calibration (1H26 y/y)</t>
        </is>
      </c>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c r="AA49" s="36" t="n"/>
      <c r="AB49" s="36" t="n"/>
      <c r="AC49" s="36" t="n"/>
      <c r="AD49" s="36" t="n"/>
      <c r="AE49" s="36" t="n"/>
      <c r="AF49" s="36" t="n"/>
      <c r="AG49" s="36" t="n"/>
      <c r="AH49" s="36" t="n"/>
      <c r="AI49" s="36" t="n"/>
      <c r="AJ49" s="36" t="n"/>
      <c r="AK49" s="36" t="n"/>
      <c r="AL49" s="36" t="n"/>
      <c r="AM49" s="36" t="n"/>
      <c r="AN49" s="36" t="n"/>
      <c r="AO49" s="36" t="n"/>
      <c r="AP49" s="36" t="n"/>
      <c r="AQ49" s="36" t="n"/>
      <c r="AR49" s="36" t="n"/>
      <c r="AS49" s="36" t="n"/>
      <c r="AT49" s="36" t="n"/>
      <c r="AU49" s="36" t="n"/>
      <c r="AV49" s="36" t="n"/>
      <c r="AW49" s="36" t="n"/>
      <c r="AX49" s="36" t="n"/>
      <c r="AY49" s="36" t="n"/>
      <c r="AZ49" s="36" t="n"/>
      <c r="BA49" s="36" t="n"/>
      <c r="BB49" s="36" t="n"/>
      <c r="BC49" s="36" t="n"/>
      <c r="BD49" s="36" t="n"/>
      <c r="BE49" s="36" t="n"/>
      <c r="BF49" s="36" t="n"/>
      <c r="BG49" s="36" t="n"/>
      <c r="BH49" s="36" t="n"/>
      <c r="BI49" s="36" t="n"/>
      <c r="BJ49" s="36" t="n"/>
      <c r="BK49" s="36" t="n"/>
      <c r="BL49" s="36" t="n"/>
      <c r="BM49" s="36" t="n"/>
      <c r="BN49" s="36" t="n"/>
      <c r="BO49" s="36" t="n"/>
      <c r="BP49" s="36" t="n"/>
      <c r="BQ49" s="36" t="n"/>
      <c r="BR49" s="36" t="n"/>
      <c r="BS49" s="36" t="n"/>
      <c r="BT49" s="36" t="n"/>
      <c r="BU49" s="36" t="n"/>
      <c r="BV49" s="36" t="n"/>
      <c r="BW49" s="36" t="n"/>
      <c r="BX49" s="36" t="n"/>
      <c r="BY49" s="256">
        <f>IFERROR(SUM(BW47:BX47)/SUM(BR47:BS47)-1,0)</f>
        <v>0.0996978851963746</v>
      </c>
      <c r="BZ49" s="256">
        <f>IFERROR(SUM(BW47:BX47)/SUM(BR47:BS47)-1,0)</f>
        <v>0.0996978851963746</v>
      </c>
      <c r="CA49" s="24" t="n"/>
      <c r="CB49" s="46" t="n"/>
      <c r="CC49" s="46" t="n"/>
      <c r="CD49" s="46" t="n"/>
      <c r="CE49" s="46" t="n"/>
      <c r="CF49" s="19" t="n"/>
      <c r="CN49" s="25" t="inlineStr">
        <is>
          <t xml:space="preserve">  2028E</t>
        </is>
      </c>
      <c r="CO49" s="33">
        <f>CP49+$CO$47</f>
        <v>0.07</v>
      </c>
      <c r="CP49" s="42" t="n">
        <v>0.05</v>
      </c>
      <c r="CQ49" s="33">
        <f>CP49+$CQ$47</f>
        <v>0.01</v>
      </c>
    </row>
    <row r="50" ht="15" customHeight="1" s="251">
      <c r="B50" s="25" t="inlineStr">
        <is>
          <t xml:space="preserve">  Decision Solutions — KYC</t>
        </is>
      </c>
      <c r="C50" s="34" t="n"/>
      <c r="D50" s="34" t="n"/>
      <c r="E50" s="34" t="n"/>
      <c r="F50" s="34" t="n"/>
      <c r="G50" s="34" t="n"/>
      <c r="H50" s="34" t="n"/>
      <c r="I50" s="34" t="n"/>
      <c r="J50" s="34" t="n"/>
      <c r="K50" s="34" t="n"/>
      <c r="L50" s="34" t="n"/>
      <c r="M50" s="34" t="n"/>
      <c r="N50" s="34" t="n"/>
      <c r="O50" s="34" t="n"/>
      <c r="P50" s="34" t="n"/>
      <c r="Q50" s="34" t="n"/>
      <c r="R50" s="34" t="n"/>
      <c r="S50" s="34" t="n"/>
      <c r="T50" s="34" t="n"/>
      <c r="U50" s="34" t="n"/>
      <c r="V50" s="34" t="n"/>
      <c r="W50" s="34" t="n"/>
      <c r="X50" s="34" t="n"/>
      <c r="Y50" s="34" t="n"/>
      <c r="Z50" s="34" t="n"/>
      <c r="AA50" s="34" t="n"/>
      <c r="AB50" s="34" t="n"/>
      <c r="AC50" s="34" t="n"/>
      <c r="AD50" s="34" t="n"/>
      <c r="AE50" s="34" t="n"/>
      <c r="AF50" s="34" t="n"/>
      <c r="AG50" s="34" t="n"/>
      <c r="AH50" s="34" t="n"/>
      <c r="AI50" s="34" t="n"/>
      <c r="AJ50" s="34" t="n"/>
      <c r="AK50" s="34" t="n"/>
      <c r="AL50" s="34" t="n"/>
      <c r="AM50" s="34" t="n"/>
      <c r="AN50" s="34" t="n"/>
      <c r="AO50" s="34" t="n"/>
      <c r="AP50" s="34" t="n"/>
      <c r="AQ50" s="34" t="n"/>
      <c r="AR50" s="34" t="n"/>
      <c r="AS50" s="34" t="n"/>
      <c r="AT50" s="34" t="n"/>
      <c r="AU50" s="34" t="n"/>
      <c r="AV50" s="34" t="n"/>
      <c r="AW50" s="34" t="n"/>
      <c r="AX50" s="34" t="n"/>
      <c r="AY50" s="34" t="n"/>
      <c r="AZ50" s="34" t="n"/>
      <c r="BA50" s="34" t="n"/>
      <c r="BB50" s="34" t="n"/>
      <c r="BC50" s="34" t="n"/>
      <c r="BD50" s="34" t="n"/>
      <c r="BE50" s="34" t="n"/>
      <c r="BF50" s="34" t="n"/>
      <c r="BG50" s="34" t="n"/>
      <c r="BH50" s="34" t="n"/>
      <c r="BI50" s="253" t="n">
        <v>78</v>
      </c>
      <c r="BJ50" s="253" t="n">
        <v>80</v>
      </c>
      <c r="BK50" s="34" t="n"/>
      <c r="BL50" s="253" t="n">
        <v>312</v>
      </c>
      <c r="BM50" s="253" t="n">
        <v>87</v>
      </c>
      <c r="BN50" s="253" t="n">
        <v>88</v>
      </c>
      <c r="BO50" s="253" t="n">
        <v>95</v>
      </c>
      <c r="BP50" s="253" t="n">
        <v>97</v>
      </c>
      <c r="BQ50" s="253" t="n">
        <v>367</v>
      </c>
      <c r="BR50" s="253" t="n">
        <v>101</v>
      </c>
      <c r="BS50" s="253" t="n">
        <v>107</v>
      </c>
      <c r="BT50" s="253" t="n">
        <v>113</v>
      </c>
      <c r="BU50" s="253" t="n">
        <v>117</v>
      </c>
      <c r="BV50" s="253" t="n">
        <v>438</v>
      </c>
      <c r="BW50" s="253" t="n">
        <v>118</v>
      </c>
      <c r="BX50" s="253" t="n">
        <v>121</v>
      </c>
      <c r="BY50" s="254">
        <f>BT50*(1+BY51)</f>
        <v>127.63785812586</v>
      </c>
      <c r="BZ50" s="254">
        <f>BU50*(1+BZ51)</f>
        <v>132.156012395802</v>
      </c>
      <c r="CA50" s="254">
        <f>SUM(BW50:BZ50)</f>
        <v>498.793870521661</v>
      </c>
      <c r="CB50" s="254">
        <f>CA50*(1+CB51)</f>
        <v>558.649134984261</v>
      </c>
      <c r="CC50" s="254">
        <f>CB50*(1+CC51)</f>
        <v>620.10053983253</v>
      </c>
      <c r="CD50" s="254">
        <f>CC50*(1+CD51)</f>
        <v>682.110593815783</v>
      </c>
      <c r="CE50" s="254">
        <f>CD50*(1+CE51)</f>
        <v>743.500547259203</v>
      </c>
      <c r="CF50" s="19" t="n"/>
      <c r="CH50" s="20">
        <f>IFERROR((CE50/BV50)^(1/5)-1,"n/m")</f>
        <v>0.11163301437676</v>
      </c>
      <c r="CI50" s="20" t="str">
        <f>IFERROR((BV50/AW50)^(1/5)-1,"n/m")</f>
        <v>n/m</v>
      </c>
      <c r="CJ50" s="20" t="str">
        <f>IFERROR((BV50/X50)^(1/10)-1,"n/m")</f>
        <v>n/m</v>
      </c>
      <c r="CK50" s="20" t="str">
        <f>IFERROR((BV50/C50)^(1/19)-1,"n/m")</f>
        <v>n/m</v>
      </c>
      <c r="CN50" s="25" t="inlineStr">
        <is>
          <t xml:space="preserve">  2029E</t>
        </is>
      </c>
      <c r="CO50" s="33">
        <f>CP50+$CO$47</f>
        <v>0.07</v>
      </c>
      <c r="CP50" s="42" t="n">
        <v>0.05</v>
      </c>
      <c r="CQ50" s="33">
        <f>CP50+$CQ$47</f>
        <v>0.01</v>
      </c>
    </row>
    <row r="51" ht="15" customHeight="1" s="251">
      <c r="B51" s="22" t="inlineStr">
        <is>
          <t xml:space="preserve">    y/y %</t>
        </is>
      </c>
      <c r="D51" s="255">
        <f>IF(AND(ISNUMBER(D50),ISNUMBER(C50)),IFERROR(D50/C50-1,""),"")</f>
      </c>
      <c r="E51" s="255">
        <f>IF(AND(ISNUMBER(E50),ISNUMBER(D50)),IFERROR(E50/D50-1,""),"")</f>
      </c>
      <c r="F51" s="255">
        <f>IF(AND(ISNUMBER(F50),ISNUMBER(E50)),IFERROR(F50/E50-1,""),"")</f>
      </c>
      <c r="G51" s="255">
        <f>IF(AND(ISNUMBER(G50),ISNUMBER(F50)),IFERROR(G50/F50-1,""),"")</f>
      </c>
      <c r="H51" s="255">
        <f>IF(AND(ISNUMBER(H50),ISNUMBER(G50)),IFERROR(H50/G50-1,""),"")</f>
      </c>
      <c r="I51" s="255">
        <f>IF(AND(ISNUMBER(I50),ISNUMBER(H50)),IFERROR(I50/H50-1,""),"")</f>
      </c>
      <c r="N51" s="255">
        <f>IF(AND(ISNUMBER(N50),ISNUMBER(I50)),IFERROR(N50/I50-1,""),"")</f>
      </c>
      <c r="O51" s="255">
        <f>IF(AND(ISNUMBER(O50),ISNUMBER(J50)),IFERROR(O50/J50-1,""),"")</f>
      </c>
      <c r="P51" s="255">
        <f>IF(AND(ISNUMBER(P50),ISNUMBER(K50)),IFERROR(P50/K50-1,""),"")</f>
      </c>
      <c r="Q51" s="255">
        <f>IF(AND(ISNUMBER(Q50),ISNUMBER(L50)),IFERROR(Q50/L50-1,""),"")</f>
      </c>
      <c r="R51" s="255">
        <f>IF(AND(ISNUMBER(R50),ISNUMBER(M50)),IFERROR(R50/M50-1,""),"")</f>
      </c>
      <c r="S51" s="255">
        <f>IF(AND(ISNUMBER(S50),ISNUMBER(N50)),IFERROR(S50/N50-1,""),"")</f>
      </c>
      <c r="T51" s="255">
        <f>IF(AND(ISNUMBER(T50),ISNUMBER(O50)),IFERROR(T50/O50-1,""),"")</f>
      </c>
      <c r="U51" s="255">
        <f>IF(AND(ISNUMBER(U50),ISNUMBER(P50)),IFERROR(U50/P50-1,""),"")</f>
      </c>
      <c r="V51" s="255">
        <f>IF(AND(ISNUMBER(V50),ISNUMBER(Q50)),IFERROR(V50/Q50-1,""),"")</f>
      </c>
      <c r="W51" s="255">
        <f>IF(AND(ISNUMBER(W50),ISNUMBER(R50)),IFERROR(W50/R50-1,""),"")</f>
      </c>
      <c r="X51" s="255">
        <f>IF(AND(ISNUMBER(X50),ISNUMBER(S50)),IFERROR(X50/S50-1,""),"")</f>
      </c>
      <c r="Y51" s="255">
        <f>IF(AND(ISNUMBER(Y50),ISNUMBER(T50)),IFERROR(Y50/T50-1,""),"")</f>
      </c>
      <c r="Z51" s="255">
        <f>IF(AND(ISNUMBER(Z50),ISNUMBER(U50)),IFERROR(Z50/U50-1,""),"")</f>
      </c>
      <c r="AA51" s="255">
        <f>IF(AND(ISNUMBER(AA50),ISNUMBER(V50)),IFERROR(AA50/V50-1,""),"")</f>
      </c>
      <c r="AB51" s="255">
        <f>IF(AND(ISNUMBER(AB50),ISNUMBER(W50)),IFERROR(AB50/W50-1,""),"")</f>
      </c>
      <c r="AC51" s="255">
        <f>IF(AND(ISNUMBER(AC50),ISNUMBER(X50)),IFERROR(AC50/X50-1,""),"")</f>
      </c>
      <c r="AD51" s="255">
        <f>IF(AND(ISNUMBER(AD50),ISNUMBER(Y50)),IFERROR(AD50/Y50-1,""),"")</f>
      </c>
      <c r="AE51" s="255">
        <f>IF(AND(ISNUMBER(AE50),ISNUMBER(Z50)),IFERROR(AE50/Z50-1,""),"")</f>
      </c>
      <c r="AF51" s="255">
        <f>IF(AND(ISNUMBER(AF50),ISNUMBER(AA50)),IFERROR(AF50/AA50-1,""),"")</f>
      </c>
      <c r="AG51" s="255">
        <f>IF(AND(ISNUMBER(AG50),ISNUMBER(AB50)),IFERROR(AG50/AB50-1,""),"")</f>
      </c>
      <c r="AH51" s="255">
        <f>IF(AND(ISNUMBER(AH50),ISNUMBER(AC50)),IFERROR(AH50/AC50-1,""),"")</f>
      </c>
      <c r="AI51" s="255">
        <f>IF(AND(ISNUMBER(AI50),ISNUMBER(AD50)),IFERROR(AI50/AD50-1,""),"")</f>
      </c>
      <c r="AJ51" s="255">
        <f>IF(AND(ISNUMBER(AJ50),ISNUMBER(AE50)),IFERROR(AJ50/AE50-1,""),"")</f>
      </c>
      <c r="AK51" s="255">
        <f>IF(AND(ISNUMBER(AK50),ISNUMBER(AF50)),IFERROR(AK50/AF50-1,""),"")</f>
      </c>
      <c r="AL51" s="255">
        <f>IF(AND(ISNUMBER(AL50),ISNUMBER(AG50)),IFERROR(AL50/AG50-1,""),"")</f>
      </c>
      <c r="AM51" s="255">
        <f>IF(AND(ISNUMBER(AM50),ISNUMBER(AH50)),IFERROR(AM50/AH50-1,""),"")</f>
      </c>
      <c r="AN51" s="255">
        <f>IF(AND(ISNUMBER(AN50),ISNUMBER(AI50)),IFERROR(AN50/AI50-1,""),"")</f>
      </c>
      <c r="AO51" s="255">
        <f>IF(AND(ISNUMBER(AO50),ISNUMBER(AJ50)),IFERROR(AO50/AJ50-1,""),"")</f>
      </c>
      <c r="AP51" s="255">
        <f>IF(AND(ISNUMBER(AP50),ISNUMBER(AK50)),IFERROR(AP50/AK50-1,""),"")</f>
      </c>
      <c r="AQ51" s="255">
        <f>IF(AND(ISNUMBER(AQ50),ISNUMBER(AL50)),IFERROR(AQ50/AL50-1,""),"")</f>
      </c>
      <c r="AR51" s="255">
        <f>IF(AND(ISNUMBER(AR50),ISNUMBER(AM50)),IFERROR(AR50/AM50-1,""),"")</f>
      </c>
      <c r="AS51" s="255">
        <f>IF(AND(ISNUMBER(AS50),ISNUMBER(AN50)),IFERROR(AS50/AN50-1,""),"")</f>
      </c>
      <c r="AT51" s="255">
        <f>IF(AND(ISNUMBER(AT50),ISNUMBER(AO50)),IFERROR(AT50/AO50-1,""),"")</f>
      </c>
      <c r="AU51" s="255">
        <f>IF(AND(ISNUMBER(AU50),ISNUMBER(AP50)),IFERROR(AU50/AP50-1,""),"")</f>
      </c>
      <c r="AV51" s="255">
        <f>IF(AND(ISNUMBER(AV50),ISNUMBER(AQ50)),IFERROR(AV50/AQ50-1,""),"")</f>
      </c>
      <c r="AW51" s="255">
        <f>IF(AND(ISNUMBER(AW50),ISNUMBER(AR50)),IFERROR(AW50/AR50-1,""),"")</f>
      </c>
      <c r="AX51" s="255">
        <f>IF(AND(ISNUMBER(AX50),ISNUMBER(AS50)),IFERROR(AX50/AS50-1,""),"")</f>
      </c>
      <c r="AY51" s="255">
        <f>IF(AND(ISNUMBER(AY50),ISNUMBER(AT50)),IFERROR(AY50/AT50-1,""),"")</f>
      </c>
      <c r="AZ51" s="255">
        <f>IF(AND(ISNUMBER(AZ50),ISNUMBER(AU50)),IFERROR(AZ50/AU50-1,""),"")</f>
      </c>
      <c r="BA51" s="255">
        <f>IF(AND(ISNUMBER(BA50),ISNUMBER(AV50)),IFERROR(BA50/AV50-1,""),"")</f>
      </c>
      <c r="BB51" s="255">
        <f>IF(AND(ISNUMBER(BB50),ISNUMBER(AW50)),IFERROR(BB50/AW50-1,""),"")</f>
      </c>
      <c r="BC51" s="255">
        <f>IF(AND(ISNUMBER(BC50),ISNUMBER(AX50)),IFERROR(BC50/AX50-1,""),"")</f>
      </c>
      <c r="BD51" s="255">
        <f>IF(AND(ISNUMBER(BD50),ISNUMBER(AY50)),IFERROR(BD50/AY50-1,""),"")</f>
      </c>
      <c r="BE51" s="255">
        <f>IF(AND(ISNUMBER(BE50),ISNUMBER(AZ50)),IFERROR(BE50/AZ50-1,""),"")</f>
      </c>
      <c r="BF51" s="255">
        <f>IF(AND(ISNUMBER(BF50),ISNUMBER(BA50)),IFERROR(BF50/BA50-1,""),"")</f>
      </c>
      <c r="BG51" s="255">
        <f>IF(AND(ISNUMBER(BG50),ISNUMBER(BB50)),IFERROR(BG50/BB50-1,""),"")</f>
      </c>
      <c r="BH51" s="255">
        <f>IF(AND(ISNUMBER(BH50),ISNUMBER(BC50)),IFERROR(BH50/BC50-1,""),"")</f>
      </c>
      <c r="BI51" s="255">
        <f>IF(AND(ISNUMBER(BI50),ISNUMBER(BD50)),IFERROR(BI50/BD50-1,""),"")</f>
      </c>
      <c r="BJ51" s="255">
        <f>IF(AND(ISNUMBER(BJ50),ISNUMBER(BE50)),IFERROR(BJ50/BE50-1,""),"")</f>
      </c>
      <c r="BK51" s="255">
        <f>IF(AND(ISNUMBER(BK50),ISNUMBER(BF50)),IFERROR(BK50/BF50-1,""),"")</f>
      </c>
      <c r="BL51" s="255">
        <f>IF(AND(ISNUMBER(BL50),ISNUMBER(BG50)),IFERROR(BL50/BG50-1,""),"")</f>
      </c>
      <c r="BM51" s="255">
        <f>IF(AND(ISNUMBER(BM50),ISNUMBER(BH50)),IFERROR(BM50/BH50-1,""),"")</f>
      </c>
      <c r="BN51" s="255">
        <f>IF(AND(ISNUMBER(BN50),ISNUMBER(BI50)),IFERROR(BN50/BI50-1,""),"")</f>
        <v>0.128205128205128</v>
      </c>
      <c r="BO51" s="255">
        <f>IF(AND(ISNUMBER(BO50),ISNUMBER(BJ50)),IFERROR(BO50/BJ50-1,""),"")</f>
        <v>0.1875</v>
      </c>
      <c r="BP51" s="255">
        <f>IF(AND(ISNUMBER(BP50),ISNUMBER(BK50)),IFERROR(BP50/BK50-1,""),"")</f>
      </c>
      <c r="BQ51" s="255">
        <f>IF(AND(ISNUMBER(BQ50),ISNUMBER(BL50)),IFERROR(BQ50/BL50-1,""),"")</f>
        <v>0.176282051282051</v>
      </c>
      <c r="BR51" s="255">
        <f>IF(AND(ISNUMBER(BR50),ISNUMBER(BM50)),IFERROR(BR50/BM50-1,""),"")</f>
        <v>0.160919540229885</v>
      </c>
      <c r="BS51" s="255">
        <f>IF(AND(ISNUMBER(BS50),ISNUMBER(BN50)),IFERROR(BS50/BN50-1,""),"")</f>
        <v>0.215909090909091</v>
      </c>
      <c r="BT51" s="255">
        <f>IF(AND(ISNUMBER(BT50),ISNUMBER(BO50)),IFERROR(BT50/BO50-1,""),"")</f>
        <v>0.189473684210526</v>
      </c>
      <c r="BU51" s="255">
        <f>IF(AND(ISNUMBER(BU50),ISNUMBER(BP50)),IFERROR(BU50/BP50-1,""),"")</f>
        <v>0.206185567010309</v>
      </c>
      <c r="BV51" s="255">
        <f>IF(AND(ISNUMBER(BV50),ISNUMBER(BQ50)),IFERROR(BV50/BQ50-1,""),"")</f>
        <v>0.193460490463215</v>
      </c>
      <c r="BW51" s="255">
        <f>IF(AND(ISNUMBER(BW50),ISNUMBER(BR50)),IFERROR(BW50/BR50-1,""),"")</f>
        <v>0.168316831683168</v>
      </c>
      <c r="BX51" s="255">
        <f>IF(AND(ISNUMBER(BX50),ISNUMBER(BS50)),IFERROR(BX50/BS50-1,""),"")</f>
        <v>0.130841121495327</v>
      </c>
      <c r="BY51" s="256">
        <f>BY52+$CA$125</f>
        <v>0.129538567485484</v>
      </c>
      <c r="BZ51" s="256">
        <f>BZ52+$CA$125</f>
        <v>0.129538567485484</v>
      </c>
      <c r="CA51" s="256">
        <f>IF(AND(ISNUMBER(CA50),ISNUMBER(BV50)),IFERROR(CA50/BV50-1,""),"")</f>
        <v>0.138798791145346</v>
      </c>
      <c r="CB51" s="256">
        <f>CHOOSE(MATCH($CF$2,{"Bull","Base","Bear"},0),$CO$73,$CP$73,$CQ$73)</f>
        <v>0.12</v>
      </c>
      <c r="CC51" s="256">
        <f>CHOOSE(MATCH($CF$2,{"Bull","Base","Bear"},0),$CO$74,$CP$74,$CQ$74)</f>
        <v>0.11</v>
      </c>
      <c r="CD51" s="256">
        <f>CHOOSE(MATCH($CF$2,{"Bull","Base","Bear"},0),$CO$75,$CP$75,$CQ$75)</f>
        <v>0.1</v>
      </c>
      <c r="CE51" s="256">
        <f>CHOOSE(MATCH($CF$2,{"Bull","Base","Bear"},0),$CO$76,$CP$76,$CQ$76)</f>
        <v>0.09</v>
      </c>
      <c r="CF51" s="153" t="n"/>
      <c r="CN51" s="25" t="inlineStr">
        <is>
          <t xml:space="preserve">  2030E</t>
        </is>
      </c>
      <c r="CO51" s="33">
        <f>CP51+$CO$47</f>
        <v>0.07</v>
      </c>
      <c r="CP51" s="42" t="n">
        <v>0.05</v>
      </c>
      <c r="CQ51" s="33">
        <f>CP51+$CQ$47</f>
        <v>0.01</v>
      </c>
    </row>
    <row r="52" ht="15" customHeight="1" s="251">
      <c r="B52" s="25" t="inlineStr">
        <is>
          <t xml:space="preserve">    Q3/Q4-26E growth before calibration (1H26 y/y)</t>
        </is>
      </c>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c r="AA52" s="36" t="n"/>
      <c r="AB52" s="36" t="n"/>
      <c r="AC52" s="36" t="n"/>
      <c r="AD52" s="36" t="n"/>
      <c r="AE52" s="36" t="n"/>
      <c r="AF52" s="36" t="n"/>
      <c r="AG52" s="36" t="n"/>
      <c r="AH52" s="36" t="n"/>
      <c r="AI52" s="36" t="n"/>
      <c r="AJ52" s="36" t="n"/>
      <c r="AK52" s="36" t="n"/>
      <c r="AL52" s="36" t="n"/>
      <c r="AM52" s="36" t="n"/>
      <c r="AN52" s="36" t="n"/>
      <c r="AO52" s="36" t="n"/>
      <c r="AP52" s="36" t="n"/>
      <c r="AQ52" s="36" t="n"/>
      <c r="AR52" s="36" t="n"/>
      <c r="AS52" s="36" t="n"/>
      <c r="AT52" s="36" t="n"/>
      <c r="AU52" s="36" t="n"/>
      <c r="AV52" s="36" t="n"/>
      <c r="AW52" s="36" t="n"/>
      <c r="AX52" s="36" t="n"/>
      <c r="AY52" s="36" t="n"/>
      <c r="AZ52" s="36" t="n"/>
      <c r="BA52" s="36" t="n"/>
      <c r="BB52" s="36" t="n"/>
      <c r="BC52" s="36" t="n"/>
      <c r="BD52" s="36" t="n"/>
      <c r="BE52" s="36" t="n"/>
      <c r="BF52" s="36" t="n"/>
      <c r="BG52" s="36" t="n"/>
      <c r="BH52" s="36" t="n"/>
      <c r="BI52" s="36" t="n"/>
      <c r="BJ52" s="36" t="n"/>
      <c r="BK52" s="36" t="n"/>
      <c r="BL52" s="36" t="n"/>
      <c r="BM52" s="36" t="n"/>
      <c r="BN52" s="36" t="n"/>
      <c r="BO52" s="36" t="n"/>
      <c r="BP52" s="36" t="n"/>
      <c r="BQ52" s="36" t="n"/>
      <c r="BR52" s="36" t="n"/>
      <c r="BS52" s="36" t="n"/>
      <c r="BT52" s="36" t="n"/>
      <c r="BU52" s="36" t="n"/>
      <c r="BV52" s="36" t="n"/>
      <c r="BW52" s="36" t="n"/>
      <c r="BX52" s="36" t="n"/>
      <c r="BY52" s="256">
        <f>IFERROR(SUM(BW50:BX50)/SUM(BR50:BS50)-1,0)</f>
        <v>0.149038461538461</v>
      </c>
      <c r="BZ52" s="256">
        <f>IFERROR(SUM(BW50:BX50)/SUM(BR50:BS50)-1,0)</f>
        <v>0.149038461538461</v>
      </c>
      <c r="CA52" s="24" t="n"/>
      <c r="CB52" s="46" t="n"/>
      <c r="CC52" s="46" t="n"/>
      <c r="CD52" s="46" t="n"/>
      <c r="CE52" s="46" t="n"/>
      <c r="CF52" s="19" t="n"/>
      <c r="CN52" s="15" t="inlineStr">
        <is>
          <t>MIS_PPIF (Public, Project &amp; Infrastructure Finance y/y)</t>
        </is>
      </c>
      <c r="CO52" s="41" t="n">
        <v>0.03</v>
      </c>
      <c r="CP52" s="21" t="inlineStr">
        <is>
          <t>Δ →</t>
        </is>
      </c>
      <c r="CQ52" s="41" t="n">
        <v>-0.05</v>
      </c>
      <c r="CR52" s="13" t="inlineStr">
        <is>
          <t>1H26 +23%; infrastructure / energy-transition project finance and US public finance.</t>
        </is>
      </c>
    </row>
    <row r="53" ht="15" customHeight="1" s="251">
      <c r="B53" s="25" t="inlineStr">
        <is>
          <t xml:space="preserve">  Research &amp; Insights</t>
        </is>
      </c>
      <c r="C53" s="34" t="n"/>
      <c r="D53" s="34" t="n"/>
      <c r="E53" s="34" t="n"/>
      <c r="F53" s="34" t="n"/>
      <c r="G53" s="34" t="n"/>
      <c r="H53" s="34" t="n"/>
      <c r="I53" s="34" t="n"/>
      <c r="J53" s="34" t="n"/>
      <c r="K53" s="34" t="n"/>
      <c r="L53" s="34" t="n"/>
      <c r="M53" s="34" t="n"/>
      <c r="N53" s="34" t="n"/>
      <c r="O53" s="34" t="n"/>
      <c r="P53" s="34" t="n"/>
      <c r="Q53" s="34" t="n"/>
      <c r="R53" s="34" t="n"/>
      <c r="S53" s="34" t="n"/>
      <c r="T53" s="34" t="n"/>
      <c r="U53" s="34" t="n"/>
      <c r="V53" s="34" t="n"/>
      <c r="W53" s="34" t="n"/>
      <c r="X53" s="34" t="n"/>
      <c r="Y53" s="34" t="n"/>
      <c r="Z53" s="34" t="n"/>
      <c r="AA53" s="34" t="n"/>
      <c r="AB53" s="34" t="n"/>
      <c r="AC53" s="34" t="n"/>
      <c r="AD53" s="34" t="n"/>
      <c r="AE53" s="34" t="n"/>
      <c r="AF53" s="34" t="n"/>
      <c r="AG53" s="34" t="n"/>
      <c r="AH53" s="34" t="n"/>
      <c r="AI53" s="34" t="n"/>
      <c r="AJ53" s="34" t="n"/>
      <c r="AK53" s="34" t="n"/>
      <c r="AL53" s="34" t="n"/>
      <c r="AM53" s="34" t="n"/>
      <c r="AN53" s="34" t="n"/>
      <c r="AO53" s="34" t="n"/>
      <c r="AP53" s="34" t="n"/>
      <c r="AQ53" s="34" t="n"/>
      <c r="AR53" s="34" t="n"/>
      <c r="AS53" s="34" t="n"/>
      <c r="AT53" s="34" t="n"/>
      <c r="AU53" s="34" t="n"/>
      <c r="AV53" s="34" t="n"/>
      <c r="AW53" s="34" t="n"/>
      <c r="AX53" s="253" t="n">
        <v>171</v>
      </c>
      <c r="AY53" s="253" t="n">
        <v>175</v>
      </c>
      <c r="AZ53" s="253" t="n">
        <v>177</v>
      </c>
      <c r="BA53" s="253" t="n">
        <v>174</v>
      </c>
      <c r="BB53" s="253" t="n">
        <v>697</v>
      </c>
      <c r="BC53" s="253" t="n">
        <v>183</v>
      </c>
      <c r="BD53" s="253" t="n">
        <v>185</v>
      </c>
      <c r="BE53" s="253" t="n">
        <v>184</v>
      </c>
      <c r="BF53" s="253" t="n">
        <v>181</v>
      </c>
      <c r="BG53" s="253" t="n">
        <v>733</v>
      </c>
      <c r="BH53" s="253" t="n">
        <v>195</v>
      </c>
      <c r="BI53" s="253" t="n">
        <v>217</v>
      </c>
      <c r="BJ53" s="253" t="n">
        <v>222</v>
      </c>
      <c r="BK53" s="253" t="n">
        <v>230</v>
      </c>
      <c r="BL53" s="253" t="n">
        <v>884</v>
      </c>
      <c r="BM53" s="253" t="n">
        <v>222</v>
      </c>
      <c r="BN53" s="253" t="n">
        <v>226</v>
      </c>
      <c r="BO53" s="253" t="n">
        <v>235</v>
      </c>
      <c r="BP53" s="253" t="n">
        <v>243</v>
      </c>
      <c r="BQ53" s="253" t="n">
        <v>926</v>
      </c>
      <c r="BR53" s="253" t="n">
        <v>236</v>
      </c>
      <c r="BS53" s="253" t="n">
        <v>249</v>
      </c>
      <c r="BT53" s="253" t="n">
        <v>252</v>
      </c>
      <c r="BU53" s="253" t="n">
        <v>258</v>
      </c>
      <c r="BV53" s="253" t="n">
        <v>995</v>
      </c>
      <c r="BW53" s="253" t="n">
        <v>255</v>
      </c>
      <c r="BX53" s="253" t="n">
        <v>256</v>
      </c>
      <c r="BY53" s="254">
        <f>BT53*(1+BY54)</f>
        <v>260.595305049165</v>
      </c>
      <c r="BZ53" s="254">
        <f>BU53*(1+BZ54)</f>
        <v>266.799955169383</v>
      </c>
      <c r="CA53" s="254">
        <f>SUM(BW53:BZ53)</f>
        <v>1038.39526021855</v>
      </c>
      <c r="CB53" s="254">
        <f>CA53*(1+CB54)</f>
        <v>1090.31502322948</v>
      </c>
      <c r="CC53" s="254">
        <f>CB53*(1+CC54)</f>
        <v>1144.83077439095</v>
      </c>
      <c r="CD53" s="254">
        <f>CC53*(1+CD54)</f>
        <v>1202.0723131105</v>
      </c>
      <c r="CE53" s="254">
        <f>CD53*(1+CE54)</f>
        <v>1262.17592876602</v>
      </c>
      <c r="CF53" s="19" t="n"/>
      <c r="CH53" s="20">
        <f>IFERROR((CE53/BV53)^(1/5)-1,"n/m")</f>
        <v>0.0487195462015413</v>
      </c>
      <c r="CI53" s="20" t="str">
        <f>IFERROR((BV53/AW53)^(1/5)-1,"n/m")</f>
        <v>n/m</v>
      </c>
      <c r="CJ53" s="20" t="str">
        <f>IFERROR((BV53/X53)^(1/10)-1,"n/m")</f>
        <v>n/m</v>
      </c>
      <c r="CK53" s="20" t="str">
        <f>IFERROR((BV53/C53)^(1/19)-1,"n/m")</f>
        <v>n/m</v>
      </c>
      <c r="CN53" s="25" t="inlineStr">
        <is>
          <t xml:space="preserve">  2027E</t>
        </is>
      </c>
      <c r="CO53" s="33">
        <f>CP53+$CO$52</f>
        <v>0.09</v>
      </c>
      <c r="CP53" s="42" t="n">
        <v>0.06</v>
      </c>
      <c r="CQ53" s="33">
        <f>CP53+$CQ$52</f>
        <v>0.01</v>
      </c>
    </row>
    <row r="54" collapsed="1" ht="15" customHeight="1" s="251">
      <c r="B54" s="22" t="inlineStr">
        <is>
          <t xml:space="preserve">    y/y %</t>
        </is>
      </c>
      <c r="D54" s="255">
        <f>IF(AND(ISNUMBER(D53),ISNUMBER(C53)),IFERROR(D53/C53-1,""),"")</f>
      </c>
      <c r="E54" s="255">
        <f>IF(AND(ISNUMBER(E53),ISNUMBER(D53)),IFERROR(E53/D53-1,""),"")</f>
      </c>
      <c r="F54" s="255">
        <f>IF(AND(ISNUMBER(F53),ISNUMBER(E53)),IFERROR(F53/E53-1,""),"")</f>
      </c>
      <c r="G54" s="255">
        <f>IF(AND(ISNUMBER(G53),ISNUMBER(F53)),IFERROR(G53/F53-1,""),"")</f>
      </c>
      <c r="H54" s="255">
        <f>IF(AND(ISNUMBER(H53),ISNUMBER(G53)),IFERROR(H53/G53-1,""),"")</f>
      </c>
      <c r="I54" s="255">
        <f>IF(AND(ISNUMBER(I53),ISNUMBER(H53)),IFERROR(I53/H53-1,""),"")</f>
      </c>
      <c r="N54" s="255">
        <f>IF(AND(ISNUMBER(N53),ISNUMBER(I53)),IFERROR(N53/I53-1,""),"")</f>
      </c>
      <c r="O54" s="255">
        <f>IF(AND(ISNUMBER(O53),ISNUMBER(J53)),IFERROR(O53/J53-1,""),"")</f>
      </c>
      <c r="P54" s="255">
        <f>IF(AND(ISNUMBER(P53),ISNUMBER(K53)),IFERROR(P53/K53-1,""),"")</f>
      </c>
      <c r="Q54" s="255">
        <f>IF(AND(ISNUMBER(Q53),ISNUMBER(L53)),IFERROR(Q53/L53-1,""),"")</f>
      </c>
      <c r="R54" s="255">
        <f>IF(AND(ISNUMBER(R53),ISNUMBER(M53)),IFERROR(R53/M53-1,""),"")</f>
      </c>
      <c r="S54" s="255">
        <f>IF(AND(ISNUMBER(S53),ISNUMBER(N53)),IFERROR(S53/N53-1,""),"")</f>
      </c>
      <c r="T54" s="255">
        <f>IF(AND(ISNUMBER(T53),ISNUMBER(O53)),IFERROR(T53/O53-1,""),"")</f>
      </c>
      <c r="U54" s="255">
        <f>IF(AND(ISNUMBER(U53),ISNUMBER(P53)),IFERROR(U53/P53-1,""),"")</f>
      </c>
      <c r="V54" s="255">
        <f>IF(AND(ISNUMBER(V53),ISNUMBER(Q53)),IFERROR(V53/Q53-1,""),"")</f>
      </c>
      <c r="W54" s="255">
        <f>IF(AND(ISNUMBER(W53),ISNUMBER(R53)),IFERROR(W53/R53-1,""),"")</f>
      </c>
      <c r="X54" s="255">
        <f>IF(AND(ISNUMBER(X53),ISNUMBER(S53)),IFERROR(X53/S53-1,""),"")</f>
      </c>
      <c r="Y54" s="255">
        <f>IF(AND(ISNUMBER(Y53),ISNUMBER(T53)),IFERROR(Y53/T53-1,""),"")</f>
      </c>
      <c r="Z54" s="255">
        <f>IF(AND(ISNUMBER(Z53),ISNUMBER(U53)),IFERROR(Z53/U53-1,""),"")</f>
      </c>
      <c r="AA54" s="255">
        <f>IF(AND(ISNUMBER(AA53),ISNUMBER(V53)),IFERROR(AA53/V53-1,""),"")</f>
      </c>
      <c r="AB54" s="255">
        <f>IF(AND(ISNUMBER(AB53),ISNUMBER(W53)),IFERROR(AB53/W53-1,""),"")</f>
      </c>
      <c r="AC54" s="255">
        <f>IF(AND(ISNUMBER(AC53),ISNUMBER(X53)),IFERROR(AC53/X53-1,""),"")</f>
      </c>
      <c r="AD54" s="255">
        <f>IF(AND(ISNUMBER(AD53),ISNUMBER(Y53)),IFERROR(AD53/Y53-1,""),"")</f>
      </c>
      <c r="AE54" s="255">
        <f>IF(AND(ISNUMBER(AE53),ISNUMBER(Z53)),IFERROR(AE53/Z53-1,""),"")</f>
      </c>
      <c r="AF54" s="255">
        <f>IF(AND(ISNUMBER(AF53),ISNUMBER(AA53)),IFERROR(AF53/AA53-1,""),"")</f>
      </c>
      <c r="AG54" s="255">
        <f>IF(AND(ISNUMBER(AG53),ISNUMBER(AB53)),IFERROR(AG53/AB53-1,""),"")</f>
      </c>
      <c r="AH54" s="255">
        <f>IF(AND(ISNUMBER(AH53),ISNUMBER(AC53)),IFERROR(AH53/AC53-1,""),"")</f>
      </c>
      <c r="AI54" s="255">
        <f>IF(AND(ISNUMBER(AI53),ISNUMBER(AD53)),IFERROR(AI53/AD53-1,""),"")</f>
      </c>
      <c r="AJ54" s="255">
        <f>IF(AND(ISNUMBER(AJ53),ISNUMBER(AE53)),IFERROR(AJ53/AE53-1,""),"")</f>
      </c>
      <c r="AK54" s="255">
        <f>IF(AND(ISNUMBER(AK53),ISNUMBER(AF53)),IFERROR(AK53/AF53-1,""),"")</f>
      </c>
      <c r="AL54" s="255">
        <f>IF(AND(ISNUMBER(AL53),ISNUMBER(AG53)),IFERROR(AL53/AG53-1,""),"")</f>
      </c>
      <c r="AM54" s="255">
        <f>IF(AND(ISNUMBER(AM53),ISNUMBER(AH53)),IFERROR(AM53/AH53-1,""),"")</f>
      </c>
      <c r="AN54" s="255">
        <f>IF(AND(ISNUMBER(AN53),ISNUMBER(AI53)),IFERROR(AN53/AI53-1,""),"")</f>
      </c>
      <c r="AO54" s="255">
        <f>IF(AND(ISNUMBER(AO53),ISNUMBER(AJ53)),IFERROR(AO53/AJ53-1,""),"")</f>
      </c>
      <c r="AP54" s="255">
        <f>IF(AND(ISNUMBER(AP53),ISNUMBER(AK53)),IFERROR(AP53/AK53-1,""),"")</f>
      </c>
      <c r="AQ54" s="255">
        <f>IF(AND(ISNUMBER(AQ53),ISNUMBER(AL53)),IFERROR(AQ53/AL53-1,""),"")</f>
      </c>
      <c r="AR54" s="255">
        <f>IF(AND(ISNUMBER(AR53),ISNUMBER(AM53)),IFERROR(AR53/AM53-1,""),"")</f>
      </c>
      <c r="AS54" s="255">
        <f>IF(AND(ISNUMBER(AS53),ISNUMBER(AN53)),IFERROR(AS53/AN53-1,""),"")</f>
      </c>
      <c r="AT54" s="255">
        <f>IF(AND(ISNUMBER(AT53),ISNUMBER(AO53)),IFERROR(AT53/AO53-1,""),"")</f>
      </c>
      <c r="AU54" s="255">
        <f>IF(AND(ISNUMBER(AU53),ISNUMBER(AP53)),IFERROR(AU53/AP53-1,""),"")</f>
      </c>
      <c r="AV54" s="255">
        <f>IF(AND(ISNUMBER(AV53),ISNUMBER(AQ53)),IFERROR(AV53/AQ53-1,""),"")</f>
      </c>
      <c r="AW54" s="255">
        <f>IF(AND(ISNUMBER(AW53),ISNUMBER(AR53)),IFERROR(AW53/AR53-1,""),"")</f>
      </c>
      <c r="AX54" s="255">
        <f>IF(AND(ISNUMBER(AX53),ISNUMBER(AS53)),IFERROR(AX53/AS53-1,""),"")</f>
      </c>
      <c r="AY54" s="255">
        <f>IF(AND(ISNUMBER(AY53),ISNUMBER(AT53)),IFERROR(AY53/AT53-1,""),"")</f>
      </c>
      <c r="AZ54" s="255">
        <f>IF(AND(ISNUMBER(AZ53),ISNUMBER(AU53)),IFERROR(AZ53/AU53-1,""),"")</f>
      </c>
      <c r="BA54" s="255">
        <f>IF(AND(ISNUMBER(BA53),ISNUMBER(AV53)),IFERROR(BA53/AV53-1,""),"")</f>
      </c>
      <c r="BB54" s="255">
        <f>IF(AND(ISNUMBER(BB53),ISNUMBER(AW53)),IFERROR(BB53/AW53-1,""),"")</f>
      </c>
      <c r="BC54" s="255">
        <f>IF(AND(ISNUMBER(BC53),ISNUMBER(AX53)),IFERROR(BC53/AX53-1,""),"")</f>
        <v>0.0701754385964912</v>
      </c>
      <c r="BD54" s="255">
        <f>IF(AND(ISNUMBER(BD53),ISNUMBER(AY53)),IFERROR(BD53/AY53-1,""),"")</f>
        <v>0.0571428571428572</v>
      </c>
      <c r="BE54" s="255">
        <f>IF(AND(ISNUMBER(BE53),ISNUMBER(AZ53)),IFERROR(BE53/AZ53-1,""),"")</f>
        <v>0.03954802259887</v>
      </c>
      <c r="BF54" s="255">
        <f>IF(AND(ISNUMBER(BF53),ISNUMBER(BA53)),IFERROR(BF53/BA53-1,""),"")</f>
        <v>0.0402298850574712</v>
      </c>
      <c r="BG54" s="255">
        <f>IF(AND(ISNUMBER(BG53),ISNUMBER(BB53)),IFERROR(BG53/BB53-1,""),"")</f>
        <v>0.0516499282639886</v>
      </c>
      <c r="BH54" s="255">
        <f>IF(AND(ISNUMBER(BH53),ISNUMBER(BC53)),IFERROR(BH53/BC53-1,""),"")</f>
        <v>0.0655737704918034</v>
      </c>
      <c r="BI54" s="255">
        <f>IF(AND(ISNUMBER(BI53),ISNUMBER(BD53)),IFERROR(BI53/BD53-1,""),"")</f>
        <v>0.172972972972973</v>
      </c>
      <c r="BJ54" s="255">
        <f>IF(AND(ISNUMBER(BJ53),ISNUMBER(BE53)),IFERROR(BJ53/BE53-1,""),"")</f>
        <v>0.206521739130435</v>
      </c>
      <c r="BK54" s="255">
        <f>IF(AND(ISNUMBER(BK53),ISNUMBER(BF53)),IFERROR(BK53/BF53-1,""),"")</f>
        <v>0.270718232044199</v>
      </c>
      <c r="BL54" s="255">
        <f>IF(AND(ISNUMBER(BL53),ISNUMBER(BG53)),IFERROR(BL53/BG53-1,""),"")</f>
        <v>0.20600272851296</v>
      </c>
      <c r="BM54" s="255">
        <f>IF(AND(ISNUMBER(BM53),ISNUMBER(BH53)),IFERROR(BM53/BH53-1,""),"")</f>
        <v>0.138461538461538</v>
      </c>
      <c r="BN54" s="255">
        <f>IF(AND(ISNUMBER(BN53),ISNUMBER(BI53)),IFERROR(BN53/BI53-1,""),"")</f>
        <v>0.0414746543778801</v>
      </c>
      <c r="BO54" s="255">
        <f>IF(AND(ISNUMBER(BO53),ISNUMBER(BJ53)),IFERROR(BO53/BJ53-1,""),"")</f>
        <v>0.0585585585585586</v>
      </c>
      <c r="BP54" s="255">
        <f>IF(AND(ISNUMBER(BP53),ISNUMBER(BK53)),IFERROR(BP53/BK53-1,""),"")</f>
        <v>0.0565217391304347</v>
      </c>
      <c r="BQ54" s="255">
        <f>IF(AND(ISNUMBER(BQ53),ISNUMBER(BL53)),IFERROR(BQ53/BL53-1,""),"")</f>
        <v>0.0475113122171946</v>
      </c>
      <c r="BR54" s="255">
        <f>IF(AND(ISNUMBER(BR53),ISNUMBER(BM53)),IFERROR(BR53/BM53-1,""),"")</f>
        <v>0.0630630630630631</v>
      </c>
      <c r="BS54" s="255">
        <f>IF(AND(ISNUMBER(BS53),ISNUMBER(BN53)),IFERROR(BS53/BN53-1,""),"")</f>
        <v>0.101769911504425</v>
      </c>
      <c r="BT54" s="255">
        <f>IF(AND(ISNUMBER(BT53),ISNUMBER(BO53)),IFERROR(BT53/BO53-1,""),"")</f>
        <v>0.0723404255319149</v>
      </c>
      <c r="BU54" s="255">
        <f>IF(AND(ISNUMBER(BU53),ISNUMBER(BP53)),IFERROR(BU53/BP53-1,""),"")</f>
        <v>0.0617283950617285</v>
      </c>
      <c r="BV54" s="255">
        <f>IF(AND(ISNUMBER(BV53),ISNUMBER(BQ53)),IFERROR(BV53/BQ53-1,""),"")</f>
        <v>0.0745140388768899</v>
      </c>
      <c r="BW54" s="255">
        <f>IF(AND(ISNUMBER(BW53),ISNUMBER(BR53)),IFERROR(BW53/BR53-1,""),"")</f>
        <v>0.0805084745762712</v>
      </c>
      <c r="BX54" s="255">
        <f>IF(AND(ISNUMBER(BX53),ISNUMBER(BS53)),IFERROR(BX53/BS53-1,""),"")</f>
        <v>0.0281124497991967</v>
      </c>
      <c r="BY54" s="256">
        <f>BY55+$CA$125</f>
        <v>0.0341083533697034</v>
      </c>
      <c r="BZ54" s="256">
        <f>BZ55+$CA$125</f>
        <v>0.0341083533697034</v>
      </c>
      <c r="CA54" s="256">
        <f>IF(AND(ISNUMBER(CA53),ISNUMBER(BV53)),IFERROR(CA53/BV53-1,""),"")</f>
        <v>0.0436133268528127</v>
      </c>
      <c r="CB54" s="256">
        <f>CHOOSE(MATCH($CF$2,{"Bull","Base","Bear"},0),$CO$78,$CP$78,$CQ$78)</f>
        <v>0.05</v>
      </c>
      <c r="CC54" s="256">
        <f>CHOOSE(MATCH($CF$2,{"Bull","Base","Bear"},0),$CO$79,$CP$79,$CQ$79)</f>
        <v>0.05</v>
      </c>
      <c r="CD54" s="256">
        <f>CHOOSE(MATCH($CF$2,{"Bull","Base","Bear"},0),$CO$80,$CP$80,$CQ$80)</f>
        <v>0.05</v>
      </c>
      <c r="CE54" s="256">
        <f>CHOOSE(MATCH($CF$2,{"Bull","Base","Bear"},0),$CO$81,$CP$81,$CQ$81)</f>
        <v>0.05</v>
      </c>
      <c r="CF54" s="153" t="n"/>
      <c r="CN54" s="25" t="inlineStr">
        <is>
          <t xml:space="preserve">  2028E</t>
        </is>
      </c>
      <c r="CO54" s="33">
        <f>CP54+$CO$52</f>
        <v>0.09</v>
      </c>
      <c r="CP54" s="42" t="n">
        <v>0.06</v>
      </c>
      <c r="CQ54" s="33">
        <f>CP54+$CQ$52</f>
        <v>0.01</v>
      </c>
    </row>
    <row r="55" ht="15" customHeight="1" s="251">
      <c r="B55" s="25" t="inlineStr">
        <is>
          <t xml:space="preserve">    Q3/Q4-26E growth before calibration (1H26 y/y)</t>
        </is>
      </c>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c r="AA55" s="36" t="n"/>
      <c r="AB55" s="36" t="n"/>
      <c r="AC55" s="36" t="n"/>
      <c r="AD55" s="36" t="n"/>
      <c r="AE55" s="36" t="n"/>
      <c r="AF55" s="36" t="n"/>
      <c r="AG55" s="36" t="n"/>
      <c r="AH55" s="36" t="n"/>
      <c r="AI55" s="36" t="n"/>
      <c r="AJ55" s="36" t="n"/>
      <c r="AK55" s="36" t="n"/>
      <c r="AL55" s="36" t="n"/>
      <c r="AM55" s="36" t="n"/>
      <c r="AN55" s="36" t="n"/>
      <c r="AO55" s="36" t="n"/>
      <c r="AP55" s="36" t="n"/>
      <c r="AQ55" s="36" t="n"/>
      <c r="AR55" s="36" t="n"/>
      <c r="AS55" s="36" t="n"/>
      <c r="AT55" s="36" t="n"/>
      <c r="AU55" s="36" t="n"/>
      <c r="AV55" s="36" t="n"/>
      <c r="AW55" s="36" t="n"/>
      <c r="AX55" s="36" t="n"/>
      <c r="AY55" s="36" t="n"/>
      <c r="AZ55" s="36" t="n"/>
      <c r="BA55" s="36" t="n"/>
      <c r="BB55" s="36" t="n"/>
      <c r="BC55" s="36" t="n"/>
      <c r="BD55" s="36" t="n"/>
      <c r="BE55" s="36" t="n"/>
      <c r="BF55" s="36" t="n"/>
      <c r="BG55" s="36" t="n"/>
      <c r="BH55" s="36" t="n"/>
      <c r="BI55" s="36" t="n"/>
      <c r="BJ55" s="36" t="n"/>
      <c r="BK55" s="36" t="n"/>
      <c r="BL55" s="36" t="n"/>
      <c r="BM55" s="36" t="n"/>
      <c r="BN55" s="36" t="n"/>
      <c r="BO55" s="36" t="n"/>
      <c r="BP55" s="36" t="n"/>
      <c r="BQ55" s="36" t="n"/>
      <c r="BR55" s="36" t="n"/>
      <c r="BS55" s="36" t="n"/>
      <c r="BT55" s="36" t="n"/>
      <c r="BU55" s="36" t="n"/>
      <c r="BV55" s="36" t="n"/>
      <c r="BW55" s="36" t="n"/>
      <c r="BX55" s="36" t="n"/>
      <c r="BY55" s="256">
        <f>IFERROR(SUM(BW53:BX53)/SUM(BR53:BS53)-1,0)</f>
        <v>0.0536082474226804</v>
      </c>
      <c r="BZ55" s="256">
        <f>IFERROR(SUM(BW53:BX53)/SUM(BR53:BS53)-1,0)</f>
        <v>0.0536082474226804</v>
      </c>
      <c r="CA55" s="24" t="n"/>
      <c r="CB55" s="46" t="n"/>
      <c r="CC55" s="46" t="n"/>
      <c r="CD55" s="46" t="n"/>
      <c r="CE55" s="46" t="n"/>
      <c r="CF55" s="19" t="n"/>
      <c r="CN55" s="25" t="inlineStr">
        <is>
          <t xml:space="preserve">  2029E</t>
        </is>
      </c>
      <c r="CO55" s="33">
        <f>CP55+$CO$52</f>
        <v>0.08</v>
      </c>
      <c r="CP55" s="42" t="n">
        <v>0.05</v>
      </c>
      <c r="CQ55" s="33">
        <f>CP55+$CQ$52</f>
        <v>0</v>
      </c>
    </row>
    <row r="56" ht="15" customHeight="1" s="251">
      <c r="B56" s="25" t="inlineStr">
        <is>
          <t xml:space="preserve">  Data &amp; Information</t>
        </is>
      </c>
      <c r="C56" s="34" t="n"/>
      <c r="D56" s="34" t="n"/>
      <c r="E56" s="34" t="n"/>
      <c r="F56" s="34" t="n"/>
      <c r="G56" s="34" t="n"/>
      <c r="H56" s="34" t="n"/>
      <c r="I56" s="34" t="n"/>
      <c r="J56" s="34" t="n"/>
      <c r="K56" s="34" t="n"/>
      <c r="L56" s="34" t="n"/>
      <c r="M56" s="34" t="n"/>
      <c r="N56" s="34" t="n"/>
      <c r="O56" s="34" t="n"/>
      <c r="P56" s="34" t="n"/>
      <c r="Q56" s="34" t="n"/>
      <c r="R56" s="34" t="n"/>
      <c r="S56" s="34" t="n"/>
      <c r="T56" s="34" t="n"/>
      <c r="U56" s="34" t="n"/>
      <c r="V56" s="34" t="n"/>
      <c r="W56" s="34" t="n"/>
      <c r="X56" s="34" t="n"/>
      <c r="Y56" s="34" t="n"/>
      <c r="Z56" s="34" t="n"/>
      <c r="AA56" s="34" t="n"/>
      <c r="AB56" s="34" t="n"/>
      <c r="AC56" s="34" t="n"/>
      <c r="AD56" s="34" t="n"/>
      <c r="AE56" s="34" t="n"/>
      <c r="AF56" s="34" t="n"/>
      <c r="AG56" s="34" t="n"/>
      <c r="AH56" s="34" t="n"/>
      <c r="AI56" s="34" t="n"/>
      <c r="AJ56" s="34" t="n"/>
      <c r="AK56" s="34" t="n"/>
      <c r="AL56" s="34" t="n"/>
      <c r="AM56" s="34" t="n"/>
      <c r="AN56" s="34" t="n"/>
      <c r="AO56" s="34" t="n"/>
      <c r="AP56" s="34" t="n"/>
      <c r="AQ56" s="34" t="n"/>
      <c r="AR56" s="34" t="n"/>
      <c r="AS56" s="34" t="n"/>
      <c r="AT56" s="34" t="n"/>
      <c r="AU56" s="34" t="n"/>
      <c r="AV56" s="34" t="n"/>
      <c r="AW56" s="34" t="n"/>
      <c r="AX56" s="253" t="n">
        <v>168</v>
      </c>
      <c r="AY56" s="253" t="n">
        <v>176</v>
      </c>
      <c r="AZ56" s="253" t="n">
        <v>174</v>
      </c>
      <c r="BA56" s="253" t="n">
        <v>180</v>
      </c>
      <c r="BB56" s="253" t="n">
        <v>698</v>
      </c>
      <c r="BC56" s="253" t="n">
        <v>178</v>
      </c>
      <c r="BD56" s="253" t="n">
        <v>178</v>
      </c>
      <c r="BE56" s="253" t="n">
        <v>176</v>
      </c>
      <c r="BF56" s="253" t="n">
        <v>180</v>
      </c>
      <c r="BG56" s="253" t="n">
        <v>712</v>
      </c>
      <c r="BH56" s="253" t="n">
        <v>188</v>
      </c>
      <c r="BI56" s="253" t="n">
        <v>196</v>
      </c>
      <c r="BJ56" s="253" t="n">
        <v>200</v>
      </c>
      <c r="BK56" s="253" t="n">
        <v>205</v>
      </c>
      <c r="BL56" s="253" t="n">
        <v>789</v>
      </c>
      <c r="BM56" s="253" t="n">
        <v>212</v>
      </c>
      <c r="BN56" s="253" t="n">
        <v>210</v>
      </c>
      <c r="BO56" s="253" t="n">
        <v>213</v>
      </c>
      <c r="BP56" s="253" t="n">
        <v>218</v>
      </c>
      <c r="BQ56" s="253" t="n">
        <v>853</v>
      </c>
      <c r="BR56" s="253" t="n">
        <v>218</v>
      </c>
      <c r="BS56" s="253" t="n">
        <v>226</v>
      </c>
      <c r="BT56" s="253" t="n">
        <v>233</v>
      </c>
      <c r="BU56" s="253" t="n">
        <v>235</v>
      </c>
      <c r="BV56" s="253" t="n">
        <v>912</v>
      </c>
      <c r="BW56" s="253" t="n">
        <v>239</v>
      </c>
      <c r="BX56" s="253" t="n">
        <v>246</v>
      </c>
      <c r="BY56" s="254">
        <f>BT56*(1+BY57)</f>
        <v>249.972290451422</v>
      </c>
      <c r="BZ56" s="254">
        <f>BU56*(1+BZ57)</f>
        <v>252.117975348001</v>
      </c>
      <c r="CA56" s="254">
        <f>SUM(BW56:BZ56)</f>
        <v>987.090265799423</v>
      </c>
      <c r="CB56" s="254">
        <f>CA56*(1+CB57)</f>
        <v>1066.05748706338</v>
      </c>
      <c r="CC56" s="254">
        <f>CB56*(1+CC57)</f>
        <v>1151.34208602845</v>
      </c>
      <c r="CD56" s="254">
        <f>CC56*(1+CD57)</f>
        <v>1231.93603205044</v>
      </c>
      <c r="CE56" s="254">
        <f>CD56*(1+CE57)</f>
        <v>1318.17155429397</v>
      </c>
      <c r="CF56" s="19" t="n"/>
      <c r="CH56" s="20">
        <f>IFERROR((CE56/BV56)^(1/5)-1,"n/m")</f>
        <v>0.0764538600450935</v>
      </c>
      <c r="CI56" s="20" t="str">
        <f>IFERROR((BV56/AW56)^(1/5)-1,"n/m")</f>
        <v>n/m</v>
      </c>
      <c r="CJ56" s="20" t="str">
        <f>IFERROR((BV56/X56)^(1/10)-1,"n/m")</f>
        <v>n/m</v>
      </c>
      <c r="CK56" s="20" t="str">
        <f>IFERROR((BV56/C56)^(1/19)-1,"n/m")</f>
        <v>n/m</v>
      </c>
      <c r="CN56" s="25" t="inlineStr">
        <is>
          <t xml:space="preserve">  2030E</t>
        </is>
      </c>
      <c r="CO56" s="33">
        <f>CP56+$CO$52</f>
        <v>0.08</v>
      </c>
      <c r="CP56" s="42" t="n">
        <v>0.05</v>
      </c>
      <c r="CQ56" s="33">
        <f>CP56+$CQ$52</f>
        <v>0</v>
      </c>
    </row>
    <row r="57" ht="15" customHeight="1" s="251">
      <c r="B57" s="22" t="inlineStr">
        <is>
          <t xml:space="preserve">    y/y %</t>
        </is>
      </c>
      <c r="D57" s="255">
        <f>IF(AND(ISNUMBER(D56),ISNUMBER(C56)),IFERROR(D56/C56-1,""),"")</f>
      </c>
      <c r="E57" s="255">
        <f>IF(AND(ISNUMBER(E56),ISNUMBER(D56)),IFERROR(E56/D56-1,""),"")</f>
      </c>
      <c r="F57" s="255">
        <f>IF(AND(ISNUMBER(F56),ISNUMBER(E56)),IFERROR(F56/E56-1,""),"")</f>
      </c>
      <c r="G57" s="255">
        <f>IF(AND(ISNUMBER(G56),ISNUMBER(F56)),IFERROR(G56/F56-1,""),"")</f>
      </c>
      <c r="H57" s="255">
        <f>IF(AND(ISNUMBER(H56),ISNUMBER(G56)),IFERROR(H56/G56-1,""),"")</f>
      </c>
      <c r="I57" s="255">
        <f>IF(AND(ISNUMBER(I56),ISNUMBER(H56)),IFERROR(I56/H56-1,""),"")</f>
      </c>
      <c r="N57" s="255">
        <f>IF(AND(ISNUMBER(N56),ISNUMBER(I56)),IFERROR(N56/I56-1,""),"")</f>
      </c>
      <c r="O57" s="255">
        <f>IF(AND(ISNUMBER(O56),ISNUMBER(J56)),IFERROR(O56/J56-1,""),"")</f>
      </c>
      <c r="P57" s="255">
        <f>IF(AND(ISNUMBER(P56),ISNUMBER(K56)),IFERROR(P56/K56-1,""),"")</f>
      </c>
      <c r="Q57" s="255">
        <f>IF(AND(ISNUMBER(Q56),ISNUMBER(L56)),IFERROR(Q56/L56-1,""),"")</f>
      </c>
      <c r="R57" s="255">
        <f>IF(AND(ISNUMBER(R56),ISNUMBER(M56)),IFERROR(R56/M56-1,""),"")</f>
      </c>
      <c r="S57" s="255">
        <f>IF(AND(ISNUMBER(S56),ISNUMBER(N56)),IFERROR(S56/N56-1,""),"")</f>
      </c>
      <c r="T57" s="255">
        <f>IF(AND(ISNUMBER(T56),ISNUMBER(O56)),IFERROR(T56/O56-1,""),"")</f>
      </c>
      <c r="U57" s="255">
        <f>IF(AND(ISNUMBER(U56),ISNUMBER(P56)),IFERROR(U56/P56-1,""),"")</f>
      </c>
      <c r="V57" s="255">
        <f>IF(AND(ISNUMBER(V56),ISNUMBER(Q56)),IFERROR(V56/Q56-1,""),"")</f>
      </c>
      <c r="W57" s="255">
        <f>IF(AND(ISNUMBER(W56),ISNUMBER(R56)),IFERROR(W56/R56-1,""),"")</f>
      </c>
      <c r="X57" s="255">
        <f>IF(AND(ISNUMBER(X56),ISNUMBER(S56)),IFERROR(X56/S56-1,""),"")</f>
      </c>
      <c r="Y57" s="255">
        <f>IF(AND(ISNUMBER(Y56),ISNUMBER(T56)),IFERROR(Y56/T56-1,""),"")</f>
      </c>
      <c r="Z57" s="255">
        <f>IF(AND(ISNUMBER(Z56),ISNUMBER(U56)),IFERROR(Z56/U56-1,""),"")</f>
      </c>
      <c r="AA57" s="255">
        <f>IF(AND(ISNUMBER(AA56),ISNUMBER(V56)),IFERROR(AA56/V56-1,""),"")</f>
      </c>
      <c r="AB57" s="255">
        <f>IF(AND(ISNUMBER(AB56),ISNUMBER(W56)),IFERROR(AB56/W56-1,""),"")</f>
      </c>
      <c r="AC57" s="255">
        <f>IF(AND(ISNUMBER(AC56),ISNUMBER(X56)),IFERROR(AC56/X56-1,""),"")</f>
      </c>
      <c r="AD57" s="255">
        <f>IF(AND(ISNUMBER(AD56),ISNUMBER(Y56)),IFERROR(AD56/Y56-1,""),"")</f>
      </c>
      <c r="AE57" s="255">
        <f>IF(AND(ISNUMBER(AE56),ISNUMBER(Z56)),IFERROR(AE56/Z56-1,""),"")</f>
      </c>
      <c r="AF57" s="255">
        <f>IF(AND(ISNUMBER(AF56),ISNUMBER(AA56)),IFERROR(AF56/AA56-1,""),"")</f>
      </c>
      <c r="AG57" s="255">
        <f>IF(AND(ISNUMBER(AG56),ISNUMBER(AB56)),IFERROR(AG56/AB56-1,""),"")</f>
      </c>
      <c r="AH57" s="255">
        <f>IF(AND(ISNUMBER(AH56),ISNUMBER(AC56)),IFERROR(AH56/AC56-1,""),"")</f>
      </c>
      <c r="AI57" s="255">
        <f>IF(AND(ISNUMBER(AI56),ISNUMBER(AD56)),IFERROR(AI56/AD56-1,""),"")</f>
      </c>
      <c r="AJ57" s="255">
        <f>IF(AND(ISNUMBER(AJ56),ISNUMBER(AE56)),IFERROR(AJ56/AE56-1,""),"")</f>
      </c>
      <c r="AK57" s="255">
        <f>IF(AND(ISNUMBER(AK56),ISNUMBER(AF56)),IFERROR(AK56/AF56-1,""),"")</f>
      </c>
      <c r="AL57" s="255">
        <f>IF(AND(ISNUMBER(AL56),ISNUMBER(AG56)),IFERROR(AL56/AG56-1,""),"")</f>
      </c>
      <c r="AM57" s="255">
        <f>IF(AND(ISNUMBER(AM56),ISNUMBER(AH56)),IFERROR(AM56/AH56-1,""),"")</f>
      </c>
      <c r="AN57" s="255">
        <f>IF(AND(ISNUMBER(AN56),ISNUMBER(AI56)),IFERROR(AN56/AI56-1,""),"")</f>
      </c>
      <c r="AO57" s="255">
        <f>IF(AND(ISNUMBER(AO56),ISNUMBER(AJ56)),IFERROR(AO56/AJ56-1,""),"")</f>
      </c>
      <c r="AP57" s="255">
        <f>IF(AND(ISNUMBER(AP56),ISNUMBER(AK56)),IFERROR(AP56/AK56-1,""),"")</f>
      </c>
      <c r="AQ57" s="255">
        <f>IF(AND(ISNUMBER(AQ56),ISNUMBER(AL56)),IFERROR(AQ56/AL56-1,""),"")</f>
      </c>
      <c r="AR57" s="255">
        <f>IF(AND(ISNUMBER(AR56),ISNUMBER(AM56)),IFERROR(AR56/AM56-1,""),"")</f>
      </c>
      <c r="AS57" s="255">
        <f>IF(AND(ISNUMBER(AS56),ISNUMBER(AN56)),IFERROR(AS56/AN56-1,""),"")</f>
      </c>
      <c r="AT57" s="255">
        <f>IF(AND(ISNUMBER(AT56),ISNUMBER(AO56)),IFERROR(AT56/AO56-1,""),"")</f>
      </c>
      <c r="AU57" s="255">
        <f>IF(AND(ISNUMBER(AU56),ISNUMBER(AP56)),IFERROR(AU56/AP56-1,""),"")</f>
      </c>
      <c r="AV57" s="255">
        <f>IF(AND(ISNUMBER(AV56),ISNUMBER(AQ56)),IFERROR(AV56/AQ56-1,""),"")</f>
      </c>
      <c r="AW57" s="255">
        <f>IF(AND(ISNUMBER(AW56),ISNUMBER(AR56)),IFERROR(AW56/AR56-1,""),"")</f>
      </c>
      <c r="AX57" s="255">
        <f>IF(AND(ISNUMBER(AX56),ISNUMBER(AS56)),IFERROR(AX56/AS56-1,""),"")</f>
      </c>
      <c r="AY57" s="255">
        <f>IF(AND(ISNUMBER(AY56),ISNUMBER(AT56)),IFERROR(AY56/AT56-1,""),"")</f>
      </c>
      <c r="AZ57" s="255">
        <f>IF(AND(ISNUMBER(AZ56),ISNUMBER(AU56)),IFERROR(AZ56/AU56-1,""),"")</f>
      </c>
      <c r="BA57" s="255">
        <f>IF(AND(ISNUMBER(BA56),ISNUMBER(AV56)),IFERROR(BA56/AV56-1,""),"")</f>
      </c>
      <c r="BB57" s="255">
        <f>IF(AND(ISNUMBER(BB56),ISNUMBER(AW56)),IFERROR(BB56/AW56-1,""),"")</f>
      </c>
      <c r="BC57" s="255">
        <f>IF(AND(ISNUMBER(BC56),ISNUMBER(AX56)),IFERROR(BC56/AX56-1,""),"")</f>
        <v>0.0595238095238095</v>
      </c>
      <c r="BD57" s="255">
        <f>IF(AND(ISNUMBER(BD56),ISNUMBER(AY56)),IFERROR(BD56/AY56-1,""),"")</f>
        <v>0.0113636363636365</v>
      </c>
      <c r="BE57" s="255">
        <f>IF(AND(ISNUMBER(BE56),ISNUMBER(AZ56)),IFERROR(BE56/AZ56-1,""),"")</f>
        <v>0.0114942528735633</v>
      </c>
      <c r="BF57" s="255">
        <f>IF(AND(ISNUMBER(BF56),ISNUMBER(BA56)),IFERROR(BF56/BA56-1,""),"")</f>
        <v>0</v>
      </c>
      <c r="BG57" s="255">
        <f>IF(AND(ISNUMBER(BG56),ISNUMBER(BB56)),IFERROR(BG56/BB56-1,""),"")</f>
        <v>0.0200573065902578</v>
      </c>
      <c r="BH57" s="255">
        <f>IF(AND(ISNUMBER(BH56),ISNUMBER(BC56)),IFERROR(BH56/BC56-1,""),"")</f>
        <v>0.0561797752808988</v>
      </c>
      <c r="BI57" s="255">
        <f>IF(AND(ISNUMBER(BI56),ISNUMBER(BD56)),IFERROR(BI56/BD56-1,""),"")</f>
        <v>0.101123595505618</v>
      </c>
      <c r="BJ57" s="255">
        <f>IF(AND(ISNUMBER(BJ56),ISNUMBER(BE56)),IFERROR(BJ56/BE56-1,""),"")</f>
        <v>0.136363636363636</v>
      </c>
      <c r="BK57" s="255">
        <f>IF(AND(ISNUMBER(BK56),ISNUMBER(BF56)),IFERROR(BK56/BF56-1,""),"")</f>
        <v>0.138888888888889</v>
      </c>
      <c r="BL57" s="255">
        <f>IF(AND(ISNUMBER(BL56),ISNUMBER(BG56)),IFERROR(BL56/BG56-1,""),"")</f>
        <v>0.10814606741573</v>
      </c>
      <c r="BM57" s="255">
        <f>IF(AND(ISNUMBER(BM56),ISNUMBER(BH56)),IFERROR(BM56/BH56-1,""),"")</f>
        <v>0.127659574468085</v>
      </c>
      <c r="BN57" s="255">
        <f>IF(AND(ISNUMBER(BN56),ISNUMBER(BI56)),IFERROR(BN56/BI56-1,""),"")</f>
        <v>0.0714285714285714</v>
      </c>
      <c r="BO57" s="255">
        <f>IF(AND(ISNUMBER(BO56),ISNUMBER(BJ56)),IFERROR(BO56/BJ56-1,""),"")</f>
        <v>0.065</v>
      </c>
      <c r="BP57" s="255">
        <f>IF(AND(ISNUMBER(BP56),ISNUMBER(BK56)),IFERROR(BP56/BK56-1,""),"")</f>
        <v>0.0634146341463415</v>
      </c>
      <c r="BQ57" s="255">
        <f>IF(AND(ISNUMBER(BQ56),ISNUMBER(BL56)),IFERROR(BQ56/BL56-1,""),"")</f>
        <v>0.0811153358681875</v>
      </c>
      <c r="BR57" s="255">
        <f>IF(AND(ISNUMBER(BR56),ISNUMBER(BM56)),IFERROR(BR56/BM56-1,""),"")</f>
        <v>0.0283018867924529</v>
      </c>
      <c r="BS57" s="255">
        <f>IF(AND(ISNUMBER(BS56),ISNUMBER(BN56)),IFERROR(BS56/BN56-1,""),"")</f>
        <v>0.0761904761904761</v>
      </c>
      <c r="BT57" s="255">
        <f>IF(AND(ISNUMBER(BT56),ISNUMBER(BO56)),IFERROR(BT56/BO56-1,""),"")</f>
        <v>0.0938967136150235</v>
      </c>
      <c r="BU57" s="255">
        <f>IF(AND(ISNUMBER(BU56),ISNUMBER(BP56)),IFERROR(BU56/BP56-1,""),"")</f>
        <v>0.0779816513761469</v>
      </c>
      <c r="BV57" s="255">
        <f>IF(AND(ISNUMBER(BV56),ISNUMBER(BQ56)),IFERROR(BV56/BQ56-1,""),"")</f>
        <v>0.0691676436107855</v>
      </c>
      <c r="BW57" s="255">
        <f>IF(AND(ISNUMBER(BW56),ISNUMBER(BR56)),IFERROR(BW56/BR56-1,""),"")</f>
        <v>0.0963302752293578</v>
      </c>
      <c r="BX57" s="255">
        <f>IF(AND(ISNUMBER(BX56),ISNUMBER(BS56)),IFERROR(BX56/BS56-1,""),"")</f>
        <v>0.0884955752212389</v>
      </c>
      <c r="BY57" s="256">
        <f>BY58+$CA$125</f>
        <v>0.0728424482893653</v>
      </c>
      <c r="BZ57" s="256">
        <f>BZ58+$CA$125</f>
        <v>0.0728424482893653</v>
      </c>
      <c r="CA57" s="256">
        <f>IF(AND(ISNUMBER(CA56),ISNUMBER(BV56)),IFERROR(CA56/BV56-1,""),"")</f>
        <v>0.0823358177625253</v>
      </c>
      <c r="CB57" s="256">
        <f>CHOOSE(MATCH($CF$2,{"Bull","Base","Bear"},0),$CO$83,$CP$83,$CQ$83)</f>
        <v>0.08</v>
      </c>
      <c r="CC57" s="256">
        <f>CHOOSE(MATCH($CF$2,{"Bull","Base","Bear"},0),$CO$84,$CP$84,$CQ$84)</f>
        <v>0.08</v>
      </c>
      <c r="CD57" s="256">
        <f>CHOOSE(MATCH($CF$2,{"Bull","Base","Bear"},0),$CO$85,$CP$85,$CQ$85)</f>
        <v>0.07</v>
      </c>
      <c r="CE57" s="256">
        <f>CHOOSE(MATCH($CF$2,{"Bull","Base","Bear"},0),$CO$86,$CP$86,$CQ$86)</f>
        <v>0.07</v>
      </c>
      <c r="CF57" s="153" t="n"/>
      <c r="CN57" s="15" t="inlineStr">
        <is>
          <t>MIS_MOTH (MIS Other y/y)</t>
        </is>
      </c>
      <c r="CO57" s="41" t="n">
        <v>0.02</v>
      </c>
      <c r="CP57" s="21" t="inlineStr">
        <is>
          <t>Δ →</t>
        </is>
      </c>
      <c r="CQ57" s="41" t="n">
        <v>-0.03</v>
      </c>
      <c r="CR57" s="13" t="inlineStr">
        <is>
          <t>ICRA non-ratings and other; small (~$50m p.a.).</t>
        </is>
      </c>
    </row>
    <row r="58" ht="15" customHeight="1" s="251">
      <c r="B58" s="25" t="inlineStr">
        <is>
          <t xml:space="preserve">    Q3/Q4-26E growth before calibration (1H26 y/y)</t>
        </is>
      </c>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c r="AA58" s="36" t="n"/>
      <c r="AB58" s="36" t="n"/>
      <c r="AC58" s="36" t="n"/>
      <c r="AD58" s="36" t="n"/>
      <c r="AE58" s="36" t="n"/>
      <c r="AF58" s="36" t="n"/>
      <c r="AG58" s="36" t="n"/>
      <c r="AH58" s="36" t="n"/>
      <c r="AI58" s="36" t="n"/>
      <c r="AJ58" s="36" t="n"/>
      <c r="AK58" s="36" t="n"/>
      <c r="AL58" s="36" t="n"/>
      <c r="AM58" s="36" t="n"/>
      <c r="AN58" s="36" t="n"/>
      <c r="AO58" s="36" t="n"/>
      <c r="AP58" s="36" t="n"/>
      <c r="AQ58" s="36" t="n"/>
      <c r="AR58" s="36" t="n"/>
      <c r="AS58" s="36" t="n"/>
      <c r="AT58" s="36" t="n"/>
      <c r="AU58" s="36" t="n"/>
      <c r="AV58" s="36" t="n"/>
      <c r="AW58" s="36" t="n"/>
      <c r="AX58" s="36" t="n"/>
      <c r="AY58" s="36" t="n"/>
      <c r="AZ58" s="36" t="n"/>
      <c r="BA58" s="36" t="n"/>
      <c r="BB58" s="36" t="n"/>
      <c r="BC58" s="36" t="n"/>
      <c r="BD58" s="36" t="n"/>
      <c r="BE58" s="36" t="n"/>
      <c r="BF58" s="36" t="n"/>
      <c r="BG58" s="36" t="n"/>
      <c r="BH58" s="36" t="n"/>
      <c r="BI58" s="36" t="n"/>
      <c r="BJ58" s="36" t="n"/>
      <c r="BK58" s="36" t="n"/>
      <c r="BL58" s="36" t="n"/>
      <c r="BM58" s="36" t="n"/>
      <c r="BN58" s="36" t="n"/>
      <c r="BO58" s="36" t="n"/>
      <c r="BP58" s="36" t="n"/>
      <c r="BQ58" s="36" t="n"/>
      <c r="BR58" s="36" t="n"/>
      <c r="BS58" s="36" t="n"/>
      <c r="BT58" s="36" t="n"/>
      <c r="BU58" s="36" t="n"/>
      <c r="BV58" s="36" t="n"/>
      <c r="BW58" s="36" t="n"/>
      <c r="BX58" s="36" t="n"/>
      <c r="BY58" s="256">
        <f>IFERROR(SUM(BW56:BX56)/SUM(BR56:BS56)-1,0)</f>
        <v>0.0923423423423424</v>
      </c>
      <c r="BZ58" s="256">
        <f>IFERROR(SUM(BW56:BX56)/SUM(BR56:BS56)-1,0)</f>
        <v>0.0923423423423424</v>
      </c>
      <c r="CA58" s="24" t="n"/>
      <c r="CB58" s="46" t="n"/>
      <c r="CC58" s="46" t="n"/>
      <c r="CD58" s="46" t="n"/>
      <c r="CE58" s="46" t="n"/>
      <c r="CF58" s="19" t="n"/>
      <c r="CN58" s="25" t="inlineStr">
        <is>
          <t xml:space="preserve">  2027E</t>
        </is>
      </c>
      <c r="CO58" s="33">
        <f>CP58+$CO$57</f>
        <v>0.08</v>
      </c>
      <c r="CP58" s="42" t="n">
        <v>0.06</v>
      </c>
      <c r="CQ58" s="33">
        <f>CP58+$CQ$57</f>
        <v>0.03</v>
      </c>
    </row>
    <row r="59" ht="15" customHeight="1" s="251">
      <c r="B59" s="156" t="inlineStr">
        <is>
          <t xml:space="preserve">  Memo: Decision Solutions — total (Banking + Insurance + KYC; as reported before the 2024 split)</t>
        </is>
      </c>
      <c r="C59" s="261">
        <f>IF(ISNUMBER(C44),C44+C47+C50,IF(ISNUMBER(C76),C76,""))</f>
      </c>
      <c r="D59" s="261">
        <f>IF(ISNUMBER(D44),D44+D47+D50,IF(ISNUMBER(D76),D76,""))</f>
      </c>
      <c r="E59" s="261">
        <f>IF(ISNUMBER(E44),E44+E47+E50,IF(ISNUMBER(E76),E76,""))</f>
      </c>
      <c r="F59" s="261">
        <f>IF(ISNUMBER(F44),F44+F47+F50,IF(ISNUMBER(F76),F76,""))</f>
      </c>
      <c r="G59" s="261">
        <f>IF(ISNUMBER(G44),G44+G47+G50,IF(ISNUMBER(G76),G76,""))</f>
      </c>
      <c r="H59" s="261">
        <f>IF(ISNUMBER(H44),H44+H47+H50,IF(ISNUMBER(H76),H76,""))</f>
      </c>
      <c r="I59" s="261">
        <f>IF(ISNUMBER(I44),I44+I47+I50,IF(ISNUMBER(I76),I76,""))</f>
      </c>
      <c r="J59" s="261">
        <f>IF(ISNUMBER(J44),J44+J47+J50,IF(ISNUMBER(J76),J76,""))</f>
      </c>
      <c r="K59" s="261">
        <f>IF(ISNUMBER(K44),K44+K47+K50,IF(ISNUMBER(K76),K76,""))</f>
      </c>
      <c r="L59" s="261">
        <f>IF(ISNUMBER(L44),L44+L47+L50,IF(ISNUMBER(L76),L76,""))</f>
      </c>
      <c r="M59" s="261">
        <f>IF(ISNUMBER(M44),M44+M47+M50,IF(ISNUMBER(M76),M76,""))</f>
      </c>
      <c r="N59" s="261">
        <f>IF(ISNUMBER(N44),N44+N47+N50,IF(ISNUMBER(N76),N76,""))</f>
      </c>
      <c r="O59" s="261">
        <f>IF(ISNUMBER(O44),O44+O47+O50,IF(ISNUMBER(O76),O76,""))</f>
      </c>
      <c r="P59" s="261">
        <f>IF(ISNUMBER(P44),P44+P47+P50,IF(ISNUMBER(P76),P76,""))</f>
      </c>
      <c r="Q59" s="261">
        <f>IF(ISNUMBER(Q44),Q44+Q47+Q50,IF(ISNUMBER(Q76),Q76,""))</f>
      </c>
      <c r="R59" s="261">
        <f>IF(ISNUMBER(R44),R44+R47+R50,IF(ISNUMBER(R76),R76,""))</f>
      </c>
      <c r="S59" s="261">
        <f>IF(ISNUMBER(S44),S44+S47+S50,IF(ISNUMBER(S76),S76,""))</f>
      </c>
      <c r="T59" s="261">
        <f>IF(ISNUMBER(T44),T44+T47+T50,IF(ISNUMBER(T76),T76,""))</f>
      </c>
      <c r="U59" s="261">
        <f>IF(ISNUMBER(U44),U44+U47+U50,IF(ISNUMBER(U76),U76,""))</f>
      </c>
      <c r="V59" s="261">
        <f>IF(ISNUMBER(V44),V44+V47+V50,IF(ISNUMBER(V76),V76,""))</f>
      </c>
      <c r="W59" s="261">
        <f>IF(ISNUMBER(W44),W44+W47+W50,IF(ISNUMBER(W76),W76,""))</f>
      </c>
      <c r="X59" s="261">
        <f>IF(ISNUMBER(X44),X44+X47+X50,IF(ISNUMBER(X76),X76,""))</f>
      </c>
      <c r="Y59" s="261">
        <f>IF(ISNUMBER(Y44),Y44+Y47+Y50,IF(ISNUMBER(Y76),Y76,""))</f>
      </c>
      <c r="Z59" s="261">
        <f>IF(ISNUMBER(Z44),Z44+Z47+Z50,IF(ISNUMBER(Z76),Z76,""))</f>
      </c>
      <c r="AA59" s="261">
        <f>IF(ISNUMBER(AA44),AA44+AA47+AA50,IF(ISNUMBER(AA76),AA76,""))</f>
      </c>
      <c r="AB59" s="261">
        <f>IF(ISNUMBER(AB44),AB44+AB47+AB50,IF(ISNUMBER(AB76),AB76,""))</f>
      </c>
      <c r="AC59" s="261">
        <f>IF(ISNUMBER(AC44),AC44+AC47+AC50,IF(ISNUMBER(AC76),AC76,""))</f>
      </c>
      <c r="AD59" s="261">
        <f>IF(ISNUMBER(AD44),AD44+AD47+AD50,IF(ISNUMBER(AD76),AD76,""))</f>
      </c>
      <c r="AE59" s="261">
        <f>IF(ISNUMBER(AE44),AE44+AE47+AE50,IF(ISNUMBER(AE76),AE76,""))</f>
      </c>
      <c r="AF59" s="261">
        <f>IF(ISNUMBER(AF44),AF44+AF47+AF50,IF(ISNUMBER(AF76),AF76,""))</f>
      </c>
      <c r="AG59" s="261">
        <f>IF(ISNUMBER(AG44),AG44+AG47+AG50,IF(ISNUMBER(AG76),AG76,""))</f>
      </c>
      <c r="AH59" s="261">
        <f>IF(ISNUMBER(AH44),AH44+AH47+AH50,IF(ISNUMBER(AH76),AH76,""))</f>
      </c>
      <c r="AI59" s="261">
        <f>IF(ISNUMBER(AI44),AI44+AI47+AI50,IF(ISNUMBER(AI76),AI76,""))</f>
      </c>
      <c r="AJ59" s="261">
        <f>IF(ISNUMBER(AJ44),AJ44+AJ47+AJ50,IF(ISNUMBER(AJ76),AJ76,""))</f>
      </c>
      <c r="AK59" s="261">
        <f>IF(ISNUMBER(AK44),AK44+AK47+AK50,IF(ISNUMBER(AK76),AK76,""))</f>
      </c>
      <c r="AL59" s="261">
        <f>IF(ISNUMBER(AL44),AL44+AL47+AL50,IF(ISNUMBER(AL76),AL76,""))</f>
      </c>
      <c r="AM59" s="261">
        <f>IF(ISNUMBER(AM44),AM44+AM47+AM50,IF(ISNUMBER(AM76),AM76,""))</f>
      </c>
      <c r="AN59" s="261">
        <f>IF(ISNUMBER(AN44),AN44+AN47+AN50,IF(ISNUMBER(AN76),AN76,""))</f>
      </c>
      <c r="AO59" s="261">
        <f>IF(ISNUMBER(AO44),AO44+AO47+AO50,IF(ISNUMBER(AO76),AO76,""))</f>
      </c>
      <c r="AP59" s="261">
        <f>IF(ISNUMBER(AP44),AP44+AP47+AP50,IF(ISNUMBER(AP76),AP76,""))</f>
      </c>
      <c r="AQ59" s="261">
        <f>IF(ISNUMBER(AQ44),AQ44+AQ47+AQ50,IF(ISNUMBER(AQ76),AQ76,""))</f>
      </c>
      <c r="AR59" s="261">
        <f>IF(ISNUMBER(AR44),AR44+AR47+AR50,IF(ISNUMBER(AR76),AR76,""))</f>
      </c>
      <c r="AS59" s="261">
        <f>IF(ISNUMBER(AS44),AS44+AS47+AS50,IF(ISNUMBER(AS76),AS76,""))</f>
      </c>
      <c r="AT59" s="261">
        <f>IF(ISNUMBER(AT44),AT44+AT47+AT50,IF(ISNUMBER(AT76),AT76,""))</f>
      </c>
      <c r="AU59" s="261">
        <f>IF(ISNUMBER(AU44),AU44+AU47+AU50,IF(ISNUMBER(AU76),AU76,""))</f>
      </c>
      <c r="AV59" s="261">
        <f>IF(ISNUMBER(AV44),AV44+AV47+AV50,IF(ISNUMBER(AV76),AV76,""))</f>
      </c>
      <c r="AW59" s="261">
        <f>IF(ISNUMBER(AW44),AW44+AW47+AW50,IF(ISNUMBER(AW76),AW76,""))</f>
      </c>
      <c r="AX59" s="261">
        <f>IF(ISNUMBER(AX44),AX44+AX47+AX50,IF(ISNUMBER(AX76),AX76,""))</f>
        <v>225</v>
      </c>
      <c r="AY59" s="261">
        <f>IF(ISNUMBER(AY44),AY44+AY47+AY50,IF(ISNUMBER(AY76),AY76,""))</f>
        <v>222</v>
      </c>
      <c r="AZ59" s="261">
        <f>IF(ISNUMBER(AZ44),AZ44+AZ47+AZ50,IF(ISNUMBER(AZ76),AZ76,""))</f>
        <v>250</v>
      </c>
      <c r="BA59" s="261">
        <f>IF(ISNUMBER(BA44),BA44+BA47+BA50,IF(ISNUMBER(BA76),BA76,""))</f>
        <v>314</v>
      </c>
      <c r="BB59" s="261">
        <f>IF(ISNUMBER(BB44),BB44+BB47+BB50,IF(ISNUMBER(BB76),BB76,""))</f>
        <v>1011</v>
      </c>
      <c r="BC59" s="261">
        <f>IF(ISNUMBER(BC44),BC44+BC47+BC50,IF(ISNUMBER(BC76),BC76,""))</f>
        <v>334</v>
      </c>
      <c r="BD59" s="261">
        <f>IF(ISNUMBER(BD44),BD44+BD47+BD50,IF(ISNUMBER(BD76),BD76,""))</f>
        <v>312</v>
      </c>
      <c r="BE59" s="261">
        <f>IF(ISNUMBER(BE44),BE44+BE47+BE50,IF(ISNUMBER(BE76),BE76,""))</f>
        <v>325</v>
      </c>
      <c r="BF59" s="261">
        <f>IF(ISNUMBER(BF44),BF44+BF47+BF50,IF(ISNUMBER(BF76),BF76,""))</f>
        <v>353</v>
      </c>
      <c r="BG59" s="261">
        <f>IF(ISNUMBER(BG44),BG44+BG47+BG50,IF(ISNUMBER(BG76),BG76,""))</f>
        <v>1324</v>
      </c>
      <c r="BH59" s="261">
        <f>IF(ISNUMBER(BH44),BH44+BH47+BH50,IF(ISNUMBER(BH76),BH76,""))</f>
        <v>354</v>
      </c>
      <c r="BI59" s="261">
        <f>IF(ISNUMBER(BI44),BI44+BI47+BI50,IF(ISNUMBER(BI76),BI76,""))</f>
        <v>334</v>
      </c>
      <c r="BJ59" s="261">
        <f>IF(ISNUMBER(BJ44),BJ44+BJ47+BJ50,IF(ISNUMBER(BJ76),BJ76,""))</f>
        <v>354</v>
      </c>
      <c r="BK59" s="261">
        <f>IF(ISNUMBER(BK44),BK44+BK47+BK50,IF(ISNUMBER(BK76),BK76,""))</f>
        <v>361</v>
      </c>
      <c r="BL59" s="261">
        <f>IF(ISNUMBER(BL44),BL44+BL47+BL50,IF(ISNUMBER(BL76),BL76,""))</f>
        <v>1383</v>
      </c>
      <c r="BM59" s="261">
        <f>IF(ISNUMBER(BM44),BM44+BM47+BM50,IF(ISNUMBER(BM76),BM76,""))</f>
        <v>365</v>
      </c>
      <c r="BN59" s="261">
        <f>IF(ISNUMBER(BN44),BN44+BN47+BN50,IF(ISNUMBER(BN76),BN76,""))</f>
        <v>366</v>
      </c>
      <c r="BO59" s="261">
        <f>IF(ISNUMBER(BO44),BO44+BO47+BO50,IF(ISNUMBER(BO76),BO76,""))</f>
        <v>383</v>
      </c>
      <c r="BP59" s="261">
        <f>IF(ISNUMBER(BP44),BP44+BP47+BP50,IF(ISNUMBER(BP76),BP76,""))</f>
        <v>402</v>
      </c>
      <c r="BQ59" s="261">
        <f>IF(ISNUMBER(BQ44),BQ44+BQ47+BQ50,IF(ISNUMBER(BQ76),BQ76,""))</f>
        <v>1516</v>
      </c>
      <c r="BR59" s="261">
        <f>IF(ISNUMBER(BR44),BR44+BR47+BR50,IF(ISNUMBER(BR76),BR76,""))</f>
        <v>405</v>
      </c>
      <c r="BS59" s="261">
        <f>IF(ISNUMBER(BS44),BS44+BS47+BS50,IF(ISNUMBER(BS76),BS76,""))</f>
        <v>413</v>
      </c>
      <c r="BT59" s="261">
        <f>IF(ISNUMBER(BT44),BT44+BT47+BT50,IF(ISNUMBER(BT76),BT76,""))</f>
        <v>424</v>
      </c>
      <c r="BU59" s="261">
        <f>IF(ISNUMBER(BU44),BU44+BU47+BU50,IF(ISNUMBER(BU76),BU76,""))</f>
        <v>450</v>
      </c>
      <c r="BV59" s="261">
        <f>IF(ISNUMBER(BV44),BV44+BV47+BV50,IF(ISNUMBER(BV76),BV76,""))</f>
        <v>1692</v>
      </c>
      <c r="BW59" s="261">
        <f>IF(ISNUMBER(BW44),BW44+BW47+BW50,IF(ISNUMBER(BW76),BW76,""))</f>
        <v>432</v>
      </c>
      <c r="BX59" s="261">
        <f>IF(ISNUMBER(BX44),BX44+BX47+BX50,IF(ISNUMBER(BX76),BX76,""))</f>
        <v>423</v>
      </c>
      <c r="BY59" s="267">
        <f>BY44+BY47+BY50</f>
        <v>436.07334234719</v>
      </c>
      <c r="BZ59" s="267">
        <f>BZ44+BZ47+BZ50</f>
        <v>462.391131634839</v>
      </c>
      <c r="CA59" s="267">
        <f>SUM(BW59:BZ59)</f>
        <v>1753.46447398203</v>
      </c>
      <c r="CB59" s="267">
        <f>CB44+CB47+CB50</f>
        <v>1916.07448246415</v>
      </c>
      <c r="CC59" s="267">
        <f>CC44+CC47+CC50</f>
        <v>2080.68131360464</v>
      </c>
      <c r="CD59" s="267">
        <f>CD44+CD47+CD50</f>
        <v>2247.89922226645</v>
      </c>
      <c r="CE59" s="267">
        <f>CE44+CE47+CE50</f>
        <v>2412.72591787311</v>
      </c>
      <c r="CF59" s="153" t="n"/>
      <c r="CN59" s="25" t="inlineStr">
        <is>
          <t xml:space="preserve">  2028E</t>
        </is>
      </c>
      <c r="CO59" s="33">
        <f>CP59+$CO$57</f>
        <v>0.07</v>
      </c>
      <c r="CP59" s="42" t="n">
        <v>0.05</v>
      </c>
      <c r="CQ59" s="33">
        <f>CP59+$CQ$57</f>
        <v>0.02</v>
      </c>
    </row>
    <row r="60" ht="15" customHeight="1" s="251">
      <c r="B60" s="25" t="inlineStr">
        <is>
          <t xml:space="preserve">  MA revenue not split on the current lines (history before the current line structure; derived)</t>
        </is>
      </c>
      <c r="C60" s="261">
        <f>IF(ISNUMBER(C64),C64-(N(C44)+N(C47)+N(C50)+N(C53)+N(C56))-IF(AND(NOT(ISNUMBER(C44)),ISNUMBER(C76)),C76,0),"")</f>
        <v>397.3</v>
      </c>
      <c r="D60" s="261">
        <f>IF(ISNUMBER(D64),D64-(N(D44)+N(D47)+N(D50)+N(D53)+N(D56))-IF(AND(NOT(ISNUMBER(D44)),ISNUMBER(D76)),D76,0),"")</f>
        <v>479.1</v>
      </c>
      <c r="E60" s="261">
        <f>IF(ISNUMBER(E64),E64-(N(E44)+N(E47)+N(E50)+N(E53)+N(E56))-IF(AND(NOT(ISNUMBER(E44)),ISNUMBER(E76)),E76,0),"")</f>
        <v>550.7</v>
      </c>
      <c r="F60" s="261">
        <f>IF(ISNUMBER(F64),F64-(N(F44)+N(F47)+N(F50)+N(F53)+N(F56))-IF(AND(NOT(ISNUMBER(F44)),ISNUMBER(F76)),F76,0),"")</f>
        <v>579.5</v>
      </c>
      <c r="G60" s="261">
        <f>IF(ISNUMBER(G64),G64-(N(G44)+N(G47)+N(G50)+N(G53)+N(G56))-IF(AND(NOT(ISNUMBER(G44)),ISNUMBER(G76)),G76,0),"")</f>
        <v>627</v>
      </c>
      <c r="H60" s="261">
        <f>IF(ISNUMBER(H64),H64-(N(H44)+N(H47)+N(H50)+N(H53)+N(H56))-IF(AND(NOT(ISNUMBER(H44)),ISNUMBER(H76)),H76,0),"")</f>
        <v>711.8</v>
      </c>
      <c r="I60" s="261">
        <f>IF(ISNUMBER(I64),I64-(N(I44)+N(I47)+N(I50)+N(I53)+N(I56))-IF(AND(NOT(ISNUMBER(I44)),ISNUMBER(I76)),I76,0),"")</f>
        <v>843.5</v>
      </c>
      <c r="J60" s="261">
        <f>IF(ISNUMBER(J64),J64-(N(J44)+N(J47)+N(J50)+N(J53)+N(J56))-IF(AND(NOT(ISNUMBER(J44)),ISNUMBER(J76)),J76,0),"")</f>
        <v>210.6</v>
      </c>
      <c r="K60" s="261">
        <f>IF(ISNUMBER(K64),K64-(N(K44)+N(K47)+N(K50)+N(K53)+N(K56))-IF(AND(NOT(ISNUMBER(K44)),ISNUMBER(K76)),K76,0),"")</f>
        <v>218.7</v>
      </c>
      <c r="L60" s="261">
        <f>IF(ISNUMBER(L64),L64-(N(L44)+N(L47)+N(L50)+N(L53)+N(L56))-IF(AND(NOT(ISNUMBER(L44)),ISNUMBER(L76)),L76,0),"")</f>
        <v>227.4</v>
      </c>
      <c r="M60" s="261">
        <f>IF(ISNUMBER(M64),M64-(N(M44)+N(M47)+N(M50)+N(M53)+N(M56))-IF(AND(NOT(ISNUMBER(M44)),ISNUMBER(M76)),M76,0),"")</f>
        <v>256.4</v>
      </c>
      <c r="N60" s="261">
        <f>IF(ISNUMBER(N64),N64-(N(N44)+N(N47)+N(N50)+N(N53)+N(N56))-IF(AND(NOT(ISNUMBER(N44)),ISNUMBER(N76)),N76,0),"")</f>
        <v>913.1</v>
      </c>
      <c r="O60" s="261">
        <f>IF(ISNUMBER(O64),O64-(N(O44)+N(O47)+N(O50)+N(O53)+N(O56))-IF(AND(NOT(ISNUMBER(O44)),ISNUMBER(O76)),O76,0),"")</f>
        <v>241.4</v>
      </c>
      <c r="P60" s="261">
        <f>IF(ISNUMBER(P64),P64-(N(P44)+N(P47)+N(P50)+N(P53)+N(P56))-IF(AND(NOT(ISNUMBER(P44)),ISNUMBER(P76)),P76,0),"")</f>
        <v>251.8</v>
      </c>
      <c r="Q60" s="261">
        <f>IF(ISNUMBER(Q64),Q64-(N(Q44)+N(Q47)+N(Q50)+N(Q53)+N(Q56))-IF(AND(NOT(ISNUMBER(Q44)),ISNUMBER(Q76)),Q76,0),"")</f>
        <v>273</v>
      </c>
      <c r="R60" s="261">
        <f>IF(ISNUMBER(R64),R64-(N(R44)+N(R47)+N(R50)+N(R53)+N(R56))-IF(AND(NOT(ISNUMBER(R44)),ISNUMBER(R76)),R76,0),"")</f>
        <v>312.4</v>
      </c>
      <c r="S60" s="261">
        <f>IF(ISNUMBER(S64),S64-(N(S44)+N(S47)+N(S50)+N(S53)+N(S56))-IF(AND(NOT(ISNUMBER(S44)),ISNUMBER(S76)),S76,0),"")</f>
        <v>1068.5</v>
      </c>
      <c r="T60" s="261">
        <f>IF(ISNUMBER(T64),T64-(N(T44)+N(T47)+N(T50)+N(T53)+N(T56))-IF(AND(NOT(ISNUMBER(T44)),ISNUMBER(T76)),T76,0),"")</f>
        <v>263.3</v>
      </c>
      <c r="U60" s="261">
        <f>IF(ISNUMBER(U64),U64-(N(U44)+N(U47)+N(U50)+N(U53)+N(U56))-IF(AND(NOT(ISNUMBER(U44)),ISNUMBER(U76)),U76,0),"")</f>
        <v>278.9</v>
      </c>
      <c r="V60" s="261">
        <f>IF(ISNUMBER(V64),V64-(N(V44)+N(V47)+N(V50)+N(V53)+N(V56))-IF(AND(NOT(ISNUMBER(V44)),ISNUMBER(V76)),V76,0),"")</f>
        <v>286.8</v>
      </c>
      <c r="W60" s="261">
        <f>IF(ISNUMBER(W64),W64-(N(W44)+N(W47)+N(W50)+N(W53)+N(W56))-IF(AND(NOT(ISNUMBER(W44)),ISNUMBER(W76)),W76,0),"")</f>
        <v>321.3</v>
      </c>
      <c r="X60" s="261">
        <f>IF(ISNUMBER(X64),X64-(N(X44)+N(X47)+N(X50)+N(X53)+N(X56))-IF(AND(NOT(ISNUMBER(X44)),ISNUMBER(X76)),X76,0),"")</f>
        <v>1150.3</v>
      </c>
      <c r="Y60" s="261">
        <f>IF(ISNUMBER(Y64),Y64-(N(Y44)+N(Y47)+N(Y50)+N(Y53)+N(Y56))-IF(AND(NOT(ISNUMBER(Y44)),ISNUMBER(Y76)),Y76,0),"")</f>
        <v>291</v>
      </c>
      <c r="Z60" s="261">
        <f>IF(ISNUMBER(Z64),Z64-(N(Z44)+N(Z47)+N(Z50)+N(Z53)+N(Z56))-IF(AND(NOT(ISNUMBER(Z44)),ISNUMBER(Z76)),Z76,0),"")</f>
        <v>303.3</v>
      </c>
      <c r="AA60" s="261">
        <f>IF(ISNUMBER(AA64),AA64-(N(AA44)+N(AA47)+N(AA50)+N(AA53)+N(AA56))-IF(AND(NOT(ISNUMBER(AA44)),ISNUMBER(AA76)),AA76,0),"")</f>
        <v>304.8</v>
      </c>
      <c r="AB60" s="261">
        <f>IF(ISNUMBER(AB64),AB64-(N(AB44)+N(AB47)+N(AB50)+N(AB53)+N(AB56))-IF(AND(NOT(ISNUMBER(AB44)),ISNUMBER(AB76)),AB76,0),"")</f>
        <v>334.3</v>
      </c>
      <c r="AC60" s="261">
        <f>IF(ISNUMBER(AC64),AC64-(N(AC44)+N(AC47)+N(AC50)+N(AC53)+N(AC56))-IF(AND(NOT(ISNUMBER(AC44)),ISNUMBER(AC76)),AC76,0),"")</f>
        <v>1233.4</v>
      </c>
      <c r="AD60" s="261">
        <f>IF(ISNUMBER(AD64),AD64-(N(AD44)+N(AD47)+N(AD50)+N(AD53)+N(AD56))-IF(AND(NOT(ISNUMBER(AD44)),ISNUMBER(AD76)),AD76,0),"")</f>
        <v>307</v>
      </c>
      <c r="AE60" s="261">
        <f>IF(ISNUMBER(AE64),AE64-(N(AE44)+N(AE47)+N(AE50)+N(AE53)+N(AE56))-IF(AND(NOT(ISNUMBER(AE44)),ISNUMBER(AE76)),AE76,0),"")</f>
        <v>313.8</v>
      </c>
      <c r="AF60" s="261">
        <f>IF(ISNUMBER(AF64),AF64-(N(AF44)+N(AF47)+N(AF50)+N(AF53)+N(AF56))-IF(AND(NOT(ISNUMBER(AF44)),ISNUMBER(AF76)),AF76,0),"")</f>
        <v>368.7</v>
      </c>
      <c r="AG60" s="261">
        <f>IF(ISNUMBER(AG64),AG64-(N(AG44)+N(AG47)+N(AG50)+N(AG53)+N(AG56))-IF(AND(NOT(ISNUMBER(AG44)),ISNUMBER(AG76)),AG76,0),"")</f>
        <v>440.8</v>
      </c>
      <c r="AH60" s="261">
        <f>IF(ISNUMBER(AH64),AH64-(N(AH44)+N(AH47)+N(AH50)+N(AH53)+N(AH56))-IF(AND(NOT(ISNUMBER(AH44)),ISNUMBER(AH76)),AH76,0),"")</f>
        <v>1430.3</v>
      </c>
      <c r="AI60" s="261">
        <f>IF(ISNUMBER(AI64),AI64-(N(AI44)+N(AI47)+N(AI50)+N(AI53)+N(AI56))-IF(AND(NOT(ISNUMBER(AI44)),ISNUMBER(AI76)),AI76,0),"")</f>
        <v>406.8</v>
      </c>
      <c r="AJ60" s="261">
        <f>IF(ISNUMBER(AJ64),AJ64-(N(AJ44)+N(AJ47)+N(AJ50)+N(AJ53)+N(AJ56))-IF(AND(NOT(ISNUMBER(AJ44)),ISNUMBER(AJ76)),AJ76,0),"")</f>
        <v>422.8</v>
      </c>
      <c r="AK60" s="261">
        <f>IF(ISNUMBER(AK64),AK64-(N(AK44)+N(AK47)+N(AK50)+N(AK53)+N(AK56))-IF(AND(NOT(ISNUMBER(AK44)),ISNUMBER(AK76)),AK76,0),"")</f>
        <v>436</v>
      </c>
      <c r="AL60" s="261">
        <f>IF(ISNUMBER(AL64),AL64-(N(AL44)+N(AL47)+N(AL50)+N(AL53)+N(AL56))-IF(AND(NOT(ISNUMBER(AL44)),ISNUMBER(AL76)),AL76,0),"")</f>
        <v>464.7</v>
      </c>
      <c r="AM60" s="261">
        <f>IF(ISNUMBER(AM64),AM64-(N(AM44)+N(AM47)+N(AM50)+N(AM53)+N(AM56))-IF(AND(NOT(ISNUMBER(AM44)),ISNUMBER(AM76)),AM76,0),"")</f>
        <v>1730.3</v>
      </c>
      <c r="AN60" s="261">
        <f>IF(ISNUMBER(AN64),AN64-(N(AN44)+N(AN47)+N(AN50)+N(AN53)+N(AN56))-IF(AND(NOT(ISNUMBER(AN44)),ISNUMBER(AN76)),AN76,0),"")</f>
        <v>472</v>
      </c>
      <c r="AO60" s="261">
        <f>IF(ISNUMBER(AO64),AO64-(N(AO44)+N(AO47)+N(AO50)+N(AO53)+N(AO56))-IF(AND(NOT(ISNUMBER(AO44)),ISNUMBER(AO76)),AO76,0),"")</f>
        <v>475.2</v>
      </c>
      <c r="AP60" s="261">
        <f>IF(ISNUMBER(AP64),AP64-(N(AP44)+N(AP47)+N(AP50)+N(AP53)+N(AP56))-IF(AND(NOT(ISNUMBER(AP44)),ISNUMBER(AP76)),AP76,0),"")</f>
        <v>493.9</v>
      </c>
      <c r="AQ60" s="261">
        <f>IF(ISNUMBER(AQ64),AQ64-(N(AQ44)+N(AQ47)+N(AQ50)+N(AQ53)+N(AQ56))-IF(AND(NOT(ISNUMBER(AQ44)),ISNUMBER(AQ76)),AQ76,0),"")</f>
        <v>513</v>
      </c>
      <c r="AR60" s="261">
        <f>IF(ISNUMBER(AR64),AR64-(N(AR44)+N(AR47)+N(AR50)+N(AR53)+N(AR56))-IF(AND(NOT(ISNUMBER(AR44)),ISNUMBER(AR76)),AR76,0),"")</f>
        <v>1954</v>
      </c>
      <c r="AS60" s="261">
        <f>IF(ISNUMBER(AS64),AS64-(N(AS44)+N(AS47)+N(AS50)+N(AS53)+N(AS56))-IF(AND(NOT(ISNUMBER(AS44)),ISNUMBER(AS76)),AS76,0),"")</f>
        <v>496</v>
      </c>
      <c r="AT60" s="261">
        <f>IF(ISNUMBER(AT64),AT64-(N(AT44)+N(AT47)+N(AT50)+N(AT53)+N(AT56))-IF(AND(NOT(ISNUMBER(AT44)),ISNUMBER(AT76)),AT76,0),"")</f>
        <v>497</v>
      </c>
      <c r="AU60" s="261">
        <f>IF(ISNUMBER(AU64),AU64-(N(AU44)+N(AU47)+N(AU50)+N(AU53)+N(AU56))-IF(AND(NOT(ISNUMBER(AU44)),ISNUMBER(AU76)),AU76,0),"")</f>
        <v>531</v>
      </c>
      <c r="AV60" s="261">
        <f>IF(ISNUMBER(AV64),AV64-(N(AV44)+N(AV47)+N(AV50)+N(AV53)+N(AV56))-IF(AND(NOT(ISNUMBER(AV44)),ISNUMBER(AV76)),AV76,0),"")</f>
        <v>555</v>
      </c>
      <c r="AW60" s="261">
        <f>IF(ISNUMBER(AW64),AW64-(N(AW44)+N(AW47)+N(AW50)+N(AW53)+N(AW56))-IF(AND(NOT(ISNUMBER(AW44)),ISNUMBER(AW76)),AW76,0),"")</f>
        <v>2079</v>
      </c>
      <c r="AX60" s="261">
        <f>IF(ISNUMBER(AX64),AX64-(N(AX44)+N(AX47)+N(AX50)+N(AX53)+N(AX56))-IF(AND(NOT(ISNUMBER(AX44)),ISNUMBER(AX76)),AX76,0),"")</f>
        <v>0</v>
      </c>
      <c r="AY60" s="261">
        <f>IF(ISNUMBER(AY64),AY64-(N(AY44)+N(AY47)+N(AY50)+N(AY53)+N(AY56))-IF(AND(NOT(ISNUMBER(AY44)),ISNUMBER(AY76)),AY76,0),"")</f>
        <v>0</v>
      </c>
      <c r="AZ60" s="261">
        <f>IF(ISNUMBER(AZ64),AZ64-(N(AZ44)+N(AZ47)+N(AZ50)+N(AZ53)+N(AZ56))-IF(AND(NOT(ISNUMBER(AZ44)),ISNUMBER(AZ76)),AZ76,0),"")</f>
        <v>0</v>
      </c>
      <c r="BA60" s="261">
        <f>IF(ISNUMBER(BA64),BA64-(N(BA44)+N(BA47)+N(BA50)+N(BA53)+N(BA56))-IF(AND(NOT(ISNUMBER(BA44)),ISNUMBER(BA76)),BA76,0),"")</f>
        <v>0</v>
      </c>
      <c r="BB60" s="261">
        <f>IF(ISNUMBER(BB64),BB64-(N(BB44)+N(BB47)+N(BB50)+N(BB53)+N(BB56))-IF(AND(NOT(ISNUMBER(BB44)),ISNUMBER(BB76)),BB76,0),"")</f>
        <v>0</v>
      </c>
      <c r="BC60" s="261">
        <f>IF(ISNUMBER(BC64),BC64-(N(BC44)+N(BC47)+N(BC50)+N(BC53)+N(BC56))-IF(AND(NOT(ISNUMBER(BC44)),ISNUMBER(BC76)),BC76,0),"")</f>
        <v>0</v>
      </c>
      <c r="BD60" s="261">
        <f>IF(ISNUMBER(BD64),BD64-(N(BD44)+N(BD47)+N(BD50)+N(BD53)+N(BD56))-IF(AND(NOT(ISNUMBER(BD44)),ISNUMBER(BD76)),BD76,0),"")</f>
        <v>0</v>
      </c>
      <c r="BE60" s="261">
        <f>IF(ISNUMBER(BE64),BE64-(N(BE44)+N(BE47)+N(BE50)+N(BE53)+N(BE56))-IF(AND(NOT(ISNUMBER(BE44)),ISNUMBER(BE76)),BE76,0),"")</f>
        <v>0</v>
      </c>
      <c r="BF60" s="261">
        <f>IF(ISNUMBER(BF64),BF64-(N(BF44)+N(BF47)+N(BF50)+N(BF53)+N(BF56))-IF(AND(NOT(ISNUMBER(BF44)),ISNUMBER(BF76)),BF76,0),"")</f>
        <v>0</v>
      </c>
      <c r="BG60" s="261">
        <f>IF(ISNUMBER(BG64),BG64-(N(BG44)+N(BG47)+N(BG50)+N(BG53)+N(BG56))-IF(AND(NOT(ISNUMBER(BG44)),ISNUMBER(BG76)),BG76,0),"")</f>
        <v>0</v>
      </c>
      <c r="BH60" s="261">
        <f>IF(ISNUMBER(BH64),BH64-(N(BH44)+N(BH47)+N(BH50)+N(BH53)+N(BH56))-IF(AND(NOT(ISNUMBER(BH44)),ISNUMBER(BH76)),BH76,0),"")</f>
        <v>0</v>
      </c>
      <c r="BI60" s="261">
        <f>IF(ISNUMBER(BI64),BI64-(N(BI44)+N(BI47)+N(BI50)+N(BI53)+N(BI56))-IF(AND(NOT(ISNUMBER(BI44)),ISNUMBER(BI76)),BI76,0),"")</f>
        <v>0</v>
      </c>
      <c r="BJ60" s="261">
        <f>IF(ISNUMBER(BJ64),BJ64-(N(BJ44)+N(BJ47)+N(BJ50)+N(BJ53)+N(BJ56))-IF(AND(NOT(ISNUMBER(BJ44)),ISNUMBER(BJ76)),BJ76,0),"")</f>
        <v>0</v>
      </c>
      <c r="BK60" s="261">
        <f>IF(ISNUMBER(BK64),BK64-(N(BK44)+N(BK47)+N(BK50)+N(BK53)+N(BK56))-IF(AND(NOT(ISNUMBER(BK44)),ISNUMBER(BK76)),BK76,0),"")</f>
        <v>0</v>
      </c>
      <c r="BL60" s="261">
        <f>IF(ISNUMBER(BL64),BL64-(N(BL44)+N(BL47)+N(BL50)+N(BL53)+N(BL56))-IF(AND(NOT(ISNUMBER(BL44)),ISNUMBER(BL76)),BL76,0),"")</f>
        <v>0</v>
      </c>
      <c r="BM60" s="261">
        <f>IF(ISNUMBER(BM64),BM64-(N(BM44)+N(BM47)+N(BM50)+N(BM53)+N(BM56))-IF(AND(NOT(ISNUMBER(BM44)),ISNUMBER(BM76)),BM76,0),"")</f>
        <v>0</v>
      </c>
      <c r="BN60" s="261">
        <f>IF(ISNUMBER(BN64),BN64-(N(BN44)+N(BN47)+N(BN50)+N(BN53)+N(BN56))-IF(AND(NOT(ISNUMBER(BN44)),ISNUMBER(BN76)),BN76,0),"")</f>
        <v>0</v>
      </c>
      <c r="BO60" s="261">
        <f>IF(ISNUMBER(BO64),BO64-(N(BO44)+N(BO47)+N(BO50)+N(BO53)+N(BO56))-IF(AND(NOT(ISNUMBER(BO44)),ISNUMBER(BO76)),BO76,0),"")</f>
        <v>0</v>
      </c>
      <c r="BP60" s="261">
        <f>IF(ISNUMBER(BP64),BP64-(N(BP44)+N(BP47)+N(BP50)+N(BP53)+N(BP56))-IF(AND(NOT(ISNUMBER(BP44)),ISNUMBER(BP76)),BP76,0),"")</f>
        <v>0</v>
      </c>
      <c r="BQ60" s="261">
        <f>IF(ISNUMBER(BQ64),BQ64-(N(BQ44)+N(BQ47)+N(BQ50)+N(BQ53)+N(BQ56))-IF(AND(NOT(ISNUMBER(BQ44)),ISNUMBER(BQ76)),BQ76,0),"")</f>
        <v>0</v>
      </c>
      <c r="BR60" s="261">
        <f>IF(ISNUMBER(BR64),BR64-(N(BR44)+N(BR47)+N(BR50)+N(BR53)+N(BR56))-IF(AND(NOT(ISNUMBER(BR44)),ISNUMBER(BR76)),BR76,0),"")</f>
        <v>0</v>
      </c>
      <c r="BS60" s="261">
        <f>IF(ISNUMBER(BS64),BS64-(N(BS44)+N(BS47)+N(BS50)+N(BS53)+N(BS56))-IF(AND(NOT(ISNUMBER(BS44)),ISNUMBER(BS76)),BS76,0),"")</f>
        <v>0</v>
      </c>
      <c r="BT60" s="261">
        <f>IF(ISNUMBER(BT64),BT64-(N(BT44)+N(BT47)+N(BT50)+N(BT53)+N(BT56))-IF(AND(NOT(ISNUMBER(BT44)),ISNUMBER(BT76)),BT76,0),"")</f>
        <v>0</v>
      </c>
      <c r="BU60" s="261">
        <f>IF(ISNUMBER(BU64),BU64-(N(BU44)+N(BU47)+N(BU50)+N(BU53)+N(BU56))-IF(AND(NOT(ISNUMBER(BU44)),ISNUMBER(BU76)),BU76,0),"")</f>
        <v>0</v>
      </c>
      <c r="BV60" s="261">
        <f>IF(ISNUMBER(BV64),BV64-(N(BV44)+N(BV47)+N(BV50)+N(BV53)+N(BV56))-IF(AND(NOT(ISNUMBER(BV44)),ISNUMBER(BV76)),BV76,0),"")</f>
        <v>0</v>
      </c>
      <c r="BW60" s="261">
        <f>IF(ISNUMBER(BW64),BW64-(N(BW44)+N(BW47)+N(BW50)+N(BW53)+N(BW56))-IF(AND(NOT(ISNUMBER(BW44)),ISNUMBER(BW76)),BW76,0),"")</f>
        <v>0</v>
      </c>
      <c r="BX60" s="261">
        <f>IF(ISNUMBER(BX64),BX64-(N(BX44)+N(BX47)+N(BX50)+N(BX53)+N(BX56))-IF(AND(NOT(ISNUMBER(BX44)),ISNUMBER(BX76)),BX76,0),"")</f>
        <v>0</v>
      </c>
      <c r="BY60" s="254">
        <f>0</f>
        <v>0</v>
      </c>
      <c r="BZ60" s="254">
        <f>0</f>
        <v>0</v>
      </c>
      <c r="CA60" s="254">
        <f>SUM(BW60:BZ60)</f>
        <v>0</v>
      </c>
      <c r="CB60" s="254">
        <f>0</f>
        <v>0</v>
      </c>
      <c r="CC60" s="254">
        <f>0</f>
        <v>0</v>
      </c>
      <c r="CD60" s="254">
        <f>0</f>
        <v>0</v>
      </c>
      <c r="CE60" s="254">
        <f>0</f>
        <v>0</v>
      </c>
      <c r="CF60" s="19" t="n"/>
      <c r="CN60" s="25" t="inlineStr">
        <is>
          <t xml:space="preserve">  2029E</t>
        </is>
      </c>
      <c r="CO60" s="33">
        <f>CP60+$CO$57</f>
        <v>0.07</v>
      </c>
      <c r="CP60" s="42" t="n">
        <v>0.05</v>
      </c>
      <c r="CQ60" s="33">
        <f>CP60+$CQ$57</f>
        <v>0.02</v>
      </c>
    </row>
    <row r="61" ht="15" customHeight="1" s="251">
      <c r="B61" s="16" t="inlineStr">
        <is>
          <t xml:space="preserve">  MA — external revenue</t>
        </is>
      </c>
      <c r="C61" s="262">
        <f>IF(ISNUMBER(C64),N(C44)+N(C47)+N(C50)+N(C53)+N(C56)+C60+IF(AND(NOT(ISNUMBER(C44)),ISNUMBER(C76)),C76,0),"")</f>
        <v>397.3</v>
      </c>
      <c r="D61" s="262">
        <f>IF(ISNUMBER(D64),N(D44)+N(D47)+N(D50)+N(D53)+N(D56)+D60+IF(AND(NOT(ISNUMBER(D44)),ISNUMBER(D76)),D76,0),"")</f>
        <v>479.1</v>
      </c>
      <c r="E61" s="262">
        <f>IF(ISNUMBER(E64),N(E44)+N(E47)+N(E50)+N(E53)+N(E56)+E60+IF(AND(NOT(ISNUMBER(E44)),ISNUMBER(E76)),E76,0),"")</f>
        <v>550.7</v>
      </c>
      <c r="F61" s="262">
        <f>IF(ISNUMBER(F64),N(F44)+N(F47)+N(F50)+N(F53)+N(F56)+F60+IF(AND(NOT(ISNUMBER(F44)),ISNUMBER(F76)),F76,0),"")</f>
        <v>579.5</v>
      </c>
      <c r="G61" s="262">
        <f>IF(ISNUMBER(G64),N(G44)+N(G47)+N(G50)+N(G53)+N(G56)+G60+IF(AND(NOT(ISNUMBER(G44)),ISNUMBER(G76)),G76,0),"")</f>
        <v>627</v>
      </c>
      <c r="H61" s="262">
        <f>IF(ISNUMBER(H64),N(H44)+N(H47)+N(H50)+N(H53)+N(H56)+H60+IF(AND(NOT(ISNUMBER(H44)),ISNUMBER(H76)),H76,0),"")</f>
        <v>711.8</v>
      </c>
      <c r="I61" s="262">
        <f>IF(ISNUMBER(I64),N(I44)+N(I47)+N(I50)+N(I53)+N(I56)+I60+IF(AND(NOT(ISNUMBER(I44)),ISNUMBER(I76)),I76,0),"")</f>
        <v>843.5</v>
      </c>
      <c r="J61" s="262">
        <f>IF(ISNUMBER(J64),N(J44)+N(J47)+N(J50)+N(J53)+N(J56)+J60+IF(AND(NOT(ISNUMBER(J44)),ISNUMBER(J76)),J76,0),"")</f>
        <v>210.6</v>
      </c>
      <c r="K61" s="262">
        <f>IF(ISNUMBER(K64),N(K44)+N(K47)+N(K50)+N(K53)+N(K56)+K60+IF(AND(NOT(ISNUMBER(K44)),ISNUMBER(K76)),K76,0),"")</f>
        <v>218.7</v>
      </c>
      <c r="L61" s="262">
        <f>IF(ISNUMBER(L64),N(L44)+N(L47)+N(L50)+N(L53)+N(L56)+L60+IF(AND(NOT(ISNUMBER(L44)),ISNUMBER(L76)),L76,0),"")</f>
        <v>227.4</v>
      </c>
      <c r="M61" s="262">
        <f>IF(ISNUMBER(M64),N(M44)+N(M47)+N(M50)+N(M53)+N(M56)+M60+IF(AND(NOT(ISNUMBER(M44)),ISNUMBER(M76)),M76,0),"")</f>
        <v>256.4</v>
      </c>
      <c r="N61" s="262">
        <f>IF(ISNUMBER(N64),N(N44)+N(N47)+N(N50)+N(N53)+N(N56)+N60+IF(AND(NOT(ISNUMBER(N44)),ISNUMBER(N76)),N76,0),"")</f>
        <v>913.1</v>
      </c>
      <c r="O61" s="262">
        <f>IF(ISNUMBER(O64),N(O44)+N(O47)+N(O50)+N(O53)+N(O56)+O60+IF(AND(NOT(ISNUMBER(O44)),ISNUMBER(O76)),O76,0),"")</f>
        <v>241.4</v>
      </c>
      <c r="P61" s="262">
        <f>IF(ISNUMBER(P64),N(P44)+N(P47)+N(P50)+N(P53)+N(P56)+P60+IF(AND(NOT(ISNUMBER(P44)),ISNUMBER(P76)),P76,0),"")</f>
        <v>251.8</v>
      </c>
      <c r="Q61" s="262">
        <f>IF(ISNUMBER(Q64),N(Q44)+N(Q47)+N(Q50)+N(Q53)+N(Q56)+Q60+IF(AND(NOT(ISNUMBER(Q44)),ISNUMBER(Q76)),Q76,0),"")</f>
        <v>273</v>
      </c>
      <c r="R61" s="262">
        <f>IF(ISNUMBER(R64),N(R44)+N(R47)+N(R50)+N(R53)+N(R56)+R60+IF(AND(NOT(ISNUMBER(R44)),ISNUMBER(R76)),R76,0),"")</f>
        <v>312.4</v>
      </c>
      <c r="S61" s="262">
        <f>IF(ISNUMBER(S64),N(S44)+N(S47)+N(S50)+N(S53)+N(S56)+S60+IF(AND(NOT(ISNUMBER(S44)),ISNUMBER(S76)),S76,0),"")</f>
        <v>1068.5</v>
      </c>
      <c r="T61" s="262">
        <f>IF(ISNUMBER(T64),N(T44)+N(T47)+N(T50)+N(T53)+N(T56)+T60+IF(AND(NOT(ISNUMBER(T44)),ISNUMBER(T76)),T76,0),"")</f>
        <v>263.3</v>
      </c>
      <c r="U61" s="262">
        <f>IF(ISNUMBER(U64),N(U44)+N(U47)+N(U50)+N(U53)+N(U56)+U60+IF(AND(NOT(ISNUMBER(U44)),ISNUMBER(U76)),U76,0),"")</f>
        <v>278.9</v>
      </c>
      <c r="V61" s="262">
        <f>IF(ISNUMBER(V64),N(V44)+N(V47)+N(V50)+N(V53)+N(V56)+V60+IF(AND(NOT(ISNUMBER(V44)),ISNUMBER(V76)),V76,0),"")</f>
        <v>286.8</v>
      </c>
      <c r="W61" s="262">
        <f>IF(ISNUMBER(W64),N(W44)+N(W47)+N(W50)+N(W53)+N(W56)+W60+IF(AND(NOT(ISNUMBER(W44)),ISNUMBER(W76)),W76,0),"")</f>
        <v>321.3</v>
      </c>
      <c r="X61" s="262">
        <f>IF(ISNUMBER(X64),N(X44)+N(X47)+N(X50)+N(X53)+N(X56)+X60+IF(AND(NOT(ISNUMBER(X44)),ISNUMBER(X76)),X76,0),"")</f>
        <v>1150.3</v>
      </c>
      <c r="Y61" s="262">
        <f>IF(ISNUMBER(Y64),N(Y44)+N(Y47)+N(Y50)+N(Y53)+N(Y56)+Y60+IF(AND(NOT(ISNUMBER(Y44)),ISNUMBER(Y76)),Y76,0),"")</f>
        <v>291</v>
      </c>
      <c r="Z61" s="262">
        <f>IF(ISNUMBER(Z64),N(Z44)+N(Z47)+N(Z50)+N(Z53)+N(Z56)+Z60+IF(AND(NOT(ISNUMBER(Z44)),ISNUMBER(Z76)),Z76,0),"")</f>
        <v>303.3</v>
      </c>
      <c r="AA61" s="262">
        <f>IF(ISNUMBER(AA64),N(AA44)+N(AA47)+N(AA50)+N(AA53)+N(AA56)+AA60+IF(AND(NOT(ISNUMBER(AA44)),ISNUMBER(AA76)),AA76,0),"")</f>
        <v>304.8</v>
      </c>
      <c r="AB61" s="262">
        <f>IF(ISNUMBER(AB64),N(AB44)+N(AB47)+N(AB50)+N(AB53)+N(AB56)+AB60+IF(AND(NOT(ISNUMBER(AB44)),ISNUMBER(AB76)),AB76,0),"")</f>
        <v>334.3</v>
      </c>
      <c r="AC61" s="262">
        <f>IF(ISNUMBER(AC64),N(AC44)+N(AC47)+N(AC50)+N(AC53)+N(AC56)+AC60+IF(AND(NOT(ISNUMBER(AC44)),ISNUMBER(AC76)),AC76,0),"")</f>
        <v>1233.4</v>
      </c>
      <c r="AD61" s="262">
        <f>IF(ISNUMBER(AD64),N(AD44)+N(AD47)+N(AD50)+N(AD53)+N(AD56)+AD60+IF(AND(NOT(ISNUMBER(AD44)),ISNUMBER(AD76)),AD76,0),"")</f>
        <v>307</v>
      </c>
      <c r="AE61" s="262">
        <f>IF(ISNUMBER(AE64),N(AE44)+N(AE47)+N(AE50)+N(AE53)+N(AE56)+AE60+IF(AND(NOT(ISNUMBER(AE44)),ISNUMBER(AE76)),AE76,0),"")</f>
        <v>313.8</v>
      </c>
      <c r="AF61" s="262">
        <f>IF(ISNUMBER(AF64),N(AF44)+N(AF47)+N(AF50)+N(AF53)+N(AF56)+AF60+IF(AND(NOT(ISNUMBER(AF44)),ISNUMBER(AF76)),AF76,0),"")</f>
        <v>368.7</v>
      </c>
      <c r="AG61" s="262">
        <f>IF(ISNUMBER(AG64),N(AG44)+N(AG47)+N(AG50)+N(AG53)+N(AG56)+AG60+IF(AND(NOT(ISNUMBER(AG44)),ISNUMBER(AG76)),AG76,0),"")</f>
        <v>440.8</v>
      </c>
      <c r="AH61" s="262">
        <f>IF(ISNUMBER(AH64),N(AH44)+N(AH47)+N(AH50)+N(AH53)+N(AH56)+AH60+IF(AND(NOT(ISNUMBER(AH44)),ISNUMBER(AH76)),AH76,0),"")</f>
        <v>1430.3</v>
      </c>
      <c r="AI61" s="262">
        <f>IF(ISNUMBER(AI64),N(AI44)+N(AI47)+N(AI50)+N(AI53)+N(AI56)+AI60+IF(AND(NOT(ISNUMBER(AI44)),ISNUMBER(AI76)),AI76,0),"")</f>
        <v>406.8</v>
      </c>
      <c r="AJ61" s="262">
        <f>IF(ISNUMBER(AJ64),N(AJ44)+N(AJ47)+N(AJ50)+N(AJ53)+N(AJ56)+AJ60+IF(AND(NOT(ISNUMBER(AJ44)),ISNUMBER(AJ76)),AJ76,0),"")</f>
        <v>422.8</v>
      </c>
      <c r="AK61" s="262">
        <f>IF(ISNUMBER(AK64),N(AK44)+N(AK47)+N(AK50)+N(AK53)+N(AK56)+AK60+IF(AND(NOT(ISNUMBER(AK44)),ISNUMBER(AK76)),AK76,0),"")</f>
        <v>436</v>
      </c>
      <c r="AL61" s="262">
        <f>IF(ISNUMBER(AL64),N(AL44)+N(AL47)+N(AL50)+N(AL53)+N(AL56)+AL60+IF(AND(NOT(ISNUMBER(AL44)),ISNUMBER(AL76)),AL76,0),"")</f>
        <v>464.7</v>
      </c>
      <c r="AM61" s="262">
        <f>IF(ISNUMBER(AM64),N(AM44)+N(AM47)+N(AM50)+N(AM53)+N(AM56)+AM60+IF(AND(NOT(ISNUMBER(AM44)),ISNUMBER(AM76)),AM76,0),"")</f>
        <v>1730.3</v>
      </c>
      <c r="AN61" s="262">
        <f>IF(ISNUMBER(AN64),N(AN44)+N(AN47)+N(AN50)+N(AN53)+N(AN56)+AN60+IF(AND(NOT(ISNUMBER(AN44)),ISNUMBER(AN76)),AN76,0),"")</f>
        <v>472</v>
      </c>
      <c r="AO61" s="262">
        <f>IF(ISNUMBER(AO64),N(AO44)+N(AO47)+N(AO50)+N(AO53)+N(AO56)+AO60+IF(AND(NOT(ISNUMBER(AO44)),ISNUMBER(AO76)),AO76,0),"")</f>
        <v>475.2</v>
      </c>
      <c r="AP61" s="262">
        <f>IF(ISNUMBER(AP64),N(AP44)+N(AP47)+N(AP50)+N(AP53)+N(AP56)+AP60+IF(AND(NOT(ISNUMBER(AP44)),ISNUMBER(AP76)),AP76,0),"")</f>
        <v>493.9</v>
      </c>
      <c r="AQ61" s="262">
        <f>IF(ISNUMBER(AQ64),N(AQ44)+N(AQ47)+N(AQ50)+N(AQ53)+N(AQ56)+AQ60+IF(AND(NOT(ISNUMBER(AQ44)),ISNUMBER(AQ76)),AQ76,0),"")</f>
        <v>513</v>
      </c>
      <c r="AR61" s="262">
        <f>IF(ISNUMBER(AR64),N(AR44)+N(AR47)+N(AR50)+N(AR53)+N(AR56)+AR60+IF(AND(NOT(ISNUMBER(AR44)),ISNUMBER(AR76)),AR76,0),"")</f>
        <v>1954</v>
      </c>
      <c r="AS61" s="262">
        <f>IF(ISNUMBER(AS64),N(AS44)+N(AS47)+N(AS50)+N(AS53)+N(AS56)+AS60+IF(AND(NOT(ISNUMBER(AS44)),ISNUMBER(AS76)),AS76,0),"")</f>
        <v>496</v>
      </c>
      <c r="AT61" s="262">
        <f>IF(ISNUMBER(AT64),N(AT44)+N(AT47)+N(AT50)+N(AT53)+N(AT56)+AT60+IF(AND(NOT(ISNUMBER(AT44)),ISNUMBER(AT76)),AT76,0),"")</f>
        <v>497</v>
      </c>
      <c r="AU61" s="262">
        <f>IF(ISNUMBER(AU64),N(AU44)+N(AU47)+N(AU50)+N(AU53)+N(AU56)+AU60+IF(AND(NOT(ISNUMBER(AU44)),ISNUMBER(AU76)),AU76,0),"")</f>
        <v>531</v>
      </c>
      <c r="AV61" s="262">
        <f>IF(ISNUMBER(AV64),N(AV44)+N(AV47)+N(AV50)+N(AV53)+N(AV56)+AV60+IF(AND(NOT(ISNUMBER(AV44)),ISNUMBER(AV76)),AV76,0),"")</f>
        <v>555</v>
      </c>
      <c r="AW61" s="262">
        <f>IF(ISNUMBER(AW64),N(AW44)+N(AW47)+N(AW50)+N(AW53)+N(AW56)+AW60+IF(AND(NOT(ISNUMBER(AW44)),ISNUMBER(AW76)),AW76,0),"")</f>
        <v>2079</v>
      </c>
      <c r="AX61" s="262">
        <f>IF(ISNUMBER(AX64),N(AX44)+N(AX47)+N(AX50)+N(AX53)+N(AX56)+AX60+IF(AND(NOT(ISNUMBER(AX44)),ISNUMBER(AX76)),AX76,0),"")</f>
        <v>564</v>
      </c>
      <c r="AY61" s="262">
        <f>IF(ISNUMBER(AY64),N(AY44)+N(AY47)+N(AY50)+N(AY53)+N(AY56)+AY60+IF(AND(NOT(ISNUMBER(AY44)),ISNUMBER(AY76)),AY76,0),"")</f>
        <v>573</v>
      </c>
      <c r="AZ61" s="262">
        <f>IF(ISNUMBER(AZ64),N(AZ44)+N(AZ47)+N(AZ50)+N(AZ53)+N(AZ56)+AZ60+IF(AND(NOT(ISNUMBER(AZ44)),ISNUMBER(AZ76)),AZ76,0),"")</f>
        <v>601</v>
      </c>
      <c r="BA61" s="262">
        <f>IF(ISNUMBER(BA64),N(BA44)+N(BA47)+N(BA50)+N(BA53)+N(BA56)+BA60+IF(AND(NOT(ISNUMBER(BA44)),ISNUMBER(BA76)),BA76,0),"")</f>
        <v>668</v>
      </c>
      <c r="BB61" s="262">
        <f>IF(ISNUMBER(BB64),N(BB44)+N(BB47)+N(BB50)+N(BB53)+N(BB56)+BB60+IF(AND(NOT(ISNUMBER(BB44)),ISNUMBER(BB76)),BB76,0),"")</f>
        <v>2406</v>
      </c>
      <c r="BC61" s="262">
        <f>IF(ISNUMBER(BC64),N(BC44)+N(BC47)+N(BC50)+N(BC53)+N(BC56)+BC60+IF(AND(NOT(ISNUMBER(BC44)),ISNUMBER(BC76)),BC76,0),"")</f>
        <v>695</v>
      </c>
      <c r="BD61" s="262">
        <f>IF(ISNUMBER(BD64),N(BD44)+N(BD47)+N(BD50)+N(BD53)+N(BD56)+BD60+IF(AND(NOT(ISNUMBER(BD44)),ISNUMBER(BD76)),BD76,0),"")</f>
        <v>675</v>
      </c>
      <c r="BE61" s="262">
        <f>IF(ISNUMBER(BE64),N(BE44)+N(BE47)+N(BE50)+N(BE53)+N(BE56)+BE60+IF(AND(NOT(ISNUMBER(BE44)),ISNUMBER(BE76)),BE76,0),"")</f>
        <v>685</v>
      </c>
      <c r="BF61" s="262">
        <f>IF(ISNUMBER(BF64),N(BF44)+N(BF47)+N(BF50)+N(BF53)+N(BF56)+BF60+IF(AND(NOT(ISNUMBER(BF44)),ISNUMBER(BF76)),BF76,0),"")</f>
        <v>714</v>
      </c>
      <c r="BG61" s="262">
        <f>IF(ISNUMBER(BG64),N(BG44)+N(BG47)+N(BG50)+N(BG53)+N(BG56)+BG60+IF(AND(NOT(ISNUMBER(BG44)),ISNUMBER(BG76)),BG76,0),"")</f>
        <v>2769</v>
      </c>
      <c r="BH61" s="262">
        <f>IF(ISNUMBER(BH64),N(BH44)+N(BH47)+N(BH50)+N(BH53)+N(BH56)+BH60+IF(AND(NOT(ISNUMBER(BH44)),ISNUMBER(BH76)),BH76,0),"")</f>
        <v>737</v>
      </c>
      <c r="BI61" s="262">
        <f>IF(ISNUMBER(BI64),N(BI44)+N(BI47)+N(BI50)+N(BI53)+N(BI56)+BI60+IF(AND(NOT(ISNUMBER(BI44)),ISNUMBER(BI76)),BI76,0),"")</f>
        <v>747</v>
      </c>
      <c r="BJ61" s="262">
        <f>IF(ISNUMBER(BJ64),N(BJ44)+N(BJ47)+N(BJ50)+N(BJ53)+N(BJ56)+BJ60+IF(AND(NOT(ISNUMBER(BJ44)),ISNUMBER(BJ76)),BJ76,0),"")</f>
        <v>776</v>
      </c>
      <c r="BK61" s="262">
        <f>IF(ISNUMBER(BK64),N(BK44)+N(BK47)+N(BK50)+N(BK53)+N(BK56)+BK60+IF(AND(NOT(ISNUMBER(BK44)),ISNUMBER(BK76)),BK76,0),"")</f>
        <v>796</v>
      </c>
      <c r="BL61" s="262">
        <f>IF(ISNUMBER(BL64),N(BL44)+N(BL47)+N(BL50)+N(BL53)+N(BL56)+BL60+IF(AND(NOT(ISNUMBER(BL44)),ISNUMBER(BL76)),BL76,0),"")</f>
        <v>3056</v>
      </c>
      <c r="BM61" s="262">
        <f>IF(ISNUMBER(BM64),N(BM44)+N(BM47)+N(BM50)+N(BM53)+N(BM56)+BM60+IF(AND(NOT(ISNUMBER(BM44)),ISNUMBER(BM76)),BM76,0),"")</f>
        <v>799</v>
      </c>
      <c r="BN61" s="262">
        <f>IF(ISNUMBER(BN64),N(BN44)+N(BN47)+N(BN50)+N(BN53)+N(BN56)+BN60+IF(AND(NOT(ISNUMBER(BN44)),ISNUMBER(BN76)),BN76,0),"")</f>
        <v>802</v>
      </c>
      <c r="BO61" s="262">
        <f>IF(ISNUMBER(BO64),N(BO44)+N(BO47)+N(BO50)+N(BO53)+N(BO56)+BO60+IF(AND(NOT(ISNUMBER(BO44)),ISNUMBER(BO76)),BO76,0),"")</f>
        <v>831</v>
      </c>
      <c r="BP61" s="262">
        <f>IF(ISNUMBER(BP64),N(BP44)+N(BP47)+N(BP50)+N(BP53)+N(BP56)+BP60+IF(AND(NOT(ISNUMBER(BP44)),ISNUMBER(BP76)),BP76,0),"")</f>
        <v>863</v>
      </c>
      <c r="BQ61" s="262">
        <f>IF(ISNUMBER(BQ64),N(BQ44)+N(BQ47)+N(BQ50)+N(BQ53)+N(BQ56)+BQ60+IF(AND(NOT(ISNUMBER(BQ44)),ISNUMBER(BQ76)),BQ76,0),"")</f>
        <v>3295</v>
      </c>
      <c r="BR61" s="262">
        <f>IF(ISNUMBER(BR64),N(BR44)+N(BR47)+N(BR50)+N(BR53)+N(BR56)+BR60+IF(AND(NOT(ISNUMBER(BR44)),ISNUMBER(BR76)),BR76,0),"")</f>
        <v>859</v>
      </c>
      <c r="BS61" s="262">
        <f>IF(ISNUMBER(BS64),N(BS44)+N(BS47)+N(BS50)+N(BS53)+N(BS56)+BS60+IF(AND(NOT(ISNUMBER(BS44)),ISNUMBER(BS76)),BS76,0),"")</f>
        <v>888</v>
      </c>
      <c r="BT61" s="262">
        <f>IF(ISNUMBER(BT64),N(BT44)+N(BT47)+N(BT50)+N(BT53)+N(BT56)+BT60+IF(AND(NOT(ISNUMBER(BT44)),ISNUMBER(BT76)),BT76,0),"")</f>
        <v>909</v>
      </c>
      <c r="BU61" s="262">
        <f>IF(ISNUMBER(BU64),N(BU44)+N(BU47)+N(BU50)+N(BU53)+N(BU56)+BU60+IF(AND(NOT(ISNUMBER(BU44)),ISNUMBER(BU76)),BU76,0),"")</f>
        <v>943</v>
      </c>
      <c r="BV61" s="262">
        <f>IF(ISNUMBER(BV64),N(BV44)+N(BV47)+N(BV50)+N(BV53)+N(BV56)+BV60+IF(AND(NOT(ISNUMBER(BV44)),ISNUMBER(BV76)),BV76,0),"")</f>
        <v>3599</v>
      </c>
      <c r="BW61" s="262">
        <f>IF(ISNUMBER(BW64),N(BW44)+N(BW47)+N(BW50)+N(BW53)+N(BW56)+BW60+IF(AND(NOT(ISNUMBER(BW44)),ISNUMBER(BW76)),BW76,0),"")</f>
        <v>926</v>
      </c>
      <c r="BX61" s="262">
        <f>IF(ISNUMBER(BX64),N(BX44)+N(BX47)+N(BX50)+N(BX53)+N(BX56)+BX60+IF(AND(NOT(ISNUMBER(BX44)),ISNUMBER(BX76)),BX76,0),"")</f>
        <v>925</v>
      </c>
      <c r="BY61" s="263">
        <f>BY44+BY47+BY50+BY53+BY56</f>
        <v>946.640937847777</v>
      </c>
      <c r="BZ61" s="263">
        <f>BZ44+BZ47+BZ50+BZ53+BZ56</f>
        <v>981.309062152223</v>
      </c>
      <c r="CA61" s="263">
        <f>SUM(BW61:BZ61)</f>
        <v>3778.95</v>
      </c>
      <c r="CB61" s="263">
        <f>CB44+CB47+CB50+CB53+CB56</f>
        <v>4072.446992757</v>
      </c>
      <c r="CC61" s="263">
        <f>CC44+CC47+CC50+CC53+CC56</f>
        <v>4376.85417402403</v>
      </c>
      <c r="CD61" s="263">
        <f>CD44+CD47+CD50+CD53+CD56</f>
        <v>4681.90756742738</v>
      </c>
      <c r="CE61" s="263">
        <f>CE44+CE47+CE50+CE53+CE56</f>
        <v>4993.0734009331</v>
      </c>
      <c r="CF61" s="153" t="n"/>
      <c r="CH61" s="20">
        <f>IFERROR((CE61/BV61)^(1/5)-1,"n/m")</f>
        <v>0.06767044477983</v>
      </c>
      <c r="CI61" s="20">
        <f>IFERROR((BV61/AW61)^(1/5)-1,"n/m")</f>
        <v>0.116003281139778</v>
      </c>
      <c r="CJ61" s="20">
        <f>IFERROR((BV61/X61)^(1/10)-1,"n/m")</f>
        <v>0.120823098891576</v>
      </c>
      <c r="CK61" s="20">
        <f>IFERROR((BV61/C61)^(1/19)-1,"n/m")</f>
        <v>0.12297930187564</v>
      </c>
      <c r="CN61" s="25" t="inlineStr">
        <is>
          <t xml:space="preserve">  2030E</t>
        </is>
      </c>
      <c r="CO61" s="33">
        <f>CP61+$CO$57</f>
        <v>0.07</v>
      </c>
      <c r="CP61" s="42" t="n">
        <v>0.05</v>
      </c>
      <c r="CQ61" s="33">
        <f>CP61+$CQ$57</f>
        <v>0.02</v>
      </c>
    </row>
    <row r="62" ht="15" customHeight="1" s="251">
      <c r="B62" s="22" t="inlineStr">
        <is>
          <t xml:space="preserve">  Segment revenue y/y %</t>
        </is>
      </c>
      <c r="D62" s="255">
        <f>IF(AND(ISNUMBER(D61),ISNUMBER(C61)),IFERROR(D61/C61-1,""),"")</f>
        <v>0.205889755852001</v>
      </c>
      <c r="E62" s="255">
        <f>IF(AND(ISNUMBER(E61),ISNUMBER(D61)),IFERROR(E61/D61-1,""),"")</f>
        <v>0.149446879565853</v>
      </c>
      <c r="F62" s="255">
        <f>IF(AND(ISNUMBER(F61),ISNUMBER(E61)),IFERROR(F61/E61-1,""),"")</f>
        <v>0.0522970764481567</v>
      </c>
      <c r="G62" s="255">
        <f>IF(AND(ISNUMBER(G61),ISNUMBER(F61)),IFERROR(G61/F61-1,""),"")</f>
        <v>0.0819672131147542</v>
      </c>
      <c r="H62" s="255">
        <f>IF(AND(ISNUMBER(H61),ISNUMBER(G61)),IFERROR(H61/G61-1,""),"")</f>
        <v>0.135247208931419</v>
      </c>
      <c r="I62" s="255">
        <f>IF(AND(ISNUMBER(I61),ISNUMBER(H61)),IFERROR(I61/H61-1,""),"")</f>
        <v>0.185023883113234</v>
      </c>
      <c r="N62" s="255">
        <f>IF(AND(ISNUMBER(N61),ISNUMBER(I61)),IFERROR(N61/I61-1,""),"")</f>
        <v>0.0825133372851215</v>
      </c>
      <c r="O62" s="255">
        <f>IF(AND(ISNUMBER(O61),ISNUMBER(J61)),IFERROR(O61/J61-1,""),"")</f>
        <v>0.14624881291548</v>
      </c>
      <c r="P62" s="255">
        <f>IF(AND(ISNUMBER(P61),ISNUMBER(K61)),IFERROR(P61/K61-1,""),"")</f>
        <v>0.151348879743942</v>
      </c>
      <c r="Q62" s="255">
        <f>IF(AND(ISNUMBER(Q61),ISNUMBER(L61)),IFERROR(Q61/L61-1,""),"")</f>
        <v>0.200527704485488</v>
      </c>
      <c r="R62" s="255">
        <f>IF(AND(ISNUMBER(R61),ISNUMBER(M61)),IFERROR(R61/M61-1,""),"")</f>
        <v>0.218408736349454</v>
      </c>
      <c r="S62" s="255">
        <f>IF(AND(ISNUMBER(S61),ISNUMBER(N61)),IFERROR(S61/N61-1,""),"")</f>
        <v>0.170189464461724</v>
      </c>
      <c r="T62" s="255">
        <f>IF(AND(ISNUMBER(T61),ISNUMBER(O61)),IFERROR(T61/O61-1,""),"")</f>
        <v>0.0907207953603977</v>
      </c>
      <c r="U62" s="255">
        <f>IF(AND(ISNUMBER(U61),ISNUMBER(P61)),IFERROR(U61/P61-1,""),"")</f>
        <v>0.107625099285147</v>
      </c>
      <c r="V62" s="255">
        <f>IF(AND(ISNUMBER(V61),ISNUMBER(Q61)),IFERROR(V61/Q61-1,""),"")</f>
        <v>0.0505494505494506</v>
      </c>
      <c r="W62" s="255">
        <f>IF(AND(ISNUMBER(W61),ISNUMBER(R61)),IFERROR(W61/R61-1,""),"")</f>
        <v>0.0284891165172856</v>
      </c>
      <c r="X62" s="255">
        <f>IF(AND(ISNUMBER(X61),ISNUMBER(S61)),IFERROR(X61/S61-1,""),"")</f>
        <v>0.0765559195133365</v>
      </c>
      <c r="Y62" s="255">
        <f>IF(AND(ISNUMBER(Y61),ISNUMBER(T61)),IFERROR(Y61/T61-1,""),"")</f>
        <v>0.10520319027725</v>
      </c>
      <c r="Z62" s="255">
        <f>IF(AND(ISNUMBER(Z61),ISNUMBER(U61)),IFERROR(Z61/U61-1,""),"")</f>
        <v>0.0874865543205452</v>
      </c>
      <c r="AA62" s="255">
        <f>IF(AND(ISNUMBER(AA61),ISNUMBER(V61)),IFERROR(AA61/V61-1,""),"")</f>
        <v>0.0627615062761506</v>
      </c>
      <c r="AB62" s="255">
        <f>IF(AND(ISNUMBER(AB61),ISNUMBER(W61)),IFERROR(AB61/W61-1,""),"")</f>
        <v>0.0404606286959228</v>
      </c>
      <c r="AC62" s="255">
        <f>IF(AND(ISNUMBER(AC61),ISNUMBER(X61)),IFERROR(AC61/X61-1,""),"")</f>
        <v>0.0722420238198731</v>
      </c>
      <c r="AD62" s="255">
        <f>IF(AND(ISNUMBER(AD61),ISNUMBER(Y61)),IFERROR(AD61/Y61-1,""),"")</f>
        <v>0.0549828178694158</v>
      </c>
      <c r="AE62" s="255">
        <f>IF(AND(ISNUMBER(AE61),ISNUMBER(Z61)),IFERROR(AE61/Z61-1,""),"")</f>
        <v>0.0346191889218594</v>
      </c>
      <c r="AF62" s="255">
        <f>IF(AND(ISNUMBER(AF61),ISNUMBER(AA61)),IFERROR(AF61/AA61-1,""),"")</f>
        <v>0.209645669291338</v>
      </c>
      <c r="AG62" s="255">
        <f>IF(AND(ISNUMBER(AG61),ISNUMBER(AB61)),IFERROR(AG61/AB61-1,""),"")</f>
        <v>0.318576129225247</v>
      </c>
      <c r="AH62" s="255">
        <f>IF(AND(ISNUMBER(AH61),ISNUMBER(AC61)),IFERROR(AH61/AC61-1,""),"")</f>
        <v>0.159640019458408</v>
      </c>
      <c r="AI62" s="255">
        <f>IF(AND(ISNUMBER(AI61),ISNUMBER(AD61)),IFERROR(AI61/AD61-1,""),"")</f>
        <v>0.325081433224756</v>
      </c>
      <c r="AJ62" s="255">
        <f>IF(AND(ISNUMBER(AJ61),ISNUMBER(AE61)),IFERROR(AJ61/AE61-1,""),"")</f>
        <v>0.347355003186743</v>
      </c>
      <c r="AK62" s="255">
        <f>IF(AND(ISNUMBER(AK61),ISNUMBER(AF61)),IFERROR(AK61/AF61-1,""),"")</f>
        <v>0.182533224844047</v>
      </c>
      <c r="AL62" s="255">
        <f>IF(AND(ISNUMBER(AL61),ISNUMBER(AG61)),IFERROR(AL61/AG61-1,""),"")</f>
        <v>0.0542196007259528</v>
      </c>
      <c r="AM62" s="255">
        <f>IF(AND(ISNUMBER(AM61),ISNUMBER(AH61)),IFERROR(AM61/AH61-1,""),"")</f>
        <v>0.209746207089422</v>
      </c>
      <c r="AN62" s="255">
        <f>IF(AND(ISNUMBER(AN61),ISNUMBER(AI61)),IFERROR(AN61/AI61-1,""),"")</f>
        <v>0.160275319567355</v>
      </c>
      <c r="AO62" s="255">
        <f>IF(AND(ISNUMBER(AO61),ISNUMBER(AJ61)),IFERROR(AO61/AJ61-1,""),"")</f>
        <v>0.123935666982025</v>
      </c>
      <c r="AP62" s="255">
        <f>IF(AND(ISNUMBER(AP61),ISNUMBER(AK61)),IFERROR(AP61/AK61-1,""),"")</f>
        <v>0.132798165137615</v>
      </c>
      <c r="AQ62" s="255">
        <f>IF(AND(ISNUMBER(AQ61),ISNUMBER(AL61)),IFERROR(AQ61/AL61-1,""),"")</f>
        <v>0.103938024531956</v>
      </c>
      <c r="AR62" s="255">
        <f>IF(AND(ISNUMBER(AR61),ISNUMBER(AM61)),IFERROR(AR61/AM61-1,""),"")</f>
        <v>0.129283939201295</v>
      </c>
      <c r="AS62" s="255">
        <f>IF(AND(ISNUMBER(AS61),ISNUMBER(AN61)),IFERROR(AS61/AN61-1,""),"")</f>
        <v>0.0508474576271187</v>
      </c>
      <c r="AT62" s="255">
        <f>IF(AND(ISNUMBER(AT61),ISNUMBER(AO61)),IFERROR(AT61/AO61-1,""),"")</f>
        <v>0.0458754208754209</v>
      </c>
      <c r="AU62" s="255">
        <f>IF(AND(ISNUMBER(AU61),ISNUMBER(AP61)),IFERROR(AU61/AP61-1,""),"")</f>
        <v>0.0751164203280017</v>
      </c>
      <c r="AV62" s="255">
        <f>IF(AND(ISNUMBER(AV61),ISNUMBER(AQ61)),IFERROR(AV61/AQ61-1,""),"")</f>
        <v>0.0818713450292399</v>
      </c>
      <c r="AW62" s="255">
        <f>IF(AND(ISNUMBER(AW61),ISNUMBER(AR61)),IFERROR(AW61/AR61-1,""),"")</f>
        <v>0.0639713408393039</v>
      </c>
      <c r="AX62" s="255">
        <f>IF(AND(ISNUMBER(AX61),ISNUMBER(AS61)),IFERROR(AX61/AS61-1,""),"")</f>
        <v>0.137096774193549</v>
      </c>
      <c r="AY62" s="255">
        <f>IF(AND(ISNUMBER(AY61),ISNUMBER(AT61)),IFERROR(AY61/AT61-1,""),"")</f>
        <v>0.152917505030181</v>
      </c>
      <c r="AZ62" s="255">
        <f>IF(AND(ISNUMBER(AZ61),ISNUMBER(AU61)),IFERROR(AZ61/AU61-1,""),"")</f>
        <v>0.131826741996234</v>
      </c>
      <c r="BA62" s="255">
        <f>IF(AND(ISNUMBER(BA61),ISNUMBER(AV61)),IFERROR(BA61/AV61-1,""),"")</f>
        <v>0.203603603603604</v>
      </c>
      <c r="BB62" s="255">
        <f>IF(AND(ISNUMBER(BB61),ISNUMBER(AW61)),IFERROR(BB61/AW61-1,""),"")</f>
        <v>0.157287157287157</v>
      </c>
      <c r="BC62" s="255">
        <f>IF(AND(ISNUMBER(BC61),ISNUMBER(AX61)),IFERROR(BC61/AX61-1,""),"")</f>
        <v>0.232269503546099</v>
      </c>
      <c r="BD62" s="255">
        <f>IF(AND(ISNUMBER(BD61),ISNUMBER(AY61)),IFERROR(BD61/AY61-1,""),"")</f>
        <v>0.178010471204189</v>
      </c>
      <c r="BE62" s="255">
        <f>IF(AND(ISNUMBER(BE61),ISNUMBER(AZ61)),IFERROR(BE61/AZ61-1,""),"")</f>
        <v>0.139767054908486</v>
      </c>
      <c r="BF62" s="255">
        <f>IF(AND(ISNUMBER(BF61),ISNUMBER(BA61)),IFERROR(BF61/BA61-1,""),"")</f>
        <v>0.0688622754491017</v>
      </c>
      <c r="BG62" s="255">
        <f>IF(AND(ISNUMBER(BG61),ISNUMBER(BB61)),IFERROR(BG61/BB61-1,""),"")</f>
        <v>0.150872817955112</v>
      </c>
      <c r="BH62" s="255">
        <f>IF(AND(ISNUMBER(BH61),ISNUMBER(BC61)),IFERROR(BH61/BC61-1,""),"")</f>
        <v>0.0604316546762589</v>
      </c>
      <c r="BI62" s="255">
        <f>IF(AND(ISNUMBER(BI61),ISNUMBER(BD61)),IFERROR(BI61/BD61-1,""),"")</f>
        <v>0.106666666666667</v>
      </c>
      <c r="BJ62" s="255">
        <f>IF(AND(ISNUMBER(BJ61),ISNUMBER(BE61)),IFERROR(BJ61/BE61-1,""),"")</f>
        <v>0.132846715328467</v>
      </c>
      <c r="BK62" s="255">
        <f>IF(AND(ISNUMBER(BK61),ISNUMBER(BF61)),IFERROR(BK61/BF61-1,""),"")</f>
        <v>0.11484593837535</v>
      </c>
      <c r="BL62" s="255">
        <f>IF(AND(ISNUMBER(BL61),ISNUMBER(BG61)),IFERROR(BL61/BG61-1,""),"")</f>
        <v>0.103647526182737</v>
      </c>
      <c r="BM62" s="255">
        <f>IF(AND(ISNUMBER(BM61),ISNUMBER(BH61)),IFERROR(BM61/BH61-1,""),"")</f>
        <v>0.0841248303934872</v>
      </c>
      <c r="BN62" s="255">
        <f>IF(AND(ISNUMBER(BN61),ISNUMBER(BI61)),IFERROR(BN61/BI61-1,""),"")</f>
        <v>0.0736278447121821</v>
      </c>
      <c r="BO62" s="255">
        <f>IF(AND(ISNUMBER(BO61),ISNUMBER(BJ61)),IFERROR(BO61/BJ61-1,""),"")</f>
        <v>0.0708762886597938</v>
      </c>
      <c r="BP62" s="255">
        <f>IF(AND(ISNUMBER(BP61),ISNUMBER(BK61)),IFERROR(BP61/BK61-1,""),"")</f>
        <v>0.0841708542713568</v>
      </c>
      <c r="BQ62" s="255">
        <f>IF(AND(ISNUMBER(BQ61),ISNUMBER(BL61)),IFERROR(BQ61/BL61-1,""),"")</f>
        <v>0.0782068062827226</v>
      </c>
      <c r="BR62" s="255">
        <f>IF(AND(ISNUMBER(BR61),ISNUMBER(BM61)),IFERROR(BR61/BM61-1,""),"")</f>
        <v>0.0750938673341677</v>
      </c>
      <c r="BS62" s="255">
        <f>IF(AND(ISNUMBER(BS61),ISNUMBER(BN61)),IFERROR(BS61/BN61-1,""),"")</f>
        <v>0.107231920199501</v>
      </c>
      <c r="BT62" s="255">
        <f>IF(AND(ISNUMBER(BT61),ISNUMBER(BO61)),IFERROR(BT61/BO61-1,""),"")</f>
        <v>0.0938628158844765</v>
      </c>
      <c r="BU62" s="255">
        <f>IF(AND(ISNUMBER(BU61),ISNUMBER(BP61)),IFERROR(BU61/BP61-1,""),"")</f>
        <v>0.0926998841251447</v>
      </c>
      <c r="BV62" s="255">
        <f>IF(AND(ISNUMBER(BV61),ISNUMBER(BQ61)),IFERROR(BV61/BQ61-1,""),"")</f>
        <v>0.0922610015174508</v>
      </c>
      <c r="BW62" s="255">
        <f>IF(AND(ISNUMBER(BW61),ISNUMBER(BR61)),IFERROR(BW61/BR61-1,""),"")</f>
        <v>0.0779976717112922</v>
      </c>
      <c r="BX62" s="255">
        <f>IF(AND(ISNUMBER(BX61),ISNUMBER(BS61)),IFERROR(BX61/BS61-1,""),"")</f>
        <v>0.0416666666666667</v>
      </c>
      <c r="BY62" s="256">
        <f>IF(AND(ISNUMBER(BY61),ISNUMBER(BT61)),IFERROR(BY61/BT61-1,""),"")</f>
        <v>0.0414091725498096</v>
      </c>
      <c r="BZ62" s="256">
        <f>IF(AND(ISNUMBER(BZ61),ISNUMBER(BU61)),IFERROR(BZ61/BU61-1,""),"")</f>
        <v>0.0406246682420182</v>
      </c>
      <c r="CA62" s="256">
        <f>IF(AND(ISNUMBER(CA61),ISNUMBER(BV61)),IFERROR(CA61/BV61-1,""),"")</f>
        <v>0.05</v>
      </c>
      <c r="CB62" s="256">
        <f>IF(AND(ISNUMBER(CB61),ISNUMBER(CA61)),IFERROR(CB61/CA61-1,""),"")</f>
        <v>0.0776662810455291</v>
      </c>
      <c r="CC62" s="256">
        <f>IF(AND(ISNUMBER(CC61),ISNUMBER(CB61)),IFERROR(CC61/CB61-1,""),"")</f>
        <v>0.0747479787480181</v>
      </c>
      <c r="CD62" s="256">
        <f>IF(AND(ISNUMBER(CD61),ISNUMBER(CC61)),IFERROR(CD61/CC61-1,""),"")</f>
        <v>0.0696969515717012</v>
      </c>
      <c r="CE62" s="256">
        <f>IF(AND(ISNUMBER(CE61),ISNUMBER(CD61)),IFERROR(CE61/CD61-1,""),"")</f>
        <v>0.0664613363302045</v>
      </c>
      <c r="CF62" s="153" t="n"/>
      <c r="CN62" s="15" t="inlineStr">
        <is>
          <t>MA_BANK (Decision Solutions — Banking y/y)</t>
        </is>
      </c>
      <c r="CO62" s="41" t="n">
        <v>0.02</v>
      </c>
      <c r="CP62" s="21" t="inlineStr">
        <is>
          <t>Δ →</t>
        </is>
      </c>
      <c r="CQ62" s="41" t="n">
        <v>-0.04</v>
      </c>
      <c r="CR62" s="13" t="inlineStr">
        <is>
          <t>2026 depressed by the Learning (Q4-25) and Regulatory Solutions (Q2-26) divestitures; 2027E includes 1H anniversary; organic cc Banking +9% in 1H26; ARR +10%.</t>
        </is>
      </c>
    </row>
    <row r="63" ht="15" customHeight="1" s="251">
      <c r="B63" s="25" t="inlineStr">
        <is>
          <t xml:space="preserve">  % of total revenue</t>
        </is>
      </c>
      <c r="C63" s="215">
        <f>IF(AND(ISNUMBER(C61),ISNUMBER(C110)),IFERROR(C61/C110,""),"")</f>
        <v>0.195032153551618</v>
      </c>
      <c r="D63" s="215">
        <f>IF(AND(ISNUMBER(D61),ISNUMBER(D110)),IFERROR(D61/D110,""),"")</f>
        <v>0.212084993359894</v>
      </c>
      <c r="E63" s="215">
        <f>IF(AND(ISNUMBER(E61),ISNUMBER(E110)),IFERROR(E61/E110,""),"")</f>
        <v>0.313717671186055</v>
      </c>
      <c r="F63" s="215">
        <f>IF(AND(ISNUMBER(F61),ISNUMBER(F110)),IFERROR(F61/F110,""),"")</f>
        <v>0.32244602715335</v>
      </c>
      <c r="G63" s="215">
        <f>IF(AND(ISNUMBER(G61),ISNUMBER(G110)),IFERROR(G61/G110,""),"")</f>
        <v>0.308562992125984</v>
      </c>
      <c r="H63" s="215">
        <f>IF(AND(ISNUMBER(H61),ISNUMBER(H110)),IFERROR(H61/H110,""),"")</f>
        <v>0.312097163151664</v>
      </c>
      <c r="I63" s="215">
        <f>IF(AND(ISNUMBER(I61),ISNUMBER(I110)),IFERROR(I61/I110,""),"")</f>
        <v>0.308940409478812</v>
      </c>
      <c r="J63" s="215">
        <f>IF(AND(ISNUMBER(J61),ISNUMBER(J110)),IFERROR(J61/J110,""),"")</f>
        <v>0.287783547417327</v>
      </c>
      <c r="K63" s="215">
        <f>IF(AND(ISNUMBER(K61),ISNUMBER(K110)),IFERROR(K61/K110,""),"")</f>
        <v>0.289285714285714</v>
      </c>
      <c r="L63" s="215">
        <f>IF(AND(ISNUMBER(L61),ISNUMBER(L110)),IFERROR(L61/L110,""),"")</f>
        <v>0.322324592487598</v>
      </c>
      <c r="M63" s="215">
        <f>IF(AND(ISNUMBER(M61),ISNUMBER(M110)),IFERROR(M61/M110,""),"")</f>
        <v>0.329055441478439</v>
      </c>
      <c r="N63" s="215">
        <f>IF(AND(ISNUMBER(N61),ISNUMBER(N110)),IFERROR(N61/N110,""),"")</f>
        <v>0.307182506307822</v>
      </c>
      <c r="O63" s="215">
        <f>IF(AND(ISNUMBER(O61),ISNUMBER(O110)),IFERROR(O61/O110,""),"")</f>
        <v>0.314650677789364</v>
      </c>
      <c r="P63" s="215">
        <f>IF(AND(ISNUMBER(P61),ISNUMBER(P110)),IFERROR(P61/P110,""),"")</f>
        <v>0.288265598168289</v>
      </c>
      <c r="Q63" s="215">
        <f>IF(AND(ISNUMBER(Q61),ISNUMBER(Q110)),IFERROR(Q61/Q110,""),"")</f>
        <v>0.334517828697464</v>
      </c>
      <c r="R63" s="215">
        <f>IF(AND(ISNUMBER(R61),ISNUMBER(R110)),IFERROR(R61/R110,""),"")</f>
        <v>0.356011396011396</v>
      </c>
      <c r="S63" s="215">
        <f>IF(AND(ISNUMBER(S61),ISNUMBER(S110)),IFERROR(S61/S110,""),"")</f>
        <v>0.320457067450439</v>
      </c>
      <c r="T63" s="215">
        <f>IF(AND(ISNUMBER(T61),ISNUMBER(T110)),IFERROR(T61/T110,""),"")</f>
        <v>0.304182070240296</v>
      </c>
      <c r="U63" s="215">
        <f>IF(AND(ISNUMBER(U61),ISNUMBER(U110)),IFERROR(U61/U110,""),"")</f>
        <v>0.303779544711905</v>
      </c>
      <c r="V63" s="215">
        <f>IF(AND(ISNUMBER(V61),ISNUMBER(V110)),IFERROR(V61/V110,""),"")</f>
        <v>0.343514193316565</v>
      </c>
      <c r="W63" s="215">
        <f>IF(AND(ISNUMBER(W61),ISNUMBER(W110)),IFERROR(W61/W110,""),"")</f>
        <v>0.371059013742926</v>
      </c>
      <c r="X63" s="215">
        <f>IF(AND(ISNUMBER(X61),ISNUMBER(X110)),IFERROR(X61/X110,""),"")</f>
        <v>0.330119098866408</v>
      </c>
      <c r="Y63" s="215">
        <f>IF(AND(ISNUMBER(Y61),ISNUMBER(Y110)),IFERROR(Y61/Y110,""),"")</f>
        <v>0.356573949270923</v>
      </c>
      <c r="Z63" s="215">
        <f>IF(AND(ISNUMBER(Z61),ISNUMBER(Z110)),IFERROR(Z61/Z110,""),"")</f>
        <v>0.326515233071375</v>
      </c>
      <c r="AA63" s="215">
        <f>IF(AND(ISNUMBER(AA61),ISNUMBER(AA110)),IFERROR(AA61/AA110,""),"")</f>
        <v>0.332351979064442</v>
      </c>
      <c r="AB63" s="215">
        <f>IF(AND(ISNUMBER(AB61),ISNUMBER(AB110)),IFERROR(AB61/AB110,""),"")</f>
        <v>0.354845557796412</v>
      </c>
      <c r="AC63" s="215">
        <f>IF(AND(ISNUMBER(AC61),ISNUMBER(AC110)),IFERROR(AC61/AC110,""),"")</f>
        <v>0.342211863936519</v>
      </c>
      <c r="AD63" s="215">
        <f>IF(AND(ISNUMBER(AD61),ISNUMBER(AD110)),IFERROR(AD61/AD110,""),"")</f>
        <v>0.314807219031993</v>
      </c>
      <c r="AE63" s="215">
        <f>IF(AND(ISNUMBER(AE61),ISNUMBER(AE110)),IFERROR(AE61/AE110,""),"")</f>
        <v>0.313643178410795</v>
      </c>
      <c r="AF63" s="215">
        <f>IF(AND(ISNUMBER(AF61),ISNUMBER(AF110)),IFERROR(AF61/AF110,""),"")</f>
        <v>0.346881174146204</v>
      </c>
      <c r="AG63" s="215">
        <f>IF(AND(ISNUMBER(AG61),ISNUMBER(AG110)),IFERROR(AG61/AG110,""),"")</f>
        <v>0.378206778206778</v>
      </c>
      <c r="AH63" s="215">
        <f>IF(AND(ISNUMBER(AH61),ISNUMBER(AH110)),IFERROR(AH61/AH110,""),"")</f>
        <v>0.340215503912847</v>
      </c>
      <c r="AI63" s="215">
        <f>IF(AND(ISNUMBER(AI61),ISNUMBER(AI110)),IFERROR(AI61/AI110,""),"")</f>
        <v>0.361054406674359</v>
      </c>
      <c r="AJ63" s="215">
        <f>IF(AND(ISNUMBER(AJ61),ISNUMBER(AJ110)),IFERROR(AJ61/AJ110,""),"")</f>
        <v>0.359799166028423</v>
      </c>
      <c r="AK63" s="215">
        <f>IF(AND(ISNUMBER(AK61),ISNUMBER(AK110)),IFERROR(AK61/AK110,""),"")</f>
        <v>0.40340488527017</v>
      </c>
      <c r="AL63" s="215">
        <f>IF(AND(ISNUMBER(AL61),ISNUMBER(AL110)),IFERROR(AL61/AL110,""),"")</f>
        <v>0.43835487218187</v>
      </c>
      <c r="AM63" s="215">
        <f>IF(AND(ISNUMBER(AM61),ISNUMBER(AM110)),IFERROR(AM61/AM110,""),"")</f>
        <v>0.389470367119094</v>
      </c>
      <c r="AN63" s="215">
        <f>IF(AND(ISNUMBER(AN61),ISNUMBER(AN110)),IFERROR(AN61/AN110,""),"")</f>
        <v>0.413273793888451</v>
      </c>
      <c r="AO63" s="215">
        <f>IF(AND(ISNUMBER(AO61),ISNUMBER(AO110)),IFERROR(AO61/AO110,""),"")</f>
        <v>0.391562294001318</v>
      </c>
      <c r="AP63" s="215">
        <f>IF(AND(ISNUMBER(AP61),ISNUMBER(AP110)),IFERROR(AP61/AP110,""),"")</f>
        <v>0.398145908907698</v>
      </c>
      <c r="AQ63" s="215">
        <f>IF(AND(ISNUMBER(AQ61),ISNUMBER(AQ110)),IFERROR(AQ61/AQ110,""),"")</f>
        <v>0.416058394160584</v>
      </c>
      <c r="AR63" s="215">
        <f>IF(AND(ISNUMBER(AR61),ISNUMBER(AR110)),IFERROR(AR61/AR110,""),"")</f>
        <v>0.404638641540692</v>
      </c>
      <c r="AS63" s="215">
        <f>IF(AND(ISNUMBER(AS61),ISNUMBER(AS110)),IFERROR(AS61/AS110,""),"")</f>
        <v>0.384496124031008</v>
      </c>
      <c r="AT63" s="215">
        <f>IF(AND(ISNUMBER(AT61),ISNUMBER(AT110)),IFERROR(AT61/AT110,""),"")</f>
        <v>0.346341463414634</v>
      </c>
      <c r="AU63" s="215">
        <f>IF(AND(ISNUMBER(AU61),ISNUMBER(AU110)),IFERROR(AU61/AU110,""),"")</f>
        <v>0.391592920353982</v>
      </c>
      <c r="AV63" s="215">
        <f>IF(AND(ISNUMBER(AV61),ISNUMBER(AV110)),IFERROR(AV61/AV110,""),"")</f>
        <v>0.430232558139535</v>
      </c>
      <c r="AW63" s="215">
        <f>IF(AND(ISNUMBER(AW61),ISNUMBER(AW110)),IFERROR(AW61/AW110,""),"")</f>
        <v>0.387078756283746</v>
      </c>
      <c r="AX63" s="215">
        <f>IF(AND(ISNUMBER(AX61),ISNUMBER(AX110)),IFERROR(AX61/AX110,""),"")</f>
        <v>0.3525</v>
      </c>
      <c r="AY63" s="215">
        <f>IF(AND(ISNUMBER(AY61),ISNUMBER(AY110)),IFERROR(AY61/AY110,""),"")</f>
        <v>0.368963296844817</v>
      </c>
      <c r="AZ63" s="215">
        <f>IF(AND(ISNUMBER(AZ61),ISNUMBER(AZ110)),IFERROR(AZ61/AZ110,""),"")</f>
        <v>0.393840104849279</v>
      </c>
      <c r="BA63" s="215">
        <f>IF(AND(ISNUMBER(BA61),ISNUMBER(BA110)),IFERROR(BA61/BA110,""),"")</f>
        <v>0.43404808317089</v>
      </c>
      <c r="BB63" s="215">
        <f>IF(AND(ISNUMBER(BB61),ISNUMBER(BB110)),IFERROR(BB61/BB110,""),"")</f>
        <v>0.386941138629785</v>
      </c>
      <c r="BC63" s="215">
        <f>IF(AND(ISNUMBER(BC61),ISNUMBER(BC110)),IFERROR(BC61/BC110,""),"")</f>
        <v>0.456636005256242</v>
      </c>
      <c r="BD63" s="215">
        <f>IF(AND(ISNUMBER(BD61),ISNUMBER(BD110)),IFERROR(BD61/BD110,""),"")</f>
        <v>0.488776249094859</v>
      </c>
      <c r="BE63" s="215">
        <f>IF(AND(ISNUMBER(BE61),ISNUMBER(BE110)),IFERROR(BE61/BE110,""),"")</f>
        <v>0.537254901960784</v>
      </c>
      <c r="BF63" s="215">
        <f>IF(AND(ISNUMBER(BF61),ISNUMBER(BF110)),IFERROR(BF61/BF110,""),"")</f>
        <v>0.553488372093023</v>
      </c>
      <c r="BG63" s="215">
        <f>IF(AND(ISNUMBER(BG61),ISNUMBER(BG110)),IFERROR(BG61/BG110,""),"")</f>
        <v>0.506400877834675</v>
      </c>
      <c r="BH63" s="215">
        <f>IF(AND(ISNUMBER(BH61),ISNUMBER(BH110)),IFERROR(BH61/BH110,""),"")</f>
        <v>0.501360544217687</v>
      </c>
      <c r="BI63" s="215">
        <f>IF(AND(ISNUMBER(BI61),ISNUMBER(BI110)),IFERROR(BI61/BI110,""),"")</f>
        <v>0.5</v>
      </c>
      <c r="BJ63" s="215">
        <f>IF(AND(ISNUMBER(BJ61),ISNUMBER(BJ110)),IFERROR(BJ61/BJ110,""),"")</f>
        <v>0.527173913043478</v>
      </c>
      <c r="BK63" s="215">
        <f>IF(AND(ISNUMBER(BK61),ISNUMBER(BK110)),IFERROR(BK61/BK110,""),"")</f>
        <v>0.537837837837838</v>
      </c>
      <c r="BL63" s="215">
        <f>IF(AND(ISNUMBER(BL61),ISNUMBER(BL110)),IFERROR(BL61/BL110,""),"")</f>
        <v>0.516565246788371</v>
      </c>
      <c r="BM63" s="215">
        <f>IF(AND(ISNUMBER(BM61),ISNUMBER(BM110)),IFERROR(BM61/BM110,""),"")</f>
        <v>0.447368421052632</v>
      </c>
      <c r="BN63" s="215">
        <f>IF(AND(ISNUMBER(BN61),ISNUMBER(BN110)),IFERROR(BN61/BN110,""),"")</f>
        <v>0.441386901485966</v>
      </c>
      <c r="BO63" s="215">
        <f>IF(AND(ISNUMBER(BO61),ISNUMBER(BO110)),IFERROR(BO61/BO110,""),"")</f>
        <v>0.458356315499173</v>
      </c>
      <c r="BP63" s="215">
        <f>IF(AND(ISNUMBER(BP61),ISNUMBER(BP110)),IFERROR(BP61/BP110,""),"")</f>
        <v>0.516148325358852</v>
      </c>
      <c r="BQ63" s="215">
        <f>IF(AND(ISNUMBER(BQ61),ISNUMBER(BQ110)),IFERROR(BQ61/BQ110,""),"")</f>
        <v>0.464870203160271</v>
      </c>
      <c r="BR63" s="215">
        <f>IF(AND(ISNUMBER(BR61),ISNUMBER(BR110)),IFERROR(BR61/BR110,""),"")</f>
        <v>0.446465696465696</v>
      </c>
      <c r="BS63" s="215">
        <f>IF(AND(ISNUMBER(BS61),ISNUMBER(BS110)),IFERROR(BS61/BS110,""),"")</f>
        <v>0.467860906217071</v>
      </c>
      <c r="BT63" s="215">
        <f>IF(AND(ISNUMBER(BT61),ISNUMBER(BT110)),IFERROR(BT61/BT110,""),"")</f>
        <v>0.452914798206278</v>
      </c>
      <c r="BU63" s="215">
        <f>IF(AND(ISNUMBER(BU61),ISNUMBER(BU110)),IFERROR(BU61/BU110,""),"")</f>
        <v>0.499205929062996</v>
      </c>
      <c r="BV63" s="215">
        <f>IF(AND(ISNUMBER(BV61),ISNUMBER(BV110)),IFERROR(BV61/BV110,""),"")</f>
        <v>0.466312516195906</v>
      </c>
      <c r="BW63" s="215">
        <f>IF(AND(ISNUMBER(BW61),ISNUMBER(BW110)),IFERROR(BW61/BW110,""),"")</f>
        <v>0.445406445406445</v>
      </c>
      <c r="BX63" s="215">
        <f>IF(AND(ISNUMBER(BX61),ISNUMBER(BX110)),IFERROR(BX61/BX110,""),"")</f>
        <v>0.423340961098398</v>
      </c>
      <c r="BY63" s="256">
        <f>IF(AND(ISNUMBER(BY61),ISNUMBER(BY110)),IFERROR(BY61/BY110,""),"")</f>
        <v>0.464018434920849</v>
      </c>
      <c r="BZ63" s="256">
        <f>IF(AND(ISNUMBER(BZ61),ISNUMBER(BZ110)),IFERROR(BZ61/BZ110,""),"")</f>
        <v>0.510201201664043</v>
      </c>
      <c r="CA63" s="256">
        <f>IF(AND(ISNUMBER(CA61),ISNUMBER(CA110)),IFERROR(CA61/CA110,""),"")</f>
        <v>0.459308876240205</v>
      </c>
      <c r="CB63" s="256">
        <f>IF(AND(ISNUMBER(CB61),ISNUMBER(CB110)),IFERROR(CB61/CB110,""),"")</f>
        <v>0.461705539594669</v>
      </c>
      <c r="CC63" s="256">
        <f>IF(AND(ISNUMBER(CC61),ISNUMBER(CC110)),IFERROR(CC61/CC110,""),"")</f>
        <v>0.464672344531145</v>
      </c>
      <c r="CD63" s="256">
        <f>IF(AND(ISNUMBER(CD61),ISNUMBER(CD110)),IFERROR(CD61/CD110,""),"")</f>
        <v>0.466919209155303</v>
      </c>
      <c r="CE63" s="256">
        <f>IF(AND(ISNUMBER(CE61),ISNUMBER(CE110)),IFERROR(CE61/CE110,""),"")</f>
        <v>0.469728060626855</v>
      </c>
      <c r="CF63" s="153" t="n"/>
      <c r="CH63" s="37">
        <f>IFERROR(AVERAGE(CA63,CB63,CC63,CD63,CE63),"n/m")</f>
        <v>0.464466806029635</v>
      </c>
      <c r="CI63" s="37">
        <f>IFERROR(AVERAGE(BB63,BG63,BL63,BQ63,BV63),"n/m")</f>
        <v>0.468217996521801</v>
      </c>
      <c r="CJ63" s="37">
        <f>IFERROR(AVERAGE(AC63,AH63,AM63,AR63,AW63,BB63,BG63,BL63,BQ63,BV63),"n/m")</f>
        <v>0.42047051154019</v>
      </c>
      <c r="CK63" s="37">
        <f>IFERROR(AVERAGE(C63,D63,E63,F63,G63,H63,I63,N63,S63,X63,AC63,AH63,AM63,AR63,AW63,BB63,BG63,BL63,BQ63,BV63),"n/m")</f>
        <v>0.356767259901697</v>
      </c>
      <c r="CN63" s="25" t="inlineStr">
        <is>
          <t xml:space="preserve">  2027E</t>
        </is>
      </c>
      <c r="CO63" s="33">
        <f>CP63+$CO$62</f>
        <v>0.09</v>
      </c>
      <c r="CP63" s="42" t="n">
        <v>0.07000000000000001</v>
      </c>
      <c r="CQ63" s="33">
        <f>CP63+$CQ$62</f>
        <v>0.03</v>
      </c>
    </row>
    <row r="64" ht="15" customHeight="1" s="251">
      <c r="B64" s="156" t="inlineStr">
        <is>
          <t xml:space="preserve">  Memo: MA external revenue as reported</t>
        </is>
      </c>
      <c r="C64" s="253" t="n">
        <v>397.3</v>
      </c>
      <c r="D64" s="253" t="n">
        <v>479.1</v>
      </c>
      <c r="E64" s="253" t="n">
        <v>550.7</v>
      </c>
      <c r="F64" s="253" t="n">
        <v>579.5</v>
      </c>
      <c r="G64" s="253" t="n">
        <v>627</v>
      </c>
      <c r="H64" s="253" t="n">
        <v>711.8</v>
      </c>
      <c r="I64" s="253" t="n">
        <v>843.5</v>
      </c>
      <c r="J64" s="253" t="n">
        <v>210.6</v>
      </c>
      <c r="K64" s="253" t="n">
        <v>218.7</v>
      </c>
      <c r="L64" s="253" t="n">
        <v>227.4</v>
      </c>
      <c r="M64" s="253" t="n">
        <v>256.4</v>
      </c>
      <c r="N64" s="253" t="n">
        <v>913.1</v>
      </c>
      <c r="O64" s="253" t="n">
        <v>241.4</v>
      </c>
      <c r="P64" s="253" t="n">
        <v>251.8</v>
      </c>
      <c r="Q64" s="253" t="n">
        <v>273</v>
      </c>
      <c r="R64" s="253" t="n">
        <v>312.4</v>
      </c>
      <c r="S64" s="253" t="n">
        <v>1068.5</v>
      </c>
      <c r="T64" s="253" t="n">
        <v>263.3</v>
      </c>
      <c r="U64" s="253" t="n">
        <v>278.9</v>
      </c>
      <c r="V64" s="253" t="n">
        <v>286.8</v>
      </c>
      <c r="W64" s="253" t="n">
        <v>321.3</v>
      </c>
      <c r="X64" s="253" t="n">
        <v>1150.3</v>
      </c>
      <c r="Y64" s="253" t="n">
        <v>291</v>
      </c>
      <c r="Z64" s="253" t="n">
        <v>303.3</v>
      </c>
      <c r="AA64" s="253" t="n">
        <v>304.8</v>
      </c>
      <c r="AB64" s="253" t="n">
        <v>334.3</v>
      </c>
      <c r="AC64" s="253" t="n">
        <v>1233.4</v>
      </c>
      <c r="AD64" s="253" t="n">
        <v>307</v>
      </c>
      <c r="AE64" s="253" t="n">
        <v>313.8</v>
      </c>
      <c r="AF64" s="253" t="n">
        <v>368.7</v>
      </c>
      <c r="AG64" s="253" t="n">
        <v>440.8</v>
      </c>
      <c r="AH64" s="253" t="n">
        <v>1430.3</v>
      </c>
      <c r="AI64" s="253" t="n">
        <v>406.8</v>
      </c>
      <c r="AJ64" s="253" t="n">
        <v>422.8</v>
      </c>
      <c r="AK64" s="253" t="n">
        <v>436</v>
      </c>
      <c r="AL64" s="253" t="n">
        <v>464.7</v>
      </c>
      <c r="AM64" s="253" t="n">
        <v>1730.3</v>
      </c>
      <c r="AN64" s="253" t="n">
        <v>472</v>
      </c>
      <c r="AO64" s="253" t="n">
        <v>475.2</v>
      </c>
      <c r="AP64" s="253" t="n">
        <v>493.9</v>
      </c>
      <c r="AQ64" s="253" t="n">
        <v>513</v>
      </c>
      <c r="AR64" s="253" t="n">
        <v>1954</v>
      </c>
      <c r="AS64" s="253" t="n">
        <v>496</v>
      </c>
      <c r="AT64" s="253" t="n">
        <v>497</v>
      </c>
      <c r="AU64" s="253" t="n">
        <v>531</v>
      </c>
      <c r="AV64" s="253" t="n">
        <v>555</v>
      </c>
      <c r="AW64" s="253" t="n">
        <v>2079</v>
      </c>
      <c r="AX64" s="253" t="n">
        <v>564</v>
      </c>
      <c r="AY64" s="253" t="n">
        <v>573</v>
      </c>
      <c r="AZ64" s="253" t="n">
        <v>601</v>
      </c>
      <c r="BA64" s="253" t="n">
        <v>668</v>
      </c>
      <c r="BB64" s="253" t="n">
        <v>2406</v>
      </c>
      <c r="BC64" s="253" t="n">
        <v>695</v>
      </c>
      <c r="BD64" s="253" t="n">
        <v>675</v>
      </c>
      <c r="BE64" s="253" t="n">
        <v>685</v>
      </c>
      <c r="BF64" s="253" t="n">
        <v>714</v>
      </c>
      <c r="BG64" s="253" t="n">
        <v>2769</v>
      </c>
      <c r="BH64" s="253" t="n">
        <v>737</v>
      </c>
      <c r="BI64" s="253" t="n">
        <v>747</v>
      </c>
      <c r="BJ64" s="253" t="n">
        <v>776</v>
      </c>
      <c r="BK64" s="253" t="n">
        <v>796</v>
      </c>
      <c r="BL64" s="253" t="n">
        <v>3056</v>
      </c>
      <c r="BM64" s="253" t="n">
        <v>799</v>
      </c>
      <c r="BN64" s="253" t="n">
        <v>802</v>
      </c>
      <c r="BO64" s="253" t="n">
        <v>831</v>
      </c>
      <c r="BP64" s="253" t="n">
        <v>863</v>
      </c>
      <c r="BQ64" s="253" t="n">
        <v>3295</v>
      </c>
      <c r="BR64" s="253" t="n">
        <v>859</v>
      </c>
      <c r="BS64" s="253" t="n">
        <v>888</v>
      </c>
      <c r="BT64" s="253" t="n">
        <v>909</v>
      </c>
      <c r="BU64" s="253" t="n">
        <v>943</v>
      </c>
      <c r="BV64" s="253" t="n">
        <v>3599</v>
      </c>
      <c r="BW64" s="253" t="n">
        <v>926</v>
      </c>
      <c r="BX64" s="253" t="n">
        <v>925</v>
      </c>
      <c r="BY64" s="153" t="n"/>
      <c r="BZ64" s="153" t="n"/>
      <c r="CA64" s="153" t="n"/>
      <c r="CB64" s="153" t="n"/>
      <c r="CC64" s="153" t="n"/>
      <c r="CD64" s="153" t="n"/>
      <c r="CE64" s="153" t="n"/>
      <c r="CF64" s="153" t="n"/>
      <c r="CN64" s="25" t="inlineStr">
        <is>
          <t xml:space="preserve">  2028E</t>
        </is>
      </c>
      <c r="CO64" s="33">
        <f>CP64+$CO$62</f>
        <v>0.09</v>
      </c>
      <c r="CP64" s="42" t="n">
        <v>0.07000000000000001</v>
      </c>
      <c r="CQ64" s="33">
        <f>CP64+$CQ$62</f>
        <v>0.03</v>
      </c>
    </row>
    <row r="65" ht="15" customHeight="1" s="251">
      <c r="B65" s="57" t="inlineStr">
        <is>
          <t xml:space="preserve">  Check: MA line build vs reported (should be 0)</t>
        </is>
      </c>
      <c r="C65" s="261">
        <f>IF(AND(ISNUMBER(C61),ISNUMBER(C64)),IF(ABS(C61-C64)&lt;=0.6,0,ROUND(C61-C64,1)),"")</f>
        <v>0</v>
      </c>
      <c r="D65" s="261">
        <f>IF(AND(ISNUMBER(D61),ISNUMBER(D64)),IF(ABS(D61-D64)&lt;=0.6,0,ROUND(D61-D64,1)),"")</f>
        <v>0</v>
      </c>
      <c r="E65" s="261">
        <f>IF(AND(ISNUMBER(E61),ISNUMBER(E64)),IF(ABS(E61-E64)&lt;=0.6,0,ROUND(E61-E64,1)),"")</f>
        <v>0</v>
      </c>
      <c r="F65" s="261">
        <f>IF(AND(ISNUMBER(F61),ISNUMBER(F64)),IF(ABS(F61-F64)&lt;=0.6,0,ROUND(F61-F64,1)),"")</f>
        <v>0</v>
      </c>
      <c r="G65" s="261">
        <f>IF(AND(ISNUMBER(G61),ISNUMBER(G64)),IF(ABS(G61-G64)&lt;=0.6,0,ROUND(G61-G64,1)),"")</f>
        <v>0</v>
      </c>
      <c r="H65" s="261">
        <f>IF(AND(ISNUMBER(H61),ISNUMBER(H64)),IF(ABS(H61-H64)&lt;=0.6,0,ROUND(H61-H64,1)),"")</f>
        <v>0</v>
      </c>
      <c r="I65" s="261">
        <f>IF(AND(ISNUMBER(I61),ISNUMBER(I64)),IF(ABS(I61-I64)&lt;=0.6,0,ROUND(I61-I64,1)),"")</f>
        <v>0</v>
      </c>
      <c r="J65" s="261">
        <f>IF(AND(ISNUMBER(J61),ISNUMBER(J64)),IF(ABS(J61-J64)&lt;=0.6,0,ROUND(J61-J64,1)),"")</f>
        <v>0</v>
      </c>
      <c r="K65" s="261">
        <f>IF(AND(ISNUMBER(K61),ISNUMBER(K64)),IF(ABS(K61-K64)&lt;=0.6,0,ROUND(K61-K64,1)),"")</f>
        <v>0</v>
      </c>
      <c r="L65" s="261">
        <f>IF(AND(ISNUMBER(L61),ISNUMBER(L64)),IF(ABS(L61-L64)&lt;=0.6,0,ROUND(L61-L64,1)),"")</f>
        <v>0</v>
      </c>
      <c r="M65" s="261">
        <f>IF(AND(ISNUMBER(M61),ISNUMBER(M64)),IF(ABS(M61-M64)&lt;=0.6,0,ROUND(M61-M64,1)),"")</f>
        <v>0</v>
      </c>
      <c r="N65" s="261">
        <f>IF(AND(ISNUMBER(N61),ISNUMBER(N64)),IF(ABS(N61-N64)&lt;=0.6,0,ROUND(N61-N64,1)),"")</f>
        <v>0</v>
      </c>
      <c r="O65" s="261">
        <f>IF(AND(ISNUMBER(O61),ISNUMBER(O64)),IF(ABS(O61-O64)&lt;=0.6,0,ROUND(O61-O64,1)),"")</f>
        <v>0</v>
      </c>
      <c r="P65" s="261">
        <f>IF(AND(ISNUMBER(P61),ISNUMBER(P64)),IF(ABS(P61-P64)&lt;=0.6,0,ROUND(P61-P64,1)),"")</f>
        <v>0</v>
      </c>
      <c r="Q65" s="261">
        <f>IF(AND(ISNUMBER(Q61),ISNUMBER(Q64)),IF(ABS(Q61-Q64)&lt;=0.6,0,ROUND(Q61-Q64,1)),"")</f>
        <v>0</v>
      </c>
      <c r="R65" s="261">
        <f>IF(AND(ISNUMBER(R61),ISNUMBER(R64)),IF(ABS(R61-R64)&lt;=0.6,0,ROUND(R61-R64,1)),"")</f>
        <v>0</v>
      </c>
      <c r="S65" s="261">
        <f>IF(AND(ISNUMBER(S61),ISNUMBER(S64)),IF(ABS(S61-S64)&lt;=0.6,0,ROUND(S61-S64,1)),"")</f>
        <v>0</v>
      </c>
      <c r="T65" s="261">
        <f>IF(AND(ISNUMBER(T61),ISNUMBER(T64)),IF(ABS(T61-T64)&lt;=0.6,0,ROUND(T61-T64,1)),"")</f>
        <v>0</v>
      </c>
      <c r="U65" s="261">
        <f>IF(AND(ISNUMBER(U61),ISNUMBER(U64)),IF(ABS(U61-U64)&lt;=0.6,0,ROUND(U61-U64,1)),"")</f>
        <v>0</v>
      </c>
      <c r="V65" s="261">
        <f>IF(AND(ISNUMBER(V61),ISNUMBER(V64)),IF(ABS(V61-V64)&lt;=0.6,0,ROUND(V61-V64,1)),"")</f>
        <v>0</v>
      </c>
      <c r="W65" s="261">
        <f>IF(AND(ISNUMBER(W61),ISNUMBER(W64)),IF(ABS(W61-W64)&lt;=0.6,0,ROUND(W61-W64,1)),"")</f>
        <v>0</v>
      </c>
      <c r="X65" s="261">
        <f>IF(AND(ISNUMBER(X61),ISNUMBER(X64)),IF(ABS(X61-X64)&lt;=0.6,0,ROUND(X61-X64,1)),"")</f>
        <v>0</v>
      </c>
      <c r="Y65" s="261">
        <f>IF(AND(ISNUMBER(Y61),ISNUMBER(Y64)),IF(ABS(Y61-Y64)&lt;=0.6,0,ROUND(Y61-Y64,1)),"")</f>
        <v>0</v>
      </c>
      <c r="Z65" s="261">
        <f>IF(AND(ISNUMBER(Z61),ISNUMBER(Z64)),IF(ABS(Z61-Z64)&lt;=0.6,0,ROUND(Z61-Z64,1)),"")</f>
        <v>0</v>
      </c>
      <c r="AA65" s="261">
        <f>IF(AND(ISNUMBER(AA61),ISNUMBER(AA64)),IF(ABS(AA61-AA64)&lt;=0.6,0,ROUND(AA61-AA64,1)),"")</f>
        <v>0</v>
      </c>
      <c r="AB65" s="261">
        <f>IF(AND(ISNUMBER(AB61),ISNUMBER(AB64)),IF(ABS(AB61-AB64)&lt;=0.6,0,ROUND(AB61-AB64,1)),"")</f>
        <v>0</v>
      </c>
      <c r="AC65" s="261">
        <f>IF(AND(ISNUMBER(AC61),ISNUMBER(AC64)),IF(ABS(AC61-AC64)&lt;=0.6,0,ROUND(AC61-AC64,1)),"")</f>
        <v>0</v>
      </c>
      <c r="AD65" s="261">
        <f>IF(AND(ISNUMBER(AD61),ISNUMBER(AD64)),IF(ABS(AD61-AD64)&lt;=0.6,0,ROUND(AD61-AD64,1)),"")</f>
        <v>0</v>
      </c>
      <c r="AE65" s="261">
        <f>IF(AND(ISNUMBER(AE61),ISNUMBER(AE64)),IF(ABS(AE61-AE64)&lt;=0.6,0,ROUND(AE61-AE64,1)),"")</f>
        <v>0</v>
      </c>
      <c r="AF65" s="261">
        <f>IF(AND(ISNUMBER(AF61),ISNUMBER(AF64)),IF(ABS(AF61-AF64)&lt;=0.6,0,ROUND(AF61-AF64,1)),"")</f>
        <v>0</v>
      </c>
      <c r="AG65" s="261">
        <f>IF(AND(ISNUMBER(AG61),ISNUMBER(AG64)),IF(ABS(AG61-AG64)&lt;=0.6,0,ROUND(AG61-AG64,1)),"")</f>
        <v>0</v>
      </c>
      <c r="AH65" s="261">
        <f>IF(AND(ISNUMBER(AH61),ISNUMBER(AH64)),IF(ABS(AH61-AH64)&lt;=0.6,0,ROUND(AH61-AH64,1)),"")</f>
        <v>0</v>
      </c>
      <c r="AI65" s="261">
        <f>IF(AND(ISNUMBER(AI61),ISNUMBER(AI64)),IF(ABS(AI61-AI64)&lt;=0.6,0,ROUND(AI61-AI64,1)),"")</f>
        <v>0</v>
      </c>
      <c r="AJ65" s="261">
        <f>IF(AND(ISNUMBER(AJ61),ISNUMBER(AJ64)),IF(ABS(AJ61-AJ64)&lt;=0.6,0,ROUND(AJ61-AJ64,1)),"")</f>
        <v>0</v>
      </c>
      <c r="AK65" s="261">
        <f>IF(AND(ISNUMBER(AK61),ISNUMBER(AK64)),IF(ABS(AK61-AK64)&lt;=0.6,0,ROUND(AK61-AK64,1)),"")</f>
        <v>0</v>
      </c>
      <c r="AL65" s="261">
        <f>IF(AND(ISNUMBER(AL61),ISNUMBER(AL64)),IF(ABS(AL61-AL64)&lt;=0.6,0,ROUND(AL61-AL64,1)),"")</f>
        <v>0</v>
      </c>
      <c r="AM65" s="261">
        <f>IF(AND(ISNUMBER(AM61),ISNUMBER(AM64)),IF(ABS(AM61-AM64)&lt;=0.6,0,ROUND(AM61-AM64,1)),"")</f>
        <v>0</v>
      </c>
      <c r="AN65" s="261">
        <f>IF(AND(ISNUMBER(AN61),ISNUMBER(AN64)),IF(ABS(AN61-AN64)&lt;=0.6,0,ROUND(AN61-AN64,1)),"")</f>
        <v>0</v>
      </c>
      <c r="AO65" s="261">
        <f>IF(AND(ISNUMBER(AO61),ISNUMBER(AO64)),IF(ABS(AO61-AO64)&lt;=0.6,0,ROUND(AO61-AO64,1)),"")</f>
        <v>0</v>
      </c>
      <c r="AP65" s="261">
        <f>IF(AND(ISNUMBER(AP61),ISNUMBER(AP64)),IF(ABS(AP61-AP64)&lt;=0.6,0,ROUND(AP61-AP64,1)),"")</f>
        <v>0</v>
      </c>
      <c r="AQ65" s="261">
        <f>IF(AND(ISNUMBER(AQ61),ISNUMBER(AQ64)),IF(ABS(AQ61-AQ64)&lt;=0.6,0,ROUND(AQ61-AQ64,1)),"")</f>
        <v>0</v>
      </c>
      <c r="AR65" s="261">
        <f>IF(AND(ISNUMBER(AR61),ISNUMBER(AR64)),IF(ABS(AR61-AR64)&lt;=0.6,0,ROUND(AR61-AR64,1)),"")</f>
        <v>0</v>
      </c>
      <c r="AS65" s="261">
        <f>IF(AND(ISNUMBER(AS61),ISNUMBER(AS64)),IF(ABS(AS61-AS64)&lt;=0.6,0,ROUND(AS61-AS64,1)),"")</f>
        <v>0</v>
      </c>
      <c r="AT65" s="261">
        <f>IF(AND(ISNUMBER(AT61),ISNUMBER(AT64)),IF(ABS(AT61-AT64)&lt;=0.6,0,ROUND(AT61-AT64,1)),"")</f>
        <v>0</v>
      </c>
      <c r="AU65" s="261">
        <f>IF(AND(ISNUMBER(AU61),ISNUMBER(AU64)),IF(ABS(AU61-AU64)&lt;=0.6,0,ROUND(AU61-AU64,1)),"")</f>
        <v>0</v>
      </c>
      <c r="AV65" s="261">
        <f>IF(AND(ISNUMBER(AV61),ISNUMBER(AV64)),IF(ABS(AV61-AV64)&lt;=0.6,0,ROUND(AV61-AV64,1)),"")</f>
        <v>0</v>
      </c>
      <c r="AW65" s="261">
        <f>IF(AND(ISNUMBER(AW61),ISNUMBER(AW64)),IF(ABS(AW61-AW64)&lt;=0.6,0,ROUND(AW61-AW64,1)),"")</f>
        <v>0</v>
      </c>
      <c r="AX65" s="261">
        <f>IF(AND(ISNUMBER(AX61),ISNUMBER(AX64)),IF(ABS(AX61-AX64)&lt;=0.6,0,ROUND(AX61-AX64,1)),"")</f>
        <v>0</v>
      </c>
      <c r="AY65" s="261">
        <f>IF(AND(ISNUMBER(AY61),ISNUMBER(AY64)),IF(ABS(AY61-AY64)&lt;=0.6,0,ROUND(AY61-AY64,1)),"")</f>
        <v>0</v>
      </c>
      <c r="AZ65" s="261">
        <f>IF(AND(ISNUMBER(AZ61),ISNUMBER(AZ64)),IF(ABS(AZ61-AZ64)&lt;=0.6,0,ROUND(AZ61-AZ64,1)),"")</f>
        <v>0</v>
      </c>
      <c r="BA65" s="261">
        <f>IF(AND(ISNUMBER(BA61),ISNUMBER(BA64)),IF(ABS(BA61-BA64)&lt;=0.6,0,ROUND(BA61-BA64,1)),"")</f>
        <v>0</v>
      </c>
      <c r="BB65" s="261">
        <f>IF(AND(ISNUMBER(BB61),ISNUMBER(BB64)),IF(ABS(BB61-BB64)&lt;=0.6,0,ROUND(BB61-BB64,1)),"")</f>
        <v>0</v>
      </c>
      <c r="BC65" s="261">
        <f>IF(AND(ISNUMBER(BC61),ISNUMBER(BC64)),IF(ABS(BC61-BC64)&lt;=0.6,0,ROUND(BC61-BC64,1)),"")</f>
        <v>0</v>
      </c>
      <c r="BD65" s="261">
        <f>IF(AND(ISNUMBER(BD61),ISNUMBER(BD64)),IF(ABS(BD61-BD64)&lt;=0.6,0,ROUND(BD61-BD64,1)),"")</f>
        <v>0</v>
      </c>
      <c r="BE65" s="261">
        <f>IF(AND(ISNUMBER(BE61),ISNUMBER(BE64)),IF(ABS(BE61-BE64)&lt;=0.6,0,ROUND(BE61-BE64,1)),"")</f>
        <v>0</v>
      </c>
      <c r="BF65" s="261">
        <f>IF(AND(ISNUMBER(BF61),ISNUMBER(BF64)),IF(ABS(BF61-BF64)&lt;=0.6,0,ROUND(BF61-BF64,1)),"")</f>
        <v>0</v>
      </c>
      <c r="BG65" s="261">
        <f>IF(AND(ISNUMBER(BG61),ISNUMBER(BG64)),IF(ABS(BG61-BG64)&lt;=0.6,0,ROUND(BG61-BG64,1)),"")</f>
        <v>0</v>
      </c>
      <c r="BH65" s="261">
        <f>IF(AND(ISNUMBER(BH61),ISNUMBER(BH64)),IF(ABS(BH61-BH64)&lt;=0.6,0,ROUND(BH61-BH64,1)),"")</f>
        <v>0</v>
      </c>
      <c r="BI65" s="261">
        <f>IF(AND(ISNUMBER(BI61),ISNUMBER(BI64)),IF(ABS(BI61-BI64)&lt;=0.6,0,ROUND(BI61-BI64,1)),"")</f>
        <v>0</v>
      </c>
      <c r="BJ65" s="261">
        <f>IF(AND(ISNUMBER(BJ61),ISNUMBER(BJ64)),IF(ABS(BJ61-BJ64)&lt;=0.6,0,ROUND(BJ61-BJ64,1)),"")</f>
        <v>0</v>
      </c>
      <c r="BK65" s="261">
        <f>IF(AND(ISNUMBER(BK61),ISNUMBER(BK64)),IF(ABS(BK61-BK64)&lt;=0.6,0,ROUND(BK61-BK64,1)),"")</f>
        <v>0</v>
      </c>
      <c r="BL65" s="261">
        <f>IF(AND(ISNUMBER(BL61),ISNUMBER(BL64)),IF(ABS(BL61-BL64)&lt;=0.6,0,ROUND(BL61-BL64,1)),"")</f>
        <v>0</v>
      </c>
      <c r="BM65" s="261">
        <f>IF(AND(ISNUMBER(BM61),ISNUMBER(BM64)),IF(ABS(BM61-BM64)&lt;=0.6,0,ROUND(BM61-BM64,1)),"")</f>
        <v>0</v>
      </c>
      <c r="BN65" s="261">
        <f>IF(AND(ISNUMBER(BN61),ISNUMBER(BN64)),IF(ABS(BN61-BN64)&lt;=0.6,0,ROUND(BN61-BN64,1)),"")</f>
        <v>0</v>
      </c>
      <c r="BO65" s="261">
        <f>IF(AND(ISNUMBER(BO61),ISNUMBER(BO64)),IF(ABS(BO61-BO64)&lt;=0.6,0,ROUND(BO61-BO64,1)),"")</f>
        <v>0</v>
      </c>
      <c r="BP65" s="261">
        <f>IF(AND(ISNUMBER(BP61),ISNUMBER(BP64)),IF(ABS(BP61-BP64)&lt;=0.6,0,ROUND(BP61-BP64,1)),"")</f>
        <v>0</v>
      </c>
      <c r="BQ65" s="261">
        <f>IF(AND(ISNUMBER(BQ61),ISNUMBER(BQ64)),IF(ABS(BQ61-BQ64)&lt;=0.6,0,ROUND(BQ61-BQ64,1)),"")</f>
        <v>0</v>
      </c>
      <c r="BR65" s="261">
        <f>IF(AND(ISNUMBER(BR61),ISNUMBER(BR64)),IF(ABS(BR61-BR64)&lt;=0.6,0,ROUND(BR61-BR64,1)),"")</f>
        <v>0</v>
      </c>
      <c r="BS65" s="261">
        <f>IF(AND(ISNUMBER(BS61),ISNUMBER(BS64)),IF(ABS(BS61-BS64)&lt;=0.6,0,ROUND(BS61-BS64,1)),"")</f>
        <v>0</v>
      </c>
      <c r="BT65" s="261">
        <f>IF(AND(ISNUMBER(BT61),ISNUMBER(BT64)),IF(ABS(BT61-BT64)&lt;=0.6,0,ROUND(BT61-BT64,1)),"")</f>
        <v>0</v>
      </c>
      <c r="BU65" s="261">
        <f>IF(AND(ISNUMBER(BU61),ISNUMBER(BU64)),IF(ABS(BU61-BU64)&lt;=0.6,0,ROUND(BU61-BU64,1)),"")</f>
        <v>0</v>
      </c>
      <c r="BV65" s="261">
        <f>IF(AND(ISNUMBER(BV61),ISNUMBER(BV64)),IF(ABS(BV61-BV64)&lt;=0.6,0,ROUND(BV61-BV64,1)),"")</f>
        <v>0</v>
      </c>
      <c r="BW65" s="261">
        <f>IF(AND(ISNUMBER(BW61),ISNUMBER(BW64)),IF(ABS(BW61-BW64)&lt;=0.6,0,ROUND(BW61-BW64,1)),"")</f>
        <v>0</v>
      </c>
      <c r="BX65" s="261">
        <f>IF(AND(ISNUMBER(BX61),ISNUMBER(BX64)),IF(ABS(BX61-BX64)&lt;=0.6,0,ROUND(BX61-BX64,1)),"")</f>
        <v>0</v>
      </c>
      <c r="BY65" s="153" t="n"/>
      <c r="BZ65" s="153" t="n"/>
      <c r="CA65" s="153" t="n"/>
      <c r="CB65" s="153" t="n"/>
      <c r="CC65" s="153" t="n"/>
      <c r="CD65" s="153" t="n"/>
      <c r="CE65" s="153" t="n"/>
      <c r="CF65" s="153" t="n"/>
      <c r="CN65" s="25" t="inlineStr">
        <is>
          <t xml:space="preserve">  2029E</t>
        </is>
      </c>
      <c r="CO65" s="33">
        <f>CP65+$CO$62</f>
        <v>0.08</v>
      </c>
      <c r="CP65" s="42" t="n">
        <v>0.06</v>
      </c>
      <c r="CQ65" s="33">
        <f>CP65+$CQ$62</f>
        <v>0.02</v>
      </c>
    </row>
    <row r="66" ht="15" customHeight="1" s="251">
      <c r="B66" s="156" t="inlineStr">
        <is>
          <t xml:space="preserve">  Memo: MA recurring revenue (as reported)</t>
        </is>
      </c>
      <c r="C66" s="34" t="n"/>
      <c r="D66" s="34" t="n"/>
      <c r="E66" s="34" t="n"/>
      <c r="F66" s="34" t="n"/>
      <c r="G66" s="34" t="n"/>
      <c r="H66" s="34" t="n"/>
      <c r="I66" s="34" t="n"/>
      <c r="J66" s="34" t="n"/>
      <c r="K66" s="34" t="n"/>
      <c r="L66" s="34" t="n"/>
      <c r="M66" s="34" t="n"/>
      <c r="N66" s="34" t="n"/>
      <c r="O66" s="34" t="n"/>
      <c r="P66" s="253" t="n">
        <v>193.1</v>
      </c>
      <c r="Q66" s="253" t="n">
        <v>198.7</v>
      </c>
      <c r="R66" s="253" t="n">
        <v>216.8</v>
      </c>
      <c r="S66" s="253" t="n">
        <v>785.3</v>
      </c>
      <c r="T66" s="253" t="n">
        <v>202.7</v>
      </c>
      <c r="U66" s="253" t="n">
        <v>211.8</v>
      </c>
      <c r="V66" s="253" t="n">
        <v>215.3</v>
      </c>
      <c r="W66" s="253" t="n">
        <v>223.6</v>
      </c>
      <c r="X66" s="253" t="n">
        <v>853.4</v>
      </c>
      <c r="Y66" s="253" t="n">
        <v>221.7</v>
      </c>
      <c r="Z66" s="253" t="n">
        <v>230.5</v>
      </c>
      <c r="AA66" s="253" t="n">
        <v>230.2</v>
      </c>
      <c r="AB66" s="253" t="n">
        <v>237</v>
      </c>
      <c r="AC66" s="253" t="n">
        <v>919.4</v>
      </c>
      <c r="AD66" s="253" t="n">
        <v>242.4</v>
      </c>
      <c r="AE66" s="253" t="n">
        <v>251</v>
      </c>
      <c r="AF66" s="253" t="n">
        <v>291.1</v>
      </c>
      <c r="AG66" s="253" t="n">
        <v>333.1</v>
      </c>
      <c r="AH66" s="253" t="n">
        <v>1117.6</v>
      </c>
      <c r="AI66" s="253" t="n">
        <v>346</v>
      </c>
      <c r="AJ66" s="253" t="n">
        <v>356.3</v>
      </c>
      <c r="AK66" s="253" t="n">
        <v>365</v>
      </c>
      <c r="AL66" s="253" t="n">
        <v>387.8</v>
      </c>
      <c r="AM66" s="253" t="n">
        <v>1455.1</v>
      </c>
      <c r="AN66" s="253" t="n">
        <v>400.5</v>
      </c>
      <c r="AO66" s="253" t="n">
        <v>406</v>
      </c>
      <c r="AP66" s="253" t="n">
        <v>415.4</v>
      </c>
      <c r="AQ66" s="253" t="n">
        <v>439</v>
      </c>
      <c r="AR66" s="253" t="n">
        <v>1661</v>
      </c>
      <c r="AS66" s="253" t="n">
        <v>446</v>
      </c>
      <c r="AT66" s="253" t="n">
        <v>455</v>
      </c>
      <c r="AU66" s="253" t="n">
        <v>480</v>
      </c>
      <c r="AV66" s="253" t="n">
        <v>506</v>
      </c>
      <c r="AW66" s="253" t="n">
        <v>1887</v>
      </c>
      <c r="AX66" s="253" t="n">
        <v>521</v>
      </c>
      <c r="AY66" s="253" t="n">
        <v>535</v>
      </c>
      <c r="AZ66" s="253" t="n">
        <v>565</v>
      </c>
      <c r="BA66" s="253" t="n">
        <v>618</v>
      </c>
      <c r="BB66" s="253" t="n">
        <v>2236</v>
      </c>
      <c r="BC66" s="253" t="n">
        <v>651</v>
      </c>
      <c r="BD66" s="253" t="n">
        <v>633</v>
      </c>
      <c r="BE66" s="253" t="n">
        <v>647</v>
      </c>
      <c r="BF66" s="253" t="n">
        <v>668</v>
      </c>
      <c r="BG66" s="253" t="n">
        <v>2599</v>
      </c>
      <c r="BH66" s="253" t="n">
        <v>692</v>
      </c>
      <c r="BI66" s="253" t="n">
        <v>700</v>
      </c>
      <c r="BJ66" s="253" t="n">
        <v>728</v>
      </c>
      <c r="BK66" s="253" t="n">
        <v>748</v>
      </c>
      <c r="BL66" s="253" t="n">
        <v>2868</v>
      </c>
      <c r="BM66" s="253" t="n">
        <v>757</v>
      </c>
      <c r="BN66" s="253" t="n">
        <v>763</v>
      </c>
      <c r="BO66" s="253" t="n">
        <v>793</v>
      </c>
      <c r="BP66" s="253" t="n">
        <v>821</v>
      </c>
      <c r="BQ66" s="253" t="n">
        <v>3134</v>
      </c>
      <c r="BR66" s="253" t="n">
        <v>822</v>
      </c>
      <c r="BS66" s="253" t="n">
        <v>852</v>
      </c>
      <c r="BT66" s="253" t="n">
        <v>875</v>
      </c>
      <c r="BU66" s="253" t="n">
        <v>913</v>
      </c>
      <c r="BV66" s="253" t="n">
        <v>3462</v>
      </c>
      <c r="BW66" s="253" t="n">
        <v>909</v>
      </c>
      <c r="BX66" s="253" t="n">
        <v>915</v>
      </c>
      <c r="BY66" s="153" t="n"/>
      <c r="BZ66" s="153" t="n"/>
      <c r="CA66" s="153" t="n"/>
      <c r="CB66" s="153" t="n"/>
      <c r="CC66" s="153" t="n"/>
      <c r="CD66" s="153" t="n"/>
      <c r="CE66" s="153" t="n"/>
      <c r="CF66" s="153" t="n"/>
      <c r="CH66" s="20">
        <f>IFERROR((CE66/BV66)^(1/5)-1,"n/m")</f>
        <v>-1</v>
      </c>
      <c r="CI66" s="20">
        <f>IFERROR((BV66/AW66)^(1/5)-1,"n/m")</f>
        <v>0.129044430305094</v>
      </c>
      <c r="CJ66" s="20">
        <f>IFERROR((BV66/X66)^(1/10)-1,"n/m")</f>
        <v>0.150316746854636</v>
      </c>
      <c r="CK66" s="20" t="str">
        <f>IFERROR((BV66/C66)^(1/19)-1,"n/m")</f>
        <v>n/m</v>
      </c>
      <c r="CN66" s="25" t="inlineStr">
        <is>
          <t xml:space="preserve">  2030E</t>
        </is>
      </c>
      <c r="CO66" s="33">
        <f>CP66+$CO$62</f>
        <v>0.08</v>
      </c>
      <c r="CP66" s="42" t="n">
        <v>0.06</v>
      </c>
      <c r="CQ66" s="33">
        <f>CP66+$CQ$62</f>
        <v>0.02</v>
      </c>
    </row>
    <row r="67" ht="15" customHeight="1" s="251">
      <c r="B67" s="25" t="inlineStr">
        <is>
          <t xml:space="preserve">  MA recurring revenue % of segment revenue</t>
        </is>
      </c>
      <c r="C67" s="215">
        <f>IF(ISNUMBER(C66),IFERROR(C66/C61,""),"")</f>
      </c>
      <c r="D67" s="215">
        <f>IF(ISNUMBER(D66),IFERROR(D66/D61,""),"")</f>
      </c>
      <c r="E67" s="215">
        <f>IF(ISNUMBER(E66),IFERROR(E66/E61,""),"")</f>
      </c>
      <c r="F67" s="215">
        <f>IF(ISNUMBER(F66),IFERROR(F66/F61,""),"")</f>
      </c>
      <c r="G67" s="215">
        <f>IF(ISNUMBER(G66),IFERROR(G66/G61,""),"")</f>
      </c>
      <c r="H67" s="215">
        <f>IF(ISNUMBER(H66),IFERROR(H66/H61,""),"")</f>
      </c>
      <c r="I67" s="215">
        <f>IF(ISNUMBER(I66),IFERROR(I66/I61,""),"")</f>
      </c>
      <c r="J67" s="215">
        <f>IF(ISNUMBER(J66),IFERROR(J66/J61,""),"")</f>
      </c>
      <c r="K67" s="215">
        <f>IF(ISNUMBER(K66),IFERROR(K66/K61,""),"")</f>
      </c>
      <c r="L67" s="215">
        <f>IF(ISNUMBER(L66),IFERROR(L66/L61,""),"")</f>
      </c>
      <c r="M67" s="215">
        <f>IF(ISNUMBER(M66),IFERROR(M66/M61,""),"")</f>
      </c>
      <c r="N67" s="215">
        <f>IF(ISNUMBER(N66),IFERROR(N66/N61,""),"")</f>
      </c>
      <c r="O67" s="215">
        <f>IF(ISNUMBER(O66),IFERROR(O66/O61,""),"")</f>
      </c>
      <c r="P67" s="215">
        <f>IF(ISNUMBER(P66),IFERROR(P66/P61,""),"")</f>
        <v>0.766878474980143</v>
      </c>
      <c r="Q67" s="215">
        <f>IF(ISNUMBER(Q66),IFERROR(Q66/Q61,""),"")</f>
        <v>0.727838827838828</v>
      </c>
      <c r="R67" s="215">
        <f>IF(ISNUMBER(R66),IFERROR(R66/R61,""),"")</f>
        <v>0.693982074263765</v>
      </c>
      <c r="S67" s="215">
        <f>IF(ISNUMBER(S66),IFERROR(S66/S61,""),"")</f>
        <v>0.734955545156762</v>
      </c>
      <c r="T67" s="215">
        <f>IF(ISNUMBER(T66),IFERROR(T66/T61,""),"")</f>
        <v>0.769844284086593</v>
      </c>
      <c r="U67" s="215">
        <f>IF(ISNUMBER(U66),IFERROR(U66/U61,""),"")</f>
        <v>0.759411975618501</v>
      </c>
      <c r="V67" s="215">
        <f>IF(ISNUMBER(V66),IFERROR(V66/V61,""),"")</f>
        <v>0.750697350069735</v>
      </c>
      <c r="W67" s="215">
        <f>IF(ISNUMBER(W66),IFERROR(W66/W61,""),"")</f>
        <v>0.695922813569872</v>
      </c>
      <c r="X67" s="215">
        <f>IF(ISNUMBER(X66),IFERROR(X66/X61,""),"")</f>
        <v>0.741893419108059</v>
      </c>
      <c r="Y67" s="215">
        <f>IF(ISNUMBER(Y66),IFERROR(Y66/Y61,""),"")</f>
        <v>0.761855670103093</v>
      </c>
      <c r="Z67" s="215">
        <f>IF(ISNUMBER(Z66),IFERROR(Z66/Z61,""),"")</f>
        <v>0.759973623475107</v>
      </c>
      <c r="AA67" s="215">
        <f>IF(ISNUMBER(AA66),IFERROR(AA66/AA61,""),"")</f>
        <v>0.755249343832021</v>
      </c>
      <c r="AB67" s="215">
        <f>IF(ISNUMBER(AB66),IFERROR(AB66/AB61,""),"")</f>
        <v>0.708944062219563</v>
      </c>
      <c r="AC67" s="215">
        <f>IF(ISNUMBER(AC66),IFERROR(AC66/AC61,""),"")</f>
        <v>0.745419166531539</v>
      </c>
      <c r="AD67" s="215">
        <f>IF(ISNUMBER(AD66),IFERROR(AD66/AD61,""),"")</f>
        <v>0.78957654723127</v>
      </c>
      <c r="AE67" s="215">
        <f>IF(ISNUMBER(AE66),IFERROR(AE66/AE61,""),"")</f>
        <v>0.79987253027406</v>
      </c>
      <c r="AF67" s="215">
        <f>IF(ISNUMBER(AF66),IFERROR(AF66/AF61,""),"")</f>
        <v>0.789530783835096</v>
      </c>
      <c r="AG67" s="215">
        <f>IF(ISNUMBER(AG66),IFERROR(AG66/AG61,""),"")</f>
        <v>0.755671506352087</v>
      </c>
      <c r="AH67" s="215">
        <f>IF(ISNUMBER(AH66),IFERROR(AH66/AH61,""),"")</f>
        <v>0.781374536810459</v>
      </c>
      <c r="AI67" s="215">
        <f>IF(ISNUMBER(AI66),IFERROR(AI66/AI61,""),"")</f>
        <v>0.850540806293019</v>
      </c>
      <c r="AJ67" s="215">
        <f>IF(ISNUMBER(AJ66),IFERROR(AJ66/AJ61,""),"")</f>
        <v>0.84271523178808</v>
      </c>
      <c r="AK67" s="215">
        <f>IF(ISNUMBER(AK66),IFERROR(AK66/AK61,""),"")</f>
        <v>0.837155963302752</v>
      </c>
      <c r="AL67" s="215">
        <f>IF(ISNUMBER(AL66),IFERROR(AL66/AL61,""),"")</f>
        <v>0.834516892618894</v>
      </c>
      <c r="AM67" s="215">
        <f>IF(ISNUMBER(AM66),IFERROR(AM66/AM61,""),"")</f>
        <v>0.840952435993758</v>
      </c>
      <c r="AN67" s="215">
        <f>IF(ISNUMBER(AN66),IFERROR(AN66/AN61,""),"")</f>
        <v>0.848516949152542</v>
      </c>
      <c r="AO67" s="215">
        <f>IF(ISNUMBER(AO66),IFERROR(AO66/AO61,""),"")</f>
        <v>0.854377104377104</v>
      </c>
      <c r="AP67" s="215">
        <f>IF(ISNUMBER(AP66),IFERROR(AP66/AP61,""),"")</f>
        <v>0.841060943510832</v>
      </c>
      <c r="AQ67" s="215">
        <f>IF(ISNUMBER(AQ66),IFERROR(AQ66/AQ61,""),"")</f>
        <v>0.855750487329435</v>
      </c>
      <c r="AR67" s="215">
        <f>IF(ISNUMBER(AR66),IFERROR(AR66/AR61,""),"")</f>
        <v>0.850051177072671</v>
      </c>
      <c r="AS67" s="215">
        <f>IF(ISNUMBER(AS66),IFERROR(AS66/AS61,""),"")</f>
        <v>0.899193548387097</v>
      </c>
      <c r="AT67" s="215">
        <f>IF(ISNUMBER(AT66),IFERROR(AT66/AT61,""),"")</f>
        <v>0.915492957746479</v>
      </c>
      <c r="AU67" s="215">
        <f>IF(ISNUMBER(AU66),IFERROR(AU66/AU61,""),"")</f>
        <v>0.903954802259887</v>
      </c>
      <c r="AV67" s="215">
        <f>IF(ISNUMBER(AV66),IFERROR(AV66/AV61,""),"")</f>
        <v>0.911711711711712</v>
      </c>
      <c r="AW67" s="215">
        <f>IF(ISNUMBER(AW66),IFERROR(AW66/AW61,""),"")</f>
        <v>0.907647907647908</v>
      </c>
      <c r="AX67" s="215">
        <f>IF(ISNUMBER(AX66),IFERROR(AX66/AX61,""),"")</f>
        <v>0.923758865248227</v>
      </c>
      <c r="AY67" s="215">
        <f>IF(ISNUMBER(AY66),IFERROR(AY66/AY61,""),"")</f>
        <v>0.933682373472949</v>
      </c>
      <c r="AZ67" s="215">
        <f>IF(ISNUMBER(AZ66),IFERROR(AZ66/AZ61,""),"")</f>
        <v>0.940099833610649</v>
      </c>
      <c r="BA67" s="215">
        <f>IF(ISNUMBER(BA66),IFERROR(BA66/BA61,""),"")</f>
        <v>0.925149700598802</v>
      </c>
      <c r="BB67" s="215">
        <f>IF(ISNUMBER(BB66),IFERROR(BB66/BB61,""),"")</f>
        <v>0.929343308395678</v>
      </c>
      <c r="BC67" s="215">
        <f>IF(ISNUMBER(BC66),IFERROR(BC66/BC61,""),"")</f>
        <v>0.936690647482014</v>
      </c>
      <c r="BD67" s="215">
        <f>IF(ISNUMBER(BD66),IFERROR(BD66/BD61,""),"")</f>
        <v>0.937777777777778</v>
      </c>
      <c r="BE67" s="215">
        <f>IF(ISNUMBER(BE66),IFERROR(BE66/BE61,""),"")</f>
        <v>0.944525547445256</v>
      </c>
      <c r="BF67" s="215">
        <f>IF(ISNUMBER(BF66),IFERROR(BF66/BF61,""),"")</f>
        <v>0.935574229691877</v>
      </c>
      <c r="BG67" s="215">
        <f>IF(ISNUMBER(BG66),IFERROR(BG66/BG61,""),"")</f>
        <v>0.938605994944023</v>
      </c>
      <c r="BH67" s="215">
        <f>IF(ISNUMBER(BH66),IFERROR(BH66/BH61,""),"")</f>
        <v>0.938941655359566</v>
      </c>
      <c r="BI67" s="215">
        <f>IF(ISNUMBER(BI66),IFERROR(BI66/BI61,""),"")</f>
        <v>0.937081659973226</v>
      </c>
      <c r="BJ67" s="215">
        <f>IF(ISNUMBER(BJ66),IFERROR(BJ66/BJ61,""),"")</f>
        <v>0.938144329896907</v>
      </c>
      <c r="BK67" s="215">
        <f>IF(ISNUMBER(BK66),IFERROR(BK66/BK61,""),"")</f>
        <v>0.939698492462312</v>
      </c>
      <c r="BL67" s="215">
        <f>IF(ISNUMBER(BL66),IFERROR(BL66/BL61,""),"")</f>
        <v>0.93848167539267</v>
      </c>
      <c r="BM67" s="215">
        <f>IF(ISNUMBER(BM66),IFERROR(BM66/BM61,""),"")</f>
        <v>0.947434292866083</v>
      </c>
      <c r="BN67" s="215">
        <f>IF(ISNUMBER(BN66),IFERROR(BN66/BN61,""),"")</f>
        <v>0.951371571072319</v>
      </c>
      <c r="BO67" s="215">
        <f>IF(ISNUMBER(BO66),IFERROR(BO66/BO61,""),"")</f>
        <v>0.954271961492178</v>
      </c>
      <c r="BP67" s="215">
        <f>IF(ISNUMBER(BP66),IFERROR(BP66/BP61,""),"")</f>
        <v>0.951332560834299</v>
      </c>
      <c r="BQ67" s="215">
        <f>IF(ISNUMBER(BQ66),IFERROR(BQ66/BQ61,""),"")</f>
        <v>0.95113808801214</v>
      </c>
      <c r="BR67" s="215">
        <f>IF(ISNUMBER(BR66),IFERROR(BR66/BR61,""),"")</f>
        <v>0.956926658905704</v>
      </c>
      <c r="BS67" s="215">
        <f>IF(ISNUMBER(BS66),IFERROR(BS66/BS61,""),"")</f>
        <v>0.959459459459459</v>
      </c>
      <c r="BT67" s="215">
        <f>IF(ISNUMBER(BT66),IFERROR(BT66/BT61,""),"")</f>
        <v>0.962596259625963</v>
      </c>
      <c r="BU67" s="215">
        <f>IF(ISNUMBER(BU66),IFERROR(BU66/BU61,""),"")</f>
        <v>0.968186638388123</v>
      </c>
      <c r="BV67" s="215">
        <f>IF(ISNUMBER(BV66),IFERROR(BV66/BV61,""),"")</f>
        <v>0.961933870519589</v>
      </c>
      <c r="BW67" s="215">
        <f>IF(ISNUMBER(BW66),IFERROR(BW66/BW61,""),"")</f>
        <v>0.981641468682505</v>
      </c>
      <c r="BX67" s="215">
        <f>IF(ISNUMBER(BX66),IFERROR(BX66/BX61,""),"")</f>
        <v>0.989189189189189</v>
      </c>
      <c r="BY67" s="24" t="n"/>
      <c r="BZ67" s="24" t="n"/>
      <c r="CA67" s="24" t="n"/>
      <c r="CB67" s="24" t="n"/>
      <c r="CC67" s="24" t="n"/>
      <c r="CD67" s="24" t="n"/>
      <c r="CE67" s="24" t="n"/>
      <c r="CF67" s="153" t="n"/>
      <c r="CH67" s="37" t="str">
        <f>IFERROR(AVERAGE(CA67,CB67,CC67,CD67,CE67),"n/m")</f>
        <v>n/m</v>
      </c>
      <c r="CI67" s="37">
        <f>IFERROR(AVERAGE(BB67,BG67,BL67,BQ67,BV67),"n/m")</f>
        <v>0.94390058745282</v>
      </c>
      <c r="CJ67" s="37">
        <f>IFERROR(AVERAGE(AC67,AH67,AM67,AR67,AW67,BB67,BG67,BL67,BQ67,BV67),"n/m")</f>
        <v>0.884494816132044</v>
      </c>
      <c r="CK67" s="37">
        <f>IFERROR(AVERAGE(C67,D67,E67,F67,G67,H67,I67,N67,S67,X67,AC67,AH67,AM67,AR67,AW67,BB67,BG67,BL67,BQ67,BV67),"n/m")</f>
        <v>0.860149760465438</v>
      </c>
      <c r="CN67" s="15" t="inlineStr">
        <is>
          <t>MA_INS (Decision Solutions — Insurance y/y)</t>
        </is>
      </c>
      <c r="CO67" s="41" t="n">
        <v>0.02</v>
      </c>
      <c r="CP67" s="21" t="inlineStr">
        <is>
          <t>Δ →</t>
        </is>
      </c>
      <c r="CQ67" s="41" t="n">
        <v>-0.04</v>
      </c>
      <c r="CR67" s="13" t="inlineStr">
        <is>
          <t>1H26 +10% (CAPE Analytics, RMS cloud migration); ARR +9%.</t>
        </is>
      </c>
    </row>
    <row r="68" ht="15" customHeight="1" s="251">
      <c r="B68" s="156" t="inlineStr">
        <is>
          <t xml:space="preserve">  Memo: MA Annualized Recurring Revenue (ARR, period end; organic constant currency)</t>
        </is>
      </c>
      <c r="C68" s="34" t="n"/>
      <c r="D68" s="34" t="n"/>
      <c r="E68" s="34" t="n"/>
      <c r="F68" s="34" t="n"/>
      <c r="G68" s="34" t="n"/>
      <c r="H68" s="34" t="n"/>
      <c r="I68" s="34" t="n"/>
      <c r="J68" s="34" t="n"/>
      <c r="K68" s="34" t="n"/>
      <c r="L68" s="34" t="n"/>
      <c r="M68" s="34" t="n"/>
      <c r="N68" s="34" t="n"/>
      <c r="O68" s="34" t="n"/>
      <c r="P68" s="34" t="n"/>
      <c r="Q68" s="34" t="n"/>
      <c r="R68" s="34" t="n"/>
      <c r="S68" s="34" t="n"/>
      <c r="T68" s="34" t="n"/>
      <c r="U68" s="34" t="n"/>
      <c r="V68" s="34" t="n"/>
      <c r="W68" s="34" t="n"/>
      <c r="X68" s="34" t="n"/>
      <c r="Y68" s="34" t="n"/>
      <c r="Z68" s="34" t="n"/>
      <c r="AA68" s="34" t="n"/>
      <c r="AB68" s="34" t="n"/>
      <c r="AC68" s="34" t="n"/>
      <c r="AD68" s="34" t="n"/>
      <c r="AE68" s="34" t="n"/>
      <c r="AF68" s="34" t="n"/>
      <c r="AG68" s="34" t="n"/>
      <c r="AH68" s="34" t="n"/>
      <c r="AI68" s="34" t="n"/>
      <c r="AJ68" s="34" t="n"/>
      <c r="AK68" s="34" t="n"/>
      <c r="AL68" s="34" t="n"/>
      <c r="AM68" s="34" t="n"/>
      <c r="AN68" s="34" t="n"/>
      <c r="AO68" s="34" t="n"/>
      <c r="AP68" s="34" t="n"/>
      <c r="AQ68" s="34" t="n"/>
      <c r="AR68" s="34" t="n"/>
      <c r="AS68" s="34" t="n"/>
      <c r="AT68" s="34" t="n"/>
      <c r="AU68" s="34" t="n"/>
      <c r="AV68" s="34" t="n"/>
      <c r="AW68" s="34" t="n"/>
      <c r="AX68" s="34" t="n"/>
      <c r="AY68" s="34" t="n"/>
      <c r="AZ68" s="34" t="n"/>
      <c r="BA68" s="34" t="n"/>
      <c r="BB68" s="34" t="n"/>
      <c r="BC68" s="253" t="n">
        <v>2573</v>
      </c>
      <c r="BD68" s="253" t="n">
        <v>2608</v>
      </c>
      <c r="BE68" s="253" t="n">
        <v>2662</v>
      </c>
      <c r="BF68" s="253" t="n">
        <v>2773</v>
      </c>
      <c r="BG68" s="253" t="n">
        <v>2773</v>
      </c>
      <c r="BH68" s="253" t="n">
        <v>2752</v>
      </c>
      <c r="BI68" s="253" t="n">
        <v>2781</v>
      </c>
      <c r="BJ68" s="253" t="n">
        <v>2851</v>
      </c>
      <c r="BK68" s="253" t="n">
        <v>2962</v>
      </c>
      <c r="BL68" s="253" t="n">
        <v>2962</v>
      </c>
      <c r="BM68" s="253" t="n">
        <v>3059</v>
      </c>
      <c r="BN68" s="253" t="n">
        <v>3105</v>
      </c>
      <c r="BO68" s="253" t="n">
        <v>3147</v>
      </c>
      <c r="BP68" s="253" t="n">
        <v>3278</v>
      </c>
      <c r="BQ68" s="253" t="n">
        <v>3278</v>
      </c>
      <c r="BR68" s="253" t="n">
        <v>3266</v>
      </c>
      <c r="BS68" s="253" t="n">
        <v>3297</v>
      </c>
      <c r="BT68" s="253" t="n">
        <v>3361</v>
      </c>
      <c r="BU68" s="253" t="n">
        <v>3498</v>
      </c>
      <c r="BV68" s="253" t="n">
        <v>3498</v>
      </c>
      <c r="BW68" s="253" t="n">
        <v>3607</v>
      </c>
      <c r="BX68" s="253" t="n">
        <v>3661</v>
      </c>
      <c r="BY68" s="153" t="n"/>
      <c r="BZ68" s="153" t="n"/>
      <c r="CA68" s="153" t="n"/>
      <c r="CB68" s="153" t="n"/>
      <c r="CC68" s="153" t="n"/>
      <c r="CD68" s="153" t="n"/>
      <c r="CE68" s="153" t="n"/>
      <c r="CF68" s="153" t="n"/>
      <c r="CH68" s="20">
        <f>IFERROR((CE68/BV68)^(1/5)-1,"n/m")</f>
        <v>-1</v>
      </c>
      <c r="CI68" s="20" t="str">
        <f>IFERROR((BV68/AW68)^(1/5)-1,"n/m")</f>
        <v>n/m</v>
      </c>
      <c r="CJ68" s="20" t="str">
        <f>IFERROR((BV68/X68)^(1/10)-1,"n/m")</f>
        <v>n/m</v>
      </c>
      <c r="CK68" s="20" t="str">
        <f>IFERROR((BV68/C68)^(1/19)-1,"n/m")</f>
        <v>n/m</v>
      </c>
      <c r="CN68" s="25" t="inlineStr">
        <is>
          <t xml:space="preserve">  2027E</t>
        </is>
      </c>
      <c r="CO68" s="33">
        <f>CP68+$CO$67</f>
        <v>0.11</v>
      </c>
      <c r="CP68" s="42" t="n">
        <v>0.09</v>
      </c>
      <c r="CQ68" s="33">
        <f>CP68+$CQ$67</f>
        <v>0.05</v>
      </c>
    </row>
    <row r="69" ht="15" customHeight="1" s="251">
      <c r="B69" s="156" t="inlineStr">
        <is>
          <t xml:space="preserve">  MA ARR growth y/y % (as published)</t>
        </is>
      </c>
      <c r="C69" s="34" t="n"/>
      <c r="D69" s="34" t="n"/>
      <c r="E69" s="34" t="n"/>
      <c r="F69" s="34" t="n"/>
      <c r="G69" s="34" t="n"/>
      <c r="H69" s="34" t="n"/>
      <c r="I69" s="34" t="n"/>
      <c r="J69" s="34" t="n"/>
      <c r="K69" s="34" t="n"/>
      <c r="L69" s="34" t="n"/>
      <c r="M69" s="34" t="n"/>
      <c r="N69" s="34" t="n"/>
      <c r="O69" s="34" t="n"/>
      <c r="P69" s="34" t="n"/>
      <c r="Q69" s="34" t="n"/>
      <c r="R69" s="34" t="n"/>
      <c r="S69" s="34" t="n"/>
      <c r="T69" s="34" t="n"/>
      <c r="U69" s="34" t="n"/>
      <c r="V69" s="34" t="n"/>
      <c r="W69" s="34" t="n"/>
      <c r="X69" s="34" t="n"/>
      <c r="Y69" s="34" t="n"/>
      <c r="Z69" s="34" t="n"/>
      <c r="AA69" s="34" t="n"/>
      <c r="AB69" s="34" t="n"/>
      <c r="AC69" s="34" t="n"/>
      <c r="AD69" s="34" t="n"/>
      <c r="AE69" s="34" t="n"/>
      <c r="AF69" s="34" t="n"/>
      <c r="AG69" s="34" t="n"/>
      <c r="AH69" s="34" t="n"/>
      <c r="AI69" s="34" t="n"/>
      <c r="AJ69" s="34" t="n"/>
      <c r="AK69" s="34" t="n"/>
      <c r="AL69" s="34" t="n"/>
      <c r="AM69" s="34" t="n"/>
      <c r="AN69" s="34" t="n"/>
      <c r="AO69" s="34" t="n"/>
      <c r="AP69" s="34" t="n"/>
      <c r="AQ69" s="34" t="n"/>
      <c r="AR69" s="34" t="n"/>
      <c r="AS69" s="34" t="n"/>
      <c r="AT69" s="34" t="n"/>
      <c r="AU69" s="34" t="n"/>
      <c r="AV69" s="34" t="n"/>
      <c r="AW69" s="34" t="n"/>
      <c r="AX69" s="34" t="n"/>
      <c r="AY69" s="34" t="n"/>
      <c r="AZ69" s="34" t="n"/>
      <c r="BA69" s="34" t="n"/>
      <c r="BB69" s="34" t="n"/>
      <c r="BC69" s="34" t="n"/>
      <c r="BD69" s="34" t="n"/>
      <c r="BE69" s="34" t="n"/>
      <c r="BF69" s="34" t="n"/>
      <c r="BG69" s="34" t="n"/>
      <c r="BH69" s="34" t="n"/>
      <c r="BI69" s="34" t="n"/>
      <c r="BJ69" s="34" t="n"/>
      <c r="BK69" s="34" t="n"/>
      <c r="BL69" s="34" t="n"/>
      <c r="BM69" s="34" t="n"/>
      <c r="BN69" s="34" t="n"/>
      <c r="BO69" s="34" t="n"/>
      <c r="BP69" s="34" t="n"/>
      <c r="BQ69" s="34" t="n"/>
      <c r="BR69" s="34" t="n"/>
      <c r="BS69" s="34" t="n"/>
      <c r="BT69" s="34" t="n"/>
      <c r="BU69" s="34" t="n"/>
      <c r="BV69" s="34" t="n"/>
      <c r="BW69" s="34" t="n"/>
      <c r="BX69" s="34" t="n"/>
      <c r="BY69" s="153" t="n"/>
      <c r="BZ69" s="153" t="n"/>
      <c r="CA69" s="153" t="n"/>
      <c r="CB69" s="153" t="n"/>
      <c r="CC69" s="153" t="n"/>
      <c r="CD69" s="153" t="n"/>
      <c r="CE69" s="153" t="n"/>
      <c r="CF69" s="153" t="n"/>
      <c r="CN69" s="25" t="inlineStr">
        <is>
          <t xml:space="preserve">  2028E</t>
        </is>
      </c>
      <c r="CO69" s="33">
        <f>CP69+$CO$67</f>
        <v>0.1</v>
      </c>
      <c r="CP69" s="42" t="n">
        <v>0.08</v>
      </c>
      <c r="CQ69" s="33">
        <f>CP69+$CQ$67</f>
        <v>0.04</v>
      </c>
    </row>
    <row r="70" ht="15" customHeight="1" s="251">
      <c r="B70" s="156" t="inlineStr">
        <is>
          <t xml:space="preserve">    Legacy line: Research, Data &amp; Analytics (RD&amp;A)</t>
        </is>
      </c>
      <c r="C70" s="34" t="n"/>
      <c r="D70" s="34" t="n"/>
      <c r="E70" s="34" t="n"/>
      <c r="F70" s="253" t="n">
        <v>413.6</v>
      </c>
      <c r="G70" s="253" t="n">
        <v>425</v>
      </c>
      <c r="H70" s="253" t="n">
        <v>451.3</v>
      </c>
      <c r="I70" s="253" t="n">
        <v>491</v>
      </c>
      <c r="J70" s="253" t="n">
        <v>129.6</v>
      </c>
      <c r="K70" s="253" t="n">
        <v>130.3</v>
      </c>
      <c r="L70" s="253" t="n">
        <v>133.7</v>
      </c>
      <c r="M70" s="253" t="n">
        <v>138.4</v>
      </c>
      <c r="N70" s="253" t="n">
        <v>532</v>
      </c>
      <c r="O70" s="253" t="n">
        <v>140.9</v>
      </c>
      <c r="P70" s="253" t="n">
        <v>144.7</v>
      </c>
      <c r="Q70" s="253" t="n">
        <v>146.8</v>
      </c>
      <c r="R70" s="253" t="n">
        <v>149.5</v>
      </c>
      <c r="S70" s="253" t="n">
        <v>571.8</v>
      </c>
      <c r="T70" s="253" t="n">
        <v>149.6</v>
      </c>
      <c r="U70" s="253" t="n">
        <v>157.5</v>
      </c>
      <c r="V70" s="253" t="n">
        <v>157.9</v>
      </c>
      <c r="W70" s="253" t="n">
        <v>161.4</v>
      </c>
      <c r="X70" s="253" t="n">
        <v>626.4</v>
      </c>
      <c r="Y70" s="253" t="n">
        <v>164.9</v>
      </c>
      <c r="Z70" s="253" t="n">
        <v>168.3</v>
      </c>
      <c r="AA70" s="253" t="n">
        <v>167.7</v>
      </c>
      <c r="AB70" s="253" t="n">
        <v>166.7</v>
      </c>
      <c r="AC70" s="253" t="n">
        <v>667.6</v>
      </c>
      <c r="AD70" s="253" t="n">
        <v>175.4</v>
      </c>
      <c r="AE70" s="253" t="n">
        <v>180.9</v>
      </c>
      <c r="AF70" s="253" t="n">
        <v>218.4</v>
      </c>
      <c r="AG70" s="253" t="n">
        <v>258</v>
      </c>
      <c r="AH70" s="253" t="n">
        <v>832.7</v>
      </c>
      <c r="AI70" s="253" t="n">
        <v>269.2</v>
      </c>
      <c r="AJ70" s="253" t="n">
        <v>279.9</v>
      </c>
      <c r="AK70" s="253" t="n">
        <v>282.6</v>
      </c>
      <c r="AL70" s="253" t="n">
        <v>302.4</v>
      </c>
      <c r="AM70" s="253" t="n">
        <v>1134.1</v>
      </c>
      <c r="AN70" s="253" t="n">
        <v>307.7</v>
      </c>
      <c r="AO70" s="253" t="n">
        <v>315.3</v>
      </c>
      <c r="AP70" s="253" t="n">
        <v>317.5</v>
      </c>
      <c r="AQ70" s="253" t="n">
        <v>333</v>
      </c>
      <c r="AR70" s="253" t="n">
        <v>1273</v>
      </c>
      <c r="AS70" s="253" t="n">
        <v>358</v>
      </c>
      <c r="AT70" s="253" t="n">
        <v>366</v>
      </c>
      <c r="AU70" s="253" t="n">
        <v>386</v>
      </c>
      <c r="AV70" s="253" t="n">
        <v>404</v>
      </c>
      <c r="AW70" s="253" t="n">
        <v>1514</v>
      </c>
      <c r="AX70" s="253" t="n">
        <v>419</v>
      </c>
      <c r="AY70" s="253" t="n">
        <v>435</v>
      </c>
      <c r="AZ70" s="253" t="n">
        <v>445</v>
      </c>
      <c r="BA70" s="253" t="n">
        <v>454</v>
      </c>
      <c r="BB70" s="253" t="n">
        <v>1745</v>
      </c>
      <c r="BC70" s="34" t="n"/>
      <c r="BD70" s="34" t="n"/>
      <c r="BE70" s="34" t="n"/>
      <c r="BF70" s="34" t="n"/>
      <c r="BG70" s="34" t="n"/>
      <c r="BH70" s="34" t="n"/>
      <c r="BI70" s="34" t="n"/>
      <c r="BJ70" s="34" t="n"/>
      <c r="BK70" s="34" t="n"/>
      <c r="BL70" s="34" t="n"/>
      <c r="BM70" s="34" t="n"/>
      <c r="BN70" s="34" t="n"/>
      <c r="BO70" s="34" t="n"/>
      <c r="BP70" s="34" t="n"/>
      <c r="BQ70" s="34" t="n"/>
      <c r="BR70" s="34" t="n"/>
      <c r="BS70" s="34" t="n"/>
      <c r="BT70" s="34" t="n"/>
      <c r="BU70" s="34" t="n"/>
      <c r="BV70" s="34" t="n"/>
      <c r="BW70" s="34" t="n"/>
      <c r="BX70" s="34" t="n"/>
      <c r="BY70" s="153" t="n"/>
      <c r="BZ70" s="153" t="n"/>
      <c r="CA70" s="153" t="n"/>
      <c r="CB70" s="153" t="n"/>
      <c r="CC70" s="153" t="n"/>
      <c r="CD70" s="153" t="n"/>
      <c r="CE70" s="153" t="n"/>
      <c r="CF70" s="153" t="inlineStr">
        <is>
          <t>Legacy MA revenue lines as originally reported (structure in force in each period; see row comments).</t>
        </is>
      </c>
      <c r="CN70" s="25" t="inlineStr">
        <is>
          <t xml:space="preserve">  2029E</t>
        </is>
      </c>
      <c r="CO70" s="33">
        <f>CP70+$CO$67</f>
        <v>0.1</v>
      </c>
      <c r="CP70" s="42" t="n">
        <v>0.08</v>
      </c>
      <c r="CQ70" s="33">
        <f>CP70+$CQ$67</f>
        <v>0.04</v>
      </c>
    </row>
    <row r="71" ht="15" customHeight="1" s="251">
      <c r="B71" s="156" t="inlineStr">
        <is>
          <t xml:space="preserve">    Legacy line: Enterprise Risk Solutions (ERS)</t>
        </is>
      </c>
      <c r="C71" s="34" t="n"/>
      <c r="D71" s="34" t="n"/>
      <c r="E71" s="34" t="n"/>
      <c r="F71" s="34" t="n"/>
      <c r="G71" s="34" t="n"/>
      <c r="H71" s="34" t="n"/>
      <c r="I71" s="253" t="n">
        <v>242.6</v>
      </c>
      <c r="J71" s="253" t="n">
        <v>53</v>
      </c>
      <c r="K71" s="253" t="n">
        <v>60.2</v>
      </c>
      <c r="L71" s="253" t="n">
        <v>64.40000000000001</v>
      </c>
      <c r="M71" s="253" t="n">
        <v>84.90000000000001</v>
      </c>
      <c r="N71" s="253" t="n">
        <v>262.5</v>
      </c>
      <c r="O71" s="253" t="n">
        <v>59.8</v>
      </c>
      <c r="P71" s="253" t="n">
        <v>67.2</v>
      </c>
      <c r="Q71" s="253" t="n">
        <v>81.09999999999999</v>
      </c>
      <c r="R71" s="253" t="n">
        <v>120.4</v>
      </c>
      <c r="S71" s="253" t="n">
        <v>328.5</v>
      </c>
      <c r="T71" s="253" t="n">
        <v>77.09999999999999</v>
      </c>
      <c r="U71" s="253" t="n">
        <v>83.2</v>
      </c>
      <c r="V71" s="253" t="n">
        <v>92.2</v>
      </c>
      <c r="W71" s="253" t="n">
        <v>121.5</v>
      </c>
      <c r="X71" s="253" t="n">
        <v>374</v>
      </c>
      <c r="Y71" s="253" t="n">
        <v>89.5</v>
      </c>
      <c r="Z71" s="253" t="n">
        <v>97.5</v>
      </c>
      <c r="AA71" s="253" t="n">
        <v>101.5</v>
      </c>
      <c r="AB71" s="253" t="n">
        <v>130.3</v>
      </c>
      <c r="AC71" s="253" t="n">
        <v>418.8</v>
      </c>
      <c r="AD71" s="253" t="n">
        <v>95.90000000000001</v>
      </c>
      <c r="AE71" s="253" t="n">
        <v>97.3</v>
      </c>
      <c r="AF71" s="253" t="n">
        <v>112.6</v>
      </c>
      <c r="AG71" s="253" t="n">
        <v>142.8</v>
      </c>
      <c r="AH71" s="253" t="n">
        <v>448.6</v>
      </c>
      <c r="AI71" s="253" t="n">
        <v>100.1</v>
      </c>
      <c r="AJ71" s="253" t="n">
        <v>105.5</v>
      </c>
      <c r="AK71" s="253" t="n">
        <v>113</v>
      </c>
      <c r="AL71" s="253" t="n">
        <v>118.8</v>
      </c>
      <c r="AM71" s="253" t="n">
        <v>437.4</v>
      </c>
      <c r="AN71" s="253" t="n">
        <v>121.9</v>
      </c>
      <c r="AO71" s="253" t="n">
        <v>117.7</v>
      </c>
      <c r="AP71" s="253" t="n">
        <v>133.3</v>
      </c>
      <c r="AQ71" s="253" t="n">
        <v>149</v>
      </c>
      <c r="AR71" s="253" t="n">
        <v>522</v>
      </c>
      <c r="AS71" s="253" t="n">
        <v>138</v>
      </c>
      <c r="AT71" s="253" t="n">
        <v>131</v>
      </c>
      <c r="AU71" s="253" t="n">
        <v>145</v>
      </c>
      <c r="AV71" s="253" t="n">
        <v>151</v>
      </c>
      <c r="AW71" s="253" t="n">
        <v>565</v>
      </c>
      <c r="AX71" s="253" t="n">
        <v>145</v>
      </c>
      <c r="AY71" s="253" t="n">
        <v>138</v>
      </c>
      <c r="AZ71" s="253" t="n">
        <v>156</v>
      </c>
      <c r="BA71" s="253" t="n">
        <v>214</v>
      </c>
      <c r="BB71" s="253" t="n">
        <v>661</v>
      </c>
      <c r="BC71" s="34" t="n"/>
      <c r="BD71" s="34" t="n"/>
      <c r="BE71" s="34" t="n"/>
      <c r="BF71" s="34" t="n"/>
      <c r="BG71" s="34" t="n"/>
      <c r="BH71" s="34" t="n"/>
      <c r="BI71" s="34" t="n"/>
      <c r="BJ71" s="34" t="n"/>
      <c r="BK71" s="34" t="n"/>
      <c r="BL71" s="34" t="n"/>
      <c r="BM71" s="34" t="n"/>
      <c r="BN71" s="34" t="n"/>
      <c r="BO71" s="34" t="n"/>
      <c r="BP71" s="34" t="n"/>
      <c r="BQ71" s="34" t="n"/>
      <c r="BR71" s="34" t="n"/>
      <c r="BS71" s="34" t="n"/>
      <c r="BT71" s="34" t="n"/>
      <c r="BU71" s="34" t="n"/>
      <c r="BV71" s="34" t="n"/>
      <c r="BW71" s="34" t="n"/>
      <c r="BX71" s="34" t="n"/>
      <c r="BY71" s="153" t="n"/>
      <c r="BZ71" s="153" t="n"/>
      <c r="CA71" s="153" t="n"/>
      <c r="CB71" s="153" t="n"/>
      <c r="CC71" s="153" t="n"/>
      <c r="CD71" s="153" t="n"/>
      <c r="CE71" s="153" t="n"/>
      <c r="CF71" s="153" t="n"/>
      <c r="CN71" s="25" t="inlineStr">
        <is>
          <t xml:space="preserve">  2030E</t>
        </is>
      </c>
      <c r="CO71" s="33">
        <f>CP71+$CO$67</f>
        <v>0.09</v>
      </c>
      <c r="CP71" s="42" t="n">
        <v>0.07000000000000001</v>
      </c>
      <c r="CQ71" s="33">
        <f>CP71+$CQ$67</f>
        <v>0.03</v>
      </c>
    </row>
    <row r="72" collapsed="1" ht="15" customHeight="1" s="251">
      <c r="B72" s="156" t="inlineStr">
        <is>
          <t xml:space="preserve">    Legacy line: Professional Services (PS)</t>
        </is>
      </c>
      <c r="C72" s="253" t="n">
        <v>13.5</v>
      </c>
      <c r="D72" s="253" t="n">
        <v>18.1</v>
      </c>
      <c r="E72" s="253" t="n">
        <v>25.6</v>
      </c>
      <c r="F72" s="253" t="n">
        <v>20.8</v>
      </c>
      <c r="G72" s="253" t="n">
        <v>28.8</v>
      </c>
      <c r="H72" s="253" t="n">
        <v>77.09999999999999</v>
      </c>
      <c r="I72" s="253" t="n">
        <v>109.9</v>
      </c>
      <c r="J72" s="253" t="n">
        <v>28</v>
      </c>
      <c r="K72" s="253" t="n">
        <v>28.2</v>
      </c>
      <c r="L72" s="253" t="n">
        <v>29.3</v>
      </c>
      <c r="M72" s="253" t="n">
        <v>33.1</v>
      </c>
      <c r="N72" s="253" t="n">
        <v>118.6</v>
      </c>
      <c r="O72" s="253" t="n">
        <v>40.7</v>
      </c>
      <c r="P72" s="253" t="n">
        <v>39.9</v>
      </c>
      <c r="Q72" s="253" t="n">
        <v>45.1</v>
      </c>
      <c r="R72" s="253" t="n">
        <v>42.5</v>
      </c>
      <c r="S72" s="253" t="n">
        <v>168.2</v>
      </c>
      <c r="T72" s="253" t="n">
        <v>36.6</v>
      </c>
      <c r="U72" s="253" t="n">
        <v>38.2</v>
      </c>
      <c r="V72" s="253" t="n">
        <v>36.7</v>
      </c>
      <c r="W72" s="253" t="n">
        <v>38.4</v>
      </c>
      <c r="X72" s="253" t="n">
        <v>149.9</v>
      </c>
      <c r="Y72" s="253" t="n">
        <v>36.6</v>
      </c>
      <c r="Z72" s="253" t="n">
        <v>37.5</v>
      </c>
      <c r="AA72" s="253" t="n">
        <v>35.6</v>
      </c>
      <c r="AB72" s="253" t="n">
        <v>37.3</v>
      </c>
      <c r="AC72" s="253" t="n">
        <v>147</v>
      </c>
      <c r="AD72" s="253" t="n">
        <v>35.7</v>
      </c>
      <c r="AE72" s="253" t="n">
        <v>35.6</v>
      </c>
      <c r="AF72" s="253" t="n">
        <v>37.7</v>
      </c>
      <c r="AG72" s="253" t="n">
        <v>40</v>
      </c>
      <c r="AH72" s="253" t="n">
        <v>149</v>
      </c>
      <c r="AI72" s="253" t="n">
        <v>37.5</v>
      </c>
      <c r="AJ72" s="253" t="n">
        <v>37.4</v>
      </c>
      <c r="AK72" s="253" t="n">
        <v>40.4</v>
      </c>
      <c r="AL72" s="253" t="n">
        <v>43.5</v>
      </c>
      <c r="AM72" s="253" t="n">
        <v>158.8</v>
      </c>
      <c r="AN72" s="253" t="n">
        <v>42.4</v>
      </c>
      <c r="AO72" s="253" t="n">
        <v>42.2</v>
      </c>
      <c r="AP72" s="253" t="n">
        <v>43.1</v>
      </c>
      <c r="AQ72" s="253" t="n">
        <v>31</v>
      </c>
      <c r="AR72" s="253" t="n">
        <v>159</v>
      </c>
      <c r="AS72" s="253" t="n">
        <v>0</v>
      </c>
      <c r="AT72" s="253" t="n">
        <v>0</v>
      </c>
      <c r="AU72" s="253" t="n">
        <v>0</v>
      </c>
      <c r="AV72" s="253" t="n">
        <v>0</v>
      </c>
      <c r="AW72" s="253" t="n">
        <v>0</v>
      </c>
      <c r="AX72" s="34" t="n"/>
      <c r="AY72" s="34" t="n"/>
      <c r="AZ72" s="34" t="n"/>
      <c r="BA72" s="34" t="n"/>
      <c r="BB72" s="34" t="n"/>
      <c r="BC72" s="34" t="n"/>
      <c r="BD72" s="34" t="n"/>
      <c r="BE72" s="34" t="n"/>
      <c r="BF72" s="34" t="n"/>
      <c r="BG72" s="34" t="n"/>
      <c r="BH72" s="34" t="n"/>
      <c r="BI72" s="34" t="n"/>
      <c r="BJ72" s="34" t="n"/>
      <c r="BK72" s="34" t="n"/>
      <c r="BL72" s="34" t="n"/>
      <c r="BM72" s="34" t="n"/>
      <c r="BN72" s="34" t="n"/>
      <c r="BO72" s="34" t="n"/>
      <c r="BP72" s="34" t="n"/>
      <c r="BQ72" s="34" t="n"/>
      <c r="BR72" s="34" t="n"/>
      <c r="BS72" s="34" t="n"/>
      <c r="BT72" s="34" t="n"/>
      <c r="BU72" s="34" t="n"/>
      <c r="BV72" s="34" t="n"/>
      <c r="BW72" s="34" t="n"/>
      <c r="BX72" s="34" t="n"/>
      <c r="BY72" s="153" t="n"/>
      <c r="BZ72" s="153" t="n"/>
      <c r="CA72" s="153" t="n"/>
      <c r="CB72" s="153" t="n"/>
      <c r="CC72" s="153" t="n"/>
      <c r="CD72" s="153" t="n"/>
      <c r="CE72" s="153" t="n"/>
      <c r="CF72" s="153" t="n"/>
      <c r="CN72" s="15" t="inlineStr">
        <is>
          <t>MA_KYC (Decision Solutions — KYC y/y)</t>
        </is>
      </c>
      <c r="CO72" s="41" t="n">
        <v>0.03</v>
      </c>
      <c r="CP72" s="21" t="inlineStr">
        <is>
          <t>Δ →</t>
        </is>
      </c>
      <c r="CQ72" s="41" t="n">
        <v>-0.04</v>
      </c>
      <c r="CR72" s="13" t="inlineStr">
        <is>
          <t>1H26 +15% (cc +11%); ARR +13%; Orbis / Maxsight entity data.</t>
        </is>
      </c>
    </row>
    <row r="73" ht="15" customHeight="1" s="251">
      <c r="B73" s="156" t="inlineStr">
        <is>
          <t xml:space="preserve">    Legacy line: Subscriptions (2006–2008 basis)</t>
        </is>
      </c>
      <c r="C73" s="253" t="n">
        <v>347.5</v>
      </c>
      <c r="D73" s="253" t="n">
        <v>421.5</v>
      </c>
      <c r="E73" s="253" t="n">
        <v>475.9</v>
      </c>
      <c r="F73" s="34" t="n"/>
      <c r="G73" s="34" t="n"/>
      <c r="H73" s="34" t="n"/>
      <c r="I73" s="34" t="n"/>
      <c r="J73" s="34" t="n"/>
      <c r="K73" s="34" t="n"/>
      <c r="L73" s="34" t="n"/>
      <c r="M73" s="34" t="n"/>
      <c r="N73" s="34" t="n"/>
      <c r="O73" s="34" t="n"/>
      <c r="P73" s="34" t="n"/>
      <c r="Q73" s="34" t="n"/>
      <c r="R73" s="34" t="n"/>
      <c r="S73" s="34" t="n"/>
      <c r="T73" s="34" t="n"/>
      <c r="U73" s="34" t="n"/>
      <c r="V73" s="34" t="n"/>
      <c r="W73" s="34" t="n"/>
      <c r="X73" s="34" t="n"/>
      <c r="Y73" s="34" t="n"/>
      <c r="Z73" s="34" t="n"/>
      <c r="AA73" s="34" t="n"/>
      <c r="AB73" s="34" t="n"/>
      <c r="AC73" s="34" t="n"/>
      <c r="AD73" s="34" t="n"/>
      <c r="AE73" s="34" t="n"/>
      <c r="AF73" s="34" t="n"/>
      <c r="AG73" s="34" t="n"/>
      <c r="AH73" s="34" t="n"/>
      <c r="AI73" s="34" t="n"/>
      <c r="AJ73" s="34" t="n"/>
      <c r="AK73" s="34" t="n"/>
      <c r="AL73" s="34" t="n"/>
      <c r="AM73" s="34" t="n"/>
      <c r="AN73" s="34" t="n"/>
      <c r="AO73" s="34" t="n"/>
      <c r="AP73" s="34" t="n"/>
      <c r="AQ73" s="34" t="n"/>
      <c r="AR73" s="34" t="n"/>
      <c r="AS73" s="34" t="n"/>
      <c r="AT73" s="34" t="n"/>
      <c r="AU73" s="34" t="n"/>
      <c r="AV73" s="34" t="n"/>
      <c r="AW73" s="34" t="n"/>
      <c r="AX73" s="34" t="n"/>
      <c r="AY73" s="34" t="n"/>
      <c r="AZ73" s="34" t="n"/>
      <c r="BA73" s="34" t="n"/>
      <c r="BB73" s="34" t="n"/>
      <c r="BC73" s="34" t="n"/>
      <c r="BD73" s="34" t="n"/>
      <c r="BE73" s="34" t="n"/>
      <c r="BF73" s="34" t="n"/>
      <c r="BG73" s="34" t="n"/>
      <c r="BH73" s="34" t="n"/>
      <c r="BI73" s="34" t="n"/>
      <c r="BJ73" s="34" t="n"/>
      <c r="BK73" s="34" t="n"/>
      <c r="BL73" s="34" t="n"/>
      <c r="BM73" s="34" t="n"/>
      <c r="BN73" s="34" t="n"/>
      <c r="BO73" s="34" t="n"/>
      <c r="BP73" s="34" t="n"/>
      <c r="BQ73" s="34" t="n"/>
      <c r="BR73" s="34" t="n"/>
      <c r="BS73" s="34" t="n"/>
      <c r="BT73" s="34" t="n"/>
      <c r="BU73" s="34" t="n"/>
      <c r="BV73" s="34" t="n"/>
      <c r="BW73" s="34" t="n"/>
      <c r="BX73" s="34" t="n"/>
      <c r="BY73" s="153" t="n"/>
      <c r="BZ73" s="153" t="n"/>
      <c r="CA73" s="153" t="n"/>
      <c r="CB73" s="153" t="n"/>
      <c r="CC73" s="153" t="n"/>
      <c r="CD73" s="153" t="n"/>
      <c r="CE73" s="153" t="n"/>
      <c r="CF73" s="153" t="n"/>
      <c r="CN73" s="25" t="inlineStr">
        <is>
          <t xml:space="preserve">  2027E</t>
        </is>
      </c>
      <c r="CO73" s="33">
        <f>CP73+$CO$72</f>
        <v>0.15</v>
      </c>
      <c r="CP73" s="42" t="n">
        <v>0.12</v>
      </c>
      <c r="CQ73" s="33">
        <f>CP73+$CQ$72</f>
        <v>0.08</v>
      </c>
    </row>
    <row r="74" ht="15" customHeight="1" s="251">
      <c r="B74" s="156" t="inlineStr">
        <is>
          <t xml:space="preserve">    Legacy line: Software (2006–2008 basis)</t>
        </is>
      </c>
      <c r="C74" s="253" t="n">
        <v>36.3</v>
      </c>
      <c r="D74" s="253" t="n">
        <v>39.5</v>
      </c>
      <c r="E74" s="253" t="n">
        <v>49.2</v>
      </c>
      <c r="F74" s="34" t="n"/>
      <c r="G74" s="34" t="n"/>
      <c r="H74" s="34" t="n"/>
      <c r="I74" s="34" t="n"/>
      <c r="J74" s="34" t="n"/>
      <c r="K74" s="34" t="n"/>
      <c r="L74" s="34" t="n"/>
      <c r="M74" s="34" t="n"/>
      <c r="N74" s="34" t="n"/>
      <c r="O74" s="34" t="n"/>
      <c r="P74" s="34" t="n"/>
      <c r="Q74" s="34" t="n"/>
      <c r="R74" s="34" t="n"/>
      <c r="S74" s="34" t="n"/>
      <c r="T74" s="34" t="n"/>
      <c r="U74" s="34" t="n"/>
      <c r="V74" s="34" t="n"/>
      <c r="W74" s="34" t="n"/>
      <c r="X74" s="34" t="n"/>
      <c r="Y74" s="34" t="n"/>
      <c r="Z74" s="34" t="n"/>
      <c r="AA74" s="34" t="n"/>
      <c r="AB74" s="34" t="n"/>
      <c r="AC74" s="34" t="n"/>
      <c r="AD74" s="34" t="n"/>
      <c r="AE74" s="34" t="n"/>
      <c r="AF74" s="34" t="n"/>
      <c r="AG74" s="34" t="n"/>
      <c r="AH74" s="34" t="n"/>
      <c r="AI74" s="34" t="n"/>
      <c r="AJ74" s="34" t="n"/>
      <c r="AK74" s="34" t="n"/>
      <c r="AL74" s="34" t="n"/>
      <c r="AM74" s="34" t="n"/>
      <c r="AN74" s="34" t="n"/>
      <c r="AO74" s="34" t="n"/>
      <c r="AP74" s="34" t="n"/>
      <c r="AQ74" s="34" t="n"/>
      <c r="AR74" s="34" t="n"/>
      <c r="AS74" s="34" t="n"/>
      <c r="AT74" s="34" t="n"/>
      <c r="AU74" s="34" t="n"/>
      <c r="AV74" s="34" t="n"/>
      <c r="AW74" s="34" t="n"/>
      <c r="AX74" s="34" t="n"/>
      <c r="AY74" s="34" t="n"/>
      <c r="AZ74" s="34" t="n"/>
      <c r="BA74" s="34" t="n"/>
      <c r="BB74" s="34" t="n"/>
      <c r="BC74" s="34" t="n"/>
      <c r="BD74" s="34" t="n"/>
      <c r="BE74" s="34" t="n"/>
      <c r="BF74" s="34" t="n"/>
      <c r="BG74" s="34" t="n"/>
      <c r="BH74" s="34" t="n"/>
      <c r="BI74" s="34" t="n"/>
      <c r="BJ74" s="34" t="n"/>
      <c r="BK74" s="34" t="n"/>
      <c r="BL74" s="34" t="n"/>
      <c r="BM74" s="34" t="n"/>
      <c r="BN74" s="34" t="n"/>
      <c r="BO74" s="34" t="n"/>
      <c r="BP74" s="34" t="n"/>
      <c r="BQ74" s="34" t="n"/>
      <c r="BR74" s="34" t="n"/>
      <c r="BS74" s="34" t="n"/>
      <c r="BT74" s="34" t="n"/>
      <c r="BU74" s="34" t="n"/>
      <c r="BV74" s="34" t="n"/>
      <c r="BW74" s="34" t="n"/>
      <c r="BX74" s="34" t="n"/>
      <c r="BY74" s="153" t="n"/>
      <c r="BZ74" s="153" t="n"/>
      <c r="CA74" s="153" t="n"/>
      <c r="CB74" s="153" t="n"/>
      <c r="CC74" s="153" t="n"/>
      <c r="CD74" s="153" t="n"/>
      <c r="CE74" s="153" t="n"/>
      <c r="CF74" s="153" t="n"/>
      <c r="CN74" s="25" t="inlineStr">
        <is>
          <t xml:space="preserve">  2028E</t>
        </is>
      </c>
      <c r="CO74" s="33">
        <f>CP74+$CO$72</f>
        <v>0.14</v>
      </c>
      <c r="CP74" s="42" t="n">
        <v>0.11</v>
      </c>
      <c r="CQ74" s="33">
        <f>CP74+$CQ$72</f>
        <v>0.07</v>
      </c>
    </row>
    <row r="75" ht="15" customHeight="1" s="251">
      <c r="B75" s="156" t="inlineStr">
        <is>
          <t xml:space="preserve">    Legacy line: Risk Management Software (2009–2010)</t>
        </is>
      </c>
      <c r="C75" s="34" t="n"/>
      <c r="D75" s="34" t="n"/>
      <c r="E75" s="34" t="n"/>
      <c r="F75" s="253" t="n">
        <v>145.1</v>
      </c>
      <c r="G75" s="253" t="n">
        <v>173.2</v>
      </c>
      <c r="H75" s="253" t="n">
        <v>183.4</v>
      </c>
      <c r="I75" s="34" t="n"/>
      <c r="J75" s="34" t="n"/>
      <c r="K75" s="34" t="n"/>
      <c r="L75" s="34" t="n"/>
      <c r="M75" s="34" t="n"/>
      <c r="N75" s="34" t="n"/>
      <c r="O75" s="34" t="n"/>
      <c r="P75" s="34" t="n"/>
      <c r="Q75" s="34" t="n"/>
      <c r="R75" s="34" t="n"/>
      <c r="S75" s="34" t="n"/>
      <c r="T75" s="34" t="n"/>
      <c r="U75" s="34" t="n"/>
      <c r="V75" s="34" t="n"/>
      <c r="W75" s="34" t="n"/>
      <c r="X75" s="34" t="n"/>
      <c r="Y75" s="34" t="n"/>
      <c r="Z75" s="34" t="n"/>
      <c r="AA75" s="34" t="n"/>
      <c r="AB75" s="34" t="n"/>
      <c r="AC75" s="34" t="n"/>
      <c r="AD75" s="34" t="n"/>
      <c r="AE75" s="34" t="n"/>
      <c r="AF75" s="34" t="n"/>
      <c r="AG75" s="34" t="n"/>
      <c r="AH75" s="34" t="n"/>
      <c r="AI75" s="34" t="n"/>
      <c r="AJ75" s="34" t="n"/>
      <c r="AK75" s="34" t="n"/>
      <c r="AL75" s="34" t="n"/>
      <c r="AM75" s="34" t="n"/>
      <c r="AN75" s="34" t="n"/>
      <c r="AO75" s="34" t="n"/>
      <c r="AP75" s="34" t="n"/>
      <c r="AQ75" s="34" t="n"/>
      <c r="AR75" s="34" t="n"/>
      <c r="AS75" s="34" t="n"/>
      <c r="AT75" s="34" t="n"/>
      <c r="AU75" s="34" t="n"/>
      <c r="AV75" s="34" t="n"/>
      <c r="AW75" s="34" t="n"/>
      <c r="AX75" s="34" t="n"/>
      <c r="AY75" s="34" t="n"/>
      <c r="AZ75" s="34" t="n"/>
      <c r="BA75" s="34" t="n"/>
      <c r="BB75" s="34" t="n"/>
      <c r="BC75" s="34" t="n"/>
      <c r="BD75" s="34" t="n"/>
      <c r="BE75" s="34" t="n"/>
      <c r="BF75" s="34" t="n"/>
      <c r="BG75" s="34" t="n"/>
      <c r="BH75" s="34" t="n"/>
      <c r="BI75" s="34" t="n"/>
      <c r="BJ75" s="34" t="n"/>
      <c r="BK75" s="34" t="n"/>
      <c r="BL75" s="34" t="n"/>
      <c r="BM75" s="34" t="n"/>
      <c r="BN75" s="34" t="n"/>
      <c r="BO75" s="34" t="n"/>
      <c r="BP75" s="34" t="n"/>
      <c r="BQ75" s="34" t="n"/>
      <c r="BR75" s="34" t="n"/>
      <c r="BS75" s="34" t="n"/>
      <c r="BT75" s="34" t="n"/>
      <c r="BU75" s="34" t="n"/>
      <c r="BV75" s="34" t="n"/>
      <c r="BW75" s="34" t="n"/>
      <c r="BX75" s="34" t="n"/>
      <c r="BY75" s="153" t="n"/>
      <c r="BZ75" s="153" t="n"/>
      <c r="CA75" s="153" t="n"/>
      <c r="CB75" s="153" t="n"/>
      <c r="CC75" s="153" t="n"/>
      <c r="CD75" s="153" t="n"/>
      <c r="CE75" s="153" t="n"/>
      <c r="CF75" s="153" t="n"/>
      <c r="CN75" s="25" t="inlineStr">
        <is>
          <t xml:space="preserve">  2029E</t>
        </is>
      </c>
      <c r="CO75" s="33">
        <f>CP75+$CO$72</f>
        <v>0.13</v>
      </c>
      <c r="CP75" s="42" t="n">
        <v>0.1</v>
      </c>
      <c r="CQ75" s="33">
        <f>CP75+$CQ$72</f>
        <v>0.06</v>
      </c>
    </row>
    <row r="76" ht="15" customHeight="1" s="251">
      <c r="B76" s="156" t="inlineStr">
        <is>
          <t xml:space="preserve">    Legacy line: Decision Solutions (total; sub-lines from 2024 basis)</t>
        </is>
      </c>
      <c r="C76" s="34" t="n"/>
      <c r="D76" s="34" t="n"/>
      <c r="E76" s="34" t="n"/>
      <c r="F76" s="34" t="n"/>
      <c r="G76" s="34" t="n"/>
      <c r="H76" s="34" t="n"/>
      <c r="I76" s="34" t="n"/>
      <c r="J76" s="34" t="n"/>
      <c r="K76" s="34" t="n"/>
      <c r="L76" s="34" t="n"/>
      <c r="M76" s="34" t="n"/>
      <c r="N76" s="34" t="n"/>
      <c r="O76" s="34" t="n"/>
      <c r="P76" s="34" t="n"/>
      <c r="Q76" s="34" t="n"/>
      <c r="R76" s="34" t="n"/>
      <c r="S76" s="34" t="n"/>
      <c r="T76" s="34" t="n"/>
      <c r="U76" s="34" t="n"/>
      <c r="V76" s="34" t="n"/>
      <c r="W76" s="34" t="n"/>
      <c r="X76" s="34" t="n"/>
      <c r="Y76" s="34" t="n"/>
      <c r="Z76" s="34" t="n"/>
      <c r="AA76" s="34" t="n"/>
      <c r="AB76" s="34" t="n"/>
      <c r="AC76" s="34" t="n"/>
      <c r="AD76" s="34" t="n"/>
      <c r="AE76" s="34" t="n"/>
      <c r="AF76" s="34" t="n"/>
      <c r="AG76" s="34" t="n"/>
      <c r="AH76" s="34" t="n"/>
      <c r="AI76" s="34" t="n"/>
      <c r="AJ76" s="34" t="n"/>
      <c r="AK76" s="34" t="n"/>
      <c r="AL76" s="34" t="n"/>
      <c r="AM76" s="34" t="n"/>
      <c r="AN76" s="34" t="n"/>
      <c r="AO76" s="34" t="n"/>
      <c r="AP76" s="34" t="n"/>
      <c r="AQ76" s="34" t="n"/>
      <c r="AR76" s="34" t="n"/>
      <c r="AS76" s="34" t="n"/>
      <c r="AT76" s="34" t="n"/>
      <c r="AU76" s="34" t="n"/>
      <c r="AV76" s="34" t="n"/>
      <c r="AW76" s="34" t="n"/>
      <c r="AX76" s="253" t="n">
        <v>225</v>
      </c>
      <c r="AY76" s="253" t="n">
        <v>222</v>
      </c>
      <c r="AZ76" s="253" t="n">
        <v>250</v>
      </c>
      <c r="BA76" s="253" t="n">
        <v>314</v>
      </c>
      <c r="BB76" s="253" t="n">
        <v>1011</v>
      </c>
      <c r="BC76" s="253" t="n">
        <v>334</v>
      </c>
      <c r="BD76" s="253" t="n">
        <v>312</v>
      </c>
      <c r="BE76" s="253" t="n">
        <v>325</v>
      </c>
      <c r="BF76" s="253" t="n">
        <v>353</v>
      </c>
      <c r="BG76" s="253" t="n">
        <v>1324</v>
      </c>
      <c r="BH76" s="253" t="n">
        <v>354</v>
      </c>
      <c r="BI76" s="34" t="n"/>
      <c r="BJ76" s="34" t="n"/>
      <c r="BK76" s="253" t="n">
        <v>361</v>
      </c>
      <c r="BL76" s="34" t="n"/>
      <c r="BM76" s="34" t="n"/>
      <c r="BN76" s="34" t="n"/>
      <c r="BO76" s="34" t="n"/>
      <c r="BP76" s="34" t="n"/>
      <c r="BQ76" s="34" t="n"/>
      <c r="BR76" s="34" t="n"/>
      <c r="BS76" s="34" t="n"/>
      <c r="BT76" s="34" t="n"/>
      <c r="BU76" s="34" t="n"/>
      <c r="BV76" s="34" t="n"/>
      <c r="BW76" s="34" t="n"/>
      <c r="BX76" s="34" t="n"/>
      <c r="BY76" s="153" t="n"/>
      <c r="BZ76" s="153" t="n"/>
      <c r="CA76" s="153" t="n"/>
      <c r="CB76" s="153" t="n"/>
      <c r="CC76" s="153" t="n"/>
      <c r="CD76" s="153" t="n"/>
      <c r="CE76" s="153" t="n"/>
      <c r="CF76" s="153" t="n"/>
      <c r="CN76" s="25" t="inlineStr">
        <is>
          <t xml:space="preserve">  2030E</t>
        </is>
      </c>
      <c r="CO76" s="33">
        <f>CP76+$CO$72</f>
        <v>0.12</v>
      </c>
      <c r="CP76" s="42" t="n">
        <v>0.09</v>
      </c>
      <c r="CQ76" s="33">
        <f>CP76+$CQ$72</f>
        <v>0.05</v>
      </c>
    </row>
    <row r="77" ht="15" customHeight="1" s="251">
      <c r="B77" s="25" t="inlineStr">
        <is>
          <t xml:space="preserve">  MA intersegment revenue</t>
        </is>
      </c>
      <c r="C77" s="34" t="n"/>
      <c r="D77" s="34" t="n"/>
      <c r="E77" s="34" t="n"/>
      <c r="F77" s="34" t="n"/>
      <c r="G77" s="34" t="n"/>
      <c r="H77" s="253" t="n">
        <v>10.6</v>
      </c>
      <c r="I77" s="253" t="n">
        <v>11.8</v>
      </c>
      <c r="J77" s="253" t="n">
        <v>2.8</v>
      </c>
      <c r="K77" s="253" t="n">
        <v>2.7</v>
      </c>
      <c r="L77" s="253" t="n">
        <v>3</v>
      </c>
      <c r="M77" s="253" t="n">
        <v>3.1</v>
      </c>
      <c r="N77" s="253" t="n">
        <v>11.6</v>
      </c>
      <c r="O77" s="253" t="n">
        <v>3.3</v>
      </c>
      <c r="P77" s="253" t="n">
        <v>3.3</v>
      </c>
      <c r="Q77" s="253" t="n">
        <v>3.4</v>
      </c>
      <c r="R77" s="253" t="n">
        <v>3.2</v>
      </c>
      <c r="S77" s="253" t="n">
        <v>13.3</v>
      </c>
      <c r="T77" s="253" t="n">
        <v>3.3</v>
      </c>
      <c r="U77" s="253" t="n">
        <v>3.1</v>
      </c>
      <c r="V77" s="253" t="n">
        <v>3.3</v>
      </c>
      <c r="W77" s="253" t="n">
        <v>3.4</v>
      </c>
      <c r="X77" s="253" t="n">
        <v>13.1</v>
      </c>
      <c r="Y77" s="253" t="n">
        <v>2.8</v>
      </c>
      <c r="Z77" s="253" t="n">
        <v>2.8</v>
      </c>
      <c r="AA77" s="253" t="n">
        <v>4.2</v>
      </c>
      <c r="AB77" s="253" t="n">
        <v>3.7</v>
      </c>
      <c r="AC77" s="253" t="n">
        <v>13.5</v>
      </c>
      <c r="AD77" s="253" t="n">
        <v>3.7</v>
      </c>
      <c r="AE77" s="253" t="n">
        <v>3.8</v>
      </c>
      <c r="AF77" s="253" t="n">
        <v>4.1</v>
      </c>
      <c r="AG77" s="253" t="n">
        <v>4.4</v>
      </c>
      <c r="AH77" s="253" t="n">
        <v>16</v>
      </c>
      <c r="AI77" s="253" t="n">
        <v>5</v>
      </c>
      <c r="AJ77" s="253" t="n">
        <v>2.4</v>
      </c>
      <c r="AK77" s="253" t="n">
        <v>2.6</v>
      </c>
      <c r="AL77" s="253" t="n">
        <v>2.3</v>
      </c>
      <c r="AM77" s="253" t="n">
        <v>12.3</v>
      </c>
      <c r="AN77" s="253" t="n">
        <v>2.4</v>
      </c>
      <c r="AO77" s="253" t="n">
        <v>2.2</v>
      </c>
      <c r="AP77" s="253" t="n">
        <v>2.1</v>
      </c>
      <c r="AQ77" s="253" t="n">
        <v>2</v>
      </c>
      <c r="AR77" s="253" t="n">
        <v>9</v>
      </c>
      <c r="AS77" s="253" t="n">
        <v>2</v>
      </c>
      <c r="AT77" s="253" t="n">
        <v>2</v>
      </c>
      <c r="AU77" s="253" t="n">
        <v>1</v>
      </c>
      <c r="AV77" s="253" t="n">
        <v>2</v>
      </c>
      <c r="AW77" s="253" t="n">
        <v>7</v>
      </c>
      <c r="AX77" s="253" t="n">
        <v>2</v>
      </c>
      <c r="AY77" s="253" t="n">
        <v>2</v>
      </c>
      <c r="AZ77" s="253" t="n">
        <v>2</v>
      </c>
      <c r="BA77" s="253" t="n">
        <v>1</v>
      </c>
      <c r="BB77" s="253" t="n">
        <v>7</v>
      </c>
      <c r="BC77" s="253" t="n">
        <v>2</v>
      </c>
      <c r="BD77" s="253" t="n">
        <v>1</v>
      </c>
      <c r="BE77" s="253" t="n">
        <v>2</v>
      </c>
      <c r="BF77" s="253" t="n">
        <v>3</v>
      </c>
      <c r="BG77" s="253" t="n">
        <v>8</v>
      </c>
      <c r="BH77" s="253" t="n">
        <v>3</v>
      </c>
      <c r="BI77" s="253" t="n">
        <v>4</v>
      </c>
      <c r="BJ77" s="253" t="n">
        <v>3</v>
      </c>
      <c r="BK77" s="253" t="n">
        <v>3</v>
      </c>
      <c r="BL77" s="253" t="n">
        <v>13</v>
      </c>
      <c r="BM77" s="253" t="n">
        <v>3</v>
      </c>
      <c r="BN77" s="253" t="n">
        <v>4</v>
      </c>
      <c r="BO77" s="253" t="n">
        <v>3</v>
      </c>
      <c r="BP77" s="253" t="n">
        <v>3</v>
      </c>
      <c r="BQ77" s="253" t="n">
        <v>13</v>
      </c>
      <c r="BR77" s="253" t="n">
        <v>3</v>
      </c>
      <c r="BS77" s="253" t="n">
        <v>3</v>
      </c>
      <c r="BT77" s="253" t="n">
        <v>3</v>
      </c>
      <c r="BU77" s="253" t="n">
        <v>3</v>
      </c>
      <c r="BV77" s="253" t="n">
        <v>12</v>
      </c>
      <c r="BW77" s="253" t="n">
        <v>3</v>
      </c>
      <c r="BX77" s="253" t="n">
        <v>3</v>
      </c>
      <c r="BY77" s="254">
        <f>BY61*BY78</f>
        <v>3.06852816158112</v>
      </c>
      <c r="BZ77" s="254">
        <f>BZ61*BZ78</f>
        <v>3.18090457747884</v>
      </c>
      <c r="CA77" s="254">
        <f>SUM(BW77:BZ77)</f>
        <v>12.24943273906</v>
      </c>
      <c r="CB77" s="254">
        <f>CB61*CB78</f>
        <v>13.2008006248201</v>
      </c>
      <c r="CC77" s="254">
        <f>CC61*CC78</f>
        <v>14.187533789381</v>
      </c>
      <c r="CD77" s="254">
        <f>CD61*CD78</f>
        <v>15.1763616448213</v>
      </c>
      <c r="CE77" s="254">
        <f>CE61*CE78</f>
        <v>16.1850029203666</v>
      </c>
      <c r="CF77" s="19" t="n"/>
      <c r="CN77" s="15" t="inlineStr">
        <is>
          <t>MA_RI (Research &amp; Insights y/y)</t>
        </is>
      </c>
      <c r="CO77" s="41" t="n">
        <v>0.02</v>
      </c>
      <c r="CP77" s="21" t="inlineStr">
        <is>
          <t>Δ →</t>
        </is>
      </c>
      <c r="CQ77" s="41" t="n">
        <v>-0.03</v>
      </c>
      <c r="CR77" s="13" t="inlineStr">
        <is>
          <t>1H26 +5%; ARR +6%; mature research subscriptions.</t>
        </is>
      </c>
    </row>
    <row r="78" ht="15" customHeight="1" s="251">
      <c r="B78" s="25" t="inlineStr">
        <is>
          <t xml:space="preserve">    Intersegment revenue % of external revenue</t>
        </is>
      </c>
      <c r="C78" s="215">
        <f>IF(AND(ISNUMBER(C77),ISNUMBER(C61)),IFERROR(C77/C61,""),"")</f>
      </c>
      <c r="D78" s="215">
        <f>IF(AND(ISNUMBER(D77),ISNUMBER(D61)),IFERROR(D77/D61,""),"")</f>
      </c>
      <c r="E78" s="215">
        <f>IF(AND(ISNUMBER(E77),ISNUMBER(E61)),IFERROR(E77/E61,""),"")</f>
      </c>
      <c r="F78" s="215">
        <f>IF(AND(ISNUMBER(F77),ISNUMBER(F61)),IFERROR(F77/F61,""),"")</f>
      </c>
      <c r="G78" s="215">
        <f>IF(AND(ISNUMBER(G77),ISNUMBER(G61)),IFERROR(G77/G61,""),"")</f>
      </c>
      <c r="H78" s="215">
        <f>IF(AND(ISNUMBER(H77),ISNUMBER(H61)),IFERROR(H77/H61,""),"")</f>
        <v>0.0148918235459399</v>
      </c>
      <c r="I78" s="215">
        <f>IF(AND(ISNUMBER(I77),ISNUMBER(I61)),IFERROR(I77/I61,""),"")</f>
        <v>0.0139893301719028</v>
      </c>
      <c r="J78" s="215">
        <f>IF(AND(ISNUMBER(J77),ISNUMBER(J61)),IFERROR(J77/J61,""),"")</f>
        <v>0.01329534662868</v>
      </c>
      <c r="K78" s="215">
        <f>IF(AND(ISNUMBER(K77),ISNUMBER(K61)),IFERROR(K77/K61,""),"")</f>
        <v>0.0123456790123457</v>
      </c>
      <c r="L78" s="215">
        <f>IF(AND(ISNUMBER(L77),ISNUMBER(L61)),IFERROR(L77/L61,""),"")</f>
        <v>0.0131926121372032</v>
      </c>
      <c r="M78" s="215">
        <f>IF(AND(ISNUMBER(M77),ISNUMBER(M61)),IFERROR(M77/M61,""),"")</f>
        <v>0.0120904836193448</v>
      </c>
      <c r="N78" s="215">
        <f>IF(AND(ISNUMBER(N77),ISNUMBER(N61)),IFERROR(N77/N61,""),"")</f>
        <v>0.0127039754681853</v>
      </c>
      <c r="O78" s="215">
        <f>IF(AND(ISNUMBER(O77),ISNUMBER(O61)),IFERROR(O77/O61,""),"")</f>
        <v>0.0136702568351284</v>
      </c>
      <c r="P78" s="215">
        <f>IF(AND(ISNUMBER(P77),ISNUMBER(P61)),IFERROR(P77/P61,""),"")</f>
        <v>0.0131056393963463</v>
      </c>
      <c r="Q78" s="215">
        <f>IF(AND(ISNUMBER(Q77),ISNUMBER(Q61)),IFERROR(Q77/Q61,""),"")</f>
        <v>0.0124542124542125</v>
      </c>
      <c r="R78" s="215">
        <f>IF(AND(ISNUMBER(R77),ISNUMBER(R61)),IFERROR(R77/R61,""),"")</f>
        <v>0.0102432778489117</v>
      </c>
      <c r="S78" s="215">
        <f>IF(AND(ISNUMBER(S77),ISNUMBER(S61)),IFERROR(S77/S61,""),"")</f>
        <v>0.0124473561066916</v>
      </c>
      <c r="T78" s="215">
        <f>IF(AND(ISNUMBER(T77),ISNUMBER(T61)),IFERROR(T77/T61,""),"")</f>
        <v>0.0125332320546905</v>
      </c>
      <c r="U78" s="215">
        <f>IF(AND(ISNUMBER(U77),ISNUMBER(U61)),IFERROR(U77/U61,""),"")</f>
        <v>0.0111150950161348</v>
      </c>
      <c r="V78" s="215">
        <f>IF(AND(ISNUMBER(V77),ISNUMBER(V61)),IFERROR(V77/V61,""),"")</f>
        <v>0.0115062761506276</v>
      </c>
      <c r="W78" s="215">
        <f>IF(AND(ISNUMBER(W77),ISNUMBER(W61)),IFERROR(W77/W61,""),"")</f>
        <v>0.0105820105820106</v>
      </c>
      <c r="X78" s="215">
        <f>IF(AND(ISNUMBER(X77),ISNUMBER(X61)),IFERROR(X77/X61,""),"")</f>
        <v>0.0113883334782231</v>
      </c>
      <c r="Y78" s="215">
        <f>IF(AND(ISNUMBER(Y77),ISNUMBER(Y61)),IFERROR(Y77/Y61,""),"")</f>
        <v>0.00962199312714777</v>
      </c>
      <c r="Z78" s="215">
        <f>IF(AND(ISNUMBER(Z77),ISNUMBER(Z61)),IFERROR(Z77/Z61,""),"")</f>
        <v>0.00923178371249588</v>
      </c>
      <c r="AA78" s="215">
        <f>IF(AND(ISNUMBER(AA77),ISNUMBER(AA61)),IFERROR(AA77/AA61,""),"")</f>
        <v>0.0137795275590551</v>
      </c>
      <c r="AB78" s="215">
        <f>IF(AND(ISNUMBER(AB77),ISNUMBER(AB61)),IFERROR(AB77/AB61,""),"")</f>
        <v>0.0110679030810649</v>
      </c>
      <c r="AC78" s="215">
        <f>IF(AND(ISNUMBER(AC77),ISNUMBER(AC61)),IFERROR(AC77/AC61,""),"")</f>
        <v>0.0109453543051727</v>
      </c>
      <c r="AD78" s="215">
        <f>IF(AND(ISNUMBER(AD77),ISNUMBER(AD61)),IFERROR(AD77/AD61,""),"")</f>
        <v>0.0120521172638437</v>
      </c>
      <c r="AE78" s="215">
        <f>IF(AND(ISNUMBER(AE77),ISNUMBER(AE61)),IFERROR(AE77/AE61,""),"")</f>
        <v>0.0121096239643085</v>
      </c>
      <c r="AF78" s="215">
        <f>IF(AND(ISNUMBER(AF77),ISNUMBER(AF61)),IFERROR(AF77/AF61,""),"")</f>
        <v>0.0111201518850014</v>
      </c>
      <c r="AG78" s="215">
        <f>IF(AND(ISNUMBER(AG77),ISNUMBER(AG61)),IFERROR(AG77/AG61,""),"")</f>
        <v>0.00998185117967332</v>
      </c>
      <c r="AH78" s="215">
        <f>IF(AND(ISNUMBER(AH77),ISNUMBER(AH61)),IFERROR(AH77/AH61,""),"")</f>
        <v>0.0111864643781025</v>
      </c>
      <c r="AI78" s="215">
        <f>IF(AND(ISNUMBER(AI77),ISNUMBER(AI61)),IFERROR(AI77/AI61,""),"")</f>
        <v>0.012291052114061</v>
      </c>
      <c r="AJ78" s="215">
        <f>IF(AND(ISNUMBER(AJ77),ISNUMBER(AJ61)),IFERROR(AJ77/AJ61,""),"")</f>
        <v>0.00567644276253548</v>
      </c>
      <c r="AK78" s="215">
        <f>IF(AND(ISNUMBER(AK77),ISNUMBER(AK61)),IFERROR(AK77/AK61,""),"")</f>
        <v>0.00596330275229358</v>
      </c>
      <c r="AL78" s="215">
        <f>IF(AND(ISNUMBER(AL77),ISNUMBER(AL61)),IFERROR(AL77/AL61,""),"")</f>
        <v>0.00494942973961696</v>
      </c>
      <c r="AM78" s="215">
        <f>IF(AND(ISNUMBER(AM77),ISNUMBER(AM61)),IFERROR(AM77/AM61,""),"")</f>
        <v>0.00710859388545339</v>
      </c>
      <c r="AN78" s="215">
        <f>IF(AND(ISNUMBER(AN77),ISNUMBER(AN61)),IFERROR(AN77/AN61,""),"")</f>
        <v>0.00508474576271186</v>
      </c>
      <c r="AO78" s="215">
        <f>IF(AND(ISNUMBER(AO77),ISNUMBER(AO61)),IFERROR(AO77/AO61,""),"")</f>
        <v>0.00462962962962963</v>
      </c>
      <c r="AP78" s="215">
        <f>IF(AND(ISNUMBER(AP77),ISNUMBER(AP61)),IFERROR(AP77/AP61,""),"")</f>
        <v>0.00425187284875481</v>
      </c>
      <c r="AQ78" s="215">
        <f>IF(AND(ISNUMBER(AQ77),ISNUMBER(AQ61)),IFERROR(AQ77/AQ61,""),"")</f>
        <v>0.00389863547758285</v>
      </c>
      <c r="AR78" s="215">
        <f>IF(AND(ISNUMBER(AR77),ISNUMBER(AR61)),IFERROR(AR77/AR61,""),"")</f>
        <v>0.00460593654042989</v>
      </c>
      <c r="AS78" s="215">
        <f>IF(AND(ISNUMBER(AS77),ISNUMBER(AS61)),IFERROR(AS77/AS61,""),"")</f>
        <v>0.00403225806451613</v>
      </c>
      <c r="AT78" s="215">
        <f>IF(AND(ISNUMBER(AT77),ISNUMBER(AT61)),IFERROR(AT77/AT61,""),"")</f>
        <v>0.00402414486921529</v>
      </c>
      <c r="AU78" s="215">
        <f>IF(AND(ISNUMBER(AU77),ISNUMBER(AU61)),IFERROR(AU77/AU61,""),"")</f>
        <v>0.00188323917137476</v>
      </c>
      <c r="AV78" s="215">
        <f>IF(AND(ISNUMBER(AV77),ISNUMBER(AV61)),IFERROR(AV77/AV61,""),"")</f>
        <v>0.0036036036036036</v>
      </c>
      <c r="AW78" s="215">
        <f>IF(AND(ISNUMBER(AW77),ISNUMBER(AW61)),IFERROR(AW77/AW61,""),"")</f>
        <v>0.00336700336700337</v>
      </c>
      <c r="AX78" s="215">
        <f>IF(AND(ISNUMBER(AX77),ISNUMBER(AX61)),IFERROR(AX77/AX61,""),"")</f>
        <v>0.00354609929078014</v>
      </c>
      <c r="AY78" s="215">
        <f>IF(AND(ISNUMBER(AY77),ISNUMBER(AY61)),IFERROR(AY77/AY61,""),"")</f>
        <v>0.00349040139616056</v>
      </c>
      <c r="AZ78" s="215">
        <f>IF(AND(ISNUMBER(AZ77),ISNUMBER(AZ61)),IFERROR(AZ77/AZ61,""),"")</f>
        <v>0.00332778702163062</v>
      </c>
      <c r="BA78" s="215">
        <f>IF(AND(ISNUMBER(BA77),ISNUMBER(BA61)),IFERROR(BA77/BA61,""),"")</f>
        <v>0.00149700598802395</v>
      </c>
      <c r="BB78" s="215">
        <f>IF(AND(ISNUMBER(BB77),ISNUMBER(BB61)),IFERROR(BB77/BB61,""),"")</f>
        <v>0.0029093931837074</v>
      </c>
      <c r="BC78" s="215">
        <f>IF(AND(ISNUMBER(BC77),ISNUMBER(BC61)),IFERROR(BC77/BC61,""),"")</f>
        <v>0.00287769784172662</v>
      </c>
      <c r="BD78" s="215">
        <f>IF(AND(ISNUMBER(BD77),ISNUMBER(BD61)),IFERROR(BD77/BD61,""),"")</f>
        <v>0.00148148148148148</v>
      </c>
      <c r="BE78" s="215">
        <f>IF(AND(ISNUMBER(BE77),ISNUMBER(BE61)),IFERROR(BE77/BE61,""),"")</f>
        <v>0.00291970802919708</v>
      </c>
      <c r="BF78" s="215">
        <f>IF(AND(ISNUMBER(BF77),ISNUMBER(BF61)),IFERROR(BF77/BF61,""),"")</f>
        <v>0.00420168067226891</v>
      </c>
      <c r="BG78" s="215">
        <f>IF(AND(ISNUMBER(BG77),ISNUMBER(BG61)),IFERROR(BG77/BG61,""),"")</f>
        <v>0.00288912964969303</v>
      </c>
      <c r="BH78" s="215">
        <f>IF(AND(ISNUMBER(BH77),ISNUMBER(BH61)),IFERROR(BH77/BH61,""),"")</f>
        <v>0.00407055630936228</v>
      </c>
      <c r="BI78" s="215">
        <f>IF(AND(ISNUMBER(BI77),ISNUMBER(BI61)),IFERROR(BI77/BI61,""),"")</f>
        <v>0.00535475234270415</v>
      </c>
      <c r="BJ78" s="215">
        <f>IF(AND(ISNUMBER(BJ77),ISNUMBER(BJ61)),IFERROR(BJ77/BJ61,""),"")</f>
        <v>0.0038659793814433</v>
      </c>
      <c r="BK78" s="215">
        <f>IF(AND(ISNUMBER(BK77),ISNUMBER(BK61)),IFERROR(BK77/BK61,""),"")</f>
        <v>0.00376884422110553</v>
      </c>
      <c r="BL78" s="215">
        <f>IF(AND(ISNUMBER(BL77),ISNUMBER(BL61)),IFERROR(BL77/BL61,""),"")</f>
        <v>0.00425392670157068</v>
      </c>
      <c r="BM78" s="215">
        <f>IF(AND(ISNUMBER(BM77),ISNUMBER(BM61)),IFERROR(BM77/BM61,""),"")</f>
        <v>0.00375469336670839</v>
      </c>
      <c r="BN78" s="215">
        <f>IF(AND(ISNUMBER(BN77),ISNUMBER(BN61)),IFERROR(BN77/BN61,""),"")</f>
        <v>0.00498753117206983</v>
      </c>
      <c r="BO78" s="215">
        <f>IF(AND(ISNUMBER(BO77),ISNUMBER(BO61)),IFERROR(BO77/BO61,""),"")</f>
        <v>0.0036101083032491</v>
      </c>
      <c r="BP78" s="215">
        <f>IF(AND(ISNUMBER(BP77),ISNUMBER(BP61)),IFERROR(BP77/BP61,""),"")</f>
        <v>0.00347624565469293</v>
      </c>
      <c r="BQ78" s="215">
        <f>IF(AND(ISNUMBER(BQ77),ISNUMBER(BQ61)),IFERROR(BQ77/BQ61,""),"")</f>
        <v>0.0039453717754173</v>
      </c>
      <c r="BR78" s="215">
        <f>IF(AND(ISNUMBER(BR77),ISNUMBER(BR61)),IFERROR(BR77/BR61,""),"")</f>
        <v>0.00349243306169965</v>
      </c>
      <c r="BS78" s="215">
        <f>IF(AND(ISNUMBER(BS77),ISNUMBER(BS61)),IFERROR(BS77/BS61,""),"")</f>
        <v>0.00337837837837838</v>
      </c>
      <c r="BT78" s="215">
        <f>IF(AND(ISNUMBER(BT77),ISNUMBER(BT61)),IFERROR(BT77/BT61,""),"")</f>
        <v>0.0033003300330033</v>
      </c>
      <c r="BU78" s="215">
        <f>IF(AND(ISNUMBER(BU77),ISNUMBER(BU61)),IFERROR(BU77/BU61,""),"")</f>
        <v>0.0031813361611877</v>
      </c>
      <c r="BV78" s="215">
        <f>IF(AND(ISNUMBER(BV77),ISNUMBER(BV61)),IFERROR(BV77/BV61,""),"")</f>
        <v>0.00333425951653237</v>
      </c>
      <c r="BW78" s="215">
        <f>IF(AND(ISNUMBER(BW77),ISNUMBER(BW61)),IFERROR(BW77/BW61,""),"")</f>
        <v>0.00323974082073434</v>
      </c>
      <c r="BX78" s="215">
        <f>IF(AND(ISNUMBER(BX77),ISNUMBER(BX61)),IFERROR(BX77/BX61,""),"")</f>
        <v>0.00324324324324324</v>
      </c>
      <c r="BY78" s="256">
        <f>IFERROR(SUM(BW77:BX77)/SUM(BW61:BX61),0)</f>
        <v>0.00324149108589951</v>
      </c>
      <c r="BZ78" s="256">
        <f>IFERROR(SUM(BW77:BX77)/SUM(BW61:BX61),0)</f>
        <v>0.00324149108589951</v>
      </c>
      <c r="CA78" s="256">
        <f>IFERROR(SUM(BW77:BX77)/SUM(BW61:BX61),0)</f>
        <v>0.00324149108589951</v>
      </c>
      <c r="CB78" s="256">
        <f>$CA$78</f>
        <v>0.00324149108589951</v>
      </c>
      <c r="CC78" s="256">
        <f>$CA$78</f>
        <v>0.00324149108589951</v>
      </c>
      <c r="CD78" s="256">
        <f>$CA$78</f>
        <v>0.00324149108589951</v>
      </c>
      <c r="CE78" s="256">
        <f>$CA$78</f>
        <v>0.00324149108589951</v>
      </c>
      <c r="CF78" s="153" t="n"/>
      <c r="CN78" s="25" t="inlineStr">
        <is>
          <t xml:space="preserve">  2027E</t>
        </is>
      </c>
      <c r="CO78" s="33">
        <f>CP78+$CO$77</f>
        <v>0.07</v>
      </c>
      <c r="CP78" s="42" t="n">
        <v>0.05</v>
      </c>
      <c r="CQ78" s="33">
        <f>CP78+$CQ$77</f>
        <v>0.02</v>
      </c>
    </row>
    <row r="79" ht="15" customHeight="1" s="251">
      <c r="B79" s="25" t="inlineStr">
        <is>
          <t xml:space="preserve">  MA — total segment revenue (external + intersegment)</t>
        </is>
      </c>
      <c r="C79" s="261">
        <f>IF(AND(ISNUMBER(C61),ISNUMBER(C77)),C61+C77,"")</f>
      </c>
      <c r="D79" s="261">
        <f>IF(AND(ISNUMBER(D61),ISNUMBER(D77)),D61+D77,"")</f>
      </c>
      <c r="E79" s="261">
        <f>IF(AND(ISNUMBER(E61),ISNUMBER(E77)),E61+E77,"")</f>
      </c>
      <c r="F79" s="261">
        <f>IF(AND(ISNUMBER(F61),ISNUMBER(F77)),F61+F77,"")</f>
      </c>
      <c r="G79" s="261">
        <f>IF(AND(ISNUMBER(G61),ISNUMBER(G77)),G61+G77,"")</f>
      </c>
      <c r="H79" s="261">
        <f>IF(AND(ISNUMBER(H61),ISNUMBER(H77)),H61+H77,"")</f>
        <v>722.4</v>
      </c>
      <c r="I79" s="261">
        <f>IF(AND(ISNUMBER(I61),ISNUMBER(I77)),I61+I77,"")</f>
        <v>855.3</v>
      </c>
      <c r="J79" s="261">
        <f>IF(AND(ISNUMBER(J61),ISNUMBER(J77)),J61+J77,"")</f>
        <v>213.4</v>
      </c>
      <c r="K79" s="261">
        <f>IF(AND(ISNUMBER(K61),ISNUMBER(K77)),K61+K77,"")</f>
        <v>221.4</v>
      </c>
      <c r="L79" s="261">
        <f>IF(AND(ISNUMBER(L61),ISNUMBER(L77)),L61+L77,"")</f>
        <v>230.4</v>
      </c>
      <c r="M79" s="261">
        <f>IF(AND(ISNUMBER(M61),ISNUMBER(M77)),M61+M77,"")</f>
        <v>259.5</v>
      </c>
      <c r="N79" s="261">
        <f>IF(AND(ISNUMBER(N61),ISNUMBER(N77)),N61+N77,"")</f>
        <v>924.7</v>
      </c>
      <c r="O79" s="261">
        <f>IF(AND(ISNUMBER(O61),ISNUMBER(O77)),O61+O77,"")</f>
        <v>244.7</v>
      </c>
      <c r="P79" s="261">
        <f>IF(AND(ISNUMBER(P61),ISNUMBER(P77)),P61+P77,"")</f>
        <v>255.1</v>
      </c>
      <c r="Q79" s="261">
        <f>IF(AND(ISNUMBER(Q61),ISNUMBER(Q77)),Q61+Q77,"")</f>
        <v>276.4</v>
      </c>
      <c r="R79" s="261">
        <f>IF(AND(ISNUMBER(R61),ISNUMBER(R77)),R61+R77,"")</f>
        <v>315.6</v>
      </c>
      <c r="S79" s="261">
        <f>IF(AND(ISNUMBER(S61),ISNUMBER(S77)),S61+S77,"")</f>
        <v>1081.8</v>
      </c>
      <c r="T79" s="261">
        <f>IF(AND(ISNUMBER(T61),ISNUMBER(T77)),T61+T77,"")</f>
        <v>266.6</v>
      </c>
      <c r="U79" s="261">
        <f>IF(AND(ISNUMBER(U61),ISNUMBER(U77)),U61+U77,"")</f>
        <v>282</v>
      </c>
      <c r="V79" s="261">
        <f>IF(AND(ISNUMBER(V61),ISNUMBER(V77)),V61+V77,"")</f>
        <v>290.1</v>
      </c>
      <c r="W79" s="261">
        <f>IF(AND(ISNUMBER(W61),ISNUMBER(W77)),W61+W77,"")</f>
        <v>324.7</v>
      </c>
      <c r="X79" s="261">
        <f>IF(AND(ISNUMBER(X61),ISNUMBER(X77)),X61+X77,"")</f>
        <v>1163.4</v>
      </c>
      <c r="Y79" s="261">
        <f>IF(AND(ISNUMBER(Y61),ISNUMBER(Y77)),Y61+Y77,"")</f>
        <v>293.8</v>
      </c>
      <c r="Z79" s="261">
        <f>IF(AND(ISNUMBER(Z61),ISNUMBER(Z77)),Z61+Z77,"")</f>
        <v>306.1</v>
      </c>
      <c r="AA79" s="261">
        <f>IF(AND(ISNUMBER(AA61),ISNUMBER(AA77)),AA61+AA77,"")</f>
        <v>309</v>
      </c>
      <c r="AB79" s="261">
        <f>IF(AND(ISNUMBER(AB61),ISNUMBER(AB77)),AB61+AB77,"")</f>
        <v>338</v>
      </c>
      <c r="AC79" s="261">
        <f>IF(AND(ISNUMBER(AC61),ISNUMBER(AC77)),AC61+AC77,"")</f>
        <v>1246.9</v>
      </c>
      <c r="AD79" s="261">
        <f>IF(AND(ISNUMBER(AD61),ISNUMBER(AD77)),AD61+AD77,"")</f>
        <v>310.7</v>
      </c>
      <c r="AE79" s="261">
        <f>IF(AND(ISNUMBER(AE61),ISNUMBER(AE77)),AE61+AE77,"")</f>
        <v>317.6</v>
      </c>
      <c r="AF79" s="261">
        <f>IF(AND(ISNUMBER(AF61),ISNUMBER(AF77)),AF61+AF77,"")</f>
        <v>372.8</v>
      </c>
      <c r="AG79" s="261">
        <f>IF(AND(ISNUMBER(AG61),ISNUMBER(AG77)),AG61+AG77,"")</f>
        <v>445.2</v>
      </c>
      <c r="AH79" s="261">
        <f>IF(AND(ISNUMBER(AH61),ISNUMBER(AH77)),AH61+AH77,"")</f>
        <v>1446.3</v>
      </c>
      <c r="AI79" s="261">
        <f>IF(AND(ISNUMBER(AI61),ISNUMBER(AI77)),AI61+AI77,"")</f>
        <v>411.8</v>
      </c>
      <c r="AJ79" s="261">
        <f>IF(AND(ISNUMBER(AJ61),ISNUMBER(AJ77)),AJ61+AJ77,"")</f>
        <v>425.2</v>
      </c>
      <c r="AK79" s="261">
        <f>IF(AND(ISNUMBER(AK61),ISNUMBER(AK77)),AK61+AK77,"")</f>
        <v>438.6</v>
      </c>
      <c r="AL79" s="261">
        <f>IF(AND(ISNUMBER(AL61),ISNUMBER(AL77)),AL61+AL77,"")</f>
        <v>467</v>
      </c>
      <c r="AM79" s="261">
        <f>IF(AND(ISNUMBER(AM61),ISNUMBER(AM77)),AM61+AM77,"")</f>
        <v>1742.6</v>
      </c>
      <c r="AN79" s="261">
        <f>IF(AND(ISNUMBER(AN61),ISNUMBER(AN77)),AN61+AN77,"")</f>
        <v>474.4</v>
      </c>
      <c r="AO79" s="261">
        <f>IF(AND(ISNUMBER(AO61),ISNUMBER(AO77)),AO61+AO77,"")</f>
        <v>477.4</v>
      </c>
      <c r="AP79" s="261">
        <f>IF(AND(ISNUMBER(AP61),ISNUMBER(AP77)),AP61+AP77,"")</f>
        <v>496</v>
      </c>
      <c r="AQ79" s="261">
        <f>IF(AND(ISNUMBER(AQ61),ISNUMBER(AQ77)),AQ61+AQ77,"")</f>
        <v>515</v>
      </c>
      <c r="AR79" s="261">
        <f>IF(AND(ISNUMBER(AR61),ISNUMBER(AR77)),AR61+AR77,"")</f>
        <v>1963</v>
      </c>
      <c r="AS79" s="261">
        <f>IF(AND(ISNUMBER(AS61),ISNUMBER(AS77)),AS61+AS77,"")</f>
        <v>498</v>
      </c>
      <c r="AT79" s="261">
        <f>IF(AND(ISNUMBER(AT61),ISNUMBER(AT77)),AT61+AT77,"")</f>
        <v>499</v>
      </c>
      <c r="AU79" s="261">
        <f>IF(AND(ISNUMBER(AU61),ISNUMBER(AU77)),AU61+AU77,"")</f>
        <v>532</v>
      </c>
      <c r="AV79" s="261">
        <f>IF(AND(ISNUMBER(AV61),ISNUMBER(AV77)),AV61+AV77,"")</f>
        <v>557</v>
      </c>
      <c r="AW79" s="261">
        <f>IF(AND(ISNUMBER(AW61),ISNUMBER(AW77)),AW61+AW77,"")</f>
        <v>2086</v>
      </c>
      <c r="AX79" s="261">
        <f>IF(AND(ISNUMBER(AX61),ISNUMBER(AX77)),AX61+AX77,"")</f>
        <v>566</v>
      </c>
      <c r="AY79" s="261">
        <f>IF(AND(ISNUMBER(AY61),ISNUMBER(AY77)),AY61+AY77,"")</f>
        <v>575</v>
      </c>
      <c r="AZ79" s="261">
        <f>IF(AND(ISNUMBER(AZ61),ISNUMBER(AZ77)),AZ61+AZ77,"")</f>
        <v>603</v>
      </c>
      <c r="BA79" s="261">
        <f>IF(AND(ISNUMBER(BA61),ISNUMBER(BA77)),BA61+BA77,"")</f>
        <v>669</v>
      </c>
      <c r="BB79" s="261">
        <f>IF(AND(ISNUMBER(BB61),ISNUMBER(BB77)),BB61+BB77,"")</f>
        <v>2413</v>
      </c>
      <c r="BC79" s="261">
        <f>IF(AND(ISNUMBER(BC61),ISNUMBER(BC77)),BC61+BC77,"")</f>
        <v>697</v>
      </c>
      <c r="BD79" s="261">
        <f>IF(AND(ISNUMBER(BD61),ISNUMBER(BD77)),BD61+BD77,"")</f>
        <v>676</v>
      </c>
      <c r="BE79" s="261">
        <f>IF(AND(ISNUMBER(BE61),ISNUMBER(BE77)),BE61+BE77,"")</f>
        <v>687</v>
      </c>
      <c r="BF79" s="261">
        <f>IF(AND(ISNUMBER(BF61),ISNUMBER(BF77)),BF61+BF77,"")</f>
        <v>717</v>
      </c>
      <c r="BG79" s="261">
        <f>IF(AND(ISNUMBER(BG61),ISNUMBER(BG77)),BG61+BG77,"")</f>
        <v>2777</v>
      </c>
      <c r="BH79" s="261">
        <f>IF(AND(ISNUMBER(BH61),ISNUMBER(BH77)),BH61+BH77,"")</f>
        <v>740</v>
      </c>
      <c r="BI79" s="261">
        <f>IF(AND(ISNUMBER(BI61),ISNUMBER(BI77)),BI61+BI77,"")</f>
        <v>751</v>
      </c>
      <c r="BJ79" s="261">
        <f>IF(AND(ISNUMBER(BJ61),ISNUMBER(BJ77)),BJ61+BJ77,"")</f>
        <v>779</v>
      </c>
      <c r="BK79" s="261">
        <f>IF(AND(ISNUMBER(BK61),ISNUMBER(BK77)),BK61+BK77,"")</f>
        <v>799</v>
      </c>
      <c r="BL79" s="261">
        <f>IF(AND(ISNUMBER(BL61),ISNUMBER(BL77)),BL61+BL77,"")</f>
        <v>3069</v>
      </c>
      <c r="BM79" s="261">
        <f>IF(AND(ISNUMBER(BM61),ISNUMBER(BM77)),BM61+BM77,"")</f>
        <v>802</v>
      </c>
      <c r="BN79" s="261">
        <f>IF(AND(ISNUMBER(BN61),ISNUMBER(BN77)),BN61+BN77,"")</f>
        <v>806</v>
      </c>
      <c r="BO79" s="261">
        <f>IF(AND(ISNUMBER(BO61),ISNUMBER(BO77)),BO61+BO77,"")</f>
        <v>834</v>
      </c>
      <c r="BP79" s="261">
        <f>IF(AND(ISNUMBER(BP61),ISNUMBER(BP77)),BP61+BP77,"")</f>
        <v>866</v>
      </c>
      <c r="BQ79" s="261">
        <f>IF(AND(ISNUMBER(BQ61),ISNUMBER(BQ77)),BQ61+BQ77,"")</f>
        <v>3308</v>
      </c>
      <c r="BR79" s="261">
        <f>IF(AND(ISNUMBER(BR61),ISNUMBER(BR77)),BR61+BR77,"")</f>
        <v>862</v>
      </c>
      <c r="BS79" s="261">
        <f>IF(AND(ISNUMBER(BS61),ISNUMBER(BS77)),BS61+BS77,"")</f>
        <v>891</v>
      </c>
      <c r="BT79" s="261">
        <f>IF(AND(ISNUMBER(BT61),ISNUMBER(BT77)),BT61+BT77,"")</f>
        <v>912</v>
      </c>
      <c r="BU79" s="261">
        <f>IF(AND(ISNUMBER(BU61),ISNUMBER(BU77)),BU61+BU77,"")</f>
        <v>946</v>
      </c>
      <c r="BV79" s="261">
        <f>IF(AND(ISNUMBER(BV61),ISNUMBER(BV77)),BV61+BV77,"")</f>
        <v>3611</v>
      </c>
      <c r="BW79" s="261">
        <f>IF(AND(ISNUMBER(BW61),ISNUMBER(BW77)),BW61+BW77,"")</f>
        <v>929</v>
      </c>
      <c r="BX79" s="261">
        <f>IF(AND(ISNUMBER(BX61),ISNUMBER(BX77)),BX61+BX77,"")</f>
        <v>928</v>
      </c>
      <c r="BY79" s="254">
        <f>IF(AND(ISNUMBER(BY61),ISNUMBER(BY77)),BY61+BY77,"")</f>
        <v>949.709466009358</v>
      </c>
      <c r="BZ79" s="254">
        <f>IF(AND(ISNUMBER(BZ61),ISNUMBER(BZ77)),BZ61+BZ77,"")</f>
        <v>984.489966729702</v>
      </c>
      <c r="CA79" s="254">
        <f>IF(AND(ISNUMBER(CA61),ISNUMBER(CA77)),CA61+CA77,"")</f>
        <v>3791.19943273906</v>
      </c>
      <c r="CB79" s="254">
        <f>IF(AND(ISNUMBER(CB61),ISNUMBER(CB77)),CB61+CB77,"")</f>
        <v>4085.64779338182</v>
      </c>
      <c r="CC79" s="254">
        <f>IF(AND(ISNUMBER(CC61),ISNUMBER(CC77)),CC61+CC77,"")</f>
        <v>4391.04170781341</v>
      </c>
      <c r="CD79" s="254">
        <f>IF(AND(ISNUMBER(CD61),ISNUMBER(CD77)),CD61+CD77,"")</f>
        <v>4697.08392907221</v>
      </c>
      <c r="CE79" s="254">
        <f>IF(AND(ISNUMBER(CE61),ISNUMBER(CE77)),CE61+CE77,"")</f>
        <v>5009.25840385347</v>
      </c>
      <c r="CF79" s="19" t="n"/>
      <c r="CN79" s="25" t="inlineStr">
        <is>
          <t xml:space="preserve">  2028E</t>
        </is>
      </c>
      <c r="CO79" s="33">
        <f>CP79+$CO$77</f>
        <v>0.07</v>
      </c>
      <c r="CP79" s="42" t="n">
        <v>0.05</v>
      </c>
      <c r="CQ79" s="33">
        <f>CP79+$CQ$77</f>
        <v>0.02</v>
      </c>
    </row>
    <row r="80" collapsed="1" ht="15" customHeight="1" s="251">
      <c r="B80" s="16" t="inlineStr">
        <is>
          <t xml:space="preserve">  MA Adjusted Operating Income (segment measure)</t>
        </is>
      </c>
      <c r="C80" s="43" t="n"/>
      <c r="D80" s="43" t="n"/>
      <c r="E80" s="43" t="n"/>
      <c r="F80" s="43" t="n"/>
      <c r="G80" s="43" t="n"/>
      <c r="H80" s="43" t="n"/>
      <c r="I80" s="265" t="n">
        <v>191.9</v>
      </c>
      <c r="J80" s="265" t="n">
        <v>48.2</v>
      </c>
      <c r="K80" s="265" t="n">
        <v>53.8</v>
      </c>
      <c r="L80" s="265" t="n">
        <v>52.8</v>
      </c>
      <c r="M80" s="265" t="n">
        <v>57.8</v>
      </c>
      <c r="N80" s="265" t="n">
        <v>212.6</v>
      </c>
      <c r="O80" s="265" t="n">
        <v>54.5</v>
      </c>
      <c r="P80" s="265" t="n">
        <v>59.3</v>
      </c>
      <c r="Q80" s="265" t="n">
        <v>68.3</v>
      </c>
      <c r="R80" s="265" t="n">
        <v>77.3</v>
      </c>
      <c r="S80" s="265" t="n">
        <v>257.5</v>
      </c>
      <c r="T80" s="265" t="n">
        <v>56.6</v>
      </c>
      <c r="U80" s="265" t="n">
        <v>71.3</v>
      </c>
      <c r="V80" s="265" t="n">
        <v>74.5</v>
      </c>
      <c r="W80" s="265" t="n">
        <v>77.09999999999999</v>
      </c>
      <c r="X80" s="265" t="n">
        <v>279.5</v>
      </c>
      <c r="Y80" s="265" t="n">
        <v>63.5</v>
      </c>
      <c r="Z80" s="265" t="n">
        <v>72.5</v>
      </c>
      <c r="AA80" s="265" t="n">
        <v>73.8</v>
      </c>
      <c r="AB80" s="265" t="n">
        <v>75</v>
      </c>
      <c r="AC80" s="265" t="n">
        <v>285.8</v>
      </c>
      <c r="AD80" s="265" t="n">
        <v>70</v>
      </c>
      <c r="AE80" s="265" t="n">
        <v>74.7</v>
      </c>
      <c r="AF80" s="265" t="n">
        <v>94.5</v>
      </c>
      <c r="AG80" s="265" t="n">
        <v>112.1</v>
      </c>
      <c r="AH80" s="265" t="n">
        <v>351.3</v>
      </c>
      <c r="AI80" s="265" t="n">
        <v>101.4</v>
      </c>
      <c r="AJ80" s="265" t="n">
        <v>105.1</v>
      </c>
      <c r="AK80" s="265" t="n">
        <v>125.5</v>
      </c>
      <c r="AL80" s="265" t="n">
        <v>127.7</v>
      </c>
      <c r="AM80" s="265" t="n">
        <v>459.7</v>
      </c>
      <c r="AN80" s="265" t="n">
        <v>133.3</v>
      </c>
      <c r="AO80" s="265" t="n">
        <v>134.6</v>
      </c>
      <c r="AP80" s="265" t="n">
        <v>145.6</v>
      </c>
      <c r="AQ80" s="265" t="n">
        <v>132</v>
      </c>
      <c r="AR80" s="265" t="n">
        <v>546</v>
      </c>
      <c r="AS80" s="265" t="n">
        <v>146</v>
      </c>
      <c r="AT80" s="265" t="n">
        <v>143</v>
      </c>
      <c r="AU80" s="265" t="n">
        <v>167</v>
      </c>
      <c r="AV80" s="265" t="n">
        <v>158</v>
      </c>
      <c r="AW80" s="265" t="n">
        <v>614</v>
      </c>
      <c r="AX80" s="265" t="n">
        <v>186</v>
      </c>
      <c r="AY80" s="265" t="n">
        <v>183</v>
      </c>
      <c r="AZ80" s="265" t="n">
        <v>157</v>
      </c>
      <c r="BA80" s="265" t="n">
        <v>100</v>
      </c>
      <c r="BB80" s="265" t="n">
        <v>627</v>
      </c>
      <c r="BC80" s="265" t="n">
        <v>224</v>
      </c>
      <c r="BD80" s="265" t="n">
        <v>205</v>
      </c>
      <c r="BE80" s="265" t="n">
        <v>208</v>
      </c>
      <c r="BF80" s="265" t="n">
        <v>203</v>
      </c>
      <c r="BG80" s="265" t="n">
        <v>840</v>
      </c>
      <c r="BH80" s="265" t="n">
        <v>214</v>
      </c>
      <c r="BI80" s="265" t="n">
        <v>210</v>
      </c>
      <c r="BJ80" s="265" t="n">
        <v>262</v>
      </c>
      <c r="BK80" s="265" t="n">
        <v>251</v>
      </c>
      <c r="BL80" s="265" t="n">
        <v>937</v>
      </c>
      <c r="BM80" s="265" t="n">
        <v>238</v>
      </c>
      <c r="BN80" s="265" t="n">
        <v>230</v>
      </c>
      <c r="BO80" s="265" t="n">
        <v>253</v>
      </c>
      <c r="BP80" s="265" t="n">
        <v>293</v>
      </c>
      <c r="BQ80" s="265" t="n">
        <v>1014</v>
      </c>
      <c r="BR80" s="265" t="n">
        <v>259</v>
      </c>
      <c r="BS80" s="265" t="n">
        <v>286</v>
      </c>
      <c r="BT80" s="265" t="n">
        <v>313</v>
      </c>
      <c r="BU80" s="265" t="n">
        <v>338</v>
      </c>
      <c r="BV80" s="265" t="n">
        <v>1196</v>
      </c>
      <c r="BW80" s="265" t="n">
        <v>302</v>
      </c>
      <c r="BX80" s="265" t="n">
        <v>312</v>
      </c>
      <c r="BY80" s="263">
        <f>BY79*BY81</f>
        <v>326.05345548886</v>
      </c>
      <c r="BZ80" s="263">
        <f>BZ79*BZ81</f>
        <v>351.867813128152</v>
      </c>
      <c r="CA80" s="263">
        <f>SUM(BW80:BZ80)</f>
        <v>1291.92126861701</v>
      </c>
      <c r="CB80" s="263">
        <f>CB79*CB81</f>
        <v>1450.40496665055</v>
      </c>
      <c r="CC80" s="263">
        <f>CC79*CC81</f>
        <v>1602.7302233519</v>
      </c>
      <c r="CD80" s="263">
        <f>CD79*CD81</f>
        <v>1761.40647340208</v>
      </c>
      <c r="CE80" s="263">
        <f>CE79*CE81</f>
        <v>1928.56448548359</v>
      </c>
      <c r="CF80" s="153" t="n"/>
      <c r="CH80" s="20">
        <f>IFERROR((CE80/BV80)^(1/5)-1,"n/m")</f>
        <v>0.100273357936923</v>
      </c>
      <c r="CI80" s="20">
        <f>IFERROR((BV80/AW80)^(1/5)-1,"n/m")</f>
        <v>0.142648257546841</v>
      </c>
      <c r="CJ80" s="20">
        <f>IFERROR((BV80/X80)^(1/10)-1,"n/m")</f>
        <v>0.156471505928305</v>
      </c>
      <c r="CK80" s="20" t="str">
        <f>IFERROR((BV80/C80)^(1/19)-1,"n/m")</f>
        <v>n/m</v>
      </c>
      <c r="CN80" s="25" t="inlineStr">
        <is>
          <t xml:space="preserve">  2029E</t>
        </is>
      </c>
      <c r="CO80" s="33">
        <f>CP80+$CO$77</f>
        <v>0.07</v>
      </c>
      <c r="CP80" s="42" t="n">
        <v>0.05</v>
      </c>
      <c r="CQ80" s="33">
        <f>CP80+$CQ$77</f>
        <v>0.02</v>
      </c>
    </row>
    <row r="81" ht="15" customHeight="1" s="251">
      <c r="B81" s="25" t="inlineStr">
        <is>
          <t xml:space="preserve">  MA Adjusted Operating Margin % (company basis: on total segment revenue)</t>
        </is>
      </c>
      <c r="C81" s="215">
        <f>IF(AND(ISNUMBER(C80),ISNUMBER(C79)),IFERROR(C80/C79,""),"")</f>
      </c>
      <c r="D81" s="215">
        <f>IF(AND(ISNUMBER(D80),ISNUMBER(D79)),IFERROR(D80/D79,""),"")</f>
      </c>
      <c r="E81" s="215">
        <f>IF(AND(ISNUMBER(E80),ISNUMBER(E79)),IFERROR(E80/E79,""),"")</f>
      </c>
      <c r="F81" s="215">
        <f>IF(AND(ISNUMBER(F80),ISNUMBER(F79)),IFERROR(F80/F79,""),"")</f>
      </c>
      <c r="G81" s="215">
        <f>IF(AND(ISNUMBER(G80),ISNUMBER(G79)),IFERROR(G80/G79,""),"")</f>
      </c>
      <c r="H81" s="215">
        <f>IF(AND(ISNUMBER(H80),ISNUMBER(H79)),IFERROR(H80/H79,""),"")</f>
      </c>
      <c r="I81" s="215">
        <f>IF(AND(ISNUMBER(I80),ISNUMBER(I79)),IFERROR(I80/I79,""),"")</f>
        <v>0.224365719630539</v>
      </c>
      <c r="J81" s="215">
        <f>IF(AND(ISNUMBER(J80),ISNUMBER(J79)),IFERROR(J80/J79,""),"")</f>
        <v>0.225866916588566</v>
      </c>
      <c r="K81" s="215">
        <f>IF(AND(ISNUMBER(K80),ISNUMBER(K79)),IFERROR(K80/K79,""),"")</f>
        <v>0.242999096657633</v>
      </c>
      <c r="L81" s="215">
        <f>IF(AND(ISNUMBER(L80),ISNUMBER(L79)),IFERROR(L80/L79,""),"")</f>
        <v>0.229166666666667</v>
      </c>
      <c r="M81" s="215">
        <f>IF(AND(ISNUMBER(M80),ISNUMBER(M79)),IFERROR(M80/M79,""),"")</f>
        <v>0.222736030828516</v>
      </c>
      <c r="N81" s="215">
        <f>IF(AND(ISNUMBER(N80),ISNUMBER(N79)),IFERROR(N80/N79,""),"")</f>
        <v>0.229912404022926</v>
      </c>
      <c r="O81" s="215">
        <f>IF(AND(ISNUMBER(O80),ISNUMBER(O79)),IFERROR(O80/O79,""),"")</f>
        <v>0.222721700040866</v>
      </c>
      <c r="P81" s="215">
        <f>IF(AND(ISNUMBER(P80),ISNUMBER(P79)),IFERROR(P80/P79,""),"")</f>
        <v>0.232457859662877</v>
      </c>
      <c r="Q81" s="215">
        <f>IF(AND(ISNUMBER(Q80),ISNUMBER(Q79)),IFERROR(Q80/Q79,""),"")</f>
        <v>0.247105643994211</v>
      </c>
      <c r="R81" s="215">
        <f>IF(AND(ISNUMBER(R80),ISNUMBER(R79)),IFERROR(R80/R79,""),"")</f>
        <v>0.244930291508238</v>
      </c>
      <c r="S81" s="215">
        <f>IF(AND(ISNUMBER(S80),ISNUMBER(S79)),IFERROR(S80/S79,""),"")</f>
        <v>0.238029210574968</v>
      </c>
      <c r="T81" s="215">
        <f>IF(AND(ISNUMBER(T80),ISNUMBER(T79)),IFERROR(T80/T79,""),"")</f>
        <v>0.212303075768942</v>
      </c>
      <c r="U81" s="215">
        <f>IF(AND(ISNUMBER(U80),ISNUMBER(U79)),IFERROR(U80/U79,""),"")</f>
        <v>0.252836879432624</v>
      </c>
      <c r="V81" s="215">
        <f>IF(AND(ISNUMBER(V80),ISNUMBER(V79)),IFERROR(V80/V79,""),"")</f>
        <v>0.25680799724233</v>
      </c>
      <c r="W81" s="215">
        <f>IF(AND(ISNUMBER(W80),ISNUMBER(W79)),IFERROR(W80/W79,""),"")</f>
        <v>0.237449953803511</v>
      </c>
      <c r="X81" s="215">
        <f>IF(AND(ISNUMBER(X80),ISNUMBER(X79)),IFERROR(X80/X79,""),"")</f>
        <v>0.240244112085267</v>
      </c>
      <c r="Y81" s="215">
        <f>IF(AND(ISNUMBER(Y80),ISNUMBER(Y79)),IFERROR(Y80/Y79,""),"")</f>
        <v>0.216133424098026</v>
      </c>
      <c r="Z81" s="215">
        <f>IF(AND(ISNUMBER(Z80),ISNUMBER(Z79)),IFERROR(Z80/Z79,""),"")</f>
        <v>0.236850702384842</v>
      </c>
      <c r="AA81" s="215">
        <f>IF(AND(ISNUMBER(AA80),ISNUMBER(AA79)),IFERROR(AA80/AA79,""),"")</f>
        <v>0.238834951456311</v>
      </c>
      <c r="AB81" s="215">
        <f>IF(AND(ISNUMBER(AB80),ISNUMBER(AB79)),IFERROR(AB80/AB79,""),"")</f>
        <v>0.22189349112426</v>
      </c>
      <c r="AC81" s="215">
        <f>IF(AND(ISNUMBER(AC80),ISNUMBER(AC79)),IFERROR(AC80/AC79,""),"")</f>
        <v>0.22920843692357</v>
      </c>
      <c r="AD81" s="215">
        <f>IF(AND(ISNUMBER(AD80),ISNUMBER(AD79)),IFERROR(AD80/AD79,""),"")</f>
        <v>0.225297714837464</v>
      </c>
      <c r="AE81" s="215">
        <f>IF(AND(ISNUMBER(AE80),ISNUMBER(AE79)),IFERROR(AE80/AE79,""),"")</f>
        <v>0.235201511335013</v>
      </c>
      <c r="AF81" s="215">
        <f>IF(AND(ISNUMBER(AF80),ISNUMBER(AF79)),IFERROR(AF80/AF79,""),"")</f>
        <v>0.253487124463519</v>
      </c>
      <c r="AG81" s="215">
        <f>IF(AND(ISNUMBER(AG80),ISNUMBER(AG79)),IFERROR(AG80/AG79,""),"")</f>
        <v>0.251796945193172</v>
      </c>
      <c r="AH81" s="215">
        <f>IF(AND(ISNUMBER(AH80),ISNUMBER(AH79)),IFERROR(AH80/AH79,""),"")</f>
        <v>0.242895664799834</v>
      </c>
      <c r="AI81" s="215">
        <f>IF(AND(ISNUMBER(AI80),ISNUMBER(AI79)),IFERROR(AI80/AI79,""),"")</f>
        <v>0.246236036911122</v>
      </c>
      <c r="AJ81" s="215">
        <f>IF(AND(ISNUMBER(AJ80),ISNUMBER(AJ79)),IFERROR(AJ80/AJ79,""),"")</f>
        <v>0.247177798682973</v>
      </c>
      <c r="AK81" s="215">
        <f>IF(AND(ISNUMBER(AK80),ISNUMBER(AK79)),IFERROR(AK80/AK79,""),"")</f>
        <v>0.286137710898313</v>
      </c>
      <c r="AL81" s="215">
        <f>IF(AND(ISNUMBER(AL80),ISNUMBER(AL79)),IFERROR(AL80/AL79,""),"")</f>
        <v>0.273447537473233</v>
      </c>
      <c r="AM81" s="215">
        <f>IF(AND(ISNUMBER(AM80),ISNUMBER(AM79)),IFERROR(AM80/AM79,""),"")</f>
        <v>0.263801216572937</v>
      </c>
      <c r="AN81" s="215">
        <f>IF(AND(ISNUMBER(AN80),ISNUMBER(AN79)),IFERROR(AN80/AN79,""),"")</f>
        <v>0.280986509274874</v>
      </c>
      <c r="AO81" s="215">
        <f>IF(AND(ISNUMBER(AO80),ISNUMBER(AO79)),IFERROR(AO80/AO79,""),"")</f>
        <v>0.281943862589024</v>
      </c>
      <c r="AP81" s="215">
        <f>IF(AND(ISNUMBER(AP80),ISNUMBER(AP79)),IFERROR(AP80/AP79,""),"")</f>
        <v>0.293548387096774</v>
      </c>
      <c r="AQ81" s="215">
        <f>IF(AND(ISNUMBER(AQ80),ISNUMBER(AQ79)),IFERROR(AQ80/AQ79,""),"")</f>
        <v>0.256310679611651</v>
      </c>
      <c r="AR81" s="215">
        <f>IF(AND(ISNUMBER(AR80),ISNUMBER(AR79)),IFERROR(AR80/AR79,""),"")</f>
        <v>0.278145695364238</v>
      </c>
      <c r="AS81" s="215">
        <f>IF(AND(ISNUMBER(AS80),ISNUMBER(AS79)),IFERROR(AS80/AS79,""),"")</f>
        <v>0.293172690763052</v>
      </c>
      <c r="AT81" s="215">
        <f>IF(AND(ISNUMBER(AT80),ISNUMBER(AT79)),IFERROR(AT80/AT79,""),"")</f>
        <v>0.286573146292585</v>
      </c>
      <c r="AU81" s="215">
        <f>IF(AND(ISNUMBER(AU80),ISNUMBER(AU79)),IFERROR(AU80/AU79,""),"")</f>
        <v>0.31390977443609</v>
      </c>
      <c r="AV81" s="215">
        <f>IF(AND(ISNUMBER(AV80),ISNUMBER(AV79)),IFERROR(AV80/AV79,""),"")</f>
        <v>0.283662477558348</v>
      </c>
      <c r="AW81" s="215">
        <f>IF(AND(ISNUMBER(AW80),ISNUMBER(AW79)),IFERROR(AW80/AW79,""),"")</f>
        <v>0.294343240651966</v>
      </c>
      <c r="AX81" s="215">
        <f>IF(AND(ISNUMBER(AX80),ISNUMBER(AX79)),IFERROR(AX80/AX79,""),"")</f>
        <v>0.328621908127209</v>
      </c>
      <c r="AY81" s="215">
        <f>IF(AND(ISNUMBER(AY80),ISNUMBER(AY79)),IFERROR(AY80/AY79,""),"")</f>
        <v>0.318260869565217</v>
      </c>
      <c r="AZ81" s="215">
        <f>IF(AND(ISNUMBER(AZ80),ISNUMBER(AZ79)),IFERROR(AZ80/AZ79,""),"")</f>
        <v>0.260364842454395</v>
      </c>
      <c r="BA81" s="215">
        <f>IF(AND(ISNUMBER(BA80),ISNUMBER(BA79)),IFERROR(BA80/BA79,""),"")</f>
        <v>0.149476831091181</v>
      </c>
      <c r="BB81" s="215">
        <f>IF(AND(ISNUMBER(BB80),ISNUMBER(BB79)),IFERROR(BB80/BB79,""),"")</f>
        <v>0.259842519685039</v>
      </c>
      <c r="BC81" s="215">
        <f>IF(AND(ISNUMBER(BC80),ISNUMBER(BC79)),IFERROR(BC80/BC79,""),"")</f>
        <v>0.321377331420373</v>
      </c>
      <c r="BD81" s="215">
        <f>IF(AND(ISNUMBER(BD80),ISNUMBER(BD79)),IFERROR(BD80/BD79,""),"")</f>
        <v>0.303254437869823</v>
      </c>
      <c r="BE81" s="215">
        <f>IF(AND(ISNUMBER(BE80),ISNUMBER(BE79)),IFERROR(BE80/BE79,""),"")</f>
        <v>0.302765647743814</v>
      </c>
      <c r="BF81" s="215">
        <f>IF(AND(ISNUMBER(BF80),ISNUMBER(BF79)),IFERROR(BF80/BF79,""),"")</f>
        <v>0.283124128312413</v>
      </c>
      <c r="BG81" s="215">
        <f>IF(AND(ISNUMBER(BG80),ISNUMBER(BG79)),IFERROR(BG80/BG79,""),"")</f>
        <v>0.3024846957148</v>
      </c>
      <c r="BH81" s="215">
        <f>IF(AND(ISNUMBER(BH80),ISNUMBER(BH79)),IFERROR(BH80/BH79,""),"")</f>
        <v>0.289189189189189</v>
      </c>
      <c r="BI81" s="215">
        <f>IF(AND(ISNUMBER(BI80),ISNUMBER(BI79)),IFERROR(BI80/BI79,""),"")</f>
        <v>0.279627163781625</v>
      </c>
      <c r="BJ81" s="215">
        <f>IF(AND(ISNUMBER(BJ80),ISNUMBER(BJ79)),IFERROR(BJ80/BJ79,""),"")</f>
        <v>0.336328626444159</v>
      </c>
      <c r="BK81" s="215">
        <f>IF(AND(ISNUMBER(BK80),ISNUMBER(BK79)),IFERROR(BK80/BK79,""),"")</f>
        <v>0.314142678347935</v>
      </c>
      <c r="BL81" s="215">
        <f>IF(AND(ISNUMBER(BL80),ISNUMBER(BL79)),IFERROR(BL80/BL79,""),"")</f>
        <v>0.305311176278918</v>
      </c>
      <c r="BM81" s="215">
        <f>IF(AND(ISNUMBER(BM80),ISNUMBER(BM79)),IFERROR(BM80/BM79,""),"")</f>
        <v>0.296758104738155</v>
      </c>
      <c r="BN81" s="215">
        <f>IF(AND(ISNUMBER(BN80),ISNUMBER(BN79)),IFERROR(BN80/BN79,""),"")</f>
        <v>0.285359801488834</v>
      </c>
      <c r="BO81" s="215">
        <f>IF(AND(ISNUMBER(BO80),ISNUMBER(BO79)),IFERROR(BO80/BO79,""),"")</f>
        <v>0.303357314148681</v>
      </c>
      <c r="BP81" s="215">
        <f>IF(AND(ISNUMBER(BP80),ISNUMBER(BP79)),IFERROR(BP80/BP79,""),"")</f>
        <v>0.338337182448037</v>
      </c>
      <c r="BQ81" s="215">
        <f>IF(AND(ISNUMBER(BQ80),ISNUMBER(BQ79)),IFERROR(BQ80/BQ79,""),"")</f>
        <v>0.306529625151149</v>
      </c>
      <c r="BR81" s="215">
        <f>IF(AND(ISNUMBER(BR80),ISNUMBER(BR79)),IFERROR(BR80/BR79,""),"")</f>
        <v>0.30046403712297</v>
      </c>
      <c r="BS81" s="215">
        <f>IF(AND(ISNUMBER(BS80),ISNUMBER(BS79)),IFERROR(BS80/BS79,""),"")</f>
        <v>0.320987654320988</v>
      </c>
      <c r="BT81" s="215">
        <f>IF(AND(ISNUMBER(BT80),ISNUMBER(BT79)),IFERROR(BT80/BT79,""),"")</f>
        <v>0.343201754385965</v>
      </c>
      <c r="BU81" s="215">
        <f>IF(AND(ISNUMBER(BU80),ISNUMBER(BU79)),IFERROR(BU80/BU79,""),"")</f>
        <v>0.357293868921776</v>
      </c>
      <c r="BV81" s="215">
        <f>IF(AND(ISNUMBER(BV80),ISNUMBER(BV79)),IFERROR(BV80/BV79,""),"")</f>
        <v>0.331210191082803</v>
      </c>
      <c r="BW81" s="215">
        <f>IF(AND(ISNUMBER(BW80),ISNUMBER(BW79)),IFERROR(BW80/BW79,""),"")</f>
        <v>0.32508073196986</v>
      </c>
      <c r="BX81" s="215">
        <f>IF(AND(ISNUMBER(BX80),ISNUMBER(BX79)),IFERROR(BX80/BX79,""),"")</f>
        <v>0.336206896551724</v>
      </c>
      <c r="BY81" s="256">
        <f>BY82+$CA$135</f>
        <v>0.343319159341355</v>
      </c>
      <c r="BZ81" s="256">
        <f>BZ82+$CA$135</f>
        <v>0.357411273877166</v>
      </c>
      <c r="CA81" s="256">
        <f>IF(AND(ISNUMBER(CA80),ISNUMBER(CA79)),IFERROR(CA80/CA79,""),"")</f>
        <v>0.340768480143928</v>
      </c>
      <c r="CB81" s="256">
        <f>CHOOSE(MATCH($CF$2,{"Bull","Base","Bear"},0),$CO$93,$CP$93,$CQ$93)</f>
        <v>0.355</v>
      </c>
      <c r="CC81" s="256">
        <f>CHOOSE(MATCH($CF$2,{"Bull","Base","Bear"},0),$CO$94,$CP$94,$CQ$94)</f>
        <v>0.365</v>
      </c>
      <c r="CD81" s="256">
        <f>CHOOSE(MATCH($CF$2,{"Bull","Base","Bear"},0),$CO$95,$CP$95,$CQ$95)</f>
        <v>0.375</v>
      </c>
      <c r="CE81" s="256">
        <f>CHOOSE(MATCH($CF$2,{"Bull","Base","Bear"},0),$CO$96,$CP$96,$CQ$96)</f>
        <v>0.385</v>
      </c>
      <c r="CF81" s="153" t="n"/>
      <c r="CH81" s="37">
        <f>IFERROR(AVERAGE(CA81,CB81,CC81,CD81,CE81),"n/m")</f>
        <v>0.364153696028786</v>
      </c>
      <c r="CI81" s="37">
        <f>IFERROR(AVERAGE(BB81,BG81,BL81,BQ81,BV81),"n/m")</f>
        <v>0.301075641582542</v>
      </c>
      <c r="CJ81" s="37">
        <f>IFERROR(AVERAGE(AC81,AH81,AM81,AR81,AW81,BB81,BG81,BL81,BQ81,BV81),"n/m")</f>
        <v>0.281377246222525</v>
      </c>
      <c r="CK81" s="37">
        <f>IFERROR(AVERAGE(C81,D81,E81,F81,G81,H81,I81,N81,S81,X81,AC81,AH81,AM81,AR81,AW81,BB81,BG81,BL81,BQ81,BV81),"n/m")</f>
        <v>0.26759456489564</v>
      </c>
      <c r="CN81" s="25" t="inlineStr">
        <is>
          <t xml:space="preserve">  2030E</t>
        </is>
      </c>
      <c r="CO81" s="33">
        <f>CP81+$CO$77</f>
        <v>0.07</v>
      </c>
      <c r="CP81" s="42" t="n">
        <v>0.05</v>
      </c>
      <c r="CQ81" s="33">
        <f>CP81+$CQ$77</f>
        <v>0.02</v>
      </c>
    </row>
    <row r="82" ht="15" customHeight="1" s="251">
      <c r="B82" s="25" t="inlineStr">
        <is>
          <t xml:space="preserve">  Q3/Q4-26E margin before EPS calibration (prior-year quarter + 1H26 y/y drift)</t>
        </is>
      </c>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c r="AA82" s="36" t="n"/>
      <c r="AB82" s="36" t="n"/>
      <c r="AC82" s="36" t="n"/>
      <c r="AD82" s="36" t="n"/>
      <c r="AE82" s="36" t="n"/>
      <c r="AF82" s="36" t="n"/>
      <c r="AG82" s="36" t="n"/>
      <c r="AH82" s="36" t="n"/>
      <c r="AI82" s="36" t="n"/>
      <c r="AJ82" s="36" t="n"/>
      <c r="AK82" s="36" t="n"/>
      <c r="AL82" s="36" t="n"/>
      <c r="AM82" s="36" t="n"/>
      <c r="AN82" s="36" t="n"/>
      <c r="AO82" s="36" t="n"/>
      <c r="AP82" s="36" t="n"/>
      <c r="AQ82" s="36" t="n"/>
      <c r="AR82" s="36" t="n"/>
      <c r="AS82" s="36" t="n"/>
      <c r="AT82" s="36" t="n"/>
      <c r="AU82" s="36" t="n"/>
      <c r="AV82" s="36" t="n"/>
      <c r="AW82" s="36" t="n"/>
      <c r="AX82" s="36" t="n"/>
      <c r="AY82" s="36" t="n"/>
      <c r="AZ82" s="36" t="n"/>
      <c r="BA82" s="36" t="n"/>
      <c r="BB82" s="36" t="n"/>
      <c r="BC82" s="36" t="n"/>
      <c r="BD82" s="36" t="n"/>
      <c r="BE82" s="36" t="n"/>
      <c r="BF82" s="36" t="n"/>
      <c r="BG82" s="36" t="n"/>
      <c r="BH82" s="36" t="n"/>
      <c r="BI82" s="36" t="n"/>
      <c r="BJ82" s="36" t="n"/>
      <c r="BK82" s="36" t="n"/>
      <c r="BL82" s="36" t="n"/>
      <c r="BM82" s="36" t="n"/>
      <c r="BN82" s="36" t="n"/>
      <c r="BO82" s="36" t="n"/>
      <c r="BP82" s="36" t="n"/>
      <c r="BQ82" s="36" t="n"/>
      <c r="BR82" s="36" t="n"/>
      <c r="BS82" s="36" t="n"/>
      <c r="BT82" s="36" t="n"/>
      <c r="BU82" s="36" t="n"/>
      <c r="BV82" s="36" t="n"/>
      <c r="BW82" s="36" t="n"/>
      <c r="BX82" s="36" t="n"/>
      <c r="BY82" s="256">
        <f>BT81+IFERROR(SUM(BW80:BX80)/SUM(BW79:BX79)-SUM(BR80:BS80)/SUM(BR79:BS79),0)</f>
        <v>0.362946965380518</v>
      </c>
      <c r="BZ82" s="256">
        <f>BU81+IFERROR(SUM(BW80:BX80)/SUM(BW79:BX79)-SUM(BR80:BS80)/SUM(BR79:BS79),0)</f>
        <v>0.377039079916329</v>
      </c>
      <c r="CA82" s="24" t="n"/>
      <c r="CB82" s="46" t="n"/>
      <c r="CC82" s="46" t="n"/>
      <c r="CD82" s="46" t="n"/>
      <c r="CE82" s="46" t="n"/>
      <c r="CF82" s="19" t="n"/>
      <c r="CN82" s="15" t="inlineStr">
        <is>
          <t>MA_DI (Data &amp; Information y/y)</t>
        </is>
      </c>
      <c r="CO82" s="41" t="n">
        <v>0.02</v>
      </c>
      <c r="CP82" s="21" t="inlineStr">
        <is>
          <t>Δ →</t>
        </is>
      </c>
      <c r="CQ82" s="41" t="n">
        <v>-0.03</v>
      </c>
      <c r="CR82" s="13" t="inlineStr">
        <is>
          <t>1H26 +9%; ARR +8%; Orbis company data.</t>
        </is>
      </c>
    </row>
    <row r="83" ht="15" customHeight="1" s="251">
      <c r="B83" s="156" t="inlineStr">
        <is>
          <t xml:space="preserve">  Memo: MA Adjusted Operating Margin as published (%)</t>
        </is>
      </c>
      <c r="C83" s="34" t="n"/>
      <c r="D83" s="34" t="n"/>
      <c r="E83" s="34" t="n"/>
      <c r="F83" s="34" t="n"/>
      <c r="G83" s="34" t="n"/>
      <c r="H83" s="34" t="n"/>
      <c r="I83" s="266" t="n">
        <v>0.224</v>
      </c>
      <c r="J83" s="266" t="n">
        <v>0.226</v>
      </c>
      <c r="K83" s="266" t="n">
        <v>0.243</v>
      </c>
      <c r="L83" s="266" t="n">
        <v>0.229</v>
      </c>
      <c r="M83" s="266" t="n">
        <v>0.223</v>
      </c>
      <c r="N83" s="266" t="n">
        <v>0.23</v>
      </c>
      <c r="O83" s="266" t="n">
        <v>0.223</v>
      </c>
      <c r="P83" s="266" t="n">
        <v>0.232</v>
      </c>
      <c r="Q83" s="266" t="n">
        <v>0.247</v>
      </c>
      <c r="R83" s="266" t="n">
        <v>0.245</v>
      </c>
      <c r="S83" s="266" t="n">
        <v>0.238</v>
      </c>
      <c r="T83" s="266" t="n">
        <v>0.212</v>
      </c>
      <c r="U83" s="266" t="n">
        <v>0.253</v>
      </c>
      <c r="V83" s="266" t="n">
        <v>0.257</v>
      </c>
      <c r="W83" s="266" t="n">
        <v>0.237</v>
      </c>
      <c r="X83" s="266" t="n">
        <v>0.24</v>
      </c>
      <c r="Y83" s="266" t="n">
        <v>0.216</v>
      </c>
      <c r="Z83" s="266" t="n">
        <v>0.237</v>
      </c>
      <c r="AA83" s="266" t="n">
        <v>0.239</v>
      </c>
      <c r="AB83" s="266" t="n">
        <v>0.222</v>
      </c>
      <c r="AC83" s="266" t="n">
        <v>0.229</v>
      </c>
      <c r="AD83" s="266" t="n">
        <v>0.225</v>
      </c>
      <c r="AE83" s="266" t="n">
        <v>0.235</v>
      </c>
      <c r="AF83" s="266" t="n">
        <v>0.253</v>
      </c>
      <c r="AG83" s="266" t="n">
        <v>0.252</v>
      </c>
      <c r="AH83" s="266" t="n">
        <v>0.243</v>
      </c>
      <c r="AI83" s="266" t="n">
        <v>0.246</v>
      </c>
      <c r="AJ83" s="266" t="n">
        <v>0.247</v>
      </c>
      <c r="AK83" s="266" t="n">
        <v>0.286</v>
      </c>
      <c r="AL83" s="266" t="n">
        <v>0.273</v>
      </c>
      <c r="AM83" s="266" t="n">
        <v>0.264</v>
      </c>
      <c r="AN83" s="266" t="n">
        <v>0.281</v>
      </c>
      <c r="AO83" s="266" t="n">
        <v>0.282</v>
      </c>
      <c r="AP83" s="266" t="n">
        <v>0.294</v>
      </c>
      <c r="AQ83" s="266" t="n">
        <v>0.256</v>
      </c>
      <c r="AR83" s="266" t="n">
        <v>0.278</v>
      </c>
      <c r="AS83" s="266" t="n">
        <v>0.293</v>
      </c>
      <c r="AT83" s="266" t="n">
        <v>0.287</v>
      </c>
      <c r="AU83" s="266" t="n">
        <v>0.314</v>
      </c>
      <c r="AV83" s="266" t="n">
        <v>0.284</v>
      </c>
      <c r="AW83" s="266" t="n">
        <v>0.294</v>
      </c>
      <c r="AX83" s="266" t="n">
        <v>0.329</v>
      </c>
      <c r="AY83" s="266" t="n">
        <v>0.318</v>
      </c>
      <c r="AZ83" s="266" t="n">
        <v>0.26</v>
      </c>
      <c r="BA83" s="266" t="n">
        <v>0.149</v>
      </c>
      <c r="BB83" s="266" t="n">
        <v>0.26</v>
      </c>
      <c r="BC83" s="266" t="n">
        <v>0.321</v>
      </c>
      <c r="BD83" s="266" t="n">
        <v>0.303</v>
      </c>
      <c r="BE83" s="266" t="n">
        <v>0.303</v>
      </c>
      <c r="BF83" s="266" t="n">
        <v>0.283</v>
      </c>
      <c r="BG83" s="266" t="n">
        <v>0.302</v>
      </c>
      <c r="BH83" s="266" t="n">
        <v>0.289</v>
      </c>
      <c r="BI83" s="266" t="n">
        <v>0.28</v>
      </c>
      <c r="BJ83" s="266" t="n">
        <v>0.336</v>
      </c>
      <c r="BK83" s="266" t="n">
        <v>0.314</v>
      </c>
      <c r="BL83" s="266" t="n">
        <v>0.305</v>
      </c>
      <c r="BM83" s="266" t="n">
        <v>0.297</v>
      </c>
      <c r="BN83" s="266" t="n">
        <v>0.285</v>
      </c>
      <c r="BO83" s="266" t="n">
        <v>0.303</v>
      </c>
      <c r="BP83" s="266" t="n">
        <v>0.338</v>
      </c>
      <c r="BQ83" s="266" t="n">
        <v>0.307</v>
      </c>
      <c r="BR83" s="266" t="n">
        <v>0.3</v>
      </c>
      <c r="BS83" s="266" t="n">
        <v>0.321</v>
      </c>
      <c r="BT83" s="266" t="n">
        <v>0.343</v>
      </c>
      <c r="BU83" s="266" t="n">
        <v>0.357</v>
      </c>
      <c r="BV83" s="266" t="n">
        <v>0.331</v>
      </c>
      <c r="BW83" s="266" t="n">
        <v>0.325</v>
      </c>
      <c r="BX83" s="266" t="n">
        <v>0.336</v>
      </c>
      <c r="BY83" s="153" t="n"/>
      <c r="BZ83" s="153" t="n"/>
      <c r="CA83" s="153" t="n"/>
      <c r="CB83" s="153" t="n"/>
      <c r="CC83" s="153" t="n"/>
      <c r="CD83" s="153" t="n"/>
      <c r="CE83" s="153" t="n"/>
      <c r="CF83" s="153" t="n"/>
      <c r="CN83" s="25" t="inlineStr">
        <is>
          <t xml:space="preserve">  2027E</t>
        </is>
      </c>
      <c r="CO83" s="33">
        <f>CP83+$CO$82</f>
        <v>0.1</v>
      </c>
      <c r="CP83" s="42" t="n">
        <v>0.08</v>
      </c>
      <c r="CQ83" s="33">
        <f>CP83+$CQ$82</f>
        <v>0.05</v>
      </c>
    </row>
    <row r="84" ht="15" customHeight="1" s="251">
      <c r="B84" s="25" t="inlineStr">
        <is>
          <t xml:space="preserve">  Incremental Adjusted Operating Margin (Δ AOI / Δ total revenue)</t>
        </is>
      </c>
      <c r="C84" s="36" t="n"/>
      <c r="D84" s="215">
        <f>IFERROR((D80-C80)/(D79-C79),"")</f>
      </c>
      <c r="E84" s="215">
        <f>IFERROR((E80-D80)/(E79-D79),"")</f>
      </c>
      <c r="F84" s="215">
        <f>IFERROR((F80-E80)/(F79-E79),"")</f>
      </c>
      <c r="G84" s="215">
        <f>IFERROR((G80-F80)/(G79-F79),"")</f>
      </c>
      <c r="H84" s="215">
        <f>IFERROR((H80-G80)/(H79-G79),"")</f>
      </c>
      <c r="I84" s="215">
        <f>IFERROR((I80-H80)/(I79-H79),"")</f>
        <v>1.44394281414597</v>
      </c>
      <c r="J84" s="36" t="n"/>
      <c r="K84" s="36" t="n"/>
      <c r="L84" s="36" t="n"/>
      <c r="M84" s="36" t="n"/>
      <c r="N84" s="215">
        <f>IFERROR((N80-I80)/(N79-I79),"")</f>
        <v>0.298270893371757</v>
      </c>
      <c r="O84" s="215">
        <f>IFERROR((O80-J80)/(O79-J79),"")</f>
        <v>0.201277955271565</v>
      </c>
      <c r="P84" s="215">
        <f>IFERROR((P80-K80)/(P79-K79),"")</f>
        <v>0.163204747774481</v>
      </c>
      <c r="Q84" s="215">
        <f>IFERROR((Q80-L80)/(Q79-L79),"")</f>
        <v>0.336956521739131</v>
      </c>
      <c r="R84" s="215">
        <f>IFERROR((R80-M80)/(R79-M79),"")</f>
        <v>0.347593582887701</v>
      </c>
      <c r="S84" s="215">
        <f>IFERROR((S80-N80)/(S79-N79),"")</f>
        <v>0.285805219605347</v>
      </c>
      <c r="T84" s="215">
        <f>IFERROR((T80-O80)/(T79-O79),"")</f>
        <v>0.0958904109589042</v>
      </c>
      <c r="U84" s="215">
        <f>IFERROR((U80-P80)/(U79-P79),"")</f>
        <v>0.446096654275093</v>
      </c>
      <c r="V84" s="215">
        <f>IFERROR((V80-Q80)/(V79-Q79),"")</f>
        <v>0.452554744525546</v>
      </c>
      <c r="W84" s="215">
        <f>IFERROR((W80-R80)/(W79-R79),"")</f>
        <v>-0.0219780219780222</v>
      </c>
      <c r="X84" s="215">
        <f>IFERROR((X80-S80)/(X79-S79),"")</f>
        <v>0.269607843137255</v>
      </c>
      <c r="Y84" s="215">
        <f>IFERROR((Y80-T80)/(Y79-T79),"")</f>
        <v>0.253676470588235</v>
      </c>
      <c r="Z84" s="215">
        <f>IFERROR((Z80-U80)/(Z79-U79),"")</f>
        <v>0.049792531120332</v>
      </c>
      <c r="AA84" s="215">
        <f>IFERROR((AA80-V80)/(AA79-V79),"")</f>
        <v>-0.0370370370370372</v>
      </c>
      <c r="AB84" s="215">
        <f>IFERROR((AB80-W80)/(AB79-W79),"")</f>
        <v>-0.157894736842105</v>
      </c>
      <c r="AC84" s="215">
        <f>IFERROR((AC80-X80)/(AC79-X79),"")</f>
        <v>0.0754491017964071</v>
      </c>
      <c r="AD84" s="215">
        <f>IFERROR((AD80-Y80)/(AD79-Y79),"")</f>
        <v>0.384615384615385</v>
      </c>
      <c r="AE84" s="215">
        <f>IFERROR((AE80-Z80)/(AE79-Z79),"")</f>
        <v>0.191304347826087</v>
      </c>
      <c r="AF84" s="215">
        <f>IFERROR((AF80-AA80)/(AF79-AA79),"")</f>
        <v>0.324451410658307</v>
      </c>
      <c r="AG84" s="215">
        <f>IFERROR((AG80-AB80)/(AG79-AB79),"")</f>
        <v>0.346082089552239</v>
      </c>
      <c r="AH84" s="215">
        <f>IFERROR((AH80-AC80)/(AH79-AC79),"")</f>
        <v>0.328485456369108</v>
      </c>
      <c r="AI84" s="215">
        <f>IFERROR((AI80-AD80)/(AI79-AD79),"")</f>
        <v>0.310583580613254</v>
      </c>
      <c r="AJ84" s="215">
        <f>IFERROR((AJ80-AE80)/(AJ79-AE79),"")</f>
        <v>0.282527881040892</v>
      </c>
      <c r="AK84" s="215">
        <f>IFERROR((AK80-AF80)/(AK79-AF79),"")</f>
        <v>0.47112462006079</v>
      </c>
      <c r="AL84" s="215">
        <f>IFERROR((AL80-AG80)/(AL79-AG79),"")</f>
        <v>0.715596330275229</v>
      </c>
      <c r="AM84" s="215">
        <f>IFERROR((AM80-AH80)/(AM79-AH79),"")</f>
        <v>0.365845426932163</v>
      </c>
      <c r="AN84" s="215">
        <f>IFERROR((AN80-AI80)/(AN79-AI79),"")</f>
        <v>0.509584664536742</v>
      </c>
      <c r="AO84" s="215">
        <f>IFERROR((AO80-AJ80)/(AO79-AJ79),"")</f>
        <v>0.565134099616858</v>
      </c>
      <c r="AP84" s="215">
        <f>IFERROR((AP80-AK80)/(AP79-AK79),"")</f>
        <v>0.350174216027875</v>
      </c>
      <c r="AQ84" s="215">
        <f>IFERROR((AQ80-AL80)/(AQ79-AL79),"")</f>
        <v>0.0895833333333333</v>
      </c>
      <c r="AR84" s="215">
        <f>IFERROR((AR80-AM80)/(AR79-AM79),"")</f>
        <v>0.391560798548094</v>
      </c>
      <c r="AS84" s="215">
        <f>IFERROR((AS80-AN80)/(AS79-AN79),"")</f>
        <v>0.538135593220338</v>
      </c>
      <c r="AT84" s="215">
        <f>IFERROR((AT80-AO80)/(AT79-AO79),"")</f>
        <v>0.388888888888889</v>
      </c>
      <c r="AU84" s="215">
        <f>IFERROR((AU80-AP80)/(AU79-AP79),"")</f>
        <v>0.594444444444445</v>
      </c>
      <c r="AV84" s="215">
        <f>IFERROR((AV80-AQ80)/(AV79-AQ79),"")</f>
        <v>0.619047619047619</v>
      </c>
      <c r="AW84" s="215">
        <f>IFERROR((AW80-AR80)/(AW79-AR79),"")</f>
        <v>0.552845528455285</v>
      </c>
      <c r="AX84" s="215">
        <f>IFERROR((AX80-AS80)/(AX79-AS79),"")</f>
        <v>0.588235294117647</v>
      </c>
      <c r="AY84" s="215">
        <f>IFERROR((AY80-AT80)/(AY79-AT79),"")</f>
        <v>0.526315789473684</v>
      </c>
      <c r="AZ84" s="215">
        <f>IFERROR((AZ80-AU80)/(AZ79-AU79),"")</f>
        <v>-0.140845070422535</v>
      </c>
      <c r="BA84" s="215">
        <f>IFERROR((BA80-AV80)/(BA79-AV79),"")</f>
        <v>-0.517857142857143</v>
      </c>
      <c r="BB84" s="215">
        <f>IFERROR((BB80-AW80)/(BB79-AW79),"")</f>
        <v>0.0397553516819572</v>
      </c>
      <c r="BC84" s="215">
        <f>IFERROR((BC80-AX80)/(BC79-AX79),"")</f>
        <v>0.290076335877863</v>
      </c>
      <c r="BD84" s="215">
        <f>IFERROR((BD80-AY80)/(BD79-AY79),"")</f>
        <v>0.217821782178218</v>
      </c>
      <c r="BE84" s="215">
        <f>IFERROR((BE80-AZ80)/(BE79-AZ79),"")</f>
        <v>0.607142857142857</v>
      </c>
      <c r="BF84" s="215">
        <f>IFERROR((BF80-BA80)/(BF79-BA79),"")</f>
        <v>2.14583333333333</v>
      </c>
      <c r="BG84" s="215">
        <f>IFERROR((BG80-BB80)/(BG79-BB79),"")</f>
        <v>0.585164835164835</v>
      </c>
      <c r="BH84" s="215">
        <f>IFERROR((BH80-BC80)/(BH79-BC79),"")</f>
        <v>-0.232558139534884</v>
      </c>
      <c r="BI84" s="215">
        <f>IFERROR((BI80-BD80)/(BI79-BD79),"")</f>
        <v>0.0666666666666667</v>
      </c>
      <c r="BJ84" s="215">
        <f>IFERROR((BJ80-BE80)/(BJ79-BE79),"")</f>
        <v>0.586956521739131</v>
      </c>
      <c r="BK84" s="215">
        <f>IFERROR((BK80-BF80)/(BK79-BF79),"")</f>
        <v>0.585365853658537</v>
      </c>
      <c r="BL84" s="215">
        <f>IFERROR((BL80-BG80)/(BL79-BG79),"")</f>
        <v>0.332191780821918</v>
      </c>
      <c r="BM84" s="215">
        <f>IFERROR((BM80-BH80)/(BM79-BH79),"")</f>
        <v>0.387096774193548</v>
      </c>
      <c r="BN84" s="215">
        <f>IFERROR((BN80-BI80)/(BN79-BI79),"")</f>
        <v>0.363636363636364</v>
      </c>
      <c r="BO84" s="215">
        <f>IFERROR((BO80-BJ80)/(BO79-BJ79),"")</f>
        <v>-0.163636363636364</v>
      </c>
      <c r="BP84" s="215">
        <f>IFERROR((BP80-BK80)/(BP79-BK79),"")</f>
        <v>0.626865671641791</v>
      </c>
      <c r="BQ84" s="215">
        <f>IFERROR((BQ80-BL80)/(BQ79-BL79),"")</f>
        <v>0.322175732217573</v>
      </c>
      <c r="BR84" s="215">
        <f>IFERROR((BR80-BM80)/(BR79-BM79),"")</f>
        <v>0.35</v>
      </c>
      <c r="BS84" s="215">
        <f>IFERROR((BS80-BN80)/(BS79-BN79),"")</f>
        <v>0.658823529411765</v>
      </c>
      <c r="BT84" s="215">
        <f>IFERROR((BT80-BO80)/(BT79-BO79),"")</f>
        <v>0.769230769230769</v>
      </c>
      <c r="BU84" s="215">
        <f>IFERROR((BU80-BP80)/(BU79-BP79),"")</f>
        <v>0.5625</v>
      </c>
      <c r="BV84" s="215">
        <f>IFERROR((BV80-BQ80)/(BV79-BQ79),"")</f>
        <v>0.600660066006601</v>
      </c>
      <c r="BW84" s="215">
        <f>IFERROR((BW80-BR80)/(BW79-BR79),"")</f>
        <v>0.641791044776119</v>
      </c>
      <c r="BX84" s="215">
        <f>IFERROR((BX80-BS80)/(BX79-BS79),"")</f>
        <v>0.702702702702703</v>
      </c>
      <c r="BY84" s="256">
        <f>IFERROR((BY80-BT80)/(BY79-BT79),"")</f>
        <v>0.346158587491548</v>
      </c>
      <c r="BZ84" s="256">
        <f>IFERROR((BZ80-BU80)/(BZ79-BU79),"")</f>
        <v>0.360296833342025</v>
      </c>
      <c r="CA84" s="256">
        <f>IFERROR((CA80-BV80)/(CA79-BV79),"")</f>
        <v>0.532306163005028</v>
      </c>
      <c r="CB84" s="256">
        <f>IFERROR((CB80-CA80)/(CB79-CA79),"")</f>
        <v>0.538239362880389</v>
      </c>
      <c r="CC84" s="256">
        <f>IFERROR((CC80-CB80)/(CC79-CB79),"")</f>
        <v>0.498782881724614</v>
      </c>
      <c r="CD84" s="256">
        <f>IFERROR((CD80-CC80)/(CD79-CC79),"")</f>
        <v>0.518478298182273</v>
      </c>
      <c r="CE84" s="256">
        <f>IFERROR((CE80-CD80)/(CE79-CD79),"")</f>
        <v>0.535463420571569</v>
      </c>
      <c r="CF84" s="153" t="n"/>
      <c r="CN84" s="25" t="inlineStr">
        <is>
          <t xml:space="preserve">  2028E</t>
        </is>
      </c>
      <c r="CO84" s="33">
        <f>CP84+$CO$82</f>
        <v>0.1</v>
      </c>
      <c r="CP84" s="42" t="n">
        <v>0.08</v>
      </c>
      <c r="CQ84" s="33">
        <f>CP84+$CQ$82</f>
        <v>0.05</v>
      </c>
    </row>
    <row r="85" ht="15" customHeight="1" s="251">
      <c r="CN85" s="25" t="inlineStr">
        <is>
          <t xml:space="preserve">  2029E</t>
        </is>
      </c>
      <c r="CO85" s="33">
        <f>CP85+$CO$82</f>
        <v>0.09</v>
      </c>
      <c r="CP85" s="42" t="n">
        <v>0.07000000000000001</v>
      </c>
      <c r="CQ85" s="33">
        <f>CP85+$CQ$82</f>
        <v>0.04</v>
      </c>
    </row>
    <row r="86" ht="15" customHeight="1" s="251">
      <c r="B86" s="14" t="inlineStr">
        <is>
          <t>Eliminations and growth decomposition</t>
        </is>
      </c>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c r="AA86" s="14" t="n"/>
      <c r="AB86" s="14" t="n"/>
      <c r="AC86" s="14" t="n"/>
      <c r="AD86" s="14" t="n"/>
      <c r="AE86" s="14" t="n"/>
      <c r="AF86" s="14" t="n"/>
      <c r="AG86" s="14" t="n"/>
      <c r="AH86" s="14" t="n"/>
      <c r="AI86" s="14" t="n"/>
      <c r="AJ86" s="14" t="n"/>
      <c r="AK86" s="14" t="n"/>
      <c r="AL86" s="14" t="n"/>
      <c r="AM86" s="14" t="n"/>
      <c r="AN86" s="14" t="n"/>
      <c r="AO86" s="14" t="n"/>
      <c r="AP86" s="14" t="n"/>
      <c r="AQ86" s="14" t="n"/>
      <c r="AR86" s="14" t="n"/>
      <c r="AS86" s="14" t="n"/>
      <c r="AT86" s="14" t="n"/>
      <c r="AU86" s="14" t="n"/>
      <c r="AV86" s="14" t="n"/>
      <c r="AW86" s="14" t="n"/>
      <c r="AX86" s="14" t="n"/>
      <c r="AY86" s="14" t="n"/>
      <c r="AZ86" s="14" t="n"/>
      <c r="BA86" s="14" t="n"/>
      <c r="BB86" s="14" t="n"/>
      <c r="BC86" s="14" t="n"/>
      <c r="BD86" s="14" t="n"/>
      <c r="BE86" s="14" t="n"/>
      <c r="BF86" s="14" t="n"/>
      <c r="BG86" s="14" t="n"/>
      <c r="BH86" s="14" t="n"/>
      <c r="BI86" s="14" t="n"/>
      <c r="BJ86" s="14" t="n"/>
      <c r="BK86" s="14" t="n"/>
      <c r="BL86" s="14" t="n"/>
      <c r="BM86" s="14" t="n"/>
      <c r="BN86" s="14" t="n"/>
      <c r="BO86" s="14" t="n"/>
      <c r="BP86" s="14" t="n"/>
      <c r="BQ86" s="14" t="n"/>
      <c r="BR86" s="14" t="n"/>
      <c r="BS86" s="14" t="n"/>
      <c r="BT86" s="14" t="n"/>
      <c r="BU86" s="14" t="n"/>
      <c r="BV86" s="14" t="n"/>
      <c r="BW86" s="14" t="n"/>
      <c r="BX86" s="14" t="n"/>
      <c r="BY86" s="14" t="n"/>
      <c r="BZ86" s="14" t="n"/>
      <c r="CA86" s="14" t="n"/>
      <c r="CB86" s="14" t="n"/>
      <c r="CC86" s="14" t="n"/>
      <c r="CD86" s="14" t="n"/>
      <c r="CE86" s="14" t="n"/>
      <c r="CF86" s="15" t="inlineStr">
        <is>
          <t>ELIMINATIONS — intersegment revenue and expense net to zero in Adjusted Operating Income</t>
        </is>
      </c>
      <c r="CN86" s="25" t="inlineStr">
        <is>
          <t xml:space="preserve">  2030E</t>
        </is>
      </c>
      <c r="CO86" s="33">
        <f>CP86+$CO$82</f>
        <v>0.09</v>
      </c>
      <c r="CP86" s="42" t="n">
        <v>0.07000000000000001</v>
      </c>
      <c r="CQ86" s="33">
        <f>CP86+$CQ$82</f>
        <v>0.04</v>
      </c>
    </row>
    <row r="87" ht="15" customHeight="1" s="251">
      <c r="B87" s="25" t="inlineStr">
        <is>
          <t xml:space="preserve">  Eliminations (intersegment revenue)</t>
        </is>
      </c>
      <c r="C87" s="261">
        <f>IF(ISNUMBER(C34),-(C34+N(C77)),"")</f>
      </c>
      <c r="D87" s="261">
        <f>IF(ISNUMBER(D34),-(D34+N(D77)),"")</f>
      </c>
      <c r="E87" s="261">
        <f>IF(ISNUMBER(E34),-(E34+N(E77)),"")</f>
        <v>-63.6</v>
      </c>
      <c r="F87" s="261">
        <f>IF(ISNUMBER(F34),-(F34+N(F77)),"")</f>
        <v>-60</v>
      </c>
      <c r="G87" s="261">
        <f>IF(ISNUMBER(G34),-(G34+N(G77)),"")</f>
        <v>-61.3</v>
      </c>
      <c r="H87" s="261">
        <f>IF(ISNUMBER(H34),-(H34+N(H77)),"")</f>
        <v>-76.4</v>
      </c>
      <c r="I87" s="261">
        <f>IF(ISNUMBER(I34),-(I34+N(I77)),"")</f>
        <v>-83.3</v>
      </c>
      <c r="J87" s="261">
        <f>IF(ISNUMBER(J34),-(J34+N(J77)),"")</f>
        <v>-21.7</v>
      </c>
      <c r="K87" s="261">
        <f>IF(ISNUMBER(K34),-(K34+N(K77)),"")</f>
        <v>-21.7</v>
      </c>
      <c r="L87" s="261">
        <f>IF(ISNUMBER(L34),-(L34+N(L77)),"")</f>
        <v>-22.6</v>
      </c>
      <c r="M87" s="261">
        <f>IF(ISNUMBER(M34),-(M34+N(M77)),"")</f>
        <v>-24.2</v>
      </c>
      <c r="N87" s="261">
        <f>IF(ISNUMBER(N34),-(N34+N(N77)),"")</f>
        <v>-90.2</v>
      </c>
      <c r="O87" s="261">
        <f>IF(ISNUMBER(O34),-(O34+N(O77)),"")</f>
        <v>-24.8</v>
      </c>
      <c r="P87" s="261">
        <f>IF(ISNUMBER(P34),-(P34+N(P77)),"")</f>
        <v>-25.2</v>
      </c>
      <c r="Q87" s="261">
        <f>IF(ISNUMBER(Q34),-(Q34+N(Q77)),"")</f>
        <v>-25.7</v>
      </c>
      <c r="R87" s="261">
        <f>IF(ISNUMBER(R34),-(R34+N(R77)),"")</f>
        <v>-25.1</v>
      </c>
      <c r="S87" s="261">
        <f>IF(ISNUMBER(S34),-(S34+N(S77)),"")</f>
        <v>-100.9</v>
      </c>
      <c r="T87" s="261">
        <f>IF(ISNUMBER(T34),-(T34+N(T77)),"")</f>
        <v>-25.6</v>
      </c>
      <c r="U87" s="261">
        <f>IF(ISNUMBER(U34),-(U34+N(U77)),"")</f>
        <v>-26.8</v>
      </c>
      <c r="V87" s="261">
        <f>IF(ISNUMBER(V34),-(V34+N(V77)),"")</f>
        <v>-26.8</v>
      </c>
      <c r="W87" s="261">
        <f>IF(ISNUMBER(W34),-(W34+N(W77)),"")</f>
        <v>-27.4</v>
      </c>
      <c r="X87" s="261">
        <f>IF(ISNUMBER(X34),-(X34+N(X77)),"")</f>
        <v>-106.6</v>
      </c>
      <c r="Y87" s="261">
        <f>IF(ISNUMBER(Y34),-(Y34+N(Y77)),"")</f>
        <v>-26.8</v>
      </c>
      <c r="Z87" s="261">
        <f>IF(ISNUMBER(Z34),-(Z34+N(Z77)),"")</f>
        <v>-27.4</v>
      </c>
      <c r="AA87" s="261">
        <f>IF(ISNUMBER(AA34),-(AA34+N(AA77)),"")</f>
        <v>-29.5</v>
      </c>
      <c r="AB87" s="261">
        <f>IF(ISNUMBER(AB34),-(AB34+N(AB77)),"")</f>
        <v>-30</v>
      </c>
      <c r="AC87" s="261">
        <f>IF(ISNUMBER(AC34),-(AC34+N(AC77)),"")</f>
        <v>-113.7</v>
      </c>
      <c r="AD87" s="261">
        <f>IF(ISNUMBER(AD34),-(AD34+N(AD77)),"")</f>
        <v>-29.7</v>
      </c>
      <c r="AE87" s="261">
        <f>IF(ISNUMBER(AE34),-(AE34+N(AE77)),"")</f>
        <v>-30.8</v>
      </c>
      <c r="AF87" s="261">
        <f>IF(ISNUMBER(AF34),-(AF34+N(AF77)),"")</f>
        <v>-33.1</v>
      </c>
      <c r="AG87" s="261">
        <f>IF(ISNUMBER(AG34),-(AG34+N(AG77)),"")</f>
        <v>-34.1</v>
      </c>
      <c r="AH87" s="261">
        <f>IF(ISNUMBER(AH34),-(AH34+N(AH77)),"")</f>
        <v>-127.7</v>
      </c>
      <c r="AI87" s="261">
        <f>IF(ISNUMBER(AI34),-(AI34+N(AI77)),"")</f>
        <v>-34.8</v>
      </c>
      <c r="AJ87" s="261">
        <f>IF(ISNUMBER(AJ34),-(AJ34+N(AJ77)),"")</f>
        <v>-33</v>
      </c>
      <c r="AK87" s="261">
        <f>IF(ISNUMBER(AK34),-(AK34+N(AK77)),"")</f>
        <v>-34.2</v>
      </c>
      <c r="AL87" s="261">
        <f>IF(ISNUMBER(AL34),-(AL34+N(AL77)),"")</f>
        <v>-34.3</v>
      </c>
      <c r="AM87" s="261">
        <f>IF(ISNUMBER(AM34),-(AM34+N(AM77)),"")</f>
        <v>-136.3</v>
      </c>
      <c r="AN87" s="261">
        <f>IF(ISNUMBER(AN34),-(AN34+N(AN77)),"")</f>
        <v>-34.7</v>
      </c>
      <c r="AO87" s="261">
        <f>IF(ISNUMBER(AO34),-(AO34+N(AO77)),"")</f>
        <v>-35.2</v>
      </c>
      <c r="AP87" s="261">
        <f>IF(ISNUMBER(AP34),-(AP34+N(AP77)),"")</f>
        <v>-36.4</v>
      </c>
      <c r="AQ87" s="261">
        <f>IF(ISNUMBER(AQ34),-(AQ34+N(AQ77)),"")</f>
        <v>-37</v>
      </c>
      <c r="AR87" s="261">
        <f>IF(ISNUMBER(AR34),-(AR34+N(AR77)),"")</f>
        <v>-143</v>
      </c>
      <c r="AS87" s="261">
        <f>IF(ISNUMBER(AS34),-(AS34+N(AS77)),"")</f>
        <v>-39</v>
      </c>
      <c r="AT87" s="261">
        <f>IF(ISNUMBER(AT34),-(AT34+N(AT77)),"")</f>
        <v>-37</v>
      </c>
      <c r="AU87" s="261">
        <f>IF(ISNUMBER(AU34),-(AU34+N(AU77)),"")</f>
        <v>-39</v>
      </c>
      <c r="AV87" s="261">
        <f>IF(ISNUMBER(AV34),-(AV34+N(AV77)),"")</f>
        <v>-40</v>
      </c>
      <c r="AW87" s="261">
        <f>IF(ISNUMBER(AW34),-(AW34+N(AW77)),"")</f>
        <v>-155</v>
      </c>
      <c r="AX87" s="261">
        <f>IF(ISNUMBER(AX34),-(AX34+N(AX77)),"")</f>
        <v>-42</v>
      </c>
      <c r="AY87" s="261">
        <f>IF(ISNUMBER(AY34),-(AY34+N(AY77)),"")</f>
        <v>-44</v>
      </c>
      <c r="AZ87" s="261">
        <f>IF(ISNUMBER(AZ34),-(AZ34+N(AZ77)),"")</f>
        <v>-44</v>
      </c>
      <c r="BA87" s="261">
        <f>IF(ISNUMBER(BA34),-(BA34+N(BA77)),"")</f>
        <v>-42</v>
      </c>
      <c r="BB87" s="261">
        <f>IF(ISNUMBER(BB34),-(BB34+N(BB77)),"")</f>
        <v>-172</v>
      </c>
      <c r="BC87" s="261">
        <f>IF(ISNUMBER(BC34),-(BC34+N(BC77)),"")</f>
        <v>-45</v>
      </c>
      <c r="BD87" s="261">
        <f>IF(ISNUMBER(BD34),-(BD34+N(BD77)),"")</f>
        <v>-44</v>
      </c>
      <c r="BE87" s="261">
        <f>IF(ISNUMBER(BE34),-(BE34+N(BE77)),"")</f>
        <v>-45</v>
      </c>
      <c r="BF87" s="261">
        <f>IF(ISNUMBER(BF34),-(BF34+N(BF77)),"")</f>
        <v>-48</v>
      </c>
      <c r="BG87" s="261">
        <f>IF(ISNUMBER(BG34),-(BG34+N(BG77)),"")</f>
        <v>-182</v>
      </c>
      <c r="BH87" s="261">
        <f>IF(ISNUMBER(BH34),-(BH34+N(BH77)),"")</f>
        <v>-48</v>
      </c>
      <c r="BI87" s="261">
        <f>IF(ISNUMBER(BI34),-(BI34+N(BI77)),"")</f>
        <v>-50</v>
      </c>
      <c r="BJ87" s="261">
        <f>IF(ISNUMBER(BJ34),-(BJ34+N(BJ77)),"")</f>
        <v>-50</v>
      </c>
      <c r="BK87" s="261">
        <f>IF(ISNUMBER(BK34),-(BK34+N(BK77)),"")</f>
        <v>-51</v>
      </c>
      <c r="BL87" s="261">
        <f>IF(ISNUMBER(BL34),-(BL34+N(BL77)),"")</f>
        <v>-199</v>
      </c>
      <c r="BM87" s="261">
        <f>IF(ISNUMBER(BM34),-(BM34+N(BM77)),"")</f>
        <v>-50</v>
      </c>
      <c r="BN87" s="261">
        <f>IF(ISNUMBER(BN34),-(BN34+N(BN77)),"")</f>
        <v>-53</v>
      </c>
      <c r="BO87" s="261">
        <f>IF(ISNUMBER(BO34),-(BO34+N(BO77)),"")</f>
        <v>-51</v>
      </c>
      <c r="BP87" s="261">
        <f>IF(ISNUMBER(BP34),-(BP34+N(BP77)),"")</f>
        <v>-52</v>
      </c>
      <c r="BQ87" s="261">
        <f>IF(ISNUMBER(BQ34),-(BQ34+N(BQ77)),"")</f>
        <v>-206</v>
      </c>
      <c r="BR87" s="261">
        <f>IF(ISNUMBER(BR34),-(BR34+N(BR77)),"")</f>
        <v>-52</v>
      </c>
      <c r="BS87" s="261">
        <f>IF(ISNUMBER(BS34),-(BS34+N(BS77)),"")</f>
        <v>-53</v>
      </c>
      <c r="BT87" s="261">
        <f>IF(ISNUMBER(BT34),-(BT34+N(BT77)),"")</f>
        <v>-53</v>
      </c>
      <c r="BU87" s="261">
        <f>IF(ISNUMBER(BU34),-(BU34+N(BU77)),"")</f>
        <v>-52</v>
      </c>
      <c r="BV87" s="261">
        <f>IF(ISNUMBER(BV34),-(BV34+N(BV77)),"")</f>
        <v>-210</v>
      </c>
      <c r="BW87" s="261">
        <f>IF(ISNUMBER(BW34),-(BW34+N(BW77)),"")</f>
        <v>-54</v>
      </c>
      <c r="BX87" s="261">
        <f>IF(ISNUMBER(BX34),-(BX34+N(BX77)),"")</f>
        <v>-55</v>
      </c>
      <c r="BY87" s="254">
        <f>IF(ISNUMBER(BY34),-(BY34+N(BY77)),"")</f>
        <v>-49.7430419070075</v>
      </c>
      <c r="BZ87" s="254">
        <f>IF(ISNUMBER(BZ34),-(BZ34+N(BZ77)),"")</f>
        <v>-43.3934857346633</v>
      </c>
      <c r="CA87" s="254">
        <f>IF(ISNUMBER(CA34),-(CA34+N(CA77)),"")</f>
        <v>-202.136527641671</v>
      </c>
      <c r="CB87" s="254">
        <f>IF(ISNUMBER(CB34),-(CB34+N(CB77)),"")</f>
        <v>-215.261335431763</v>
      </c>
      <c r="CC87" s="254">
        <f>IF(ISNUMBER(CC34),-(CC34+N(CC77)),"")</f>
        <v>-227.520943400475</v>
      </c>
      <c r="CD87" s="254">
        <f>IF(ISNUMBER(CD34),-(CD34+N(CD77)),"")</f>
        <v>-240.071114383089</v>
      </c>
      <c r="CE87" s="254">
        <f>IF(ISNUMBER(CE34),-(CE34+N(CE77)),"")</f>
        <v>-252.062003484626</v>
      </c>
      <c r="CF87" s="19" t="n"/>
      <c r="CN87" s="15" t="inlineStr">
        <is>
          <t>MIS_M (MIS Adjusted Operating Margin, company basis)</t>
        </is>
      </c>
      <c r="CO87" s="41" t="n">
        <v>0.01</v>
      </c>
      <c r="CP87" s="21" t="inlineStr">
        <is>
          <t>Δ →</t>
        </is>
      </c>
      <c r="CQ87" s="41" t="n">
        <v>-0.03</v>
      </c>
      <c r="CR87" s="13" t="inlineStr">
        <is>
          <t>FY26 guided ~65% (1H26 67.5%, FY2025 63.6%, FY2021 62.2%, FY2022 51.8%); operating leverage on issuance.</t>
        </is>
      </c>
    </row>
    <row r="88" collapsed="1" ht="15" customHeight="1" s="251">
      <c r="B88" s="156" t="inlineStr">
        <is>
          <t xml:space="preserve">  Memo: MCO organic constant-currency revenue growth % (as published)</t>
        </is>
      </c>
      <c r="C88" s="34" t="n"/>
      <c r="D88" s="34" t="n"/>
      <c r="E88" s="34" t="n"/>
      <c r="F88" s="34" t="n"/>
      <c r="G88" s="34" t="n"/>
      <c r="H88" s="34" t="n"/>
      <c r="I88" s="34" t="n"/>
      <c r="J88" s="34" t="n"/>
      <c r="K88" s="34" t="n"/>
      <c r="L88" s="34" t="n"/>
      <c r="M88" s="34" t="n"/>
      <c r="N88" s="34" t="n"/>
      <c r="O88" s="34" t="n"/>
      <c r="P88" s="34" t="n"/>
      <c r="Q88" s="34" t="n"/>
      <c r="R88" s="34" t="n"/>
      <c r="S88" s="34" t="n"/>
      <c r="T88" s="34" t="n"/>
      <c r="U88" s="34" t="n"/>
      <c r="V88" s="34" t="n"/>
      <c r="W88" s="34" t="n"/>
      <c r="X88" s="34" t="n"/>
      <c r="Y88" s="34" t="n"/>
      <c r="Z88" s="34" t="n"/>
      <c r="AA88" s="34" t="n"/>
      <c r="AB88" s="34" t="n"/>
      <c r="AC88" s="34" t="n"/>
      <c r="AD88" s="34" t="n"/>
      <c r="AE88" s="34" t="n"/>
      <c r="AF88" s="34" t="n"/>
      <c r="AG88" s="34" t="n"/>
      <c r="AH88" s="34" t="n"/>
      <c r="AI88" s="34" t="n"/>
      <c r="AJ88" s="34" t="n"/>
      <c r="AK88" s="34" t="n"/>
      <c r="AL88" s="34" t="n"/>
      <c r="AM88" s="34" t="n"/>
      <c r="AN88" s="34" t="n"/>
      <c r="AO88" s="34" t="n"/>
      <c r="AP88" s="34" t="n"/>
      <c r="AQ88" s="34" t="n"/>
      <c r="AR88" s="34" t="n"/>
      <c r="AS88" s="34" t="n"/>
      <c r="AT88" s="34" t="n"/>
      <c r="AU88" s="34" t="n"/>
      <c r="AV88" s="34" t="n"/>
      <c r="AW88" s="34" t="n"/>
      <c r="AX88" s="34" t="n"/>
      <c r="AY88" s="34" t="n"/>
      <c r="AZ88" s="34" t="n"/>
      <c r="BA88" s="34" t="n"/>
      <c r="BB88" s="34" t="n"/>
      <c r="BC88" s="34" t="n"/>
      <c r="BD88" s="266" t="n">
        <v>-0.13</v>
      </c>
      <c r="BE88" s="266" t="n">
        <v>-0.17</v>
      </c>
      <c r="BF88" s="266" t="n">
        <v>-0.13</v>
      </c>
      <c r="BG88" s="266" t="n">
        <v>-0.13</v>
      </c>
      <c r="BH88" s="266" t="n">
        <v>-0.02</v>
      </c>
      <c r="BI88" s="34" t="n"/>
      <c r="BJ88" s="34" t="n"/>
      <c r="BK88" s="266" t="n">
        <v>0.13</v>
      </c>
      <c r="BL88" s="34" t="n"/>
      <c r="BM88" s="34" t="n"/>
      <c r="BN88" s="266" t="n">
        <v>0.22</v>
      </c>
      <c r="BO88" s="266" t="n">
        <v>0.23</v>
      </c>
      <c r="BP88" s="266" t="n">
        <v>0.13</v>
      </c>
      <c r="BQ88" s="266" t="n">
        <v>0.2</v>
      </c>
      <c r="BR88" s="266" t="n">
        <v>0.08</v>
      </c>
      <c r="BS88" s="266" t="n">
        <v>0.02</v>
      </c>
      <c r="BT88" s="266" t="n">
        <v>0.09</v>
      </c>
      <c r="BU88" s="266" t="n">
        <v>0.11</v>
      </c>
      <c r="BV88" s="266" t="n">
        <v>0.07000000000000001</v>
      </c>
      <c r="BW88" s="266" t="n">
        <v>0.06</v>
      </c>
      <c r="BX88" s="266" t="n">
        <v>0.16</v>
      </c>
      <c r="BY88" s="153" t="n"/>
      <c r="BZ88" s="153" t="n"/>
      <c r="CA88" s="153" t="n"/>
      <c r="CB88" s="153" t="n"/>
      <c r="CC88" s="153" t="n"/>
      <c r="CD88" s="153" t="n"/>
      <c r="CE88" s="153" t="n"/>
      <c r="CF88" s="153" t="n"/>
      <c r="CN88" s="25" t="inlineStr">
        <is>
          <t xml:space="preserve">  2027E</t>
        </is>
      </c>
      <c r="CO88" s="33">
        <f>CP88+$CO$87</f>
        <v>0.665</v>
      </c>
      <c r="CP88" s="42" t="n">
        <v>0.655</v>
      </c>
      <c r="CQ88" s="33">
        <f>CP88+$CQ$87</f>
        <v>0.625</v>
      </c>
    </row>
    <row r="89" ht="15" customHeight="1" s="251">
      <c r="B89" s="156" t="inlineStr">
        <is>
          <t xml:space="preserve">  Memo: MA organic constant-currency revenue growth % (as published)</t>
        </is>
      </c>
      <c r="C89" s="34" t="n"/>
      <c r="D89" s="34" t="n"/>
      <c r="E89" s="34" t="n"/>
      <c r="F89" s="34" t="n"/>
      <c r="G89" s="34" t="n"/>
      <c r="H89" s="34" t="n"/>
      <c r="I89" s="34" t="n"/>
      <c r="J89" s="34" t="n"/>
      <c r="K89" s="34" t="n"/>
      <c r="L89" s="34" t="n"/>
      <c r="M89" s="34" t="n"/>
      <c r="N89" s="34" t="n"/>
      <c r="O89" s="34" t="n"/>
      <c r="P89" s="34" t="n"/>
      <c r="Q89" s="34" t="n"/>
      <c r="R89" s="34" t="n"/>
      <c r="S89" s="34" t="n"/>
      <c r="T89" s="34" t="n"/>
      <c r="U89" s="34" t="n"/>
      <c r="V89" s="34" t="n"/>
      <c r="W89" s="34" t="n"/>
      <c r="X89" s="34" t="n"/>
      <c r="Y89" s="34" t="n"/>
      <c r="Z89" s="34" t="n"/>
      <c r="AA89" s="34" t="n"/>
      <c r="AB89" s="34" t="n"/>
      <c r="AC89" s="34" t="n"/>
      <c r="AD89" s="34" t="n"/>
      <c r="AE89" s="34" t="n"/>
      <c r="AF89" s="266" t="n">
        <v>0.11</v>
      </c>
      <c r="AG89" s="266" t="n">
        <v>0.13</v>
      </c>
      <c r="AH89" s="266" t="n">
        <v>0.08</v>
      </c>
      <c r="AI89" s="34" t="n"/>
      <c r="AJ89" s="34" t="n"/>
      <c r="AK89" s="34" t="n"/>
      <c r="AL89" s="34" t="n"/>
      <c r="AM89" s="34" t="n"/>
      <c r="AN89" s="34" t="n"/>
      <c r="AO89" s="34" t="n"/>
      <c r="AP89" s="34" t="n"/>
      <c r="AQ89" s="34" t="n"/>
      <c r="AR89" s="34" t="n"/>
      <c r="AS89" s="34" t="n"/>
      <c r="AT89" s="34" t="n"/>
      <c r="AU89" s="34" t="n"/>
      <c r="AV89" s="34" t="n"/>
      <c r="AW89" s="34" t="n"/>
      <c r="AX89" s="34" t="n"/>
      <c r="AY89" s="34" t="n"/>
      <c r="AZ89" s="34" t="n"/>
      <c r="BA89" s="34" t="n"/>
      <c r="BB89" s="34" t="n"/>
      <c r="BC89" s="34" t="n"/>
      <c r="BD89" s="266" t="n">
        <v>0.08</v>
      </c>
      <c r="BE89" s="266" t="n">
        <v>0.09</v>
      </c>
      <c r="BF89" s="266" t="n">
        <v>0.11</v>
      </c>
      <c r="BG89" s="266" t="n">
        <v>0.1</v>
      </c>
      <c r="BH89" s="266" t="n">
        <v>0.09</v>
      </c>
      <c r="BI89" s="34" t="n"/>
      <c r="BJ89" s="266" t="n">
        <v>0.11</v>
      </c>
      <c r="BK89" s="266" t="n">
        <v>0.1</v>
      </c>
      <c r="BL89" s="34" t="n"/>
      <c r="BM89" s="34" t="n"/>
      <c r="BN89" s="266" t="n">
        <v>0.08</v>
      </c>
      <c r="BO89" s="266" t="n">
        <v>0.06</v>
      </c>
      <c r="BP89" s="266" t="n">
        <v>0.08</v>
      </c>
      <c r="BQ89" s="266" t="n">
        <v>0.08</v>
      </c>
      <c r="BR89" s="266" t="n">
        <v>0.07000000000000001</v>
      </c>
      <c r="BS89" s="266" t="n">
        <v>0.07000000000000001</v>
      </c>
      <c r="BT89" s="266" t="n">
        <v>0.06</v>
      </c>
      <c r="BU89" s="266" t="n">
        <v>0.06</v>
      </c>
      <c r="BV89" s="266" t="n">
        <v>0.07000000000000001</v>
      </c>
      <c r="BW89" s="266" t="n">
        <v>0.06</v>
      </c>
      <c r="BX89" s="266" t="n">
        <v>0.08</v>
      </c>
      <c r="BY89" s="153" t="n"/>
      <c r="BZ89" s="153" t="n"/>
      <c r="CA89" s="153" t="n"/>
      <c r="CB89" s="153" t="n"/>
      <c r="CC89" s="153" t="n"/>
      <c r="CD89" s="153" t="n"/>
      <c r="CE89" s="153" t="n"/>
      <c r="CF89" s="153" t="n"/>
      <c r="CN89" s="25" t="inlineStr">
        <is>
          <t xml:space="preserve">  2028E</t>
        </is>
      </c>
      <c r="CO89" s="33">
        <f>CP89+$CO$87</f>
        <v>0.67</v>
      </c>
      <c r="CP89" s="42" t="n">
        <v>0.66</v>
      </c>
      <c r="CQ89" s="33">
        <f>CP89+$CQ$87</f>
        <v>0.63</v>
      </c>
    </row>
    <row r="90" ht="15" customHeight="1" s="251">
      <c r="B90" s="156" t="inlineStr">
        <is>
          <t xml:space="preserve">  Memo: MIS organic constant-currency revenue growth % (as published)</t>
        </is>
      </c>
      <c r="C90" s="34" t="n"/>
      <c r="D90" s="34" t="n"/>
      <c r="E90" s="34" t="n"/>
      <c r="F90" s="34" t="n"/>
      <c r="G90" s="34" t="n"/>
      <c r="H90" s="34" t="n"/>
      <c r="I90" s="34" t="n"/>
      <c r="J90" s="34" t="n"/>
      <c r="K90" s="34" t="n"/>
      <c r="L90" s="34" t="n"/>
      <c r="M90" s="34" t="n"/>
      <c r="N90" s="34" t="n"/>
      <c r="O90" s="34" t="n"/>
      <c r="P90" s="34" t="n"/>
      <c r="Q90" s="34" t="n"/>
      <c r="R90" s="34" t="n"/>
      <c r="S90" s="34" t="n"/>
      <c r="T90" s="34" t="n"/>
      <c r="U90" s="34" t="n"/>
      <c r="V90" s="34" t="n"/>
      <c r="W90" s="34" t="n"/>
      <c r="X90" s="34" t="n"/>
      <c r="Y90" s="34" t="n"/>
      <c r="Z90" s="34" t="n"/>
      <c r="AA90" s="34" t="n"/>
      <c r="AB90" s="34" t="n"/>
      <c r="AC90" s="34" t="n"/>
      <c r="AD90" s="34" t="n"/>
      <c r="AE90" s="34" t="n"/>
      <c r="AF90" s="34" t="n"/>
      <c r="AG90" s="34" t="n"/>
      <c r="AH90" s="34" t="n"/>
      <c r="AI90" s="34" t="n"/>
      <c r="AJ90" s="34" t="n"/>
      <c r="AK90" s="34" t="n"/>
      <c r="AL90" s="34" t="n"/>
      <c r="AM90" s="34" t="n"/>
      <c r="AN90" s="34" t="n"/>
      <c r="AO90" s="34" t="n"/>
      <c r="AP90" s="34" t="n"/>
      <c r="AQ90" s="34" t="n"/>
      <c r="AR90" s="34" t="n"/>
      <c r="AS90" s="34" t="n"/>
      <c r="AT90" s="34" t="n"/>
      <c r="AU90" s="34" t="n"/>
      <c r="AV90" s="34" t="n"/>
      <c r="AW90" s="34" t="n"/>
      <c r="AX90" s="34" t="n"/>
      <c r="AY90" s="34" t="n"/>
      <c r="AZ90" s="34" t="n"/>
      <c r="BA90" s="34" t="n"/>
      <c r="BB90" s="34" t="n"/>
      <c r="BC90" s="34" t="n"/>
      <c r="BD90" s="34" t="n"/>
      <c r="BE90" s="34" t="n"/>
      <c r="BF90" s="34" t="n"/>
      <c r="BG90" s="34" t="n"/>
      <c r="BH90" s="34" t="n"/>
      <c r="BI90" s="34" t="n"/>
      <c r="BJ90" s="34" t="n"/>
      <c r="BK90" s="266" t="n">
        <v>0.17</v>
      </c>
      <c r="BL90" s="34" t="n"/>
      <c r="BM90" s="34" t="n"/>
      <c r="BN90" s="266" t="n">
        <v>0.37</v>
      </c>
      <c r="BO90" s="266" t="n">
        <v>0.41</v>
      </c>
      <c r="BP90" s="266" t="n">
        <v>0.19</v>
      </c>
      <c r="BQ90" s="266" t="n">
        <v>0.33</v>
      </c>
      <c r="BR90" s="266" t="n">
        <v>0.08</v>
      </c>
      <c r="BS90" s="266" t="n">
        <v>-0.02</v>
      </c>
      <c r="BT90" s="34" t="n"/>
      <c r="BU90" s="34" t="n"/>
      <c r="BV90" s="34" t="n"/>
      <c r="BW90" s="266" t="n">
        <v>0.06</v>
      </c>
      <c r="BX90" s="266" t="n">
        <v>0.24</v>
      </c>
      <c r="BY90" s="153" t="n"/>
      <c r="BZ90" s="153" t="n"/>
      <c r="CA90" s="153" t="n"/>
      <c r="CB90" s="153" t="n"/>
      <c r="CC90" s="153" t="n"/>
      <c r="CD90" s="153" t="n"/>
      <c r="CE90" s="153" t="n"/>
      <c r="CF90" s="153" t="n"/>
      <c r="CN90" s="25" t="inlineStr">
        <is>
          <t xml:space="preserve">  2029E</t>
        </is>
      </c>
      <c r="CO90" s="33">
        <f>CP90+$CO$87</f>
        <v>0.675</v>
      </c>
      <c r="CP90" s="42" t="n">
        <v>0.665</v>
      </c>
      <c r="CQ90" s="33">
        <f>CP90+$CQ$87</f>
        <v>0.635</v>
      </c>
    </row>
    <row r="91" ht="15" customHeight="1" s="251">
      <c r="B91" s="22" t="inlineStr">
        <is>
          <t xml:space="preserve">  Contribution to total revenue growth — MIS (pp)</t>
        </is>
      </c>
      <c r="D91" s="255">
        <f>IFERROR((D27-C27)/C110,"")</f>
        <v>0.0687742378871925</v>
      </c>
      <c r="E91" s="255">
        <f>IFERROR((E27-D27)/D110,"")</f>
        <v>-0.254625940681718</v>
      </c>
      <c r="F91" s="255">
        <f>IFERROR((F27-E27)/E110,"")</f>
        <v>0.00740571949413226</v>
      </c>
      <c r="G91" s="255">
        <f>IFERROR((G27-F27)/F110,"")</f>
        <v>0.10421767193412</v>
      </c>
      <c r="H91" s="255">
        <f>IFERROR((H27-G27)/G110,"")</f>
        <v>0.0806594488188976</v>
      </c>
      <c r="I91" s="255">
        <f>IFERROR((I27-H27)/H110,"")</f>
        <v>0.139387030297716</v>
      </c>
      <c r="N91" s="255">
        <f>IFERROR((N27-I27)/I110,"")</f>
        <v>0.0632164963557119</v>
      </c>
      <c r="O91" s="255">
        <f>IFERROR((O27-J27)/J110,"")</f>
        <v>0.00628587045640889</v>
      </c>
      <c r="P91" s="255">
        <f>IFERROR((P27-K27)/K110,"")</f>
        <v>0.111640211640212</v>
      </c>
      <c r="Q91" s="255">
        <f>IFERROR((Q27-L27)/L110,"")</f>
        <v>0.0921332388377037</v>
      </c>
      <c r="R91" s="255">
        <f>IFERROR((R27-M27)/M110,"")</f>
        <v>0.0542864476386038</v>
      </c>
      <c r="S91" s="255">
        <f>IFERROR((S27-N27)/N110,"")</f>
        <v>0.0694365012615644</v>
      </c>
      <c r="T91" s="255">
        <f>IFERROR((T27-O27)/O110,"")</f>
        <v>0.099713242961418</v>
      </c>
      <c r="U91" s="255">
        <f>IFERROR((U27-P27)/P110,"")</f>
        <v>0.020034344590727</v>
      </c>
      <c r="V91" s="255">
        <f>IFERROR((V27-Q27)/Q110,"")</f>
        <v>0.00612670015929434</v>
      </c>
      <c r="W91" s="255">
        <f>IFERROR((W27-R27)/R110,"")</f>
        <v>-0.0233618233618234</v>
      </c>
      <c r="X91" s="255">
        <f>IFERROR((X27-S27)/S110,"")</f>
        <v>0.0205140509252317</v>
      </c>
      <c r="Y91" s="255">
        <f>IFERROR((Y27-T27)/T110,"")</f>
        <v>-0.0891866913123845</v>
      </c>
      <c r="Z91" s="255">
        <f>IFERROR((Z27-U27)/U110,"")</f>
        <v>-0.0148132011763426</v>
      </c>
      <c r="AA91" s="255">
        <f>IFERROR((AA27-V27)/V110,"")</f>
        <v>0.0768954365792311</v>
      </c>
      <c r="AB91" s="255">
        <f>IFERROR((AB27-W27)/W110,"")</f>
        <v>0.0729876429148863</v>
      </c>
      <c r="AC91" s="255">
        <f>IFERROR((AC27-X27)/X110,"")</f>
        <v>0.0105036590615582</v>
      </c>
      <c r="AD91" s="255">
        <f>IFERROR((AD27-Y27)/Y110,"")</f>
        <v>0.175346158559</v>
      </c>
      <c r="AE91" s="255">
        <f>IFERROR((AE27-Z27)/Z110,"")</f>
        <v>0.0657767251587901</v>
      </c>
      <c r="AF91" s="255">
        <f>IFERROR((AF27-AA27)/AA110,"")</f>
        <v>0.0893032384690873</v>
      </c>
      <c r="AG91" s="255">
        <f>IFERROR((AG27-AB27)/AB110,"")</f>
        <v>0.124084492092135</v>
      </c>
      <c r="AH91" s="255">
        <f>IFERROR((AH27-AC27)/AC110,"")</f>
        <v>0.111813994783863</v>
      </c>
      <c r="AI91" s="255">
        <f>IFERROR((AI27-AD27)/AD110,"")</f>
        <v>0.0530147662018048</v>
      </c>
      <c r="AJ91" s="255">
        <f>IFERROR((AJ27-AE27)/AE110,"")</f>
        <v>0.0655672163918041</v>
      </c>
      <c r="AK91" s="255">
        <f>IFERROR((AK27-AF27)/AF110,"")</f>
        <v>-0.0464766205663751</v>
      </c>
      <c r="AL91" s="255">
        <f>IFERROR((AL27-AG27)/AG110,"")</f>
        <v>-0.110939510939511</v>
      </c>
      <c r="AM91" s="255">
        <f>IFERROR((AM27-AH27)/AH110,"")</f>
        <v>-0.0146047905615948</v>
      </c>
      <c r="AN91" s="255">
        <f>IFERROR((AN27-AI27)/AI110,"")</f>
        <v>-0.0441998757433212</v>
      </c>
      <c r="AO91" s="255">
        <f>IFERROR((AO27-AJ27)/AJ110,"")</f>
        <v>-0.0118287805293166</v>
      </c>
      <c r="AP91" s="255">
        <f>IFERROR((AP27-AK27)/AK110,"")</f>
        <v>0.0941894892672094</v>
      </c>
      <c r="AQ91" s="255">
        <f>IFERROR((AQ27-AL27)/AL110,"")</f>
        <v>0.117536081501745</v>
      </c>
      <c r="AR91" s="255">
        <f>IFERROR((AR27-AM27)/AM110,"")</f>
        <v>0.0365993652508611</v>
      </c>
      <c r="AS91" s="255">
        <f>IFERROR((AS27-AN27)/AN110,"")</f>
        <v>0.108484370895718</v>
      </c>
      <c r="AT91" s="255">
        <f>IFERROR((AT27-AO27)/AO110,"")</f>
        <v>0.164469347396177</v>
      </c>
      <c r="AU91" s="255">
        <f>IFERROR((AU27-AP27)/AP110,"")</f>
        <v>0.0632003224506248</v>
      </c>
      <c r="AV91" s="255">
        <f>IFERROR((AV27-AQ27)/AQ110,"")</f>
        <v>0.0121654501216545</v>
      </c>
      <c r="AW91" s="255">
        <f>IFERROR((AW27-AR27)/AR110,"")</f>
        <v>0.0863532822530545</v>
      </c>
      <c r="AX91" s="255">
        <f>IFERROR((AX27-AS27)/AS110,"")</f>
        <v>0.187596899224806</v>
      </c>
      <c r="AY91" s="255">
        <f>IFERROR((AY27-AT27)/AT110,"")</f>
        <v>0.0292682926829268</v>
      </c>
      <c r="AZ91" s="255">
        <f>IFERROR((AZ27-AU27)/AU110,"")</f>
        <v>0.0737463126843658</v>
      </c>
      <c r="BA91" s="255">
        <f>IFERROR((BA27-AV27)/AV110,"")</f>
        <v>0.105426356589147</v>
      </c>
      <c r="BB91" s="255">
        <f>IFERROR((BB27-AW27)/AW110,"")</f>
        <v>0.0968162353379259</v>
      </c>
      <c r="BC91" s="255">
        <f>IFERROR((BC27-AX27)/AX110,"")</f>
        <v>-0.130625</v>
      </c>
      <c r="BD91" s="255">
        <f>IFERROR((BD27-AY27)/AY110,"")</f>
        <v>-0.176432710882164</v>
      </c>
      <c r="BE91" s="255">
        <f>IFERROR((BE27-AZ27)/AZ110,"")</f>
        <v>-0.219528178243775</v>
      </c>
      <c r="BF91" s="255">
        <f>IFERROR((BF27-BA27)/BA110,"")</f>
        <v>-0.191682910981157</v>
      </c>
      <c r="BG91" s="255">
        <f>IFERROR((BG27-BB27)/BB110,"")</f>
        <v>-0.17899646188485</v>
      </c>
      <c r="BH91" s="255">
        <f>IFERROR((BH27-BC27)/BC110,"")</f>
        <v>-0.0617608409986859</v>
      </c>
      <c r="BI91" s="255">
        <f>IFERROR((BI27-BD27)/BD110,"")</f>
        <v>0.0296886314265025</v>
      </c>
      <c r="BJ91" s="255">
        <f>IFERROR((BJ27-BE27)/BE110,"")</f>
        <v>0.0831372549019608</v>
      </c>
      <c r="BK91" s="255">
        <f>IFERROR((BK27-BF27)/BF110,"")</f>
        <v>0.0837209302325581</v>
      </c>
      <c r="BL91" s="255">
        <f>IFERROR((BL27-BG27)/BG110,"")</f>
        <v>0.0294440380395026</v>
      </c>
      <c r="BM91" s="255">
        <f>IFERROR((BM27-BH27)/BH110,"")</f>
        <v>0.172789115646259</v>
      </c>
      <c r="BN91" s="255">
        <f>IFERROR((BN27-BI27)/BI110,"")</f>
        <v>0.179384203480589</v>
      </c>
      <c r="BO91" s="255">
        <f>IFERROR((BO27-BJ27)/BJ110,"")</f>
        <v>0.19429347826087</v>
      </c>
      <c r="BP91" s="255">
        <f>IFERROR((BP27-BK27)/BK110,"")</f>
        <v>0.0844594594594595</v>
      </c>
      <c r="BQ91" s="255">
        <f>IFERROR((BQ27-BL27)/BL110,"")</f>
        <v>0.157707910750507</v>
      </c>
      <c r="BR91" s="255">
        <f>IFERROR((BR27-BM27)/BM110,"")</f>
        <v>0.0436730123180291</v>
      </c>
      <c r="BS91" s="255">
        <f>IFERROR((BS27-BN27)/BN110,"")</f>
        <v>-0.00275178866263071</v>
      </c>
      <c r="BT91" s="255">
        <f>IFERROR((BT27-BO27)/BO110,"")</f>
        <v>0.0639823496966354</v>
      </c>
      <c r="BU91" s="255">
        <f>IFERROR((BU27-BP27)/BP110,"")</f>
        <v>0.0819377990430622</v>
      </c>
      <c r="BV91" s="255">
        <f>IFERROR((BV27-BQ27)/BQ110,"")</f>
        <v>0.0459932279909707</v>
      </c>
      <c r="BW91" s="255">
        <f>IFERROR((BW27-BR27)/BR110,"")</f>
        <v>0.0457380457380457</v>
      </c>
      <c r="BX91" s="255">
        <f>IFERROR((BX27-BS27)/BS110,"")</f>
        <v>0.131717597471022</v>
      </c>
      <c r="BY91" s="256">
        <f>IFERROR((BY27-BT27)/BT110,"")</f>
        <v>-0.0022658478446124</v>
      </c>
      <c r="BZ91" s="256">
        <f>IFERROR((BZ27-BU27)/BU110,"")</f>
        <v>-0.00208175933079015</v>
      </c>
      <c r="CA91" s="256">
        <f>IFERROR((CA27-BV27)/BV110,"")</f>
        <v>0.0426949987043276</v>
      </c>
      <c r="CB91" s="256">
        <f>IFERROR((CB27-CA27)/CA110,"")</f>
        <v>0.034663076525929</v>
      </c>
      <c r="CC91" s="256">
        <f>IFERROR((CC27-CB27)/CB110,"")</f>
        <v>0.0299408707215369</v>
      </c>
      <c r="CD91" s="256">
        <f>IFERROR((CD27-CC27)/CC110,"")</f>
        <v>0.0287549844084698</v>
      </c>
      <c r="CE91" s="256">
        <f>IFERROR((CE27-CD27)/CD110,"")</f>
        <v>0.0256584396799027</v>
      </c>
      <c r="CF91" s="153" t="n"/>
      <c r="CN91" s="25" t="inlineStr">
        <is>
          <t xml:space="preserve">  2030E</t>
        </is>
      </c>
      <c r="CO91" s="33">
        <f>CP91+$CO$87</f>
        <v>0.68</v>
      </c>
      <c r="CP91" s="42" t="n">
        <v>0.67</v>
      </c>
      <c r="CQ91" s="33">
        <f>CP91+$CQ$87</f>
        <v>0.64</v>
      </c>
    </row>
    <row r="92" ht="15" customHeight="1" s="251">
      <c r="B92" s="22" t="inlineStr">
        <is>
          <t xml:space="preserve">  Contribution to total revenue growth — MA (pp)</t>
        </is>
      </c>
      <c r="D92" s="255">
        <f>IFERROR((D61-C61+N(D100)-N(C100))/C110,"")</f>
        <v>0.0401551224780325</v>
      </c>
      <c r="E92" s="255">
        <f>IFERROR((E61-D61+N(E100)-N(D100))/D110,"")</f>
        <v>0.0316954404603807</v>
      </c>
      <c r="F92" s="255">
        <f>IFERROR((F61-E61+N(F100)-N(E100))/E110,"")</f>
        <v>0.0164065170331548</v>
      </c>
      <c r="G92" s="255">
        <f>IFERROR((G61-F61+N(G100)-N(F100))/F110,"")</f>
        <v>0.0264300022256844</v>
      </c>
      <c r="H92" s="255">
        <f>IFERROR((H61-G61+N(H100)-N(G100))/G110,"")</f>
        <v>0.0417322834645669</v>
      </c>
      <c r="I92" s="255">
        <f>IFERROR((I61-H61+N(I100)-N(H100))/H110,"")</f>
        <v>0.0577454290349454</v>
      </c>
      <c r="N92" s="255">
        <f>IFERROR((N61-I61+N(N100)-N(I100))/I110,"")</f>
        <v>0.0254917042083288</v>
      </c>
      <c r="O92" s="255">
        <f>IFERROR((O61-J61+N(O100)-N(J100))/J110,"")</f>
        <v>0.0420880021863897</v>
      </c>
      <c r="P92" s="255">
        <f>IFERROR((P61-K61+N(P100)-N(K100))/K110,"")</f>
        <v>0.0437830687830688</v>
      </c>
      <c r="Q92" s="255">
        <f>IFERROR((Q61-L61+N(Q100)-N(L100))/L110,"")</f>
        <v>0.0646350106307583</v>
      </c>
      <c r="R92" s="255">
        <f>IFERROR((R61-M61+N(R100)-N(M100))/M110,"")</f>
        <v>0.0718685831622177</v>
      </c>
      <c r="S92" s="255">
        <f>IFERROR((S61-N61+N(S100)-N(N100))/N110,"")</f>
        <v>0.0522792262405383</v>
      </c>
      <c r="T92" s="255">
        <f>IFERROR((T61-O61+N(T100)-N(O100))/O110,"")</f>
        <v>0.0285453597497393</v>
      </c>
      <c r="U92" s="255">
        <f>IFERROR((U61-P61+N(U100)-N(P100))/P110,"")</f>
        <v>0.0310246136233543</v>
      </c>
      <c r="V92" s="255">
        <f>IFERROR((V61-Q61+N(V100)-N(Q100))/Q110,"")</f>
        <v>0.016909692439652</v>
      </c>
      <c r="W92" s="255">
        <f>IFERROR((W61-R61+N(W100)-N(R100))/R110,"")</f>
        <v>0.0101424501424502</v>
      </c>
      <c r="X92" s="255">
        <f>IFERROR((X61-S61+N(X100)-N(S100))/S110,"")</f>
        <v>0.0245328854632157</v>
      </c>
      <c r="Y92" s="255">
        <f>IFERROR((Y61-T61+N(Y100)-N(T100))/T110,"")</f>
        <v>0.0320009242144177</v>
      </c>
      <c r="Z92" s="255">
        <f>IFERROR((Z61-U61+N(Z100)-N(U100))/U110,"")</f>
        <v>0.0265766256399085</v>
      </c>
      <c r="AA92" s="255">
        <f>IFERROR((AA61-V61+N(AA100)-N(V100))/V110,"")</f>
        <v>0.0215594681997844</v>
      </c>
      <c r="AB92" s="255">
        <f>IFERROR((AB61-W61+N(AB100)-N(W100))/W110,"")</f>
        <v>0.0150132809793279</v>
      </c>
      <c r="AC92" s="255">
        <f>IFERROR((AC61-X61+N(AC100)-N(X100))/X110,"")</f>
        <v>0.0238484718037022</v>
      </c>
      <c r="AD92" s="255">
        <f>IFERROR((AD61-Y61+N(AD100)-N(Y100))/Y110,"")</f>
        <v>0.0196054405097415</v>
      </c>
      <c r="AE92" s="255">
        <f>IFERROR((AE61-Z61+N(AE100)-N(Z100))/Z110,"")</f>
        <v>0.0113036925395629</v>
      </c>
      <c r="AF92" s="255">
        <f>IFERROR((AF61-AA61+N(AF100)-N(AA100))/AA110,"")</f>
        <v>0.0696761530912659</v>
      </c>
      <c r="AG92" s="255">
        <f>IFERROR((AG61-AB61+N(AG100)-N(AB100))/AB110,"")</f>
        <v>0.113045324275555</v>
      </c>
      <c r="AH92" s="255">
        <f>IFERROR((AH61-AC61+N(AH100)-N(AC100))/AC110,"")</f>
        <v>0.0546307086177237</v>
      </c>
      <c r="AI92" s="255">
        <f>IFERROR((AI61-AD61+N(AI100)-N(AD100))/AD110,"")</f>
        <v>0.10233798195242</v>
      </c>
      <c r="AJ92" s="255">
        <f>IFERROR((AJ61-AE61+N(AJ100)-N(AE100))/AE110,"")</f>
        <v>0.108945527236382</v>
      </c>
      <c r="AK92" s="255">
        <f>IFERROR((AK61-AF61+N(AK100)-N(AF100))/AF110,"")</f>
        <v>0.0633173393545959</v>
      </c>
      <c r="AL92" s="255">
        <f>IFERROR((AL61-AG61+N(AL100)-N(AG100))/AG110,"")</f>
        <v>0.0205062205062205</v>
      </c>
      <c r="AM92" s="255">
        <f>IFERROR((AM61-AH61+N(AM100)-N(AH100))/AH110,"")</f>
        <v>0.071358911538736</v>
      </c>
      <c r="AN92" s="255">
        <f>IFERROR((AN61-AI61+N(AN100)-N(AI100))/AI110,"")</f>
        <v>0.0578681104109346</v>
      </c>
      <c r="AO92" s="255">
        <f>IFERROR((AO61-AJ61+N(AO100)-N(AJ100))/AJ110,"")</f>
        <v>0.0445919496213088</v>
      </c>
      <c r="AP92" s="255">
        <f>IFERROR((AP61-AK61+N(AP100)-N(AK100))/AK110,"")</f>
        <v>0.0535714285714286</v>
      </c>
      <c r="AQ92" s="255">
        <f>IFERROR((AQ61-AL61+N(AQ100)-N(AL100))/AL110,"")</f>
        <v>0.0455617394585417</v>
      </c>
      <c r="AR92" s="255">
        <f>IFERROR((AR61-AM61+N(AR100)-N(AM100))/AM110,"")</f>
        <v>0.0503522632633309</v>
      </c>
      <c r="AS92" s="255">
        <f>IFERROR((AS61-AN61+N(AS100)-N(AN100))/AN110,"")</f>
        <v>0.0210139217231416</v>
      </c>
      <c r="AT92" s="255">
        <f>IFERROR((AT61-AO61+N(AT100)-N(AO100))/AO110,"")</f>
        <v>0.0179630850362558</v>
      </c>
      <c r="AU92" s="255">
        <f>IFERROR((AU61-AP61+N(AU100)-N(AP100))/AP110,"")</f>
        <v>0.0299072954453849</v>
      </c>
      <c r="AV92" s="255">
        <f>IFERROR((AV61-AQ61+N(AV100)-N(AQ100))/AQ110,"")</f>
        <v>0.0340632603406326</v>
      </c>
      <c r="AW92" s="255">
        <f>IFERROR((AW61-AR61+N(AW100)-N(AR100))/AR110,"")</f>
        <v>0.0258852764547525</v>
      </c>
      <c r="AX92" s="255">
        <f>IFERROR((AX61-AS61+N(AX100)-N(AS100))/AS110,"")</f>
        <v>0.0527131782945736</v>
      </c>
      <c r="AY92" s="255">
        <f>IFERROR((AY61-AT61+N(AY100)-N(AT100))/AT110,"")</f>
        <v>0.0529616724738676</v>
      </c>
      <c r="AZ92" s="255">
        <f>IFERROR((AZ61-AU61+N(AZ100)-N(AU100))/AU110,"")</f>
        <v>0.051622418879056</v>
      </c>
      <c r="BA92" s="255">
        <f>IFERROR((BA61-AV61+N(BA100)-N(AV100))/AV110,"")</f>
        <v>0.0875968992248062</v>
      </c>
      <c r="BB92" s="255">
        <f>IFERROR((BB61-AW61+N(BB100)-N(AW100))/AW110,"")</f>
        <v>0.0608825172221188</v>
      </c>
      <c r="BC92" s="255">
        <f>IFERROR((BC61-AX61+N(BC100)-N(AX100))/AX110,"")</f>
        <v>0.081875</v>
      </c>
      <c r="BD92" s="255">
        <f>IFERROR((BD61-AY61+N(BD100)-N(AY100))/AY110,"")</f>
        <v>0.0656793303283967</v>
      </c>
      <c r="BE92" s="255">
        <f>IFERROR((BE61-AZ61+N(BE100)-N(AZ100))/AZ110,"")</f>
        <v>0.055045871559633</v>
      </c>
      <c r="BF92" s="255">
        <f>IFERROR((BF61-BA61+N(BF100)-N(BA100))/BA110,"")</f>
        <v>0.0298895386614685</v>
      </c>
      <c r="BG92" s="255">
        <f>IFERROR((BG61-BB61+N(BG100)-N(BB100))/BB110,"")</f>
        <v>0.0583788999678353</v>
      </c>
      <c r="BH92" s="255">
        <f>IFERROR((BH61-BC61+N(BH100)-N(BC100))/BC110,"")</f>
        <v>0.0275952693823916</v>
      </c>
      <c r="BI92" s="255">
        <f>IFERROR((BI61-BD61+N(BI100)-N(BD100))/BD110,"")</f>
        <v>0.0521361332367849</v>
      </c>
      <c r="BJ92" s="255">
        <f>IFERROR((BJ61-BE61+N(BJ100)-N(BE100))/BE110,"")</f>
        <v>0.0713725490196078</v>
      </c>
      <c r="BK92" s="255">
        <f>IFERROR((BK61-BF61+N(BK100)-N(BF100))/BF110,"")</f>
        <v>0.0635658914728682</v>
      </c>
      <c r="BL92" s="255">
        <f>IFERROR((BL61-BG61+N(BL100)-N(BG100))/BG110,"")</f>
        <v>0.0524871982443307</v>
      </c>
      <c r="BM92" s="255">
        <f>IFERROR((BM61-BH61+N(BM100)-N(BH100))/BH110,"")</f>
        <v>0.0421768707482993</v>
      </c>
      <c r="BN92" s="255">
        <f>IFERROR((BN61-BI61+N(BN100)-N(BI100))/BI110,"")</f>
        <v>0.036813922356091</v>
      </c>
      <c r="BO92" s="255">
        <f>IFERROR((BO61-BJ61+N(BO100)-N(BJ100))/BJ110,"")</f>
        <v>0.0373641304347826</v>
      </c>
      <c r="BP92" s="255">
        <f>IFERROR((BP61-BK61+N(BP100)-N(BK100))/BK110,"")</f>
        <v>0.0452702702702703</v>
      </c>
      <c r="BQ92" s="255">
        <f>IFERROR((BQ61-BL61+N(BQ100)-N(BL100))/BL110,"")</f>
        <v>0.0403989181879648</v>
      </c>
      <c r="BR92" s="255">
        <f>IFERROR((BR61-BM61+N(BR100)-N(BM100))/BM110,"")</f>
        <v>0.0335946248600224</v>
      </c>
      <c r="BS92" s="255">
        <f>IFERROR((BS61-BN61+N(BS100)-N(BN100))/BN110,"")</f>
        <v>0.0473307649972482</v>
      </c>
      <c r="BT92" s="255">
        <f>IFERROR((BT61-BO61+N(BT100)-N(BO100))/BO110,"")</f>
        <v>0.0430226144511859</v>
      </c>
      <c r="BU92" s="255">
        <f>IFERROR((BU61-BP61+N(BU100)-N(BP100))/BP110,"")</f>
        <v>0.0478468899521531</v>
      </c>
      <c r="BV92" s="255">
        <f>IFERROR((BV61-BQ61+N(BV100)-N(BQ100))/BQ110,"")</f>
        <v>0.0428893905191874</v>
      </c>
      <c r="BW92" s="255">
        <f>IFERROR((BW61-BR61+N(BW100)-N(BR100))/BR110,"")</f>
        <v>0.0348232848232848</v>
      </c>
      <c r="BX92" s="255">
        <f>IFERROR((BX61-BS61+N(BX100)-N(BS100))/BS110,"")</f>
        <v>0.0194942044257113</v>
      </c>
      <c r="BY92" s="256">
        <f>IFERROR((BY61-BT61+N(BY100)-N(BT100))/BT110,"")</f>
        <v>0.018754827029286</v>
      </c>
      <c r="BZ92" s="256">
        <f>IFERROR((BZ61-BU61+N(BZ100)-N(BU100))/BU110,"")</f>
        <v>0.0202800752526327</v>
      </c>
      <c r="CA92" s="256">
        <f>IFERROR((CA61-BV61+N(CA100)-N(BV100))/BV110,"")</f>
        <v>0.0233156258097953</v>
      </c>
      <c r="CB92" s="256">
        <f>IFERROR((CB61-CA61+N(CB100)-N(CA100))/CA110,"")</f>
        <v>0.037409155796705</v>
      </c>
      <c r="CC92" s="256">
        <f>IFERROR((CC61-CB61+N(CC100)-N(CB100))/CB110,"")</f>
        <v>0.0379451381968922</v>
      </c>
      <c r="CD92" s="256">
        <f>IFERROR((CD61-CC61+N(CD100)-N(CC100))/CC110,"")</f>
        <v>0.0357944722820405</v>
      </c>
      <c r="CE92" s="256">
        <f>IFERROR((CE61-CD61+N(CE100)-N(CD100))/CD110,"")</f>
        <v>0.0344257355969334</v>
      </c>
      <c r="CF92" s="153" t="n"/>
      <c r="CN92" s="15" t="inlineStr">
        <is>
          <t>MA_M (MA Adjusted Operating Margin, company basis)</t>
        </is>
      </c>
      <c r="CO92" s="41" t="n">
        <v>0.01</v>
      </c>
      <c r="CP92" s="21" t="inlineStr">
        <is>
          <t>Δ →</t>
        </is>
      </c>
      <c r="CQ92" s="41" t="n">
        <v>-0.02</v>
      </c>
      <c r="CR92" s="13" t="inlineStr">
        <is>
          <t>FY26 guided 34–35% (FY2025 33.1%, FY2021 26.0%); restructuring savings ($300–350m p.a. company-wide) and SaaS mix; Moody's medium-term MA ambition is not quantified on EDGAR in 2026 filings.</t>
        </is>
      </c>
    </row>
    <row r="93" ht="15" customHeight="1" s="251">
      <c r="CN93" s="25" t="inlineStr">
        <is>
          <t xml:space="preserve">  2027E</t>
        </is>
      </c>
      <c r="CO93" s="33">
        <f>CP93+$CO$92</f>
        <v>0.365</v>
      </c>
      <c r="CP93" s="42" t="n">
        <v>0.355</v>
      </c>
      <c r="CQ93" s="33">
        <f>CP93+$CQ$92</f>
        <v>0.335</v>
      </c>
    </row>
    <row r="94" ht="15" customHeight="1" s="251">
      <c r="B94" s="14" t="inlineStr">
        <is>
          <t>Future acquisitions (M&amp;A lever — MA bolt-ons; deals closed from 2027E)</t>
        </is>
      </c>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c r="AA94" s="14" t="n"/>
      <c r="AB94" s="14" t="n"/>
      <c r="AC94" s="14" t="n"/>
      <c r="AD94" s="14" t="n"/>
      <c r="AE94" s="14" t="n"/>
      <c r="AF94" s="14" t="n"/>
      <c r="AG94" s="14" t="n"/>
      <c r="AH94" s="14" t="n"/>
      <c r="AI94" s="14" t="n"/>
      <c r="AJ94" s="14" t="n"/>
      <c r="AK94" s="14" t="n"/>
      <c r="AL94" s="14" t="n"/>
      <c r="AM94" s="14" t="n"/>
      <c r="AN94" s="14" t="n"/>
      <c r="AO94" s="14" t="n"/>
      <c r="AP94" s="14" t="n"/>
      <c r="AQ94" s="14" t="n"/>
      <c r="AR94" s="14" t="n"/>
      <c r="AS94" s="14" t="n"/>
      <c r="AT94" s="14" t="n"/>
      <c r="AU94" s="14" t="n"/>
      <c r="AV94" s="14" t="n"/>
      <c r="AW94" s="14" t="n"/>
      <c r="AX94" s="14" t="n"/>
      <c r="AY94" s="14" t="n"/>
      <c r="AZ94" s="14" t="n"/>
      <c r="BA94" s="14" t="n"/>
      <c r="BB94" s="14" t="n"/>
      <c r="BC94" s="14" t="n"/>
      <c r="BD94" s="14" t="n"/>
      <c r="BE94" s="14" t="n"/>
      <c r="BF94" s="14" t="n"/>
      <c r="BG94" s="14" t="n"/>
      <c r="BH94" s="14" t="n"/>
      <c r="BI94" s="14" t="n"/>
      <c r="BJ94" s="14" t="n"/>
      <c r="BK94" s="14" t="n"/>
      <c r="BL94" s="14" t="n"/>
      <c r="BM94" s="14" t="n"/>
      <c r="BN94" s="14" t="n"/>
      <c r="BO94" s="14" t="n"/>
      <c r="BP94" s="14" t="n"/>
      <c r="BQ94" s="14" t="n"/>
      <c r="BR94" s="14" t="n"/>
      <c r="BS94" s="14" t="n"/>
      <c r="BT94" s="14" t="n"/>
      <c r="BU94" s="14" t="n"/>
      <c r="BV94" s="14" t="n"/>
      <c r="BW94" s="14" t="n"/>
      <c r="BX94" s="14" t="n"/>
      <c r="BY94" s="14" t="n"/>
      <c r="BZ94" s="14" t="n"/>
      <c r="CA94" s="14" t="n"/>
      <c r="CB94" s="14" t="n"/>
      <c r="CC94" s="14" t="n"/>
      <c r="CD94" s="14" t="n"/>
      <c r="CE94" s="14" t="n"/>
      <c r="CF94" s="15" t="inlineStr">
        <is>
          <t>M&amp;A LEVER — acquired revenue = spend ÷ EV/sales; mid-year convention</t>
        </is>
      </c>
      <c r="CN94" s="25" t="inlineStr">
        <is>
          <t xml:space="preserve">  2028E</t>
        </is>
      </c>
      <c r="CO94" s="33">
        <f>CP94+$CO$92</f>
        <v>0.375</v>
      </c>
      <c r="CP94" s="42" t="n">
        <v>0.365</v>
      </c>
      <c r="CQ94" s="33">
        <f>CP94+$CQ$92</f>
        <v>0.345</v>
      </c>
    </row>
    <row r="95" ht="15" customHeight="1" s="251">
      <c r="B95" s="25" t="inlineStr">
        <is>
          <t xml:space="preserve">  Acquisition spend (USDm, scenario)</t>
        </is>
      </c>
      <c r="C95" s="34" t="n"/>
      <c r="D95" s="34" t="n"/>
      <c r="E95" s="34" t="n"/>
      <c r="F95" s="34" t="n"/>
      <c r="G95" s="34" t="n"/>
      <c r="H95" s="34" t="n"/>
      <c r="I95" s="34" t="n"/>
      <c r="J95" s="34" t="n"/>
      <c r="K95" s="34" t="n"/>
      <c r="L95" s="34" t="n"/>
      <c r="M95" s="34" t="n"/>
      <c r="N95" s="34" t="n"/>
      <c r="O95" s="34" t="n"/>
      <c r="P95" s="34" t="n"/>
      <c r="Q95" s="34" t="n"/>
      <c r="R95" s="34" t="n"/>
      <c r="S95" s="34" t="n"/>
      <c r="T95" s="34" t="n"/>
      <c r="U95" s="34" t="n"/>
      <c r="V95" s="34" t="n"/>
      <c r="W95" s="34" t="n"/>
      <c r="X95" s="34" t="n"/>
      <c r="Y95" s="34" t="n"/>
      <c r="Z95" s="34" t="n"/>
      <c r="AA95" s="34" t="n"/>
      <c r="AB95" s="34" t="n"/>
      <c r="AC95" s="34" t="n"/>
      <c r="AD95" s="34" t="n"/>
      <c r="AE95" s="34" t="n"/>
      <c r="AF95" s="34" t="n"/>
      <c r="AG95" s="34" t="n"/>
      <c r="AH95" s="34" t="n"/>
      <c r="AI95" s="34" t="n"/>
      <c r="AJ95" s="34" t="n"/>
      <c r="AK95" s="34" t="n"/>
      <c r="AL95" s="34" t="n"/>
      <c r="AM95" s="34" t="n"/>
      <c r="AN95" s="34" t="n"/>
      <c r="AO95" s="34" t="n"/>
      <c r="AP95" s="34" t="n"/>
      <c r="AQ95" s="34" t="n"/>
      <c r="AR95" s="34" t="n"/>
      <c r="AS95" s="34" t="n"/>
      <c r="AT95" s="34" t="n"/>
      <c r="AU95" s="34" t="n"/>
      <c r="AV95" s="34" t="n"/>
      <c r="AW95" s="34" t="n"/>
      <c r="AX95" s="34" t="n"/>
      <c r="AY95" s="34" t="n"/>
      <c r="AZ95" s="34" t="n"/>
      <c r="BA95" s="34" t="n"/>
      <c r="BB95" s="34" t="n"/>
      <c r="BC95" s="34" t="n"/>
      <c r="BD95" s="34" t="n"/>
      <c r="BE95" s="34" t="n"/>
      <c r="BF95" s="34" t="n"/>
      <c r="BG95" s="34" t="n"/>
      <c r="BH95" s="34" t="n"/>
      <c r="BI95" s="34" t="n"/>
      <c r="BJ95" s="34" t="n"/>
      <c r="BK95" s="34" t="n"/>
      <c r="BL95" s="34" t="n"/>
      <c r="BM95" s="34" t="n"/>
      <c r="BN95" s="34" t="n"/>
      <c r="BO95" s="34" t="n"/>
      <c r="BP95" s="34" t="n"/>
      <c r="BQ95" s="34" t="n"/>
      <c r="BR95" s="34" t="n"/>
      <c r="BS95" s="34" t="n"/>
      <c r="BT95" s="34" t="n"/>
      <c r="BU95" s="34" t="n"/>
      <c r="BV95" s="34" t="n"/>
      <c r="BW95" s="34" t="n"/>
      <c r="BX95" s="34" t="n"/>
      <c r="BY95" s="35" t="n"/>
      <c r="BZ95" s="35" t="n"/>
      <c r="CA95" s="268" t="n">
        <v>0</v>
      </c>
      <c r="CB95" s="269">
        <f>MAX(0,CHOOSE(MATCH($CF$2,{"Bull","Base","Bear"},0),$CO$98,$CP$98,$CQ$98))</f>
        <v>200</v>
      </c>
      <c r="CC95" s="269">
        <f>MAX(0,CHOOSE(MATCH($CF$2,{"Bull","Base","Bear"},0),$CO$99,$CP$99,$CQ$99))</f>
        <v>200</v>
      </c>
      <c r="CD95" s="269">
        <f>MAX(0,CHOOSE(MATCH($CF$2,{"Bull","Base","Bear"},0),$CO$100,$CP$100,$CQ$100))</f>
        <v>200</v>
      </c>
      <c r="CE95" s="269">
        <f>MAX(0,CHOOSE(MATCH($CF$2,{"Bull","Base","Bear"},0),$CO$101,$CP$101,$CQ$101))</f>
        <v>200</v>
      </c>
      <c r="CF95" s="19" t="inlineStr">
        <is>
          <t>Scenario lever M&amp;A_spend (Base $200m p.a. of MA bolt-ons). Funded from cash / commercial paper (debt schedule).</t>
        </is>
      </c>
      <c r="CN95" s="25" t="inlineStr">
        <is>
          <t xml:space="preserve">  2029E</t>
        </is>
      </c>
      <c r="CO95" s="33">
        <f>CP95+$CO$92</f>
        <v>0.385</v>
      </c>
      <c r="CP95" s="42" t="n">
        <v>0.375</v>
      </c>
      <c r="CQ95" s="33">
        <f>CP95+$CQ$92</f>
        <v>0.355</v>
      </c>
    </row>
    <row r="96" ht="15" customHeight="1" s="251">
      <c r="B96" s="25" t="inlineStr">
        <is>
          <t xml:space="preserve">  Purchase multiple — EV / sales (x)</t>
        </is>
      </c>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c r="AA96" s="36" t="n"/>
      <c r="AB96" s="36" t="n"/>
      <c r="AC96" s="36" t="n"/>
      <c r="AD96" s="36" t="n"/>
      <c r="AE96" s="36" t="n"/>
      <c r="AF96" s="36" t="n"/>
      <c r="AG96" s="36" t="n"/>
      <c r="AH96" s="36" t="n"/>
      <c r="AI96" s="36" t="n"/>
      <c r="AJ96" s="36" t="n"/>
      <c r="AK96" s="36" t="n"/>
      <c r="AL96" s="36" t="n"/>
      <c r="AM96" s="36" t="n"/>
      <c r="AN96" s="36" t="n"/>
      <c r="AO96" s="36" t="n"/>
      <c r="AP96" s="36" t="n"/>
      <c r="AQ96" s="36" t="n"/>
      <c r="AR96" s="36" t="n"/>
      <c r="AS96" s="36" t="n"/>
      <c r="AT96" s="36" t="n"/>
      <c r="AU96" s="36" t="n"/>
      <c r="AV96" s="36" t="n"/>
      <c r="AW96" s="36" t="n"/>
      <c r="AX96" s="36" t="n"/>
      <c r="AY96" s="36" t="n"/>
      <c r="AZ96" s="36" t="n"/>
      <c r="BA96" s="36" t="n"/>
      <c r="BB96" s="36" t="n"/>
      <c r="BC96" s="36" t="n"/>
      <c r="BD96" s="36" t="n"/>
      <c r="BE96" s="36" t="n"/>
      <c r="BF96" s="36" t="n"/>
      <c r="BG96" s="36" t="n"/>
      <c r="BH96" s="36" t="n"/>
      <c r="BI96" s="36" t="n"/>
      <c r="BJ96" s="36" t="n"/>
      <c r="BK96" s="36" t="n"/>
      <c r="BL96" s="36" t="n"/>
      <c r="BM96" s="36" t="n"/>
      <c r="BN96" s="36" t="n"/>
      <c r="BO96" s="36" t="n"/>
      <c r="BP96" s="36" t="n"/>
      <c r="BQ96" s="36" t="n"/>
      <c r="BR96" s="36" t="n"/>
      <c r="BS96" s="36" t="n"/>
      <c r="BT96" s="36" t="n"/>
      <c r="BU96" s="36" t="n"/>
      <c r="BV96" s="36" t="n"/>
      <c r="BW96" s="36" t="n"/>
      <c r="BX96" s="36" t="n"/>
      <c r="BY96" s="24" t="n"/>
      <c r="BZ96" s="24" t="n"/>
      <c r="CA96" s="270" t="n">
        <v>0</v>
      </c>
      <c r="CB96" s="270" t="n">
        <v>7</v>
      </c>
      <c r="CC96" s="270" t="n">
        <v>7</v>
      </c>
      <c r="CD96" s="270" t="n">
        <v>7</v>
      </c>
      <c r="CE96" s="270" t="n">
        <v>7</v>
      </c>
      <c r="CF96" s="19" t="inlineStr">
        <is>
          <t>Analytics / data bolt-ons: RDC (2020) $702m, RMS (2021) $1,927m on ~$300m revenue (~6–7x); BvD (2017) $3.5bn on ~$280m (~12x). 7.0x input (assumption).</t>
        </is>
      </c>
      <c r="CN96" s="25" t="inlineStr">
        <is>
          <t xml:space="preserve">  2030E</t>
        </is>
      </c>
      <c r="CO96" s="33">
        <f>CP96+$CO$92</f>
        <v>0.395</v>
      </c>
      <c r="CP96" s="42" t="n">
        <v>0.385</v>
      </c>
      <c r="CQ96" s="33">
        <f>CP96+$CQ$92</f>
        <v>0.365</v>
      </c>
    </row>
    <row r="97" ht="15" customHeight="1" s="251">
      <c r="B97" s="25" t="inlineStr">
        <is>
          <t xml:space="preserve">  Annualised revenue acquired in the year</t>
        </is>
      </c>
      <c r="C97" s="34" t="n"/>
      <c r="D97" s="34" t="n"/>
      <c r="E97" s="34" t="n"/>
      <c r="F97" s="34" t="n"/>
      <c r="G97" s="34" t="n"/>
      <c r="H97" s="34" t="n"/>
      <c r="I97" s="34" t="n"/>
      <c r="J97" s="34" t="n"/>
      <c r="K97" s="34" t="n"/>
      <c r="L97" s="34" t="n"/>
      <c r="M97" s="34" t="n"/>
      <c r="N97" s="34" t="n"/>
      <c r="O97" s="34" t="n"/>
      <c r="P97" s="34" t="n"/>
      <c r="Q97" s="34" t="n"/>
      <c r="R97" s="34" t="n"/>
      <c r="S97" s="34" t="n"/>
      <c r="T97" s="34" t="n"/>
      <c r="U97" s="34" t="n"/>
      <c r="V97" s="34" t="n"/>
      <c r="W97" s="34" t="n"/>
      <c r="X97" s="34" t="n"/>
      <c r="Y97" s="34" t="n"/>
      <c r="Z97" s="34" t="n"/>
      <c r="AA97" s="34" t="n"/>
      <c r="AB97" s="34" t="n"/>
      <c r="AC97" s="34" t="n"/>
      <c r="AD97" s="34" t="n"/>
      <c r="AE97" s="34" t="n"/>
      <c r="AF97" s="34" t="n"/>
      <c r="AG97" s="34" t="n"/>
      <c r="AH97" s="34" t="n"/>
      <c r="AI97" s="34" t="n"/>
      <c r="AJ97" s="34" t="n"/>
      <c r="AK97" s="34" t="n"/>
      <c r="AL97" s="34" t="n"/>
      <c r="AM97" s="34" t="n"/>
      <c r="AN97" s="34" t="n"/>
      <c r="AO97" s="34" t="n"/>
      <c r="AP97" s="34" t="n"/>
      <c r="AQ97" s="34" t="n"/>
      <c r="AR97" s="34" t="n"/>
      <c r="AS97" s="34" t="n"/>
      <c r="AT97" s="34" t="n"/>
      <c r="AU97" s="34" t="n"/>
      <c r="AV97" s="34" t="n"/>
      <c r="AW97" s="34" t="n"/>
      <c r="AX97" s="34" t="n"/>
      <c r="AY97" s="34" t="n"/>
      <c r="AZ97" s="34" t="n"/>
      <c r="BA97" s="34" t="n"/>
      <c r="BB97" s="34" t="n"/>
      <c r="BC97" s="34" t="n"/>
      <c r="BD97" s="34" t="n"/>
      <c r="BE97" s="34" t="n"/>
      <c r="BF97" s="34" t="n"/>
      <c r="BG97" s="34" t="n"/>
      <c r="BH97" s="34" t="n"/>
      <c r="BI97" s="34" t="n"/>
      <c r="BJ97" s="34" t="n"/>
      <c r="BK97" s="34" t="n"/>
      <c r="BL97" s="34" t="n"/>
      <c r="BM97" s="34" t="n"/>
      <c r="BN97" s="34" t="n"/>
      <c r="BO97" s="34" t="n"/>
      <c r="BP97" s="34" t="n"/>
      <c r="BQ97" s="34" t="n"/>
      <c r="BR97" s="34" t="n"/>
      <c r="BS97" s="34" t="n"/>
      <c r="BT97" s="34" t="n"/>
      <c r="BU97" s="34" t="n"/>
      <c r="BV97" s="34" t="n"/>
      <c r="BW97" s="34" t="n"/>
      <c r="BX97" s="34" t="n"/>
      <c r="BY97" s="35" t="n"/>
      <c r="BZ97" s="35" t="n"/>
      <c r="CA97" s="268" t="n">
        <v>0</v>
      </c>
      <c r="CB97" s="269">
        <f>IFERROR(CB95/CB96,0)</f>
        <v>28.5714285714286</v>
      </c>
      <c r="CC97" s="269">
        <f>IFERROR(CC95/CC96,0)</f>
        <v>28.5714285714286</v>
      </c>
      <c r="CD97" s="269">
        <f>IFERROR(CD95/CD96,0)</f>
        <v>28.5714285714286</v>
      </c>
      <c r="CE97" s="269">
        <f>IFERROR(CE95/CE96,0)</f>
        <v>28.5714285714286</v>
      </c>
      <c r="CF97" s="19" t="n"/>
      <c r="CN97" s="15" t="inlineStr">
        <is>
          <t>M&amp;A_spend (bolt-on acquisitions, $m)</t>
        </is>
      </c>
      <c r="CO97" s="50" t="n">
        <v>300</v>
      </c>
      <c r="CP97" s="21" t="inlineStr">
        <is>
          <t>Δ →</t>
        </is>
      </c>
      <c r="CQ97" s="50" t="n">
        <v>-200</v>
      </c>
      <c r="CR97" s="13" t="inlineStr">
        <is>
          <t>Bolt-ons 2022–26 (kompany, GCR, Praedicat, Numerated, CAPE Analytics $223m, ICR Chile, Fintellix, MERIS) ran ~$0–250m p.a.; large deals (BvD $3.5bn 2017, RMS $1.9bn 2021) are not modelled. Base $200m p.a. (assumption).</t>
        </is>
      </c>
    </row>
    <row r="98" ht="15" customHeight="1" s="251">
      <c r="B98" s="25" t="inlineStr">
        <is>
          <t xml:space="preserve">  Growth of acquired businesses after acquisition %</t>
        </is>
      </c>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c r="AA98" s="36" t="n"/>
      <c r="AB98" s="36" t="n"/>
      <c r="AC98" s="36" t="n"/>
      <c r="AD98" s="36" t="n"/>
      <c r="AE98" s="36" t="n"/>
      <c r="AF98" s="36" t="n"/>
      <c r="AG98" s="36" t="n"/>
      <c r="AH98" s="36" t="n"/>
      <c r="AI98" s="36" t="n"/>
      <c r="AJ98" s="36" t="n"/>
      <c r="AK98" s="36" t="n"/>
      <c r="AL98" s="36" t="n"/>
      <c r="AM98" s="36" t="n"/>
      <c r="AN98" s="36" t="n"/>
      <c r="AO98" s="36" t="n"/>
      <c r="AP98" s="36" t="n"/>
      <c r="AQ98" s="36" t="n"/>
      <c r="AR98" s="36" t="n"/>
      <c r="AS98" s="36" t="n"/>
      <c r="AT98" s="36" t="n"/>
      <c r="AU98" s="36" t="n"/>
      <c r="AV98" s="36" t="n"/>
      <c r="AW98" s="36" t="n"/>
      <c r="AX98" s="36" t="n"/>
      <c r="AY98" s="36" t="n"/>
      <c r="AZ98" s="36" t="n"/>
      <c r="BA98" s="36" t="n"/>
      <c r="BB98" s="36" t="n"/>
      <c r="BC98" s="36" t="n"/>
      <c r="BD98" s="36" t="n"/>
      <c r="BE98" s="36" t="n"/>
      <c r="BF98" s="36" t="n"/>
      <c r="BG98" s="36" t="n"/>
      <c r="BH98" s="36" t="n"/>
      <c r="BI98" s="36" t="n"/>
      <c r="BJ98" s="36" t="n"/>
      <c r="BK98" s="36" t="n"/>
      <c r="BL98" s="36" t="n"/>
      <c r="BM98" s="36" t="n"/>
      <c r="BN98" s="36" t="n"/>
      <c r="BO98" s="36" t="n"/>
      <c r="BP98" s="36" t="n"/>
      <c r="BQ98" s="36" t="n"/>
      <c r="BR98" s="36" t="n"/>
      <c r="BS98" s="36" t="n"/>
      <c r="BT98" s="36" t="n"/>
      <c r="BU98" s="36" t="n"/>
      <c r="BV98" s="36" t="n"/>
      <c r="BW98" s="36" t="n"/>
      <c r="BX98" s="36" t="n"/>
      <c r="BY98" s="24" t="n"/>
      <c r="BZ98" s="24" t="n"/>
      <c r="CA98" s="271" t="n">
        <v>0</v>
      </c>
      <c r="CB98" s="271" t="n">
        <v>0.06</v>
      </c>
      <c r="CC98" s="271" t="n">
        <v>0.06</v>
      </c>
      <c r="CD98" s="271" t="n">
        <v>0.06</v>
      </c>
      <c r="CE98" s="271" t="n">
        <v>0.06</v>
      </c>
      <c r="CF98" s="19" t="n"/>
      <c r="CN98" s="25" t="inlineStr">
        <is>
          <t xml:space="preserve">  2027E</t>
        </is>
      </c>
      <c r="CO98" s="51">
        <f>MAX(0,CP98+$CO$97)</f>
        <v>500</v>
      </c>
      <c r="CP98" s="26" t="n">
        <v>200</v>
      </c>
      <c r="CQ98" s="51">
        <f>MAX(0,CP98+$CQ$97)</f>
        <v>0</v>
      </c>
    </row>
    <row r="99" ht="15" customHeight="1" s="251">
      <c r="B99" s="25" t="inlineStr">
        <is>
          <t xml:space="preserve">  Run-rate revenue of businesses acquired (year end)</t>
        </is>
      </c>
      <c r="C99" s="34" t="n"/>
      <c r="D99" s="34" t="n"/>
      <c r="E99" s="34" t="n"/>
      <c r="F99" s="34" t="n"/>
      <c r="G99" s="34" t="n"/>
      <c r="H99" s="34" t="n"/>
      <c r="I99" s="34" t="n"/>
      <c r="J99" s="34" t="n"/>
      <c r="K99" s="34" t="n"/>
      <c r="L99" s="34" t="n"/>
      <c r="M99" s="34" t="n"/>
      <c r="N99" s="34" t="n"/>
      <c r="O99" s="34" t="n"/>
      <c r="P99" s="34" t="n"/>
      <c r="Q99" s="34" t="n"/>
      <c r="R99" s="34" t="n"/>
      <c r="S99" s="34" t="n"/>
      <c r="T99" s="34" t="n"/>
      <c r="U99" s="34" t="n"/>
      <c r="V99" s="34" t="n"/>
      <c r="W99" s="34" t="n"/>
      <c r="X99" s="34" t="n"/>
      <c r="Y99" s="34" t="n"/>
      <c r="Z99" s="34" t="n"/>
      <c r="AA99" s="34" t="n"/>
      <c r="AB99" s="34" t="n"/>
      <c r="AC99" s="34" t="n"/>
      <c r="AD99" s="34" t="n"/>
      <c r="AE99" s="34" t="n"/>
      <c r="AF99" s="34" t="n"/>
      <c r="AG99" s="34" t="n"/>
      <c r="AH99" s="34" t="n"/>
      <c r="AI99" s="34" t="n"/>
      <c r="AJ99" s="34" t="n"/>
      <c r="AK99" s="34" t="n"/>
      <c r="AL99" s="34" t="n"/>
      <c r="AM99" s="34" t="n"/>
      <c r="AN99" s="34" t="n"/>
      <c r="AO99" s="34" t="n"/>
      <c r="AP99" s="34" t="n"/>
      <c r="AQ99" s="34" t="n"/>
      <c r="AR99" s="34" t="n"/>
      <c r="AS99" s="34" t="n"/>
      <c r="AT99" s="34" t="n"/>
      <c r="AU99" s="34" t="n"/>
      <c r="AV99" s="34" t="n"/>
      <c r="AW99" s="34" t="n"/>
      <c r="AX99" s="34" t="n"/>
      <c r="AY99" s="34" t="n"/>
      <c r="AZ99" s="34" t="n"/>
      <c r="BA99" s="34" t="n"/>
      <c r="BB99" s="34" t="n"/>
      <c r="BC99" s="34" t="n"/>
      <c r="BD99" s="34" t="n"/>
      <c r="BE99" s="34" t="n"/>
      <c r="BF99" s="34" t="n"/>
      <c r="BG99" s="34" t="n"/>
      <c r="BH99" s="34" t="n"/>
      <c r="BI99" s="34" t="n"/>
      <c r="BJ99" s="34" t="n"/>
      <c r="BK99" s="34" t="n"/>
      <c r="BL99" s="34" t="n"/>
      <c r="BM99" s="34" t="n"/>
      <c r="BN99" s="34" t="n"/>
      <c r="BO99" s="34" t="n"/>
      <c r="BP99" s="34" t="n"/>
      <c r="BQ99" s="34" t="n"/>
      <c r="BR99" s="34" t="n"/>
      <c r="BS99" s="34" t="n"/>
      <c r="BT99" s="34" t="n"/>
      <c r="BU99" s="34" t="n"/>
      <c r="BV99" s="34" t="n"/>
      <c r="BW99" s="34" t="n"/>
      <c r="BX99" s="34" t="n"/>
      <c r="BY99" s="35" t="n"/>
      <c r="BZ99" s="35" t="n"/>
      <c r="CA99" s="268" t="n">
        <v>0</v>
      </c>
      <c r="CB99" s="269">
        <f>CA99*(1+CB98)+CB97</f>
        <v>28.5714285714286</v>
      </c>
      <c r="CC99" s="269">
        <f>CB99*(1+CC98)+CC97</f>
        <v>58.8571428571429</v>
      </c>
      <c r="CD99" s="269">
        <f>CC99*(1+CD98)+CD97</f>
        <v>90.96</v>
      </c>
      <c r="CE99" s="269">
        <f>CD99*(1+CE98)+CE97</f>
        <v>124.989028571429</v>
      </c>
      <c r="CF99" s="19" t="n"/>
      <c r="CN99" s="25" t="inlineStr">
        <is>
          <t xml:space="preserve">  2028E</t>
        </is>
      </c>
      <c r="CO99" s="51">
        <f>MAX(0,CP99+$CO$97)</f>
        <v>500</v>
      </c>
      <c r="CP99" s="26" t="n">
        <v>200</v>
      </c>
      <c r="CQ99" s="51">
        <f>MAX(0,CP99+$CQ$97)</f>
        <v>0</v>
      </c>
    </row>
    <row r="100" ht="15" customHeight="1" s="251">
      <c r="B100" s="16" t="inlineStr">
        <is>
          <t xml:space="preserve">  Revenue from future acquisitions (reported in MA)</t>
        </is>
      </c>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c r="AA100" s="43" t="n"/>
      <c r="AB100" s="43" t="n"/>
      <c r="AC100" s="43" t="n"/>
      <c r="AD100" s="43" t="n"/>
      <c r="AE100" s="43" t="n"/>
      <c r="AF100" s="43" t="n"/>
      <c r="AG100" s="43" t="n"/>
      <c r="AH100" s="43" t="n"/>
      <c r="AI100" s="43" t="n"/>
      <c r="AJ100" s="43" t="n"/>
      <c r="AK100" s="43" t="n"/>
      <c r="AL100" s="43" t="n"/>
      <c r="AM100" s="43" t="n"/>
      <c r="AN100" s="43" t="n"/>
      <c r="AO100" s="43" t="n"/>
      <c r="AP100" s="43" t="n"/>
      <c r="AQ100" s="43" t="n"/>
      <c r="AR100" s="43" t="n"/>
      <c r="AS100" s="43" t="n"/>
      <c r="AT100" s="43" t="n"/>
      <c r="AU100" s="43" t="n"/>
      <c r="AV100" s="43" t="n"/>
      <c r="AW100" s="43" t="n"/>
      <c r="AX100" s="43" t="n"/>
      <c r="AY100" s="43" t="n"/>
      <c r="AZ100" s="43" t="n"/>
      <c r="BA100" s="43" t="n"/>
      <c r="BB100" s="43" t="n"/>
      <c r="BC100" s="43" t="n"/>
      <c r="BD100" s="43" t="n"/>
      <c r="BE100" s="43" t="n"/>
      <c r="BF100" s="43" t="n"/>
      <c r="BG100" s="43" t="n"/>
      <c r="BH100" s="43" t="n"/>
      <c r="BI100" s="43" t="n"/>
      <c r="BJ100" s="43" t="n"/>
      <c r="BK100" s="43" t="n"/>
      <c r="BL100" s="43" t="n"/>
      <c r="BM100" s="43" t="n"/>
      <c r="BN100" s="43" t="n"/>
      <c r="BO100" s="43" t="n"/>
      <c r="BP100" s="43" t="n"/>
      <c r="BQ100" s="43" t="n"/>
      <c r="BR100" s="43" t="n"/>
      <c r="BS100" s="43" t="n"/>
      <c r="BT100" s="43" t="n"/>
      <c r="BU100" s="43" t="n"/>
      <c r="BV100" s="43" t="n"/>
      <c r="BW100" s="43" t="n"/>
      <c r="BX100" s="43" t="n"/>
      <c r="BY100" s="32" t="n"/>
      <c r="BZ100" s="32" t="n"/>
      <c r="CA100" s="272" t="n">
        <v>0</v>
      </c>
      <c r="CB100" s="273">
        <f>CA99*(1+CB98)+0.5*CB97</f>
        <v>14.2857142857143</v>
      </c>
      <c r="CC100" s="273">
        <f>CB99*(1+CC98)+0.5*CC97</f>
        <v>44.5714285714286</v>
      </c>
      <c r="CD100" s="273">
        <f>CC99*(1+CD98)+0.5*CD97</f>
        <v>76.6742857142857</v>
      </c>
      <c r="CE100" s="273">
        <f>CD99*(1+CE98)+0.5*CE97</f>
        <v>110.703314285714</v>
      </c>
      <c r="CF100" s="153" t="inlineStr">
        <is>
          <t>Mid-year convention.</t>
        </is>
      </c>
      <c r="CN100" s="25" t="inlineStr">
        <is>
          <t xml:space="preserve">  2029E</t>
        </is>
      </c>
      <c r="CO100" s="51">
        <f>MAX(0,CP100+$CO$97)</f>
        <v>500</v>
      </c>
      <c r="CP100" s="26" t="n">
        <v>200</v>
      </c>
      <c r="CQ100" s="51">
        <f>MAX(0,CP100+$CQ$97)</f>
        <v>0</v>
      </c>
    </row>
    <row r="101" ht="15" customHeight="1" s="251">
      <c r="B101" s="25" t="inlineStr">
        <is>
          <t xml:space="preserve">  Adjusted operating margin of acquired businesses %</t>
        </is>
      </c>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c r="AA101" s="36" t="n"/>
      <c r="AB101" s="36" t="n"/>
      <c r="AC101" s="36" t="n"/>
      <c r="AD101" s="36" t="n"/>
      <c r="AE101" s="36" t="n"/>
      <c r="AF101" s="36" t="n"/>
      <c r="AG101" s="36" t="n"/>
      <c r="AH101" s="36" t="n"/>
      <c r="AI101" s="36" t="n"/>
      <c r="AJ101" s="36" t="n"/>
      <c r="AK101" s="36" t="n"/>
      <c r="AL101" s="36" t="n"/>
      <c r="AM101" s="36" t="n"/>
      <c r="AN101" s="36" t="n"/>
      <c r="AO101" s="36" t="n"/>
      <c r="AP101" s="36" t="n"/>
      <c r="AQ101" s="36" t="n"/>
      <c r="AR101" s="36" t="n"/>
      <c r="AS101" s="36" t="n"/>
      <c r="AT101" s="36" t="n"/>
      <c r="AU101" s="36" t="n"/>
      <c r="AV101" s="36" t="n"/>
      <c r="AW101" s="36" t="n"/>
      <c r="AX101" s="36" t="n"/>
      <c r="AY101" s="36" t="n"/>
      <c r="AZ101" s="36" t="n"/>
      <c r="BA101" s="36" t="n"/>
      <c r="BB101" s="36" t="n"/>
      <c r="BC101" s="36" t="n"/>
      <c r="BD101" s="36" t="n"/>
      <c r="BE101" s="36" t="n"/>
      <c r="BF101" s="36" t="n"/>
      <c r="BG101" s="36" t="n"/>
      <c r="BH101" s="36" t="n"/>
      <c r="BI101" s="36" t="n"/>
      <c r="BJ101" s="36" t="n"/>
      <c r="BK101" s="36" t="n"/>
      <c r="BL101" s="36" t="n"/>
      <c r="BM101" s="36" t="n"/>
      <c r="BN101" s="36" t="n"/>
      <c r="BO101" s="36" t="n"/>
      <c r="BP101" s="36" t="n"/>
      <c r="BQ101" s="36" t="n"/>
      <c r="BR101" s="36" t="n"/>
      <c r="BS101" s="36" t="n"/>
      <c r="BT101" s="36" t="n"/>
      <c r="BU101" s="36" t="n"/>
      <c r="BV101" s="36" t="n"/>
      <c r="BW101" s="36" t="n"/>
      <c r="BX101" s="36" t="n"/>
      <c r="BY101" s="24" t="n"/>
      <c r="BZ101" s="24" t="n"/>
      <c r="CA101" s="271" t="n">
        <v>0</v>
      </c>
      <c r="CB101" s="271" t="n">
        <v>0.25</v>
      </c>
      <c r="CC101" s="271" t="n">
        <v>0.25</v>
      </c>
      <c r="CD101" s="271" t="n">
        <v>0.25</v>
      </c>
      <c r="CE101" s="271" t="n">
        <v>0.25</v>
      </c>
      <c r="CF101" s="19" t="n"/>
      <c r="CN101" s="25" t="inlineStr">
        <is>
          <t xml:space="preserve">  2030E</t>
        </is>
      </c>
      <c r="CO101" s="51">
        <f>MAX(0,CP101+$CO$97)</f>
        <v>500</v>
      </c>
      <c r="CP101" s="26" t="n">
        <v>200</v>
      </c>
      <c r="CQ101" s="51">
        <f>MAX(0,CP101+$CQ$97)</f>
        <v>0</v>
      </c>
    </row>
    <row r="102" ht="15" customHeight="1" s="251">
      <c r="B102" s="25" t="inlineStr">
        <is>
          <t xml:space="preserve">  Adjusted Operating Income from future acquisitions</t>
        </is>
      </c>
      <c r="C102" s="34" t="n"/>
      <c r="D102" s="34" t="n"/>
      <c r="E102" s="34" t="n"/>
      <c r="F102" s="34" t="n"/>
      <c r="G102" s="34" t="n"/>
      <c r="H102" s="34" t="n"/>
      <c r="I102" s="34" t="n"/>
      <c r="J102" s="34" t="n"/>
      <c r="K102" s="34" t="n"/>
      <c r="L102" s="34" t="n"/>
      <c r="M102" s="34" t="n"/>
      <c r="N102" s="34" t="n"/>
      <c r="O102" s="34" t="n"/>
      <c r="P102" s="34" t="n"/>
      <c r="Q102" s="34" t="n"/>
      <c r="R102" s="34" t="n"/>
      <c r="S102" s="34" t="n"/>
      <c r="T102" s="34" t="n"/>
      <c r="U102" s="34" t="n"/>
      <c r="V102" s="34" t="n"/>
      <c r="W102" s="34" t="n"/>
      <c r="X102" s="34" t="n"/>
      <c r="Y102" s="34" t="n"/>
      <c r="Z102" s="34" t="n"/>
      <c r="AA102" s="34" t="n"/>
      <c r="AB102" s="34" t="n"/>
      <c r="AC102" s="34" t="n"/>
      <c r="AD102" s="34" t="n"/>
      <c r="AE102" s="34" t="n"/>
      <c r="AF102" s="34" t="n"/>
      <c r="AG102" s="34" t="n"/>
      <c r="AH102" s="34" t="n"/>
      <c r="AI102" s="34" t="n"/>
      <c r="AJ102" s="34" t="n"/>
      <c r="AK102" s="34" t="n"/>
      <c r="AL102" s="34" t="n"/>
      <c r="AM102" s="34" t="n"/>
      <c r="AN102" s="34" t="n"/>
      <c r="AO102" s="34" t="n"/>
      <c r="AP102" s="34" t="n"/>
      <c r="AQ102" s="34" t="n"/>
      <c r="AR102" s="34" t="n"/>
      <c r="AS102" s="34" t="n"/>
      <c r="AT102" s="34" t="n"/>
      <c r="AU102" s="34" t="n"/>
      <c r="AV102" s="34" t="n"/>
      <c r="AW102" s="34" t="n"/>
      <c r="AX102" s="34" t="n"/>
      <c r="AY102" s="34" t="n"/>
      <c r="AZ102" s="34" t="n"/>
      <c r="BA102" s="34" t="n"/>
      <c r="BB102" s="34" t="n"/>
      <c r="BC102" s="34" t="n"/>
      <c r="BD102" s="34" t="n"/>
      <c r="BE102" s="34" t="n"/>
      <c r="BF102" s="34" t="n"/>
      <c r="BG102" s="34" t="n"/>
      <c r="BH102" s="34" t="n"/>
      <c r="BI102" s="34" t="n"/>
      <c r="BJ102" s="34" t="n"/>
      <c r="BK102" s="34" t="n"/>
      <c r="BL102" s="34" t="n"/>
      <c r="BM102" s="34" t="n"/>
      <c r="BN102" s="34" t="n"/>
      <c r="BO102" s="34" t="n"/>
      <c r="BP102" s="34" t="n"/>
      <c r="BQ102" s="34" t="n"/>
      <c r="BR102" s="34" t="n"/>
      <c r="BS102" s="34" t="n"/>
      <c r="BT102" s="34" t="n"/>
      <c r="BU102" s="34" t="n"/>
      <c r="BV102" s="34" t="n"/>
      <c r="BW102" s="34" t="n"/>
      <c r="BX102" s="34" t="n"/>
      <c r="BY102" s="35" t="n"/>
      <c r="BZ102" s="35" t="n"/>
      <c r="CA102" s="268" t="n">
        <v>0</v>
      </c>
      <c r="CB102" s="269">
        <f>CB100*CB101</f>
        <v>3.57142857142857</v>
      </c>
      <c r="CC102" s="269">
        <f>CC100*CC101</f>
        <v>11.1428571428571</v>
      </c>
      <c r="CD102" s="269">
        <f>CD100*CD101</f>
        <v>19.1685714285714</v>
      </c>
      <c r="CE102" s="269">
        <f>CE100*CE101</f>
        <v>27.6758285714286</v>
      </c>
      <c r="CF102" s="19" t="n"/>
    </row>
    <row r="103" ht="15" customHeight="1" s="251">
      <c r="B103" s="25" t="inlineStr">
        <is>
          <t xml:space="preserve">  PP&amp;E % of spend</t>
        </is>
      </c>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c r="AA103" s="36" t="n"/>
      <c r="AB103" s="36" t="n"/>
      <c r="AC103" s="36" t="n"/>
      <c r="AD103" s="36" t="n"/>
      <c r="AE103" s="36" t="n"/>
      <c r="AF103" s="36" t="n"/>
      <c r="AG103" s="36" t="n"/>
      <c r="AH103" s="36" t="n"/>
      <c r="AI103" s="36" t="n"/>
      <c r="AJ103" s="36" t="n"/>
      <c r="AK103" s="36" t="n"/>
      <c r="AL103" s="36" t="n"/>
      <c r="AM103" s="36" t="n"/>
      <c r="AN103" s="36" t="n"/>
      <c r="AO103" s="36" t="n"/>
      <c r="AP103" s="36" t="n"/>
      <c r="AQ103" s="36" t="n"/>
      <c r="AR103" s="36" t="n"/>
      <c r="AS103" s="36" t="n"/>
      <c r="AT103" s="36" t="n"/>
      <c r="AU103" s="36" t="n"/>
      <c r="AV103" s="36" t="n"/>
      <c r="AW103" s="36" t="n"/>
      <c r="AX103" s="36" t="n"/>
      <c r="AY103" s="36" t="n"/>
      <c r="AZ103" s="36" t="n"/>
      <c r="BA103" s="36" t="n"/>
      <c r="BB103" s="36" t="n"/>
      <c r="BC103" s="36" t="n"/>
      <c r="BD103" s="36" t="n"/>
      <c r="BE103" s="36" t="n"/>
      <c r="BF103" s="36" t="n"/>
      <c r="BG103" s="36" t="n"/>
      <c r="BH103" s="36" t="n"/>
      <c r="BI103" s="36" t="n"/>
      <c r="BJ103" s="36" t="n"/>
      <c r="BK103" s="36" t="n"/>
      <c r="BL103" s="36" t="n"/>
      <c r="BM103" s="36" t="n"/>
      <c r="BN103" s="36" t="n"/>
      <c r="BO103" s="36" t="n"/>
      <c r="BP103" s="36" t="n"/>
      <c r="BQ103" s="36" t="n"/>
      <c r="BR103" s="36" t="n"/>
      <c r="BS103" s="36" t="n"/>
      <c r="BT103" s="36" t="n"/>
      <c r="BU103" s="36" t="n"/>
      <c r="BV103" s="36" t="n"/>
      <c r="BW103" s="36" t="n"/>
      <c r="BX103" s="36" t="n"/>
      <c r="BY103" s="24" t="n"/>
      <c r="BZ103" s="24" t="n"/>
      <c r="CA103" s="271" t="n">
        <v>0</v>
      </c>
      <c r="CB103" s="271" t="n">
        <v>0.02</v>
      </c>
      <c r="CC103" s="271" t="n">
        <v>0.02</v>
      </c>
      <c r="CD103" s="271" t="n">
        <v>0.02</v>
      </c>
      <c r="CE103" s="271" t="n">
        <v>0.02</v>
      </c>
      <c r="CF103" s="19" t="n"/>
    </row>
    <row r="104" ht="15" customHeight="1" s="251">
      <c r="B104" s="25" t="inlineStr">
        <is>
          <t xml:space="preserve">  Acquired intangibles % of spend</t>
        </is>
      </c>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c r="AA104" s="36" t="n"/>
      <c r="AB104" s="36" t="n"/>
      <c r="AC104" s="36" t="n"/>
      <c r="AD104" s="36" t="n"/>
      <c r="AE104" s="36" t="n"/>
      <c r="AF104" s="36" t="n"/>
      <c r="AG104" s="36" t="n"/>
      <c r="AH104" s="36" t="n"/>
      <c r="AI104" s="36" t="n"/>
      <c r="AJ104" s="36" t="n"/>
      <c r="AK104" s="36" t="n"/>
      <c r="AL104" s="36" t="n"/>
      <c r="AM104" s="36" t="n"/>
      <c r="AN104" s="36" t="n"/>
      <c r="AO104" s="36" t="n"/>
      <c r="AP104" s="36" t="n"/>
      <c r="AQ104" s="36" t="n"/>
      <c r="AR104" s="36" t="n"/>
      <c r="AS104" s="36" t="n"/>
      <c r="AT104" s="36" t="n"/>
      <c r="AU104" s="36" t="n"/>
      <c r="AV104" s="36" t="n"/>
      <c r="AW104" s="36" t="n"/>
      <c r="AX104" s="36" t="n"/>
      <c r="AY104" s="36" t="n"/>
      <c r="AZ104" s="36" t="n"/>
      <c r="BA104" s="36" t="n"/>
      <c r="BB104" s="36" t="n"/>
      <c r="BC104" s="36" t="n"/>
      <c r="BD104" s="36" t="n"/>
      <c r="BE104" s="36" t="n"/>
      <c r="BF104" s="36" t="n"/>
      <c r="BG104" s="36" t="n"/>
      <c r="BH104" s="36" t="n"/>
      <c r="BI104" s="36" t="n"/>
      <c r="BJ104" s="36" t="n"/>
      <c r="BK104" s="36" t="n"/>
      <c r="BL104" s="36" t="n"/>
      <c r="BM104" s="36" t="n"/>
      <c r="BN104" s="36" t="n"/>
      <c r="BO104" s="36" t="n"/>
      <c r="BP104" s="36" t="n"/>
      <c r="BQ104" s="36" t="n"/>
      <c r="BR104" s="36" t="n"/>
      <c r="BS104" s="36" t="n"/>
      <c r="BT104" s="36" t="n"/>
      <c r="BU104" s="36" t="n"/>
      <c r="BV104" s="36" t="n"/>
      <c r="BW104" s="36" t="n"/>
      <c r="BX104" s="36" t="n"/>
      <c r="BY104" s="24" t="n"/>
      <c r="BZ104" s="24" t="n"/>
      <c r="CA104" s="271" t="n">
        <v>0</v>
      </c>
      <c r="CB104" s="271" t="n">
        <v>0.4</v>
      </c>
      <c r="CC104" s="271" t="n">
        <v>0.4</v>
      </c>
      <c r="CD104" s="271" t="n">
        <v>0.4</v>
      </c>
      <c r="CE104" s="271" t="n">
        <v>0.4</v>
      </c>
      <c r="CF104" s="19" t="inlineStr">
        <is>
          <t>PPAs: BvD 38% of consideration in intangibles, RMS 40%, RDC 40%, Reis 37%, Cortera 41%, PassFort 15%.</t>
        </is>
      </c>
    </row>
    <row r="105" ht="15" customHeight="1" s="251">
      <c r="B105" s="25" t="inlineStr">
        <is>
          <t xml:space="preserve">  Intangible amortization life (years)</t>
        </is>
      </c>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c r="AA105" s="36" t="n"/>
      <c r="AB105" s="36" t="n"/>
      <c r="AC105" s="36" t="n"/>
      <c r="AD105" s="36" t="n"/>
      <c r="AE105" s="36" t="n"/>
      <c r="AF105" s="36" t="n"/>
      <c r="AG105" s="36" t="n"/>
      <c r="AH105" s="36" t="n"/>
      <c r="AI105" s="36" t="n"/>
      <c r="AJ105" s="36" t="n"/>
      <c r="AK105" s="36" t="n"/>
      <c r="AL105" s="36" t="n"/>
      <c r="AM105" s="36" t="n"/>
      <c r="AN105" s="36" t="n"/>
      <c r="AO105" s="36" t="n"/>
      <c r="AP105" s="36" t="n"/>
      <c r="AQ105" s="36" t="n"/>
      <c r="AR105" s="36" t="n"/>
      <c r="AS105" s="36" t="n"/>
      <c r="AT105" s="36" t="n"/>
      <c r="AU105" s="36" t="n"/>
      <c r="AV105" s="36" t="n"/>
      <c r="AW105" s="36" t="n"/>
      <c r="AX105" s="36" t="n"/>
      <c r="AY105" s="36" t="n"/>
      <c r="AZ105" s="36" t="n"/>
      <c r="BA105" s="36" t="n"/>
      <c r="BB105" s="36" t="n"/>
      <c r="BC105" s="36" t="n"/>
      <c r="BD105" s="36" t="n"/>
      <c r="BE105" s="36" t="n"/>
      <c r="BF105" s="36" t="n"/>
      <c r="BG105" s="36" t="n"/>
      <c r="BH105" s="36" t="n"/>
      <c r="BI105" s="36" t="n"/>
      <c r="BJ105" s="36" t="n"/>
      <c r="BK105" s="36" t="n"/>
      <c r="BL105" s="36" t="n"/>
      <c r="BM105" s="36" t="n"/>
      <c r="BN105" s="36" t="n"/>
      <c r="BO105" s="36" t="n"/>
      <c r="BP105" s="36" t="n"/>
      <c r="BQ105" s="36" t="n"/>
      <c r="BR105" s="36" t="n"/>
      <c r="BS105" s="36" t="n"/>
      <c r="BT105" s="36" t="n"/>
      <c r="BU105" s="36" t="n"/>
      <c r="BV105" s="36" t="n"/>
      <c r="BW105" s="36" t="n"/>
      <c r="BX105" s="36" t="n"/>
      <c r="BY105" s="24" t="n"/>
      <c r="BZ105" s="24" t="n"/>
      <c r="CA105" s="274" t="n">
        <v>0</v>
      </c>
      <c r="CB105" s="274" t="n">
        <v>15</v>
      </c>
      <c r="CC105" s="274" t="n">
        <v>15</v>
      </c>
      <c r="CD105" s="274" t="n">
        <v>15</v>
      </c>
      <c r="CE105" s="274" t="n">
        <v>15</v>
      </c>
      <c r="CF105" s="19" t="n"/>
    </row>
    <row r="106" ht="15" customHeight="1" s="251">
      <c r="B106" s="25" t="inlineStr">
        <is>
          <t xml:space="preserve">  Cumulative acquired intangibles (gross)</t>
        </is>
      </c>
      <c r="C106" s="34" t="n"/>
      <c r="D106" s="34" t="n"/>
      <c r="E106" s="34" t="n"/>
      <c r="F106" s="34" t="n"/>
      <c r="G106" s="34" t="n"/>
      <c r="H106" s="34" t="n"/>
      <c r="I106" s="34" t="n"/>
      <c r="J106" s="34" t="n"/>
      <c r="K106" s="34" t="n"/>
      <c r="L106" s="34" t="n"/>
      <c r="M106" s="34" t="n"/>
      <c r="N106" s="34" t="n"/>
      <c r="O106" s="34" t="n"/>
      <c r="P106" s="34" t="n"/>
      <c r="Q106" s="34" t="n"/>
      <c r="R106" s="34" t="n"/>
      <c r="S106" s="34" t="n"/>
      <c r="T106" s="34" t="n"/>
      <c r="U106" s="34" t="n"/>
      <c r="V106" s="34" t="n"/>
      <c r="W106" s="34" t="n"/>
      <c r="X106" s="34" t="n"/>
      <c r="Y106" s="34" t="n"/>
      <c r="Z106" s="34" t="n"/>
      <c r="AA106" s="34" t="n"/>
      <c r="AB106" s="34" t="n"/>
      <c r="AC106" s="34" t="n"/>
      <c r="AD106" s="34" t="n"/>
      <c r="AE106" s="34" t="n"/>
      <c r="AF106" s="34" t="n"/>
      <c r="AG106" s="34" t="n"/>
      <c r="AH106" s="34" t="n"/>
      <c r="AI106" s="34" t="n"/>
      <c r="AJ106" s="34" t="n"/>
      <c r="AK106" s="34" t="n"/>
      <c r="AL106" s="34" t="n"/>
      <c r="AM106" s="34" t="n"/>
      <c r="AN106" s="34" t="n"/>
      <c r="AO106" s="34" t="n"/>
      <c r="AP106" s="34" t="n"/>
      <c r="AQ106" s="34" t="n"/>
      <c r="AR106" s="34" t="n"/>
      <c r="AS106" s="34" t="n"/>
      <c r="AT106" s="34" t="n"/>
      <c r="AU106" s="34" t="n"/>
      <c r="AV106" s="34" t="n"/>
      <c r="AW106" s="34" t="n"/>
      <c r="AX106" s="34" t="n"/>
      <c r="AY106" s="34" t="n"/>
      <c r="AZ106" s="34" t="n"/>
      <c r="BA106" s="34" t="n"/>
      <c r="BB106" s="34" t="n"/>
      <c r="BC106" s="34" t="n"/>
      <c r="BD106" s="34" t="n"/>
      <c r="BE106" s="34" t="n"/>
      <c r="BF106" s="34" t="n"/>
      <c r="BG106" s="34" t="n"/>
      <c r="BH106" s="34" t="n"/>
      <c r="BI106" s="34" t="n"/>
      <c r="BJ106" s="34" t="n"/>
      <c r="BK106" s="34" t="n"/>
      <c r="BL106" s="34" t="n"/>
      <c r="BM106" s="34" t="n"/>
      <c r="BN106" s="34" t="n"/>
      <c r="BO106" s="34" t="n"/>
      <c r="BP106" s="34" t="n"/>
      <c r="BQ106" s="34" t="n"/>
      <c r="BR106" s="34" t="n"/>
      <c r="BS106" s="34" t="n"/>
      <c r="BT106" s="34" t="n"/>
      <c r="BU106" s="34" t="n"/>
      <c r="BV106" s="34" t="n"/>
      <c r="BW106" s="34" t="n"/>
      <c r="BX106" s="34" t="n"/>
      <c r="BY106" s="35" t="n"/>
      <c r="BZ106" s="35" t="n"/>
      <c r="CA106" s="268" t="n">
        <v>0</v>
      </c>
      <c r="CB106" s="269">
        <f>CA106+CB95*CB104</f>
        <v>80</v>
      </c>
      <c r="CC106" s="269">
        <f>CB106+CC95*CC104</f>
        <v>160</v>
      </c>
      <c r="CD106" s="269">
        <f>CC106+CD95*CD104</f>
        <v>240</v>
      </c>
      <c r="CE106" s="269">
        <f>CD106+CE95*CE104</f>
        <v>320</v>
      </c>
      <c r="CF106" s="19" t="n"/>
    </row>
    <row r="107" ht="15" customHeight="1" s="251">
      <c r="B107" s="25" t="inlineStr">
        <is>
          <t xml:space="preserve">  Amortization of future-acquisition intangibles (in D&amp;A; adjusted out of adjusted EPS)</t>
        </is>
      </c>
      <c r="C107" s="34" t="n"/>
      <c r="D107" s="34" t="n"/>
      <c r="E107" s="34" t="n"/>
      <c r="F107" s="34" t="n"/>
      <c r="G107" s="34" t="n"/>
      <c r="H107" s="34" t="n"/>
      <c r="I107" s="34" t="n"/>
      <c r="J107" s="34" t="n"/>
      <c r="K107" s="34" t="n"/>
      <c r="L107" s="34" t="n"/>
      <c r="M107" s="34" t="n"/>
      <c r="N107" s="34" t="n"/>
      <c r="O107" s="34" t="n"/>
      <c r="P107" s="34" t="n"/>
      <c r="Q107" s="34" t="n"/>
      <c r="R107" s="34" t="n"/>
      <c r="S107" s="34" t="n"/>
      <c r="T107" s="34" t="n"/>
      <c r="U107" s="34" t="n"/>
      <c r="V107" s="34" t="n"/>
      <c r="W107" s="34" t="n"/>
      <c r="X107" s="34" t="n"/>
      <c r="Y107" s="34" t="n"/>
      <c r="Z107" s="34" t="n"/>
      <c r="AA107" s="34" t="n"/>
      <c r="AB107" s="34" t="n"/>
      <c r="AC107" s="34" t="n"/>
      <c r="AD107" s="34" t="n"/>
      <c r="AE107" s="34" t="n"/>
      <c r="AF107" s="34" t="n"/>
      <c r="AG107" s="34" t="n"/>
      <c r="AH107" s="34" t="n"/>
      <c r="AI107" s="34" t="n"/>
      <c r="AJ107" s="34" t="n"/>
      <c r="AK107" s="34" t="n"/>
      <c r="AL107" s="34" t="n"/>
      <c r="AM107" s="34" t="n"/>
      <c r="AN107" s="34" t="n"/>
      <c r="AO107" s="34" t="n"/>
      <c r="AP107" s="34" t="n"/>
      <c r="AQ107" s="34" t="n"/>
      <c r="AR107" s="34" t="n"/>
      <c r="AS107" s="34" t="n"/>
      <c r="AT107" s="34" t="n"/>
      <c r="AU107" s="34" t="n"/>
      <c r="AV107" s="34" t="n"/>
      <c r="AW107" s="34" t="n"/>
      <c r="AX107" s="34" t="n"/>
      <c r="AY107" s="34" t="n"/>
      <c r="AZ107" s="34" t="n"/>
      <c r="BA107" s="34" t="n"/>
      <c r="BB107" s="34" t="n"/>
      <c r="BC107" s="34" t="n"/>
      <c r="BD107" s="34" t="n"/>
      <c r="BE107" s="34" t="n"/>
      <c r="BF107" s="34" t="n"/>
      <c r="BG107" s="34" t="n"/>
      <c r="BH107" s="34" t="n"/>
      <c r="BI107" s="34" t="n"/>
      <c r="BJ107" s="34" t="n"/>
      <c r="BK107" s="34" t="n"/>
      <c r="BL107" s="34" t="n"/>
      <c r="BM107" s="34" t="n"/>
      <c r="BN107" s="34" t="n"/>
      <c r="BO107" s="34" t="n"/>
      <c r="BP107" s="34" t="n"/>
      <c r="BQ107" s="34" t="n"/>
      <c r="BR107" s="34" t="n"/>
      <c r="BS107" s="34" t="n"/>
      <c r="BT107" s="34" t="n"/>
      <c r="BU107" s="34" t="n"/>
      <c r="BV107" s="34" t="n"/>
      <c r="BW107" s="34" t="n"/>
      <c r="BX107" s="34" t="n"/>
      <c r="BY107" s="35" t="n"/>
      <c r="BZ107" s="35" t="n"/>
      <c r="CA107" s="268" t="n">
        <v>0</v>
      </c>
      <c r="CB107" s="269">
        <f>IFERROR((CA106+0.5*CB95*CB104)/CB105,0)</f>
        <v>2.66666666666667</v>
      </c>
      <c r="CC107" s="269">
        <f>IFERROR((CB106+0.5*CC95*CC104)/CC105,0)</f>
        <v>8</v>
      </c>
      <c r="CD107" s="269">
        <f>IFERROR((CC106+0.5*CD95*CD104)/CD105,0)</f>
        <v>13.3333333333333</v>
      </c>
      <c r="CE107" s="269">
        <f>IFERROR((CD106+0.5*CE95*CE104)/CE105,0)</f>
        <v>18.6666666666667</v>
      </c>
      <c r="CF107" s="19" t="n"/>
    </row>
    <row r="108" ht="15" customHeight="1" s="251">
      <c r="CN108" s="11" t="n"/>
      <c r="CO108" s="12" t="n"/>
      <c r="CP108" s="12" t="n"/>
      <c r="CQ108" s="12" t="n"/>
      <c r="CR108" s="13" t="n"/>
    </row>
    <row r="109" ht="15" customHeight="1" s="251">
      <c r="B109" s="14" t="inlineStr">
        <is>
          <t>Group Total — revenue &amp; Adjusted Operating Income (segment build) → FY26 guidance calibration</t>
        </is>
      </c>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c r="AA109" s="14" t="n"/>
      <c r="AB109" s="14" t="n"/>
      <c r="AC109" s="14" t="n"/>
      <c r="AD109" s="14" t="n"/>
      <c r="AE109" s="14" t="n"/>
      <c r="AF109" s="14" t="n"/>
      <c r="AG109" s="14" t="n"/>
      <c r="AH109" s="14" t="n"/>
      <c r="AI109" s="14" t="n"/>
      <c r="AJ109" s="14" t="n"/>
      <c r="AK109" s="14" t="n"/>
      <c r="AL109" s="14" t="n"/>
      <c r="AM109" s="14" t="n"/>
      <c r="AN109" s="14" t="n"/>
      <c r="AO109" s="14" t="n"/>
      <c r="AP109" s="14" t="n"/>
      <c r="AQ109" s="14" t="n"/>
      <c r="AR109" s="14" t="n"/>
      <c r="AS109" s="14" t="n"/>
      <c r="AT109" s="14" t="n"/>
      <c r="AU109" s="14" t="n"/>
      <c r="AV109" s="14" t="n"/>
      <c r="AW109" s="14" t="n"/>
      <c r="AX109" s="14" t="n"/>
      <c r="AY109" s="14" t="n"/>
      <c r="AZ109" s="14" t="n"/>
      <c r="BA109" s="14" t="n"/>
      <c r="BB109" s="14" t="n"/>
      <c r="BC109" s="14" t="n"/>
      <c r="BD109" s="14" t="n"/>
      <c r="BE109" s="14" t="n"/>
      <c r="BF109" s="14" t="n"/>
      <c r="BG109" s="14" t="n"/>
      <c r="BH109" s="14" t="n"/>
      <c r="BI109" s="14" t="n"/>
      <c r="BJ109" s="14" t="n"/>
      <c r="BK109" s="14" t="n"/>
      <c r="BL109" s="14" t="n"/>
      <c r="BM109" s="14" t="n"/>
      <c r="BN109" s="14" t="n"/>
      <c r="BO109" s="14" t="n"/>
      <c r="BP109" s="14" t="n"/>
      <c r="BQ109" s="14" t="n"/>
      <c r="BR109" s="14" t="n"/>
      <c r="BS109" s="14" t="n"/>
      <c r="BT109" s="14" t="n"/>
      <c r="BU109" s="14" t="n"/>
      <c r="BV109" s="14" t="n"/>
      <c r="BW109" s="14" t="n"/>
      <c r="BX109" s="14" t="n"/>
      <c r="BY109" s="14" t="n"/>
      <c r="BZ109" s="14" t="n"/>
      <c r="CA109" s="14" t="n"/>
      <c r="CB109" s="14" t="n"/>
      <c r="CC109" s="14" t="n"/>
      <c r="CD109" s="14" t="n"/>
      <c r="CE109" s="14" t="n"/>
      <c r="CF109" s="15" t="inlineStr">
        <is>
          <t>GROUP TOTAL (CONSOLIDATED) — modelling logic</t>
        </is>
      </c>
    </row>
    <row r="110" ht="15" customHeight="1" s="251">
      <c r="B110" s="55" t="inlineStr">
        <is>
          <t>Revenue (segment build)</t>
        </is>
      </c>
      <c r="C110" s="275">
        <f>IF(AND(ISNUMBER(C27),ISNUMBER(C61)),C27+C61,C163)</f>
        <v>2037.1</v>
      </c>
      <c r="D110" s="275">
        <f>IF(AND(ISNUMBER(D27),ISNUMBER(D61)),D27+D61,D163)</f>
        <v>2259</v>
      </c>
      <c r="E110" s="275">
        <f>IF(AND(ISNUMBER(E27),ISNUMBER(E61)),E27+E61,E163)</f>
        <v>1755.4</v>
      </c>
      <c r="F110" s="275">
        <f>IF(AND(ISNUMBER(F27),ISNUMBER(F61)),F27+F61,F163)</f>
        <v>1797.2</v>
      </c>
      <c r="G110" s="275">
        <f>IF(AND(ISNUMBER(G27),ISNUMBER(G61)),G27+G61,G163)</f>
        <v>2032</v>
      </c>
      <c r="H110" s="275">
        <f>IF(AND(ISNUMBER(H27),ISNUMBER(H61)),H27+H61,H163)</f>
        <v>2280.7</v>
      </c>
      <c r="I110" s="275">
        <f>IF(AND(ISNUMBER(I27),ISNUMBER(I61)),I27+I61,I163)</f>
        <v>2730.3</v>
      </c>
      <c r="J110" s="275">
        <f>IF(AND(ISNUMBER(J27),ISNUMBER(J61)),J27+J61,J163)</f>
        <v>731.8</v>
      </c>
      <c r="K110" s="275">
        <f>IF(AND(ISNUMBER(K27),ISNUMBER(K61)),K27+K61,K163)</f>
        <v>756</v>
      </c>
      <c r="L110" s="275">
        <f>IF(AND(ISNUMBER(L27),ISNUMBER(L61)),L27+L61,L163)</f>
        <v>705.5</v>
      </c>
      <c r="M110" s="275">
        <f>IF(AND(ISNUMBER(M27),ISNUMBER(M61)),M27+M61,M163)</f>
        <v>779.2</v>
      </c>
      <c r="N110" s="275">
        <f>IF(AND(ISNUMBER(N27),ISNUMBER(N61)),N27+N61,N163)</f>
        <v>2972.5</v>
      </c>
      <c r="O110" s="275">
        <f>IF(AND(ISNUMBER(O27),ISNUMBER(O61)),O27+O61,O163)</f>
        <v>767.2</v>
      </c>
      <c r="P110" s="275">
        <f>IF(AND(ISNUMBER(P27),ISNUMBER(P61)),P27+P61,P163)</f>
        <v>873.5</v>
      </c>
      <c r="Q110" s="275">
        <f>IF(AND(ISNUMBER(Q27),ISNUMBER(Q61)),Q27+Q61,Q163)</f>
        <v>816.1</v>
      </c>
      <c r="R110" s="275">
        <f>IF(AND(ISNUMBER(R27),ISNUMBER(R61)),R27+R61,R163)</f>
        <v>877.5</v>
      </c>
      <c r="S110" s="275">
        <f>IF(AND(ISNUMBER(S27),ISNUMBER(S61)),S27+S61,S163)</f>
        <v>3334.3</v>
      </c>
      <c r="T110" s="275">
        <f>IF(AND(ISNUMBER(T27),ISNUMBER(T61)),T27+T61,T163)</f>
        <v>865.6</v>
      </c>
      <c r="U110" s="275">
        <f>IF(AND(ISNUMBER(U27),ISNUMBER(U61)),U27+U61,U163)</f>
        <v>918.1</v>
      </c>
      <c r="V110" s="275">
        <f>IF(AND(ISNUMBER(V27),ISNUMBER(V61)),V27+V61,V163)</f>
        <v>834.9</v>
      </c>
      <c r="W110" s="275">
        <f>IF(AND(ISNUMBER(W27),ISNUMBER(W61)),W27+W61,W163)</f>
        <v>865.9</v>
      </c>
      <c r="X110" s="275">
        <f>IF(AND(ISNUMBER(X27),ISNUMBER(X61)),X27+X61,X163)</f>
        <v>3484.5</v>
      </c>
      <c r="Y110" s="275">
        <f>IF(AND(ISNUMBER(Y27),ISNUMBER(Y61)),Y27+Y61,Y163)</f>
        <v>816.1</v>
      </c>
      <c r="Z110" s="275">
        <f>IF(AND(ISNUMBER(Z27),ISNUMBER(Z61)),Z27+Z61,Z163)</f>
        <v>928.9</v>
      </c>
      <c r="AA110" s="275">
        <f>IF(AND(ISNUMBER(AA27),ISNUMBER(AA61)),AA27+AA61,AA163)</f>
        <v>917.1</v>
      </c>
      <c r="AB110" s="275">
        <f>IF(AND(ISNUMBER(AB27),ISNUMBER(AB61)),AB27+AB61,AB163)</f>
        <v>942.1</v>
      </c>
      <c r="AC110" s="275">
        <f>IF(AND(ISNUMBER(AC27),ISNUMBER(AC61)),AC27+AC61,AC163)</f>
        <v>3604.2</v>
      </c>
      <c r="AD110" s="275">
        <f>IF(AND(ISNUMBER(AD27),ISNUMBER(AD61)),AD27+AD61,AD163)</f>
        <v>975.2</v>
      </c>
      <c r="AE110" s="275">
        <f>IF(AND(ISNUMBER(AE27),ISNUMBER(AE61)),AE27+AE61,AE163)</f>
        <v>1000.5</v>
      </c>
      <c r="AF110" s="275">
        <f>IF(AND(ISNUMBER(AF27),ISNUMBER(AF61)),AF27+AF61,AF163)</f>
        <v>1062.9</v>
      </c>
      <c r="AG110" s="275">
        <f>IF(AND(ISNUMBER(AG27),ISNUMBER(AG61)),AG27+AG61,AG163)</f>
        <v>1165.5</v>
      </c>
      <c r="AH110" s="275">
        <f>IF(AND(ISNUMBER(AH27),ISNUMBER(AH61)),AH27+AH61,AH163)</f>
        <v>4204.1</v>
      </c>
      <c r="AI110" s="275">
        <f>IF(AND(ISNUMBER(AI27),ISNUMBER(AI61)),AI27+AI61,AI163)</f>
        <v>1126.7</v>
      </c>
      <c r="AJ110" s="275">
        <f>IF(AND(ISNUMBER(AJ27),ISNUMBER(AJ61)),AJ27+AJ61,AJ163)</f>
        <v>1175.1</v>
      </c>
      <c r="AK110" s="275">
        <f>IF(AND(ISNUMBER(AK27),ISNUMBER(AK61)),AK27+AK61,AK163)</f>
        <v>1080.8</v>
      </c>
      <c r="AL110" s="275">
        <f>IF(AND(ISNUMBER(AL27),ISNUMBER(AL61)),AL27+AL61,AL163)</f>
        <v>1060.1</v>
      </c>
      <c r="AM110" s="275">
        <f>IF(AND(ISNUMBER(AM27),ISNUMBER(AM61)),AM27+AM61,AM163)</f>
        <v>4442.7</v>
      </c>
      <c r="AN110" s="275">
        <f>IF(AND(ISNUMBER(AN27),ISNUMBER(AN61)),AN27+AN61,AN163)</f>
        <v>1142.1</v>
      </c>
      <c r="AO110" s="275">
        <f>IF(AND(ISNUMBER(AO27),ISNUMBER(AO61)),AO27+AO61,AO163)</f>
        <v>1213.6</v>
      </c>
      <c r="AP110" s="275">
        <f>IF(AND(ISNUMBER(AP27),ISNUMBER(AP61)),AP27+AP61,AP163)</f>
        <v>1240.5</v>
      </c>
      <c r="AQ110" s="275">
        <f>IF(AND(ISNUMBER(AQ27),ISNUMBER(AQ61)),AQ27+AQ61,AQ163)</f>
        <v>1233</v>
      </c>
      <c r="AR110" s="275">
        <f>IF(AND(ISNUMBER(AR27),ISNUMBER(AR61)),AR27+AR61,AR163)</f>
        <v>4829</v>
      </c>
      <c r="AS110" s="275">
        <f>IF(AND(ISNUMBER(AS27),ISNUMBER(AS61)),AS27+AS61,AS163)</f>
        <v>1290</v>
      </c>
      <c r="AT110" s="275">
        <f>IF(AND(ISNUMBER(AT27),ISNUMBER(AT61)),AT27+AT61,AT163)</f>
        <v>1435</v>
      </c>
      <c r="AU110" s="275">
        <f>IF(AND(ISNUMBER(AU27),ISNUMBER(AU61)),AU27+AU61,AU163)</f>
        <v>1356</v>
      </c>
      <c r="AV110" s="275">
        <f>IF(AND(ISNUMBER(AV27),ISNUMBER(AV61)),AV27+AV61,AV163)</f>
        <v>1290</v>
      </c>
      <c r="AW110" s="275">
        <f>IF(AND(ISNUMBER(AW27),ISNUMBER(AW61)),AW27+AW61,AW163)</f>
        <v>5371</v>
      </c>
      <c r="AX110" s="275">
        <f>IF(AND(ISNUMBER(AX27),ISNUMBER(AX61)),AX27+AX61,AX163)</f>
        <v>1600</v>
      </c>
      <c r="AY110" s="275">
        <f>IF(AND(ISNUMBER(AY27),ISNUMBER(AY61)),AY27+AY61,AY163)</f>
        <v>1553</v>
      </c>
      <c r="AZ110" s="275">
        <f>IF(AND(ISNUMBER(AZ27),ISNUMBER(AZ61)),AZ27+AZ61,AZ163)</f>
        <v>1526</v>
      </c>
      <c r="BA110" s="275">
        <f>IF(AND(ISNUMBER(BA27),ISNUMBER(BA61)),BA27+BA61,BA163)</f>
        <v>1539</v>
      </c>
      <c r="BB110" s="275">
        <f>IF(AND(ISNUMBER(BB27),ISNUMBER(BB61)),BB27+BB61,BB163)</f>
        <v>6218</v>
      </c>
      <c r="BC110" s="275">
        <f>IF(AND(ISNUMBER(BC27),ISNUMBER(BC61)),BC27+BC61,BC163)</f>
        <v>1522</v>
      </c>
      <c r="BD110" s="275">
        <f>IF(AND(ISNUMBER(BD27),ISNUMBER(BD61)),BD27+BD61,BD163)</f>
        <v>1381</v>
      </c>
      <c r="BE110" s="275">
        <f>IF(AND(ISNUMBER(BE27),ISNUMBER(BE61)),BE27+BE61,BE163)</f>
        <v>1275</v>
      </c>
      <c r="BF110" s="275">
        <f>IF(AND(ISNUMBER(BF27),ISNUMBER(BF61)),BF27+BF61,BF163)</f>
        <v>1290</v>
      </c>
      <c r="BG110" s="275">
        <f>IF(AND(ISNUMBER(BG27),ISNUMBER(BG61)),BG27+BG61,BG163)</f>
        <v>5468</v>
      </c>
      <c r="BH110" s="275">
        <f>IF(AND(ISNUMBER(BH27),ISNUMBER(BH61)),BH27+BH61,BH163)</f>
        <v>1470</v>
      </c>
      <c r="BI110" s="275">
        <f>IF(AND(ISNUMBER(BI27),ISNUMBER(BI61)),BI27+BI61,BI163)</f>
        <v>1494</v>
      </c>
      <c r="BJ110" s="275">
        <f>IF(AND(ISNUMBER(BJ27),ISNUMBER(BJ61)),BJ27+BJ61,BJ163)</f>
        <v>1472</v>
      </c>
      <c r="BK110" s="275">
        <f>IF(AND(ISNUMBER(BK27),ISNUMBER(BK61)),BK27+BK61,BK163)</f>
        <v>1480</v>
      </c>
      <c r="BL110" s="275">
        <f>IF(AND(ISNUMBER(BL27),ISNUMBER(BL61)),BL27+BL61,BL163)</f>
        <v>5916</v>
      </c>
      <c r="BM110" s="275">
        <f>IF(AND(ISNUMBER(BM27),ISNUMBER(BM61)),BM27+BM61,BM163)</f>
        <v>1786</v>
      </c>
      <c r="BN110" s="275">
        <f>IF(AND(ISNUMBER(BN27),ISNUMBER(BN61)),BN27+BN61,BN163)</f>
        <v>1817</v>
      </c>
      <c r="BO110" s="275">
        <f>IF(AND(ISNUMBER(BO27),ISNUMBER(BO61)),BO27+BO61,BO163)</f>
        <v>1813</v>
      </c>
      <c r="BP110" s="275">
        <f>IF(AND(ISNUMBER(BP27),ISNUMBER(BP61)),BP27+BP61,BP163)</f>
        <v>1672</v>
      </c>
      <c r="BQ110" s="275">
        <f>IF(AND(ISNUMBER(BQ27),ISNUMBER(BQ61)),BQ27+BQ61,BQ163)</f>
        <v>7088</v>
      </c>
      <c r="BR110" s="275">
        <f>IF(AND(ISNUMBER(BR27),ISNUMBER(BR61)),BR27+BR61,BR163)</f>
        <v>1924</v>
      </c>
      <c r="BS110" s="275">
        <f>IF(AND(ISNUMBER(BS27),ISNUMBER(BS61)),BS27+BS61,BS163)</f>
        <v>1898</v>
      </c>
      <c r="BT110" s="275">
        <f>IF(AND(ISNUMBER(BT27),ISNUMBER(BT61)),BT27+BT61,BT163)</f>
        <v>2007</v>
      </c>
      <c r="BU110" s="275">
        <f>IF(AND(ISNUMBER(BU27),ISNUMBER(BU61)),BU27+BU61,BU163)</f>
        <v>1889</v>
      </c>
      <c r="BV110" s="275">
        <f>IF(AND(ISNUMBER(BV27),ISNUMBER(BV61)),BV27+BV61,BV163)</f>
        <v>7718</v>
      </c>
      <c r="BW110" s="275">
        <f>IF(AND(ISNUMBER(BW27),ISNUMBER(BW61)),BW27+BW61,BW163)</f>
        <v>2079</v>
      </c>
      <c r="BX110" s="275">
        <f>IF(AND(ISNUMBER(BX27),ISNUMBER(BX61)),BX27+BX61,BX163)</f>
        <v>2185</v>
      </c>
      <c r="BY110" s="275">
        <f>BY27+BY61+N(BY100)</f>
        <v>2040.09338122364</v>
      </c>
      <c r="BZ110" s="275">
        <f>BZ27+BZ61+N(BZ100)</f>
        <v>1923.37661877636</v>
      </c>
      <c r="CA110" s="275">
        <f>CA27+CA61+N(CA100)</f>
        <v>8227.47</v>
      </c>
      <c r="CB110" s="275">
        <f>CB27+CB61+N(CB100)</f>
        <v>8820.4421292675</v>
      </c>
      <c r="CC110" s="275">
        <f>CC27+CC61+N(CC100)</f>
        <v>9419.22674231944</v>
      </c>
      <c r="CD110" s="275">
        <f>CD27+CD61+N(CD100)</f>
        <v>10027.2327109809</v>
      </c>
      <c r="CE110" s="275">
        <f>CE27+CE61+N(CE100)</f>
        <v>10629.7107187291</v>
      </c>
      <c r="CF110" s="153" t="inlineStr">
        <is>
          <t>Σ segment external revenue (+ future acquisitions from 2027E).</t>
        </is>
      </c>
      <c r="CH110" s="20">
        <f>IFERROR((CE110/BV110)^(1/5)-1,"n/m")</f>
        <v>0.0661132336519135</v>
      </c>
      <c r="CI110" s="20">
        <f>IFERROR((BV110/AW110)^(1/5)-1,"n/m")</f>
        <v>0.0752016554347532</v>
      </c>
      <c r="CJ110" s="20">
        <f>IFERROR((BV110/X110)^(1/10)-1,"n/m")</f>
        <v>0.0827705388896203</v>
      </c>
      <c r="CK110" s="20">
        <f>IFERROR((BV110/C110)^(1/19)-1,"n/m")</f>
        <v>0.0726226654915987</v>
      </c>
    </row>
    <row r="111" ht="15" customHeight="1" s="251">
      <c r="B111" s="22" t="inlineStr">
        <is>
          <t xml:space="preserve">  Revenue y/y %</t>
        </is>
      </c>
      <c r="D111" s="255">
        <f>IF(AND(ISNUMBER(D110),ISNUMBER(C110)),IFERROR(D110/C110-1,""),"")</f>
        <v>0.108929360365225</v>
      </c>
      <c r="E111" s="255">
        <f>IF(AND(ISNUMBER(E110),ISNUMBER(D110)),IFERROR(E110/D110-1,""),"")</f>
        <v>-0.222930500221337</v>
      </c>
      <c r="F111" s="255">
        <f>IF(AND(ISNUMBER(F110),ISNUMBER(E110)),IFERROR(F110/E110-1,""),"")</f>
        <v>0.023812236527287</v>
      </c>
      <c r="G111" s="255">
        <f>IF(AND(ISNUMBER(G110),ISNUMBER(F110)),IFERROR(G110/F110-1,""),"")</f>
        <v>0.130647674159804</v>
      </c>
      <c r="H111" s="255">
        <f>IF(AND(ISNUMBER(H110),ISNUMBER(G110)),IFERROR(H110/G110-1,""),"")</f>
        <v>0.122391732283464</v>
      </c>
      <c r="I111" s="255">
        <f>IF(AND(ISNUMBER(I110),ISNUMBER(H110)),IFERROR(I110/H110-1,""),"")</f>
        <v>0.197132459332661</v>
      </c>
      <c r="N111" s="255">
        <f>IF(AND(ISNUMBER(N110),ISNUMBER(I110)),IFERROR(N110/I110-1,""),"")</f>
        <v>0.0887082005640405</v>
      </c>
      <c r="O111" s="255">
        <f>IF(AND(ISNUMBER(O110),ISNUMBER(J110)),IFERROR(O110/J110-1,""),"")</f>
        <v>0.0483738726427985</v>
      </c>
      <c r="P111" s="255">
        <f>IF(AND(ISNUMBER(P110),ISNUMBER(K110)),IFERROR(P110/K110-1,""),"")</f>
        <v>0.15542328042328</v>
      </c>
      <c r="Q111" s="255">
        <f>IF(AND(ISNUMBER(Q110),ISNUMBER(L110)),IFERROR(Q110/L110-1,""),"")</f>
        <v>0.156768249468462</v>
      </c>
      <c r="R111" s="255">
        <f>IF(AND(ISNUMBER(R110),ISNUMBER(M110)),IFERROR(R110/M110-1,""),"")</f>
        <v>0.126155030800821</v>
      </c>
      <c r="S111" s="255">
        <f>IF(AND(ISNUMBER(S110),ISNUMBER(N110)),IFERROR(S110/N110-1,""),"")</f>
        <v>0.121715727502103</v>
      </c>
      <c r="T111" s="255">
        <f>IF(AND(ISNUMBER(T110),ISNUMBER(O110)),IFERROR(T110/O110-1,""),"")</f>
        <v>0.128258602711157</v>
      </c>
      <c r="U111" s="255">
        <f>IF(AND(ISNUMBER(U110),ISNUMBER(P110)),IFERROR(U110/P110-1,""),"")</f>
        <v>0.0510589582140812</v>
      </c>
      <c r="V111" s="255">
        <f>IF(AND(ISNUMBER(V110),ISNUMBER(Q110)),IFERROR(V110/Q110-1,""),"")</f>
        <v>0.0230363925989465</v>
      </c>
      <c r="W111" s="255">
        <f>IF(AND(ISNUMBER(W110),ISNUMBER(R110)),IFERROR(W110/R110-1,""),"")</f>
        <v>-0.0132193732193732</v>
      </c>
      <c r="X111" s="255">
        <f>IF(AND(ISNUMBER(X110),ISNUMBER(S110)),IFERROR(X110/S110-1,""),"")</f>
        <v>0.0450469363884474</v>
      </c>
      <c r="Y111" s="255">
        <f>IF(AND(ISNUMBER(Y110),ISNUMBER(T110)),IFERROR(Y110/T110-1,""),"")</f>
        <v>-0.0571857670979667</v>
      </c>
      <c r="Z111" s="255">
        <f>IF(AND(ISNUMBER(Z110),ISNUMBER(U110)),IFERROR(Z110/U110-1,""),"")</f>
        <v>0.0117634244635658</v>
      </c>
      <c r="AA111" s="255">
        <f>IF(AND(ISNUMBER(AA110),ISNUMBER(V110)),IFERROR(AA110/V110-1,""),"")</f>
        <v>0.0984549047790155</v>
      </c>
      <c r="AB111" s="255">
        <f>IF(AND(ISNUMBER(AB110),ISNUMBER(W110)),IFERROR(AB110/W110-1,""),"")</f>
        <v>0.0880009238942141</v>
      </c>
      <c r="AC111" s="255">
        <f>IF(AND(ISNUMBER(AC110),ISNUMBER(X110)),IFERROR(AC110/X110-1,""),"")</f>
        <v>0.0343521308652603</v>
      </c>
      <c r="AD111" s="255">
        <f>IF(AND(ISNUMBER(AD110),ISNUMBER(Y110)),IFERROR(AD110/Y110-1,""),"")</f>
        <v>0.194951599068742</v>
      </c>
      <c r="AE111" s="255">
        <f>IF(AND(ISNUMBER(AE110),ISNUMBER(Z110)),IFERROR(AE110/Z110-1,""),"")</f>
        <v>0.0770804176983531</v>
      </c>
      <c r="AF111" s="255">
        <f>IF(AND(ISNUMBER(AF110),ISNUMBER(AA110)),IFERROR(AF110/AA110-1,""),"")</f>
        <v>0.158979391560353</v>
      </c>
      <c r="AG111" s="255">
        <f>IF(AND(ISNUMBER(AG110),ISNUMBER(AB110)),IFERROR(AG110/AB110-1,""),"")</f>
        <v>0.237129816367689</v>
      </c>
      <c r="AH111" s="255">
        <f>IF(AND(ISNUMBER(AH110),ISNUMBER(AC110)),IFERROR(AH110/AC110-1,""),"")</f>
        <v>0.166444703401587</v>
      </c>
      <c r="AI111" s="255">
        <f>IF(AND(ISNUMBER(AI110),ISNUMBER(AD110)),IFERROR(AI110/AD110-1,""),"")</f>
        <v>0.155352748154225</v>
      </c>
      <c r="AJ111" s="255">
        <f>IF(AND(ISNUMBER(AJ110),ISNUMBER(AE110)),IFERROR(AJ110/AE110-1,""),"")</f>
        <v>0.174512743628186</v>
      </c>
      <c r="AK111" s="255">
        <f>IF(AND(ISNUMBER(AK110),ISNUMBER(AF110)),IFERROR(AK110/AF110-1,""),"")</f>
        <v>0.0168407187882207</v>
      </c>
      <c r="AL111" s="255">
        <f>IF(AND(ISNUMBER(AL110),ISNUMBER(AG110)),IFERROR(AL110/AG110-1,""),"")</f>
        <v>-0.0904332904332905</v>
      </c>
      <c r="AM111" s="255">
        <f>IF(AND(ISNUMBER(AM110),ISNUMBER(AH110)),IFERROR(AM110/AH110-1,""),"")</f>
        <v>0.0567541209771412</v>
      </c>
      <c r="AN111" s="255">
        <f>IF(AND(ISNUMBER(AN110),ISNUMBER(AI110)),IFERROR(AN110/AI110-1,""),"")</f>
        <v>0.0136682346676134</v>
      </c>
      <c r="AO111" s="255">
        <f>IF(AND(ISNUMBER(AO110),ISNUMBER(AJ110)),IFERROR(AO110/AJ110-1,""),"")</f>
        <v>0.0327631690919921</v>
      </c>
      <c r="AP111" s="255">
        <f>IF(AND(ISNUMBER(AP110),ISNUMBER(AK110)),IFERROR(AP110/AK110-1,""),"")</f>
        <v>0.147760917838638</v>
      </c>
      <c r="AQ111" s="255">
        <f>IF(AND(ISNUMBER(AQ110),ISNUMBER(AL110)),IFERROR(AQ110/AL110-1,""),"")</f>
        <v>0.163097820960287</v>
      </c>
      <c r="AR111" s="255">
        <f>IF(AND(ISNUMBER(AR110),ISNUMBER(AM110)),IFERROR(AR110/AM110-1,""),"")</f>
        <v>0.0869516285141918</v>
      </c>
      <c r="AS111" s="255">
        <f>IF(AND(ISNUMBER(AS110),ISNUMBER(AN110)),IFERROR(AS110/AN110-1,""),"")</f>
        <v>0.12949829261886</v>
      </c>
      <c r="AT111" s="255">
        <f>IF(AND(ISNUMBER(AT110),ISNUMBER(AO110)),IFERROR(AT110/AO110-1,""),"")</f>
        <v>0.182432432432432</v>
      </c>
      <c r="AU111" s="255">
        <f>IF(AND(ISNUMBER(AU110),ISNUMBER(AP110)),IFERROR(AU110/AP110-1,""),"")</f>
        <v>0.0931076178960097</v>
      </c>
      <c r="AV111" s="255">
        <f>IF(AND(ISNUMBER(AV110),ISNUMBER(AQ110)),IFERROR(AV110/AQ110-1,""),"")</f>
        <v>0.0462287104622872</v>
      </c>
      <c r="AW111" s="255">
        <f>IF(AND(ISNUMBER(AW110),ISNUMBER(AR110)),IFERROR(AW110/AR110-1,""),"")</f>
        <v>0.112238558707807</v>
      </c>
      <c r="AX111" s="255">
        <f>IF(AND(ISNUMBER(AX110),ISNUMBER(AS110)),IFERROR(AX110/AS110-1,""),"")</f>
        <v>0.24031007751938</v>
      </c>
      <c r="AY111" s="255">
        <f>IF(AND(ISNUMBER(AY110),ISNUMBER(AT110)),IFERROR(AY110/AT110-1,""),"")</f>
        <v>0.0822299651567944</v>
      </c>
      <c r="AZ111" s="255">
        <f>IF(AND(ISNUMBER(AZ110),ISNUMBER(AU110)),IFERROR(AZ110/AU110-1,""),"")</f>
        <v>0.125368731563422</v>
      </c>
      <c r="BA111" s="255">
        <f>IF(AND(ISNUMBER(BA110),ISNUMBER(AV110)),IFERROR(BA110/AV110-1,""),"")</f>
        <v>0.193023255813954</v>
      </c>
      <c r="BB111" s="255">
        <f>IF(AND(ISNUMBER(BB110),ISNUMBER(AW110)),IFERROR(BB110/AW110-1,""),"")</f>
        <v>0.157698752560045</v>
      </c>
      <c r="BC111" s="255">
        <f>IF(AND(ISNUMBER(BC110),ISNUMBER(AX110)),IFERROR(BC110/AX110-1,""),"")</f>
        <v>-0.04875</v>
      </c>
      <c r="BD111" s="255">
        <f>IF(AND(ISNUMBER(BD110),ISNUMBER(AY110)),IFERROR(BD110/AY110-1,""),"")</f>
        <v>-0.110753380553767</v>
      </c>
      <c r="BE111" s="255">
        <f>IF(AND(ISNUMBER(BE110),ISNUMBER(AZ110)),IFERROR(BE110/AZ110-1,""),"")</f>
        <v>-0.164482306684142</v>
      </c>
      <c r="BF111" s="255">
        <f>IF(AND(ISNUMBER(BF110),ISNUMBER(BA110)),IFERROR(BF110/BA110-1,""),"")</f>
        <v>-0.161793372319688</v>
      </c>
      <c r="BG111" s="255">
        <f>IF(AND(ISNUMBER(BG110),ISNUMBER(BB110)),IFERROR(BG110/BB110-1,""),"")</f>
        <v>-0.120617561917015</v>
      </c>
      <c r="BH111" s="255">
        <f>IF(AND(ISNUMBER(BH110),ISNUMBER(BC110)),IFERROR(BH110/BC110-1,""),"")</f>
        <v>-0.0341655716162943</v>
      </c>
      <c r="BI111" s="255">
        <f>IF(AND(ISNUMBER(BI110),ISNUMBER(BD110)),IFERROR(BI110/BD110-1,""),"")</f>
        <v>0.0818247646632875</v>
      </c>
      <c r="BJ111" s="255">
        <f>IF(AND(ISNUMBER(BJ110),ISNUMBER(BE110)),IFERROR(BJ110/BE110-1,""),"")</f>
        <v>0.154509803921569</v>
      </c>
      <c r="BK111" s="255">
        <f>IF(AND(ISNUMBER(BK110),ISNUMBER(BF110)),IFERROR(BK110/BF110-1,""),"")</f>
        <v>0.147286821705426</v>
      </c>
      <c r="BL111" s="255">
        <f>IF(AND(ISNUMBER(BL110),ISNUMBER(BG110)),IFERROR(BL110/BG110-1,""),"")</f>
        <v>0.0819312362838331</v>
      </c>
      <c r="BM111" s="255">
        <f>IF(AND(ISNUMBER(BM110),ISNUMBER(BH110)),IFERROR(BM110/BH110-1,""),"")</f>
        <v>0.214965986394558</v>
      </c>
      <c r="BN111" s="255">
        <f>IF(AND(ISNUMBER(BN110),ISNUMBER(BI110)),IFERROR(BN110/BI110-1,""),"")</f>
        <v>0.21619812583668</v>
      </c>
      <c r="BO111" s="255">
        <f>IF(AND(ISNUMBER(BO110),ISNUMBER(BJ110)),IFERROR(BO110/BJ110-1,""),"")</f>
        <v>0.231657608695652</v>
      </c>
      <c r="BP111" s="255">
        <f>IF(AND(ISNUMBER(BP110),ISNUMBER(BK110)),IFERROR(BP110/BK110-1,""),"")</f>
        <v>0.12972972972973</v>
      </c>
      <c r="BQ111" s="255">
        <f>IF(AND(ISNUMBER(BQ110),ISNUMBER(BL110)),IFERROR(BQ110/BL110-1,""),"")</f>
        <v>0.198106828938472</v>
      </c>
      <c r="BR111" s="255">
        <f>IF(AND(ISNUMBER(BR110),ISNUMBER(BM110)),IFERROR(BR110/BM110-1,""),"")</f>
        <v>0.0772676371780514</v>
      </c>
      <c r="BS111" s="255">
        <f>IF(AND(ISNUMBER(BS110),ISNUMBER(BN110)),IFERROR(BS110/BN110-1,""),"")</f>
        <v>0.0445789763346176</v>
      </c>
      <c r="BT111" s="255">
        <f>IF(AND(ISNUMBER(BT110),ISNUMBER(BO110)),IFERROR(BT110/BO110-1,""),"")</f>
        <v>0.107004964147821</v>
      </c>
      <c r="BU111" s="255">
        <f>IF(AND(ISNUMBER(BU110),ISNUMBER(BP110)),IFERROR(BU110/BP110-1,""),"")</f>
        <v>0.129784688995215</v>
      </c>
      <c r="BV111" s="255">
        <f>IF(AND(ISNUMBER(BV110),ISNUMBER(BQ110)),IFERROR(BV110/BQ110-1,""),"")</f>
        <v>0.0888826185101581</v>
      </c>
      <c r="BW111" s="255">
        <f>IF(AND(ISNUMBER(BW110),ISNUMBER(BR110)),IFERROR(BW110/BR110-1,""),"")</f>
        <v>0.0805613305613306</v>
      </c>
      <c r="BX111" s="255">
        <f>IF(AND(ISNUMBER(BX110),ISNUMBER(BS110)),IFERROR(BX110/BS110-1,""),"")</f>
        <v>0.151211801896733</v>
      </c>
      <c r="BY111" s="256">
        <f>IF(AND(ISNUMBER(BY110),ISNUMBER(BT110)),IFERROR(BY110/BT110-1,""),"")</f>
        <v>0.0164889791846736</v>
      </c>
      <c r="BZ111" s="256">
        <f>IF(AND(ISNUMBER(BZ110),ISNUMBER(BU110)),IFERROR(BZ110/BU110-1,""),"")</f>
        <v>0.0181983159218424</v>
      </c>
      <c r="CA111" s="256">
        <f>IF(AND(ISNUMBER(CA110),ISNUMBER(BV110)),IFERROR(CA110/BV110-1,""),"")</f>
        <v>0.066010624514123</v>
      </c>
      <c r="CB111" s="256">
        <f>IF(AND(ISNUMBER(CB110),ISNUMBER(CA110)),IFERROR(CB110/CA110-1,""),"")</f>
        <v>0.0720722323226337</v>
      </c>
      <c r="CC111" s="256">
        <f>IF(AND(ISNUMBER(CC110),ISNUMBER(CB110)),IFERROR(CC110/CB110-1,""),"")</f>
        <v>0.0678860089184292</v>
      </c>
      <c r="CD111" s="256">
        <f>IF(AND(ISNUMBER(CD110),ISNUMBER(CC110)),IFERROR(CD110/CC110-1,""),"")</f>
        <v>0.0645494566905103</v>
      </c>
      <c r="CE111" s="256">
        <f>IF(AND(ISNUMBER(CE110),ISNUMBER(CD110)),IFERROR(CE110/CD110-1,""),"")</f>
        <v>0.060084175276836</v>
      </c>
      <c r="CF111" s="153" t="n"/>
    </row>
    <row r="112" ht="15" customHeight="1" s="251">
      <c r="B112" s="57" t="inlineStr">
        <is>
          <t xml:space="preserve">  Check: segment build vs consolidated revenue (should be 0)</t>
        </is>
      </c>
      <c r="C112" s="261">
        <f>IF(ISNUMBER(C110),IF(ABS(C110-C163)&lt;=0.6,0,ROUND(C110-C163,1)),"")</f>
        <v>0</v>
      </c>
      <c r="D112" s="261">
        <f>IF(ISNUMBER(D110),IF(ABS(D110-D163)&lt;=0.6,0,ROUND(D110-D163,1)),"")</f>
        <v>0</v>
      </c>
      <c r="E112" s="261">
        <f>IF(ISNUMBER(E110),IF(ABS(E110-E163)&lt;=0.6,0,ROUND(E110-E163,1)),"")</f>
        <v>0</v>
      </c>
      <c r="F112" s="261">
        <f>IF(ISNUMBER(F110),IF(ABS(F110-F163)&lt;=0.6,0,ROUND(F110-F163,1)),"")</f>
        <v>0</v>
      </c>
      <c r="G112" s="261">
        <f>IF(ISNUMBER(G110),IF(ABS(G110-G163)&lt;=0.6,0,ROUND(G110-G163,1)),"")</f>
        <v>0</v>
      </c>
      <c r="H112" s="261">
        <f>IF(ISNUMBER(H110),IF(ABS(H110-H163)&lt;=0.6,0,ROUND(H110-H163,1)),"")</f>
        <v>0</v>
      </c>
      <c r="I112" s="261">
        <f>IF(ISNUMBER(I110),IF(ABS(I110-I163)&lt;=0.6,0,ROUND(I110-I163,1)),"")</f>
        <v>0</v>
      </c>
      <c r="J112" s="261">
        <f>IF(ISNUMBER(J110),IF(ABS(J110-J163)&lt;=0.6,0,ROUND(J110-J163,1)),"")</f>
        <v>0</v>
      </c>
      <c r="K112" s="261">
        <f>IF(ISNUMBER(K110),IF(ABS(K110-K163)&lt;=0.6,0,ROUND(K110-K163,1)),"")</f>
        <v>0</v>
      </c>
      <c r="L112" s="261">
        <f>IF(ISNUMBER(L110),IF(ABS(L110-L163)&lt;=0.6,0,ROUND(L110-L163,1)),"")</f>
        <v>0</v>
      </c>
      <c r="M112" s="261">
        <f>IF(ISNUMBER(M110),IF(ABS(M110-M163)&lt;=0.6,0,ROUND(M110-M163,1)),"")</f>
        <v>0</v>
      </c>
      <c r="N112" s="261">
        <f>IF(ISNUMBER(N110),IF(ABS(N110-N163)&lt;=0.6,0,ROUND(N110-N163,1)),"")</f>
        <v>0</v>
      </c>
      <c r="O112" s="261">
        <f>IF(ISNUMBER(O110),IF(ABS(O110-O163)&lt;=0.6,0,ROUND(O110-O163,1)),"")</f>
        <v>0</v>
      </c>
      <c r="P112" s="261">
        <f>IF(ISNUMBER(P110),IF(ABS(P110-P163)&lt;=0.6,0,ROUND(P110-P163,1)),"")</f>
        <v>0</v>
      </c>
      <c r="Q112" s="261">
        <f>IF(ISNUMBER(Q110),IF(ABS(Q110-Q163)&lt;=0.6,0,ROUND(Q110-Q163,1)),"")</f>
        <v>0</v>
      </c>
      <c r="R112" s="261">
        <f>IF(ISNUMBER(R110),IF(ABS(R110-R163)&lt;=0.6,0,ROUND(R110-R163,1)),"")</f>
        <v>0</v>
      </c>
      <c r="S112" s="261">
        <f>IF(ISNUMBER(S110),IF(ABS(S110-S163)&lt;=0.6,0,ROUND(S110-S163,1)),"")</f>
        <v>0</v>
      </c>
      <c r="T112" s="261">
        <f>IF(ISNUMBER(T110),IF(ABS(T110-T163)&lt;=0.6,0,ROUND(T110-T163,1)),"")</f>
        <v>0</v>
      </c>
      <c r="U112" s="261">
        <f>IF(ISNUMBER(U110),IF(ABS(U110-U163)&lt;=0.6,0,ROUND(U110-U163,1)),"")</f>
        <v>0</v>
      </c>
      <c r="V112" s="261">
        <f>IF(ISNUMBER(V110),IF(ABS(V110-V163)&lt;=0.6,0,ROUND(V110-V163,1)),"")</f>
        <v>0</v>
      </c>
      <c r="W112" s="261">
        <f>IF(ISNUMBER(W110),IF(ABS(W110-W163)&lt;=0.6,0,ROUND(W110-W163,1)),"")</f>
        <v>0</v>
      </c>
      <c r="X112" s="261">
        <f>IF(ISNUMBER(X110),IF(ABS(X110-X163)&lt;=0.6,0,ROUND(X110-X163,1)),"")</f>
        <v>0</v>
      </c>
      <c r="Y112" s="261">
        <f>IF(ISNUMBER(Y110),IF(ABS(Y110-Y163)&lt;=0.6,0,ROUND(Y110-Y163,1)),"")</f>
        <v>0</v>
      </c>
      <c r="Z112" s="261">
        <f>IF(ISNUMBER(Z110),IF(ABS(Z110-Z163)&lt;=0.6,0,ROUND(Z110-Z163,1)),"")</f>
        <v>0</v>
      </c>
      <c r="AA112" s="261">
        <f>IF(ISNUMBER(AA110),IF(ABS(AA110-AA163)&lt;=0.6,0,ROUND(AA110-AA163,1)),"")</f>
        <v>0</v>
      </c>
      <c r="AB112" s="261">
        <f>IF(ISNUMBER(AB110),IF(ABS(AB110-AB163)&lt;=0.6,0,ROUND(AB110-AB163,1)),"")</f>
        <v>0</v>
      </c>
      <c r="AC112" s="261">
        <f>IF(ISNUMBER(AC110),IF(ABS(AC110-AC163)&lt;=0.6,0,ROUND(AC110-AC163,1)),"")</f>
        <v>0</v>
      </c>
      <c r="AD112" s="261">
        <f>IF(ISNUMBER(AD110),IF(ABS(AD110-AD163)&lt;=0.6,0,ROUND(AD110-AD163,1)),"")</f>
        <v>0</v>
      </c>
      <c r="AE112" s="261">
        <f>IF(ISNUMBER(AE110),IF(ABS(AE110-AE163)&lt;=0.6,0,ROUND(AE110-AE163,1)),"")</f>
        <v>0</v>
      </c>
      <c r="AF112" s="261">
        <f>IF(ISNUMBER(AF110),IF(ABS(AF110-AF163)&lt;=0.6,0,ROUND(AF110-AF163,1)),"")</f>
        <v>0</v>
      </c>
      <c r="AG112" s="261">
        <f>IF(ISNUMBER(AG110),IF(ABS(AG110-AG163)&lt;=0.6,0,ROUND(AG110-AG163,1)),"")</f>
        <v>0</v>
      </c>
      <c r="AH112" s="261">
        <f>IF(ISNUMBER(AH110),IF(ABS(AH110-AH163)&lt;=0.6,0,ROUND(AH110-AH163,1)),"")</f>
        <v>0</v>
      </c>
      <c r="AI112" s="261">
        <f>IF(ISNUMBER(AI110),IF(ABS(AI110-AI163)&lt;=0.6,0,ROUND(AI110-AI163,1)),"")</f>
        <v>0</v>
      </c>
      <c r="AJ112" s="261">
        <f>IF(ISNUMBER(AJ110),IF(ABS(AJ110-AJ163)&lt;=0.6,0,ROUND(AJ110-AJ163,1)),"")</f>
        <v>0</v>
      </c>
      <c r="AK112" s="261">
        <f>IF(ISNUMBER(AK110),IF(ABS(AK110-AK163)&lt;=0.6,0,ROUND(AK110-AK163,1)),"")</f>
        <v>0</v>
      </c>
      <c r="AL112" s="261">
        <f>IF(ISNUMBER(AL110),IF(ABS(AL110-AL163)&lt;=0.6,0,ROUND(AL110-AL163,1)),"")</f>
        <v>0</v>
      </c>
      <c r="AM112" s="261">
        <f>IF(ISNUMBER(AM110),IF(ABS(AM110-AM163)&lt;=0.6,0,ROUND(AM110-AM163,1)),"")</f>
        <v>0</v>
      </c>
      <c r="AN112" s="261">
        <f>IF(ISNUMBER(AN110),IF(ABS(AN110-AN163)&lt;=0.6,0,ROUND(AN110-AN163,1)),"")</f>
        <v>0</v>
      </c>
      <c r="AO112" s="261">
        <f>IF(ISNUMBER(AO110),IF(ABS(AO110-AO163)&lt;=0.6,0,ROUND(AO110-AO163,1)),"")</f>
        <v>0</v>
      </c>
      <c r="AP112" s="261">
        <f>IF(ISNUMBER(AP110),IF(ABS(AP110-AP163)&lt;=0.6,0,ROUND(AP110-AP163,1)),"")</f>
        <v>0</v>
      </c>
      <c r="AQ112" s="261">
        <f>IF(ISNUMBER(AQ110),IF(ABS(AQ110-AQ163)&lt;=0.6,0,ROUND(AQ110-AQ163,1)),"")</f>
        <v>0</v>
      </c>
      <c r="AR112" s="261">
        <f>IF(ISNUMBER(AR110),IF(ABS(AR110-AR163)&lt;=0.6,0,ROUND(AR110-AR163,1)),"")</f>
        <v>0</v>
      </c>
      <c r="AS112" s="261">
        <f>IF(ISNUMBER(AS110),IF(ABS(AS110-AS163)&lt;=0.6,0,ROUND(AS110-AS163,1)),"")</f>
        <v>0</v>
      </c>
      <c r="AT112" s="261">
        <f>IF(ISNUMBER(AT110),IF(ABS(AT110-AT163)&lt;=0.6,0,ROUND(AT110-AT163,1)),"")</f>
        <v>0</v>
      </c>
      <c r="AU112" s="261">
        <f>IF(ISNUMBER(AU110),IF(ABS(AU110-AU163)&lt;=0.6,0,ROUND(AU110-AU163,1)),"")</f>
        <v>0</v>
      </c>
      <c r="AV112" s="261">
        <f>IF(ISNUMBER(AV110),IF(ABS(AV110-AV163)&lt;=0.6,0,ROUND(AV110-AV163,1)),"")</f>
        <v>0</v>
      </c>
      <c r="AW112" s="261">
        <f>IF(ISNUMBER(AW110),IF(ABS(AW110-AW163)&lt;=0.6,0,ROUND(AW110-AW163,1)),"")</f>
        <v>0</v>
      </c>
      <c r="AX112" s="261">
        <f>IF(ISNUMBER(AX110),IF(ABS(AX110-AX163)&lt;=0.6,0,ROUND(AX110-AX163,1)),"")</f>
        <v>0</v>
      </c>
      <c r="AY112" s="261">
        <f>IF(ISNUMBER(AY110),IF(ABS(AY110-AY163)&lt;=0.6,0,ROUND(AY110-AY163,1)),"")</f>
        <v>0</v>
      </c>
      <c r="AZ112" s="261">
        <f>IF(ISNUMBER(AZ110),IF(ABS(AZ110-AZ163)&lt;=0.6,0,ROUND(AZ110-AZ163,1)),"")</f>
        <v>0</v>
      </c>
      <c r="BA112" s="261">
        <f>IF(ISNUMBER(BA110),IF(ABS(BA110-BA163)&lt;=0.6,0,ROUND(BA110-BA163,1)),"")</f>
        <v>0</v>
      </c>
      <c r="BB112" s="261">
        <f>IF(ISNUMBER(BB110),IF(ABS(BB110-BB163)&lt;=0.6,0,ROUND(BB110-BB163,1)),"")</f>
        <v>0</v>
      </c>
      <c r="BC112" s="261">
        <f>IF(ISNUMBER(BC110),IF(ABS(BC110-BC163)&lt;=0.6,0,ROUND(BC110-BC163,1)),"")</f>
        <v>0</v>
      </c>
      <c r="BD112" s="261">
        <f>IF(ISNUMBER(BD110),IF(ABS(BD110-BD163)&lt;=0.6,0,ROUND(BD110-BD163,1)),"")</f>
        <v>0</v>
      </c>
      <c r="BE112" s="261">
        <f>IF(ISNUMBER(BE110),IF(ABS(BE110-BE163)&lt;=0.6,0,ROUND(BE110-BE163,1)),"")</f>
        <v>0</v>
      </c>
      <c r="BF112" s="261">
        <f>IF(ISNUMBER(BF110),IF(ABS(BF110-BF163)&lt;=0.6,0,ROUND(BF110-BF163,1)),"")</f>
        <v>0</v>
      </c>
      <c r="BG112" s="261">
        <f>IF(ISNUMBER(BG110),IF(ABS(BG110-BG163)&lt;=0.6,0,ROUND(BG110-BG163,1)),"")</f>
        <v>0</v>
      </c>
      <c r="BH112" s="261">
        <f>IF(ISNUMBER(BH110),IF(ABS(BH110-BH163)&lt;=0.6,0,ROUND(BH110-BH163,1)),"")</f>
        <v>0</v>
      </c>
      <c r="BI112" s="261">
        <f>IF(ISNUMBER(BI110),IF(ABS(BI110-BI163)&lt;=0.6,0,ROUND(BI110-BI163,1)),"")</f>
        <v>0</v>
      </c>
      <c r="BJ112" s="261">
        <f>IF(ISNUMBER(BJ110),IF(ABS(BJ110-BJ163)&lt;=0.6,0,ROUND(BJ110-BJ163,1)),"")</f>
        <v>0</v>
      </c>
      <c r="BK112" s="261">
        <f>IF(ISNUMBER(BK110),IF(ABS(BK110-BK163)&lt;=0.6,0,ROUND(BK110-BK163,1)),"")</f>
        <v>0</v>
      </c>
      <c r="BL112" s="261">
        <f>IF(ISNUMBER(BL110),IF(ABS(BL110-BL163)&lt;=0.6,0,ROUND(BL110-BL163,1)),"")</f>
        <v>0</v>
      </c>
      <c r="BM112" s="261">
        <f>IF(ISNUMBER(BM110),IF(ABS(BM110-BM163)&lt;=0.6,0,ROUND(BM110-BM163,1)),"")</f>
        <v>0</v>
      </c>
      <c r="BN112" s="261">
        <f>IF(ISNUMBER(BN110),IF(ABS(BN110-BN163)&lt;=0.6,0,ROUND(BN110-BN163,1)),"")</f>
        <v>0</v>
      </c>
      <c r="BO112" s="261">
        <f>IF(ISNUMBER(BO110),IF(ABS(BO110-BO163)&lt;=0.6,0,ROUND(BO110-BO163,1)),"")</f>
        <v>0</v>
      </c>
      <c r="BP112" s="261">
        <f>IF(ISNUMBER(BP110),IF(ABS(BP110-BP163)&lt;=0.6,0,ROUND(BP110-BP163,1)),"")</f>
        <v>0</v>
      </c>
      <c r="BQ112" s="261">
        <f>IF(ISNUMBER(BQ110),IF(ABS(BQ110-BQ163)&lt;=0.6,0,ROUND(BQ110-BQ163,1)),"")</f>
        <v>0</v>
      </c>
      <c r="BR112" s="261">
        <f>IF(ISNUMBER(BR110),IF(ABS(BR110-BR163)&lt;=0.6,0,ROUND(BR110-BR163,1)),"")</f>
        <v>0</v>
      </c>
      <c r="BS112" s="261">
        <f>IF(ISNUMBER(BS110),IF(ABS(BS110-BS163)&lt;=0.6,0,ROUND(BS110-BS163,1)),"")</f>
        <v>0</v>
      </c>
      <c r="BT112" s="261">
        <f>IF(ISNUMBER(BT110),IF(ABS(BT110-BT163)&lt;=0.6,0,ROUND(BT110-BT163,1)),"")</f>
        <v>0</v>
      </c>
      <c r="BU112" s="261">
        <f>IF(ISNUMBER(BU110),IF(ABS(BU110-BU163)&lt;=0.6,0,ROUND(BU110-BU163,1)),"")</f>
        <v>0</v>
      </c>
      <c r="BV112" s="261">
        <f>IF(ISNUMBER(BV110),IF(ABS(BV110-BV163)&lt;=0.6,0,ROUND(BV110-BV163,1)),"")</f>
        <v>0</v>
      </c>
      <c r="BW112" s="261">
        <f>IF(ISNUMBER(BW110),IF(ABS(BW110-BW163)&lt;=0.6,0,ROUND(BW110-BW163,1)),"")</f>
        <v>0</v>
      </c>
      <c r="BX112" s="261">
        <f>IF(ISNUMBER(BX110),IF(ABS(BX110-BX163)&lt;=0.6,0,ROUND(BX110-BX163,1)),"")</f>
        <v>0</v>
      </c>
      <c r="BY112" s="267">
        <f>IF(ISNUMBER(BY110),IF(ABS(BY110-BY163)&lt;=0.6,0,ROUND(BY110-BY163,1)),"")</f>
        <v>0</v>
      </c>
      <c r="BZ112" s="267">
        <f>IF(ISNUMBER(BZ110),IF(ABS(BZ110-BZ163)&lt;=0.6,0,ROUND(BZ110-BZ163,1)),"")</f>
        <v>0</v>
      </c>
      <c r="CA112" s="267">
        <f>IF(ISNUMBER(CA110),IF(ABS(CA110-CA163)&lt;=0.6,0,ROUND(CA110-CA163,1)),"")</f>
        <v>0</v>
      </c>
      <c r="CB112" s="267">
        <f>IF(ISNUMBER(CB110),IF(ABS(CB110-CB163)&lt;=0.6,0,ROUND(CB110-CB163,1)),"")</f>
        <v>0</v>
      </c>
      <c r="CC112" s="267">
        <f>IF(ISNUMBER(CC110),IF(ABS(CC110-CC163)&lt;=0.6,0,ROUND(CC110-CC163,1)),"")</f>
        <v>0</v>
      </c>
      <c r="CD112" s="267">
        <f>IF(ISNUMBER(CD110),IF(ABS(CD110-CD163)&lt;=0.6,0,ROUND(CD110-CD163,1)),"")</f>
        <v>0</v>
      </c>
      <c r="CE112" s="267">
        <f>IF(ISNUMBER(CE110),IF(ABS(CE110-CE163)&lt;=0.6,0,ROUND(CE110-CE163,1)),"")</f>
        <v>0</v>
      </c>
      <c r="CF112" s="153" t="n"/>
    </row>
    <row r="113" ht="15" customHeight="1" s="251">
      <c r="B113" s="55" t="inlineStr">
        <is>
          <t>Adjusted Operating Income (segment build)</t>
        </is>
      </c>
      <c r="C113" s="275">
        <f>IF(AND(ISNUMBER(C37),ISNUMBER(C80)),C37+C80+N(C102),"")</f>
      </c>
      <c r="D113" s="275">
        <f>IF(AND(ISNUMBER(D37),ISNUMBER(D80)),D37+D80+N(D102),"")</f>
      </c>
      <c r="E113" s="275">
        <f>IF(AND(ISNUMBER(E37),ISNUMBER(E80)),E37+E80+N(E102),"")</f>
      </c>
      <c r="F113" s="275">
        <f>IF(AND(ISNUMBER(F37),ISNUMBER(F80)),F37+F80+N(F102),"")</f>
      </c>
      <c r="G113" s="275">
        <f>IF(AND(ISNUMBER(G37),ISNUMBER(G80)),G37+G80+N(G102),"")</f>
      </c>
      <c r="H113" s="275">
        <f>IF(AND(ISNUMBER(H37),ISNUMBER(H80)),H37+H80+N(H102),"")</f>
      </c>
      <c r="I113" s="275">
        <f>IF(AND(ISNUMBER(I37),ISNUMBER(I80)),I37+I80+N(I102),"")</f>
        <v>1183.1</v>
      </c>
      <c r="J113" s="275">
        <f>IF(AND(ISNUMBER(J37),ISNUMBER(J80)),J37+J80+N(J102),"")</f>
        <v>304</v>
      </c>
      <c r="K113" s="275">
        <f>IF(AND(ISNUMBER(K37),ISNUMBER(K80)),K37+K80+N(K102),"")</f>
        <v>373.9</v>
      </c>
      <c r="L113" s="275">
        <f>IF(AND(ISNUMBER(L37),ISNUMBER(L80)),L37+L80+N(L102),"")</f>
        <v>314.9</v>
      </c>
      <c r="M113" s="275">
        <f>IF(AND(ISNUMBER(M37),ISNUMBER(M80)),M37+M80+N(M102),"")</f>
        <v>335.2</v>
      </c>
      <c r="N113" s="275">
        <f>IF(AND(ISNUMBER(N37),ISNUMBER(N80)),N37+N80+N(N102),"")</f>
        <v>1328</v>
      </c>
      <c r="O113" s="275">
        <f>IF(AND(ISNUMBER(O37),ISNUMBER(O80)),O37+O80+N(O102),"")</f>
        <v>356.1</v>
      </c>
      <c r="P113" s="275">
        <f>IF(AND(ISNUMBER(P37),ISNUMBER(P80)),P37+P80+N(P102),"")</f>
        <v>434</v>
      </c>
      <c r="Q113" s="275">
        <f>IF(AND(ISNUMBER(Q37),ISNUMBER(Q80)),Q37+Q80+N(Q102),"")</f>
        <v>372.9</v>
      </c>
      <c r="R113" s="275">
        <f>IF(AND(ISNUMBER(R37),ISNUMBER(R80)),R37+R80+N(R102),"")</f>
        <v>371.7</v>
      </c>
      <c r="S113" s="275">
        <f>IF(AND(ISNUMBER(S37),ISNUMBER(S80)),S37+S80+N(S102),"")</f>
        <v>1534.7</v>
      </c>
      <c r="T113" s="275">
        <f>IF(AND(ISNUMBER(T37),ISNUMBER(T80)),T37+T80+N(T102),"")</f>
        <v>399.9</v>
      </c>
      <c r="U113" s="275">
        <f>IF(AND(ISNUMBER(U37),ISNUMBER(U80)),U37+U80+N(U102),"")</f>
        <v>447.2</v>
      </c>
      <c r="V113" s="275">
        <f>IF(AND(ISNUMBER(V37),ISNUMBER(V80)),V37+V80+N(V102),"")</f>
        <v>378</v>
      </c>
      <c r="W113" s="275">
        <f>IF(AND(ISNUMBER(W37),ISNUMBER(W80)),W37+W80+N(W102),"")</f>
        <v>361.8</v>
      </c>
      <c r="X113" s="275">
        <f>IF(AND(ISNUMBER(X37),ISNUMBER(X80)),X37+X80+N(X102),"")</f>
        <v>1586.9</v>
      </c>
      <c r="Y113" s="275">
        <f>IF(AND(ISNUMBER(Y37),ISNUMBER(Y80)),Y37+Y80+N(Y102),"")</f>
        <v>334</v>
      </c>
      <c r="Z113" s="275">
        <f>IF(AND(ISNUMBER(Z37),ISNUMBER(Z80)),Z37+Z80+N(Z102),"")</f>
        <v>441.4</v>
      </c>
      <c r="AA113" s="275">
        <f>IF(AND(ISNUMBER(AA37),ISNUMBER(AA80)),AA37+AA80+N(AA102),"")</f>
        <v>438.6</v>
      </c>
      <c r="AB113" s="275">
        <f>IF(AND(ISNUMBER(AB37),ISNUMBER(AB80)),AB37+AB80+N(AB102),"")</f>
        <v>423.6</v>
      </c>
      <c r="AC113" s="275">
        <f>IF(AND(ISNUMBER(AC37),ISNUMBER(AC80)),AC37+AC80+N(AC102),"")</f>
        <v>1641.2</v>
      </c>
      <c r="AD113" s="275">
        <f>IF(AND(ISNUMBER(AD37),ISNUMBER(AD80)),AD37+AD80+N(AD102),"")</f>
        <v>475.9</v>
      </c>
      <c r="AE113" s="275">
        <f>IF(AND(ISNUMBER(AE37),ISNUMBER(AE80)),AE37+AE80+N(AE102),"")</f>
        <v>497</v>
      </c>
      <c r="AF113" s="275">
        <f>IF(AND(ISNUMBER(AF37),ISNUMBER(AF80)),AF37+AF80+N(AF102),"")</f>
        <v>498.5</v>
      </c>
      <c r="AG113" s="275">
        <f>IF(AND(ISNUMBER(AG37),ISNUMBER(AG80)),AG37+AG80+N(AG102),"")</f>
        <v>518.5</v>
      </c>
      <c r="AH113" s="275">
        <f>IF(AND(ISNUMBER(AH37),ISNUMBER(AH80)),AH37+AH80+N(AH102),"")</f>
        <v>1989.9</v>
      </c>
      <c r="AI113" s="275">
        <f>IF(AND(ISNUMBER(AI37),ISNUMBER(AI80)),AI37+AI80+N(AI102),"")</f>
        <v>540.7</v>
      </c>
      <c r="AJ113" s="275">
        <f>IF(AND(ISNUMBER(AJ37),ISNUMBER(AJ80)),AJ37+AJ80+N(AJ102),"")</f>
        <v>584.4</v>
      </c>
      <c r="AK113" s="275">
        <f>IF(AND(ISNUMBER(AK37),ISNUMBER(AK80)),AK37+AK80+N(AK102),"")</f>
        <v>514.2</v>
      </c>
      <c r="AL113" s="275">
        <f>IF(AND(ISNUMBER(AL37),ISNUMBER(AL80)),AL37+AL80+N(AL102),"")</f>
        <v>477.8</v>
      </c>
      <c r="AM113" s="275">
        <f>IF(AND(ISNUMBER(AM37),ISNUMBER(AM80)),AM37+AM80+N(AM102),"")</f>
        <v>2117.1</v>
      </c>
      <c r="AN113" s="275">
        <f>IF(AND(ISNUMBER(AN37),ISNUMBER(AN80)),AN37+AN80+N(AN102),"")</f>
        <v>518.9</v>
      </c>
      <c r="AO113" s="275">
        <f>IF(AND(ISNUMBER(AO37),ISNUMBER(AO80)),AO37+AO80+N(AO102),"")</f>
        <v>599</v>
      </c>
      <c r="AP113" s="275">
        <f>IF(AND(ISNUMBER(AP37),ISNUMBER(AP80)),AP37+AP80+N(AP102),"")</f>
        <v>613.9</v>
      </c>
      <c r="AQ113" s="275">
        <f>IF(AND(ISNUMBER(AQ37),ISNUMBER(AQ80)),AQ37+AQ80+N(AQ102),"")</f>
        <v>559</v>
      </c>
      <c r="AR113" s="275">
        <f>IF(AND(ISNUMBER(AR37),ISNUMBER(AR80)),AR37+AR80+N(AR102),"")</f>
        <v>2291</v>
      </c>
      <c r="AS113" s="275">
        <f>IF(AND(ISNUMBER(AS37),ISNUMBER(AS80)),AS37+AS80+N(AS102),"")</f>
        <v>649</v>
      </c>
      <c r="AT113" s="275">
        <f>IF(AND(ISNUMBER(AT37),ISNUMBER(AT80)),AT37+AT80+N(AT102),"")</f>
        <v>766</v>
      </c>
      <c r="AU113" s="275">
        <f>IF(AND(ISNUMBER(AU37),ISNUMBER(AU80)),AU37+AU80+N(AU102),"")</f>
        <v>721</v>
      </c>
      <c r="AV113" s="275">
        <f>IF(AND(ISNUMBER(AV37),ISNUMBER(AV80)),AV37+AV80+N(AV102),"")</f>
        <v>531</v>
      </c>
      <c r="AW113" s="275">
        <f>IF(AND(ISNUMBER(AW37),ISNUMBER(AW80)),AW37+AW80+N(AW102),"")</f>
        <v>2667</v>
      </c>
      <c r="AX113" s="275">
        <f>IF(AND(ISNUMBER(AX37),ISNUMBER(AX80)),AX37+AX80+N(AX102),"")</f>
        <v>914</v>
      </c>
      <c r="AY113" s="275">
        <f>IF(AND(ISNUMBER(AY37),ISNUMBER(AY80)),AY37+AY80+N(AY102),"")</f>
        <v>861</v>
      </c>
      <c r="AZ113" s="275">
        <f>IF(AND(ISNUMBER(AZ37),ISNUMBER(AZ80)),AZ37+AZ80+N(AZ102),"")</f>
        <v>737</v>
      </c>
      <c r="BA113" s="275">
        <f>IF(AND(ISNUMBER(BA37),ISNUMBER(BA80)),BA37+BA80+N(BA102),"")</f>
        <v>589</v>
      </c>
      <c r="BB113" s="275">
        <f>IF(AND(ISNUMBER(BB37),ISNUMBER(BB80)),BB37+BB80+N(BB102),"")</f>
        <v>3101</v>
      </c>
      <c r="BC113" s="275">
        <f>IF(AND(ISNUMBER(BC37),ISNUMBER(BC80)),BC37+BC80+N(BC102),"")</f>
        <v>734</v>
      </c>
      <c r="BD113" s="275">
        <f>IF(AND(ISNUMBER(BD37),ISNUMBER(BD80)),BD37+BD80+N(BD102),"")</f>
        <v>620</v>
      </c>
      <c r="BE113" s="275">
        <f>IF(AND(ISNUMBER(BE37),ISNUMBER(BE80)),BE37+BE80+N(BE102),"")</f>
        <v>497</v>
      </c>
      <c r="BF113" s="275">
        <f>IF(AND(ISNUMBER(BF37),ISNUMBER(BF80)),BF37+BF80+N(BF102),"")</f>
        <v>477</v>
      </c>
      <c r="BG113" s="275">
        <f>IF(AND(ISNUMBER(BG37),ISNUMBER(BG80)),BG37+BG80+N(BG102),"")</f>
        <v>2328</v>
      </c>
      <c r="BH113" s="275">
        <f>IF(AND(ISNUMBER(BH37),ISNUMBER(BH80)),BH37+BH80+N(BH102),"")</f>
        <v>656</v>
      </c>
      <c r="BI113" s="275">
        <f>IF(AND(ISNUMBER(BI37),ISNUMBER(BI80)),BI37+BI80+N(BI102),"")</f>
        <v>653</v>
      </c>
      <c r="BJ113" s="275">
        <f>IF(AND(ISNUMBER(BJ37),ISNUMBER(BJ80)),BJ37+BJ80+N(BJ102),"")</f>
        <v>657</v>
      </c>
      <c r="BK113" s="275">
        <f>IF(AND(ISNUMBER(BK37),ISNUMBER(BK80)),BK37+BK80+N(BK102),"")</f>
        <v>631</v>
      </c>
      <c r="BL113" s="275">
        <f>IF(AND(ISNUMBER(BL37),ISNUMBER(BL80)),BL37+BL80+N(BL102),"")</f>
        <v>2597</v>
      </c>
      <c r="BM113" s="275">
        <f>IF(AND(ISNUMBER(BM37),ISNUMBER(BM80)),BM37+BM80+N(BM102),"")</f>
        <v>906</v>
      </c>
      <c r="BN113" s="275">
        <f>IF(AND(ISNUMBER(BN37),ISNUMBER(BN80)),BN37+BN80+N(BN102),"")</f>
        <v>902</v>
      </c>
      <c r="BO113" s="275">
        <f>IF(AND(ISNUMBER(BO37),ISNUMBER(BO80)),BO37+BO80+N(BO102),"")</f>
        <v>867</v>
      </c>
      <c r="BP113" s="275">
        <f>IF(AND(ISNUMBER(BP37),ISNUMBER(BP80)),BP37+BP80+N(BP102),"")</f>
        <v>733</v>
      </c>
      <c r="BQ113" s="275">
        <f>IF(AND(ISNUMBER(BQ37),ISNUMBER(BQ80)),BQ37+BQ80+N(BQ102),"")</f>
        <v>3408</v>
      </c>
      <c r="BR113" s="275">
        <f>IF(AND(ISNUMBER(BR37),ISNUMBER(BR80)),BR37+BR80+N(BR102),"")</f>
        <v>994</v>
      </c>
      <c r="BS113" s="275">
        <f>IF(AND(ISNUMBER(BS37),ISNUMBER(BS80)),BS37+BS80+N(BS102),"")</f>
        <v>966</v>
      </c>
      <c r="BT113" s="275">
        <f>IF(AND(ISNUMBER(BT37),ISNUMBER(BT80)),BT37+BT80+N(BT102),"")</f>
        <v>1062</v>
      </c>
      <c r="BU113" s="275">
        <f>IF(AND(ISNUMBER(BU37),ISNUMBER(BU80)),BU37+BU80+N(BU102),"")</f>
        <v>920</v>
      </c>
      <c r="BV113" s="275">
        <f>IF(AND(ISNUMBER(BV37),ISNUMBER(BV80)),BV37+BV80+N(BV102),"")</f>
        <v>3942</v>
      </c>
      <c r="BW113" s="275">
        <f>IF(AND(ISNUMBER(BW37),ISNUMBER(BW80)),BW37+BW80+N(BW102),"")</f>
        <v>1105</v>
      </c>
      <c r="BX113" s="275">
        <f>IF(AND(ISNUMBER(BX37),ISNUMBER(BX80)),BX37+BX80+N(BX102),"")</f>
        <v>1208</v>
      </c>
      <c r="BY113" s="275">
        <f>IF(AND(ISNUMBER(BY37),ISNUMBER(BY80)),BY37+BY80+N(BY102),"")</f>
        <v>1075.36253255767</v>
      </c>
      <c r="BZ113" s="275">
        <f>IF(AND(ISNUMBER(BZ37),ISNUMBER(BZ80)),BZ37+BZ80+N(BZ102),"")</f>
        <v>931.119462823072</v>
      </c>
      <c r="CA113" s="275">
        <f>IF(AND(ISNUMBER(CA37),ISNUMBER(CA80)),CA37+CA80+N(CA102),"")</f>
        <v>4319.48199538074</v>
      </c>
      <c r="CB113" s="275">
        <f>IF(AND(ISNUMBER(CB37),ISNUMBER(CB80)),CB37+CB80+N(CB102),"")</f>
        <v>4686.90571707776</v>
      </c>
      <c r="CC113" s="275">
        <f>IF(AND(ISNUMBER(CC37),ISNUMBER(CC80)),CC37+CC80+N(CC102),"")</f>
        <v>5053.2218830559</v>
      </c>
      <c r="CD113" s="275">
        <f>IF(AND(ISNUMBER(CD37),ISNUMBER(CD80)),CD37+CD80+N(CD102),"")</f>
        <v>5433.78287586468</v>
      </c>
      <c r="CE113" s="275">
        <f>IF(AND(ISNUMBER(CE37),ISNUMBER(CE80)),CE37+CE80+N(CE102),"")</f>
        <v>5816.65368678495</v>
      </c>
      <c r="CF113" s="153" t="inlineStr">
        <is>
          <t>Σ segment Adjusted Operating Income (+ future acquisitions). Moody's allocates all corporate costs to the segments, so Σ segments = consolidated Adjusted Operating Income; drives the GAAP P&amp;L below.</t>
        </is>
      </c>
      <c r="CH113" s="20">
        <f>IFERROR((CE113/BV113)^(1/5)-1,"n/m")</f>
        <v>0.0809144371478396</v>
      </c>
      <c r="CI113" s="20">
        <f>IFERROR((BV113/AW113)^(1/5)-1,"n/m")</f>
        <v>0.0812813712394469</v>
      </c>
      <c r="CJ113" s="20">
        <f>IFERROR((BV113/X113)^(1/10)-1,"n/m")</f>
        <v>0.0952586858077966</v>
      </c>
      <c r="CK113" s="20" t="str">
        <f>IFERROR((BV113/C113)^(1/19)-1,"n/m")</f>
        <v>n/m</v>
      </c>
    </row>
    <row r="114" ht="15" customHeight="1" s="251">
      <c r="B114" s="25" t="inlineStr">
        <is>
          <t xml:space="preserve">  Adjusted Operating Margin % (on consolidated revenue)</t>
        </is>
      </c>
      <c r="C114" s="215">
        <f>IF(AND(ISNUMBER(C113),ISNUMBER(C163)),IFERROR(C113/C163,""),"")</f>
      </c>
      <c r="D114" s="215">
        <f>IF(AND(ISNUMBER(D113),ISNUMBER(D163)),IFERROR(D113/D163,""),"")</f>
      </c>
      <c r="E114" s="215">
        <f>IF(AND(ISNUMBER(E113),ISNUMBER(E163)),IFERROR(E113/E163,""),"")</f>
      </c>
      <c r="F114" s="215">
        <f>IF(AND(ISNUMBER(F113),ISNUMBER(F163)),IFERROR(F113/F163,""),"")</f>
      </c>
      <c r="G114" s="215">
        <f>IF(AND(ISNUMBER(G113),ISNUMBER(G163)),IFERROR(G113/G163,""),"")</f>
      </c>
      <c r="H114" s="215">
        <f>IF(AND(ISNUMBER(H113),ISNUMBER(H163)),IFERROR(H113/H163,""),"")</f>
      </c>
      <c r="I114" s="215">
        <f>IF(AND(ISNUMBER(I113),ISNUMBER(I163)),IFERROR(I113/I163,""),"")</f>
        <v>0.433322345529795</v>
      </c>
      <c r="J114" s="215">
        <f>IF(AND(ISNUMBER(J113),ISNUMBER(J163)),IFERROR(J113/J163,""),"")</f>
        <v>0.415414047553977</v>
      </c>
      <c r="K114" s="215">
        <f>IF(AND(ISNUMBER(K113),ISNUMBER(K163)),IFERROR(K113/K163,""),"")</f>
        <v>0.49457671957672</v>
      </c>
      <c r="L114" s="215">
        <f>IF(AND(ISNUMBER(L113),ISNUMBER(L163)),IFERROR(L113/L163,""),"")</f>
        <v>0.446350106307583</v>
      </c>
      <c r="M114" s="215">
        <f>IF(AND(ISNUMBER(M113),ISNUMBER(M163)),IFERROR(M113/M163,""),"")</f>
        <v>0.430184804928131</v>
      </c>
      <c r="N114" s="215">
        <f>IF(AND(ISNUMBER(N113),ISNUMBER(N163)),IFERROR(N113/N163,""),"")</f>
        <v>0.446761984861228</v>
      </c>
      <c r="O114" s="215">
        <f>IF(AND(ISNUMBER(O113),ISNUMBER(O163)),IFERROR(O113/O163,""),"")</f>
        <v>0.464155370177268</v>
      </c>
      <c r="P114" s="215">
        <f>IF(AND(ISNUMBER(P113),ISNUMBER(P163)),IFERROR(P113/P163,""),"")</f>
        <v>0.496851745850029</v>
      </c>
      <c r="Q114" s="215">
        <f>IF(AND(ISNUMBER(Q113),ISNUMBER(Q163)),IFERROR(Q113/Q163,""),"")</f>
        <v>0.456929297880162</v>
      </c>
      <c r="R114" s="215">
        <f>IF(AND(ISNUMBER(R113),ISNUMBER(R163)),IFERROR(R113/R163,""),"")</f>
        <v>0.423589743589744</v>
      </c>
      <c r="S114" s="215">
        <f>IF(AND(ISNUMBER(S113),ISNUMBER(S163)),IFERROR(S113/S163,""),"")</f>
        <v>0.460276519809255</v>
      </c>
      <c r="T114" s="215">
        <f>IF(AND(ISNUMBER(T113),ISNUMBER(T163)),IFERROR(T113/T163,""),"")</f>
        <v>0.46199168207024</v>
      </c>
      <c r="U114" s="215">
        <f>IF(AND(ISNUMBER(U113),ISNUMBER(U163)),IFERROR(U113/U163,""),"")</f>
        <v>0.487092909269143</v>
      </c>
      <c r="V114" s="215">
        <f>IF(AND(ISNUMBER(V113),ISNUMBER(V163)),IFERROR(V113/V163,""),"")</f>
        <v>0.452748832195473</v>
      </c>
      <c r="W114" s="215">
        <f>IF(AND(ISNUMBER(W113),ISNUMBER(W163)),IFERROR(W113/W163,""),"")</f>
        <v>0.417831158332371</v>
      </c>
      <c r="X114" s="215">
        <f>IF(AND(ISNUMBER(X113),ISNUMBER(X163)),IFERROR(X113/X163,""),"")</f>
        <v>0.455416846032429</v>
      </c>
      <c r="Y114" s="215">
        <f>IF(AND(ISNUMBER(Y113),ISNUMBER(Y163)),IFERROR(Y113/Y163,""),"")</f>
        <v>0.409263570640853</v>
      </c>
      <c r="Z114" s="215">
        <f>IF(AND(ISNUMBER(Z113),ISNUMBER(Z163)),IFERROR(Z113/Z163,""),"")</f>
        <v>0.475185703520293</v>
      </c>
      <c r="AA114" s="215">
        <f>IF(AND(ISNUMBER(AA113),ISNUMBER(AA163)),IFERROR(AA113/AA163,""),"")</f>
        <v>0.478246647039581</v>
      </c>
      <c r="AB114" s="215">
        <f>IF(AND(ISNUMBER(AB113),ISNUMBER(AB163)),IFERROR(AB113/AB163,""),"")</f>
        <v>0.449633796836854</v>
      </c>
      <c r="AC114" s="215">
        <f>IF(AND(ISNUMBER(AC113),ISNUMBER(AC163)),IFERROR(AC113/AC163,""),"")</f>
        <v>0.45535763831086</v>
      </c>
      <c r="AD114" s="215">
        <f>IF(AND(ISNUMBER(AD113),ISNUMBER(AD163)),IFERROR(AD113/AD163,""),"")</f>
        <v>0.488002461033634</v>
      </c>
      <c r="AE114" s="215">
        <f>IF(AND(ISNUMBER(AE113),ISNUMBER(AE163)),IFERROR(AE113/AE163,""),"")</f>
        <v>0.496751624187906</v>
      </c>
      <c r="AF114" s="215">
        <f>IF(AND(ISNUMBER(AF113),ISNUMBER(AF163)),IFERROR(AF113/AF163,""),"")</f>
        <v>0.468999905917772</v>
      </c>
      <c r="AG114" s="215">
        <f>IF(AND(ISNUMBER(AG113),ISNUMBER(AG163)),IFERROR(AG113/AG163,""),"")</f>
        <v>0.444873444873445</v>
      </c>
      <c r="AH114" s="215">
        <f>IF(AND(ISNUMBER(AH113),ISNUMBER(AH163)),IFERROR(AH113/AH163,""),"")</f>
        <v>0.473323660236436</v>
      </c>
      <c r="AI114" s="215">
        <f>IF(AND(ISNUMBER(AI113),ISNUMBER(AI163)),IFERROR(AI113/AI163,""),"")</f>
        <v>0.47989704446614</v>
      </c>
      <c r="AJ114" s="215">
        <f>IF(AND(ISNUMBER(AJ113),ISNUMBER(AJ163)),IFERROR(AJ113/AJ163,""),"")</f>
        <v>0.497319377074292</v>
      </c>
      <c r="AK114" s="215">
        <f>IF(AND(ISNUMBER(AK113),ISNUMBER(AK163)),IFERROR(AK113/AK163,""),"")</f>
        <v>0.475758697261288</v>
      </c>
      <c r="AL114" s="215">
        <f>IF(AND(ISNUMBER(AL113),ISNUMBER(AL163)),IFERROR(AL113/AL163,""),"")</f>
        <v>0.450712196962551</v>
      </c>
      <c r="AM114" s="215">
        <f>IF(AND(ISNUMBER(AM113),ISNUMBER(AM163)),IFERROR(AM113/AM163,""),"")</f>
        <v>0.476534539806874</v>
      </c>
      <c r="AN114" s="215">
        <f>IF(AND(ISNUMBER(AN113),ISNUMBER(AN163)),IFERROR(AN113/AN163,""),"")</f>
        <v>0.454338499255757</v>
      </c>
      <c r="AO114" s="215">
        <f>IF(AND(ISNUMBER(AO113),ISNUMBER(AO163)),IFERROR(AO113/AO163,""),"")</f>
        <v>0.493572841133817</v>
      </c>
      <c r="AP114" s="215">
        <f>IF(AND(ISNUMBER(AP113),ISNUMBER(AP163)),IFERROR(AP113/AP163,""),"")</f>
        <v>0.494881096332124</v>
      </c>
      <c r="AQ114" s="215">
        <f>IF(AND(ISNUMBER(AQ113),ISNUMBER(AQ163)),IFERROR(AQ113/AQ163,""),"")</f>
        <v>0.453365774533658</v>
      </c>
      <c r="AR114" s="215">
        <f>IF(AND(ISNUMBER(AR113),ISNUMBER(AR163)),IFERROR(AR113/AR163,""),"")</f>
        <v>0.474425346862705</v>
      </c>
      <c r="AS114" s="215">
        <f>IF(AND(ISNUMBER(AS113),ISNUMBER(AS163)),IFERROR(AS113/AS163,""),"")</f>
        <v>0.503100775193799</v>
      </c>
      <c r="AT114" s="215">
        <f>IF(AND(ISNUMBER(AT113),ISNUMBER(AT163)),IFERROR(AT113/AT163,""),"")</f>
        <v>0.533797909407666</v>
      </c>
      <c r="AU114" s="215">
        <f>IF(AND(ISNUMBER(AU113),ISNUMBER(AU163)),IFERROR(AU113/AU163,""),"")</f>
        <v>0.531710914454277</v>
      </c>
      <c r="AV114" s="215">
        <f>IF(AND(ISNUMBER(AV113),ISNUMBER(AV163)),IFERROR(AV113/AV163,""),"")</f>
        <v>0.411627906976744</v>
      </c>
      <c r="AW114" s="215">
        <f>IF(AND(ISNUMBER(AW113),ISNUMBER(AW163)),IFERROR(AW113/AW163,""),"")</f>
        <v>0.496555576242785</v>
      </c>
      <c r="AX114" s="215">
        <f>IF(AND(ISNUMBER(AX113),ISNUMBER(AX163)),IFERROR(AX113/AX163,""),"")</f>
        <v>0.57125</v>
      </c>
      <c r="AY114" s="215">
        <f>IF(AND(ISNUMBER(AY113),ISNUMBER(AY163)),IFERROR(AY113/AY163,""),"")</f>
        <v>0.554410817772054</v>
      </c>
      <c r="AZ114" s="215">
        <f>IF(AND(ISNUMBER(AZ113),ISNUMBER(AZ163)),IFERROR(AZ113/AZ163,""),"")</f>
        <v>0.482961992136304</v>
      </c>
      <c r="BA114" s="215">
        <f>IF(AND(ISNUMBER(BA113),ISNUMBER(BA163)),IFERROR(BA113/BA163,""),"")</f>
        <v>0.382716049382716</v>
      </c>
      <c r="BB114" s="215">
        <f>IF(AND(ISNUMBER(BB113),ISNUMBER(BB163)),IFERROR(BB113/BB163,""),"")</f>
        <v>0.498713412672885</v>
      </c>
      <c r="BC114" s="215">
        <f>IF(AND(ISNUMBER(BC113),ISNUMBER(BC163)),IFERROR(BC113/BC163,""),"")</f>
        <v>0.482260183968463</v>
      </c>
      <c r="BD114" s="215">
        <f>IF(AND(ISNUMBER(BD113),ISNUMBER(BD163)),IFERROR(BD113/BD163,""),"")</f>
        <v>0.448950036205648</v>
      </c>
      <c r="BE114" s="215">
        <f>IF(AND(ISNUMBER(BE113),ISNUMBER(BE163)),IFERROR(BE113/BE163,""),"")</f>
        <v>0.389803921568628</v>
      </c>
      <c r="BF114" s="215">
        <f>IF(AND(ISNUMBER(BF113),ISNUMBER(BF163)),IFERROR(BF113/BF163,""),"")</f>
        <v>0.369767441860465</v>
      </c>
      <c r="BG114" s="215">
        <f>IF(AND(ISNUMBER(BG113),ISNUMBER(BG163)),IFERROR(BG113/BG163,""),"")</f>
        <v>0.425749817117776</v>
      </c>
      <c r="BH114" s="215">
        <f>IF(AND(ISNUMBER(BH113),ISNUMBER(BH163)),IFERROR(BH113/BH163,""),"")</f>
        <v>0.446258503401361</v>
      </c>
      <c r="BI114" s="215">
        <f>IF(AND(ISNUMBER(BI113),ISNUMBER(BI163)),IFERROR(BI113/BI163,""),"")</f>
        <v>0.437081659973226</v>
      </c>
      <c r="BJ114" s="215">
        <f>IF(AND(ISNUMBER(BJ113),ISNUMBER(BJ163)),IFERROR(BJ113/BJ163,""),"")</f>
        <v>0.44633152173913</v>
      </c>
      <c r="BK114" s="215">
        <f>IF(AND(ISNUMBER(BK113),ISNUMBER(BK163)),IFERROR(BK113/BK163,""),"")</f>
        <v>0.426351351351351</v>
      </c>
      <c r="BL114" s="215">
        <f>IF(AND(ISNUMBER(BL113),ISNUMBER(BL163)),IFERROR(BL113/BL163,""),"")</f>
        <v>0.438979039891819</v>
      </c>
      <c r="BM114" s="215">
        <f>IF(AND(ISNUMBER(BM113),ISNUMBER(BM163)),IFERROR(BM113/BM163,""),"")</f>
        <v>0.507278835386338</v>
      </c>
      <c r="BN114" s="215">
        <f>IF(AND(ISNUMBER(BN113),ISNUMBER(BN163)),IFERROR(BN113/BN163,""),"")</f>
        <v>0.49642267473858</v>
      </c>
      <c r="BO114" s="215">
        <f>IF(AND(ISNUMBER(BO113),ISNUMBER(BO163)),IFERROR(BO113/BO163,""),"")</f>
        <v>0.478212906784335</v>
      </c>
      <c r="BP114" s="215">
        <f>IF(AND(ISNUMBER(BP113),ISNUMBER(BP163)),IFERROR(BP113/BP163,""),"")</f>
        <v>0.438397129186603</v>
      </c>
      <c r="BQ114" s="215">
        <f>IF(AND(ISNUMBER(BQ113),ISNUMBER(BQ163)),IFERROR(BQ113/BQ163,""),"")</f>
        <v>0.480812641083521</v>
      </c>
      <c r="BR114" s="215">
        <f>IF(AND(ISNUMBER(BR113),ISNUMBER(BR163)),IFERROR(BR113/BR163,""),"")</f>
        <v>0.516632016632017</v>
      </c>
      <c r="BS114" s="215">
        <f>IF(AND(ISNUMBER(BS113),ISNUMBER(BS163)),IFERROR(BS113/BS163,""),"")</f>
        <v>0.50895679662803</v>
      </c>
      <c r="BT114" s="215">
        <f>IF(AND(ISNUMBER(BT113),ISNUMBER(BT163)),IFERROR(BT113/BT163,""),"")</f>
        <v>0.52914798206278</v>
      </c>
      <c r="BU114" s="215">
        <f>IF(AND(ISNUMBER(BU113),ISNUMBER(BU163)),IFERROR(BU113/BU163,""),"")</f>
        <v>0.487030174695606</v>
      </c>
      <c r="BV114" s="215">
        <f>IF(AND(ISNUMBER(BV113),ISNUMBER(BV163)),IFERROR(BV113/BV163,""),"")</f>
        <v>0.51075408136823</v>
      </c>
      <c r="BW114" s="215">
        <f>IF(AND(ISNUMBER(BW113),ISNUMBER(BW163)),IFERROR(BW113/BW163,""),"")</f>
        <v>0.531505531505532</v>
      </c>
      <c r="BX114" s="215">
        <f>IF(AND(ISNUMBER(BX113),ISNUMBER(BX163)),IFERROR(BX113/BX163,""),"")</f>
        <v>0.552860411899314</v>
      </c>
      <c r="BY114" s="256">
        <f>IF(AND(ISNUMBER(BY113),ISNUMBER(BY163)),IFERROR(BY113/BY163,""),"")</f>
        <v>0.527114367633833</v>
      </c>
      <c r="BZ114" s="256">
        <f>IF(AND(ISNUMBER(BZ113),ISNUMBER(BZ163)),IFERROR(BZ113/BZ163,""),"")</f>
        <v>0.484106676629689</v>
      </c>
      <c r="CA114" s="256">
        <f>IF(AND(ISNUMBER(CA113),ISNUMBER(CA163)),IFERROR(CA113/CA163,""),"")</f>
        <v>0.525007322467385</v>
      </c>
      <c r="CB114" s="256">
        <f>IF(AND(ISNUMBER(CB113),ISNUMBER(CB163)),IFERROR(CB113/CB163,""),"")</f>
        <v>0.531368569555706</v>
      </c>
      <c r="CC114" s="256">
        <f>IF(AND(ISNUMBER(CC113),ISNUMBER(CC163)),IFERROR(CC113/CC163,""),"")</f>
        <v>0.536479481946473</v>
      </c>
      <c r="CD114" s="256">
        <f>IF(AND(ISNUMBER(CD113),ISNUMBER(CD163)),IFERROR(CD113/CD163,""),"")</f>
        <v>0.541902540061138</v>
      </c>
      <c r="CE114" s="256">
        <f>IF(AND(ISNUMBER(CE113),ISNUMBER(CE163)),IFERROR(CE113/CE163,""),"")</f>
        <v>0.547207148030497</v>
      </c>
      <c r="CF114" s="153" t="n"/>
      <c r="CH114" s="37">
        <f>IFERROR(AVERAGE(CA114,CB114,CC114,CD114,CE114),"n/m")</f>
        <v>0.53639301241224</v>
      </c>
      <c r="CI114" s="37">
        <f>IFERROR(AVERAGE(BB114,BG114,BL114,BQ114,BV114),"n/m")</f>
        <v>0.471001798426846</v>
      </c>
      <c r="CJ114" s="37">
        <f>IFERROR(AVERAGE(AC114,AH114,AM114,AR114,AW114,BB114,BG114,BL114,BQ114,BV114),"n/m")</f>
        <v>0.473120575359389</v>
      </c>
      <c r="CK114" s="37">
        <f>IFERROR(AVERAGE(C114,D114,E114,F114,G114,H114,I114,N114,S114,X114,AC114,AH114,AM114,AR114,AW114,BB114,BG114,BL114,BQ114,BV114),"n/m")</f>
        <v>0.466213103559043</v>
      </c>
    </row>
    <row r="115" ht="15" customHeight="1" s="251">
      <c r="B115" s="22" t="inlineStr">
        <is>
          <t xml:space="preserve">  Adjusted Operating Income y/y %</t>
        </is>
      </c>
      <c r="D115" s="255">
        <f>IF(AND(ISNUMBER(D113),ISNUMBER(C113)),IFERROR(D113/C113-1,""),"")</f>
      </c>
      <c r="E115" s="255">
        <f>IF(AND(ISNUMBER(E113),ISNUMBER(D113)),IFERROR(E113/D113-1,""),"")</f>
      </c>
      <c r="F115" s="255">
        <f>IF(AND(ISNUMBER(F113),ISNUMBER(E113)),IFERROR(F113/E113-1,""),"")</f>
      </c>
      <c r="G115" s="255">
        <f>IF(AND(ISNUMBER(G113),ISNUMBER(F113)),IFERROR(G113/F113-1,""),"")</f>
      </c>
      <c r="H115" s="255">
        <f>IF(AND(ISNUMBER(H113),ISNUMBER(G113)),IFERROR(H113/G113-1,""),"")</f>
      </c>
      <c r="I115" s="255">
        <f>IF(AND(ISNUMBER(I113),ISNUMBER(H113)),IFERROR(I113/H113-1,""),"")</f>
      </c>
      <c r="N115" s="255">
        <f>IF(AND(ISNUMBER(N113),ISNUMBER(I113)),IFERROR(N113/I113-1,""),"")</f>
        <v>0.122474854196602</v>
      </c>
      <c r="O115" s="255">
        <f>IF(AND(ISNUMBER(O113),ISNUMBER(J113)),IFERROR(O113/J113-1,""),"")</f>
        <v>0.171381578947369</v>
      </c>
      <c r="P115" s="255">
        <f>IF(AND(ISNUMBER(P113),ISNUMBER(K113)),IFERROR(P113/K113-1,""),"")</f>
        <v>0.160738165284835</v>
      </c>
      <c r="Q115" s="255">
        <f>IF(AND(ISNUMBER(Q113),ISNUMBER(L113)),IFERROR(Q113/L113-1,""),"")</f>
        <v>0.184185455700222</v>
      </c>
      <c r="R115" s="255">
        <f>IF(AND(ISNUMBER(R113),ISNUMBER(M113)),IFERROR(R113/M113-1,""),"")</f>
        <v>0.108890214797136</v>
      </c>
      <c r="S115" s="255">
        <f>IF(AND(ISNUMBER(S113),ISNUMBER(N113)),IFERROR(S113/N113-1,""),"")</f>
        <v>0.155647590361446</v>
      </c>
      <c r="T115" s="255">
        <f>IF(AND(ISNUMBER(T113),ISNUMBER(O113)),IFERROR(T113/O113-1,""),"")</f>
        <v>0.122999157540017</v>
      </c>
      <c r="U115" s="255">
        <f>IF(AND(ISNUMBER(U113),ISNUMBER(P113)),IFERROR(U113/P113-1,""),"")</f>
        <v>0.0304147465437787</v>
      </c>
      <c r="V115" s="255">
        <f>IF(AND(ISNUMBER(V113),ISNUMBER(Q113)),IFERROR(V113/Q113-1,""),"")</f>
        <v>0.0136765888978276</v>
      </c>
      <c r="W115" s="255">
        <f>IF(AND(ISNUMBER(W113),ISNUMBER(R113)),IFERROR(W113/R113-1,""),"")</f>
        <v>-0.026634382566586</v>
      </c>
      <c r="X115" s="255">
        <f>IF(AND(ISNUMBER(X113),ISNUMBER(S113)),IFERROR(X113/S113-1,""),"")</f>
        <v>0.0340131621815338</v>
      </c>
      <c r="Y115" s="255">
        <f>IF(AND(ISNUMBER(Y113),ISNUMBER(T113)),IFERROR(Y113/T113-1,""),"")</f>
        <v>-0.16479119779945</v>
      </c>
      <c r="Z115" s="255">
        <f>IF(AND(ISNUMBER(Z113),ISNUMBER(U113)),IFERROR(Z113/U113-1,""),"")</f>
        <v>-0.012969588550984</v>
      </c>
      <c r="AA115" s="255">
        <f>IF(AND(ISNUMBER(AA113),ISNUMBER(V113)),IFERROR(AA113/V113-1,""),"")</f>
        <v>0.16031746031746</v>
      </c>
      <c r="AB115" s="255">
        <f>IF(AND(ISNUMBER(AB113),ISNUMBER(W113)),IFERROR(AB113/W113-1,""),"")</f>
        <v>0.170812603648425</v>
      </c>
      <c r="AC115" s="255">
        <f>IF(AND(ISNUMBER(AC113),ISNUMBER(X113)),IFERROR(AC113/X113-1,""),"")</f>
        <v>0.0342176570672379</v>
      </c>
      <c r="AD115" s="255">
        <f>IF(AND(ISNUMBER(AD113),ISNUMBER(Y113)),IFERROR(AD113/Y113-1,""),"")</f>
        <v>0.424850299401198</v>
      </c>
      <c r="AE115" s="255">
        <f>IF(AND(ISNUMBER(AE113),ISNUMBER(Z113)),IFERROR(AE113/Z113-1,""),"")</f>
        <v>0.125962845491618</v>
      </c>
      <c r="AF115" s="255">
        <f>IF(AND(ISNUMBER(AF113),ISNUMBER(AA113)),IFERROR(AF113/AA113-1,""),"")</f>
        <v>0.136570907432741</v>
      </c>
      <c r="AG115" s="255">
        <f>IF(AND(ISNUMBER(AG113),ISNUMBER(AB113)),IFERROR(AG113/AB113-1,""),"")</f>
        <v>0.224032105760151</v>
      </c>
      <c r="AH115" s="255">
        <f>IF(AND(ISNUMBER(AH113),ISNUMBER(AC113)),IFERROR(AH113/AC113-1,""),"")</f>
        <v>0.212466487935657</v>
      </c>
      <c r="AI115" s="255">
        <f>IF(AND(ISNUMBER(AI113),ISNUMBER(AD113)),IFERROR(AI113/AD113-1,""),"")</f>
        <v>0.136163059466275</v>
      </c>
      <c r="AJ115" s="255">
        <f>IF(AND(ISNUMBER(AJ113),ISNUMBER(AE113)),IFERROR(AJ113/AE113-1,""),"")</f>
        <v>0.175855130784708</v>
      </c>
      <c r="AK115" s="255">
        <f>IF(AND(ISNUMBER(AK113),ISNUMBER(AF113)),IFERROR(AK113/AF113-1,""),"")</f>
        <v>0.0314944834503512</v>
      </c>
      <c r="AL115" s="255">
        <f>IF(AND(ISNUMBER(AL113),ISNUMBER(AG113)),IFERROR(AL113/AG113-1,""),"")</f>
        <v>-0.0784956605593057</v>
      </c>
      <c r="AM115" s="255">
        <f>IF(AND(ISNUMBER(AM113),ISNUMBER(AH113)),IFERROR(AM113/AH113-1,""),"")</f>
        <v>0.0639228101914668</v>
      </c>
      <c r="AN115" s="255">
        <f>IF(AND(ISNUMBER(AN113),ISNUMBER(AI113)),IFERROR(AN113/AI113-1,""),"")</f>
        <v>-0.0403181061586831</v>
      </c>
      <c r="AO115" s="255">
        <f>IF(AND(ISNUMBER(AO113),ISNUMBER(AJ113)),IFERROR(AO113/AJ113-1,""),"")</f>
        <v>0.0249828884325805</v>
      </c>
      <c r="AP115" s="255">
        <f>IF(AND(ISNUMBER(AP113),ISNUMBER(AK113)),IFERROR(AP113/AK113-1,""),"")</f>
        <v>0.193893426682225</v>
      </c>
      <c r="AQ115" s="255">
        <f>IF(AND(ISNUMBER(AQ113),ISNUMBER(AL113)),IFERROR(AQ113/AL113-1,""),"")</f>
        <v>0.169945583926329</v>
      </c>
      <c r="AR115" s="255">
        <f>IF(AND(ISNUMBER(AR113),ISNUMBER(AM113)),IFERROR(AR113/AM113-1,""),"")</f>
        <v>0.0821406641160078</v>
      </c>
      <c r="AS115" s="255">
        <f>IF(AND(ISNUMBER(AS113),ISNUMBER(AN113)),IFERROR(AS113/AN113-1,""),"")</f>
        <v>0.250722682597803</v>
      </c>
      <c r="AT115" s="255">
        <f>IF(AND(ISNUMBER(AT113),ISNUMBER(AO113)),IFERROR(AT113/AO113-1,""),"")</f>
        <v>0.278797996661102</v>
      </c>
      <c r="AU115" s="255">
        <f>IF(AND(ISNUMBER(AU113),ISNUMBER(AP113)),IFERROR(AU113/AP113-1,""),"")</f>
        <v>0.174458380843786</v>
      </c>
      <c r="AV115" s="255">
        <f>IF(AND(ISNUMBER(AV113),ISNUMBER(AQ113)),IFERROR(AV113/AQ113-1,""),"")</f>
        <v>-0.0500894454382826</v>
      </c>
      <c r="AW115" s="255">
        <f>IF(AND(ISNUMBER(AW113),ISNUMBER(AR113)),IFERROR(AW113/AR113-1,""),"")</f>
        <v>0.164120471409865</v>
      </c>
      <c r="AX115" s="255">
        <f>IF(AND(ISNUMBER(AX113),ISNUMBER(AS113)),IFERROR(AX113/AS113-1,""),"")</f>
        <v>0.408320493066256</v>
      </c>
      <c r="AY115" s="255">
        <f>IF(AND(ISNUMBER(AY113),ISNUMBER(AT113)),IFERROR(AY113/AT113-1,""),"")</f>
        <v>0.124020887728459</v>
      </c>
      <c r="AZ115" s="255">
        <f>IF(AND(ISNUMBER(AZ113),ISNUMBER(AU113)),IFERROR(AZ113/AU113-1,""),"")</f>
        <v>0.0221914008321775</v>
      </c>
      <c r="BA115" s="255">
        <f>IF(AND(ISNUMBER(BA113),ISNUMBER(AV113)),IFERROR(BA113/AV113-1,""),"")</f>
        <v>0.109227871939736</v>
      </c>
      <c r="BB115" s="255">
        <f>IF(AND(ISNUMBER(BB113),ISNUMBER(AW113)),IFERROR(BB113/AW113-1,""),"")</f>
        <v>0.162729658792651</v>
      </c>
      <c r="BC115" s="255">
        <f>IF(AND(ISNUMBER(BC113),ISNUMBER(AX113)),IFERROR(BC113/AX113-1,""),"")</f>
        <v>-0.196936542669584</v>
      </c>
      <c r="BD115" s="255">
        <f>IF(AND(ISNUMBER(BD113),ISNUMBER(AY113)),IFERROR(BD113/AY113-1,""),"")</f>
        <v>-0.279907084785134</v>
      </c>
      <c r="BE115" s="255">
        <f>IF(AND(ISNUMBER(BE113),ISNUMBER(AZ113)),IFERROR(BE113/AZ113-1,""),"")</f>
        <v>-0.325644504748982</v>
      </c>
      <c r="BF115" s="255">
        <f>IF(AND(ISNUMBER(BF113),ISNUMBER(BA113)),IFERROR(BF113/BA113-1,""),"")</f>
        <v>-0.190152801358234</v>
      </c>
      <c r="BG115" s="255">
        <f>IF(AND(ISNUMBER(BG113),ISNUMBER(BB113)),IFERROR(BG113/BB113-1,""),"")</f>
        <v>-0.249274427603999</v>
      </c>
      <c r="BH115" s="255">
        <f>IF(AND(ISNUMBER(BH113),ISNUMBER(BC113)),IFERROR(BH113/BC113-1,""),"")</f>
        <v>-0.106267029972752</v>
      </c>
      <c r="BI115" s="255">
        <f>IF(AND(ISNUMBER(BI113),ISNUMBER(BD113)),IFERROR(BI113/BD113-1,""),"")</f>
        <v>0.0532258064516129</v>
      </c>
      <c r="BJ115" s="255">
        <f>IF(AND(ISNUMBER(BJ113),ISNUMBER(BE113)),IFERROR(BJ113/BE113-1,""),"")</f>
        <v>0.321931589537223</v>
      </c>
      <c r="BK115" s="255">
        <f>IF(AND(ISNUMBER(BK113),ISNUMBER(BF113)),IFERROR(BK113/BF113-1,""),"")</f>
        <v>0.322851153039832</v>
      </c>
      <c r="BL115" s="255">
        <f>IF(AND(ISNUMBER(BL113),ISNUMBER(BG113)),IFERROR(BL113/BG113-1,""),"")</f>
        <v>0.115549828178694</v>
      </c>
      <c r="BM115" s="255">
        <f>IF(AND(ISNUMBER(BM113),ISNUMBER(BH113)),IFERROR(BM113/BH113-1,""),"")</f>
        <v>0.38109756097561</v>
      </c>
      <c r="BN115" s="255">
        <f>IF(AND(ISNUMBER(BN113),ISNUMBER(BI113)),IFERROR(BN113/BI113-1,""),"")</f>
        <v>0.381316998468606</v>
      </c>
      <c r="BO115" s="255">
        <f>IF(AND(ISNUMBER(BO113),ISNUMBER(BJ113)),IFERROR(BO113/BJ113-1,""),"")</f>
        <v>0.319634703196347</v>
      </c>
      <c r="BP115" s="255">
        <f>IF(AND(ISNUMBER(BP113),ISNUMBER(BK113)),IFERROR(BP113/BK113-1,""),"")</f>
        <v>0.161648177496038</v>
      </c>
      <c r="BQ115" s="255">
        <f>IF(AND(ISNUMBER(BQ113),ISNUMBER(BL113)),IFERROR(BQ113/BL113-1,""),"")</f>
        <v>0.312283403927609</v>
      </c>
      <c r="BR115" s="255">
        <f>IF(AND(ISNUMBER(BR113),ISNUMBER(BM113)),IFERROR(BR113/BM113-1,""),"")</f>
        <v>0.0971302428256071</v>
      </c>
      <c r="BS115" s="255">
        <f>IF(AND(ISNUMBER(BS113),ISNUMBER(BN113)),IFERROR(BS113/BN113-1,""),"")</f>
        <v>0.0709534368070954</v>
      </c>
      <c r="BT115" s="255">
        <f>IF(AND(ISNUMBER(BT113),ISNUMBER(BO113)),IFERROR(BT113/BO113-1,""),"")</f>
        <v>0.224913494809688</v>
      </c>
      <c r="BU115" s="255">
        <f>IF(AND(ISNUMBER(BU113),ISNUMBER(BP113)),IFERROR(BU113/BP113-1,""),"")</f>
        <v>0.255115961800819</v>
      </c>
      <c r="BV115" s="255">
        <f>IF(AND(ISNUMBER(BV113),ISNUMBER(BQ113)),IFERROR(BV113/BQ113-1,""),"")</f>
        <v>0.156690140845071</v>
      </c>
      <c r="BW115" s="255">
        <f>IF(AND(ISNUMBER(BW113),ISNUMBER(BR113)),IFERROR(BW113/BR113-1,""),"")</f>
        <v>0.111670020120724</v>
      </c>
      <c r="BX115" s="255">
        <f>IF(AND(ISNUMBER(BX113),ISNUMBER(BS113)),IFERROR(BX113/BS113-1,""),"")</f>
        <v>0.250517598343685</v>
      </c>
      <c r="BY115" s="256">
        <f>IF(AND(ISNUMBER(BY113),ISNUMBER(BT113)),IFERROR(BY113/BT113-1,""),"")</f>
        <v>0.0125824223706845</v>
      </c>
      <c r="BZ115" s="256">
        <f>IF(AND(ISNUMBER(BZ113),ISNUMBER(BU113)),IFERROR(BZ113/BU113-1,""),"")</f>
        <v>0.0120863726337741</v>
      </c>
      <c r="CA115" s="256">
        <f>IF(AND(ISNUMBER(CA113),ISNUMBER(BV113)),IFERROR(CA113/BV113-1,""),"")</f>
        <v>0.095759004409117</v>
      </c>
      <c r="CB115" s="256">
        <f>IF(AND(ISNUMBER(CB113),ISNUMBER(CA113)),IFERROR(CB113/CA113-1,""),"")</f>
        <v>0.0850619870831597</v>
      </c>
      <c r="CC115" s="256">
        <f>IF(AND(ISNUMBER(CC113),ISNUMBER(CB113)),IFERROR(CC113/CB113-1,""),"")</f>
        <v>0.0781573575596781</v>
      </c>
      <c r="CD115" s="256">
        <f>IF(AND(ISNUMBER(CD113),ISNUMBER(CC113)),IFERROR(CD113/CC113-1,""),"")</f>
        <v>0.0753105645498853</v>
      </c>
      <c r="CE115" s="256">
        <f>IF(AND(ISNUMBER(CE113),ISNUMBER(CD113)),IFERROR(CE113/CD113-1,""),"")</f>
        <v>0.0704611906045924</v>
      </c>
      <c r="CF115" s="153" t="n"/>
    </row>
    <row r="116" ht="15" customHeight="1" s="251">
      <c r="B116" s="57" t="inlineStr">
        <is>
          <t xml:space="preserve">  Check: segment build vs Adjusted Operating Income bridge (should be 0)</t>
        </is>
      </c>
      <c r="C116" s="261">
        <f>IF(AND(ISNUMBER(C113),ISNUMBER(C202)),IF(ABS(C113-C202)&lt;=1.5,0,ROUND(C113-C202,1)),"")</f>
      </c>
      <c r="D116" s="261">
        <f>IF(AND(ISNUMBER(D113),ISNUMBER(D202)),IF(ABS(D113-D202)&lt;=1.5,0,ROUND(D113-D202,1)),"")</f>
      </c>
      <c r="E116" s="261">
        <f>IF(AND(ISNUMBER(E113),ISNUMBER(E202)),IF(ABS(E113-E202)&lt;=1.5,0,ROUND(E113-E202,1)),"")</f>
      </c>
      <c r="F116" s="261">
        <f>IF(AND(ISNUMBER(F113),ISNUMBER(F202)),IF(ABS(F113-F202)&lt;=1.5,0,ROUND(F113-F202,1)),"")</f>
      </c>
      <c r="G116" s="261">
        <f>IF(AND(ISNUMBER(G113),ISNUMBER(G202)),IF(ABS(G113-G202)&lt;=1.5,0,ROUND(G113-G202,1)),"")</f>
      </c>
      <c r="H116" s="261">
        <f>IF(AND(ISNUMBER(H113),ISNUMBER(H202)),IF(ABS(H113-H202)&lt;=1.5,0,ROUND(H113-H202,1)),"")</f>
      </c>
      <c r="I116" s="261">
        <f>IF(AND(ISNUMBER(I113),ISNUMBER(I202)),IF(ABS(I113-I202)&lt;=1.5,0,ROUND(I113-I202,1)),"")</f>
        <v>0</v>
      </c>
      <c r="J116" s="261">
        <f>IF(AND(ISNUMBER(J113),ISNUMBER(J202)),IF(ABS(J113-J202)&lt;=1.5,0,ROUND(J113-J202,1)),"")</f>
        <v>0</v>
      </c>
      <c r="K116" s="261">
        <f>IF(AND(ISNUMBER(K113),ISNUMBER(K202)),IF(ABS(K113-K202)&lt;=1.5,0,ROUND(K113-K202,1)),"")</f>
        <v>0</v>
      </c>
      <c r="L116" s="261">
        <f>IF(AND(ISNUMBER(L113),ISNUMBER(L202)),IF(ABS(L113-L202)&lt;=1.5,0,ROUND(L113-L202,1)),"")</f>
        <v>0</v>
      </c>
      <c r="M116" s="261">
        <f>IF(AND(ISNUMBER(M113),ISNUMBER(M202)),IF(ABS(M113-M202)&lt;=1.5,0,ROUND(M113-M202,1)),"")</f>
        <v>0</v>
      </c>
      <c r="N116" s="261">
        <f>IF(AND(ISNUMBER(N113),ISNUMBER(N202)),IF(ABS(N113-N202)&lt;=1.5,0,ROUND(N113-N202,1)),"")</f>
        <v>0</v>
      </c>
      <c r="O116" s="261">
        <f>IF(AND(ISNUMBER(O113),ISNUMBER(O202)),IF(ABS(O113-O202)&lt;=1.5,0,ROUND(O113-O202,1)),"")</f>
        <v>0</v>
      </c>
      <c r="P116" s="261">
        <f>IF(AND(ISNUMBER(P113),ISNUMBER(P202)),IF(ABS(P113-P202)&lt;=1.5,0,ROUND(P113-P202,1)),"")</f>
        <v>0</v>
      </c>
      <c r="Q116" s="261">
        <f>IF(AND(ISNUMBER(Q113),ISNUMBER(Q202)),IF(ABS(Q113-Q202)&lt;=1.5,0,ROUND(Q113-Q202,1)),"")</f>
        <v>0</v>
      </c>
      <c r="R116" s="261">
        <f>IF(AND(ISNUMBER(R113),ISNUMBER(R202)),IF(ABS(R113-R202)&lt;=1.5,0,ROUND(R113-R202,1)),"")</f>
        <v>0</v>
      </c>
      <c r="S116" s="261">
        <f>IF(AND(ISNUMBER(S113),ISNUMBER(S202)),IF(ABS(S113-S202)&lt;=1.5,0,ROUND(S113-S202,1)),"")</f>
        <v>0</v>
      </c>
      <c r="T116" s="261">
        <f>IF(AND(ISNUMBER(T113),ISNUMBER(T202)),IF(ABS(T113-T202)&lt;=1.5,0,ROUND(T113-T202,1)),"")</f>
        <v>0</v>
      </c>
      <c r="U116" s="261">
        <f>IF(AND(ISNUMBER(U113),ISNUMBER(U202)),IF(ABS(U113-U202)&lt;=1.5,0,ROUND(U113-U202,1)),"")</f>
        <v>0</v>
      </c>
      <c r="V116" s="261">
        <f>IF(AND(ISNUMBER(V113),ISNUMBER(V202)),IF(ABS(V113-V202)&lt;=1.5,0,ROUND(V113-V202,1)),"")</f>
        <v>0</v>
      </c>
      <c r="W116" s="261">
        <f>IF(AND(ISNUMBER(W113),ISNUMBER(W202)),IF(ABS(W113-W202)&lt;=1.5,0,ROUND(W113-W202,1)),"")</f>
        <v>0</v>
      </c>
      <c r="X116" s="261">
        <f>IF(AND(ISNUMBER(X113),ISNUMBER(X202)),IF(ABS(X113-X202)&lt;=1.5,0,ROUND(X113-X202,1)),"")</f>
        <v>0</v>
      </c>
      <c r="Y116" s="261">
        <f>IF(AND(ISNUMBER(Y113),ISNUMBER(Y202)),IF(ABS(Y113-Y202)&lt;=1.5,0,ROUND(Y113-Y202,1)),"")</f>
        <v>0</v>
      </c>
      <c r="Z116" s="261">
        <f>IF(AND(ISNUMBER(Z113),ISNUMBER(Z202)),IF(ABS(Z113-Z202)&lt;=1.5,0,ROUND(Z113-Z202,1)),"")</f>
        <v>0</v>
      </c>
      <c r="AA116" s="261">
        <f>IF(AND(ISNUMBER(AA113),ISNUMBER(AA202)),IF(ABS(AA113-AA202)&lt;=1.5,0,ROUND(AA113-AA202,1)),"")</f>
        <v>0</v>
      </c>
      <c r="AB116" s="261">
        <f>IF(AND(ISNUMBER(AB113),ISNUMBER(AB202)),IF(ABS(AB113-AB202)&lt;=1.5,0,ROUND(AB113-AB202,1)),"")</f>
        <v>0</v>
      </c>
      <c r="AC116" s="261">
        <f>IF(AND(ISNUMBER(AC113),ISNUMBER(AC202)),IF(ABS(AC113-AC202)&lt;=1.5,0,ROUND(AC113-AC202,1)),"")</f>
        <v>0</v>
      </c>
      <c r="AD116" s="261">
        <f>IF(AND(ISNUMBER(AD113),ISNUMBER(AD202)),IF(ABS(AD113-AD202)&lt;=1.5,0,ROUND(AD113-AD202,1)),"")</f>
        <v>0</v>
      </c>
      <c r="AE116" s="261">
        <f>IF(AND(ISNUMBER(AE113),ISNUMBER(AE202)),IF(ABS(AE113-AE202)&lt;=1.5,0,ROUND(AE113-AE202,1)),"")</f>
        <v>0</v>
      </c>
      <c r="AF116" s="261">
        <f>IF(AND(ISNUMBER(AF113),ISNUMBER(AF202)),IF(ABS(AF113-AF202)&lt;=1.5,0,ROUND(AF113-AF202,1)),"")</f>
        <v>0</v>
      </c>
      <c r="AG116" s="261">
        <f>IF(AND(ISNUMBER(AG113),ISNUMBER(AG202)),IF(ABS(AG113-AG202)&lt;=1.5,0,ROUND(AG113-AG202,1)),"")</f>
        <v>0</v>
      </c>
      <c r="AH116" s="261">
        <f>IF(AND(ISNUMBER(AH113),ISNUMBER(AH202)),IF(ABS(AH113-AH202)&lt;=1.5,0,ROUND(AH113-AH202,1)),"")</f>
        <v>0</v>
      </c>
      <c r="AI116" s="261">
        <f>IF(AND(ISNUMBER(AI113),ISNUMBER(AI202)),IF(ABS(AI113-AI202)&lt;=1.5,0,ROUND(AI113-AI202,1)),"")</f>
        <v>0</v>
      </c>
      <c r="AJ116" s="261">
        <f>IF(AND(ISNUMBER(AJ113),ISNUMBER(AJ202)),IF(ABS(AJ113-AJ202)&lt;=1.5,0,ROUND(AJ113-AJ202,1)),"")</f>
        <v>0</v>
      </c>
      <c r="AK116" s="261">
        <f>IF(AND(ISNUMBER(AK113),ISNUMBER(AK202)),IF(ABS(AK113-AK202)&lt;=1.5,0,ROUND(AK113-AK202,1)),"")</f>
        <v>0</v>
      </c>
      <c r="AL116" s="261">
        <f>IF(AND(ISNUMBER(AL113),ISNUMBER(AL202)),IF(ABS(AL113-AL202)&lt;=1.5,0,ROUND(AL113-AL202,1)),"")</f>
        <v>0</v>
      </c>
      <c r="AM116" s="261">
        <f>IF(AND(ISNUMBER(AM113),ISNUMBER(AM202)),IF(ABS(AM113-AM202)&lt;=1.5,0,ROUND(AM113-AM202,1)),"")</f>
        <v>0</v>
      </c>
      <c r="AN116" s="261">
        <f>IF(AND(ISNUMBER(AN113),ISNUMBER(AN202)),IF(ABS(AN113-AN202)&lt;=1.5,0,ROUND(AN113-AN202,1)),"")</f>
        <v>0</v>
      </c>
      <c r="AO116" s="261">
        <f>IF(AND(ISNUMBER(AO113),ISNUMBER(AO202)),IF(ABS(AO113-AO202)&lt;=1.5,0,ROUND(AO113-AO202,1)),"")</f>
        <v>0</v>
      </c>
      <c r="AP116" s="261">
        <f>IF(AND(ISNUMBER(AP113),ISNUMBER(AP202)),IF(ABS(AP113-AP202)&lt;=1.5,0,ROUND(AP113-AP202,1)),"")</f>
        <v>0</v>
      </c>
      <c r="AQ116" s="261">
        <f>IF(AND(ISNUMBER(AQ113),ISNUMBER(AQ202)),IF(ABS(AQ113-AQ202)&lt;=1.5,0,ROUND(AQ113-AQ202,1)),"")</f>
        <v>0</v>
      </c>
      <c r="AR116" s="261">
        <f>IF(AND(ISNUMBER(AR113),ISNUMBER(AR202)),IF(ABS(AR113-AR202)&lt;=1.5,0,ROUND(AR113-AR202,1)),"")</f>
        <v>0</v>
      </c>
      <c r="AS116" s="261">
        <f>IF(AND(ISNUMBER(AS113),ISNUMBER(AS202)),IF(ABS(AS113-AS202)&lt;=1.5,0,ROUND(AS113-AS202,1)),"")</f>
        <v>0</v>
      </c>
      <c r="AT116" s="261">
        <f>IF(AND(ISNUMBER(AT113),ISNUMBER(AT202)),IF(ABS(AT113-AT202)&lt;=1.5,0,ROUND(AT113-AT202,1)),"")</f>
        <v>0</v>
      </c>
      <c r="AU116" s="261">
        <f>IF(AND(ISNUMBER(AU113),ISNUMBER(AU202)),IF(ABS(AU113-AU202)&lt;=1.5,0,ROUND(AU113-AU202,1)),"")</f>
        <v>0</v>
      </c>
      <c r="AV116" s="261">
        <f>IF(AND(ISNUMBER(AV113),ISNUMBER(AV202)),IF(ABS(AV113-AV202)&lt;=1.5,0,ROUND(AV113-AV202,1)),"")</f>
        <v>0</v>
      </c>
      <c r="AW116" s="261">
        <f>IF(AND(ISNUMBER(AW113),ISNUMBER(AW202)),IF(ABS(AW113-AW202)&lt;=1.5,0,ROUND(AW113-AW202,1)),"")</f>
        <v>0</v>
      </c>
      <c r="AX116" s="261">
        <f>IF(AND(ISNUMBER(AX113),ISNUMBER(AX202)),IF(ABS(AX113-AX202)&lt;=1.5,0,ROUND(AX113-AX202,1)),"")</f>
        <v>0</v>
      </c>
      <c r="AY116" s="261">
        <f>IF(AND(ISNUMBER(AY113),ISNUMBER(AY202)),IF(ABS(AY113-AY202)&lt;=1.5,0,ROUND(AY113-AY202,1)),"")</f>
        <v>0</v>
      </c>
      <c r="AZ116" s="261">
        <f>IF(AND(ISNUMBER(AZ113),ISNUMBER(AZ202)),IF(ABS(AZ113-AZ202)&lt;=1.5,0,ROUND(AZ113-AZ202,1)),"")</f>
        <v>0</v>
      </c>
      <c r="BA116" s="261">
        <f>IF(AND(ISNUMBER(BA113),ISNUMBER(BA202)),IF(ABS(BA113-BA202)&lt;=1.5,0,ROUND(BA113-BA202,1)),"")</f>
        <v>0</v>
      </c>
      <c r="BB116" s="261">
        <f>IF(AND(ISNUMBER(BB113),ISNUMBER(BB202)),IF(ABS(BB113-BB202)&lt;=1.5,0,ROUND(BB113-BB202,1)),"")</f>
        <v>0</v>
      </c>
      <c r="BC116" s="261">
        <f>IF(AND(ISNUMBER(BC113),ISNUMBER(BC202)),IF(ABS(BC113-BC202)&lt;=1.5,0,ROUND(BC113-BC202,1)),"")</f>
        <v>0</v>
      </c>
      <c r="BD116" s="261">
        <f>IF(AND(ISNUMBER(BD113),ISNUMBER(BD202)),IF(ABS(BD113-BD202)&lt;=1.5,0,ROUND(BD113-BD202,1)),"")</f>
        <v>0</v>
      </c>
      <c r="BE116" s="261">
        <f>IF(AND(ISNUMBER(BE113),ISNUMBER(BE202)),IF(ABS(BE113-BE202)&lt;=1.5,0,ROUND(BE113-BE202,1)),"")</f>
        <v>0</v>
      </c>
      <c r="BF116" s="261">
        <f>IF(AND(ISNUMBER(BF113),ISNUMBER(BF202)),IF(ABS(BF113-BF202)&lt;=1.5,0,ROUND(BF113-BF202,1)),"")</f>
        <v>0</v>
      </c>
      <c r="BG116" s="261">
        <f>IF(AND(ISNUMBER(BG113),ISNUMBER(BG202)),IF(ABS(BG113-BG202)&lt;=1.5,0,ROUND(BG113-BG202,1)),"")</f>
        <v>0</v>
      </c>
      <c r="BH116" s="261">
        <f>IF(AND(ISNUMBER(BH113),ISNUMBER(BH202)),IF(ABS(BH113-BH202)&lt;=1.5,0,ROUND(BH113-BH202,1)),"")</f>
        <v>0</v>
      </c>
      <c r="BI116" s="261">
        <f>IF(AND(ISNUMBER(BI113),ISNUMBER(BI202)),IF(ABS(BI113-BI202)&lt;=1.5,0,ROUND(BI113-BI202,1)),"")</f>
        <v>0</v>
      </c>
      <c r="BJ116" s="261">
        <f>IF(AND(ISNUMBER(BJ113),ISNUMBER(BJ202)),IF(ABS(BJ113-BJ202)&lt;=1.5,0,ROUND(BJ113-BJ202,1)),"")</f>
        <v>0</v>
      </c>
      <c r="BK116" s="261">
        <f>IF(AND(ISNUMBER(BK113),ISNUMBER(BK202)),IF(ABS(BK113-BK202)&lt;=1.5,0,ROUND(BK113-BK202,1)),"")</f>
        <v>0</v>
      </c>
      <c r="BL116" s="261">
        <f>IF(AND(ISNUMBER(BL113),ISNUMBER(BL202)),IF(ABS(BL113-BL202)&lt;=1.5,0,ROUND(BL113-BL202,1)),"")</f>
        <v>0</v>
      </c>
      <c r="BM116" s="261">
        <f>IF(AND(ISNUMBER(BM113),ISNUMBER(BM202)),IF(ABS(BM113-BM202)&lt;=1.5,0,ROUND(BM113-BM202,1)),"")</f>
        <v>0</v>
      </c>
      <c r="BN116" s="261">
        <f>IF(AND(ISNUMBER(BN113),ISNUMBER(BN202)),IF(ABS(BN113-BN202)&lt;=1.5,0,ROUND(BN113-BN202,1)),"")</f>
        <v>0</v>
      </c>
      <c r="BO116" s="261">
        <f>IF(AND(ISNUMBER(BO113),ISNUMBER(BO202)),IF(ABS(BO113-BO202)&lt;=1.5,0,ROUND(BO113-BO202,1)),"")</f>
        <v>0</v>
      </c>
      <c r="BP116" s="261">
        <f>IF(AND(ISNUMBER(BP113),ISNUMBER(BP202)),IF(ABS(BP113-BP202)&lt;=1.5,0,ROUND(BP113-BP202,1)),"")</f>
        <v>0</v>
      </c>
      <c r="BQ116" s="261">
        <f>IF(AND(ISNUMBER(BQ113),ISNUMBER(BQ202)),IF(ABS(BQ113-BQ202)&lt;=1.5,0,ROUND(BQ113-BQ202,1)),"")</f>
        <v>0</v>
      </c>
      <c r="BR116" s="261">
        <f>IF(AND(ISNUMBER(BR113),ISNUMBER(BR202)),IF(ABS(BR113-BR202)&lt;=1.5,0,ROUND(BR113-BR202,1)),"")</f>
        <v>0</v>
      </c>
      <c r="BS116" s="261">
        <f>IF(AND(ISNUMBER(BS113),ISNUMBER(BS202)),IF(ABS(BS113-BS202)&lt;=1.5,0,ROUND(BS113-BS202,1)),"")</f>
        <v>0</v>
      </c>
      <c r="BT116" s="261">
        <f>IF(AND(ISNUMBER(BT113),ISNUMBER(BT202)),IF(ABS(BT113-BT202)&lt;=1.5,0,ROUND(BT113-BT202,1)),"")</f>
        <v>0</v>
      </c>
      <c r="BU116" s="261">
        <f>IF(AND(ISNUMBER(BU113),ISNUMBER(BU202)),IF(ABS(BU113-BU202)&lt;=1.5,0,ROUND(BU113-BU202,1)),"")</f>
        <v>0</v>
      </c>
      <c r="BV116" s="261">
        <f>IF(AND(ISNUMBER(BV113),ISNUMBER(BV202)),IF(ABS(BV113-BV202)&lt;=1.5,0,ROUND(BV113-BV202,1)),"")</f>
        <v>0</v>
      </c>
      <c r="BW116" s="261">
        <f>IF(AND(ISNUMBER(BW113),ISNUMBER(BW202)),IF(ABS(BW113-BW202)&lt;=1.5,0,ROUND(BW113-BW202,1)),"")</f>
        <v>0</v>
      </c>
      <c r="BX116" s="261">
        <f>IF(AND(ISNUMBER(BX113),ISNUMBER(BX202)),IF(ABS(BX113-BX202)&lt;=1.5,0,ROUND(BX113-BX202,1)),"")</f>
        <v>0</v>
      </c>
      <c r="BY116" s="267">
        <f>IF(AND(ISNUMBER(BY113),ISNUMBER(BY202)),IF(ABS(BY113-BY202)&lt;=1.5,0,ROUND(BY113-BY202,1)),"")</f>
        <v>0</v>
      </c>
      <c r="BZ116" s="267">
        <f>IF(AND(ISNUMBER(BZ113),ISNUMBER(BZ202)),IF(ABS(BZ113-BZ202)&lt;=1.5,0,ROUND(BZ113-BZ202,1)),"")</f>
        <v>0</v>
      </c>
      <c r="CA116" s="267">
        <f>IF(AND(ISNUMBER(CA113),ISNUMBER(CA202)),IF(ABS(CA113-CA202)&lt;=1.5,0,ROUND(CA113-CA202,1)),"")</f>
        <v>0</v>
      </c>
      <c r="CB116" s="267">
        <f>IF(AND(ISNUMBER(CB113),ISNUMBER(CB202)),IF(ABS(CB113-CB202)&lt;=1.5,0,ROUND(CB113-CB202,1)),"")</f>
        <v>0</v>
      </c>
      <c r="CC116" s="267">
        <f>IF(AND(ISNUMBER(CC113),ISNUMBER(CC202)),IF(ABS(CC113-CC202)&lt;=1.5,0,ROUND(CC113-CC202,1)),"")</f>
        <v>0</v>
      </c>
      <c r="CD116" s="267">
        <f>IF(AND(ISNUMBER(CD113),ISNUMBER(CD202)),IF(ABS(CD113-CD202)&lt;=1.5,0,ROUND(CD113-CD202,1)),"")</f>
        <v>0</v>
      </c>
      <c r="CE116" s="267">
        <f>IF(AND(ISNUMBER(CE113),ISNUMBER(CE202)),IF(ABS(CE113-CE202)&lt;=1.5,0,ROUND(CE113-CE202,1)),"")</f>
        <v>0</v>
      </c>
      <c r="CF116" s="153" t="n"/>
    </row>
    <row r="117" ht="15" customHeight="1" s="251">
      <c r="B117" s="156" t="inlineStr">
        <is>
          <t xml:space="preserve">  Memo: FY26 MIS revenue guidance end-point (FY2025 × (1 + guided growth, scenario))</t>
        </is>
      </c>
      <c r="C117" s="34" t="n"/>
      <c r="D117" s="34" t="n"/>
      <c r="E117" s="34" t="n"/>
      <c r="F117" s="34" t="n"/>
      <c r="G117" s="34" t="n"/>
      <c r="H117" s="34" t="n"/>
      <c r="I117" s="34" t="n"/>
      <c r="J117" s="34" t="n"/>
      <c r="K117" s="34" t="n"/>
      <c r="L117" s="34" t="n"/>
      <c r="M117" s="34" t="n"/>
      <c r="N117" s="34" t="n"/>
      <c r="O117" s="34" t="n"/>
      <c r="P117" s="34" t="n"/>
      <c r="Q117" s="34" t="n"/>
      <c r="R117" s="34" t="n"/>
      <c r="S117" s="34" t="n"/>
      <c r="T117" s="34" t="n"/>
      <c r="U117" s="34" t="n"/>
      <c r="V117" s="34" t="n"/>
      <c r="W117" s="34" t="n"/>
      <c r="X117" s="34" t="n"/>
      <c r="Y117" s="34" t="n"/>
      <c r="Z117" s="34" t="n"/>
      <c r="AA117" s="34" t="n"/>
      <c r="AB117" s="34" t="n"/>
      <c r="AC117" s="34" t="n"/>
      <c r="AD117" s="34" t="n"/>
      <c r="AE117" s="34" t="n"/>
      <c r="AF117" s="34" t="n"/>
      <c r="AG117" s="34" t="n"/>
      <c r="AH117" s="34" t="n"/>
      <c r="AI117" s="34" t="n"/>
      <c r="AJ117" s="34" t="n"/>
      <c r="AK117" s="34" t="n"/>
      <c r="AL117" s="34" t="n"/>
      <c r="AM117" s="34" t="n"/>
      <c r="AN117" s="34" t="n"/>
      <c r="AO117" s="34" t="n"/>
      <c r="AP117" s="34" t="n"/>
      <c r="AQ117" s="34" t="n"/>
      <c r="AR117" s="34" t="n"/>
      <c r="AS117" s="34" t="n"/>
      <c r="AT117" s="34" t="n"/>
      <c r="AU117" s="34" t="n"/>
      <c r="AV117" s="34" t="n"/>
      <c r="AW117" s="34" t="n"/>
      <c r="AX117" s="34" t="n"/>
      <c r="AY117" s="34" t="n"/>
      <c r="AZ117" s="34" t="n"/>
      <c r="BA117" s="34" t="n"/>
      <c r="BB117" s="34" t="n"/>
      <c r="BC117" s="34" t="n"/>
      <c r="BD117" s="34" t="n"/>
      <c r="BE117" s="34" t="n"/>
      <c r="BF117" s="34" t="n"/>
      <c r="BG117" s="34" t="n"/>
      <c r="BH117" s="34" t="n"/>
      <c r="BI117" s="34" t="n"/>
      <c r="BJ117" s="34" t="n"/>
      <c r="BK117" s="34" t="n"/>
      <c r="BL117" s="34" t="n"/>
      <c r="BM117" s="34" t="n"/>
      <c r="BN117" s="34" t="n"/>
      <c r="BO117" s="34" t="n"/>
      <c r="BP117" s="34" t="n"/>
      <c r="BQ117" s="34" t="n"/>
      <c r="BR117" s="34" t="n"/>
      <c r="BS117" s="34" t="n"/>
      <c r="BT117" s="34" t="n"/>
      <c r="BU117" s="34" t="n"/>
      <c r="BV117" s="34" t="n"/>
      <c r="BW117" s="34" t="n"/>
      <c r="BX117" s="34" t="n"/>
      <c r="BY117" s="153" t="n"/>
      <c r="BZ117" s="153" t="n"/>
      <c r="CA117" s="267">
        <f>BV27*(1+CHOOSE(MATCH($CF$2,{"Bull","Base","Bear"},0),$CO$12,$CP$12,$CQ$12))</f>
        <v>4448.52</v>
      </c>
      <c r="CB117" s="153" t="n"/>
      <c r="CC117" s="153" t="n"/>
      <c r="CD117" s="153" t="n"/>
      <c r="CE117" s="153" t="n"/>
      <c r="CF117" s="153" t="inlineStr">
        <is>
          <t>Company FY26 MIS revenue guidance: increase in the high-single-digit percent range (22-Jul-2026; unchanged since 18-Feb-2026).</t>
        </is>
      </c>
    </row>
    <row r="118" ht="15" customHeight="1" s="251">
      <c r="B118" s="25" t="inlineStr">
        <is>
          <t xml:space="preserve">  MIS revenue before calibration (Q3/Q4-26E helper)</t>
        </is>
      </c>
      <c r="C118" s="34" t="n"/>
      <c r="D118" s="34" t="n"/>
      <c r="E118" s="34" t="n"/>
      <c r="F118" s="34" t="n"/>
      <c r="G118" s="34" t="n"/>
      <c r="H118" s="34" t="n"/>
      <c r="I118" s="34" t="n"/>
      <c r="J118" s="34" t="n"/>
      <c r="K118" s="34" t="n"/>
      <c r="L118" s="34" t="n"/>
      <c r="M118" s="34" t="n"/>
      <c r="N118" s="34" t="n"/>
      <c r="O118" s="34" t="n"/>
      <c r="P118" s="34" t="n"/>
      <c r="Q118" s="34" t="n"/>
      <c r="R118" s="34" t="n"/>
      <c r="S118" s="34" t="n"/>
      <c r="T118" s="34" t="n"/>
      <c r="U118" s="34" t="n"/>
      <c r="V118" s="34" t="n"/>
      <c r="W118" s="34" t="n"/>
      <c r="X118" s="34" t="n"/>
      <c r="Y118" s="34" t="n"/>
      <c r="Z118" s="34" t="n"/>
      <c r="AA118" s="34" t="n"/>
      <c r="AB118" s="34" t="n"/>
      <c r="AC118" s="34" t="n"/>
      <c r="AD118" s="34" t="n"/>
      <c r="AE118" s="34" t="n"/>
      <c r="AF118" s="34" t="n"/>
      <c r="AG118" s="34" t="n"/>
      <c r="AH118" s="34" t="n"/>
      <c r="AI118" s="34" t="n"/>
      <c r="AJ118" s="34" t="n"/>
      <c r="AK118" s="34" t="n"/>
      <c r="AL118" s="34" t="n"/>
      <c r="AM118" s="34" t="n"/>
      <c r="AN118" s="34" t="n"/>
      <c r="AO118" s="34" t="n"/>
      <c r="AP118" s="34" t="n"/>
      <c r="AQ118" s="34" t="n"/>
      <c r="AR118" s="34" t="n"/>
      <c r="AS118" s="34" t="n"/>
      <c r="AT118" s="34" t="n"/>
      <c r="AU118" s="34" t="n"/>
      <c r="AV118" s="34" t="n"/>
      <c r="AW118" s="34" t="n"/>
      <c r="AX118" s="34" t="n"/>
      <c r="AY118" s="34" t="n"/>
      <c r="AZ118" s="34" t="n"/>
      <c r="BA118" s="34" t="n"/>
      <c r="BB118" s="34" t="n"/>
      <c r="BC118" s="34" t="n"/>
      <c r="BD118" s="34" t="n"/>
      <c r="BE118" s="34" t="n"/>
      <c r="BF118" s="34" t="n"/>
      <c r="BG118" s="34" t="n"/>
      <c r="BH118" s="34" t="n"/>
      <c r="BI118" s="34" t="n"/>
      <c r="BJ118" s="34" t="n"/>
      <c r="BK118" s="34" t="n"/>
      <c r="BL118" s="34" t="n"/>
      <c r="BM118" s="34" t="n"/>
      <c r="BN118" s="34" t="n"/>
      <c r="BO118" s="34" t="n"/>
      <c r="BP118" s="34" t="n"/>
      <c r="BQ118" s="34" t="n"/>
      <c r="BR118" s="34" t="n"/>
      <c r="BS118" s="34" t="n"/>
      <c r="BT118" s="34" t="n"/>
      <c r="BU118" s="34" t="n"/>
      <c r="BV118" s="34" t="n"/>
      <c r="BW118" s="34" t="n"/>
      <c r="BX118" s="34" t="n"/>
      <c r="BY118" s="254">
        <f>BT11*(1+BY13)+BT14*(1+BY16)+BT17*(1+BY19)+BT20*(1+BY22)+BT23*(1+BY25)</f>
        <v>1275.24516440391</v>
      </c>
      <c r="BZ118" s="254">
        <f>BU11*(1+BZ13)+BU14*(1+BZ16)+BU17*(1+BZ19)+BU20*(1+BZ22)+BU23*(1+BZ25)</f>
        <v>1098.69407219111</v>
      </c>
      <c r="CA118" s="254">
        <f>SUM(BY118:BZ118)</f>
        <v>2373.93923659502</v>
      </c>
      <c r="CB118" s="35" t="n"/>
      <c r="CC118" s="35" t="n"/>
      <c r="CD118" s="35" t="n"/>
      <c r="CE118" s="35" t="n"/>
      <c r="CF118" s="19" t="n"/>
    </row>
    <row r="119" ht="15" customHeight="1" s="251">
      <c r="B119" s="25" t="inlineStr">
        <is>
          <t xml:space="preserve">  MIS revenue sensitivity to +1.00 of growth (Q3/Q4-26E helper)</t>
        </is>
      </c>
      <c r="C119" s="34" t="n"/>
      <c r="D119" s="34" t="n"/>
      <c r="E119" s="34" t="n"/>
      <c r="F119" s="34" t="n"/>
      <c r="G119" s="34" t="n"/>
      <c r="H119" s="34" t="n"/>
      <c r="I119" s="34" t="n"/>
      <c r="J119" s="34" t="n"/>
      <c r="K119" s="34" t="n"/>
      <c r="L119" s="34" t="n"/>
      <c r="M119" s="34" t="n"/>
      <c r="N119" s="34" t="n"/>
      <c r="O119" s="34" t="n"/>
      <c r="P119" s="34" t="n"/>
      <c r="Q119" s="34" t="n"/>
      <c r="R119" s="34" t="n"/>
      <c r="S119" s="34" t="n"/>
      <c r="T119" s="34" t="n"/>
      <c r="U119" s="34" t="n"/>
      <c r="V119" s="34" t="n"/>
      <c r="W119" s="34" t="n"/>
      <c r="X119" s="34" t="n"/>
      <c r="Y119" s="34" t="n"/>
      <c r="Z119" s="34" t="n"/>
      <c r="AA119" s="34" t="n"/>
      <c r="AB119" s="34" t="n"/>
      <c r="AC119" s="34" t="n"/>
      <c r="AD119" s="34" t="n"/>
      <c r="AE119" s="34" t="n"/>
      <c r="AF119" s="34" t="n"/>
      <c r="AG119" s="34" t="n"/>
      <c r="AH119" s="34" t="n"/>
      <c r="AI119" s="34" t="n"/>
      <c r="AJ119" s="34" t="n"/>
      <c r="AK119" s="34" t="n"/>
      <c r="AL119" s="34" t="n"/>
      <c r="AM119" s="34" t="n"/>
      <c r="AN119" s="34" t="n"/>
      <c r="AO119" s="34" t="n"/>
      <c r="AP119" s="34" t="n"/>
      <c r="AQ119" s="34" t="n"/>
      <c r="AR119" s="34" t="n"/>
      <c r="AS119" s="34" t="n"/>
      <c r="AT119" s="34" t="n"/>
      <c r="AU119" s="34" t="n"/>
      <c r="AV119" s="34" t="n"/>
      <c r="AW119" s="34" t="n"/>
      <c r="AX119" s="34" t="n"/>
      <c r="AY119" s="34" t="n"/>
      <c r="AZ119" s="34" t="n"/>
      <c r="BA119" s="34" t="n"/>
      <c r="BB119" s="34" t="n"/>
      <c r="BC119" s="34" t="n"/>
      <c r="BD119" s="34" t="n"/>
      <c r="BE119" s="34" t="n"/>
      <c r="BF119" s="34" t="n"/>
      <c r="BG119" s="34" t="n"/>
      <c r="BH119" s="34" t="n"/>
      <c r="BI119" s="34" t="n"/>
      <c r="BJ119" s="34" t="n"/>
      <c r="BK119" s="34" t="n"/>
      <c r="BL119" s="34" t="n"/>
      <c r="BM119" s="34" t="n"/>
      <c r="BN119" s="34" t="n"/>
      <c r="BO119" s="34" t="n"/>
      <c r="BP119" s="34" t="n"/>
      <c r="BQ119" s="34" t="n"/>
      <c r="BR119" s="34" t="n"/>
      <c r="BS119" s="34" t="n"/>
      <c r="BT119" s="34" t="n"/>
      <c r="BU119" s="34" t="n"/>
      <c r="BV119" s="34" t="n"/>
      <c r="BW119" s="34" t="n"/>
      <c r="BX119" s="34" t="n"/>
      <c r="BY119" s="254">
        <f>BT11+BT14+BT17+BT20+BT23</f>
        <v>1098</v>
      </c>
      <c r="BZ119" s="254">
        <f>BU11+BU14+BU17+BU20+BU23</f>
        <v>946</v>
      </c>
      <c r="CA119" s="254">
        <f>SUM(BY119:BZ119)</f>
        <v>2044</v>
      </c>
      <c r="CB119" s="35" t="n"/>
      <c r="CC119" s="35" t="n"/>
      <c r="CD119" s="35" t="n"/>
      <c r="CE119" s="35" t="n"/>
      <c r="CF119" s="19" t="n"/>
    </row>
    <row r="120" ht="15" customHeight="1" s="251">
      <c r="B120" s="25" t="inlineStr">
        <is>
          <t xml:space="preserve">  Guidance calibration: Δ y/y growth applied to all MIS lines (Q3/Q4-26E)</t>
        </is>
      </c>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c r="AA120" s="36" t="n"/>
      <c r="AB120" s="36" t="n"/>
      <c r="AC120" s="36" t="n"/>
      <c r="AD120" s="36" t="n"/>
      <c r="AE120" s="36" t="n"/>
      <c r="AF120" s="36" t="n"/>
      <c r="AG120" s="36" t="n"/>
      <c r="AH120" s="36" t="n"/>
      <c r="AI120" s="36" t="n"/>
      <c r="AJ120" s="36" t="n"/>
      <c r="AK120" s="36" t="n"/>
      <c r="AL120" s="36" t="n"/>
      <c r="AM120" s="36" t="n"/>
      <c r="AN120" s="36" t="n"/>
      <c r="AO120" s="36" t="n"/>
      <c r="AP120" s="36" t="n"/>
      <c r="AQ120" s="36" t="n"/>
      <c r="AR120" s="36" t="n"/>
      <c r="AS120" s="36" t="n"/>
      <c r="AT120" s="36" t="n"/>
      <c r="AU120" s="36" t="n"/>
      <c r="AV120" s="36" t="n"/>
      <c r="AW120" s="36" t="n"/>
      <c r="AX120" s="36" t="n"/>
      <c r="AY120" s="36" t="n"/>
      <c r="AZ120" s="36" t="n"/>
      <c r="BA120" s="36" t="n"/>
      <c r="BB120" s="36" t="n"/>
      <c r="BC120" s="36" t="n"/>
      <c r="BD120" s="36" t="n"/>
      <c r="BE120" s="36" t="n"/>
      <c r="BF120" s="36" t="n"/>
      <c r="BG120" s="36" t="n"/>
      <c r="BH120" s="36" t="n"/>
      <c r="BI120" s="36" t="n"/>
      <c r="BJ120" s="36" t="n"/>
      <c r="BK120" s="36" t="n"/>
      <c r="BL120" s="36" t="n"/>
      <c r="BM120" s="36" t="n"/>
      <c r="BN120" s="36" t="n"/>
      <c r="BO120" s="36" t="n"/>
      <c r="BP120" s="36" t="n"/>
      <c r="BQ120" s="36" t="n"/>
      <c r="BR120" s="36" t="n"/>
      <c r="BS120" s="36" t="n"/>
      <c r="BT120" s="36" t="n"/>
      <c r="BU120" s="36" t="n"/>
      <c r="BV120" s="36" t="n"/>
      <c r="BW120" s="36" t="n"/>
      <c r="BX120" s="36" t="n"/>
      <c r="BY120" s="24" t="n"/>
      <c r="BZ120" s="24" t="n"/>
      <c r="CA120" s="256">
        <f>(CA117-SUM(BW27:BX27)-CA118)/CA119</f>
        <v>-0.165567141191302</v>
      </c>
      <c r="CB120" s="46" t="n"/>
      <c r="CC120" s="46" t="n"/>
      <c r="CD120" s="46" t="n"/>
      <c r="CE120" s="46" t="n"/>
      <c r="CF120" s="19" t="inlineStr">
        <is>
          <t>Solves the uniform growth shift (vs 1H26 y/y rates) so that FY26 MIS revenue = the guidance end-point for the active scenario.</t>
        </is>
      </c>
    </row>
    <row r="121" ht="15" customHeight="1" s="251">
      <c r="B121" s="57" t="inlineStr">
        <is>
          <t xml:space="preserve">  Check: FY26 MIS revenue vs guidance end-point (should be 0)</t>
        </is>
      </c>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c r="AA121" s="44" t="n"/>
      <c r="AB121" s="44" t="n"/>
      <c r="AC121" s="44" t="n"/>
      <c r="AD121" s="44" t="n"/>
      <c r="AE121" s="44" t="n"/>
      <c r="AF121" s="44" t="n"/>
      <c r="AG121" s="44" t="n"/>
      <c r="AH121" s="44" t="n"/>
      <c r="AI121" s="44" t="n"/>
      <c r="AJ121" s="44" t="n"/>
      <c r="AK121" s="44" t="n"/>
      <c r="AL121" s="44" t="n"/>
      <c r="AM121" s="44" t="n"/>
      <c r="AN121" s="44" t="n"/>
      <c r="AO121" s="44" t="n"/>
      <c r="AP121" s="44" t="n"/>
      <c r="AQ121" s="44" t="n"/>
      <c r="AR121" s="44" t="n"/>
      <c r="AS121" s="44" t="n"/>
      <c r="AT121" s="44" t="n"/>
      <c r="AU121" s="44" t="n"/>
      <c r="AV121" s="44" t="n"/>
      <c r="AW121" s="44" t="n"/>
      <c r="AX121" s="44" t="n"/>
      <c r="AY121" s="44" t="n"/>
      <c r="AZ121" s="44" t="n"/>
      <c r="BA121" s="44" t="n"/>
      <c r="BB121" s="44" t="n"/>
      <c r="BC121" s="44" t="n"/>
      <c r="BD121" s="44" t="n"/>
      <c r="BE121" s="44" t="n"/>
      <c r="BF121" s="44" t="n"/>
      <c r="BG121" s="44" t="n"/>
      <c r="BH121" s="44" t="n"/>
      <c r="BI121" s="44" t="n"/>
      <c r="BJ121" s="44" t="n"/>
      <c r="BK121" s="44" t="n"/>
      <c r="BL121" s="44" t="n"/>
      <c r="BM121" s="44" t="n"/>
      <c r="BN121" s="44" t="n"/>
      <c r="BO121" s="44" t="n"/>
      <c r="BP121" s="44" t="n"/>
      <c r="BQ121" s="44" t="n"/>
      <c r="BR121" s="44" t="n"/>
      <c r="BS121" s="44" t="n"/>
      <c r="BT121" s="44" t="n"/>
      <c r="BU121" s="44" t="n"/>
      <c r="BV121" s="44" t="n"/>
      <c r="BW121" s="44" t="n"/>
      <c r="BX121" s="44" t="n"/>
      <c r="BY121" s="153" t="n"/>
      <c r="BZ121" s="153" t="n"/>
      <c r="CA121" s="267">
        <f>ROUND(CA27-CA117,1)</f>
        <v>0</v>
      </c>
      <c r="CB121" s="153" t="n"/>
      <c r="CC121" s="153" t="n"/>
      <c r="CD121" s="153" t="n"/>
      <c r="CE121" s="153" t="n"/>
      <c r="CF121" s="153" t="n"/>
    </row>
    <row r="122" ht="15" customHeight="1" s="251">
      <c r="B122" s="156" t="inlineStr">
        <is>
          <t xml:space="preserve">  Memo: FY26 MA revenue guidance end-point (FY2025 × (1 + guided growth, scenario))</t>
        </is>
      </c>
      <c r="C122" s="34" t="n"/>
      <c r="D122" s="34" t="n"/>
      <c r="E122" s="34" t="n"/>
      <c r="F122" s="34" t="n"/>
      <c r="G122" s="34" t="n"/>
      <c r="H122" s="34" t="n"/>
      <c r="I122" s="34" t="n"/>
      <c r="J122" s="34" t="n"/>
      <c r="K122" s="34" t="n"/>
      <c r="L122" s="34" t="n"/>
      <c r="M122" s="34" t="n"/>
      <c r="N122" s="34" t="n"/>
      <c r="O122" s="34" t="n"/>
      <c r="P122" s="34" t="n"/>
      <c r="Q122" s="34" t="n"/>
      <c r="R122" s="34" t="n"/>
      <c r="S122" s="34" t="n"/>
      <c r="T122" s="34" t="n"/>
      <c r="U122" s="34" t="n"/>
      <c r="V122" s="34" t="n"/>
      <c r="W122" s="34" t="n"/>
      <c r="X122" s="34" t="n"/>
      <c r="Y122" s="34" t="n"/>
      <c r="Z122" s="34" t="n"/>
      <c r="AA122" s="34" t="n"/>
      <c r="AB122" s="34" t="n"/>
      <c r="AC122" s="34" t="n"/>
      <c r="AD122" s="34" t="n"/>
      <c r="AE122" s="34" t="n"/>
      <c r="AF122" s="34" t="n"/>
      <c r="AG122" s="34" t="n"/>
      <c r="AH122" s="34" t="n"/>
      <c r="AI122" s="34" t="n"/>
      <c r="AJ122" s="34" t="n"/>
      <c r="AK122" s="34" t="n"/>
      <c r="AL122" s="34" t="n"/>
      <c r="AM122" s="34" t="n"/>
      <c r="AN122" s="34" t="n"/>
      <c r="AO122" s="34" t="n"/>
      <c r="AP122" s="34" t="n"/>
      <c r="AQ122" s="34" t="n"/>
      <c r="AR122" s="34" t="n"/>
      <c r="AS122" s="34" t="n"/>
      <c r="AT122" s="34" t="n"/>
      <c r="AU122" s="34" t="n"/>
      <c r="AV122" s="34" t="n"/>
      <c r="AW122" s="34" t="n"/>
      <c r="AX122" s="34" t="n"/>
      <c r="AY122" s="34" t="n"/>
      <c r="AZ122" s="34" t="n"/>
      <c r="BA122" s="34" t="n"/>
      <c r="BB122" s="34" t="n"/>
      <c r="BC122" s="34" t="n"/>
      <c r="BD122" s="34" t="n"/>
      <c r="BE122" s="34" t="n"/>
      <c r="BF122" s="34" t="n"/>
      <c r="BG122" s="34" t="n"/>
      <c r="BH122" s="34" t="n"/>
      <c r="BI122" s="34" t="n"/>
      <c r="BJ122" s="34" t="n"/>
      <c r="BK122" s="34" t="n"/>
      <c r="BL122" s="34" t="n"/>
      <c r="BM122" s="34" t="n"/>
      <c r="BN122" s="34" t="n"/>
      <c r="BO122" s="34" t="n"/>
      <c r="BP122" s="34" t="n"/>
      <c r="BQ122" s="34" t="n"/>
      <c r="BR122" s="34" t="n"/>
      <c r="BS122" s="34" t="n"/>
      <c r="BT122" s="34" t="n"/>
      <c r="BU122" s="34" t="n"/>
      <c r="BV122" s="34" t="n"/>
      <c r="BW122" s="34" t="n"/>
      <c r="BX122" s="34" t="n"/>
      <c r="BY122" s="153" t="n"/>
      <c r="BZ122" s="153" t="n"/>
      <c r="CA122" s="267">
        <f>BV61*(1+CHOOSE(MATCH($CF$2,{"Bull","Base","Bear"},0),$CO$13,$CP$13,$CQ$13))</f>
        <v>3778.95</v>
      </c>
      <c r="CB122" s="153" t="n"/>
      <c r="CC122" s="153" t="n"/>
      <c r="CD122" s="153" t="n"/>
      <c r="CE122" s="153" t="n"/>
      <c r="CF122" s="153" t="inlineStr">
        <is>
          <t>Company FY26 MA revenue guidance: increase in the mid-single-digit percent range (incl. ~4 pts divestiture drag) (22-Jul-2026).</t>
        </is>
      </c>
    </row>
    <row r="123" ht="15" customHeight="1" s="251">
      <c r="B123" s="25" t="inlineStr">
        <is>
          <t xml:space="preserve">  MA revenue before calibration (Q3/Q4-26E helper)</t>
        </is>
      </c>
      <c r="C123" s="34" t="n"/>
      <c r="D123" s="34" t="n"/>
      <c r="E123" s="34" t="n"/>
      <c r="F123" s="34" t="n"/>
      <c r="G123" s="34" t="n"/>
      <c r="H123" s="34" t="n"/>
      <c r="I123" s="34" t="n"/>
      <c r="J123" s="34" t="n"/>
      <c r="K123" s="34" t="n"/>
      <c r="L123" s="34" t="n"/>
      <c r="M123" s="34" t="n"/>
      <c r="N123" s="34" t="n"/>
      <c r="O123" s="34" t="n"/>
      <c r="P123" s="34" t="n"/>
      <c r="Q123" s="34" t="n"/>
      <c r="R123" s="34" t="n"/>
      <c r="S123" s="34" t="n"/>
      <c r="T123" s="34" t="n"/>
      <c r="U123" s="34" t="n"/>
      <c r="V123" s="34" t="n"/>
      <c r="W123" s="34" t="n"/>
      <c r="X123" s="34" t="n"/>
      <c r="Y123" s="34" t="n"/>
      <c r="Z123" s="34" t="n"/>
      <c r="AA123" s="34" t="n"/>
      <c r="AB123" s="34" t="n"/>
      <c r="AC123" s="34" t="n"/>
      <c r="AD123" s="34" t="n"/>
      <c r="AE123" s="34" t="n"/>
      <c r="AF123" s="34" t="n"/>
      <c r="AG123" s="34" t="n"/>
      <c r="AH123" s="34" t="n"/>
      <c r="AI123" s="34" t="n"/>
      <c r="AJ123" s="34" t="n"/>
      <c r="AK123" s="34" t="n"/>
      <c r="AL123" s="34" t="n"/>
      <c r="AM123" s="34" t="n"/>
      <c r="AN123" s="34" t="n"/>
      <c r="AO123" s="34" t="n"/>
      <c r="AP123" s="34" t="n"/>
      <c r="AQ123" s="34" t="n"/>
      <c r="AR123" s="34" t="n"/>
      <c r="AS123" s="34" t="n"/>
      <c r="AT123" s="34" t="n"/>
      <c r="AU123" s="34" t="n"/>
      <c r="AV123" s="34" t="n"/>
      <c r="AW123" s="34" t="n"/>
      <c r="AX123" s="34" t="n"/>
      <c r="AY123" s="34" t="n"/>
      <c r="AZ123" s="34" t="n"/>
      <c r="BA123" s="34" t="n"/>
      <c r="BB123" s="34" t="n"/>
      <c r="BC123" s="34" t="n"/>
      <c r="BD123" s="34" t="n"/>
      <c r="BE123" s="34" t="n"/>
      <c r="BF123" s="34" t="n"/>
      <c r="BG123" s="34" t="n"/>
      <c r="BH123" s="34" t="n"/>
      <c r="BI123" s="34" t="n"/>
      <c r="BJ123" s="34" t="n"/>
      <c r="BK123" s="34" t="n"/>
      <c r="BL123" s="34" t="n"/>
      <c r="BM123" s="34" t="n"/>
      <c r="BN123" s="34" t="n"/>
      <c r="BO123" s="34" t="n"/>
      <c r="BP123" s="34" t="n"/>
      <c r="BQ123" s="34" t="n"/>
      <c r="BR123" s="34" t="n"/>
      <c r="BS123" s="34" t="n"/>
      <c r="BT123" s="34" t="n"/>
      <c r="BU123" s="34" t="n"/>
      <c r="BV123" s="34" t="n"/>
      <c r="BW123" s="34" t="n"/>
      <c r="BX123" s="34" t="n"/>
      <c r="BY123" s="254">
        <f>BT44*(1+BY46)+BT47*(1+BY49)+BT50*(1+BY52)+BT53*(1+BY55)+BT56*(1+BY58)</f>
        <v>964.366341541933</v>
      </c>
      <c r="BZ123" s="254">
        <f>BU44*(1+BZ46)+BU47*(1+BZ49)+BU50*(1+BZ52)+BU53*(1+BZ55)+BU56*(1+BZ58)</f>
        <v>999.697462244181</v>
      </c>
      <c r="CA123" s="254">
        <f>SUM(BY123:BZ123)</f>
        <v>1964.06380378611</v>
      </c>
      <c r="CB123" s="35" t="n"/>
      <c r="CC123" s="35" t="n"/>
      <c r="CD123" s="35" t="n"/>
      <c r="CE123" s="35" t="n"/>
      <c r="CF123" s="19" t="n"/>
    </row>
    <row r="124" ht="15" customHeight="1" s="251">
      <c r="B124" s="25" t="inlineStr">
        <is>
          <t xml:space="preserve">  MA revenue sensitivity to +1.00 of growth (Q3/Q4-26E helper)</t>
        </is>
      </c>
      <c r="C124" s="34" t="n"/>
      <c r="D124" s="34" t="n"/>
      <c r="E124" s="34" t="n"/>
      <c r="F124" s="34" t="n"/>
      <c r="G124" s="34" t="n"/>
      <c r="H124" s="34" t="n"/>
      <c r="I124" s="34" t="n"/>
      <c r="J124" s="34" t="n"/>
      <c r="K124" s="34" t="n"/>
      <c r="L124" s="34" t="n"/>
      <c r="M124" s="34" t="n"/>
      <c r="N124" s="34" t="n"/>
      <c r="O124" s="34" t="n"/>
      <c r="P124" s="34" t="n"/>
      <c r="Q124" s="34" t="n"/>
      <c r="R124" s="34" t="n"/>
      <c r="S124" s="34" t="n"/>
      <c r="T124" s="34" t="n"/>
      <c r="U124" s="34" t="n"/>
      <c r="V124" s="34" t="n"/>
      <c r="W124" s="34" t="n"/>
      <c r="X124" s="34" t="n"/>
      <c r="Y124" s="34" t="n"/>
      <c r="Z124" s="34" t="n"/>
      <c r="AA124" s="34" t="n"/>
      <c r="AB124" s="34" t="n"/>
      <c r="AC124" s="34" t="n"/>
      <c r="AD124" s="34" t="n"/>
      <c r="AE124" s="34" t="n"/>
      <c r="AF124" s="34" t="n"/>
      <c r="AG124" s="34" t="n"/>
      <c r="AH124" s="34" t="n"/>
      <c r="AI124" s="34" t="n"/>
      <c r="AJ124" s="34" t="n"/>
      <c r="AK124" s="34" t="n"/>
      <c r="AL124" s="34" t="n"/>
      <c r="AM124" s="34" t="n"/>
      <c r="AN124" s="34" t="n"/>
      <c r="AO124" s="34" t="n"/>
      <c r="AP124" s="34" t="n"/>
      <c r="AQ124" s="34" t="n"/>
      <c r="AR124" s="34" t="n"/>
      <c r="AS124" s="34" t="n"/>
      <c r="AT124" s="34" t="n"/>
      <c r="AU124" s="34" t="n"/>
      <c r="AV124" s="34" t="n"/>
      <c r="AW124" s="34" t="n"/>
      <c r="AX124" s="34" t="n"/>
      <c r="AY124" s="34" t="n"/>
      <c r="AZ124" s="34" t="n"/>
      <c r="BA124" s="34" t="n"/>
      <c r="BB124" s="34" t="n"/>
      <c r="BC124" s="34" t="n"/>
      <c r="BD124" s="34" t="n"/>
      <c r="BE124" s="34" t="n"/>
      <c r="BF124" s="34" t="n"/>
      <c r="BG124" s="34" t="n"/>
      <c r="BH124" s="34" t="n"/>
      <c r="BI124" s="34" t="n"/>
      <c r="BJ124" s="34" t="n"/>
      <c r="BK124" s="34" t="n"/>
      <c r="BL124" s="34" t="n"/>
      <c r="BM124" s="34" t="n"/>
      <c r="BN124" s="34" t="n"/>
      <c r="BO124" s="34" t="n"/>
      <c r="BP124" s="34" t="n"/>
      <c r="BQ124" s="34" t="n"/>
      <c r="BR124" s="34" t="n"/>
      <c r="BS124" s="34" t="n"/>
      <c r="BT124" s="34" t="n"/>
      <c r="BU124" s="34" t="n"/>
      <c r="BV124" s="34" t="n"/>
      <c r="BW124" s="34" t="n"/>
      <c r="BX124" s="34" t="n"/>
      <c r="BY124" s="254">
        <f>BT44+BT47+BT50+BT53+BT56</f>
        <v>909</v>
      </c>
      <c r="BZ124" s="254">
        <f>BU44+BU47+BU50+BU53+BU56</f>
        <v>943</v>
      </c>
      <c r="CA124" s="254">
        <f>SUM(BY124:BZ124)</f>
        <v>1852</v>
      </c>
      <c r="CB124" s="35" t="n"/>
      <c r="CC124" s="35" t="n"/>
      <c r="CD124" s="35" t="n"/>
      <c r="CE124" s="35" t="n"/>
      <c r="CF124" s="19" t="n"/>
    </row>
    <row r="125" ht="15" customHeight="1" s="251">
      <c r="B125" s="25" t="inlineStr">
        <is>
          <t xml:space="preserve">  Guidance calibration: Δ y/y growth applied to all MA lines (Q3/Q4-26E)</t>
        </is>
      </c>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c r="AA125" s="36" t="n"/>
      <c r="AB125" s="36" t="n"/>
      <c r="AC125" s="36" t="n"/>
      <c r="AD125" s="36" t="n"/>
      <c r="AE125" s="36" t="n"/>
      <c r="AF125" s="36" t="n"/>
      <c r="AG125" s="36" t="n"/>
      <c r="AH125" s="36" t="n"/>
      <c r="AI125" s="36" t="n"/>
      <c r="AJ125" s="36" t="n"/>
      <c r="AK125" s="36" t="n"/>
      <c r="AL125" s="36" t="n"/>
      <c r="AM125" s="36" t="n"/>
      <c r="AN125" s="36" t="n"/>
      <c r="AO125" s="36" t="n"/>
      <c r="AP125" s="36" t="n"/>
      <c r="AQ125" s="36" t="n"/>
      <c r="AR125" s="36" t="n"/>
      <c r="AS125" s="36" t="n"/>
      <c r="AT125" s="36" t="n"/>
      <c r="AU125" s="36" t="n"/>
      <c r="AV125" s="36" t="n"/>
      <c r="AW125" s="36" t="n"/>
      <c r="AX125" s="36" t="n"/>
      <c r="AY125" s="36" t="n"/>
      <c r="AZ125" s="36" t="n"/>
      <c r="BA125" s="36" t="n"/>
      <c r="BB125" s="36" t="n"/>
      <c r="BC125" s="36" t="n"/>
      <c r="BD125" s="36" t="n"/>
      <c r="BE125" s="36" t="n"/>
      <c r="BF125" s="36" t="n"/>
      <c r="BG125" s="36" t="n"/>
      <c r="BH125" s="36" t="n"/>
      <c r="BI125" s="36" t="n"/>
      <c r="BJ125" s="36" t="n"/>
      <c r="BK125" s="36" t="n"/>
      <c r="BL125" s="36" t="n"/>
      <c r="BM125" s="36" t="n"/>
      <c r="BN125" s="36" t="n"/>
      <c r="BO125" s="36" t="n"/>
      <c r="BP125" s="36" t="n"/>
      <c r="BQ125" s="36" t="n"/>
      <c r="BR125" s="36" t="n"/>
      <c r="BS125" s="36" t="n"/>
      <c r="BT125" s="36" t="n"/>
      <c r="BU125" s="36" t="n"/>
      <c r="BV125" s="36" t="n"/>
      <c r="BW125" s="36" t="n"/>
      <c r="BX125" s="36" t="n"/>
      <c r="BY125" s="24" t="n"/>
      <c r="BZ125" s="24" t="n"/>
      <c r="CA125" s="256">
        <f>(CA122-SUM(BW61:BX61)-CA123)/CA124</f>
        <v>-0.0194998940529771</v>
      </c>
      <c r="CB125" s="46" t="n"/>
      <c r="CC125" s="46" t="n"/>
      <c r="CD125" s="46" t="n"/>
      <c r="CE125" s="46" t="n"/>
      <c r="CF125" s="19" t="inlineStr">
        <is>
          <t>Solves the uniform growth shift (vs 1H26 y/y rates) so that FY26 MA revenue = the guidance end-point for the active scenario.</t>
        </is>
      </c>
    </row>
    <row r="126" ht="15" customHeight="1" s="251">
      <c r="B126" s="57" t="inlineStr">
        <is>
          <t xml:space="preserve">  Check: FY26 MA revenue vs guidance end-point (should be 0)</t>
        </is>
      </c>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c r="AA126" s="44" t="n"/>
      <c r="AB126" s="44" t="n"/>
      <c r="AC126" s="44" t="n"/>
      <c r="AD126" s="44" t="n"/>
      <c r="AE126" s="44" t="n"/>
      <c r="AF126" s="44" t="n"/>
      <c r="AG126" s="44" t="n"/>
      <c r="AH126" s="44" t="n"/>
      <c r="AI126" s="44" t="n"/>
      <c r="AJ126" s="44" t="n"/>
      <c r="AK126" s="44" t="n"/>
      <c r="AL126" s="44" t="n"/>
      <c r="AM126" s="44" t="n"/>
      <c r="AN126" s="44" t="n"/>
      <c r="AO126" s="44" t="n"/>
      <c r="AP126" s="44" t="n"/>
      <c r="AQ126" s="44" t="n"/>
      <c r="AR126" s="44" t="n"/>
      <c r="AS126" s="44" t="n"/>
      <c r="AT126" s="44" t="n"/>
      <c r="AU126" s="44" t="n"/>
      <c r="AV126" s="44" t="n"/>
      <c r="AW126" s="44" t="n"/>
      <c r="AX126" s="44" t="n"/>
      <c r="AY126" s="44" t="n"/>
      <c r="AZ126" s="44" t="n"/>
      <c r="BA126" s="44" t="n"/>
      <c r="BB126" s="44" t="n"/>
      <c r="BC126" s="44" t="n"/>
      <c r="BD126" s="44" t="n"/>
      <c r="BE126" s="44" t="n"/>
      <c r="BF126" s="44" t="n"/>
      <c r="BG126" s="44" t="n"/>
      <c r="BH126" s="44" t="n"/>
      <c r="BI126" s="44" t="n"/>
      <c r="BJ126" s="44" t="n"/>
      <c r="BK126" s="44" t="n"/>
      <c r="BL126" s="44" t="n"/>
      <c r="BM126" s="44" t="n"/>
      <c r="BN126" s="44" t="n"/>
      <c r="BO126" s="44" t="n"/>
      <c r="BP126" s="44" t="n"/>
      <c r="BQ126" s="44" t="n"/>
      <c r="BR126" s="44" t="n"/>
      <c r="BS126" s="44" t="n"/>
      <c r="BT126" s="44" t="n"/>
      <c r="BU126" s="44" t="n"/>
      <c r="BV126" s="44" t="n"/>
      <c r="BW126" s="44" t="n"/>
      <c r="BX126" s="44" t="n"/>
      <c r="BY126" s="153" t="n"/>
      <c r="BZ126" s="153" t="n"/>
      <c r="CA126" s="267">
        <f>ROUND(CA61-CA122,1)</f>
        <v>0</v>
      </c>
      <c r="CB126" s="153" t="n"/>
      <c r="CC126" s="153" t="n"/>
      <c r="CD126" s="153" t="n"/>
      <c r="CE126" s="153" t="n"/>
      <c r="CF126" s="153" t="n"/>
    </row>
    <row r="127" ht="15" customHeight="1" s="251">
      <c r="B127" s="156" t="inlineStr">
        <is>
          <t xml:space="preserve">  Memo: FY26 MCO revenue growth guidance (scenario end-point) — information, not forced</t>
        </is>
      </c>
      <c r="C127" s="34" t="n"/>
      <c r="D127" s="34" t="n"/>
      <c r="E127" s="34" t="n"/>
      <c r="F127" s="34" t="n"/>
      <c r="G127" s="34" t="n"/>
      <c r="H127" s="34" t="n"/>
      <c r="I127" s="34" t="n"/>
      <c r="J127" s="34" t="n"/>
      <c r="K127" s="34" t="n"/>
      <c r="L127" s="34" t="n"/>
      <c r="M127" s="34" t="n"/>
      <c r="N127" s="34" t="n"/>
      <c r="O127" s="34" t="n"/>
      <c r="P127" s="34" t="n"/>
      <c r="Q127" s="34" t="n"/>
      <c r="R127" s="34" t="n"/>
      <c r="S127" s="34" t="n"/>
      <c r="T127" s="34" t="n"/>
      <c r="U127" s="34" t="n"/>
      <c r="V127" s="34" t="n"/>
      <c r="W127" s="34" t="n"/>
      <c r="X127" s="34" t="n"/>
      <c r="Y127" s="34" t="n"/>
      <c r="Z127" s="34" t="n"/>
      <c r="AA127" s="34" t="n"/>
      <c r="AB127" s="34" t="n"/>
      <c r="AC127" s="34" t="n"/>
      <c r="AD127" s="34" t="n"/>
      <c r="AE127" s="34" t="n"/>
      <c r="AF127" s="34" t="n"/>
      <c r="AG127" s="34" t="n"/>
      <c r="AH127" s="34" t="n"/>
      <c r="AI127" s="34" t="n"/>
      <c r="AJ127" s="34" t="n"/>
      <c r="AK127" s="34" t="n"/>
      <c r="AL127" s="34" t="n"/>
      <c r="AM127" s="34" t="n"/>
      <c r="AN127" s="34" t="n"/>
      <c r="AO127" s="34" t="n"/>
      <c r="AP127" s="34" t="n"/>
      <c r="AQ127" s="34" t="n"/>
      <c r="AR127" s="34" t="n"/>
      <c r="AS127" s="34" t="n"/>
      <c r="AT127" s="34" t="n"/>
      <c r="AU127" s="34" t="n"/>
      <c r="AV127" s="34" t="n"/>
      <c r="AW127" s="34" t="n"/>
      <c r="AX127" s="34" t="n"/>
      <c r="AY127" s="34" t="n"/>
      <c r="AZ127" s="34" t="n"/>
      <c r="BA127" s="34" t="n"/>
      <c r="BB127" s="34" t="n"/>
      <c r="BC127" s="34" t="n"/>
      <c r="BD127" s="34" t="n"/>
      <c r="BE127" s="34" t="n"/>
      <c r="BF127" s="34" t="n"/>
      <c r="BG127" s="34" t="n"/>
      <c r="BH127" s="34" t="n"/>
      <c r="BI127" s="34" t="n"/>
      <c r="BJ127" s="34" t="n"/>
      <c r="BK127" s="34" t="n"/>
      <c r="BL127" s="34" t="n"/>
      <c r="BM127" s="34" t="n"/>
      <c r="BN127" s="34" t="n"/>
      <c r="BO127" s="34" t="n"/>
      <c r="BP127" s="34" t="n"/>
      <c r="BQ127" s="34" t="n"/>
      <c r="BR127" s="34" t="n"/>
      <c r="BS127" s="34" t="n"/>
      <c r="BT127" s="34" t="n"/>
      <c r="BU127" s="34" t="n"/>
      <c r="BV127" s="34" t="n"/>
      <c r="BW127" s="34" t="n"/>
      <c r="BX127" s="34" t="n"/>
      <c r="BY127" s="153" t="n"/>
      <c r="BZ127" s="153" t="n"/>
      <c r="CA127" s="276">
        <f>CHOOSE(MATCH($CF$2,{"Bull","Base","Bear"},0),$CO$15,$CP$15,$CQ$15)</f>
        <v>0.08</v>
      </c>
      <c r="CB127" s="153" t="n"/>
      <c r="CC127" s="153" t="n"/>
      <c r="CD127" s="153" t="n"/>
      <c r="CE127" s="153" t="n"/>
      <c r="CF127" s="153" t="n"/>
    </row>
    <row r="128" ht="15" customHeight="1" s="251">
      <c r="B128" s="156" t="inlineStr">
        <is>
          <t xml:space="preserve">    Model MCO revenue growth − guidance (pp)</t>
        </is>
      </c>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c r="AA128" s="44" t="n"/>
      <c r="AB128" s="44" t="n"/>
      <c r="AC128" s="44" t="n"/>
      <c r="AD128" s="44" t="n"/>
      <c r="AE128" s="44" t="n"/>
      <c r="AF128" s="44" t="n"/>
      <c r="AG128" s="44" t="n"/>
      <c r="AH128" s="44" t="n"/>
      <c r="AI128" s="44" t="n"/>
      <c r="AJ128" s="44" t="n"/>
      <c r="AK128" s="44" t="n"/>
      <c r="AL128" s="44" t="n"/>
      <c r="AM128" s="44" t="n"/>
      <c r="AN128" s="44" t="n"/>
      <c r="AO128" s="44" t="n"/>
      <c r="AP128" s="44" t="n"/>
      <c r="AQ128" s="44" t="n"/>
      <c r="AR128" s="44" t="n"/>
      <c r="AS128" s="44" t="n"/>
      <c r="AT128" s="44" t="n"/>
      <c r="AU128" s="44" t="n"/>
      <c r="AV128" s="44" t="n"/>
      <c r="AW128" s="44" t="n"/>
      <c r="AX128" s="44" t="n"/>
      <c r="AY128" s="44" t="n"/>
      <c r="AZ128" s="44" t="n"/>
      <c r="BA128" s="44" t="n"/>
      <c r="BB128" s="44" t="n"/>
      <c r="BC128" s="44" t="n"/>
      <c r="BD128" s="44" t="n"/>
      <c r="BE128" s="44" t="n"/>
      <c r="BF128" s="44" t="n"/>
      <c r="BG128" s="44" t="n"/>
      <c r="BH128" s="44" t="n"/>
      <c r="BI128" s="44" t="n"/>
      <c r="BJ128" s="44" t="n"/>
      <c r="BK128" s="44" t="n"/>
      <c r="BL128" s="44" t="n"/>
      <c r="BM128" s="44" t="n"/>
      <c r="BN128" s="44" t="n"/>
      <c r="BO128" s="44" t="n"/>
      <c r="BP128" s="44" t="n"/>
      <c r="BQ128" s="44" t="n"/>
      <c r="BR128" s="44" t="n"/>
      <c r="BS128" s="44" t="n"/>
      <c r="BT128" s="44" t="n"/>
      <c r="BU128" s="44" t="n"/>
      <c r="BV128" s="44" t="n"/>
      <c r="BW128" s="44" t="n"/>
      <c r="BX128" s="44" t="n"/>
      <c r="BY128" s="35" t="n"/>
      <c r="BZ128" s="35" t="n"/>
      <c r="CA128" s="256">
        <f>CA111-CA127</f>
        <v>-0.013989375485877</v>
      </c>
      <c r="CB128" s="35" t="n"/>
      <c r="CC128" s="35" t="n"/>
      <c r="CD128" s="35" t="n"/>
      <c r="CE128" s="35" t="n"/>
      <c r="CF128" s="153" t="n"/>
    </row>
    <row r="129" ht="15" customHeight="1" s="251">
      <c r="B129" s="156" t="inlineStr">
        <is>
          <t xml:space="preserve">  Memo: FY26 adjusted diluted EPS guidance (scenario end-point, $)</t>
        </is>
      </c>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c r="Z129" s="27" t="n"/>
      <c r="AA129" s="27" t="n"/>
      <c r="AB129" s="27" t="n"/>
      <c r="AC129" s="27" t="n"/>
      <c r="AD129" s="27" t="n"/>
      <c r="AE129" s="27" t="n"/>
      <c r="AF129" s="27" t="n"/>
      <c r="AG129" s="27" t="n"/>
      <c r="AH129" s="27" t="n"/>
      <c r="AI129" s="27" t="n"/>
      <c r="AJ129" s="27" t="n"/>
      <c r="AK129" s="27" t="n"/>
      <c r="AL129" s="27" t="n"/>
      <c r="AM129" s="27" t="n"/>
      <c r="AN129" s="27" t="n"/>
      <c r="AO129" s="27" t="n"/>
      <c r="AP129" s="27" t="n"/>
      <c r="AQ129" s="27" t="n"/>
      <c r="AR129" s="27" t="n"/>
      <c r="AS129" s="27" t="n"/>
      <c r="AT129" s="27" t="n"/>
      <c r="AU129" s="27" t="n"/>
      <c r="AV129" s="27" t="n"/>
      <c r="AW129" s="27" t="n"/>
      <c r="AX129" s="27" t="n"/>
      <c r="AY129" s="27" t="n"/>
      <c r="AZ129" s="27" t="n"/>
      <c r="BA129" s="27" t="n"/>
      <c r="BB129" s="27" t="n"/>
      <c r="BC129" s="27" t="n"/>
      <c r="BD129" s="27" t="n"/>
      <c r="BE129" s="27" t="n"/>
      <c r="BF129" s="27" t="n"/>
      <c r="BG129" s="27" t="n"/>
      <c r="BH129" s="27" t="n"/>
      <c r="BI129" s="27" t="n"/>
      <c r="BJ129" s="27" t="n"/>
      <c r="BK129" s="27" t="n"/>
      <c r="BL129" s="27" t="n"/>
      <c r="BM129" s="27" t="n"/>
      <c r="BN129" s="27" t="n"/>
      <c r="BO129" s="27" t="n"/>
      <c r="BP129" s="27" t="n"/>
      <c r="BQ129" s="27" t="n"/>
      <c r="BR129" s="27" t="n"/>
      <c r="BS129" s="27" t="n"/>
      <c r="BT129" s="27" t="n"/>
      <c r="BU129" s="27" t="n"/>
      <c r="BV129" s="27" t="n"/>
      <c r="BW129" s="27" t="n"/>
      <c r="BX129" s="27" t="n"/>
      <c r="BY129" s="153" t="n"/>
      <c r="BZ129" s="153" t="n"/>
      <c r="CA129" s="277">
        <f>CHOOSE(MATCH($CF$2,{"Bull","Base","Bear"},0),$CO$14,$CP$14,$CQ$14)</f>
        <v>16.75</v>
      </c>
      <c r="CB129" s="153" t="n"/>
      <c r="CC129" s="153" t="n"/>
      <c r="CD129" s="153" t="n"/>
      <c r="CE129" s="153" t="n"/>
      <c r="CF129" s="153" t="inlineStr">
        <is>
          <t>Company FY26 adjusted diluted EPS guidance $16.50–17.00 (raised 22-Jul-2026 from $16.40–17.00). Drives the segment-margin calibration.</t>
        </is>
      </c>
    </row>
    <row r="130" ht="15" customHeight="1" s="251">
      <c r="B130" s="156" t="inlineStr">
        <is>
          <t xml:space="preserve">  Adjusted net income required (FY26E diluted shares × EPS guidance)</t>
        </is>
      </c>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c r="AA130" s="44" t="n"/>
      <c r="AB130" s="44" t="n"/>
      <c r="AC130" s="44" t="n"/>
      <c r="AD130" s="44" t="n"/>
      <c r="AE130" s="44" t="n"/>
      <c r="AF130" s="44" t="n"/>
      <c r="AG130" s="44" t="n"/>
      <c r="AH130" s="44" t="n"/>
      <c r="AI130" s="44" t="n"/>
      <c r="AJ130" s="44" t="n"/>
      <c r="AK130" s="44" t="n"/>
      <c r="AL130" s="44" t="n"/>
      <c r="AM130" s="44" t="n"/>
      <c r="AN130" s="44" t="n"/>
      <c r="AO130" s="44" t="n"/>
      <c r="AP130" s="44" t="n"/>
      <c r="AQ130" s="44" t="n"/>
      <c r="AR130" s="44" t="n"/>
      <c r="AS130" s="44" t="n"/>
      <c r="AT130" s="44" t="n"/>
      <c r="AU130" s="44" t="n"/>
      <c r="AV130" s="44" t="n"/>
      <c r="AW130" s="44" t="n"/>
      <c r="AX130" s="44" t="n"/>
      <c r="AY130" s="44" t="n"/>
      <c r="AZ130" s="44" t="n"/>
      <c r="BA130" s="44" t="n"/>
      <c r="BB130" s="44" t="n"/>
      <c r="BC130" s="44" t="n"/>
      <c r="BD130" s="44" t="n"/>
      <c r="BE130" s="44" t="n"/>
      <c r="BF130" s="44" t="n"/>
      <c r="BG130" s="44" t="n"/>
      <c r="BH130" s="44" t="n"/>
      <c r="BI130" s="44" t="n"/>
      <c r="BJ130" s="44" t="n"/>
      <c r="BK130" s="44" t="n"/>
      <c r="BL130" s="44" t="n"/>
      <c r="BM130" s="44" t="n"/>
      <c r="BN130" s="44" t="n"/>
      <c r="BO130" s="44" t="n"/>
      <c r="BP130" s="44" t="n"/>
      <c r="BQ130" s="44" t="n"/>
      <c r="BR130" s="44" t="n"/>
      <c r="BS130" s="44" t="n"/>
      <c r="BT130" s="44" t="n"/>
      <c r="BU130" s="44" t="n"/>
      <c r="BV130" s="44" t="n"/>
      <c r="BW130" s="44" t="n"/>
      <c r="BX130" s="44" t="n"/>
      <c r="BY130" s="35" t="n"/>
      <c r="BZ130" s="35" t="n"/>
      <c r="CA130" s="254">
        <f>CA129*CA237</f>
        <v>2922.00631648936</v>
      </c>
      <c r="CB130" s="35" t="n"/>
      <c r="CC130" s="35" t="n"/>
      <c r="CD130" s="35" t="n"/>
      <c r="CE130" s="35" t="n"/>
      <c r="CF130" s="153" t="n"/>
    </row>
    <row r="131" ht="15" customHeight="1" s="251">
      <c r="B131" s="25" t="inlineStr">
        <is>
          <t xml:space="preserve">  Adjusted net income excluding Adjusted Operating Income (Q3/Q4-26E helper: (−D&amp;A + acquired-intangible amortization + net interest + other non-operating) × (1 − t) − NCI)</t>
        </is>
      </c>
      <c r="C131" s="34" t="n"/>
      <c r="D131" s="34" t="n"/>
      <c r="E131" s="34" t="n"/>
      <c r="F131" s="34" t="n"/>
      <c r="G131" s="34" t="n"/>
      <c r="H131" s="34" t="n"/>
      <c r="I131" s="34" t="n"/>
      <c r="J131" s="34" t="n"/>
      <c r="K131" s="34" t="n"/>
      <c r="L131" s="34" t="n"/>
      <c r="M131" s="34" t="n"/>
      <c r="N131" s="34" t="n"/>
      <c r="O131" s="34" t="n"/>
      <c r="P131" s="34" t="n"/>
      <c r="Q131" s="34" t="n"/>
      <c r="R131" s="34" t="n"/>
      <c r="S131" s="34" t="n"/>
      <c r="T131" s="34" t="n"/>
      <c r="U131" s="34" t="n"/>
      <c r="V131" s="34" t="n"/>
      <c r="W131" s="34" t="n"/>
      <c r="X131" s="34" t="n"/>
      <c r="Y131" s="34" t="n"/>
      <c r="Z131" s="34" t="n"/>
      <c r="AA131" s="34" t="n"/>
      <c r="AB131" s="34" t="n"/>
      <c r="AC131" s="34" t="n"/>
      <c r="AD131" s="34" t="n"/>
      <c r="AE131" s="34" t="n"/>
      <c r="AF131" s="34" t="n"/>
      <c r="AG131" s="34" t="n"/>
      <c r="AH131" s="34" t="n"/>
      <c r="AI131" s="34" t="n"/>
      <c r="AJ131" s="34" t="n"/>
      <c r="AK131" s="34" t="n"/>
      <c r="AL131" s="34" t="n"/>
      <c r="AM131" s="34" t="n"/>
      <c r="AN131" s="34" t="n"/>
      <c r="AO131" s="34" t="n"/>
      <c r="AP131" s="34" t="n"/>
      <c r="AQ131" s="34" t="n"/>
      <c r="AR131" s="34" t="n"/>
      <c r="AS131" s="34" t="n"/>
      <c r="AT131" s="34" t="n"/>
      <c r="AU131" s="34" t="n"/>
      <c r="AV131" s="34" t="n"/>
      <c r="AW131" s="34" t="n"/>
      <c r="AX131" s="34" t="n"/>
      <c r="AY131" s="34" t="n"/>
      <c r="AZ131" s="34" t="n"/>
      <c r="BA131" s="34" t="n"/>
      <c r="BB131" s="34" t="n"/>
      <c r="BC131" s="34" t="n"/>
      <c r="BD131" s="34" t="n"/>
      <c r="BE131" s="34" t="n"/>
      <c r="BF131" s="34" t="n"/>
      <c r="BG131" s="34" t="n"/>
      <c r="BH131" s="34" t="n"/>
      <c r="BI131" s="34" t="n"/>
      <c r="BJ131" s="34" t="n"/>
      <c r="BK131" s="34" t="n"/>
      <c r="BL131" s="34" t="n"/>
      <c r="BM131" s="34" t="n"/>
      <c r="BN131" s="34" t="n"/>
      <c r="BO131" s="34" t="n"/>
      <c r="BP131" s="34" t="n"/>
      <c r="BQ131" s="34" t="n"/>
      <c r="BR131" s="34" t="n"/>
      <c r="BS131" s="34" t="n"/>
      <c r="BT131" s="34" t="n"/>
      <c r="BU131" s="34" t="n"/>
      <c r="BV131" s="34" t="n"/>
      <c r="BW131" s="34" t="n"/>
      <c r="BX131" s="34" t="n"/>
      <c r="BY131" s="254">
        <f>(-BY149+BY150+BY174+BY175)*(1-BY179)-BY181</f>
        <v>-92.96</v>
      </c>
      <c r="BZ131" s="254">
        <f>(-BZ149+BZ150+BZ174+BZ175)*(1-BZ179)-BZ181</f>
        <v>-92.96</v>
      </c>
      <c r="CA131" s="254">
        <f>SUM(BY131:BZ131)</f>
        <v>-185.92</v>
      </c>
      <c r="CB131" s="35" t="n"/>
      <c r="CC131" s="35" t="n"/>
      <c r="CD131" s="35" t="n"/>
      <c r="CE131" s="35" t="n"/>
      <c r="CF131" s="19" t="n"/>
    </row>
    <row r="132" ht="15" customHeight="1" s="251">
      <c r="B132" s="156" t="inlineStr">
        <is>
          <t xml:space="preserve">  Q3–Q4/26E Adjusted Operating Income required ((adjusted NI − 1H actual − helper) ÷ (1 − tax rate))</t>
        </is>
      </c>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c r="AA132" s="44" t="n"/>
      <c r="AB132" s="44" t="n"/>
      <c r="AC132" s="44" t="n"/>
      <c r="AD132" s="44" t="n"/>
      <c r="AE132" s="44" t="n"/>
      <c r="AF132" s="44" t="n"/>
      <c r="AG132" s="44" t="n"/>
      <c r="AH132" s="44" t="n"/>
      <c r="AI132" s="44" t="n"/>
      <c r="AJ132" s="44" t="n"/>
      <c r="AK132" s="44" t="n"/>
      <c r="AL132" s="44" t="n"/>
      <c r="AM132" s="44" t="n"/>
      <c r="AN132" s="44" t="n"/>
      <c r="AO132" s="44" t="n"/>
      <c r="AP132" s="44" t="n"/>
      <c r="AQ132" s="44" t="n"/>
      <c r="AR132" s="44" t="n"/>
      <c r="AS132" s="44" t="n"/>
      <c r="AT132" s="44" t="n"/>
      <c r="AU132" s="44" t="n"/>
      <c r="AV132" s="44" t="n"/>
      <c r="AW132" s="44" t="n"/>
      <c r="AX132" s="44" t="n"/>
      <c r="AY132" s="44" t="n"/>
      <c r="AZ132" s="44" t="n"/>
      <c r="BA132" s="44" t="n"/>
      <c r="BB132" s="44" t="n"/>
      <c r="BC132" s="44" t="n"/>
      <c r="BD132" s="44" t="n"/>
      <c r="BE132" s="44" t="n"/>
      <c r="BF132" s="44" t="n"/>
      <c r="BG132" s="44" t="n"/>
      <c r="BH132" s="44" t="n"/>
      <c r="BI132" s="44" t="n"/>
      <c r="BJ132" s="44" t="n"/>
      <c r="BK132" s="44" t="n"/>
      <c r="BL132" s="44" t="n"/>
      <c r="BM132" s="44" t="n"/>
      <c r="BN132" s="44" t="n"/>
      <c r="BO132" s="44" t="n"/>
      <c r="BP132" s="44" t="n"/>
      <c r="BQ132" s="44" t="n"/>
      <c r="BR132" s="44" t="n"/>
      <c r="BS132" s="44" t="n"/>
      <c r="BT132" s="44" t="n"/>
      <c r="BU132" s="44" t="n"/>
      <c r="BV132" s="44" t="n"/>
      <c r="BW132" s="44" t="n"/>
      <c r="BX132" s="44" t="n"/>
      <c r="BY132" s="35" t="n"/>
      <c r="BZ132" s="35" t="n"/>
      <c r="CA132" s="254">
        <f>(CA130-SUM(BW235:BX235)-CA131)/(1-$CP$31)</f>
        <v>2006.48199538074</v>
      </c>
      <c r="CB132" s="35" t="n"/>
      <c r="CC132" s="35" t="n"/>
      <c r="CD132" s="35" t="n"/>
      <c r="CE132" s="35" t="n"/>
      <c r="CF132" s="153" t="n"/>
    </row>
    <row r="133" ht="15" customHeight="1" s="251">
      <c r="B133" s="25" t="inlineStr">
        <is>
          <t xml:space="preserve">  Adjusted Operating Income before margin calibration (Q3/Q4-26E helper)</t>
        </is>
      </c>
      <c r="C133" s="34" t="n"/>
      <c r="D133" s="34" t="n"/>
      <c r="E133" s="34" t="n"/>
      <c r="F133" s="34" t="n"/>
      <c r="G133" s="34" t="n"/>
      <c r="H133" s="34" t="n"/>
      <c r="I133" s="34" t="n"/>
      <c r="J133" s="34" t="n"/>
      <c r="K133" s="34" t="n"/>
      <c r="L133" s="34" t="n"/>
      <c r="M133" s="34" t="n"/>
      <c r="N133" s="34" t="n"/>
      <c r="O133" s="34" t="n"/>
      <c r="P133" s="34" t="n"/>
      <c r="Q133" s="34" t="n"/>
      <c r="R133" s="34" t="n"/>
      <c r="S133" s="34" t="n"/>
      <c r="T133" s="34" t="n"/>
      <c r="U133" s="34" t="n"/>
      <c r="V133" s="34" t="n"/>
      <c r="W133" s="34" t="n"/>
      <c r="X133" s="34" t="n"/>
      <c r="Y133" s="34" t="n"/>
      <c r="Z133" s="34" t="n"/>
      <c r="AA133" s="34" t="n"/>
      <c r="AB133" s="34" t="n"/>
      <c r="AC133" s="34" t="n"/>
      <c r="AD133" s="34" t="n"/>
      <c r="AE133" s="34" t="n"/>
      <c r="AF133" s="34" t="n"/>
      <c r="AG133" s="34" t="n"/>
      <c r="AH133" s="34" t="n"/>
      <c r="AI133" s="34" t="n"/>
      <c r="AJ133" s="34" t="n"/>
      <c r="AK133" s="34" t="n"/>
      <c r="AL133" s="34" t="n"/>
      <c r="AM133" s="34" t="n"/>
      <c r="AN133" s="34" t="n"/>
      <c r="AO133" s="34" t="n"/>
      <c r="AP133" s="34" t="n"/>
      <c r="AQ133" s="34" t="n"/>
      <c r="AR133" s="34" t="n"/>
      <c r="AS133" s="34" t="n"/>
      <c r="AT133" s="34" t="n"/>
      <c r="AU133" s="34" t="n"/>
      <c r="AV133" s="34" t="n"/>
      <c r="AW133" s="34" t="n"/>
      <c r="AX133" s="34" t="n"/>
      <c r="AY133" s="34" t="n"/>
      <c r="AZ133" s="34" t="n"/>
      <c r="BA133" s="34" t="n"/>
      <c r="BB133" s="34" t="n"/>
      <c r="BC133" s="34" t="n"/>
      <c r="BD133" s="34" t="n"/>
      <c r="BE133" s="34" t="n"/>
      <c r="BF133" s="34" t="n"/>
      <c r="BG133" s="34" t="n"/>
      <c r="BH133" s="34" t="n"/>
      <c r="BI133" s="34" t="n"/>
      <c r="BJ133" s="34" t="n"/>
      <c r="BK133" s="34" t="n"/>
      <c r="BL133" s="34" t="n"/>
      <c r="BM133" s="34" t="n"/>
      <c r="BN133" s="34" t="n"/>
      <c r="BO133" s="34" t="n"/>
      <c r="BP133" s="34" t="n"/>
      <c r="BQ133" s="34" t="n"/>
      <c r="BR133" s="34" t="n"/>
      <c r="BS133" s="34" t="n"/>
      <c r="BT133" s="34" t="n"/>
      <c r="BU133" s="34" t="n"/>
      <c r="BV133" s="34" t="n"/>
      <c r="BW133" s="34" t="n"/>
      <c r="BX133" s="34" t="n"/>
      <c r="BY133" s="254">
        <f>BY36*BY39+BY79*BY82</f>
        <v>1116.38143652445</v>
      </c>
      <c r="BZ133" s="254">
        <f>BZ36*BZ39+BZ79*BZ82</f>
        <v>969.722844958039</v>
      </c>
      <c r="CA133" s="254">
        <f>SUM(BY133:BZ133)</f>
        <v>2086.10428148249</v>
      </c>
      <c r="CB133" s="35" t="n"/>
      <c r="CC133" s="35" t="n"/>
      <c r="CD133" s="35" t="n"/>
      <c r="CE133" s="35" t="n"/>
      <c r="CF133" s="19" t="n"/>
    </row>
    <row r="134" ht="15" customHeight="1" s="251">
      <c r="B134" s="25" t="inlineStr">
        <is>
          <t xml:space="preserve">  Total segment revenue (Q3/Q4-26E helper)</t>
        </is>
      </c>
      <c r="C134" s="34" t="n"/>
      <c r="D134" s="34" t="n"/>
      <c r="E134" s="34" t="n"/>
      <c r="F134" s="34" t="n"/>
      <c r="G134" s="34" t="n"/>
      <c r="H134" s="34" t="n"/>
      <c r="I134" s="34" t="n"/>
      <c r="J134" s="34" t="n"/>
      <c r="K134" s="34" t="n"/>
      <c r="L134" s="34" t="n"/>
      <c r="M134" s="34" t="n"/>
      <c r="N134" s="34" t="n"/>
      <c r="O134" s="34" t="n"/>
      <c r="P134" s="34" t="n"/>
      <c r="Q134" s="34" t="n"/>
      <c r="R134" s="34" t="n"/>
      <c r="S134" s="34" t="n"/>
      <c r="T134" s="34" t="n"/>
      <c r="U134" s="34" t="n"/>
      <c r="V134" s="34" t="n"/>
      <c r="W134" s="34" t="n"/>
      <c r="X134" s="34" t="n"/>
      <c r="Y134" s="34" t="n"/>
      <c r="Z134" s="34" t="n"/>
      <c r="AA134" s="34" t="n"/>
      <c r="AB134" s="34" t="n"/>
      <c r="AC134" s="34" t="n"/>
      <c r="AD134" s="34" t="n"/>
      <c r="AE134" s="34" t="n"/>
      <c r="AF134" s="34" t="n"/>
      <c r="AG134" s="34" t="n"/>
      <c r="AH134" s="34" t="n"/>
      <c r="AI134" s="34" t="n"/>
      <c r="AJ134" s="34" t="n"/>
      <c r="AK134" s="34" t="n"/>
      <c r="AL134" s="34" t="n"/>
      <c r="AM134" s="34" t="n"/>
      <c r="AN134" s="34" t="n"/>
      <c r="AO134" s="34" t="n"/>
      <c r="AP134" s="34" t="n"/>
      <c r="AQ134" s="34" t="n"/>
      <c r="AR134" s="34" t="n"/>
      <c r="AS134" s="34" t="n"/>
      <c r="AT134" s="34" t="n"/>
      <c r="AU134" s="34" t="n"/>
      <c r="AV134" s="34" t="n"/>
      <c r="AW134" s="34" t="n"/>
      <c r="AX134" s="34" t="n"/>
      <c r="AY134" s="34" t="n"/>
      <c r="AZ134" s="34" t="n"/>
      <c r="BA134" s="34" t="n"/>
      <c r="BB134" s="34" t="n"/>
      <c r="BC134" s="34" t="n"/>
      <c r="BD134" s="34" t="n"/>
      <c r="BE134" s="34" t="n"/>
      <c r="BF134" s="34" t="n"/>
      <c r="BG134" s="34" t="n"/>
      <c r="BH134" s="34" t="n"/>
      <c r="BI134" s="34" t="n"/>
      <c r="BJ134" s="34" t="n"/>
      <c r="BK134" s="34" t="n"/>
      <c r="BL134" s="34" t="n"/>
      <c r="BM134" s="34" t="n"/>
      <c r="BN134" s="34" t="n"/>
      <c r="BO134" s="34" t="n"/>
      <c r="BP134" s="34" t="n"/>
      <c r="BQ134" s="34" t="n"/>
      <c r="BR134" s="34" t="n"/>
      <c r="BS134" s="34" t="n"/>
      <c r="BT134" s="34" t="n"/>
      <c r="BU134" s="34" t="n"/>
      <c r="BV134" s="34" t="n"/>
      <c r="BW134" s="34" t="n"/>
      <c r="BX134" s="34" t="n"/>
      <c r="BY134" s="254">
        <f>BY36+BY79</f>
        <v>2089.83642313065</v>
      </c>
      <c r="BZ134" s="254">
        <f>BZ36+BZ79</f>
        <v>1966.77010451102</v>
      </c>
      <c r="CA134" s="254">
        <f>SUM(BY134:BZ134)</f>
        <v>4056.60652764167</v>
      </c>
      <c r="CB134" s="35" t="n"/>
      <c r="CC134" s="35" t="n"/>
      <c r="CD134" s="35" t="n"/>
      <c r="CE134" s="35" t="n"/>
      <c r="CF134" s="19" t="n"/>
    </row>
    <row r="135" ht="15" customHeight="1" s="251">
      <c r="B135" s="25" t="inlineStr">
        <is>
          <t xml:space="preserve">  Guidance calibration: Δ segment Adjusted Operating Margin (Q3/Q4-26E)</t>
        </is>
      </c>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c r="AA135" s="36" t="n"/>
      <c r="AB135" s="36" t="n"/>
      <c r="AC135" s="36" t="n"/>
      <c r="AD135" s="36" t="n"/>
      <c r="AE135" s="36" t="n"/>
      <c r="AF135" s="36" t="n"/>
      <c r="AG135" s="36" t="n"/>
      <c r="AH135" s="36" t="n"/>
      <c r="AI135" s="36" t="n"/>
      <c r="AJ135" s="36" t="n"/>
      <c r="AK135" s="36" t="n"/>
      <c r="AL135" s="36" t="n"/>
      <c r="AM135" s="36" t="n"/>
      <c r="AN135" s="36" t="n"/>
      <c r="AO135" s="36" t="n"/>
      <c r="AP135" s="36" t="n"/>
      <c r="AQ135" s="36" t="n"/>
      <c r="AR135" s="36" t="n"/>
      <c r="AS135" s="36" t="n"/>
      <c r="AT135" s="36" t="n"/>
      <c r="AU135" s="36" t="n"/>
      <c r="AV135" s="36" t="n"/>
      <c r="AW135" s="36" t="n"/>
      <c r="AX135" s="36" t="n"/>
      <c r="AY135" s="36" t="n"/>
      <c r="AZ135" s="36" t="n"/>
      <c r="BA135" s="36" t="n"/>
      <c r="BB135" s="36" t="n"/>
      <c r="BC135" s="36" t="n"/>
      <c r="BD135" s="36" t="n"/>
      <c r="BE135" s="36" t="n"/>
      <c r="BF135" s="36" t="n"/>
      <c r="BG135" s="36" t="n"/>
      <c r="BH135" s="36" t="n"/>
      <c r="BI135" s="36" t="n"/>
      <c r="BJ135" s="36" t="n"/>
      <c r="BK135" s="36" t="n"/>
      <c r="BL135" s="36" t="n"/>
      <c r="BM135" s="36" t="n"/>
      <c r="BN135" s="36" t="n"/>
      <c r="BO135" s="36" t="n"/>
      <c r="BP135" s="36" t="n"/>
      <c r="BQ135" s="36" t="n"/>
      <c r="BR135" s="36" t="n"/>
      <c r="BS135" s="36" t="n"/>
      <c r="BT135" s="36" t="n"/>
      <c r="BU135" s="36" t="n"/>
      <c r="BV135" s="36" t="n"/>
      <c r="BW135" s="36" t="n"/>
      <c r="BX135" s="36" t="n"/>
      <c r="BY135" s="24" t="n"/>
      <c r="BZ135" s="24" t="n"/>
      <c r="CA135" s="256">
        <f>(CA132-CA133)/CA134</f>
        <v>-0.0196278060391632</v>
      </c>
      <c r="CB135" s="46" t="n"/>
      <c r="CC135" s="46" t="n"/>
      <c r="CD135" s="46" t="n"/>
      <c r="CE135" s="46" t="n"/>
      <c r="CF135" s="19" t="inlineStr">
        <is>
          <t>Solves the uniform segment-margin shift so that FY26 adjusted diluted EPS = the guidance end-point for the active scenario.</t>
        </is>
      </c>
    </row>
    <row r="136" ht="15" customHeight="1" s="251">
      <c r="B136" s="57" t="inlineStr">
        <is>
          <t xml:space="preserve">  Check: FY26 adjusted diluted EPS vs guidance end-point (should be 0.00)</t>
        </is>
      </c>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c r="AA136" s="44" t="n"/>
      <c r="AB136" s="44" t="n"/>
      <c r="AC136" s="44" t="n"/>
      <c r="AD136" s="44" t="n"/>
      <c r="AE136" s="44" t="n"/>
      <c r="AF136" s="44" t="n"/>
      <c r="AG136" s="44" t="n"/>
      <c r="AH136" s="44" t="n"/>
      <c r="AI136" s="44" t="n"/>
      <c r="AJ136" s="44" t="n"/>
      <c r="AK136" s="44" t="n"/>
      <c r="AL136" s="44" t="n"/>
      <c r="AM136" s="44" t="n"/>
      <c r="AN136" s="44" t="n"/>
      <c r="AO136" s="44" t="n"/>
      <c r="AP136" s="44" t="n"/>
      <c r="AQ136" s="44" t="n"/>
      <c r="AR136" s="44" t="n"/>
      <c r="AS136" s="44" t="n"/>
      <c r="AT136" s="44" t="n"/>
      <c r="AU136" s="44" t="n"/>
      <c r="AV136" s="44" t="n"/>
      <c r="AW136" s="44" t="n"/>
      <c r="AX136" s="44" t="n"/>
      <c r="AY136" s="44" t="n"/>
      <c r="AZ136" s="44" t="n"/>
      <c r="BA136" s="44" t="n"/>
      <c r="BB136" s="44" t="n"/>
      <c r="BC136" s="44" t="n"/>
      <c r="BD136" s="44" t="n"/>
      <c r="BE136" s="44" t="n"/>
      <c r="BF136" s="44" t="n"/>
      <c r="BG136" s="44" t="n"/>
      <c r="BH136" s="44" t="n"/>
      <c r="BI136" s="44" t="n"/>
      <c r="BJ136" s="44" t="n"/>
      <c r="BK136" s="44" t="n"/>
      <c r="BL136" s="44" t="n"/>
      <c r="BM136" s="44" t="n"/>
      <c r="BN136" s="44" t="n"/>
      <c r="BO136" s="44" t="n"/>
      <c r="BP136" s="44" t="n"/>
      <c r="BQ136" s="44" t="n"/>
      <c r="BR136" s="44" t="n"/>
      <c r="BS136" s="44" t="n"/>
      <c r="BT136" s="44" t="n"/>
      <c r="BU136" s="44" t="n"/>
      <c r="BV136" s="44" t="n"/>
      <c r="BW136" s="44" t="n"/>
      <c r="BX136" s="44" t="n"/>
      <c r="BY136" s="153" t="n"/>
      <c r="BZ136" s="153" t="n"/>
      <c r="CA136" s="277">
        <f>ROUND(CA238-CA129,2)</f>
        <v>0</v>
      </c>
      <c r="CB136" s="153" t="n"/>
      <c r="CC136" s="153" t="n"/>
      <c r="CD136" s="153" t="n"/>
      <c r="CE136" s="153" t="n"/>
      <c r="CF136" s="153" t="n"/>
    </row>
    <row r="137" ht="15" customHeight="1" s="251">
      <c r="B137" s="156" t="inlineStr">
        <is>
          <t xml:space="preserve">  Memo: FY26 Adjusted Operating Margin guidance (52–53%) — scenario end-point, information (not forced)</t>
        </is>
      </c>
      <c r="C137" s="34" t="n"/>
      <c r="D137" s="34" t="n"/>
      <c r="E137" s="34" t="n"/>
      <c r="F137" s="34" t="n"/>
      <c r="G137" s="34" t="n"/>
      <c r="H137" s="34" t="n"/>
      <c r="I137" s="34" t="n"/>
      <c r="J137" s="34" t="n"/>
      <c r="K137" s="34" t="n"/>
      <c r="L137" s="34" t="n"/>
      <c r="M137" s="34" t="n"/>
      <c r="N137" s="34" t="n"/>
      <c r="O137" s="34" t="n"/>
      <c r="P137" s="34" t="n"/>
      <c r="Q137" s="34" t="n"/>
      <c r="R137" s="34" t="n"/>
      <c r="S137" s="34" t="n"/>
      <c r="T137" s="34" t="n"/>
      <c r="U137" s="34" t="n"/>
      <c r="V137" s="34" t="n"/>
      <c r="W137" s="34" t="n"/>
      <c r="X137" s="34" t="n"/>
      <c r="Y137" s="34" t="n"/>
      <c r="Z137" s="34" t="n"/>
      <c r="AA137" s="34" t="n"/>
      <c r="AB137" s="34" t="n"/>
      <c r="AC137" s="34" t="n"/>
      <c r="AD137" s="34" t="n"/>
      <c r="AE137" s="34" t="n"/>
      <c r="AF137" s="34" t="n"/>
      <c r="AG137" s="34" t="n"/>
      <c r="AH137" s="34" t="n"/>
      <c r="AI137" s="34" t="n"/>
      <c r="AJ137" s="34" t="n"/>
      <c r="AK137" s="34" t="n"/>
      <c r="AL137" s="34" t="n"/>
      <c r="AM137" s="34" t="n"/>
      <c r="AN137" s="34" t="n"/>
      <c r="AO137" s="34" t="n"/>
      <c r="AP137" s="34" t="n"/>
      <c r="AQ137" s="34" t="n"/>
      <c r="AR137" s="34" t="n"/>
      <c r="AS137" s="34" t="n"/>
      <c r="AT137" s="34" t="n"/>
      <c r="AU137" s="34" t="n"/>
      <c r="AV137" s="34" t="n"/>
      <c r="AW137" s="34" t="n"/>
      <c r="AX137" s="34" t="n"/>
      <c r="AY137" s="34" t="n"/>
      <c r="AZ137" s="34" t="n"/>
      <c r="BA137" s="34" t="n"/>
      <c r="BB137" s="34" t="n"/>
      <c r="BC137" s="34" t="n"/>
      <c r="BD137" s="34" t="n"/>
      <c r="BE137" s="34" t="n"/>
      <c r="BF137" s="34" t="n"/>
      <c r="BG137" s="34" t="n"/>
      <c r="BH137" s="34" t="n"/>
      <c r="BI137" s="34" t="n"/>
      <c r="BJ137" s="34" t="n"/>
      <c r="BK137" s="34" t="n"/>
      <c r="BL137" s="34" t="n"/>
      <c r="BM137" s="34" t="n"/>
      <c r="BN137" s="34" t="n"/>
      <c r="BO137" s="34" t="n"/>
      <c r="BP137" s="34" t="n"/>
      <c r="BQ137" s="34" t="n"/>
      <c r="BR137" s="34" t="n"/>
      <c r="BS137" s="34" t="n"/>
      <c r="BT137" s="34" t="n"/>
      <c r="BU137" s="34" t="n"/>
      <c r="BV137" s="34" t="n"/>
      <c r="BW137" s="34" t="n"/>
      <c r="BX137" s="34" t="n"/>
      <c r="BY137" s="153" t="n"/>
      <c r="BZ137" s="153" t="n"/>
      <c r="CA137" s="276">
        <f>CHOOSE(MATCH($CF$2,{"Bull","Base","Bear"},0),$CO$16,$CP$16,$CQ$16)</f>
        <v>0.525</v>
      </c>
      <c r="CB137" s="153" t="n"/>
      <c r="CC137" s="153" t="n"/>
      <c r="CD137" s="153" t="n"/>
      <c r="CE137" s="153" t="n"/>
      <c r="CF137" s="153" t="n"/>
    </row>
    <row r="138" ht="15" customHeight="1" s="251">
      <c r="B138" s="156" t="inlineStr">
        <is>
          <t xml:space="preserve">    Model − guidance</t>
        </is>
      </c>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c r="AA138" s="44" t="n"/>
      <c r="AB138" s="44" t="n"/>
      <c r="AC138" s="44" t="n"/>
      <c r="AD138" s="44" t="n"/>
      <c r="AE138" s="44" t="n"/>
      <c r="AF138" s="44" t="n"/>
      <c r="AG138" s="44" t="n"/>
      <c r="AH138" s="44" t="n"/>
      <c r="AI138" s="44" t="n"/>
      <c r="AJ138" s="44" t="n"/>
      <c r="AK138" s="44" t="n"/>
      <c r="AL138" s="44" t="n"/>
      <c r="AM138" s="44" t="n"/>
      <c r="AN138" s="44" t="n"/>
      <c r="AO138" s="44" t="n"/>
      <c r="AP138" s="44" t="n"/>
      <c r="AQ138" s="44" t="n"/>
      <c r="AR138" s="44" t="n"/>
      <c r="AS138" s="44" t="n"/>
      <c r="AT138" s="44" t="n"/>
      <c r="AU138" s="44" t="n"/>
      <c r="AV138" s="44" t="n"/>
      <c r="AW138" s="44" t="n"/>
      <c r="AX138" s="44" t="n"/>
      <c r="AY138" s="44" t="n"/>
      <c r="AZ138" s="44" t="n"/>
      <c r="BA138" s="44" t="n"/>
      <c r="BB138" s="44" t="n"/>
      <c r="BC138" s="44" t="n"/>
      <c r="BD138" s="44" t="n"/>
      <c r="BE138" s="44" t="n"/>
      <c r="BF138" s="44" t="n"/>
      <c r="BG138" s="44" t="n"/>
      <c r="BH138" s="44" t="n"/>
      <c r="BI138" s="44" t="n"/>
      <c r="BJ138" s="44" t="n"/>
      <c r="BK138" s="44" t="n"/>
      <c r="BL138" s="44" t="n"/>
      <c r="BM138" s="44" t="n"/>
      <c r="BN138" s="44" t="n"/>
      <c r="BO138" s="44" t="n"/>
      <c r="BP138" s="44" t="n"/>
      <c r="BQ138" s="44" t="n"/>
      <c r="BR138" s="44" t="n"/>
      <c r="BS138" s="44" t="n"/>
      <c r="BT138" s="44" t="n"/>
      <c r="BU138" s="44" t="n"/>
      <c r="BV138" s="44" t="n"/>
      <c r="BW138" s="44" t="n"/>
      <c r="BX138" s="44" t="n"/>
      <c r="BY138" s="35" t="n"/>
      <c r="BZ138" s="35" t="n"/>
      <c r="CA138" s="256">
        <f>CA114-CA137</f>
        <v>7.32246738532894e-06</v>
      </c>
      <c r="CB138" s="35" t="n"/>
      <c r="CC138" s="35" t="n"/>
      <c r="CD138" s="35" t="n"/>
      <c r="CE138" s="35" t="n"/>
      <c r="CF138" s="153" t="n"/>
    </row>
    <row r="139" ht="15" customHeight="1" s="251">
      <c r="B139" s="156" t="inlineStr">
        <is>
          <t xml:space="preserve">  Memo: FY26 MIS Adjusted Operating Margin guidance (~65%) — scenario end-point, information (not forced)</t>
        </is>
      </c>
      <c r="C139" s="34" t="n"/>
      <c r="D139" s="34" t="n"/>
      <c r="E139" s="34" t="n"/>
      <c r="F139" s="34" t="n"/>
      <c r="G139" s="34" t="n"/>
      <c r="H139" s="34" t="n"/>
      <c r="I139" s="34" t="n"/>
      <c r="J139" s="34" t="n"/>
      <c r="K139" s="34" t="n"/>
      <c r="L139" s="34" t="n"/>
      <c r="M139" s="34" t="n"/>
      <c r="N139" s="34" t="n"/>
      <c r="O139" s="34" t="n"/>
      <c r="P139" s="34" t="n"/>
      <c r="Q139" s="34" t="n"/>
      <c r="R139" s="34" t="n"/>
      <c r="S139" s="34" t="n"/>
      <c r="T139" s="34" t="n"/>
      <c r="U139" s="34" t="n"/>
      <c r="V139" s="34" t="n"/>
      <c r="W139" s="34" t="n"/>
      <c r="X139" s="34" t="n"/>
      <c r="Y139" s="34" t="n"/>
      <c r="Z139" s="34" t="n"/>
      <c r="AA139" s="34" t="n"/>
      <c r="AB139" s="34" t="n"/>
      <c r="AC139" s="34" t="n"/>
      <c r="AD139" s="34" t="n"/>
      <c r="AE139" s="34" t="n"/>
      <c r="AF139" s="34" t="n"/>
      <c r="AG139" s="34" t="n"/>
      <c r="AH139" s="34" t="n"/>
      <c r="AI139" s="34" t="n"/>
      <c r="AJ139" s="34" t="n"/>
      <c r="AK139" s="34" t="n"/>
      <c r="AL139" s="34" t="n"/>
      <c r="AM139" s="34" t="n"/>
      <c r="AN139" s="34" t="n"/>
      <c r="AO139" s="34" t="n"/>
      <c r="AP139" s="34" t="n"/>
      <c r="AQ139" s="34" t="n"/>
      <c r="AR139" s="34" t="n"/>
      <c r="AS139" s="34" t="n"/>
      <c r="AT139" s="34" t="n"/>
      <c r="AU139" s="34" t="n"/>
      <c r="AV139" s="34" t="n"/>
      <c r="AW139" s="34" t="n"/>
      <c r="AX139" s="34" t="n"/>
      <c r="AY139" s="34" t="n"/>
      <c r="AZ139" s="34" t="n"/>
      <c r="BA139" s="34" t="n"/>
      <c r="BB139" s="34" t="n"/>
      <c r="BC139" s="34" t="n"/>
      <c r="BD139" s="34" t="n"/>
      <c r="BE139" s="34" t="n"/>
      <c r="BF139" s="34" t="n"/>
      <c r="BG139" s="34" t="n"/>
      <c r="BH139" s="34" t="n"/>
      <c r="BI139" s="34" t="n"/>
      <c r="BJ139" s="34" t="n"/>
      <c r="BK139" s="34" t="n"/>
      <c r="BL139" s="34" t="n"/>
      <c r="BM139" s="34" t="n"/>
      <c r="BN139" s="34" t="n"/>
      <c r="BO139" s="34" t="n"/>
      <c r="BP139" s="34" t="n"/>
      <c r="BQ139" s="34" t="n"/>
      <c r="BR139" s="34" t="n"/>
      <c r="BS139" s="34" t="n"/>
      <c r="BT139" s="34" t="n"/>
      <c r="BU139" s="34" t="n"/>
      <c r="BV139" s="34" t="n"/>
      <c r="BW139" s="34" t="n"/>
      <c r="BX139" s="34" t="n"/>
      <c r="BY139" s="153" t="n"/>
      <c r="BZ139" s="153" t="n"/>
      <c r="CA139" s="276">
        <f>CHOOSE(MATCH($CF$2,{"Bull","Base","Bear"},0),$CO$17,$CP$17,$CQ$17)</f>
        <v>0.65</v>
      </c>
      <c r="CB139" s="153" t="n"/>
      <c r="CC139" s="153" t="n"/>
      <c r="CD139" s="153" t="n"/>
      <c r="CE139" s="153" t="n"/>
      <c r="CF139" s="153" t="n"/>
    </row>
    <row r="140" ht="15" customHeight="1" s="251">
      <c r="B140" s="156" t="inlineStr">
        <is>
          <t xml:space="preserve">    Model − guidance</t>
        </is>
      </c>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c r="AA140" s="44" t="n"/>
      <c r="AB140" s="44" t="n"/>
      <c r="AC140" s="44" t="n"/>
      <c r="AD140" s="44" t="n"/>
      <c r="AE140" s="44" t="n"/>
      <c r="AF140" s="44" t="n"/>
      <c r="AG140" s="44" t="n"/>
      <c r="AH140" s="44" t="n"/>
      <c r="AI140" s="44" t="n"/>
      <c r="AJ140" s="44" t="n"/>
      <c r="AK140" s="44" t="n"/>
      <c r="AL140" s="44" t="n"/>
      <c r="AM140" s="44" t="n"/>
      <c r="AN140" s="44" t="n"/>
      <c r="AO140" s="44" t="n"/>
      <c r="AP140" s="44" t="n"/>
      <c r="AQ140" s="44" t="n"/>
      <c r="AR140" s="44" t="n"/>
      <c r="AS140" s="44" t="n"/>
      <c r="AT140" s="44" t="n"/>
      <c r="AU140" s="44" t="n"/>
      <c r="AV140" s="44" t="n"/>
      <c r="AW140" s="44" t="n"/>
      <c r="AX140" s="44" t="n"/>
      <c r="AY140" s="44" t="n"/>
      <c r="AZ140" s="44" t="n"/>
      <c r="BA140" s="44" t="n"/>
      <c r="BB140" s="44" t="n"/>
      <c r="BC140" s="44" t="n"/>
      <c r="BD140" s="44" t="n"/>
      <c r="BE140" s="44" t="n"/>
      <c r="BF140" s="44" t="n"/>
      <c r="BG140" s="44" t="n"/>
      <c r="BH140" s="44" t="n"/>
      <c r="BI140" s="44" t="n"/>
      <c r="BJ140" s="44" t="n"/>
      <c r="BK140" s="44" t="n"/>
      <c r="BL140" s="44" t="n"/>
      <c r="BM140" s="44" t="n"/>
      <c r="BN140" s="44" t="n"/>
      <c r="BO140" s="44" t="n"/>
      <c r="BP140" s="44" t="n"/>
      <c r="BQ140" s="44" t="n"/>
      <c r="BR140" s="44" t="n"/>
      <c r="BS140" s="44" t="n"/>
      <c r="BT140" s="44" t="n"/>
      <c r="BU140" s="44" t="n"/>
      <c r="BV140" s="44" t="n"/>
      <c r="BW140" s="44" t="n"/>
      <c r="BX140" s="44" t="n"/>
      <c r="BY140" s="35" t="n"/>
      <c r="BZ140" s="35" t="n"/>
      <c r="CA140" s="256">
        <f>CA38-CA139</f>
        <v>0.00271561223913985</v>
      </c>
      <c r="CB140" s="35" t="n"/>
      <c r="CC140" s="35" t="n"/>
      <c r="CD140" s="35" t="n"/>
      <c r="CE140" s="35" t="n"/>
      <c r="CF140" s="153" t="n"/>
    </row>
    <row r="141" ht="15" customHeight="1" s="251">
      <c r="B141" s="156" t="inlineStr">
        <is>
          <t xml:space="preserve">  Memo: FY26 MA Adjusted Operating Margin guidance (34–35%) — scenario end-point, information (not forced)</t>
        </is>
      </c>
      <c r="C141" s="34" t="n"/>
      <c r="D141" s="34" t="n"/>
      <c r="E141" s="34" t="n"/>
      <c r="F141" s="34" t="n"/>
      <c r="G141" s="34" t="n"/>
      <c r="H141" s="34" t="n"/>
      <c r="I141" s="34" t="n"/>
      <c r="J141" s="34" t="n"/>
      <c r="K141" s="34" t="n"/>
      <c r="L141" s="34" t="n"/>
      <c r="M141" s="34" t="n"/>
      <c r="N141" s="34" t="n"/>
      <c r="O141" s="34" t="n"/>
      <c r="P141" s="34" t="n"/>
      <c r="Q141" s="34" t="n"/>
      <c r="R141" s="34" t="n"/>
      <c r="S141" s="34" t="n"/>
      <c r="T141" s="34" t="n"/>
      <c r="U141" s="34" t="n"/>
      <c r="V141" s="34" t="n"/>
      <c r="W141" s="34" t="n"/>
      <c r="X141" s="34" t="n"/>
      <c r="Y141" s="34" t="n"/>
      <c r="Z141" s="34" t="n"/>
      <c r="AA141" s="34" t="n"/>
      <c r="AB141" s="34" t="n"/>
      <c r="AC141" s="34" t="n"/>
      <c r="AD141" s="34" t="n"/>
      <c r="AE141" s="34" t="n"/>
      <c r="AF141" s="34" t="n"/>
      <c r="AG141" s="34" t="n"/>
      <c r="AH141" s="34" t="n"/>
      <c r="AI141" s="34" t="n"/>
      <c r="AJ141" s="34" t="n"/>
      <c r="AK141" s="34" t="n"/>
      <c r="AL141" s="34" t="n"/>
      <c r="AM141" s="34" t="n"/>
      <c r="AN141" s="34" t="n"/>
      <c r="AO141" s="34" t="n"/>
      <c r="AP141" s="34" t="n"/>
      <c r="AQ141" s="34" t="n"/>
      <c r="AR141" s="34" t="n"/>
      <c r="AS141" s="34" t="n"/>
      <c r="AT141" s="34" t="n"/>
      <c r="AU141" s="34" t="n"/>
      <c r="AV141" s="34" t="n"/>
      <c r="AW141" s="34" t="n"/>
      <c r="AX141" s="34" t="n"/>
      <c r="AY141" s="34" t="n"/>
      <c r="AZ141" s="34" t="n"/>
      <c r="BA141" s="34" t="n"/>
      <c r="BB141" s="34" t="n"/>
      <c r="BC141" s="34" t="n"/>
      <c r="BD141" s="34" t="n"/>
      <c r="BE141" s="34" t="n"/>
      <c r="BF141" s="34" t="n"/>
      <c r="BG141" s="34" t="n"/>
      <c r="BH141" s="34" t="n"/>
      <c r="BI141" s="34" t="n"/>
      <c r="BJ141" s="34" t="n"/>
      <c r="BK141" s="34" t="n"/>
      <c r="BL141" s="34" t="n"/>
      <c r="BM141" s="34" t="n"/>
      <c r="BN141" s="34" t="n"/>
      <c r="BO141" s="34" t="n"/>
      <c r="BP141" s="34" t="n"/>
      <c r="BQ141" s="34" t="n"/>
      <c r="BR141" s="34" t="n"/>
      <c r="BS141" s="34" t="n"/>
      <c r="BT141" s="34" t="n"/>
      <c r="BU141" s="34" t="n"/>
      <c r="BV141" s="34" t="n"/>
      <c r="BW141" s="34" t="n"/>
      <c r="BX141" s="34" t="n"/>
      <c r="BY141" s="153" t="n"/>
      <c r="BZ141" s="153" t="n"/>
      <c r="CA141" s="276">
        <f>CHOOSE(MATCH($CF$2,{"Bull","Base","Bear"},0),$CO$18,$CP$18,$CQ$18)</f>
        <v>0.345</v>
      </c>
      <c r="CB141" s="153" t="n"/>
      <c r="CC141" s="153" t="n"/>
      <c r="CD141" s="153" t="n"/>
      <c r="CE141" s="153" t="n"/>
      <c r="CF141" s="153" t="n"/>
    </row>
    <row r="142" ht="15" customHeight="1" s="251">
      <c r="B142" s="156" t="inlineStr">
        <is>
          <t xml:space="preserve">    Model − guidance</t>
        </is>
      </c>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c r="AA142" s="44" t="n"/>
      <c r="AB142" s="44" t="n"/>
      <c r="AC142" s="44" t="n"/>
      <c r="AD142" s="44" t="n"/>
      <c r="AE142" s="44" t="n"/>
      <c r="AF142" s="44" t="n"/>
      <c r="AG142" s="44" t="n"/>
      <c r="AH142" s="44" t="n"/>
      <c r="AI142" s="44" t="n"/>
      <c r="AJ142" s="44" t="n"/>
      <c r="AK142" s="44" t="n"/>
      <c r="AL142" s="44" t="n"/>
      <c r="AM142" s="44" t="n"/>
      <c r="AN142" s="44" t="n"/>
      <c r="AO142" s="44" t="n"/>
      <c r="AP142" s="44" t="n"/>
      <c r="AQ142" s="44" t="n"/>
      <c r="AR142" s="44" t="n"/>
      <c r="AS142" s="44" t="n"/>
      <c r="AT142" s="44" t="n"/>
      <c r="AU142" s="44" t="n"/>
      <c r="AV142" s="44" t="n"/>
      <c r="AW142" s="44" t="n"/>
      <c r="AX142" s="44" t="n"/>
      <c r="AY142" s="44" t="n"/>
      <c r="AZ142" s="44" t="n"/>
      <c r="BA142" s="44" t="n"/>
      <c r="BB142" s="44" t="n"/>
      <c r="BC142" s="44" t="n"/>
      <c r="BD142" s="44" t="n"/>
      <c r="BE142" s="44" t="n"/>
      <c r="BF142" s="44" t="n"/>
      <c r="BG142" s="44" t="n"/>
      <c r="BH142" s="44" t="n"/>
      <c r="BI142" s="44" t="n"/>
      <c r="BJ142" s="44" t="n"/>
      <c r="BK142" s="44" t="n"/>
      <c r="BL142" s="44" t="n"/>
      <c r="BM142" s="44" t="n"/>
      <c r="BN142" s="44" t="n"/>
      <c r="BO142" s="44" t="n"/>
      <c r="BP142" s="44" t="n"/>
      <c r="BQ142" s="44" t="n"/>
      <c r="BR142" s="44" t="n"/>
      <c r="BS142" s="44" t="n"/>
      <c r="BT142" s="44" t="n"/>
      <c r="BU142" s="44" t="n"/>
      <c r="BV142" s="44" t="n"/>
      <c r="BW142" s="44" t="n"/>
      <c r="BX142" s="44" t="n"/>
      <c r="BY142" s="35" t="n"/>
      <c r="BZ142" s="35" t="n"/>
      <c r="CA142" s="256">
        <f>CA81-CA141</f>
        <v>-0.00423151985607195</v>
      </c>
      <c r="CB142" s="35" t="n"/>
      <c r="CC142" s="35" t="n"/>
      <c r="CD142" s="35" t="n"/>
      <c r="CE142" s="35" t="n"/>
      <c r="CF142" s="153" t="n"/>
    </row>
    <row r="143" ht="15" customHeight="1" s="251">
      <c r="B143" s="156" t="inlineStr">
        <is>
          <t xml:space="preserve">  Memo: FY26 diluted EPS guidance ($) — scenario end-point, information (not forced)</t>
        </is>
      </c>
      <c r="C143" s="34" t="n"/>
      <c r="D143" s="34" t="n"/>
      <c r="E143" s="34" t="n"/>
      <c r="F143" s="34" t="n"/>
      <c r="G143" s="34" t="n"/>
      <c r="H143" s="34" t="n"/>
      <c r="I143" s="34" t="n"/>
      <c r="J143" s="34" t="n"/>
      <c r="K143" s="34" t="n"/>
      <c r="L143" s="34" t="n"/>
      <c r="M143" s="34" t="n"/>
      <c r="N143" s="34" t="n"/>
      <c r="O143" s="34" t="n"/>
      <c r="P143" s="34" t="n"/>
      <c r="Q143" s="34" t="n"/>
      <c r="R143" s="34" t="n"/>
      <c r="S143" s="34" t="n"/>
      <c r="T143" s="34" t="n"/>
      <c r="U143" s="34" t="n"/>
      <c r="V143" s="34" t="n"/>
      <c r="W143" s="34" t="n"/>
      <c r="X143" s="34" t="n"/>
      <c r="Y143" s="34" t="n"/>
      <c r="Z143" s="34" t="n"/>
      <c r="AA143" s="34" t="n"/>
      <c r="AB143" s="34" t="n"/>
      <c r="AC143" s="34" t="n"/>
      <c r="AD143" s="34" t="n"/>
      <c r="AE143" s="34" t="n"/>
      <c r="AF143" s="34" t="n"/>
      <c r="AG143" s="34" t="n"/>
      <c r="AH143" s="34" t="n"/>
      <c r="AI143" s="34" t="n"/>
      <c r="AJ143" s="34" t="n"/>
      <c r="AK143" s="34" t="n"/>
      <c r="AL143" s="34" t="n"/>
      <c r="AM143" s="34" t="n"/>
      <c r="AN143" s="34" t="n"/>
      <c r="AO143" s="34" t="n"/>
      <c r="AP143" s="34" t="n"/>
      <c r="AQ143" s="34" t="n"/>
      <c r="AR143" s="34" t="n"/>
      <c r="AS143" s="34" t="n"/>
      <c r="AT143" s="34" t="n"/>
      <c r="AU143" s="34" t="n"/>
      <c r="AV143" s="34" t="n"/>
      <c r="AW143" s="34" t="n"/>
      <c r="AX143" s="34" t="n"/>
      <c r="AY143" s="34" t="n"/>
      <c r="AZ143" s="34" t="n"/>
      <c r="BA143" s="34" t="n"/>
      <c r="BB143" s="34" t="n"/>
      <c r="BC143" s="34" t="n"/>
      <c r="BD143" s="34" t="n"/>
      <c r="BE143" s="34" t="n"/>
      <c r="BF143" s="34" t="n"/>
      <c r="BG143" s="34" t="n"/>
      <c r="BH143" s="34" t="n"/>
      <c r="BI143" s="34" t="n"/>
      <c r="BJ143" s="34" t="n"/>
      <c r="BK143" s="34" t="n"/>
      <c r="BL143" s="34" t="n"/>
      <c r="BM143" s="34" t="n"/>
      <c r="BN143" s="34" t="n"/>
      <c r="BO143" s="34" t="n"/>
      <c r="BP143" s="34" t="n"/>
      <c r="BQ143" s="34" t="n"/>
      <c r="BR143" s="34" t="n"/>
      <c r="BS143" s="34" t="n"/>
      <c r="BT143" s="34" t="n"/>
      <c r="BU143" s="34" t="n"/>
      <c r="BV143" s="34" t="n"/>
      <c r="BW143" s="34" t="n"/>
      <c r="BX143" s="34" t="n"/>
      <c r="BY143" s="153" t="n"/>
      <c r="BZ143" s="153" t="n"/>
      <c r="CA143" s="277">
        <f>CHOOSE(MATCH($CF$2,{"Bull","Base","Bear"},0),$CO$19,$CP$19,$CQ$19)</f>
        <v>16.25</v>
      </c>
      <c r="CB143" s="153" t="n"/>
      <c r="CC143" s="153" t="n"/>
      <c r="CD143" s="153" t="n"/>
      <c r="CE143" s="153" t="n"/>
      <c r="CF143" s="153" t="n"/>
    </row>
    <row r="144" ht="15" customHeight="1" s="251">
      <c r="B144" s="156" t="inlineStr">
        <is>
          <t xml:space="preserve">    Model − guidance</t>
        </is>
      </c>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c r="AA144" s="44" t="n"/>
      <c r="AB144" s="44" t="n"/>
      <c r="AC144" s="44" t="n"/>
      <c r="AD144" s="44" t="n"/>
      <c r="AE144" s="44" t="n"/>
      <c r="AF144" s="44" t="n"/>
      <c r="AG144" s="44" t="n"/>
      <c r="AH144" s="44" t="n"/>
      <c r="AI144" s="44" t="n"/>
      <c r="AJ144" s="44" t="n"/>
      <c r="AK144" s="44" t="n"/>
      <c r="AL144" s="44" t="n"/>
      <c r="AM144" s="44" t="n"/>
      <c r="AN144" s="44" t="n"/>
      <c r="AO144" s="44" t="n"/>
      <c r="AP144" s="44" t="n"/>
      <c r="AQ144" s="44" t="n"/>
      <c r="AR144" s="44" t="n"/>
      <c r="AS144" s="44" t="n"/>
      <c r="AT144" s="44" t="n"/>
      <c r="AU144" s="44" t="n"/>
      <c r="AV144" s="44" t="n"/>
      <c r="AW144" s="44" t="n"/>
      <c r="AX144" s="44" t="n"/>
      <c r="AY144" s="44" t="n"/>
      <c r="AZ144" s="44" t="n"/>
      <c r="BA144" s="44" t="n"/>
      <c r="BB144" s="44" t="n"/>
      <c r="BC144" s="44" t="n"/>
      <c r="BD144" s="44" t="n"/>
      <c r="BE144" s="44" t="n"/>
      <c r="BF144" s="44" t="n"/>
      <c r="BG144" s="44" t="n"/>
      <c r="BH144" s="44" t="n"/>
      <c r="BI144" s="44" t="n"/>
      <c r="BJ144" s="44" t="n"/>
      <c r="BK144" s="44" t="n"/>
      <c r="BL144" s="44" t="n"/>
      <c r="BM144" s="44" t="n"/>
      <c r="BN144" s="44" t="n"/>
      <c r="BO144" s="44" t="n"/>
      <c r="BP144" s="44" t="n"/>
      <c r="BQ144" s="44" t="n"/>
      <c r="BR144" s="44" t="n"/>
      <c r="BS144" s="44" t="n"/>
      <c r="BT144" s="44" t="n"/>
      <c r="BU144" s="44" t="n"/>
      <c r="BV144" s="44" t="n"/>
      <c r="BW144" s="44" t="n"/>
      <c r="BX144" s="44" t="n"/>
      <c r="BY144" s="35" t="n"/>
      <c r="BZ144" s="35" t="n"/>
      <c r="CA144" s="278">
        <f>CA190-CA143</f>
        <v>-0.0354026756107793</v>
      </c>
      <c r="CB144" s="35" t="n"/>
      <c r="CC144" s="35" t="n"/>
      <c r="CD144" s="35" t="n"/>
      <c r="CE144" s="35" t="n"/>
      <c r="CF144" s="153" t="n"/>
    </row>
    <row r="145" ht="15" customHeight="1" s="251">
      <c r="B145" s="156" t="inlineStr">
        <is>
          <t xml:space="preserve">  Memo: FY26 Free Cash Flow guidance ($m) — scenario end-point, information (not forced)</t>
        </is>
      </c>
      <c r="C145" s="34" t="n"/>
      <c r="D145" s="34" t="n"/>
      <c r="E145" s="34" t="n"/>
      <c r="F145" s="34" t="n"/>
      <c r="G145" s="34" t="n"/>
      <c r="H145" s="34" t="n"/>
      <c r="I145" s="34" t="n"/>
      <c r="J145" s="34" t="n"/>
      <c r="K145" s="34" t="n"/>
      <c r="L145" s="34" t="n"/>
      <c r="M145" s="34" t="n"/>
      <c r="N145" s="34" t="n"/>
      <c r="O145" s="34" t="n"/>
      <c r="P145" s="34" t="n"/>
      <c r="Q145" s="34" t="n"/>
      <c r="R145" s="34" t="n"/>
      <c r="S145" s="34" t="n"/>
      <c r="T145" s="34" t="n"/>
      <c r="U145" s="34" t="n"/>
      <c r="V145" s="34" t="n"/>
      <c r="W145" s="34" t="n"/>
      <c r="X145" s="34" t="n"/>
      <c r="Y145" s="34" t="n"/>
      <c r="Z145" s="34" t="n"/>
      <c r="AA145" s="34" t="n"/>
      <c r="AB145" s="34" t="n"/>
      <c r="AC145" s="34" t="n"/>
      <c r="AD145" s="34" t="n"/>
      <c r="AE145" s="34" t="n"/>
      <c r="AF145" s="34" t="n"/>
      <c r="AG145" s="34" t="n"/>
      <c r="AH145" s="34" t="n"/>
      <c r="AI145" s="34" t="n"/>
      <c r="AJ145" s="34" t="n"/>
      <c r="AK145" s="34" t="n"/>
      <c r="AL145" s="34" t="n"/>
      <c r="AM145" s="34" t="n"/>
      <c r="AN145" s="34" t="n"/>
      <c r="AO145" s="34" t="n"/>
      <c r="AP145" s="34" t="n"/>
      <c r="AQ145" s="34" t="n"/>
      <c r="AR145" s="34" t="n"/>
      <c r="AS145" s="34" t="n"/>
      <c r="AT145" s="34" t="n"/>
      <c r="AU145" s="34" t="n"/>
      <c r="AV145" s="34" t="n"/>
      <c r="AW145" s="34" t="n"/>
      <c r="AX145" s="34" t="n"/>
      <c r="AY145" s="34" t="n"/>
      <c r="AZ145" s="34" t="n"/>
      <c r="BA145" s="34" t="n"/>
      <c r="BB145" s="34" t="n"/>
      <c r="BC145" s="34" t="n"/>
      <c r="BD145" s="34" t="n"/>
      <c r="BE145" s="34" t="n"/>
      <c r="BF145" s="34" t="n"/>
      <c r="BG145" s="34" t="n"/>
      <c r="BH145" s="34" t="n"/>
      <c r="BI145" s="34" t="n"/>
      <c r="BJ145" s="34" t="n"/>
      <c r="BK145" s="34" t="n"/>
      <c r="BL145" s="34" t="n"/>
      <c r="BM145" s="34" t="n"/>
      <c r="BN145" s="34" t="n"/>
      <c r="BO145" s="34" t="n"/>
      <c r="BP145" s="34" t="n"/>
      <c r="BQ145" s="34" t="n"/>
      <c r="BR145" s="34" t="n"/>
      <c r="BS145" s="34" t="n"/>
      <c r="BT145" s="34" t="n"/>
      <c r="BU145" s="34" t="n"/>
      <c r="BV145" s="34" t="n"/>
      <c r="BW145" s="34" t="n"/>
      <c r="BX145" s="34" t="n"/>
      <c r="BY145" s="153" t="n"/>
      <c r="BZ145" s="153" t="n"/>
      <c r="CA145" s="267">
        <f>CHOOSE(MATCH($CF$2,{"Bull","Base","Bear"},0),$CO$20,$CP$20,$CQ$20)</f>
        <v>2800</v>
      </c>
      <c r="CB145" s="153" t="n"/>
      <c r="CC145" s="153" t="n"/>
      <c r="CD145" s="153" t="n"/>
      <c r="CE145" s="153" t="n"/>
      <c r="CF145" s="153" t="n"/>
    </row>
    <row r="146" ht="15" customHeight="1" s="251">
      <c r="B146" s="156" t="inlineStr">
        <is>
          <t xml:space="preserve">    Model − guidance</t>
        </is>
      </c>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c r="AA146" s="44" t="n"/>
      <c r="AB146" s="44" t="n"/>
      <c r="AC146" s="44" t="n"/>
      <c r="AD146" s="44" t="n"/>
      <c r="AE146" s="44" t="n"/>
      <c r="AF146" s="44" t="n"/>
      <c r="AG146" s="44" t="n"/>
      <c r="AH146" s="44" t="n"/>
      <c r="AI146" s="44" t="n"/>
      <c r="AJ146" s="44" t="n"/>
      <c r="AK146" s="44" t="n"/>
      <c r="AL146" s="44" t="n"/>
      <c r="AM146" s="44" t="n"/>
      <c r="AN146" s="44" t="n"/>
      <c r="AO146" s="44" t="n"/>
      <c r="AP146" s="44" t="n"/>
      <c r="AQ146" s="44" t="n"/>
      <c r="AR146" s="44" t="n"/>
      <c r="AS146" s="44" t="n"/>
      <c r="AT146" s="44" t="n"/>
      <c r="AU146" s="44" t="n"/>
      <c r="AV146" s="44" t="n"/>
      <c r="AW146" s="44" t="n"/>
      <c r="AX146" s="44" t="n"/>
      <c r="AY146" s="44" t="n"/>
      <c r="AZ146" s="44" t="n"/>
      <c r="BA146" s="44" t="n"/>
      <c r="BB146" s="44" t="n"/>
      <c r="BC146" s="44" t="n"/>
      <c r="BD146" s="44" t="n"/>
      <c r="BE146" s="44" t="n"/>
      <c r="BF146" s="44" t="n"/>
      <c r="BG146" s="44" t="n"/>
      <c r="BH146" s="44" t="n"/>
      <c r="BI146" s="44" t="n"/>
      <c r="BJ146" s="44" t="n"/>
      <c r="BK146" s="44" t="n"/>
      <c r="BL146" s="44" t="n"/>
      <c r="BM146" s="44" t="n"/>
      <c r="BN146" s="44" t="n"/>
      <c r="BO146" s="44" t="n"/>
      <c r="BP146" s="44" t="n"/>
      <c r="BQ146" s="44" t="n"/>
      <c r="BR146" s="44" t="n"/>
      <c r="BS146" s="44" t="n"/>
      <c r="BT146" s="44" t="n"/>
      <c r="BU146" s="44" t="n"/>
      <c r="BV146" s="44" t="n"/>
      <c r="BW146" s="44" t="n"/>
      <c r="BX146" s="44" t="n"/>
      <c r="BY146" s="35" t="n"/>
      <c r="BZ146" s="35" t="n"/>
      <c r="CA146" s="254">
        <f>CA288-CA145</f>
        <v>133.74278142087</v>
      </c>
      <c r="CB146" s="35" t="n"/>
      <c r="CC146" s="35" t="n"/>
      <c r="CD146" s="35" t="n"/>
      <c r="CE146" s="35" t="n"/>
      <c r="CF146" s="153" t="n"/>
    </row>
    <row r="147" ht="15" customHeight="1" s="251">
      <c r="CN147" s="11" t="n"/>
      <c r="CO147" s="12" t="n"/>
      <c r="CP147" s="12" t="n"/>
      <c r="CQ147" s="12" t="n"/>
      <c r="CR147" s="13" t="n"/>
    </row>
    <row r="148" ht="15" customHeight="1" s="251">
      <c r="B148" s="14" t="inlineStr">
        <is>
          <t>Cost drivers, D&amp;A &amp; items excluded from Adjusted Operating Income</t>
        </is>
      </c>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c r="AA148" s="14" t="n"/>
      <c r="AB148" s="14" t="n"/>
      <c r="AC148" s="14" t="n"/>
      <c r="AD148" s="14" t="n"/>
      <c r="AE148" s="14" t="n"/>
      <c r="AF148" s="14" t="n"/>
      <c r="AG148" s="14" t="n"/>
      <c r="AH148" s="14" t="n"/>
      <c r="AI148" s="14" t="n"/>
      <c r="AJ148" s="14" t="n"/>
      <c r="AK148" s="14" t="n"/>
      <c r="AL148" s="14" t="n"/>
      <c r="AM148" s="14" t="n"/>
      <c r="AN148" s="14" t="n"/>
      <c r="AO148" s="14" t="n"/>
      <c r="AP148" s="14" t="n"/>
      <c r="AQ148" s="14" t="n"/>
      <c r="AR148" s="14" t="n"/>
      <c r="AS148" s="14" t="n"/>
      <c r="AT148" s="14" t="n"/>
      <c r="AU148" s="14" t="n"/>
      <c r="AV148" s="14" t="n"/>
      <c r="AW148" s="14" t="n"/>
      <c r="AX148" s="14" t="n"/>
      <c r="AY148" s="14" t="n"/>
      <c r="AZ148" s="14" t="n"/>
      <c r="BA148" s="14" t="n"/>
      <c r="BB148" s="14" t="n"/>
      <c r="BC148" s="14" t="n"/>
      <c r="BD148" s="14" t="n"/>
      <c r="BE148" s="14" t="n"/>
      <c r="BF148" s="14" t="n"/>
      <c r="BG148" s="14" t="n"/>
      <c r="BH148" s="14" t="n"/>
      <c r="BI148" s="14" t="n"/>
      <c r="BJ148" s="14" t="n"/>
      <c r="BK148" s="14" t="n"/>
      <c r="BL148" s="14" t="n"/>
      <c r="BM148" s="14" t="n"/>
      <c r="BN148" s="14" t="n"/>
      <c r="BO148" s="14" t="n"/>
      <c r="BP148" s="14" t="n"/>
      <c r="BQ148" s="14" t="n"/>
      <c r="BR148" s="14" t="n"/>
      <c r="BS148" s="14" t="n"/>
      <c r="BT148" s="14" t="n"/>
      <c r="BU148" s="14" t="n"/>
      <c r="BV148" s="14" t="n"/>
      <c r="BW148" s="14" t="n"/>
      <c r="BX148" s="14" t="n"/>
      <c r="BY148" s="14" t="n"/>
      <c r="BZ148" s="14" t="n"/>
      <c r="CA148" s="14" t="n"/>
      <c r="CB148" s="14" t="n"/>
      <c r="CC148" s="14" t="n"/>
      <c r="CD148" s="14" t="n"/>
      <c r="CE148" s="14" t="n"/>
      <c r="CF148" s="15" t="inlineStr">
        <is>
          <t>COST DRIVERS — inputs that drive forecast cost lines (Q3/Q4-26E: point estimates from the FY26 guidance reconciliation; 2027E+: % of revenue or schedules)</t>
        </is>
      </c>
    </row>
    <row r="149" collapsed="1" ht="15" customHeight="1" s="251">
      <c r="B149" s="25" t="inlineStr">
        <is>
          <t xml:space="preserve">  Depreciation &amp; amortization (total, IS face)</t>
        </is>
      </c>
      <c r="C149" s="261">
        <f>IF(ISNUMBER(C166),C166,"")</f>
        <v>39.5</v>
      </c>
      <c r="D149" s="261">
        <f>IF(ISNUMBER(D166),D166,"")</f>
        <v>42.9</v>
      </c>
      <c r="E149" s="261">
        <f>IF(ISNUMBER(E166),E166,"")</f>
        <v>75.1</v>
      </c>
      <c r="F149" s="261">
        <f>IF(ISNUMBER(F166),F166,"")</f>
        <v>64.1</v>
      </c>
      <c r="G149" s="261">
        <f>IF(ISNUMBER(G166),G166,"")</f>
        <v>66.3</v>
      </c>
      <c r="H149" s="261">
        <f>IF(ISNUMBER(H166),H166,"")</f>
        <v>79.2</v>
      </c>
      <c r="I149" s="261">
        <f>IF(ISNUMBER(I166),I166,"")</f>
        <v>93.5</v>
      </c>
      <c r="J149" s="261">
        <f>IF(ISNUMBER(J166),J166,"")</f>
        <v>23.6</v>
      </c>
      <c r="K149" s="261">
        <f>IF(ISNUMBER(K166),K166,"")</f>
        <v>23.1</v>
      </c>
      <c r="L149" s="261">
        <f>IF(ISNUMBER(L166),L166,"")</f>
        <v>23.4</v>
      </c>
      <c r="M149" s="261">
        <f>IF(ISNUMBER(M166),M166,"")</f>
        <v>23.3</v>
      </c>
      <c r="N149" s="261">
        <f>IF(ISNUMBER(N166),N166,"")</f>
        <v>93.4</v>
      </c>
      <c r="O149" s="261">
        <f>IF(ISNUMBER(O166),O166,"")</f>
        <v>23.1</v>
      </c>
      <c r="P149" s="261">
        <f>IF(ISNUMBER(P166),P166,"")</f>
        <v>22.3</v>
      </c>
      <c r="Q149" s="261">
        <f>IF(ISNUMBER(Q166),Q166,"")</f>
        <v>23.2</v>
      </c>
      <c r="R149" s="261">
        <f>IF(ISNUMBER(R166),R166,"")</f>
        <v>27</v>
      </c>
      <c r="S149" s="261">
        <f>IF(ISNUMBER(S166),S166,"")</f>
        <v>95.6</v>
      </c>
      <c r="T149" s="261">
        <f>IF(ISNUMBER(T166),T166,"")</f>
        <v>28.6</v>
      </c>
      <c r="U149" s="261">
        <f>IF(ISNUMBER(U166),U166,"")</f>
        <v>27.9</v>
      </c>
      <c r="V149" s="261">
        <f>IF(ISNUMBER(V166),V166,"")</f>
        <v>28.3</v>
      </c>
      <c r="W149" s="261">
        <f>IF(ISNUMBER(W166),W166,"")</f>
        <v>28.7</v>
      </c>
      <c r="X149" s="261">
        <f>IF(ISNUMBER(X166),X166,"")</f>
        <v>113.5</v>
      </c>
      <c r="Y149" s="261">
        <f>IF(ISNUMBER(Y166),Y166,"")</f>
        <v>29.9</v>
      </c>
      <c r="Z149" s="261">
        <f>IF(ISNUMBER(Z166),Z166,"")</f>
        <v>31.2</v>
      </c>
      <c r="AA149" s="261">
        <f>IF(ISNUMBER(AA166),AA166,"")</f>
        <v>32.7</v>
      </c>
      <c r="AB149" s="261">
        <f>IF(ISNUMBER(AB166),AB166,"")</f>
        <v>32.9</v>
      </c>
      <c r="AC149" s="261">
        <f>IF(ISNUMBER(AC166),AC166,"")</f>
        <v>126.7</v>
      </c>
      <c r="AD149" s="261">
        <f>IF(ISNUMBER(AD166),AD166,"")</f>
        <v>32.5</v>
      </c>
      <c r="AE149" s="261">
        <f>IF(ISNUMBER(AE166),AE166,"")</f>
        <v>32.9</v>
      </c>
      <c r="AF149" s="261">
        <f>IF(ISNUMBER(AF166),AF166,"")</f>
        <v>43</v>
      </c>
      <c r="AG149" s="261">
        <f>IF(ISNUMBER(AG166),AG166,"")</f>
        <v>49.9</v>
      </c>
      <c r="AH149" s="261">
        <f>IF(ISNUMBER(AH166),AH166,"")</f>
        <v>158.3</v>
      </c>
      <c r="AI149" s="261">
        <f>IF(ISNUMBER(AI166),AI166,"")</f>
        <v>49.1</v>
      </c>
      <c r="AJ149" s="261">
        <f>IF(ISNUMBER(AJ166),AJ166,"")</f>
        <v>48.4</v>
      </c>
      <c r="AK149" s="261">
        <f>IF(ISNUMBER(AK166),AK166,"")</f>
        <v>46.1</v>
      </c>
      <c r="AL149" s="261">
        <f>IF(ISNUMBER(AL166),AL166,"")</f>
        <v>48.3</v>
      </c>
      <c r="AM149" s="261">
        <f>IF(ISNUMBER(AM166),AM166,"")</f>
        <v>191.9</v>
      </c>
      <c r="AN149" s="261">
        <f>IF(ISNUMBER(AN166),AN166,"")</f>
        <v>50.3</v>
      </c>
      <c r="AO149" s="261">
        <f>IF(ISNUMBER(AO166),AO166,"")</f>
        <v>51</v>
      </c>
      <c r="AP149" s="261">
        <f>IF(ISNUMBER(AP166),AP166,"")</f>
        <v>48.6</v>
      </c>
      <c r="AQ149" s="261">
        <f>IF(ISNUMBER(AQ166),AQ166,"")</f>
        <v>50</v>
      </c>
      <c r="AR149" s="261">
        <f>IF(ISNUMBER(AR166),AR166,"")</f>
        <v>200</v>
      </c>
      <c r="AS149" s="261">
        <f>IF(ISNUMBER(AS166),AS166,"")</f>
        <v>49</v>
      </c>
      <c r="AT149" s="261">
        <f>IF(ISNUMBER(AT166),AT166,"")</f>
        <v>58</v>
      </c>
      <c r="AU149" s="261">
        <f>IF(ISNUMBER(AU166),AU166,"")</f>
        <v>56</v>
      </c>
      <c r="AV149" s="261">
        <f>IF(ISNUMBER(AV166),AV166,"")</f>
        <v>57</v>
      </c>
      <c r="AW149" s="261">
        <f>IF(ISNUMBER(AW166),AW166,"")</f>
        <v>220</v>
      </c>
      <c r="AX149" s="261">
        <f>IF(ISNUMBER(AX166),AX166,"")</f>
        <v>59</v>
      </c>
      <c r="AY149" s="261">
        <f>IF(ISNUMBER(AY166),AY166,"")</f>
        <v>60</v>
      </c>
      <c r="AZ149" s="261">
        <f>IF(ISNUMBER(AZ166),AZ166,"")</f>
        <v>61</v>
      </c>
      <c r="BA149" s="261">
        <f>IF(ISNUMBER(BA166),BA166,"")</f>
        <v>77</v>
      </c>
      <c r="BB149" s="261">
        <f>IF(ISNUMBER(BB166),BB166,"")</f>
        <v>257</v>
      </c>
      <c r="BC149" s="261">
        <f>IF(ISNUMBER(BC166),BC166,"")</f>
        <v>78</v>
      </c>
      <c r="BD149" s="261">
        <f>IF(ISNUMBER(BD166),BD166,"")</f>
        <v>81</v>
      </c>
      <c r="BE149" s="261">
        <f>IF(ISNUMBER(BE166),BE166,"")</f>
        <v>83</v>
      </c>
      <c r="BF149" s="261">
        <f>IF(ISNUMBER(BF166),BF166,"")</f>
        <v>89</v>
      </c>
      <c r="BG149" s="261">
        <f>IF(ISNUMBER(BG166),BG166,"")</f>
        <v>331</v>
      </c>
      <c r="BH149" s="261">
        <f>IF(ISNUMBER(BH166),BH166,"")</f>
        <v>88</v>
      </c>
      <c r="BI149" s="261">
        <f>IF(ISNUMBER(BI166),BI166,"")</f>
        <v>93</v>
      </c>
      <c r="BJ149" s="261">
        <f>IF(ISNUMBER(BJ166),BJ166,"")</f>
        <v>95</v>
      </c>
      <c r="BK149" s="261">
        <f>IF(ISNUMBER(BK166),BK166,"")</f>
        <v>97</v>
      </c>
      <c r="BL149" s="261">
        <f>IF(ISNUMBER(BL166),BL166,"")</f>
        <v>373</v>
      </c>
      <c r="BM149" s="261">
        <f>IF(ISNUMBER(BM166),BM166,"")</f>
        <v>100</v>
      </c>
      <c r="BN149" s="261">
        <f>IF(ISNUMBER(BN166),BN166,"")</f>
        <v>110</v>
      </c>
      <c r="BO149" s="261">
        <f>IF(ISNUMBER(BO166),BO166,"")</f>
        <v>108</v>
      </c>
      <c r="BP149" s="261">
        <f>IF(ISNUMBER(BP166),BP166,"")</f>
        <v>113</v>
      </c>
      <c r="BQ149" s="261">
        <f>IF(ISNUMBER(BQ166),BQ166,"")</f>
        <v>431</v>
      </c>
      <c r="BR149" s="261">
        <f>IF(ISNUMBER(BR166),BR166,"")</f>
        <v>113</v>
      </c>
      <c r="BS149" s="261">
        <f>IF(ISNUMBER(BS166),BS166,"")</f>
        <v>120</v>
      </c>
      <c r="BT149" s="261">
        <f>IF(ISNUMBER(BT166),BT166,"")</f>
        <v>123</v>
      </c>
      <c r="BU149" s="261">
        <f>IF(ISNUMBER(BU166),BU166,"")</f>
        <v>124</v>
      </c>
      <c r="BV149" s="261">
        <f>IF(ISNUMBER(BV166),BV166,"")</f>
        <v>480</v>
      </c>
      <c r="BW149" s="261">
        <f>IF(ISNUMBER(BW166),BW166,"")</f>
        <v>122</v>
      </c>
      <c r="BX149" s="261">
        <f>IF(ISNUMBER(BX166),BX166,"")</f>
        <v>126</v>
      </c>
      <c r="BY149" s="254">
        <f>BY152+BY150</f>
        <v>118.5</v>
      </c>
      <c r="BZ149" s="254">
        <f>BZ152+BZ150</f>
        <v>118.5</v>
      </c>
      <c r="CA149" s="254">
        <f>SUM(BW149:BZ149)</f>
        <v>485</v>
      </c>
      <c r="CB149" s="254">
        <f>CB152+CB150</f>
        <v>515.202583320297</v>
      </c>
      <c r="CC149" s="254">
        <f>CC152+CC150</f>
        <v>538.511389465819</v>
      </c>
      <c r="CD149" s="254">
        <f>CD152+CD150</f>
        <v>544.368176350607</v>
      </c>
      <c r="CE149" s="254">
        <f>CE152+CE150</f>
        <v>548.595673978372</v>
      </c>
      <c r="CF149" s="19" t="n"/>
      <c r="CH149" s="20">
        <f>IFERROR((CE149/BV149)^(1/5)-1,"n/m")</f>
        <v>0.0270751656500348</v>
      </c>
      <c r="CI149" s="20">
        <f>IFERROR((BV149/AW149)^(1/5)-1,"n/m")</f>
        <v>0.168863268921301</v>
      </c>
      <c r="CJ149" s="20">
        <f>IFERROR((BV149/X149)^(1/10)-1,"n/m")</f>
        <v>0.155113175591092</v>
      </c>
      <c r="CK149" s="20">
        <f>IFERROR((BV149/C149)^(1/19)-1,"n/m")</f>
        <v>0.140477006544721</v>
      </c>
    </row>
    <row r="150" ht="15" customHeight="1" s="251">
      <c r="B150" s="25" t="inlineStr">
        <is>
          <t xml:space="preserve">  Amortization of acquired intangible assets (inside D&amp;A; adjusted out of adjusted EPS from 2016)</t>
        </is>
      </c>
      <c r="C150" s="34" t="n"/>
      <c r="D150" s="34" t="n"/>
      <c r="E150" s="253" t="n">
        <v>28.2</v>
      </c>
      <c r="F150" s="253" t="n">
        <v>16.4</v>
      </c>
      <c r="G150" s="253" t="n">
        <v>16.4</v>
      </c>
      <c r="H150" s="253" t="n">
        <v>20.5</v>
      </c>
      <c r="I150" s="253" t="n">
        <v>30.1</v>
      </c>
      <c r="J150" s="253" t="n">
        <v>7.1</v>
      </c>
      <c r="K150" s="253" t="n">
        <v>6.9</v>
      </c>
      <c r="L150" s="253" t="n">
        <v>7</v>
      </c>
      <c r="M150" s="253" t="n">
        <v>7</v>
      </c>
      <c r="N150" s="253" t="n">
        <v>28</v>
      </c>
      <c r="O150" s="253" t="n">
        <v>7.3</v>
      </c>
      <c r="P150" s="253" t="n">
        <v>6.3</v>
      </c>
      <c r="Q150" s="253" t="n">
        <v>6.9</v>
      </c>
      <c r="R150" s="253" t="n">
        <v>7.9</v>
      </c>
      <c r="S150" s="253" t="n">
        <v>28.4</v>
      </c>
      <c r="T150" s="253" t="n">
        <v>8.5</v>
      </c>
      <c r="U150" s="253" t="n">
        <v>8</v>
      </c>
      <c r="V150" s="253" t="n">
        <v>7.6</v>
      </c>
      <c r="W150" s="253" t="n">
        <v>7.8</v>
      </c>
      <c r="X150" s="253" t="n">
        <v>31.9</v>
      </c>
      <c r="Y150" s="253" t="n">
        <v>7.9</v>
      </c>
      <c r="Z150" s="253" t="n">
        <v>8.699999999999999</v>
      </c>
      <c r="AA150" s="253" t="n">
        <v>8.9</v>
      </c>
      <c r="AB150" s="253" t="n">
        <v>8.699999999999999</v>
      </c>
      <c r="AC150" s="253" t="n">
        <v>34.2</v>
      </c>
      <c r="AD150" s="253" t="n">
        <v>8.5</v>
      </c>
      <c r="AE150" s="253" t="n">
        <v>8.6</v>
      </c>
      <c r="AF150" s="253" t="n">
        <v>18.8</v>
      </c>
      <c r="AG150" s="253" t="n">
        <v>25.5</v>
      </c>
      <c r="AH150" s="253" t="n">
        <v>61.4</v>
      </c>
      <c r="AI150" s="253" t="n">
        <v>25.7</v>
      </c>
      <c r="AJ150" s="253" t="n">
        <v>25.1</v>
      </c>
      <c r="AK150" s="253" t="n">
        <v>24.6</v>
      </c>
      <c r="AL150" s="253" t="n">
        <v>26.3</v>
      </c>
      <c r="AM150" s="253" t="n">
        <v>101.7</v>
      </c>
      <c r="AN150" s="253" t="n">
        <v>26.4</v>
      </c>
      <c r="AO150" s="253" t="n">
        <v>26.2</v>
      </c>
      <c r="AP150" s="253" t="n">
        <v>24.7</v>
      </c>
      <c r="AQ150" s="253" t="n">
        <v>25.7</v>
      </c>
      <c r="AR150" s="253" t="n">
        <v>103</v>
      </c>
      <c r="AS150" s="253" t="n">
        <v>28</v>
      </c>
      <c r="AT150" s="253" t="n">
        <v>31</v>
      </c>
      <c r="AU150" s="253" t="n">
        <v>31</v>
      </c>
      <c r="AV150" s="253" t="n">
        <v>34</v>
      </c>
      <c r="AW150" s="253" t="n">
        <v>124</v>
      </c>
      <c r="AX150" s="253" t="n">
        <v>35</v>
      </c>
      <c r="AY150" s="253" t="n">
        <v>36</v>
      </c>
      <c r="AZ150" s="253" t="n">
        <v>37</v>
      </c>
      <c r="BA150" s="253" t="n">
        <v>50</v>
      </c>
      <c r="BB150" s="253" t="n">
        <v>158</v>
      </c>
      <c r="BC150" s="253" t="n">
        <v>51</v>
      </c>
      <c r="BD150" s="253" t="n">
        <v>51</v>
      </c>
      <c r="BE150" s="253" t="n">
        <v>48</v>
      </c>
      <c r="BF150" s="253" t="n">
        <v>50</v>
      </c>
      <c r="BG150" s="253" t="n">
        <v>200</v>
      </c>
      <c r="BH150" s="253" t="n">
        <v>51</v>
      </c>
      <c r="BI150" s="253" t="n">
        <v>50</v>
      </c>
      <c r="BJ150" s="253" t="n">
        <v>49</v>
      </c>
      <c r="BK150" s="253" t="n">
        <v>48</v>
      </c>
      <c r="BL150" s="253" t="n">
        <v>198</v>
      </c>
      <c r="BM150" s="253" t="n">
        <v>49</v>
      </c>
      <c r="BN150" s="253" t="n">
        <v>48</v>
      </c>
      <c r="BO150" s="253" t="n">
        <v>51</v>
      </c>
      <c r="BP150" s="253" t="n">
        <v>50</v>
      </c>
      <c r="BQ150" s="253" t="n">
        <v>198</v>
      </c>
      <c r="BR150" s="253" t="n">
        <v>53</v>
      </c>
      <c r="BS150" s="253" t="n">
        <v>55</v>
      </c>
      <c r="BT150" s="253" t="n">
        <v>55</v>
      </c>
      <c r="BU150" s="253" t="n">
        <v>52</v>
      </c>
      <c r="BV150" s="253" t="n">
        <v>215</v>
      </c>
      <c r="BW150" s="253" t="n">
        <v>53</v>
      </c>
      <c r="BX150" s="253" t="n">
        <v>53</v>
      </c>
      <c r="BY150" s="254">
        <f>$CP$27</f>
        <v>50.5</v>
      </c>
      <c r="BZ150" s="254">
        <f>$CP$27</f>
        <v>50.5</v>
      </c>
      <c r="CA150" s="254">
        <f>SUM(BW150:BZ150)</f>
        <v>207</v>
      </c>
      <c r="CB150" s="254">
        <f>CB151+N(CB107)</f>
        <v>197.666666666667</v>
      </c>
      <c r="CC150" s="254">
        <f>CC151+N(CC107)</f>
        <v>190</v>
      </c>
      <c r="CD150" s="254">
        <f>CD151+N(CD107)</f>
        <v>163.333333333333</v>
      </c>
      <c r="CE150" s="254">
        <f>CE151+N(CE107)</f>
        <v>144.666666666667</v>
      </c>
      <c r="CF150" s="19" t="inlineStr">
        <is>
          <t>History: XBRL AmortizationOfIntangibleAssets (10-K / 10-Q as first filed; equals "acquisition-related intangible amortization" in the adjusted-EPS bridge). Q3/Q4-26E: 10-Q schedule (remainder of 2026 ÷ 2). 2027E+: schedule of intangibles held at 30-Jun-2026 + future-acquisition amortization.</t>
        </is>
      </c>
      <c r="CH150" s="20">
        <f>IFERROR((CE150/BV150)^(1/5)-1,"n/m")</f>
        <v>-0.076182886957765</v>
      </c>
      <c r="CI150" s="20">
        <f>IFERROR((BV150/AW150)^(1/5)-1,"n/m")</f>
        <v>0.116357655555138</v>
      </c>
      <c r="CJ150" s="20">
        <f>IFERROR((BV150/X150)^(1/10)-1,"n/m")</f>
        <v>0.210221259319451</v>
      </c>
      <c r="CK150" s="20" t="str">
        <f>IFERROR((BV150/C150)^(1/19)-1,"n/m")</f>
        <v>n/m</v>
      </c>
    </row>
    <row r="151" ht="15" customHeight="1" s="251">
      <c r="B151" s="25" t="inlineStr">
        <is>
          <t xml:space="preserve">  Amortization schedule — intangibles held at 30-Jun-2026 (input)</t>
        </is>
      </c>
      <c r="C151" s="36"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c r="AA151" s="36" t="n"/>
      <c r="AB151" s="36" t="n"/>
      <c r="AC151" s="36" t="n"/>
      <c r="AD151" s="36" t="n"/>
      <c r="AE151" s="36" t="n"/>
      <c r="AF151" s="36" t="n"/>
      <c r="AG151" s="36" t="n"/>
      <c r="AH151" s="36" t="n"/>
      <c r="AI151" s="36" t="n"/>
      <c r="AJ151" s="36" t="n"/>
      <c r="AK151" s="36" t="n"/>
      <c r="AL151" s="36" t="n"/>
      <c r="AM151" s="36" t="n"/>
      <c r="AN151" s="36" t="n"/>
      <c r="AO151" s="36" t="n"/>
      <c r="AP151" s="36" t="n"/>
      <c r="AQ151" s="36" t="n"/>
      <c r="AR151" s="36" t="n"/>
      <c r="AS151" s="36" t="n"/>
      <c r="AT151" s="36" t="n"/>
      <c r="AU151" s="36" t="n"/>
      <c r="AV151" s="36" t="n"/>
      <c r="AW151" s="36" t="n"/>
      <c r="AX151" s="36" t="n"/>
      <c r="AY151" s="36" t="n"/>
      <c r="AZ151" s="36" t="n"/>
      <c r="BA151" s="36" t="n"/>
      <c r="BB151" s="36" t="n"/>
      <c r="BC151" s="36" t="n"/>
      <c r="BD151" s="36" t="n"/>
      <c r="BE151" s="36" t="n"/>
      <c r="BF151" s="36" t="n"/>
      <c r="BG151" s="36" t="n"/>
      <c r="BH151" s="36" t="n"/>
      <c r="BI151" s="36" t="n"/>
      <c r="BJ151" s="36" t="n"/>
      <c r="BK151" s="36" t="n"/>
      <c r="BL151" s="36" t="n"/>
      <c r="BM151" s="36" t="n"/>
      <c r="BN151" s="36" t="n"/>
      <c r="BO151" s="36" t="n"/>
      <c r="BP151" s="36" t="n"/>
      <c r="BQ151" s="36" t="n"/>
      <c r="BR151" s="36" t="n"/>
      <c r="BS151" s="36" t="n"/>
      <c r="BT151" s="36" t="n"/>
      <c r="BU151" s="36" t="n"/>
      <c r="BV151" s="36" t="n"/>
      <c r="BW151" s="36" t="n"/>
      <c r="BX151" s="36" t="n"/>
      <c r="BY151" s="24" t="n"/>
      <c r="BZ151" s="24" t="n"/>
      <c r="CA151" s="24" t="n"/>
      <c r="CB151" s="279" t="n">
        <v>195</v>
      </c>
      <c r="CC151" s="279" t="n">
        <v>182</v>
      </c>
      <c r="CD151" s="279" t="n">
        <v>150</v>
      </c>
      <c r="CE151" s="279" t="n">
        <v>126</v>
      </c>
      <c r="CF151" s="19" t="inlineStr">
        <is>
          <t>FY2025 10-K (filed 18-Feb-2026), Note 9 Goodwill and Other Acquired Intangible Assets: 'Estimated future annual amortization expense for intangible assets subject to amortization'. Neither the Q1-26 nor the Q2-26 10-Q gives a schedule.: 2027 $195m, 2028 $182m, 2029 $150m, 2030 $126m (thereafter $1,006m); excludes 2026 acquisitions (MERIS, Fintellix; immaterial).</t>
        </is>
      </c>
    </row>
    <row r="152" ht="15" customHeight="1" s="251">
      <c r="B152" s="25" t="inlineStr">
        <is>
          <t xml:space="preserve">  Depreciation &amp; amortization of PP&amp;E / internal-use software (D&amp;A − acquired-intangible amortization)</t>
        </is>
      </c>
      <c r="C152" s="261">
        <f>IF(AND(ISNUMBER(C149),ISNUMBER(C150)),C149-C150,"")</f>
      </c>
      <c r="D152" s="261">
        <f>IF(AND(ISNUMBER(D149),ISNUMBER(D150)),D149-D150,"")</f>
      </c>
      <c r="E152" s="261">
        <f>IF(AND(ISNUMBER(E149),ISNUMBER(E150)),E149-E150,"")</f>
        <v>46.9</v>
      </c>
      <c r="F152" s="261">
        <f>IF(AND(ISNUMBER(F149),ISNUMBER(F150)),F149-F150,"")</f>
        <v>47.7</v>
      </c>
      <c r="G152" s="261">
        <f>IF(AND(ISNUMBER(G149),ISNUMBER(G150)),G149-G150,"")</f>
        <v>49.9</v>
      </c>
      <c r="H152" s="261">
        <f>IF(AND(ISNUMBER(H149),ISNUMBER(H150)),H149-H150,"")</f>
        <v>58.7</v>
      </c>
      <c r="I152" s="261">
        <f>IF(AND(ISNUMBER(I149),ISNUMBER(I150)),I149-I150,"")</f>
        <v>63.4</v>
      </c>
      <c r="J152" s="261">
        <f>IF(AND(ISNUMBER(J149),ISNUMBER(J150)),J149-J150,"")</f>
        <v>16.5</v>
      </c>
      <c r="K152" s="261">
        <f>IF(AND(ISNUMBER(K149),ISNUMBER(K150)),K149-K150,"")</f>
        <v>16.2</v>
      </c>
      <c r="L152" s="261">
        <f>IF(AND(ISNUMBER(L149),ISNUMBER(L150)),L149-L150,"")</f>
        <v>16.4</v>
      </c>
      <c r="M152" s="261">
        <f>IF(AND(ISNUMBER(M149),ISNUMBER(M150)),M149-M150,"")</f>
        <v>16.3</v>
      </c>
      <c r="N152" s="261">
        <f>IF(AND(ISNUMBER(N149),ISNUMBER(N150)),N149-N150,"")</f>
        <v>65.4</v>
      </c>
      <c r="O152" s="261">
        <f>IF(AND(ISNUMBER(O149),ISNUMBER(O150)),O149-O150,"")</f>
        <v>15.8</v>
      </c>
      <c r="P152" s="261">
        <f>IF(AND(ISNUMBER(P149),ISNUMBER(P150)),P149-P150,"")</f>
        <v>16</v>
      </c>
      <c r="Q152" s="261">
        <f>IF(AND(ISNUMBER(Q149),ISNUMBER(Q150)),Q149-Q150,"")</f>
        <v>16.3</v>
      </c>
      <c r="R152" s="261">
        <f>IF(AND(ISNUMBER(R149),ISNUMBER(R150)),R149-R150,"")</f>
        <v>19.1</v>
      </c>
      <c r="S152" s="261">
        <f>IF(AND(ISNUMBER(S149),ISNUMBER(S150)),S149-S150,"")</f>
        <v>67.2</v>
      </c>
      <c r="T152" s="261">
        <f>IF(AND(ISNUMBER(T149),ISNUMBER(T150)),T149-T150,"")</f>
        <v>20.1</v>
      </c>
      <c r="U152" s="261">
        <f>IF(AND(ISNUMBER(U149),ISNUMBER(U150)),U149-U150,"")</f>
        <v>19.9</v>
      </c>
      <c r="V152" s="261">
        <f>IF(AND(ISNUMBER(V149),ISNUMBER(V150)),V149-V150,"")</f>
        <v>20.7</v>
      </c>
      <c r="W152" s="261">
        <f>IF(AND(ISNUMBER(W149),ISNUMBER(W150)),W149-W150,"")</f>
        <v>20.9</v>
      </c>
      <c r="X152" s="261">
        <f>IF(AND(ISNUMBER(X149),ISNUMBER(X150)),X149-X150,"")</f>
        <v>81.6</v>
      </c>
      <c r="Y152" s="261">
        <f>IF(AND(ISNUMBER(Y149),ISNUMBER(Y150)),Y149-Y150,"")</f>
        <v>22</v>
      </c>
      <c r="Z152" s="261">
        <f>IF(AND(ISNUMBER(Z149),ISNUMBER(Z150)),Z149-Z150,"")</f>
        <v>22.5</v>
      </c>
      <c r="AA152" s="261">
        <f>IF(AND(ISNUMBER(AA149),ISNUMBER(AA150)),AA149-AA150,"")</f>
        <v>23.8</v>
      </c>
      <c r="AB152" s="261">
        <f>IF(AND(ISNUMBER(AB149),ISNUMBER(AB150)),AB149-AB150,"")</f>
        <v>24.2</v>
      </c>
      <c r="AC152" s="261">
        <f>IF(AND(ISNUMBER(AC149),ISNUMBER(AC150)),AC149-AC150,"")</f>
        <v>92.5</v>
      </c>
      <c r="AD152" s="261">
        <f>IF(AND(ISNUMBER(AD149),ISNUMBER(AD150)),AD149-AD150,"")</f>
        <v>24</v>
      </c>
      <c r="AE152" s="261">
        <f>IF(AND(ISNUMBER(AE149),ISNUMBER(AE150)),AE149-AE150,"")</f>
        <v>24.3</v>
      </c>
      <c r="AF152" s="261">
        <f>IF(AND(ISNUMBER(AF149),ISNUMBER(AF150)),AF149-AF150,"")</f>
        <v>24.2</v>
      </c>
      <c r="AG152" s="261">
        <f>IF(AND(ISNUMBER(AG149),ISNUMBER(AG150)),AG149-AG150,"")</f>
        <v>24.4</v>
      </c>
      <c r="AH152" s="261">
        <f>IF(AND(ISNUMBER(AH149),ISNUMBER(AH150)),AH149-AH150,"")</f>
        <v>96.9</v>
      </c>
      <c r="AI152" s="261">
        <f>IF(AND(ISNUMBER(AI149),ISNUMBER(AI150)),AI149-AI150,"")</f>
        <v>23.4</v>
      </c>
      <c r="AJ152" s="261">
        <f>IF(AND(ISNUMBER(AJ149),ISNUMBER(AJ150)),AJ149-AJ150,"")</f>
        <v>23.3</v>
      </c>
      <c r="AK152" s="261">
        <f>IF(AND(ISNUMBER(AK149),ISNUMBER(AK150)),AK149-AK150,"")</f>
        <v>21.5</v>
      </c>
      <c r="AL152" s="261">
        <f>IF(AND(ISNUMBER(AL149),ISNUMBER(AL150)),AL149-AL150,"")</f>
        <v>22</v>
      </c>
      <c r="AM152" s="261">
        <f>IF(AND(ISNUMBER(AM149),ISNUMBER(AM150)),AM149-AM150,"")</f>
        <v>90.2</v>
      </c>
      <c r="AN152" s="261">
        <f>IF(AND(ISNUMBER(AN149),ISNUMBER(AN150)),AN149-AN150,"")</f>
        <v>23.9</v>
      </c>
      <c r="AO152" s="261">
        <f>IF(AND(ISNUMBER(AO149),ISNUMBER(AO150)),AO149-AO150,"")</f>
        <v>24.8</v>
      </c>
      <c r="AP152" s="261">
        <f>IF(AND(ISNUMBER(AP149),ISNUMBER(AP150)),AP149-AP150,"")</f>
        <v>23.9</v>
      </c>
      <c r="AQ152" s="261">
        <f>IF(AND(ISNUMBER(AQ149),ISNUMBER(AQ150)),AQ149-AQ150,"")</f>
        <v>24.3</v>
      </c>
      <c r="AR152" s="261">
        <f>IF(AND(ISNUMBER(AR149),ISNUMBER(AR150)),AR149-AR150,"")</f>
        <v>97</v>
      </c>
      <c r="AS152" s="261">
        <f>IF(AND(ISNUMBER(AS149),ISNUMBER(AS150)),AS149-AS150,"")</f>
        <v>21</v>
      </c>
      <c r="AT152" s="261">
        <f>IF(AND(ISNUMBER(AT149),ISNUMBER(AT150)),AT149-AT150,"")</f>
        <v>27</v>
      </c>
      <c r="AU152" s="261">
        <f>IF(AND(ISNUMBER(AU149),ISNUMBER(AU150)),AU149-AU150,"")</f>
        <v>25</v>
      </c>
      <c r="AV152" s="261">
        <f>IF(AND(ISNUMBER(AV149),ISNUMBER(AV150)),AV149-AV150,"")</f>
        <v>23</v>
      </c>
      <c r="AW152" s="261">
        <f>IF(AND(ISNUMBER(AW149),ISNUMBER(AW150)),AW149-AW150,"")</f>
        <v>96</v>
      </c>
      <c r="AX152" s="261">
        <f>IF(AND(ISNUMBER(AX149),ISNUMBER(AX150)),AX149-AX150,"")</f>
        <v>24</v>
      </c>
      <c r="AY152" s="261">
        <f>IF(AND(ISNUMBER(AY149),ISNUMBER(AY150)),AY149-AY150,"")</f>
        <v>24</v>
      </c>
      <c r="AZ152" s="261">
        <f>IF(AND(ISNUMBER(AZ149),ISNUMBER(AZ150)),AZ149-AZ150,"")</f>
        <v>24</v>
      </c>
      <c r="BA152" s="261">
        <f>IF(AND(ISNUMBER(BA149),ISNUMBER(BA150)),BA149-BA150,"")</f>
        <v>27</v>
      </c>
      <c r="BB152" s="261">
        <f>IF(AND(ISNUMBER(BB149),ISNUMBER(BB150)),BB149-BB150,"")</f>
        <v>99</v>
      </c>
      <c r="BC152" s="261">
        <f>IF(AND(ISNUMBER(BC149),ISNUMBER(BC150)),BC149-BC150,"")</f>
        <v>27</v>
      </c>
      <c r="BD152" s="261">
        <f>IF(AND(ISNUMBER(BD149),ISNUMBER(BD150)),BD149-BD150,"")</f>
        <v>30</v>
      </c>
      <c r="BE152" s="261">
        <f>IF(AND(ISNUMBER(BE149),ISNUMBER(BE150)),BE149-BE150,"")</f>
        <v>35</v>
      </c>
      <c r="BF152" s="261">
        <f>IF(AND(ISNUMBER(BF149),ISNUMBER(BF150)),BF149-BF150,"")</f>
        <v>39</v>
      </c>
      <c r="BG152" s="261">
        <f>IF(AND(ISNUMBER(BG149),ISNUMBER(BG150)),BG149-BG150,"")</f>
        <v>131</v>
      </c>
      <c r="BH152" s="261">
        <f>IF(AND(ISNUMBER(BH149),ISNUMBER(BH150)),BH149-BH150,"")</f>
        <v>37</v>
      </c>
      <c r="BI152" s="261">
        <f>IF(AND(ISNUMBER(BI149),ISNUMBER(BI150)),BI149-BI150,"")</f>
        <v>43</v>
      </c>
      <c r="BJ152" s="261">
        <f>IF(AND(ISNUMBER(BJ149),ISNUMBER(BJ150)),BJ149-BJ150,"")</f>
        <v>46</v>
      </c>
      <c r="BK152" s="261">
        <f>IF(AND(ISNUMBER(BK149),ISNUMBER(BK150)),BK149-BK150,"")</f>
        <v>49</v>
      </c>
      <c r="BL152" s="261">
        <f>IF(AND(ISNUMBER(BL149),ISNUMBER(BL150)),BL149-BL150,"")</f>
        <v>175</v>
      </c>
      <c r="BM152" s="261">
        <f>IF(AND(ISNUMBER(BM149),ISNUMBER(BM150)),BM149-BM150,"")</f>
        <v>51</v>
      </c>
      <c r="BN152" s="261">
        <f>IF(AND(ISNUMBER(BN149),ISNUMBER(BN150)),BN149-BN150,"")</f>
        <v>62</v>
      </c>
      <c r="BO152" s="261">
        <f>IF(AND(ISNUMBER(BO149),ISNUMBER(BO150)),BO149-BO150,"")</f>
        <v>57</v>
      </c>
      <c r="BP152" s="261">
        <f>IF(AND(ISNUMBER(BP149),ISNUMBER(BP150)),BP149-BP150,"")</f>
        <v>63</v>
      </c>
      <c r="BQ152" s="261">
        <f>IF(AND(ISNUMBER(BQ149),ISNUMBER(BQ150)),BQ149-BQ150,"")</f>
        <v>233</v>
      </c>
      <c r="BR152" s="261">
        <f>IF(AND(ISNUMBER(BR149),ISNUMBER(BR150)),BR149-BR150,"")</f>
        <v>60</v>
      </c>
      <c r="BS152" s="261">
        <f>IF(AND(ISNUMBER(BS149),ISNUMBER(BS150)),BS149-BS150,"")</f>
        <v>65</v>
      </c>
      <c r="BT152" s="261">
        <f>IF(AND(ISNUMBER(BT149),ISNUMBER(BT150)),BT149-BT150,"")</f>
        <v>68</v>
      </c>
      <c r="BU152" s="261">
        <f>IF(AND(ISNUMBER(BU149),ISNUMBER(BU150)),BU149-BU150,"")</f>
        <v>72</v>
      </c>
      <c r="BV152" s="261">
        <f>IF(AND(ISNUMBER(BV149),ISNUMBER(BV150)),BV149-BV150,"")</f>
        <v>265</v>
      </c>
      <c r="BW152" s="261">
        <f>IF(AND(ISNUMBER(BW149),ISNUMBER(BW150)),BW149-BW150,"")</f>
        <v>69</v>
      </c>
      <c r="BX152" s="261">
        <f>IF(AND(ISNUMBER(BX149),ISNUMBER(BX150)),BX149-BX150,"")</f>
        <v>73</v>
      </c>
      <c r="BY152" s="254">
        <f>$CP$28</f>
        <v>68</v>
      </c>
      <c r="BZ152" s="254">
        <f>$CP$28</f>
        <v>68</v>
      </c>
      <c r="CA152" s="254">
        <f>SUM(BW152:BZ152)</f>
        <v>278</v>
      </c>
      <c r="CB152" s="254">
        <f>CB163*CB153</f>
        <v>317.53591665363</v>
      </c>
      <c r="CC152" s="254">
        <f>CC163*CC153</f>
        <v>348.511389465819</v>
      </c>
      <c r="CD152" s="254">
        <f>CD163*CD153</f>
        <v>381.034843017274</v>
      </c>
      <c r="CE152" s="254">
        <f>CE163*CE153</f>
        <v>403.929007311705</v>
      </c>
      <c r="CF152" s="19" t="n"/>
      <c r="CH152" s="20">
        <f>IFERROR((CE152/BV152)^(1/5)-1,"n/m")</f>
        <v>0.0879572576474059</v>
      </c>
      <c r="CI152" s="20">
        <f>IFERROR((BV152/AW152)^(1/5)-1,"n/m")</f>
        <v>0.225165977804383</v>
      </c>
      <c r="CJ152" s="20">
        <f>IFERROR((BV152/X152)^(1/10)-1,"n/m")</f>
        <v>0.125007898366113</v>
      </c>
      <c r="CK152" s="20" t="str">
        <f>IFERROR((BV152/C152)^(1/19)-1,"n/m")</f>
        <v>n/m</v>
      </c>
    </row>
    <row r="153" ht="15" customHeight="1" s="251">
      <c r="B153" s="25" t="inlineStr">
        <is>
          <t xml:space="preserve">  Depreciation (excl. acquired intangibles) % of revenue</t>
        </is>
      </c>
      <c r="C153" s="215">
        <f>IF(AND(ISNUMBER(C152),ISNUMBER(C163)),IFERROR(C152/C163,""),"")</f>
      </c>
      <c r="D153" s="215">
        <f>IF(AND(ISNUMBER(D152),ISNUMBER(D163)),IFERROR(D152/D163,""),"")</f>
      </c>
      <c r="E153" s="215">
        <f>IF(AND(ISNUMBER(E152),ISNUMBER(E163)),IFERROR(E152/E163,""),"")</f>
        <v>0.0267175572519084</v>
      </c>
      <c r="F153" s="215">
        <f>IF(AND(ISNUMBER(F152),ISNUMBER(F163)),IFERROR(F152/F163,""),"")</f>
        <v>0.026541286445582</v>
      </c>
      <c r="G153" s="215">
        <f>IF(AND(ISNUMBER(G152),ISNUMBER(G163)),IFERROR(G152/G163,""),"")</f>
        <v>0.0245570866141732</v>
      </c>
      <c r="H153" s="215">
        <f>IF(AND(ISNUMBER(H152),ISNUMBER(H163)),IFERROR(H152/H163,""),"")</f>
        <v>0.0257377121059324</v>
      </c>
      <c r="I153" s="215">
        <f>IF(AND(ISNUMBER(I152),ISNUMBER(I163)),IFERROR(I152/I163,""),"")</f>
        <v>0.0232208914771271</v>
      </c>
      <c r="J153" s="215">
        <f>IF(AND(ISNUMBER(J152),ISNUMBER(J163)),IFERROR(J152/J163,""),"")</f>
        <v>0.0225471440284231</v>
      </c>
      <c r="K153" s="215">
        <f>IF(AND(ISNUMBER(K152),ISNUMBER(K163)),IFERROR(K152/K163,""),"")</f>
        <v>0.0214285714285714</v>
      </c>
      <c r="L153" s="215">
        <f>IF(AND(ISNUMBER(L152),ISNUMBER(L163)),IFERROR(L152/L163,""),"")</f>
        <v>0.0232459248759745</v>
      </c>
      <c r="M153" s="215">
        <f>IF(AND(ISNUMBER(M152),ISNUMBER(M163)),IFERROR(M152/M163,""),"")</f>
        <v>0.0209188911704312</v>
      </c>
      <c r="N153" s="215">
        <f>IF(AND(ISNUMBER(N152),ISNUMBER(N163)),IFERROR(N152/N163,""),"")</f>
        <v>0.0220016820857864</v>
      </c>
      <c r="O153" s="215">
        <f>IF(AND(ISNUMBER(O152),ISNUMBER(O163)),IFERROR(O152/O163,""),"")</f>
        <v>0.0205943691345151</v>
      </c>
      <c r="P153" s="215">
        <f>IF(AND(ISNUMBER(P152),ISNUMBER(P163)),IFERROR(P152/P163,""),"")</f>
        <v>0.0183171150543789</v>
      </c>
      <c r="Q153" s="215">
        <f>IF(AND(ISNUMBER(Q152),ISNUMBER(Q163)),IFERROR(Q152/Q163,""),"")</f>
        <v>0.0199730425192991</v>
      </c>
      <c r="R153" s="215">
        <f>IF(AND(ISNUMBER(R152),ISNUMBER(R163)),IFERROR(R152/R163,""),"")</f>
        <v>0.0217663817663818</v>
      </c>
      <c r="S153" s="215">
        <f>IF(AND(ISNUMBER(S152),ISNUMBER(S163)),IFERROR(S152/S163,""),"")</f>
        <v>0.0201541552949645</v>
      </c>
      <c r="T153" s="215">
        <f>IF(AND(ISNUMBER(T152),ISNUMBER(T163)),IFERROR(T152/T163,""),"")</f>
        <v>0.023220887245841</v>
      </c>
      <c r="U153" s="215">
        <f>IF(AND(ISNUMBER(U152),ISNUMBER(U163)),IFERROR(U152/U163,""),"")</f>
        <v>0.0216751987800893</v>
      </c>
      <c r="V153" s="215">
        <f>IF(AND(ISNUMBER(V152),ISNUMBER(V163)),IFERROR(V152/V163,""),"")</f>
        <v>0.0247933884297521</v>
      </c>
      <c r="W153" s="215">
        <f>IF(AND(ISNUMBER(W152),ISNUMBER(W163)),IFERROR(W152/W163,""),"")</f>
        <v>0.0241367363436886</v>
      </c>
      <c r="X153" s="215">
        <f>IF(AND(ISNUMBER(X152),ISNUMBER(X163)),IFERROR(X152/X163,""),"")</f>
        <v>0.0234179939733104</v>
      </c>
      <c r="Y153" s="215">
        <f>IF(AND(ISNUMBER(Y152),ISNUMBER(Y163)),IFERROR(Y152/Y163,""),"")</f>
        <v>0.0269574807008945</v>
      </c>
      <c r="Z153" s="215">
        <f>IF(AND(ISNUMBER(Z152),ISNUMBER(Z163)),IFERROR(Z152/Z163,""),"")</f>
        <v>0.0242221982990634</v>
      </c>
      <c r="AA153" s="215">
        <f>IF(AND(ISNUMBER(AA152),ISNUMBER(AA163)),IFERROR(AA152/AA163,""),"")</f>
        <v>0.0259513684440083</v>
      </c>
      <c r="AB153" s="215">
        <f>IF(AND(ISNUMBER(AB152),ISNUMBER(AB163)),IFERROR(AB152/AB163,""),"")</f>
        <v>0.0256872943424265</v>
      </c>
      <c r="AC153" s="215">
        <f>IF(AND(ISNUMBER(AC152),ISNUMBER(AC163)),IFERROR(AC152/AC163,""),"")</f>
        <v>0.0256645025248321</v>
      </c>
      <c r="AD153" s="215">
        <f>IF(AND(ISNUMBER(AD152),ISNUMBER(AD163)),IFERROR(AD152/AD163,""),"")</f>
        <v>0.0246103363412633</v>
      </c>
      <c r="AE153" s="215">
        <f>IF(AND(ISNUMBER(AE152),ISNUMBER(AE163)),IFERROR(AE152/AE163,""),"")</f>
        <v>0.024287856071964</v>
      </c>
      <c r="AF153" s="215">
        <f>IF(AND(ISNUMBER(AF152),ISNUMBER(AF163)),IFERROR(AF152/AF163,""),"")</f>
        <v>0.0227678991438517</v>
      </c>
      <c r="AG153" s="215">
        <f>IF(AND(ISNUMBER(AG152),ISNUMBER(AG163)),IFERROR(AG152/AG163,""),"")</f>
        <v>0.0209352209352209</v>
      </c>
      <c r="AH153" s="215">
        <f>IF(AND(ISNUMBER(AH152),ISNUMBER(AH163)),IFERROR(AH152/AH163,""),"")</f>
        <v>0.0230489284270117</v>
      </c>
      <c r="AI153" s="215">
        <f>IF(AND(ISNUMBER(AI152),ISNUMBER(AI163)),IFERROR(AI152/AI163,""),"")</f>
        <v>0.0207686163131268</v>
      </c>
      <c r="AJ153" s="215">
        <f>IF(AND(ISNUMBER(AJ152),ISNUMBER(AJ163)),IFERROR(AJ152/AJ163,""),"")</f>
        <v>0.0198280997361927</v>
      </c>
      <c r="AK153" s="215">
        <f>IF(AND(ISNUMBER(AK152),ISNUMBER(AK163)),IFERROR(AK152/AK163,""),"")</f>
        <v>0.0198926720947446</v>
      </c>
      <c r="AL153" s="215">
        <f>IF(AND(ISNUMBER(AL152),ISNUMBER(AL163)),IFERROR(AL152/AL163,""),"")</f>
        <v>0.0207527591736629</v>
      </c>
      <c r="AM153" s="215">
        <f>IF(AND(ISNUMBER(AM152),ISNUMBER(AM163)),IFERROR(AM152/AM163,""),"")</f>
        <v>0.0203029689152993</v>
      </c>
      <c r="AN153" s="215">
        <f>IF(AND(ISNUMBER(AN152),ISNUMBER(AN163)),IFERROR(AN152/AN163,""),"")</f>
        <v>0.0209263637159618</v>
      </c>
      <c r="AO153" s="215">
        <f>IF(AND(ISNUMBER(AO152),ISNUMBER(AO163)),IFERROR(AO152/AO163,""),"")</f>
        <v>0.020435069215557</v>
      </c>
      <c r="AP153" s="215">
        <f>IF(AND(ISNUMBER(AP152),ISNUMBER(AP163)),IFERROR(AP152/AP163,""),"")</f>
        <v>0.0192664248286981</v>
      </c>
      <c r="AQ153" s="215">
        <f>IF(AND(ISNUMBER(AQ152),ISNUMBER(AQ163)),IFERROR(AQ152/AQ163,""),"")</f>
        <v>0.0197080291970803</v>
      </c>
      <c r="AR153" s="215">
        <f>IF(AND(ISNUMBER(AR152),ISNUMBER(AR163)),IFERROR(AR152/AR163,""),"")</f>
        <v>0.020086974528888</v>
      </c>
      <c r="AS153" s="215">
        <f>IF(AND(ISNUMBER(AS152),ISNUMBER(AS163)),IFERROR(AS152/AS163,""),"")</f>
        <v>0.0162790697674419</v>
      </c>
      <c r="AT153" s="215">
        <f>IF(AND(ISNUMBER(AT152),ISNUMBER(AT163)),IFERROR(AT152/AT163,""),"")</f>
        <v>0.018815331010453</v>
      </c>
      <c r="AU153" s="215">
        <f>IF(AND(ISNUMBER(AU152),ISNUMBER(AU163)),IFERROR(AU152/AU163,""),"")</f>
        <v>0.0184365781710914</v>
      </c>
      <c r="AV153" s="215">
        <f>IF(AND(ISNUMBER(AV152),ISNUMBER(AV163)),IFERROR(AV152/AV163,""),"")</f>
        <v>0.0178294573643411</v>
      </c>
      <c r="AW153" s="215">
        <f>IF(AND(ISNUMBER(AW152),ISNUMBER(AW163)),IFERROR(AW152/AW163,""),"")</f>
        <v>0.0178737665239248</v>
      </c>
      <c r="AX153" s="215">
        <f>IF(AND(ISNUMBER(AX152),ISNUMBER(AX163)),IFERROR(AX152/AX163,""),"")</f>
        <v>0.015</v>
      </c>
      <c r="AY153" s="215">
        <f>IF(AND(ISNUMBER(AY152),ISNUMBER(AY163)),IFERROR(AY152/AY163,""),"")</f>
        <v>0.0154539600772698</v>
      </c>
      <c r="AZ153" s="215">
        <f>IF(AND(ISNUMBER(AZ152),ISNUMBER(AZ163)),IFERROR(AZ152/AZ163,""),"")</f>
        <v>0.0157273918741809</v>
      </c>
      <c r="BA153" s="215">
        <f>IF(AND(ISNUMBER(BA152),ISNUMBER(BA163)),IFERROR(BA152/BA163,""),"")</f>
        <v>0.0175438596491228</v>
      </c>
      <c r="BB153" s="215">
        <f>IF(AND(ISNUMBER(BB152),ISNUMBER(BB163)),IFERROR(BB152/BB163,""),"")</f>
        <v>0.015921518173046</v>
      </c>
      <c r="BC153" s="215">
        <f>IF(AND(ISNUMBER(BC152),ISNUMBER(BC163)),IFERROR(BC152/BC163,""),"")</f>
        <v>0.0177398160315375</v>
      </c>
      <c r="BD153" s="215">
        <f>IF(AND(ISNUMBER(BD152),ISNUMBER(BD163)),IFERROR(BD152/BD163,""),"")</f>
        <v>0.0217233888486604</v>
      </c>
      <c r="BE153" s="215">
        <f>IF(AND(ISNUMBER(BE152),ISNUMBER(BE163)),IFERROR(BE152/BE163,""),"")</f>
        <v>0.0274509803921569</v>
      </c>
      <c r="BF153" s="215">
        <f>IF(AND(ISNUMBER(BF152),ISNUMBER(BF163)),IFERROR(BF152/BF163,""),"")</f>
        <v>0.0302325581395349</v>
      </c>
      <c r="BG153" s="215">
        <f>IF(AND(ISNUMBER(BG152),ISNUMBER(BG163)),IFERROR(BG152/BG163,""),"")</f>
        <v>0.0239575713240673</v>
      </c>
      <c r="BH153" s="215">
        <f>IF(AND(ISNUMBER(BH152),ISNUMBER(BH163)),IFERROR(BH152/BH163,""),"")</f>
        <v>0.0251700680272109</v>
      </c>
      <c r="BI153" s="215">
        <f>IF(AND(ISNUMBER(BI152),ISNUMBER(BI163)),IFERROR(BI152/BI163,""),"")</f>
        <v>0.0287817938420348</v>
      </c>
      <c r="BJ153" s="215">
        <f>IF(AND(ISNUMBER(BJ152),ISNUMBER(BJ163)),IFERROR(BJ152/BJ163,""),"")</f>
        <v>0.03125</v>
      </c>
      <c r="BK153" s="215">
        <f>IF(AND(ISNUMBER(BK152),ISNUMBER(BK163)),IFERROR(BK152/BK163,""),"")</f>
        <v>0.0331081081081081</v>
      </c>
      <c r="BL153" s="215">
        <f>IF(AND(ISNUMBER(BL152),ISNUMBER(BL163)),IFERROR(BL152/BL163,""),"")</f>
        <v>0.0295807978363759</v>
      </c>
      <c r="BM153" s="215">
        <f>IF(AND(ISNUMBER(BM152),ISNUMBER(BM163)),IFERROR(BM152/BM163,""),"")</f>
        <v>0.028555431131019</v>
      </c>
      <c r="BN153" s="215">
        <f>IF(AND(ISNUMBER(BN152),ISNUMBER(BN163)),IFERROR(BN152/BN163,""),"")</f>
        <v>0.0341221794166208</v>
      </c>
      <c r="BO153" s="215">
        <f>IF(AND(ISNUMBER(BO152),ISNUMBER(BO163)),IFERROR(BO152/BO163,""),"")</f>
        <v>0.0314396028681743</v>
      </c>
      <c r="BP153" s="215">
        <f>IF(AND(ISNUMBER(BP152),ISNUMBER(BP163)),IFERROR(BP152/BP163,""),"")</f>
        <v>0.0376794258373206</v>
      </c>
      <c r="BQ153" s="215">
        <f>IF(AND(ISNUMBER(BQ152),ISNUMBER(BQ163)),IFERROR(BQ152/BQ163,""),"")</f>
        <v>0.032872460496614</v>
      </c>
      <c r="BR153" s="215">
        <f>IF(AND(ISNUMBER(BR152),ISNUMBER(BR163)),IFERROR(BR152/BR163,""),"")</f>
        <v>0.0311850311850312</v>
      </c>
      <c r="BS153" s="215">
        <f>IF(AND(ISNUMBER(BS152),ISNUMBER(BS163)),IFERROR(BS152/BS163,""),"")</f>
        <v>0.0342465753424658</v>
      </c>
      <c r="BT153" s="215">
        <f>IF(AND(ISNUMBER(BT152),ISNUMBER(BT163)),IFERROR(BT152/BT163,""),"")</f>
        <v>0.0338814150473343</v>
      </c>
      <c r="BU153" s="215">
        <f>IF(AND(ISNUMBER(BU152),ISNUMBER(BU163)),IFERROR(BU152/BU163,""),"")</f>
        <v>0.0381154049761779</v>
      </c>
      <c r="BV153" s="215">
        <f>IF(AND(ISNUMBER(BV152),ISNUMBER(BV163)),IFERROR(BV152/BV163,""),"")</f>
        <v>0.0343353200310961</v>
      </c>
      <c r="BW153" s="215">
        <f>IF(AND(ISNUMBER(BW152),ISNUMBER(BW163)),IFERROR(BW152/BW163,""),"")</f>
        <v>0.0331890331890332</v>
      </c>
      <c r="BX153" s="215">
        <f>IF(AND(ISNUMBER(BX152),ISNUMBER(BX163)),IFERROR(BX152/BX163,""),"")</f>
        <v>0.0334096109839817</v>
      </c>
      <c r="BY153" s="256">
        <f>IF(AND(ISNUMBER(BY152),ISNUMBER(BY163)),IFERROR(BY152/BY163,""),"")</f>
        <v>0.0333318075661879</v>
      </c>
      <c r="BZ153" s="256">
        <f>IF(AND(ISNUMBER(BZ152),ISNUMBER(BZ163)),IFERROR(BZ152/BZ163,""),"")</f>
        <v>0.0353544902938776</v>
      </c>
      <c r="CA153" s="256">
        <f>IF(AND(ISNUMBER(CA152),ISNUMBER(CA163)),IFERROR(CA152/CA163,""),"")</f>
        <v>0.0337892450534612</v>
      </c>
      <c r="CB153" s="271" t="n">
        <v>0.036</v>
      </c>
      <c r="CC153" s="271" t="n">
        <v>0.037</v>
      </c>
      <c r="CD153" s="271" t="n">
        <v>0.038</v>
      </c>
      <c r="CE153" s="271" t="n">
        <v>0.038</v>
      </c>
      <c r="CF153" s="153" t="inlineStr">
        <is>
          <t>Capitalised software and the New York / London office build-outs (capex ~$450m in FY26).</t>
        </is>
      </c>
      <c r="CH153" s="37">
        <f>IFERROR(AVERAGE(CA153,CB153,CC153,CD153,CE153),"n/m")</f>
        <v>0.0365578490106922</v>
      </c>
      <c r="CI153" s="37">
        <f>IFERROR(AVERAGE(BB153,BG153,BL153,BQ153,BV153),"n/m")</f>
        <v>0.0273335335722399</v>
      </c>
      <c r="CJ153" s="37">
        <f>IFERROR(AVERAGE(AC153,AH153,AM153,AR153,AW153,BB153,BG153,BL153,BQ153,BV153),"n/m")</f>
        <v>0.0243644808781155</v>
      </c>
      <c r="CK153" s="37">
        <f>IFERROR(AVERAGE(C153,D153,E153,F153,G153,H153,I153,N153,S153,X153,AC153,AH153,AM153,AR153,AW153,BB153,BG153,BL153,BQ153,BV153),"n/m")</f>
        <v>0.0242218430016633</v>
      </c>
    </row>
    <row r="154" ht="15" customHeight="1" s="251">
      <c r="B154" s="25" t="inlineStr">
        <is>
          <t xml:space="preserve">  Restructuring (excluded from Adjusted Operating Income)</t>
        </is>
      </c>
      <c r="C154" s="261">
        <f>IF(ISNUMBER(C167),C167,"")</f>
        <v>0</v>
      </c>
      <c r="D154" s="261">
        <f>IF(ISNUMBER(D167),D167,"")</f>
        <v>50</v>
      </c>
      <c r="E154" s="261">
        <f>IF(ISNUMBER(E167),E167,"")</f>
        <v>-2.5</v>
      </c>
      <c r="F154" s="261">
        <f>IF(ISNUMBER(F167),F167,"")</f>
        <v>17.5</v>
      </c>
      <c r="G154" s="261">
        <f>IF(ISNUMBER(G167),G167,"")</f>
        <v>0.1</v>
      </c>
      <c r="H154" s="261">
        <f>IF(ISNUMBER(H167),H167,"")</f>
        <v>0</v>
      </c>
      <c r="I154" s="261">
        <f>IF(ISNUMBER(I167),I167,"")</f>
        <v>0</v>
      </c>
      <c r="J154" s="261">
        <f>IF(ISNUMBER(J167),J167,"")</f>
        <v>0</v>
      </c>
      <c r="K154" s="261">
        <f>IF(ISNUMBER(K167),K167,"")</f>
        <v>0</v>
      </c>
      <c r="L154" s="261">
        <f>IF(ISNUMBER(L167),L167,"")</f>
        <v>0</v>
      </c>
      <c r="M154" s="261">
        <f>IF(ISNUMBER(M167),M167,"")</f>
        <v>0</v>
      </c>
      <c r="N154" s="261">
        <f>IF(ISNUMBER(N167),N167,"")</f>
        <v>0</v>
      </c>
      <c r="O154" s="261">
        <f>IF(ISNUMBER(O167),O167,"")</f>
        <v>0</v>
      </c>
      <c r="P154" s="261">
        <f>IF(ISNUMBER(P167),P167,"")</f>
        <v>0</v>
      </c>
      <c r="Q154" s="261">
        <f>IF(ISNUMBER(Q167),Q167,"")</f>
        <v>0</v>
      </c>
      <c r="R154" s="261">
        <f>IF(ISNUMBER(R167),R167,"")</f>
        <v>0</v>
      </c>
      <c r="S154" s="261">
        <f>IF(ISNUMBER(S167),S167,"")</f>
        <v>0</v>
      </c>
      <c r="T154" s="261">
        <f>IF(ISNUMBER(T167),T167,"")</f>
        <v>0</v>
      </c>
      <c r="U154" s="261">
        <f>IF(ISNUMBER(U167),U167,"")</f>
        <v>0</v>
      </c>
      <c r="V154" s="261">
        <f>IF(ISNUMBER(V167),V167,"")</f>
        <v>0</v>
      </c>
      <c r="W154" s="261">
        <f>IF(ISNUMBER(W167),W167,"")</f>
        <v>0</v>
      </c>
      <c r="X154" s="261">
        <f>IF(ISNUMBER(X167),X167,"")</f>
        <v>0</v>
      </c>
      <c r="Y154" s="261">
        <f>IF(ISNUMBER(Y167),Y167,"")</f>
        <v>0</v>
      </c>
      <c r="Z154" s="261">
        <f>IF(ISNUMBER(Z167),Z167,"")</f>
        <v>0</v>
      </c>
      <c r="AA154" s="261">
        <f>IF(ISNUMBER(AA167),AA167,"")</f>
        <v>8.4</v>
      </c>
      <c r="AB154" s="261">
        <f>IF(ISNUMBER(AB167),AB167,"")</f>
        <v>0</v>
      </c>
      <c r="AC154" s="261">
        <f>IF(ISNUMBER(AC167),AC167,"")</f>
        <v>12</v>
      </c>
      <c r="AD154" s="261">
        <f>IF(ISNUMBER(AD167),AD167,"")</f>
        <v>0</v>
      </c>
      <c r="AE154" s="261">
        <f>IF(ISNUMBER(AE167),AE167,"")</f>
        <v>0</v>
      </c>
      <c r="AF154" s="261">
        <f>IF(ISNUMBER(AF167),AF167,"")</f>
        <v>0</v>
      </c>
      <c r="AG154" s="261">
        <f>IF(ISNUMBER(AG167),AG167,"")</f>
        <v>0</v>
      </c>
      <c r="AH154" s="261">
        <f>IF(ISNUMBER(AH167),AH167,"")</f>
        <v>0</v>
      </c>
      <c r="AI154" s="261">
        <f>IF(ISNUMBER(AI167),AI167,"")</f>
        <v>0</v>
      </c>
      <c r="AJ154" s="261">
        <f>IF(ISNUMBER(AJ167),AJ167,"")</f>
        <v>0</v>
      </c>
      <c r="AK154" s="261">
        <f>IF(ISNUMBER(AK167),AK167,"")</f>
        <v>0</v>
      </c>
      <c r="AL154" s="261">
        <f>IF(ISNUMBER(AL167),AL167,"")</f>
        <v>48.7</v>
      </c>
      <c r="AM154" s="261">
        <f>IF(ISNUMBER(AM167),AM167,"")</f>
        <v>48.7</v>
      </c>
      <c r="AN154" s="261">
        <f>IF(ISNUMBER(AN167),AN167,"")</f>
        <v>5.5</v>
      </c>
      <c r="AO154" s="261">
        <f>IF(ISNUMBER(AO167),AO167,"")</f>
        <v>53.8</v>
      </c>
      <c r="AP154" s="261">
        <f>IF(ISNUMBER(AP167),AP167,"")</f>
        <v>-1</v>
      </c>
      <c r="AQ154" s="261">
        <f>IF(ISNUMBER(AQ167),AQ167,"")</f>
        <v>2</v>
      </c>
      <c r="AR154" s="261">
        <f>IF(ISNUMBER(AR167),AR167,"")</f>
        <v>60</v>
      </c>
      <c r="AS154" s="261">
        <f>IF(ISNUMBER(AS167),AS167,"")</f>
        <v>-1</v>
      </c>
      <c r="AT154" s="261">
        <f>IF(ISNUMBER(AT167),AT167,"")</f>
        <v>-2</v>
      </c>
      <c r="AU154" s="261">
        <f>IF(ISNUMBER(AU167),AU167,"")</f>
        <v>23</v>
      </c>
      <c r="AV154" s="261">
        <f>IF(ISNUMBER(AV167),AV167,"")</f>
        <v>30</v>
      </c>
      <c r="AW154" s="261">
        <f>IF(ISNUMBER(AW167),AW167,"")</f>
        <v>50</v>
      </c>
      <c r="AX154" s="261">
        <f>IF(ISNUMBER(AX167),AX167,"")</f>
        <v>2</v>
      </c>
      <c r="AY154" s="261">
        <f>IF(ISNUMBER(AY167),AY167,"")</f>
        <v>0</v>
      </c>
      <c r="AZ154" s="261">
        <f>IF(ISNUMBER(AZ167),AZ167,"")</f>
        <v>0</v>
      </c>
      <c r="BA154" s="261">
        <f>IF(ISNUMBER(BA167),BA167,"")</f>
        <v>-2</v>
      </c>
      <c r="BB154" s="261">
        <f>IF(ISNUMBER(BB167),BB167,"")</f>
        <v>0</v>
      </c>
      <c r="BC154" s="261">
        <f>IF(ISNUMBER(BC167),BC167,"")</f>
        <v>0</v>
      </c>
      <c r="BD154" s="261">
        <f>IF(ISNUMBER(BD167),BD167,"")</f>
        <v>31</v>
      </c>
      <c r="BE154" s="261">
        <f>IF(ISNUMBER(BE167),BE167,"")</f>
        <v>1</v>
      </c>
      <c r="BF154" s="261">
        <f>IF(ISNUMBER(BF167),BF167,"")</f>
        <v>82</v>
      </c>
      <c r="BG154" s="261">
        <f>IF(ISNUMBER(BG167),BG167,"")</f>
        <v>114</v>
      </c>
      <c r="BH154" s="261">
        <f>IF(ISNUMBER(BH167),BH167,"")</f>
        <v>14</v>
      </c>
      <c r="BI154" s="261">
        <f>IF(ISNUMBER(BI167),BI167,"")</f>
        <v>10</v>
      </c>
      <c r="BJ154" s="261">
        <f>IF(ISNUMBER(BJ167),BJ167,"")</f>
        <v>27</v>
      </c>
      <c r="BK154" s="261">
        <f>IF(ISNUMBER(BK167),BK167,"")</f>
        <v>36</v>
      </c>
      <c r="BL154" s="261">
        <f>IF(ISNUMBER(BL167),BL167,"")</f>
        <v>87</v>
      </c>
      <c r="BM154" s="261">
        <f>IF(ISNUMBER(BM167),BM167,"")</f>
        <v>5</v>
      </c>
      <c r="BN154" s="261">
        <f>IF(ISNUMBER(BN167),BN167,"")</f>
        <v>2</v>
      </c>
      <c r="BO154" s="261">
        <f>IF(ISNUMBER(BO167),BO167,"")</f>
        <v>6</v>
      </c>
      <c r="BP154" s="261">
        <f>IF(ISNUMBER(BP167),BP167,"")</f>
        <v>46</v>
      </c>
      <c r="BQ154" s="261">
        <f>IF(ISNUMBER(BQ167),BQ167,"")</f>
        <v>59</v>
      </c>
      <c r="BR154" s="261">
        <f>IF(ISNUMBER(BR167),BR167,"")</f>
        <v>33</v>
      </c>
      <c r="BS154" s="261">
        <f>IF(ISNUMBER(BS167),BS167,"")</f>
        <v>27</v>
      </c>
      <c r="BT154" s="261">
        <f>IF(ISNUMBER(BT167),BT167,"")</f>
        <v>21</v>
      </c>
      <c r="BU154" s="261">
        <f>IF(ISNUMBER(BU167),BU167,"")</f>
        <v>27</v>
      </c>
      <c r="BV154" s="261">
        <f>IF(ISNUMBER(BV167),BV167,"")</f>
        <v>108</v>
      </c>
      <c r="BW154" s="261">
        <f>IF(ISNUMBER(BW167),BW167,"")</f>
        <v>27</v>
      </c>
      <c r="BX154" s="261">
        <f>IF(ISNUMBER(BX167),BX167,"")</f>
        <v>32</v>
      </c>
      <c r="BY154" s="254">
        <f>$CP$29</f>
        <v>30</v>
      </c>
      <c r="BZ154" s="254">
        <f>$CP$29</f>
        <v>30</v>
      </c>
      <c r="CA154" s="254">
        <f>SUM(BW154:BZ154)</f>
        <v>119</v>
      </c>
      <c r="CB154" s="279" t="n">
        <v>60</v>
      </c>
      <c r="CC154" s="279" t="n">
        <v>0</v>
      </c>
      <c r="CD154" s="279" t="n">
        <v>0</v>
      </c>
      <c r="CE154" s="279" t="n">
        <v>0</v>
      </c>
      <c r="CF154" s="19" t="inlineStr">
        <is>
          <t>Strategic and Operational Efficiency Restructuring Program: total $300–350m (expanded Jul-2026), $212m charged to 30-Jun-2026, substantially complete by end-2027 → ~$60m left for 2027E (mid-point $325m − ~$270m by YE2026E).</t>
        </is>
      </c>
    </row>
    <row r="155" ht="15" customHeight="1" s="251">
      <c r="B155" s="25" t="inlineStr">
        <is>
          <t xml:space="preserve">  Other items excluded from Adjusted Operating Income (settlements, impairments, acquisition costs, asset abandonment, reserves, duplicate rent)</t>
        </is>
      </c>
      <c r="C155" s="253" t="n">
        <v>-160.6</v>
      </c>
      <c r="D155" s="253" t="n">
        <v>0</v>
      </c>
      <c r="E155" s="253" t="n">
        <v>0</v>
      </c>
      <c r="F155" s="253" t="n">
        <v>0</v>
      </c>
      <c r="G155" s="253" t="n">
        <v>0</v>
      </c>
      <c r="H155" s="253" t="n">
        <v>0</v>
      </c>
      <c r="I155" s="253" t="n">
        <v>12.2</v>
      </c>
      <c r="J155" s="253" t="n">
        <v>0</v>
      </c>
      <c r="K155" s="253" t="n">
        <v>0</v>
      </c>
      <c r="L155" s="253" t="n">
        <v>0</v>
      </c>
      <c r="M155" s="253" t="n">
        <v>0</v>
      </c>
      <c r="N155" s="253" t="n">
        <v>0</v>
      </c>
      <c r="O155" s="253" t="n">
        <v>0</v>
      </c>
      <c r="P155" s="253" t="n">
        <v>0</v>
      </c>
      <c r="Q155" s="253" t="n">
        <v>0</v>
      </c>
      <c r="R155" s="253" t="n">
        <v>0</v>
      </c>
      <c r="S155" s="253" t="n">
        <v>0</v>
      </c>
      <c r="T155" s="253" t="n">
        <v>0</v>
      </c>
      <c r="U155" s="253" t="n">
        <v>0</v>
      </c>
      <c r="V155" s="253" t="n">
        <v>0</v>
      </c>
      <c r="W155" s="253" t="n">
        <v>0</v>
      </c>
      <c r="X155" s="253" t="n">
        <v>0</v>
      </c>
      <c r="Y155" s="253" t="n">
        <v>0</v>
      </c>
      <c r="Z155" s="253" t="n">
        <v>0</v>
      </c>
      <c r="AA155" s="253" t="n">
        <v>0</v>
      </c>
      <c r="AB155" s="253" t="n">
        <v>863.8</v>
      </c>
      <c r="AC155" s="253" t="n">
        <v>863.8</v>
      </c>
      <c r="AD155" s="253" t="n">
        <v>0</v>
      </c>
      <c r="AE155" s="253" t="n">
        <v>6.6</v>
      </c>
      <c r="AF155" s="253" t="n">
        <v>10.1</v>
      </c>
      <c r="AG155" s="253" t="n">
        <v>5.8</v>
      </c>
      <c r="AH155" s="253" t="n">
        <v>22.5</v>
      </c>
      <c r="AI155" s="253" t="n">
        <v>0.8</v>
      </c>
      <c r="AJ155" s="253" t="n">
        <v>2</v>
      </c>
      <c r="AK155" s="253" t="n">
        <v>1.3</v>
      </c>
      <c r="AL155" s="253" t="n">
        <v>4.2</v>
      </c>
      <c r="AM155" s="253" t="n">
        <v>8.300000000000001</v>
      </c>
      <c r="AN155" s="253" t="n">
        <v>1.4</v>
      </c>
      <c r="AO155" s="253" t="n">
        <v>10.7</v>
      </c>
      <c r="AP155" s="253" t="n">
        <v>17.5</v>
      </c>
      <c r="AQ155" s="253" t="n">
        <v>3</v>
      </c>
      <c r="AR155" s="253" t="n">
        <v>33</v>
      </c>
      <c r="AS155" s="253" t="n">
        <v>9</v>
      </c>
      <c r="AT155" s="253" t="n">
        <v>0</v>
      </c>
      <c r="AU155" s="253" t="n">
        <v>0</v>
      </c>
      <c r="AV155" s="253" t="n">
        <v>0</v>
      </c>
      <c r="AW155" s="253" t="n">
        <v>9</v>
      </c>
      <c r="AX155" s="253" t="n">
        <v>0</v>
      </c>
      <c r="AY155" s="253" t="n">
        <v>0</v>
      </c>
      <c r="AZ155" s="253" t="n">
        <v>0</v>
      </c>
      <c r="BA155" s="253" t="n">
        <v>0</v>
      </c>
      <c r="BB155" s="253" t="n">
        <v>0</v>
      </c>
      <c r="BC155" s="253" t="n">
        <v>0</v>
      </c>
      <c r="BD155" s="253" t="n">
        <v>0</v>
      </c>
      <c r="BE155" s="253" t="n">
        <v>0</v>
      </c>
      <c r="BF155" s="253" t="n">
        <v>0</v>
      </c>
      <c r="BG155" s="253" t="n">
        <v>0</v>
      </c>
      <c r="BH155" s="253" t="n">
        <v>0</v>
      </c>
      <c r="BI155" s="253" t="n">
        <v>0</v>
      </c>
      <c r="BJ155" s="253" t="n">
        <v>0</v>
      </c>
      <c r="BK155" s="253" t="n">
        <v>0</v>
      </c>
      <c r="BL155" s="253" t="n">
        <v>0</v>
      </c>
      <c r="BM155" s="253" t="n">
        <v>0</v>
      </c>
      <c r="BN155" s="253" t="n">
        <v>15</v>
      </c>
      <c r="BO155" s="253" t="n">
        <v>15</v>
      </c>
      <c r="BP155" s="253" t="n">
        <v>13</v>
      </c>
      <c r="BQ155" s="253" t="n">
        <v>43</v>
      </c>
      <c r="BR155" s="253" t="n">
        <v>2</v>
      </c>
      <c r="BS155" s="253" t="n">
        <v>1</v>
      </c>
      <c r="BT155" s="253" t="n">
        <v>1</v>
      </c>
      <c r="BU155" s="253" t="n">
        <v>-1</v>
      </c>
      <c r="BV155" s="253" t="n">
        <v>3</v>
      </c>
      <c r="BW155" s="253" t="n">
        <v>34</v>
      </c>
      <c r="BX155" s="253" t="n">
        <v>4</v>
      </c>
      <c r="BY155" s="254">
        <f>$CP$30</f>
        <v>11.5</v>
      </c>
      <c r="BZ155" s="254">
        <f>$CP$30</f>
        <v>11.5</v>
      </c>
      <c r="CA155" s="254">
        <f>SUM(BW155:BZ155)</f>
        <v>61</v>
      </c>
      <c r="CB155" s="279" t="n">
        <v>20</v>
      </c>
      <c r="CC155" s="279" t="n">
        <v>0</v>
      </c>
      <c r="CD155" s="279" t="n">
        <v>0</v>
      </c>
      <c r="CE155" s="279" t="n">
        <v>0</v>
      </c>
      <c r="CF155" s="19" t="inlineStr">
        <is>
          <t>Company items per the Adjusted Operating Income reconciliation of each period (labels in cell comments). Forecast: FY26 guidance reconciliation (reserve for an international non-income tax obligation, duplicate rent — NY HQ) then input.</t>
        </is>
      </c>
    </row>
    <row r="156" collapsed="1" ht="15" customHeight="1" s="251">
      <c r="B156" s="25" t="inlineStr">
        <is>
          <t xml:space="preserve">  Operating expense % of revenue</t>
        </is>
      </c>
      <c r="C156" s="215">
        <f>IF(AND(ISNUMBER(C164),ISNUMBER(C163)),IFERROR(C164/C163,""),"")</f>
        <v>0.264788179274459</v>
      </c>
      <c r="D156" s="215">
        <f>IF(AND(ISNUMBER(D164),ISNUMBER(D163)),IFERROR(D164/D163,""),"")</f>
        <v>0.258521469676848</v>
      </c>
      <c r="E156" s="215">
        <f>IF(AND(ISNUMBER(E164),ISNUMBER(E163)),IFERROR(E164/E163,""),"")</f>
        <v>0.281018571265808</v>
      </c>
      <c r="F156" s="215">
        <f>IF(AND(ISNUMBER(F164),ISNUMBER(F163)),IFERROR(F164/F163,""),"")</f>
        <v>0.296238593367461</v>
      </c>
      <c r="G156" s="215">
        <f>IF(AND(ISNUMBER(G164),ISNUMBER(G163)),IFERROR(G164/G163,""),"")</f>
        <v>0.297637795275591</v>
      </c>
      <c r="H156" s="215">
        <f>IF(AND(ISNUMBER(H164),ISNUMBER(H163)),IFERROR(H164/H163,""),"")</f>
        <v>0.299688692068225</v>
      </c>
      <c r="I156" s="215">
        <f>IF(AND(ISNUMBER(I164),ISNUMBER(I163)),IFERROR(I164/I163,""),"")</f>
        <v>0.291176793758928</v>
      </c>
      <c r="J156" s="215">
        <f>IF(AND(ISNUMBER(J164),ISNUMBER(J163)),IFERROR(J164/J163,""),"")</f>
        <v>0.274391910358021</v>
      </c>
      <c r="K156" s="215">
        <f>IF(AND(ISNUMBER(K164),ISNUMBER(K163)),IFERROR(K164/K163,""),"")</f>
        <v>0.260714285714286</v>
      </c>
      <c r="L156" s="215">
        <f>IF(AND(ISNUMBER(L164),ISNUMBER(L163)),IFERROR(L164/L163,""),"")</f>
        <v>0.288447909284196</v>
      </c>
      <c r="M156" s="215">
        <f>IF(AND(ISNUMBER(M164),ISNUMBER(M163)),IFERROR(M164/M163,""),"")</f>
        <v>0.283624229979466</v>
      </c>
      <c r="N156" s="215">
        <f>IF(AND(ISNUMBER(N164),ISNUMBER(N163)),IFERROR(N164/N163,""),"")</f>
        <v>0.276669470142977</v>
      </c>
      <c r="O156" s="215">
        <f>IF(AND(ISNUMBER(O164),ISNUMBER(O163)),IFERROR(O164/O163,""),"")</f>
        <v>0.281543274244004</v>
      </c>
      <c r="P156" s="215">
        <f>IF(AND(ISNUMBER(P164),ISNUMBER(P163)),IFERROR(P164/P163,""),"")</f>
        <v>0.254264453348598</v>
      </c>
      <c r="Q156" s="215">
        <f>IF(AND(ISNUMBER(Q164),ISNUMBER(Q163)),IFERROR(Q164/Q163,""),"")</f>
        <v>0.290037985540988</v>
      </c>
      <c r="R156" s="215">
        <f>IF(AND(ISNUMBER(R164),ISNUMBER(R163)),IFERROR(R164/R163,""),"")</f>
        <v>0.291168091168091</v>
      </c>
      <c r="S156" s="215">
        <f>IF(AND(ISNUMBER(S164),ISNUMBER(S163)),IFERROR(S164/S163,""),"")</f>
        <v>0.279009087364664</v>
      </c>
      <c r="T156" s="215">
        <f>IF(AND(ISNUMBER(T164),ISNUMBER(T163)),IFERROR(T164/T163,""),"")</f>
        <v>0.282347504621072</v>
      </c>
      <c r="U156" s="215">
        <f>IF(AND(ISNUMBER(U164),ISNUMBER(U163)),IFERROR(U164/U163,""),"")</f>
        <v>0.2656573358022</v>
      </c>
      <c r="V156" s="215">
        <f>IF(AND(ISNUMBER(V164),ISNUMBER(V163)),IFERROR(V164/V163,""),"")</f>
        <v>0.282788357887172</v>
      </c>
      <c r="W156" s="215">
        <f>IF(AND(ISNUMBER(W164),ISNUMBER(W163)),IFERROR(W164/W163,""),"")</f>
        <v>0.290911190668668</v>
      </c>
      <c r="X156" s="215">
        <f>IF(AND(ISNUMBER(X164),ISNUMBER(X163)),IFERROR(X164/X163,""),"")</f>
        <v>0.280183670540967</v>
      </c>
      <c r="Y156" s="215">
        <f>IF(AND(ISNUMBER(Y164),ISNUMBER(Y163)),IFERROR(Y164/Y163,""),"")</f>
        <v>0.305354735939223</v>
      </c>
      <c r="Z156" s="215">
        <f>IF(AND(ISNUMBER(Z164),ISNUMBER(Z163)),IFERROR(Z164/Z163,""),"")</f>
        <v>0.278716761761223</v>
      </c>
      <c r="AA156" s="215">
        <f>IF(AND(ISNUMBER(AA164),ISNUMBER(AA163)),IFERROR(AA164/AA163,""),"")</f>
        <v>0.276087667648021</v>
      </c>
      <c r="AB156" s="215">
        <f>IF(AND(ISNUMBER(AB164),ISNUMBER(AB163)),IFERROR(AB164/AB163,""),"")</f>
        <v>0.28160492516718</v>
      </c>
      <c r="AC156" s="215">
        <f>IF(AND(ISNUMBER(AC164),ISNUMBER(AC163)),IFERROR(AC164/AC163,""),"")</f>
        <v>0.284834359913434</v>
      </c>
      <c r="AD156" s="215">
        <f>IF(AND(ISNUMBER(AD164),ISNUMBER(AD163)),IFERROR(AD164/AD163,""),"")</f>
        <v>0.284454470877769</v>
      </c>
      <c r="AE156" s="215">
        <f>IF(AND(ISNUMBER(AE164),ISNUMBER(AE163)),IFERROR(AE164/AE163,""),"")</f>
        <v>0.285657171414293</v>
      </c>
      <c r="AF156" s="215">
        <f>IF(AND(ISNUMBER(AF164),ISNUMBER(AF163)),IFERROR(AF164/AF163,""),"")</f>
        <v>0.298428826794618</v>
      </c>
      <c r="AG156" s="215">
        <f>IF(AND(ISNUMBER(AG164),ISNUMBER(AG163)),IFERROR(AG164/AG163,""),"")</f>
        <v>0.293779493779494</v>
      </c>
      <c r="AH156" s="215">
        <f>IF(AND(ISNUMBER(AH164),ISNUMBER(AH163)),IFERROR(AH164/AH163,""),"")</f>
        <v>0.290858923431888</v>
      </c>
      <c r="AI156" s="215">
        <f>IF(AND(ISNUMBER(AI164),ISNUMBER(AI163)),IFERROR(AI164/AI163,""),"")</f>
        <v>0.279488772521523</v>
      </c>
      <c r="AJ156" s="215">
        <f>IF(AND(ISNUMBER(AJ164),ISNUMBER(AJ163)),IFERROR(AJ164/AJ163,""),"")</f>
        <v>0.272487447876777</v>
      </c>
      <c r="AK156" s="215">
        <f>IF(AND(ISNUMBER(AK164),ISNUMBER(AK163)),IFERROR(AK164/AK163,""),"")</f>
        <v>0.28340118430792</v>
      </c>
      <c r="AL156" s="215">
        <f>IF(AND(ISNUMBER(AL164),ISNUMBER(AL163)),IFERROR(AL164/AL163,""),"")</f>
        <v>0.286859730214131</v>
      </c>
      <c r="AM156" s="215">
        <f>IF(AND(ISNUMBER(AM164),ISNUMBER(AM163)),IFERROR(AM164/AM163,""),"")</f>
        <v>0.28034753640804</v>
      </c>
      <c r="AN156" s="215">
        <f>IF(AND(ISNUMBER(AN164),ISNUMBER(AN163)),IFERROR(AN164/AN163,""),"")</f>
        <v>0.299185710533228</v>
      </c>
      <c r="AO156" s="215">
        <f>IF(AND(ISNUMBER(AO164),ISNUMBER(AO163)),IFERROR(AO164/AO163,""),"")</f>
        <v>0.280075807514832</v>
      </c>
      <c r="AP156" s="215">
        <f>IF(AND(ISNUMBER(AP164),ISNUMBER(AP163)),IFERROR(AP164/AP163,""),"")</f>
        <v>0.282305521966949</v>
      </c>
      <c r="AQ156" s="215">
        <f>IF(AND(ISNUMBER(AQ164),ISNUMBER(AQ163)),IFERROR(AQ164/AQ163,""),"")</f>
        <v>0.287915652879157</v>
      </c>
      <c r="AR156" s="215">
        <f>IF(AND(ISNUMBER(AR164),ISNUMBER(AR163)),IFERROR(AR164/AR163,""),"")</f>
        <v>0.287223027541934</v>
      </c>
      <c r="AS156" s="215">
        <f>IF(AND(ISNUMBER(AS164),ISNUMBER(AS163)),IFERROR(AS164/AS163,""),"")</f>
        <v>0.263565891472868</v>
      </c>
      <c r="AT156" s="215">
        <f>IF(AND(ISNUMBER(AT164),ISNUMBER(AT163)),IFERROR(AT164/AT163,""),"")</f>
        <v>0.252264808362369</v>
      </c>
      <c r="AU156" s="215">
        <f>IF(AND(ISNUMBER(AU164),ISNUMBER(AU163)),IFERROR(AU164/AU163,""),"")</f>
        <v>0.268436578171091</v>
      </c>
      <c r="AV156" s="215">
        <f>IF(AND(ISNUMBER(AV164),ISNUMBER(AV163)),IFERROR(AV164/AV163,""),"")</f>
        <v>0.317054263565891</v>
      </c>
      <c r="AW156" s="215">
        <f>IF(AND(ISNUMBER(AW164),ISNUMBER(AW163)),IFERROR(AW164/AW163,""),"")</f>
        <v>0.274622975237386</v>
      </c>
      <c r="AX156" s="215">
        <f>IF(AND(ISNUMBER(AX164),ISNUMBER(AX163)),IFERROR(AX164/AX163,""),"")</f>
        <v>0.245625</v>
      </c>
      <c r="AY156" s="215">
        <f>IF(AND(ISNUMBER(AY164),ISNUMBER(AY163)),IFERROR(AY164/AY163,""),"")</f>
        <v>0.235028976175145</v>
      </c>
      <c r="AZ156" s="215">
        <f>IF(AND(ISNUMBER(AZ164),ISNUMBER(AZ163)),IFERROR(AZ164/AZ163,""),"")</f>
        <v>0.258191349934469</v>
      </c>
      <c r="BA156" s="215">
        <f>IF(AND(ISNUMBER(BA164),ISNUMBER(BA163)),IFERROR(BA164/BA163,""),"")</f>
        <v>0.315139701104613</v>
      </c>
      <c r="BB156" s="215">
        <f>IF(AND(ISNUMBER(BB164),ISNUMBER(BB163)),IFERROR(BB164/BB163,""),"")</f>
        <v>0.263267931810872</v>
      </c>
      <c r="BC156" s="215">
        <f>IF(AND(ISNUMBER(BC164),ISNUMBER(BC163)),IFERROR(BC164/BC163,""),"")</f>
        <v>0.273981603153745</v>
      </c>
      <c r="BD156" s="215">
        <f>IF(AND(ISNUMBER(BD164),ISNUMBER(BD163)),IFERROR(BD164/BD163,""),"")</f>
        <v>0.284576393917451</v>
      </c>
      <c r="BE156" s="215">
        <f>IF(AND(ISNUMBER(BE164),ISNUMBER(BE163)),IFERROR(BE164/BE163,""),"")</f>
        <v>0.308235294117647</v>
      </c>
      <c r="BF156" s="215">
        <f>IF(AND(ISNUMBER(BF164),ISNUMBER(BF163)),IFERROR(BF164/BF163,""),"")</f>
        <v>0.317829457364341</v>
      </c>
      <c r="BG156" s="215">
        <f>IF(AND(ISNUMBER(BG164),ISNUMBER(BG163)),IFERROR(BG164/BG163,""),"")</f>
        <v>0.294989027066569</v>
      </c>
      <c r="BH156" s="215">
        <f>IF(AND(ISNUMBER(BH164),ISNUMBER(BH163)),IFERROR(BH164/BH163,""),"")</f>
        <v>0.291156462585034</v>
      </c>
      <c r="BI156" s="215">
        <f>IF(AND(ISNUMBER(BI164),ISNUMBER(BI163)),IFERROR(BI164/BI163,""),"")</f>
        <v>0.285140562248996</v>
      </c>
      <c r="BJ156" s="215">
        <f>IF(AND(ISNUMBER(BJ164),ISNUMBER(BJ163)),IFERROR(BJ164/BJ163,""),"")</f>
        <v>0.279891304347826</v>
      </c>
      <c r="BK156" s="215">
        <f>IF(AND(ISNUMBER(BK164),ISNUMBER(BK163)),IFERROR(BK164/BK163,""),"")</f>
        <v>0.284459459459459</v>
      </c>
      <c r="BL156" s="215">
        <f>IF(AND(ISNUMBER(BL164),ISNUMBER(BL163)),IFERROR(BL164/BL163,""),"")</f>
        <v>0.285158891142664</v>
      </c>
      <c r="BM156" s="215">
        <f>IF(AND(ISNUMBER(BM164),ISNUMBER(BM163)),IFERROR(BM164/BM163,""),"")</f>
        <v>0.261478163493841</v>
      </c>
      <c r="BN156" s="215">
        <f>IF(AND(ISNUMBER(BN164),ISNUMBER(BN163)),IFERROR(BN164/BN163,""),"")</f>
        <v>0.258117776554761</v>
      </c>
      <c r="BO156" s="215">
        <f>IF(AND(ISNUMBER(BO164),ISNUMBER(BO163)),IFERROR(BO164/BO163,""),"")</f>
        <v>0.282404853833425</v>
      </c>
      <c r="BP156" s="215">
        <f>IF(AND(ISNUMBER(BP164),ISNUMBER(BP163)),IFERROR(BP164/BP163,""),"")</f>
        <v>0.297248803827751</v>
      </c>
      <c r="BQ156" s="215">
        <f>IF(AND(ISNUMBER(BQ164),ISNUMBER(BQ163)),IFERROR(BQ164/BQ163,""),"")</f>
        <v>0.274407449209932</v>
      </c>
      <c r="BR156" s="215">
        <f>IF(AND(ISNUMBER(BR164),ISNUMBER(BR163)),IFERROR(BR164/BR163,""),"")</f>
        <v>0.255197505197505</v>
      </c>
      <c r="BS156" s="215">
        <f>IF(AND(ISNUMBER(BS164),ISNUMBER(BS163)),IFERROR(BS164/BS163,""),"")</f>
        <v>0.257639620653319</v>
      </c>
      <c r="BT156" s="215">
        <f>IF(AND(ISNUMBER(BT164),ISNUMBER(BT163)),IFERROR(BT164/BT163,""),"")</f>
        <v>0.245142002989537</v>
      </c>
      <c r="BU156" s="215">
        <f>IF(AND(ISNUMBER(BU164),ISNUMBER(BU163)),IFERROR(BU164/BU163,""),"")</f>
        <v>0.265749073583907</v>
      </c>
      <c r="BV156" s="215">
        <f>IF(AND(ISNUMBER(BV164),ISNUMBER(BV163)),IFERROR(BV164/BV163,""),"")</f>
        <v>0.255636175174916</v>
      </c>
      <c r="BW156" s="215">
        <f>IF(AND(ISNUMBER(BW164),ISNUMBER(BW163)),IFERROR(BW164/BW163,""),"")</f>
        <v>0.255411255411255</v>
      </c>
      <c r="BX156" s="215">
        <f>IF(AND(ISNUMBER(BX164),ISNUMBER(BX163)),IFERROR(BX164/BX163,""),"")</f>
        <v>0.237070938215103</v>
      </c>
      <c r="BY156" s="256">
        <f>BT156+IFERROR(SUM(BW164:BX164)/SUM(BW163:BX163)-SUM(BR164:BS164)/SUM(BR163:BS163),0)</f>
        <v>0.234744879787535</v>
      </c>
      <c r="BZ156" s="256">
        <f>BU156+IFERROR(SUM(BW164:BX164)/SUM(BW163:BX163)-SUM(BR164:BS164)/SUM(BR163:BS163),0)</f>
        <v>0.255351950381906</v>
      </c>
      <c r="CA156" s="256">
        <f>IF(AND(ISNUMBER(CA164),ISNUMBER(CA163)),IFERROR(CA164/CA163,""),"")</f>
        <v>0.245402225283616</v>
      </c>
      <c r="CB156" s="271" t="n">
        <v>0.235</v>
      </c>
      <c r="CC156" s="271" t="n">
        <v>0.235</v>
      </c>
      <c r="CD156" s="271" t="n">
        <v>0.235</v>
      </c>
      <c r="CE156" s="271" t="n">
        <v>0.235</v>
      </c>
      <c r="CF156" s="153" t="inlineStr">
        <is>
          <t>Q3/Q4-26E: prior-year quarter ratio + 1H26 y/y drift; 2027E+ input. SG&amp;A is the balancing line (operating income from the Adjusted Operating Income build).</t>
        </is>
      </c>
      <c r="CH156" s="37">
        <f>IFERROR(AVERAGE(CA156,CB156,CC156,CD156,CE156),"n/m")</f>
        <v>0.237080445056723</v>
      </c>
      <c r="CI156" s="37">
        <f>IFERROR(AVERAGE(BB156,BG156,BL156,BQ156,BV156),"n/m")</f>
        <v>0.274691894880991</v>
      </c>
      <c r="CJ156" s="37">
        <f>IFERROR(AVERAGE(AC156,AH156,AM156,AR156,AW156,BB156,BG156,BL156,BQ156,BV156),"n/m")</f>
        <v>0.279134629693764</v>
      </c>
      <c r="CK156" s="37">
        <f>IFERROR(AVERAGE(C156,D156,E156,F156,G156,H156,I156,N156,S156,X156,AC156,AH156,AM156,AR156,AW156,BB156,BG156,BL156,BQ156,BV156),"n/m")</f>
        <v>0.280813930983678</v>
      </c>
    </row>
    <row r="157" ht="15" customHeight="1" s="251">
      <c r="B157" s="25" t="inlineStr">
        <is>
          <t xml:space="preserve">  Stock-based compensation (cash-flow statement)</t>
        </is>
      </c>
      <c r="C157" s="253" t="n">
        <v>77.09999999999999</v>
      </c>
      <c r="D157" s="253" t="n">
        <v>90.2</v>
      </c>
      <c r="E157" s="253" t="n">
        <v>63.2</v>
      </c>
      <c r="F157" s="253" t="n">
        <v>57.4</v>
      </c>
      <c r="G157" s="253" t="n">
        <v>56.6</v>
      </c>
      <c r="H157" s="253" t="n">
        <v>56.7</v>
      </c>
      <c r="I157" s="253" t="n">
        <v>64.5</v>
      </c>
      <c r="J157" s="253" t="n">
        <v>17.2</v>
      </c>
      <c r="K157" s="253" t="n">
        <v>16.1</v>
      </c>
      <c r="L157" s="253" t="n">
        <v>16</v>
      </c>
      <c r="M157" s="253" t="n">
        <v>17.8</v>
      </c>
      <c r="N157" s="253" t="n">
        <v>67.09999999999999</v>
      </c>
      <c r="O157" s="253" t="n">
        <v>20.3</v>
      </c>
      <c r="P157" s="253" t="n">
        <v>20.3</v>
      </c>
      <c r="Q157" s="253" t="n">
        <v>19.3</v>
      </c>
      <c r="R157" s="253" t="n">
        <v>20.5</v>
      </c>
      <c r="S157" s="253" t="n">
        <v>80.40000000000001</v>
      </c>
      <c r="T157" s="253" t="n">
        <v>22.7</v>
      </c>
      <c r="U157" s="253" t="n">
        <v>21.7</v>
      </c>
      <c r="V157" s="253" t="n">
        <v>22.1</v>
      </c>
      <c r="W157" s="253" t="n">
        <v>20.7</v>
      </c>
      <c r="X157" s="253" t="n">
        <v>87.2</v>
      </c>
      <c r="Y157" s="253" t="n">
        <v>25.4</v>
      </c>
      <c r="Z157" s="253" t="n">
        <v>23.5</v>
      </c>
      <c r="AA157" s="253" t="n">
        <v>23.9</v>
      </c>
      <c r="AB157" s="253" t="n">
        <v>25.3</v>
      </c>
      <c r="AC157" s="253" t="n">
        <v>98.09999999999999</v>
      </c>
      <c r="AD157" s="253" t="n">
        <v>28.4</v>
      </c>
      <c r="AE157" s="253" t="n">
        <v>28.7</v>
      </c>
      <c r="AF157" s="253" t="n">
        <v>31.8</v>
      </c>
      <c r="AG157" s="253" t="n">
        <v>34</v>
      </c>
      <c r="AH157" s="253" t="n">
        <v>122.9</v>
      </c>
      <c r="AI157" s="253" t="n">
        <v>35.1</v>
      </c>
      <c r="AJ157" s="253" t="n">
        <v>34.4</v>
      </c>
      <c r="AK157" s="253" t="n">
        <v>30.5</v>
      </c>
      <c r="AL157" s="253" t="n">
        <v>30.3</v>
      </c>
      <c r="AM157" s="253" t="n">
        <v>130.3</v>
      </c>
      <c r="AN157" s="253" t="n">
        <v>35.7</v>
      </c>
      <c r="AO157" s="253" t="n">
        <v>34.2</v>
      </c>
      <c r="AP157" s="253" t="n">
        <v>33.3</v>
      </c>
      <c r="AQ157" s="253" t="n">
        <v>32.8</v>
      </c>
      <c r="AR157" s="253" t="n">
        <v>136</v>
      </c>
      <c r="AS157" s="253" t="n">
        <v>37</v>
      </c>
      <c r="AT157" s="253" t="n">
        <v>35</v>
      </c>
      <c r="AU157" s="253" t="n">
        <v>38</v>
      </c>
      <c r="AV157" s="253" t="n">
        <v>44</v>
      </c>
      <c r="AW157" s="253" t="n">
        <v>154</v>
      </c>
      <c r="AX157" s="253" t="n">
        <v>45</v>
      </c>
      <c r="AY157" s="253" t="n">
        <v>41</v>
      </c>
      <c r="AZ157" s="253" t="n">
        <v>41</v>
      </c>
      <c r="BA157" s="253" t="n">
        <v>48</v>
      </c>
      <c r="BB157" s="253" t="n">
        <v>175</v>
      </c>
      <c r="BC157" s="253" t="n">
        <v>46</v>
      </c>
      <c r="BD157" s="253" t="n">
        <v>38</v>
      </c>
      <c r="BE157" s="253" t="n">
        <v>46</v>
      </c>
      <c r="BF157" s="253" t="n">
        <v>39</v>
      </c>
      <c r="BG157" s="253" t="n">
        <v>169</v>
      </c>
      <c r="BH157" s="253" t="n">
        <v>47</v>
      </c>
      <c r="BI157" s="253" t="n">
        <v>50</v>
      </c>
      <c r="BJ157" s="253" t="n">
        <v>46</v>
      </c>
      <c r="BK157" s="253" t="n">
        <v>50</v>
      </c>
      <c r="BL157" s="253" t="n">
        <v>193</v>
      </c>
      <c r="BM157" s="253" t="n">
        <v>53</v>
      </c>
      <c r="BN157" s="253" t="n">
        <v>56</v>
      </c>
      <c r="BO157" s="253" t="n">
        <v>57</v>
      </c>
      <c r="BP157" s="253" t="n">
        <v>54</v>
      </c>
      <c r="BQ157" s="253" t="n">
        <v>220</v>
      </c>
      <c r="BR157" s="253" t="n">
        <v>56</v>
      </c>
      <c r="BS157" s="253" t="n">
        <v>61</v>
      </c>
      <c r="BT157" s="253" t="n">
        <v>57</v>
      </c>
      <c r="BU157" s="253" t="n">
        <v>58</v>
      </c>
      <c r="BV157" s="253" t="n">
        <v>232</v>
      </c>
      <c r="BW157" s="253" t="n">
        <v>58</v>
      </c>
      <c r="BX157" s="253" t="n">
        <v>59</v>
      </c>
      <c r="BY157" s="254">
        <f>BT157*(1+IFERROR(SUM(BW157:BX157)/SUM(BR157:BS157)-1,0))</f>
        <v>57</v>
      </c>
      <c r="BZ157" s="254">
        <f>BU157*(1+IFERROR(SUM(BW157:BX157)/SUM(BR157:BS157)-1,0))</f>
        <v>58</v>
      </c>
      <c r="CA157" s="254">
        <f>SUM(BW157:BZ157)</f>
        <v>232</v>
      </c>
      <c r="CB157" s="254">
        <f>CB163*CB158</f>
        <v>264.613263878025</v>
      </c>
      <c r="CC157" s="254">
        <f>CC163*CC158</f>
        <v>282.576802269583</v>
      </c>
      <c r="CD157" s="254">
        <f>CD163*CD158</f>
        <v>300.816981329427</v>
      </c>
      <c r="CE157" s="254">
        <f>CE163*CE158</f>
        <v>318.891321561873</v>
      </c>
      <c r="CF157" s="19" t="inlineStr">
        <is>
          <t>Q3/Q4-26E: prior-year quarter × 1H26 y/y; 2027E+: % of revenue. Moody's does not adjust out stock-based compensation.</t>
        </is>
      </c>
    </row>
    <row r="158" ht="15" customHeight="1" s="251">
      <c r="B158" s="25" t="inlineStr">
        <is>
          <t xml:space="preserve">  Stock-based compensation % of revenue</t>
        </is>
      </c>
      <c r="C158" s="215">
        <f>IF(AND(ISNUMBER(C157),ISNUMBER(C163)),IFERROR(C157/C163,""),"")</f>
        <v>0.037847921064258</v>
      </c>
      <c r="D158" s="215">
        <f>IF(AND(ISNUMBER(D157),ISNUMBER(D163)),IFERROR(D157/D163,""),"")</f>
        <v>0.0399291722000885</v>
      </c>
      <c r="E158" s="215">
        <f>IF(AND(ISNUMBER(E157),ISNUMBER(E163)),IFERROR(E157/E163,""),"")</f>
        <v>0.0360031901560898</v>
      </c>
      <c r="F158" s="215">
        <f>IF(AND(ISNUMBER(F157),ISNUMBER(F163)),IFERROR(F157/F163,""),"")</f>
        <v>0.0319385711106165</v>
      </c>
      <c r="G158" s="215">
        <f>IF(AND(ISNUMBER(G157),ISNUMBER(G163)),IFERROR(G157/G163,""),"")</f>
        <v>0.0278543307086614</v>
      </c>
      <c r="H158" s="215">
        <f>IF(AND(ISNUMBER(H157),ISNUMBER(H163)),IFERROR(H157/H163,""),"")</f>
        <v>0.0248607883544526</v>
      </c>
      <c r="I158" s="215">
        <f>IF(AND(ISNUMBER(I157),ISNUMBER(I163)),IFERROR(I157/I163,""),"")</f>
        <v>0.0236237776068564</v>
      </c>
      <c r="J158" s="215">
        <f>IF(AND(ISNUMBER(J157),ISNUMBER(J163)),IFERROR(J157/J163,""),"")</f>
        <v>0.0235036895326592</v>
      </c>
      <c r="K158" s="215">
        <f>IF(AND(ISNUMBER(K157),ISNUMBER(K163)),IFERROR(K157/K163,""),"")</f>
        <v>0.0212962962962963</v>
      </c>
      <c r="L158" s="215">
        <f>IF(AND(ISNUMBER(L157),ISNUMBER(L163)),IFERROR(L157/L163,""),"")</f>
        <v>0.0226789510985117</v>
      </c>
      <c r="M158" s="215">
        <f>IF(AND(ISNUMBER(M157),ISNUMBER(M163)),IFERROR(M157/M163,""),"")</f>
        <v>0.0228439425051335</v>
      </c>
      <c r="N158" s="215">
        <f>IF(AND(ISNUMBER(N157),ISNUMBER(N163)),IFERROR(N157/N163,""),"")</f>
        <v>0.0225735912531539</v>
      </c>
      <c r="O158" s="215">
        <f>IF(AND(ISNUMBER(O157),ISNUMBER(O163)),IFERROR(O157/O163,""),"")</f>
        <v>0.0264598540145985</v>
      </c>
      <c r="P158" s="215">
        <f>IF(AND(ISNUMBER(P157),ISNUMBER(P163)),IFERROR(P157/P163,""),"")</f>
        <v>0.0232398397252433</v>
      </c>
      <c r="Q158" s="215">
        <f>IF(AND(ISNUMBER(Q157),ISNUMBER(Q163)),IFERROR(Q157/Q163,""),"")</f>
        <v>0.0236490626148756</v>
      </c>
      <c r="R158" s="215">
        <f>IF(AND(ISNUMBER(R157),ISNUMBER(R163)),IFERROR(R157/R163,""),"")</f>
        <v>0.0233618233618234</v>
      </c>
      <c r="S158" s="215">
        <f>IF(AND(ISNUMBER(S157),ISNUMBER(S163)),IFERROR(S157/S163,""),"")</f>
        <v>0.0241130072279039</v>
      </c>
      <c r="T158" s="215">
        <f>IF(AND(ISNUMBER(T157),ISNUMBER(T163)),IFERROR(T157/T163,""),"")</f>
        <v>0.026224584103512</v>
      </c>
      <c r="U158" s="215">
        <f>IF(AND(ISNUMBER(U157),ISNUMBER(U163)),IFERROR(U157/U163,""),"")</f>
        <v>0.023635769524017</v>
      </c>
      <c r="V158" s="215">
        <f>IF(AND(ISNUMBER(V157),ISNUMBER(V163)),IFERROR(V157/V163,""),"")</f>
        <v>0.026470235956402</v>
      </c>
      <c r="W158" s="215">
        <f>IF(AND(ISNUMBER(W157),ISNUMBER(W163)),IFERROR(W157/W163,""),"")</f>
        <v>0.0239057627901605</v>
      </c>
      <c r="X158" s="215">
        <f>IF(AND(ISNUMBER(X157),ISNUMBER(X163)),IFERROR(X157/X163,""),"")</f>
        <v>0.0250251112067729</v>
      </c>
      <c r="Y158" s="215">
        <f>IF(AND(ISNUMBER(Y157),ISNUMBER(Y163)),IFERROR(Y157/Y163,""),"")</f>
        <v>0.0311236368092146</v>
      </c>
      <c r="Z158" s="215">
        <f>IF(AND(ISNUMBER(Z157),ISNUMBER(Z163)),IFERROR(Z157/Z163,""),"")</f>
        <v>0.0252987404456884</v>
      </c>
      <c r="AA158" s="215">
        <f>IF(AND(ISNUMBER(AA157),ISNUMBER(AA163)),IFERROR(AA157/AA163,""),"")</f>
        <v>0.0260604078072184</v>
      </c>
      <c r="AB158" s="215">
        <f>IF(AND(ISNUMBER(AB157),ISNUMBER(AB163)),IFERROR(AB157/AB163,""),"")</f>
        <v>0.0268548986307186</v>
      </c>
      <c r="AC158" s="215">
        <f>IF(AND(ISNUMBER(AC157),ISNUMBER(AC163)),IFERROR(AC157/AC163,""),"")</f>
        <v>0.0272182453803895</v>
      </c>
      <c r="AD158" s="215">
        <f>IF(AND(ISNUMBER(AD157),ISNUMBER(AD163)),IFERROR(AD157/AD163,""),"")</f>
        <v>0.0291222313371616</v>
      </c>
      <c r="AE158" s="215">
        <f>IF(AND(ISNUMBER(AE157),ISNUMBER(AE163)),IFERROR(AE157/AE163,""),"")</f>
        <v>0.0286856571714143</v>
      </c>
      <c r="AF158" s="215">
        <f>IF(AND(ISNUMBER(AF157),ISNUMBER(AF163)),IFERROR(AF157/AF163,""),"")</f>
        <v>0.0299181484617556</v>
      </c>
      <c r="AG158" s="215">
        <f>IF(AND(ISNUMBER(AG157),ISNUMBER(AG163)),IFERROR(AG157/AG163,""),"")</f>
        <v>0.0291720291720292</v>
      </c>
      <c r="AH158" s="215">
        <f>IF(AND(ISNUMBER(AH157),ISNUMBER(AH163)),IFERROR(AH157/AH163,""),"")</f>
        <v>0.0292333674270355</v>
      </c>
      <c r="AI158" s="215">
        <f>IF(AND(ISNUMBER(AI157),ISNUMBER(AI163)),IFERROR(AI157/AI163,""),"")</f>
        <v>0.0311529244696902</v>
      </c>
      <c r="AJ158" s="215">
        <f>IF(AND(ISNUMBER(AJ157),ISNUMBER(AJ163)),IFERROR(AJ157/AJ163,""),"")</f>
        <v>0.0292741043315463</v>
      </c>
      <c r="AK158" s="215">
        <f>IF(AND(ISNUMBER(AK157),ISNUMBER(AK163)),IFERROR(AK157/AK163,""),"")</f>
        <v>0.028219837157661</v>
      </c>
      <c r="AL158" s="215">
        <f>IF(AND(ISNUMBER(AL157),ISNUMBER(AL163)),IFERROR(AL157/AL163,""),"")</f>
        <v>0.0285822092255448</v>
      </c>
      <c r="AM158" s="215">
        <f>IF(AND(ISNUMBER(AM157),ISNUMBER(AM163)),IFERROR(AM157/AM163,""),"")</f>
        <v>0.0293290116370676</v>
      </c>
      <c r="AN158" s="215">
        <f>IF(AND(ISNUMBER(AN157),ISNUMBER(AN163)),IFERROR(AN157/AN163,""),"")</f>
        <v>0.0312582085631731</v>
      </c>
      <c r="AO158" s="215">
        <f>IF(AND(ISNUMBER(AO157),ISNUMBER(AO163)),IFERROR(AO157/AO163,""),"")</f>
        <v>0.0281806196440343</v>
      </c>
      <c r="AP158" s="215">
        <f>IF(AND(ISNUMBER(AP157),ISNUMBER(AP163)),IFERROR(AP157/AP163,""),"")</f>
        <v>0.0268440145102781</v>
      </c>
      <c r="AQ158" s="215">
        <f>IF(AND(ISNUMBER(AQ157),ISNUMBER(AQ163)),IFERROR(AQ157/AQ163,""),"")</f>
        <v>0.0266017842660178</v>
      </c>
      <c r="AR158" s="215">
        <f>IF(AND(ISNUMBER(AR157),ISNUMBER(AR163)),IFERROR(AR157/AR163,""),"")</f>
        <v>0.0281631807827708</v>
      </c>
      <c r="AS158" s="215">
        <f>IF(AND(ISNUMBER(AS157),ISNUMBER(AS163)),IFERROR(AS157/AS163,""),"")</f>
        <v>0.0286821705426357</v>
      </c>
      <c r="AT158" s="215">
        <f>IF(AND(ISNUMBER(AT157),ISNUMBER(AT163)),IFERROR(AT157/AT163,""),"")</f>
        <v>0.024390243902439</v>
      </c>
      <c r="AU158" s="215">
        <f>IF(AND(ISNUMBER(AU157),ISNUMBER(AU163)),IFERROR(AU157/AU163,""),"")</f>
        <v>0.028023598820059</v>
      </c>
      <c r="AV158" s="215">
        <f>IF(AND(ISNUMBER(AV157),ISNUMBER(AV163)),IFERROR(AV157/AV163,""),"")</f>
        <v>0.0341085271317829</v>
      </c>
      <c r="AW158" s="215">
        <f>IF(AND(ISNUMBER(AW157),ISNUMBER(AW163)),IFERROR(AW157/AW163,""),"")</f>
        <v>0.0286725004654627</v>
      </c>
      <c r="AX158" s="215">
        <f>IF(AND(ISNUMBER(AX157),ISNUMBER(AX163)),IFERROR(AX157/AX163,""),"")</f>
        <v>0.028125</v>
      </c>
      <c r="AY158" s="215">
        <f>IF(AND(ISNUMBER(AY157),ISNUMBER(AY163)),IFERROR(AY157/AY163,""),"")</f>
        <v>0.0264005151320026</v>
      </c>
      <c r="AZ158" s="215">
        <f>IF(AND(ISNUMBER(AZ157),ISNUMBER(AZ163)),IFERROR(AZ157/AZ163,""),"")</f>
        <v>0.026867627785059</v>
      </c>
      <c r="BA158" s="215">
        <f>IF(AND(ISNUMBER(BA157),ISNUMBER(BA163)),IFERROR(BA157/BA163,""),"")</f>
        <v>0.0311890838206628</v>
      </c>
      <c r="BB158" s="215">
        <f>IF(AND(ISNUMBER(BB157),ISNUMBER(BB163)),IFERROR(BB157/BB163,""),"")</f>
        <v>0.0281440977806369</v>
      </c>
      <c r="BC158" s="215">
        <f>IF(AND(ISNUMBER(BC157),ISNUMBER(BC163)),IFERROR(BC157/BC163,""),"")</f>
        <v>0.0302233902759527</v>
      </c>
      <c r="BD158" s="215">
        <f>IF(AND(ISNUMBER(BD157),ISNUMBER(BD163)),IFERROR(BD157/BD163,""),"")</f>
        <v>0.0275162925416365</v>
      </c>
      <c r="BE158" s="215">
        <f>IF(AND(ISNUMBER(BE157),ISNUMBER(BE163)),IFERROR(BE157/BE163,""),"")</f>
        <v>0.036078431372549</v>
      </c>
      <c r="BF158" s="215">
        <f>IF(AND(ISNUMBER(BF157),ISNUMBER(BF163)),IFERROR(BF157/BF163,""),"")</f>
        <v>0.0302325581395349</v>
      </c>
      <c r="BG158" s="215">
        <f>IF(AND(ISNUMBER(BG157),ISNUMBER(BG163)),IFERROR(BG157/BG163,""),"")</f>
        <v>0.0309070958302853</v>
      </c>
      <c r="BH158" s="215">
        <f>IF(AND(ISNUMBER(BH157),ISNUMBER(BH163)),IFERROR(BH157/BH163,""),"")</f>
        <v>0.0319727891156463</v>
      </c>
      <c r="BI158" s="215">
        <f>IF(AND(ISNUMBER(BI157),ISNUMBER(BI163)),IFERROR(BI157/BI163,""),"")</f>
        <v>0.0334672021419009</v>
      </c>
      <c r="BJ158" s="215">
        <f>IF(AND(ISNUMBER(BJ157),ISNUMBER(BJ163)),IFERROR(BJ157/BJ163,""),"")</f>
        <v>0.03125</v>
      </c>
      <c r="BK158" s="215">
        <f>IF(AND(ISNUMBER(BK157),ISNUMBER(BK163)),IFERROR(BK157/BK163,""),"")</f>
        <v>0.0337837837837838</v>
      </c>
      <c r="BL158" s="215">
        <f>IF(AND(ISNUMBER(BL157),ISNUMBER(BL163)),IFERROR(BL157/BL163,""),"")</f>
        <v>0.0326233941852603</v>
      </c>
      <c r="BM158" s="215">
        <f>IF(AND(ISNUMBER(BM157),ISNUMBER(BM163)),IFERROR(BM157/BM163,""),"")</f>
        <v>0.0296752519596865</v>
      </c>
      <c r="BN158" s="215">
        <f>IF(AND(ISNUMBER(BN157),ISNUMBER(BN163)),IFERROR(BN157/BN163,""),"")</f>
        <v>0.030820033021464</v>
      </c>
      <c r="BO158" s="215">
        <f>IF(AND(ISNUMBER(BO157),ISNUMBER(BO163)),IFERROR(BO157/BO163,""),"")</f>
        <v>0.0314396028681743</v>
      </c>
      <c r="BP158" s="215">
        <f>IF(AND(ISNUMBER(BP157),ISNUMBER(BP163)),IFERROR(BP157/BP163,""),"")</f>
        <v>0.0322966507177034</v>
      </c>
      <c r="BQ158" s="215">
        <f>IF(AND(ISNUMBER(BQ157),ISNUMBER(BQ163)),IFERROR(BQ157/BQ163,""),"")</f>
        <v>0.031038374717833</v>
      </c>
      <c r="BR158" s="215">
        <f>IF(AND(ISNUMBER(BR157),ISNUMBER(BR163)),IFERROR(BR157/BR163,""),"")</f>
        <v>0.0291060291060291</v>
      </c>
      <c r="BS158" s="215">
        <f>IF(AND(ISNUMBER(BS157),ISNUMBER(BS163)),IFERROR(BS157/BS163,""),"")</f>
        <v>0.0321390937829294</v>
      </c>
      <c r="BT158" s="215">
        <f>IF(AND(ISNUMBER(BT157),ISNUMBER(BT163)),IFERROR(BT157/BT163,""),"")</f>
        <v>0.0284005979073244</v>
      </c>
      <c r="BU158" s="215">
        <f>IF(AND(ISNUMBER(BU157),ISNUMBER(BU163)),IFERROR(BU157/BU163,""),"")</f>
        <v>0.03070407623081</v>
      </c>
      <c r="BV158" s="215">
        <f>IF(AND(ISNUMBER(BV157),ISNUMBER(BV163)),IFERROR(BV157/BV163,""),"")</f>
        <v>0.0300596009328842</v>
      </c>
      <c r="BW158" s="215">
        <f>IF(AND(ISNUMBER(BW157),ISNUMBER(BW163)),IFERROR(BW157/BW163,""),"")</f>
        <v>0.0278980278980279</v>
      </c>
      <c r="BX158" s="215">
        <f>IF(AND(ISNUMBER(BX157),ISNUMBER(BX163)),IFERROR(BX157/BX163,""),"")</f>
        <v>0.0270022883295195</v>
      </c>
      <c r="BY158" s="256">
        <f>IF(AND(ISNUMBER(BY157),ISNUMBER(BY163)),IFERROR(BY157/BY163,""),"")</f>
        <v>0.0279398975187163</v>
      </c>
      <c r="BZ158" s="256">
        <f>IF(AND(ISNUMBER(BZ157),ISNUMBER(BZ163)),IFERROR(BZ157/BZ163,""),"")</f>
        <v>0.030155300544778</v>
      </c>
      <c r="CA158" s="256">
        <f>IF(AND(ISNUMBER(CA157),ISNUMBER(CA163)),IFERROR(CA157/CA163,""),"")</f>
        <v>0.0281982188935359</v>
      </c>
      <c r="CB158" s="271" t="n">
        <v>0.03</v>
      </c>
      <c r="CC158" s="271" t="n">
        <v>0.03</v>
      </c>
      <c r="CD158" s="271" t="n">
        <v>0.03</v>
      </c>
      <c r="CE158" s="271" t="n">
        <v>0.03</v>
      </c>
      <c r="CF158" s="153" t="n"/>
      <c r="CH158" s="37">
        <f>IFERROR(AVERAGE(CA158,CB158,CC158,CD158,CE158),"n/m")</f>
        <v>0.0296396437787072</v>
      </c>
      <c r="CI158" s="37">
        <f>IFERROR(AVERAGE(BB158,BG158,BL158,BQ158,BV158),"n/m")</f>
        <v>0.0305545126893799</v>
      </c>
      <c r="CJ158" s="37">
        <f>IFERROR(AVERAGE(AC158,AH158,AM158,AR158,AW158,BB158,BG158,BL158,BQ158,BV158),"n/m")</f>
        <v>0.0295388869139626</v>
      </c>
      <c r="CK158" s="37">
        <f>IFERROR(AVERAGE(C158,D158,E158,F158,G158,H158,I158,N158,S158,X158,AC158,AH158,AM158,AR158,AW158,BB158,BG158,BL158,BQ158,BV158),"n/m")</f>
        <v>0.029457916501424</v>
      </c>
    </row>
    <row r="159" ht="15" customHeight="1" s="251">
      <c r="B159" s="25" t="inlineStr">
        <is>
          <t xml:space="preserve">  Other non-operating income, net (FX, pension non-service, affiliates, investments), input</t>
        </is>
      </c>
      <c r="C159" s="34" t="n"/>
      <c r="D159" s="34" t="n"/>
      <c r="E159" s="34" t="n"/>
      <c r="F159" s="34" t="n"/>
      <c r="G159" s="34" t="n"/>
      <c r="H159" s="34" t="n"/>
      <c r="I159" s="34" t="n"/>
      <c r="J159" s="34" t="n"/>
      <c r="K159" s="34" t="n"/>
      <c r="L159" s="34" t="n"/>
      <c r="M159" s="34" t="n"/>
      <c r="N159" s="34" t="n"/>
      <c r="O159" s="34" t="n"/>
      <c r="P159" s="34" t="n"/>
      <c r="Q159" s="34" t="n"/>
      <c r="R159" s="34" t="n"/>
      <c r="S159" s="34" t="n"/>
      <c r="T159" s="34" t="n"/>
      <c r="U159" s="34" t="n"/>
      <c r="V159" s="34" t="n"/>
      <c r="W159" s="34" t="n"/>
      <c r="X159" s="34" t="n"/>
      <c r="Y159" s="34" t="n"/>
      <c r="Z159" s="34" t="n"/>
      <c r="AA159" s="34" t="n"/>
      <c r="AB159" s="34" t="n"/>
      <c r="AC159" s="34" t="n"/>
      <c r="AD159" s="34" t="n"/>
      <c r="AE159" s="34" t="n"/>
      <c r="AF159" s="34" t="n"/>
      <c r="AG159" s="34" t="n"/>
      <c r="AH159" s="34" t="n"/>
      <c r="AI159" s="34" t="n"/>
      <c r="AJ159" s="34" t="n"/>
      <c r="AK159" s="34" t="n"/>
      <c r="AL159" s="34" t="n"/>
      <c r="AM159" s="34" t="n"/>
      <c r="AN159" s="34" t="n"/>
      <c r="AO159" s="34" t="n"/>
      <c r="AP159" s="34" t="n"/>
      <c r="AQ159" s="34" t="n"/>
      <c r="AR159" s="34" t="n"/>
      <c r="AS159" s="34" t="n"/>
      <c r="AT159" s="34" t="n"/>
      <c r="AU159" s="34" t="n"/>
      <c r="AV159" s="34" t="n"/>
      <c r="AW159" s="34" t="n"/>
      <c r="AX159" s="34" t="n"/>
      <c r="AY159" s="34" t="n"/>
      <c r="AZ159" s="34" t="n"/>
      <c r="BA159" s="34" t="n"/>
      <c r="BB159" s="34" t="n"/>
      <c r="BC159" s="34" t="n"/>
      <c r="BD159" s="34" t="n"/>
      <c r="BE159" s="34" t="n"/>
      <c r="BF159" s="34" t="n"/>
      <c r="BG159" s="34" t="n"/>
      <c r="BH159" s="34" t="n"/>
      <c r="BI159" s="34" t="n"/>
      <c r="BJ159" s="34" t="n"/>
      <c r="BK159" s="34" t="n"/>
      <c r="BL159" s="34" t="n"/>
      <c r="BM159" s="34" t="n"/>
      <c r="BN159" s="34" t="n"/>
      <c r="BO159" s="34" t="n"/>
      <c r="BP159" s="34" t="n"/>
      <c r="BQ159" s="34" t="n"/>
      <c r="BR159" s="34" t="n"/>
      <c r="BS159" s="34" t="n"/>
      <c r="BT159" s="34" t="n"/>
      <c r="BU159" s="34" t="n"/>
      <c r="BV159" s="34" t="n"/>
      <c r="BW159" s="34" t="n"/>
      <c r="BX159" s="34" t="n"/>
      <c r="BY159" s="254">
        <f>$CP$25</f>
        <v>0</v>
      </c>
      <c r="BZ159" s="254">
        <f>$CP$25</f>
        <v>0</v>
      </c>
      <c r="CA159" s="35" t="n"/>
      <c r="CB159" s="279" t="n">
        <v>10</v>
      </c>
      <c r="CC159" s="279" t="n">
        <v>10</v>
      </c>
      <c r="CD159" s="279" t="n">
        <v>10</v>
      </c>
      <c r="CE159" s="279" t="n">
        <v>10</v>
      </c>
      <c r="CF159" s="19" t="inlineStr">
        <is>
          <t>1H26 $16m. Input (assumption).</t>
        </is>
      </c>
    </row>
    <row r="160" ht="15" customHeight="1" s="251">
      <c r="B160" s="25" t="inlineStr">
        <is>
          <t xml:space="preserve">  Gains on business divestitures and other non-operating items excluded from adjusted EPS (input)</t>
        </is>
      </c>
      <c r="C160" s="34" t="n"/>
      <c r="D160" s="34" t="n"/>
      <c r="E160" s="34" t="n"/>
      <c r="F160" s="34" t="n"/>
      <c r="G160" s="34" t="n"/>
      <c r="H160" s="34" t="n"/>
      <c r="I160" s="34" t="n"/>
      <c r="J160" s="34" t="n"/>
      <c r="K160" s="34" t="n"/>
      <c r="L160" s="34" t="n"/>
      <c r="M160" s="34" t="n"/>
      <c r="N160" s="34" t="n"/>
      <c r="O160" s="34" t="n"/>
      <c r="P160" s="34" t="n"/>
      <c r="Q160" s="34" t="n"/>
      <c r="R160" s="34" t="n"/>
      <c r="S160" s="34" t="n"/>
      <c r="T160" s="34" t="n"/>
      <c r="U160" s="34" t="n"/>
      <c r="V160" s="34" t="n"/>
      <c r="W160" s="34" t="n"/>
      <c r="X160" s="34" t="n"/>
      <c r="Y160" s="34" t="n"/>
      <c r="Z160" s="34" t="n"/>
      <c r="AA160" s="34" t="n"/>
      <c r="AB160" s="34" t="n"/>
      <c r="AC160" s="34" t="n"/>
      <c r="AD160" s="34" t="n"/>
      <c r="AE160" s="34" t="n"/>
      <c r="AF160" s="34" t="n"/>
      <c r="AG160" s="34" t="n"/>
      <c r="AH160" s="34" t="n"/>
      <c r="AI160" s="34" t="n"/>
      <c r="AJ160" s="34" t="n"/>
      <c r="AK160" s="34" t="n"/>
      <c r="AL160" s="34" t="n"/>
      <c r="AM160" s="34" t="n"/>
      <c r="AN160" s="34" t="n"/>
      <c r="AO160" s="34" t="n"/>
      <c r="AP160" s="34" t="n"/>
      <c r="AQ160" s="34" t="n"/>
      <c r="AR160" s="34" t="n"/>
      <c r="AS160" s="34" t="n"/>
      <c r="AT160" s="34" t="n"/>
      <c r="AU160" s="34" t="n"/>
      <c r="AV160" s="34" t="n"/>
      <c r="AW160" s="34" t="n"/>
      <c r="AX160" s="34" t="n"/>
      <c r="AY160" s="34" t="n"/>
      <c r="AZ160" s="34" t="n"/>
      <c r="BA160" s="34" t="n"/>
      <c r="BB160" s="34" t="n"/>
      <c r="BC160" s="34" t="n"/>
      <c r="BD160" s="34" t="n"/>
      <c r="BE160" s="34" t="n"/>
      <c r="BF160" s="34" t="n"/>
      <c r="BG160" s="34" t="n"/>
      <c r="BH160" s="34" t="n"/>
      <c r="BI160" s="34" t="n"/>
      <c r="BJ160" s="34" t="n"/>
      <c r="BK160" s="34" t="n"/>
      <c r="BL160" s="34" t="n"/>
      <c r="BM160" s="34" t="n"/>
      <c r="BN160" s="34" t="n"/>
      <c r="BO160" s="34" t="n"/>
      <c r="BP160" s="34" t="n"/>
      <c r="BQ160" s="34" t="n"/>
      <c r="BR160" s="34" t="n"/>
      <c r="BS160" s="34" t="n"/>
      <c r="BT160" s="34" t="n"/>
      <c r="BU160" s="34" t="n"/>
      <c r="BV160" s="34" t="n"/>
      <c r="BW160" s="34" t="n"/>
      <c r="BX160" s="34" t="n"/>
      <c r="BY160" s="254">
        <f>0</f>
        <v>0</v>
      </c>
      <c r="BZ160" s="254">
        <f>$CP$26</f>
        <v>119</v>
      </c>
      <c r="CA160" s="35" t="n"/>
      <c r="CB160" s="279" t="n">
        <v>0</v>
      </c>
      <c r="CC160" s="279" t="n">
        <v>0</v>
      </c>
      <c r="CD160" s="279" t="n">
        <v>0</v>
      </c>
      <c r="CE160" s="279" t="n">
        <v>0</v>
      </c>
      <c r="CF160" s="19" t="inlineStr">
        <is>
          <t>Q4/26E: contingent consideration on the Regulatory Solutions sale (point estimate); 2027E+: none (excluded from adjusted EPS by the company).</t>
        </is>
      </c>
    </row>
    <row r="161" ht="15" customHeight="1" s="251">
      <c r="CN161" s="11" t="n"/>
      <c r="CO161" s="12" t="n"/>
      <c r="CP161" s="12" t="n"/>
      <c r="CQ161" s="12" t="n"/>
      <c r="CR161" s="13" t="n"/>
    </row>
    <row r="162" ht="15" customHeight="1" s="251">
      <c r="B162" s="10" t="inlineStr">
        <is>
          <t>CONSOLIDATED STATEMENT OF OPERATIONS (US GAAP)</t>
        </is>
      </c>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c r="AG162" s="10" t="n"/>
      <c r="AH162" s="10" t="n"/>
      <c r="AI162" s="10" t="n"/>
      <c r="AJ162" s="10" t="n"/>
      <c r="AK162" s="10" t="n"/>
      <c r="AL162" s="10" t="n"/>
      <c r="AM162" s="10" t="n"/>
      <c r="AN162" s="10" t="n"/>
      <c r="AO162" s="10" t="n"/>
      <c r="AP162" s="10" t="n"/>
      <c r="AQ162" s="10" t="n"/>
      <c r="AR162" s="10" t="n"/>
      <c r="AS162" s="10" t="n"/>
      <c r="AT162" s="10" t="n"/>
      <c r="AU162" s="10" t="n"/>
      <c r="AV162" s="10" t="n"/>
      <c r="AW162" s="10" t="n"/>
      <c r="AX162" s="10" t="n"/>
      <c r="AY162" s="10" t="n"/>
      <c r="AZ162" s="10" t="n"/>
      <c r="BA162" s="10" t="n"/>
      <c r="BB162" s="10" t="n"/>
      <c r="BC162" s="10" t="n"/>
      <c r="BD162" s="10" t="n"/>
      <c r="BE162" s="10" t="n"/>
      <c r="BF162" s="10" t="n"/>
      <c r="BG162" s="10" t="n"/>
      <c r="BH162" s="10" t="n"/>
      <c r="BI162" s="10" t="n"/>
      <c r="BJ162" s="10" t="n"/>
      <c r="BK162" s="10" t="n"/>
      <c r="BL162" s="10" t="n"/>
      <c r="BM162" s="10" t="n"/>
      <c r="BN162" s="10" t="n"/>
      <c r="BO162" s="10" t="n"/>
      <c r="BP162" s="10" t="n"/>
      <c r="BQ162" s="10" t="n"/>
      <c r="BR162" s="10" t="n"/>
      <c r="BS162" s="10" t="n"/>
      <c r="BT162" s="10" t="n"/>
      <c r="BU162" s="10" t="n"/>
      <c r="BV162" s="10" t="n"/>
      <c r="BW162" s="10" t="n"/>
      <c r="BX162" s="10" t="n"/>
      <c r="BY162" s="10" t="n"/>
      <c r="BZ162" s="10" t="n"/>
      <c r="CA162" s="10" t="n"/>
      <c r="CB162" s="10" t="n"/>
      <c r="CC162" s="10" t="n"/>
      <c r="CD162" s="10" t="n"/>
      <c r="CE162" s="10" t="n"/>
      <c r="CF162" s="10" t="inlineStr">
        <is>
          <t>CONSOLIDATED IS — forecast logic (operating income = Adjusted Operating Income − D&amp;A − restructuring − other items; SG&amp;A is the balancing line)</t>
        </is>
      </c>
    </row>
    <row r="163" ht="15" customHeight="1" s="251">
      <c r="B163" s="55" t="inlineStr">
        <is>
          <t>Revenue</t>
        </is>
      </c>
      <c r="C163" s="280" t="n">
        <v>2037.1</v>
      </c>
      <c r="D163" s="280" t="n">
        <v>2259</v>
      </c>
      <c r="E163" s="280" t="n">
        <v>1755.4</v>
      </c>
      <c r="F163" s="280" t="n">
        <v>1797.2</v>
      </c>
      <c r="G163" s="280" t="n">
        <v>2032</v>
      </c>
      <c r="H163" s="280" t="n">
        <v>2280.7</v>
      </c>
      <c r="I163" s="280" t="n">
        <v>2730.3</v>
      </c>
      <c r="J163" s="280" t="n">
        <v>731.8</v>
      </c>
      <c r="K163" s="280" t="n">
        <v>756</v>
      </c>
      <c r="L163" s="280" t="n">
        <v>705.5</v>
      </c>
      <c r="M163" s="280" t="n">
        <v>779.2</v>
      </c>
      <c r="N163" s="280" t="n">
        <v>2972.5</v>
      </c>
      <c r="O163" s="280" t="n">
        <v>767.2</v>
      </c>
      <c r="P163" s="280" t="n">
        <v>873.5</v>
      </c>
      <c r="Q163" s="280" t="n">
        <v>816.1</v>
      </c>
      <c r="R163" s="280" t="n">
        <v>877.5</v>
      </c>
      <c r="S163" s="280" t="n">
        <v>3334.3</v>
      </c>
      <c r="T163" s="280" t="n">
        <v>865.6</v>
      </c>
      <c r="U163" s="280" t="n">
        <v>918.1</v>
      </c>
      <c r="V163" s="280" t="n">
        <v>834.9</v>
      </c>
      <c r="W163" s="280" t="n">
        <v>865.9</v>
      </c>
      <c r="X163" s="280" t="n">
        <v>3484.5</v>
      </c>
      <c r="Y163" s="280" t="n">
        <v>816.1</v>
      </c>
      <c r="Z163" s="280" t="n">
        <v>928.9</v>
      </c>
      <c r="AA163" s="280" t="n">
        <v>917.1</v>
      </c>
      <c r="AB163" s="280" t="n">
        <v>942.1</v>
      </c>
      <c r="AC163" s="280" t="n">
        <v>3604.2</v>
      </c>
      <c r="AD163" s="280" t="n">
        <v>975.2</v>
      </c>
      <c r="AE163" s="280" t="n">
        <v>1000.5</v>
      </c>
      <c r="AF163" s="280" t="n">
        <v>1062.9</v>
      </c>
      <c r="AG163" s="280" t="n">
        <v>1165.5</v>
      </c>
      <c r="AH163" s="280" t="n">
        <v>4204.1</v>
      </c>
      <c r="AI163" s="280" t="n">
        <v>1126.7</v>
      </c>
      <c r="AJ163" s="280" t="n">
        <v>1175.1</v>
      </c>
      <c r="AK163" s="280" t="n">
        <v>1080.8</v>
      </c>
      <c r="AL163" s="280" t="n">
        <v>1060.1</v>
      </c>
      <c r="AM163" s="280" t="n">
        <v>4442.7</v>
      </c>
      <c r="AN163" s="280" t="n">
        <v>1142.1</v>
      </c>
      <c r="AO163" s="280" t="n">
        <v>1213.6</v>
      </c>
      <c r="AP163" s="280" t="n">
        <v>1240.5</v>
      </c>
      <c r="AQ163" s="280" t="n">
        <v>1233</v>
      </c>
      <c r="AR163" s="280" t="n">
        <v>4829</v>
      </c>
      <c r="AS163" s="280" t="n">
        <v>1290</v>
      </c>
      <c r="AT163" s="280" t="n">
        <v>1435</v>
      </c>
      <c r="AU163" s="280" t="n">
        <v>1356</v>
      </c>
      <c r="AV163" s="280" t="n">
        <v>1290</v>
      </c>
      <c r="AW163" s="280" t="n">
        <v>5371</v>
      </c>
      <c r="AX163" s="280" t="n">
        <v>1600</v>
      </c>
      <c r="AY163" s="280" t="n">
        <v>1553</v>
      </c>
      <c r="AZ163" s="280" t="n">
        <v>1526</v>
      </c>
      <c r="BA163" s="280" t="n">
        <v>1539</v>
      </c>
      <c r="BB163" s="280" t="n">
        <v>6218</v>
      </c>
      <c r="BC163" s="280" t="n">
        <v>1522</v>
      </c>
      <c r="BD163" s="280" t="n">
        <v>1381</v>
      </c>
      <c r="BE163" s="280" t="n">
        <v>1275</v>
      </c>
      <c r="BF163" s="280" t="n">
        <v>1290</v>
      </c>
      <c r="BG163" s="280" t="n">
        <v>5468</v>
      </c>
      <c r="BH163" s="280" t="n">
        <v>1470</v>
      </c>
      <c r="BI163" s="280" t="n">
        <v>1494</v>
      </c>
      <c r="BJ163" s="280" t="n">
        <v>1472</v>
      </c>
      <c r="BK163" s="280" t="n">
        <v>1480</v>
      </c>
      <c r="BL163" s="280" t="n">
        <v>5916</v>
      </c>
      <c r="BM163" s="280" t="n">
        <v>1786</v>
      </c>
      <c r="BN163" s="280" t="n">
        <v>1817</v>
      </c>
      <c r="BO163" s="280" t="n">
        <v>1813</v>
      </c>
      <c r="BP163" s="280" t="n">
        <v>1672</v>
      </c>
      <c r="BQ163" s="280" t="n">
        <v>7088</v>
      </c>
      <c r="BR163" s="280" t="n">
        <v>1924</v>
      </c>
      <c r="BS163" s="280" t="n">
        <v>1898</v>
      </c>
      <c r="BT163" s="280" t="n">
        <v>2007</v>
      </c>
      <c r="BU163" s="280" t="n">
        <v>1889</v>
      </c>
      <c r="BV163" s="280" t="n">
        <v>7718</v>
      </c>
      <c r="BW163" s="280" t="n">
        <v>2079</v>
      </c>
      <c r="BX163" s="280" t="n">
        <v>2185</v>
      </c>
      <c r="BY163" s="275">
        <f>BY110</f>
        <v>2040.09338122364</v>
      </c>
      <c r="BZ163" s="275">
        <f>BZ110</f>
        <v>1923.37661877636</v>
      </c>
      <c r="CA163" s="275">
        <f>SUM(BW163:BZ163)</f>
        <v>8227.47</v>
      </c>
      <c r="CB163" s="275">
        <f>CB110</f>
        <v>8820.4421292675</v>
      </c>
      <c r="CC163" s="275">
        <f>CC110</f>
        <v>9419.22674231944</v>
      </c>
      <c r="CD163" s="275">
        <f>CD110</f>
        <v>10027.2327109809</v>
      </c>
      <c r="CE163" s="275">
        <f>CE110</f>
        <v>10629.7107187291</v>
      </c>
      <c r="CF163" s="153" t="inlineStr">
        <is>
          <t>Forecast linked to the segment build.</t>
        </is>
      </c>
      <c r="CH163" s="20">
        <f>IFERROR((CE163/BV163)^(1/5)-1,"n/m")</f>
        <v>0.0661132336519135</v>
      </c>
      <c r="CI163" s="20">
        <f>IFERROR((BV163/AW163)^(1/5)-1,"n/m")</f>
        <v>0.0752016554347532</v>
      </c>
      <c r="CJ163" s="20">
        <f>IFERROR((BV163/X163)^(1/10)-1,"n/m")</f>
        <v>0.0827705388896203</v>
      </c>
      <c r="CK163" s="20">
        <f>IFERROR((BV163/C163)^(1/19)-1,"n/m")</f>
        <v>0.0726226654915987</v>
      </c>
    </row>
    <row r="164" ht="15" customHeight="1" s="251">
      <c r="B164" s="25" t="inlineStr">
        <is>
          <t>Operating expense</t>
        </is>
      </c>
      <c r="C164" s="253" t="n">
        <v>539.4</v>
      </c>
      <c r="D164" s="253" t="n">
        <v>584</v>
      </c>
      <c r="E164" s="253" t="n">
        <v>493.3</v>
      </c>
      <c r="F164" s="253" t="n">
        <v>532.4</v>
      </c>
      <c r="G164" s="253" t="n">
        <v>604.8</v>
      </c>
      <c r="H164" s="253" t="n">
        <v>683.5</v>
      </c>
      <c r="I164" s="253" t="n">
        <v>795</v>
      </c>
      <c r="J164" s="253" t="n">
        <v>200.8</v>
      </c>
      <c r="K164" s="253" t="n">
        <v>197.1</v>
      </c>
      <c r="L164" s="253" t="n">
        <v>203.5</v>
      </c>
      <c r="M164" s="253" t="n">
        <v>221</v>
      </c>
      <c r="N164" s="253" t="n">
        <v>822.4</v>
      </c>
      <c r="O164" s="253" t="n">
        <v>216</v>
      </c>
      <c r="P164" s="253" t="n">
        <v>222.1</v>
      </c>
      <c r="Q164" s="253" t="n">
        <v>236.7</v>
      </c>
      <c r="R164" s="253" t="n">
        <v>255.5</v>
      </c>
      <c r="S164" s="253" t="n">
        <v>930.3</v>
      </c>
      <c r="T164" s="253" t="n">
        <v>244.4</v>
      </c>
      <c r="U164" s="253" t="n">
        <v>243.9</v>
      </c>
      <c r="V164" s="253" t="n">
        <v>236.1</v>
      </c>
      <c r="W164" s="253" t="n">
        <v>251.9</v>
      </c>
      <c r="X164" s="253" t="n">
        <v>976.3</v>
      </c>
      <c r="Y164" s="253" t="n">
        <v>249.2</v>
      </c>
      <c r="Z164" s="253" t="n">
        <v>258.9</v>
      </c>
      <c r="AA164" s="253" t="n">
        <v>253.2</v>
      </c>
      <c r="AB164" s="253" t="n">
        <v>265.3</v>
      </c>
      <c r="AC164" s="253" t="n">
        <v>1026.6</v>
      </c>
      <c r="AD164" s="253" t="n">
        <v>277.4</v>
      </c>
      <c r="AE164" s="253" t="n">
        <v>285.8</v>
      </c>
      <c r="AF164" s="253" t="n">
        <v>317.2</v>
      </c>
      <c r="AG164" s="253" t="n">
        <v>342.4</v>
      </c>
      <c r="AH164" s="253" t="n">
        <v>1222.8</v>
      </c>
      <c r="AI164" s="253" t="n">
        <v>314.9</v>
      </c>
      <c r="AJ164" s="253" t="n">
        <v>320.2</v>
      </c>
      <c r="AK164" s="253" t="n">
        <v>306.3</v>
      </c>
      <c r="AL164" s="253" t="n">
        <v>304.1</v>
      </c>
      <c r="AM164" s="253" t="n">
        <v>1245.5</v>
      </c>
      <c r="AN164" s="253" t="n">
        <v>341.7</v>
      </c>
      <c r="AO164" s="253" t="n">
        <v>339.9</v>
      </c>
      <c r="AP164" s="253" t="n">
        <v>350.2</v>
      </c>
      <c r="AQ164" s="253" t="n">
        <v>355</v>
      </c>
      <c r="AR164" s="253" t="n">
        <v>1387</v>
      </c>
      <c r="AS164" s="253" t="n">
        <v>340</v>
      </c>
      <c r="AT164" s="253" t="n">
        <v>362</v>
      </c>
      <c r="AU164" s="253" t="n">
        <v>364</v>
      </c>
      <c r="AV164" s="253" t="n">
        <v>409</v>
      </c>
      <c r="AW164" s="253" t="n">
        <v>1475</v>
      </c>
      <c r="AX164" s="253" t="n">
        <v>393</v>
      </c>
      <c r="AY164" s="253" t="n">
        <v>365</v>
      </c>
      <c r="AZ164" s="253" t="n">
        <v>394</v>
      </c>
      <c r="BA164" s="253" t="n">
        <v>485</v>
      </c>
      <c r="BB164" s="253" t="n">
        <v>1637</v>
      </c>
      <c r="BC164" s="253" t="n">
        <v>417</v>
      </c>
      <c r="BD164" s="253" t="n">
        <v>393</v>
      </c>
      <c r="BE164" s="253" t="n">
        <v>393</v>
      </c>
      <c r="BF164" s="253" t="n">
        <v>410</v>
      </c>
      <c r="BG164" s="253" t="n">
        <v>1613</v>
      </c>
      <c r="BH164" s="253" t="n">
        <v>428</v>
      </c>
      <c r="BI164" s="253" t="n">
        <v>426</v>
      </c>
      <c r="BJ164" s="253" t="n">
        <v>412</v>
      </c>
      <c r="BK164" s="253" t="n">
        <v>421</v>
      </c>
      <c r="BL164" s="253" t="n">
        <v>1687</v>
      </c>
      <c r="BM164" s="253" t="n">
        <v>467</v>
      </c>
      <c r="BN164" s="253" t="n">
        <v>469</v>
      </c>
      <c r="BO164" s="253" t="n">
        <v>512</v>
      </c>
      <c r="BP164" s="253" t="n">
        <v>497</v>
      </c>
      <c r="BQ164" s="253" t="n">
        <v>1945</v>
      </c>
      <c r="BR164" s="253" t="n">
        <v>491</v>
      </c>
      <c r="BS164" s="253" t="n">
        <v>489</v>
      </c>
      <c r="BT164" s="253" t="n">
        <v>492</v>
      </c>
      <c r="BU164" s="253" t="n">
        <v>502</v>
      </c>
      <c r="BV164" s="253" t="n">
        <v>1973</v>
      </c>
      <c r="BW164" s="253" t="n">
        <v>531</v>
      </c>
      <c r="BX164" s="253" t="n">
        <v>518</v>
      </c>
      <c r="BY164" s="254">
        <f>BY163*BY156</f>
        <v>478.90147553069</v>
      </c>
      <c r="BZ164" s="254">
        <f>BZ163*BZ156</f>
        <v>491.137970923499</v>
      </c>
      <c r="CA164" s="254">
        <f>SUM(BW164:BZ164)</f>
        <v>2019.03944645419</v>
      </c>
      <c r="CB164" s="254">
        <f>CB163*CB156</f>
        <v>2072.80390037786</v>
      </c>
      <c r="CC164" s="254">
        <f>CC163*CC156</f>
        <v>2213.51828444507</v>
      </c>
      <c r="CD164" s="254">
        <f>CD163*CD156</f>
        <v>2356.39968708051</v>
      </c>
      <c r="CE164" s="254">
        <f>CE163*CE156</f>
        <v>2497.98201890134</v>
      </c>
      <c r="CF164" s="19" t="n"/>
      <c r="CH164" s="20">
        <f>IFERROR((CE164/BV164)^(1/5)-1,"n/m")</f>
        <v>0.0483165557349266</v>
      </c>
      <c r="CI164" s="20">
        <f>IFERROR((BV164/AW164)^(1/5)-1,"n/m")</f>
        <v>0.0599051759268852</v>
      </c>
      <c r="CJ164" s="20">
        <f>IFERROR((BV164/X164)^(1/10)-1,"n/m")</f>
        <v>0.0728879796374931</v>
      </c>
      <c r="CK164" s="20">
        <f>IFERROR((BV164/C164)^(1/19)-1,"n/m")</f>
        <v>0.0706387426018653</v>
      </c>
    </row>
    <row r="165" ht="15" customHeight="1" s="251">
      <c r="B165" s="25" t="inlineStr">
        <is>
          <t>Selling, general &amp; administrative expense</t>
        </is>
      </c>
      <c r="C165" s="253" t="n">
        <v>359.3</v>
      </c>
      <c r="D165" s="253" t="n">
        <v>451.1</v>
      </c>
      <c r="E165" s="253" t="n">
        <v>441.3</v>
      </c>
      <c r="F165" s="253" t="n">
        <v>495.7</v>
      </c>
      <c r="G165" s="253" t="n">
        <v>588</v>
      </c>
      <c r="H165" s="253" t="n">
        <v>629.6</v>
      </c>
      <c r="I165" s="253" t="n">
        <v>752.2</v>
      </c>
      <c r="J165" s="253" t="n">
        <v>227</v>
      </c>
      <c r="K165" s="253" t="n">
        <v>185</v>
      </c>
      <c r="L165" s="253" t="n">
        <v>187.1</v>
      </c>
      <c r="M165" s="253" t="n">
        <v>223</v>
      </c>
      <c r="N165" s="253" t="n">
        <v>822.1</v>
      </c>
      <c r="O165" s="253" t="n">
        <v>195.1</v>
      </c>
      <c r="P165" s="253" t="n">
        <v>217.4</v>
      </c>
      <c r="Q165" s="253" t="n">
        <v>206.5</v>
      </c>
      <c r="R165" s="253" t="n">
        <v>250.3</v>
      </c>
      <c r="S165" s="253" t="n">
        <v>869.3</v>
      </c>
      <c r="T165" s="253" t="n">
        <v>221.3</v>
      </c>
      <c r="U165" s="253" t="n">
        <v>227</v>
      </c>
      <c r="V165" s="253" t="n">
        <v>220.8</v>
      </c>
      <c r="W165" s="253" t="n">
        <v>252.2</v>
      </c>
      <c r="X165" s="253" t="n">
        <v>921.3</v>
      </c>
      <c r="Y165" s="253" t="n">
        <v>232.9</v>
      </c>
      <c r="Z165" s="253" t="n">
        <v>228.6</v>
      </c>
      <c r="AA165" s="253" t="n">
        <v>225.3</v>
      </c>
      <c r="AB165" s="253" t="n">
        <v>253.2</v>
      </c>
      <c r="AC165" s="253" t="n">
        <v>936.4</v>
      </c>
      <c r="AD165" s="253" t="n">
        <v>221.9</v>
      </c>
      <c r="AE165" s="253" t="n">
        <v>217.7</v>
      </c>
      <c r="AF165" s="253" t="n">
        <v>247.2</v>
      </c>
      <c r="AG165" s="253" t="n">
        <v>304.6</v>
      </c>
      <c r="AH165" s="253" t="n">
        <v>991.4</v>
      </c>
      <c r="AI165" s="253" t="n">
        <v>271.1</v>
      </c>
      <c r="AJ165" s="253" t="n">
        <v>270.5</v>
      </c>
      <c r="AK165" s="253" t="n">
        <v>260.3</v>
      </c>
      <c r="AL165" s="253" t="n">
        <v>278.2</v>
      </c>
      <c r="AM165" s="253" t="n">
        <v>1080.1</v>
      </c>
      <c r="AN165" s="253" t="n">
        <v>281.5</v>
      </c>
      <c r="AO165" s="253" t="n">
        <v>274.7</v>
      </c>
      <c r="AP165" s="253" t="n">
        <v>291.9</v>
      </c>
      <c r="AQ165" s="253" t="n">
        <v>319</v>
      </c>
      <c r="AR165" s="253" t="n">
        <v>1167</v>
      </c>
      <c r="AS165" s="253" t="n">
        <v>301</v>
      </c>
      <c r="AT165" s="253" t="n">
        <v>307</v>
      </c>
      <c r="AU165" s="253" t="n">
        <v>271</v>
      </c>
      <c r="AV165" s="253" t="n">
        <v>350</v>
      </c>
      <c r="AW165" s="253" t="n">
        <v>1229</v>
      </c>
      <c r="AX165" s="253" t="n">
        <v>293</v>
      </c>
      <c r="AY165" s="253" t="n">
        <v>327</v>
      </c>
      <c r="AZ165" s="253" t="n">
        <v>395</v>
      </c>
      <c r="BA165" s="253" t="n">
        <v>465</v>
      </c>
      <c r="BB165" s="253" t="n">
        <v>1480</v>
      </c>
      <c r="BC165" s="253" t="n">
        <v>371</v>
      </c>
      <c r="BD165" s="253" t="n">
        <v>368</v>
      </c>
      <c r="BE165" s="253" t="n">
        <v>385</v>
      </c>
      <c r="BF165" s="253" t="n">
        <v>403</v>
      </c>
      <c r="BG165" s="253" t="n">
        <v>1527</v>
      </c>
      <c r="BH165" s="253" t="n">
        <v>386</v>
      </c>
      <c r="BI165" s="253" t="n">
        <v>415</v>
      </c>
      <c r="BJ165" s="253" t="n">
        <v>403</v>
      </c>
      <c r="BK165" s="253" t="n">
        <v>428</v>
      </c>
      <c r="BL165" s="253" t="n">
        <v>1632</v>
      </c>
      <c r="BM165" s="253" t="n">
        <v>413</v>
      </c>
      <c r="BN165" s="253" t="n">
        <v>446</v>
      </c>
      <c r="BO165" s="253" t="n">
        <v>434</v>
      </c>
      <c r="BP165" s="253" t="n">
        <v>442</v>
      </c>
      <c r="BQ165" s="253" t="n">
        <v>1735</v>
      </c>
      <c r="BR165" s="253" t="n">
        <v>439</v>
      </c>
      <c r="BS165" s="253" t="n">
        <v>443</v>
      </c>
      <c r="BT165" s="253" t="n">
        <v>453</v>
      </c>
      <c r="BU165" s="253" t="n">
        <v>467</v>
      </c>
      <c r="BV165" s="253" t="n">
        <v>1803</v>
      </c>
      <c r="BW165" s="253" t="n">
        <v>477</v>
      </c>
      <c r="BX165" s="253" t="n">
        <v>463</v>
      </c>
      <c r="BY165" s="254">
        <f>BY163-BY170-BY164-BY166-BY167-BY168</f>
        <v>497.329373135283</v>
      </c>
      <c r="BZ165" s="254">
        <f>BZ163-BZ170-BZ164-BZ166-BZ167-BZ168</f>
        <v>512.619185029789</v>
      </c>
      <c r="CA165" s="254">
        <f>SUM(BW165:BZ165)</f>
        <v>1949.94855816507</v>
      </c>
      <c r="CB165" s="254">
        <f>CB163-CB170-CB164-CB166-CB167-CB168</f>
        <v>2080.73251181188</v>
      </c>
      <c r="CC165" s="254">
        <f>CC163-CC170-CC164-CC166-CC167-CC168</f>
        <v>2152.48657481847</v>
      </c>
      <c r="CD165" s="254">
        <f>CD163-CD170-CD164-CD166-CD167-CD168</f>
        <v>2237.0501480357</v>
      </c>
      <c r="CE165" s="254">
        <f>CE163-CE170-CE164-CE166-CE167-CE168</f>
        <v>2315.0750130428</v>
      </c>
      <c r="CF165" s="19" t="inlineStr">
        <is>
          <t>Forecast = balancing line (revenue − operating income − other expense lines); includes the reserve / duplicate-rent items the company excludes from Adjusted Operating Income.</t>
        </is>
      </c>
      <c r="CH165" s="20">
        <f>IFERROR((CE165/BV165)^(1/5)-1,"n/m")</f>
        <v>0.0512690244981493</v>
      </c>
      <c r="CI165" s="20">
        <f>IFERROR((BV165/AW165)^(1/5)-1,"n/m")</f>
        <v>0.0796643682815947</v>
      </c>
      <c r="CJ165" s="20">
        <f>IFERROR((BV165/X165)^(1/10)-1,"n/m")</f>
        <v>0.0694474900888302</v>
      </c>
      <c r="CK165" s="20">
        <f>IFERROR((BV165/C165)^(1/19)-1,"n/m")</f>
        <v>0.0886053086993308</v>
      </c>
    </row>
    <row r="166" ht="15" customHeight="1" s="251">
      <c r="B166" s="25" t="inlineStr">
        <is>
          <t>Depreciation &amp; amortization</t>
        </is>
      </c>
      <c r="C166" s="253" t="n">
        <v>39.5</v>
      </c>
      <c r="D166" s="253" t="n">
        <v>42.9</v>
      </c>
      <c r="E166" s="253" t="n">
        <v>75.09999999999999</v>
      </c>
      <c r="F166" s="253" t="n">
        <v>64.09999999999999</v>
      </c>
      <c r="G166" s="253" t="n">
        <v>66.3</v>
      </c>
      <c r="H166" s="253" t="n">
        <v>79.2</v>
      </c>
      <c r="I166" s="253" t="n">
        <v>93.5</v>
      </c>
      <c r="J166" s="253" t="n">
        <v>23.6</v>
      </c>
      <c r="K166" s="253" t="n">
        <v>23.1</v>
      </c>
      <c r="L166" s="253" t="n">
        <v>23.4</v>
      </c>
      <c r="M166" s="253" t="n">
        <v>23.3</v>
      </c>
      <c r="N166" s="253" t="n">
        <v>93.40000000000001</v>
      </c>
      <c r="O166" s="253" t="n">
        <v>23.1</v>
      </c>
      <c r="P166" s="253" t="n">
        <v>22.3</v>
      </c>
      <c r="Q166" s="253" t="n">
        <v>23.2</v>
      </c>
      <c r="R166" s="253" t="n">
        <v>27</v>
      </c>
      <c r="S166" s="253" t="n">
        <v>95.59999999999999</v>
      </c>
      <c r="T166" s="253" t="n">
        <v>28.6</v>
      </c>
      <c r="U166" s="253" t="n">
        <v>27.9</v>
      </c>
      <c r="V166" s="253" t="n">
        <v>28.3</v>
      </c>
      <c r="W166" s="253" t="n">
        <v>28.7</v>
      </c>
      <c r="X166" s="253" t="n">
        <v>113.5</v>
      </c>
      <c r="Y166" s="253" t="n">
        <v>29.9</v>
      </c>
      <c r="Z166" s="253" t="n">
        <v>31.2</v>
      </c>
      <c r="AA166" s="253" t="n">
        <v>32.7</v>
      </c>
      <c r="AB166" s="253" t="n">
        <v>32.9</v>
      </c>
      <c r="AC166" s="253" t="n">
        <v>126.7</v>
      </c>
      <c r="AD166" s="253" t="n">
        <v>32.5</v>
      </c>
      <c r="AE166" s="253" t="n">
        <v>32.9</v>
      </c>
      <c r="AF166" s="253" t="n">
        <v>43</v>
      </c>
      <c r="AG166" s="253" t="n">
        <v>49.9</v>
      </c>
      <c r="AH166" s="253" t="n">
        <v>158.3</v>
      </c>
      <c r="AI166" s="253" t="n">
        <v>49.1</v>
      </c>
      <c r="AJ166" s="253" t="n">
        <v>48.4</v>
      </c>
      <c r="AK166" s="253" t="n">
        <v>46.1</v>
      </c>
      <c r="AL166" s="253" t="n">
        <v>48.3</v>
      </c>
      <c r="AM166" s="253" t="n">
        <v>191.9</v>
      </c>
      <c r="AN166" s="253" t="n">
        <v>50.3</v>
      </c>
      <c r="AO166" s="253" t="n">
        <v>51</v>
      </c>
      <c r="AP166" s="253" t="n">
        <v>48.6</v>
      </c>
      <c r="AQ166" s="253" t="n">
        <v>50</v>
      </c>
      <c r="AR166" s="253" t="n">
        <v>200</v>
      </c>
      <c r="AS166" s="253" t="n">
        <v>49</v>
      </c>
      <c r="AT166" s="253" t="n">
        <v>58</v>
      </c>
      <c r="AU166" s="253" t="n">
        <v>56</v>
      </c>
      <c r="AV166" s="253" t="n">
        <v>57</v>
      </c>
      <c r="AW166" s="253" t="n">
        <v>220</v>
      </c>
      <c r="AX166" s="253" t="n">
        <v>59</v>
      </c>
      <c r="AY166" s="253" t="n">
        <v>60</v>
      </c>
      <c r="AZ166" s="253" t="n">
        <v>61</v>
      </c>
      <c r="BA166" s="253" t="n">
        <v>77</v>
      </c>
      <c r="BB166" s="253" t="n">
        <v>257</v>
      </c>
      <c r="BC166" s="253" t="n">
        <v>78</v>
      </c>
      <c r="BD166" s="253" t="n">
        <v>81</v>
      </c>
      <c r="BE166" s="253" t="n">
        <v>83</v>
      </c>
      <c r="BF166" s="253" t="n">
        <v>89</v>
      </c>
      <c r="BG166" s="253" t="n">
        <v>331</v>
      </c>
      <c r="BH166" s="253" t="n">
        <v>88</v>
      </c>
      <c r="BI166" s="253" t="n">
        <v>93</v>
      </c>
      <c r="BJ166" s="253" t="n">
        <v>95</v>
      </c>
      <c r="BK166" s="253" t="n">
        <v>97</v>
      </c>
      <c r="BL166" s="253" t="n">
        <v>373</v>
      </c>
      <c r="BM166" s="253" t="n">
        <v>100</v>
      </c>
      <c r="BN166" s="253" t="n">
        <v>110</v>
      </c>
      <c r="BO166" s="253" t="n">
        <v>108</v>
      </c>
      <c r="BP166" s="253" t="n">
        <v>113</v>
      </c>
      <c r="BQ166" s="253" t="n">
        <v>431</v>
      </c>
      <c r="BR166" s="253" t="n">
        <v>113</v>
      </c>
      <c r="BS166" s="253" t="n">
        <v>120</v>
      </c>
      <c r="BT166" s="253" t="n">
        <v>123</v>
      </c>
      <c r="BU166" s="253" t="n">
        <v>124</v>
      </c>
      <c r="BV166" s="253" t="n">
        <v>480</v>
      </c>
      <c r="BW166" s="253" t="n">
        <v>122</v>
      </c>
      <c r="BX166" s="253" t="n">
        <v>126</v>
      </c>
      <c r="BY166" s="254">
        <f>BY149</f>
        <v>118.5</v>
      </c>
      <c r="BZ166" s="254">
        <f>BZ149</f>
        <v>118.5</v>
      </c>
      <c r="CA166" s="254">
        <f>SUM(BW166:BZ166)</f>
        <v>485</v>
      </c>
      <c r="CB166" s="254">
        <f>CB149</f>
        <v>515.202583320297</v>
      </c>
      <c r="CC166" s="254">
        <f>CC149</f>
        <v>538.511389465819</v>
      </c>
      <c r="CD166" s="254">
        <f>CD149</f>
        <v>544.368176350607</v>
      </c>
      <c r="CE166" s="254">
        <f>CE149</f>
        <v>548.595673978372</v>
      </c>
      <c r="CF166" s="19" t="n"/>
    </row>
    <row r="167" ht="15" customHeight="1" s="251">
      <c r="B167" s="25" t="inlineStr">
        <is>
          <t>Restructuring</t>
        </is>
      </c>
      <c r="C167" s="253" t="n">
        <v>0</v>
      </c>
      <c r="D167" s="253" t="n">
        <v>50</v>
      </c>
      <c r="E167" s="253" t="n">
        <v>-2.5</v>
      </c>
      <c r="F167" s="253" t="n">
        <v>17.5</v>
      </c>
      <c r="G167" s="253" t="n">
        <v>0.1</v>
      </c>
      <c r="H167" s="253" t="n">
        <v>0</v>
      </c>
      <c r="I167" s="253" t="n">
        <v>0</v>
      </c>
      <c r="J167" s="253" t="n">
        <v>0</v>
      </c>
      <c r="K167" s="253" t="n">
        <v>0</v>
      </c>
      <c r="L167" s="253" t="n">
        <v>0</v>
      </c>
      <c r="M167" s="253" t="n">
        <v>0</v>
      </c>
      <c r="N167" s="253" t="n">
        <v>0</v>
      </c>
      <c r="O167" s="253" t="n">
        <v>0</v>
      </c>
      <c r="P167" s="253" t="n">
        <v>0</v>
      </c>
      <c r="Q167" s="253" t="n">
        <v>0</v>
      </c>
      <c r="R167" s="253" t="n">
        <v>0</v>
      </c>
      <c r="S167" s="253" t="n">
        <v>0</v>
      </c>
      <c r="T167" s="253" t="n">
        <v>0</v>
      </c>
      <c r="U167" s="253" t="n">
        <v>0</v>
      </c>
      <c r="V167" s="253" t="n">
        <v>0</v>
      </c>
      <c r="W167" s="253" t="n">
        <v>0</v>
      </c>
      <c r="X167" s="253" t="n">
        <v>0</v>
      </c>
      <c r="Y167" s="253" t="n">
        <v>0</v>
      </c>
      <c r="Z167" s="253" t="n">
        <v>0</v>
      </c>
      <c r="AA167" s="253" t="n">
        <v>8.4</v>
      </c>
      <c r="AB167" s="253" t="n">
        <v>0</v>
      </c>
      <c r="AC167" s="253" t="n">
        <v>12</v>
      </c>
      <c r="AD167" s="253" t="n">
        <v>0</v>
      </c>
      <c r="AE167" s="253" t="n">
        <v>0</v>
      </c>
      <c r="AF167" s="253" t="n">
        <v>0</v>
      </c>
      <c r="AG167" s="253" t="n">
        <v>0</v>
      </c>
      <c r="AH167" s="253" t="n">
        <v>0</v>
      </c>
      <c r="AI167" s="253" t="n">
        <v>0</v>
      </c>
      <c r="AJ167" s="253" t="n">
        <v>0</v>
      </c>
      <c r="AK167" s="253" t="n">
        <v>0</v>
      </c>
      <c r="AL167" s="253" t="n">
        <v>48.7</v>
      </c>
      <c r="AM167" s="253" t="n">
        <v>48.7</v>
      </c>
      <c r="AN167" s="253" t="n">
        <v>5.5</v>
      </c>
      <c r="AO167" s="253" t="n">
        <v>53.8</v>
      </c>
      <c r="AP167" s="253" t="n">
        <v>-1</v>
      </c>
      <c r="AQ167" s="253" t="n">
        <v>2</v>
      </c>
      <c r="AR167" s="253" t="n">
        <v>60</v>
      </c>
      <c r="AS167" s="253" t="n">
        <v>-1</v>
      </c>
      <c r="AT167" s="253" t="n">
        <v>-2</v>
      </c>
      <c r="AU167" s="253" t="n">
        <v>23</v>
      </c>
      <c r="AV167" s="253" t="n">
        <v>30</v>
      </c>
      <c r="AW167" s="253" t="n">
        <v>50</v>
      </c>
      <c r="AX167" s="253" t="n">
        <v>2</v>
      </c>
      <c r="AY167" s="253" t="n">
        <v>0</v>
      </c>
      <c r="AZ167" s="253" t="n">
        <v>0</v>
      </c>
      <c r="BA167" s="253" t="n">
        <v>-2</v>
      </c>
      <c r="BB167" s="253" t="n">
        <v>0</v>
      </c>
      <c r="BC167" s="253" t="n">
        <v>0</v>
      </c>
      <c r="BD167" s="253" t="n">
        <v>31</v>
      </c>
      <c r="BE167" s="253" t="n">
        <v>1</v>
      </c>
      <c r="BF167" s="253" t="n">
        <v>82</v>
      </c>
      <c r="BG167" s="253" t="n">
        <v>114</v>
      </c>
      <c r="BH167" s="253" t="n">
        <v>14</v>
      </c>
      <c r="BI167" s="253" t="n">
        <v>10</v>
      </c>
      <c r="BJ167" s="253" t="n">
        <v>27</v>
      </c>
      <c r="BK167" s="253" t="n">
        <v>36</v>
      </c>
      <c r="BL167" s="253" t="n">
        <v>87</v>
      </c>
      <c r="BM167" s="253" t="n">
        <v>5</v>
      </c>
      <c r="BN167" s="253" t="n">
        <v>2</v>
      </c>
      <c r="BO167" s="253" t="n">
        <v>6</v>
      </c>
      <c r="BP167" s="253" t="n">
        <v>46</v>
      </c>
      <c r="BQ167" s="253" t="n">
        <v>59</v>
      </c>
      <c r="BR167" s="253" t="n">
        <v>33</v>
      </c>
      <c r="BS167" s="253" t="n">
        <v>27</v>
      </c>
      <c r="BT167" s="253" t="n">
        <v>21</v>
      </c>
      <c r="BU167" s="253" t="n">
        <v>27</v>
      </c>
      <c r="BV167" s="253" t="n">
        <v>108</v>
      </c>
      <c r="BW167" s="253" t="n">
        <v>27</v>
      </c>
      <c r="BX167" s="253" t="n">
        <v>32</v>
      </c>
      <c r="BY167" s="254">
        <f>BY154</f>
        <v>30</v>
      </c>
      <c r="BZ167" s="254">
        <f>BZ154</f>
        <v>30</v>
      </c>
      <c r="CA167" s="254">
        <f>SUM(BW167:BZ167)</f>
        <v>119</v>
      </c>
      <c r="CB167" s="254">
        <f>CB154</f>
        <v>60</v>
      </c>
      <c r="CC167" s="254">
        <f>CC154</f>
        <v>0</v>
      </c>
      <c r="CD167" s="254">
        <f>CD154</f>
        <v>0</v>
      </c>
      <c r="CE167" s="254">
        <f>CE154</f>
        <v>0</v>
      </c>
      <c r="CF167" s="19" t="n"/>
    </row>
    <row r="168" ht="15" customHeight="1" s="251">
      <c r="B168" s="25" t="inlineStr">
        <is>
          <t>Other operating items shown separately (settlement charges, impairments, acquisition-related expenses, asset abandonment; gains negative)</t>
        </is>
      </c>
      <c r="C168" s="253" t="n">
        <v>-160.6</v>
      </c>
      <c r="D168" s="253" t="n">
        <v>0</v>
      </c>
      <c r="E168" s="253" t="n">
        <v>0</v>
      </c>
      <c r="F168" s="253" t="n">
        <v>0</v>
      </c>
      <c r="G168" s="253" t="n">
        <v>0</v>
      </c>
      <c r="H168" s="253" t="n">
        <v>0</v>
      </c>
      <c r="I168" s="253" t="n">
        <v>12.2</v>
      </c>
      <c r="J168" s="253" t="n">
        <v>0</v>
      </c>
      <c r="K168" s="253" t="n">
        <v>0</v>
      </c>
      <c r="L168" s="253" t="n">
        <v>0</v>
      </c>
      <c r="M168" s="253" t="n">
        <v>0</v>
      </c>
      <c r="N168" s="253" t="n">
        <v>0</v>
      </c>
      <c r="O168" s="253" t="n">
        <v>0</v>
      </c>
      <c r="P168" s="253" t="n">
        <v>0</v>
      </c>
      <c r="Q168" s="253" t="n">
        <v>0</v>
      </c>
      <c r="R168" s="253" t="n">
        <v>0</v>
      </c>
      <c r="S168" s="253" t="n">
        <v>0</v>
      </c>
      <c r="T168" s="253" t="n">
        <v>0</v>
      </c>
      <c r="U168" s="253" t="n">
        <v>0</v>
      </c>
      <c r="V168" s="253" t="n">
        <v>0</v>
      </c>
      <c r="W168" s="253" t="n">
        <v>0</v>
      </c>
      <c r="X168" s="253" t="n">
        <v>0</v>
      </c>
      <c r="Y168" s="253" t="n">
        <v>0</v>
      </c>
      <c r="Z168" s="253" t="n">
        <v>0</v>
      </c>
      <c r="AA168" s="253" t="n">
        <v>0</v>
      </c>
      <c r="AB168" s="253" t="n">
        <v>863.8</v>
      </c>
      <c r="AC168" s="253" t="n">
        <v>863.8</v>
      </c>
      <c r="AD168" s="253" t="n">
        <v>0</v>
      </c>
      <c r="AE168" s="253" t="n">
        <v>6.6</v>
      </c>
      <c r="AF168" s="253" t="n">
        <v>10.1</v>
      </c>
      <c r="AG168" s="253" t="n">
        <v>5.8</v>
      </c>
      <c r="AH168" s="253" t="n">
        <v>22.5</v>
      </c>
      <c r="AI168" s="253" t="n">
        <v>0.8</v>
      </c>
      <c r="AJ168" s="253" t="n">
        <v>2</v>
      </c>
      <c r="AK168" s="253" t="n">
        <v>1.3</v>
      </c>
      <c r="AL168" s="253" t="n">
        <v>4.2</v>
      </c>
      <c r="AM168" s="253" t="n">
        <v>8.300000000000001</v>
      </c>
      <c r="AN168" s="253" t="n">
        <v>1.4</v>
      </c>
      <c r="AO168" s="253" t="n">
        <v>10.7</v>
      </c>
      <c r="AP168" s="253" t="n">
        <v>2</v>
      </c>
      <c r="AQ168" s="253" t="n">
        <v>3</v>
      </c>
      <c r="AR168" s="253" t="n">
        <v>17</v>
      </c>
      <c r="AS168" s="253" t="n">
        <v>9</v>
      </c>
      <c r="AT168" s="253" t="n">
        <v>0</v>
      </c>
      <c r="AU168" s="253" t="n">
        <v>0</v>
      </c>
      <c r="AV168" s="253" t="n">
        <v>0</v>
      </c>
      <c r="AW168" s="253" t="n">
        <v>9</v>
      </c>
      <c r="AX168" s="253" t="n">
        <v>0</v>
      </c>
      <c r="AY168" s="253" t="n">
        <v>0</v>
      </c>
      <c r="AZ168" s="253" t="n">
        <v>0</v>
      </c>
      <c r="BA168" s="253" t="n">
        <v>0</v>
      </c>
      <c r="BB168" s="253" t="n">
        <v>0</v>
      </c>
      <c r="BC168" s="253" t="n">
        <v>0</v>
      </c>
      <c r="BD168" s="253" t="n">
        <v>0</v>
      </c>
      <c r="BE168" s="253" t="n">
        <v>0</v>
      </c>
      <c r="BF168" s="253" t="n">
        <v>0</v>
      </c>
      <c r="BG168" s="253" t="n">
        <v>0</v>
      </c>
      <c r="BH168" s="253" t="n">
        <v>0</v>
      </c>
      <c r="BI168" s="253" t="n">
        <v>0</v>
      </c>
      <c r="BJ168" s="253" t="n">
        <v>0</v>
      </c>
      <c r="BK168" s="253" t="n">
        <v>0</v>
      </c>
      <c r="BL168" s="253" t="n">
        <v>0</v>
      </c>
      <c r="BM168" s="253" t="n">
        <v>0</v>
      </c>
      <c r="BN168" s="253" t="n">
        <v>15</v>
      </c>
      <c r="BO168" s="253" t="n">
        <v>15</v>
      </c>
      <c r="BP168" s="253" t="n">
        <v>13</v>
      </c>
      <c r="BQ168" s="253" t="n">
        <v>43</v>
      </c>
      <c r="BR168" s="253" t="n">
        <v>2</v>
      </c>
      <c r="BS168" s="253" t="n">
        <v>1</v>
      </c>
      <c r="BT168" s="253" t="n">
        <v>1</v>
      </c>
      <c r="BU168" s="253" t="n">
        <v>-1</v>
      </c>
      <c r="BV168" s="253" t="n">
        <v>3</v>
      </c>
      <c r="BW168" s="253" t="n">
        <v>0</v>
      </c>
      <c r="BX168" s="253" t="n">
        <v>0</v>
      </c>
      <c r="BY168" s="254">
        <f>0</f>
        <v>0</v>
      </c>
      <c r="BZ168" s="254">
        <f>0</f>
        <v>0</v>
      </c>
      <c r="CA168" s="254">
        <f>SUM(BW168:BZ168)</f>
        <v>0</v>
      </c>
      <c r="CB168" s="254">
        <f>0</f>
        <v>0</v>
      </c>
      <c r="CC168" s="254">
        <f>0</f>
        <v>0</v>
      </c>
      <c r="CD168" s="254">
        <f>0</f>
        <v>0</v>
      </c>
      <c r="CE168" s="254">
        <f>0</f>
        <v>0</v>
      </c>
      <c r="CF168" s="19" t="n"/>
    </row>
    <row r="169" ht="15" customHeight="1" s="251">
      <c r="B169" s="16" t="inlineStr">
        <is>
          <t>Total expenses</t>
        </is>
      </c>
      <c r="C169" s="262">
        <f>IF(ISNUMBER(C164),C164+C165+C166+C167+C168,"")</f>
        <v>777.6</v>
      </c>
      <c r="D169" s="262">
        <f>IF(ISNUMBER(D164),D164+D165+D166+D167+D168,"")</f>
        <v>1128</v>
      </c>
      <c r="E169" s="262">
        <f>IF(ISNUMBER(E164),E164+E165+E166+E167+E168,"")</f>
        <v>1007.2</v>
      </c>
      <c r="F169" s="262">
        <f>IF(ISNUMBER(F164),F164+F165+F166+F167+F168,"")</f>
        <v>1109.7</v>
      </c>
      <c r="G169" s="262">
        <f>IF(ISNUMBER(G164),G164+G165+G166+G167+G168,"")</f>
        <v>1259.2</v>
      </c>
      <c r="H169" s="262">
        <f>IF(ISNUMBER(H164),H164+H165+H166+H167+H168,"")</f>
        <v>1392.3</v>
      </c>
      <c r="I169" s="262">
        <f>IF(ISNUMBER(I164),I164+I165+I166+I167+I168,"")</f>
        <v>1652.9</v>
      </c>
      <c r="J169" s="262">
        <f>IF(ISNUMBER(J164),J164+J165+J166+J167+J168,"")</f>
        <v>451.4</v>
      </c>
      <c r="K169" s="262">
        <f>IF(ISNUMBER(K164),K164+K165+K166+K167+K168,"")</f>
        <v>405.2</v>
      </c>
      <c r="L169" s="262">
        <f>IF(ISNUMBER(L164),L164+L165+L166+L167+L168,"")</f>
        <v>414</v>
      </c>
      <c r="M169" s="262">
        <f>IF(ISNUMBER(M164),M164+M165+M166+M167+M168,"")</f>
        <v>467.3</v>
      </c>
      <c r="N169" s="262">
        <f>IF(ISNUMBER(N164),N164+N165+N166+N167+N168,"")</f>
        <v>1737.9</v>
      </c>
      <c r="O169" s="262">
        <f>IF(ISNUMBER(O164),O164+O165+O166+O167+O168,"")</f>
        <v>434.2</v>
      </c>
      <c r="P169" s="262">
        <f>IF(ISNUMBER(P164),P164+P165+P166+P167+P168,"")</f>
        <v>461.8</v>
      </c>
      <c r="Q169" s="262">
        <f>IF(ISNUMBER(Q164),Q164+Q165+Q166+Q167+Q168,"")</f>
        <v>466.4</v>
      </c>
      <c r="R169" s="262">
        <f>IF(ISNUMBER(R164),R164+R165+R166+R167+R168,"")</f>
        <v>532.8</v>
      </c>
      <c r="S169" s="262">
        <f>IF(ISNUMBER(S164),S164+S165+S166+S167+S168,"")</f>
        <v>1895.2</v>
      </c>
      <c r="T169" s="262">
        <f>IF(ISNUMBER(T164),T164+T165+T166+T167+T168,"")</f>
        <v>494.3</v>
      </c>
      <c r="U169" s="262">
        <f>IF(ISNUMBER(U164),U164+U165+U166+U167+U168,"")</f>
        <v>498.8</v>
      </c>
      <c r="V169" s="262">
        <f>IF(ISNUMBER(V164),V164+V165+V166+V167+V168,"")</f>
        <v>485.2</v>
      </c>
      <c r="W169" s="262">
        <f>IF(ISNUMBER(W164),W164+W165+W166+W167+W168,"")</f>
        <v>532.8</v>
      </c>
      <c r="X169" s="262">
        <f>IF(ISNUMBER(X164),X164+X165+X166+X167+X168,"")</f>
        <v>2011.1</v>
      </c>
      <c r="Y169" s="262">
        <f>IF(ISNUMBER(Y164),Y164+Y165+Y166+Y167+Y168,"")</f>
        <v>512</v>
      </c>
      <c r="Z169" s="262">
        <f>IF(ISNUMBER(Z164),Z164+Z165+Z166+Z167+Z168,"")</f>
        <v>518.7</v>
      </c>
      <c r="AA169" s="262">
        <f>IF(ISNUMBER(AA164),AA164+AA165+AA166+AA167+AA168,"")</f>
        <v>519.6</v>
      </c>
      <c r="AB169" s="262">
        <f>IF(ISNUMBER(AB164),AB164+AB165+AB166+AB167+AB168,"")</f>
        <v>1415.2</v>
      </c>
      <c r="AC169" s="262">
        <f>IF(ISNUMBER(AC164),AC164+AC165+AC166+AC167+AC168,"")</f>
        <v>2965.5</v>
      </c>
      <c r="AD169" s="262">
        <f>IF(ISNUMBER(AD164),AD164+AD165+AD166+AD167+AD168,"")</f>
        <v>531.8</v>
      </c>
      <c r="AE169" s="262">
        <f>IF(ISNUMBER(AE164),AE164+AE165+AE166+AE167+AE168,"")</f>
        <v>543</v>
      </c>
      <c r="AF169" s="262">
        <f>IF(ISNUMBER(AF164),AF164+AF165+AF166+AF167+AF168,"")</f>
        <v>617.5</v>
      </c>
      <c r="AG169" s="262">
        <f>IF(ISNUMBER(AG164),AG164+AG165+AG166+AG167+AG168,"")</f>
        <v>702.7</v>
      </c>
      <c r="AH169" s="262">
        <f>IF(ISNUMBER(AH164),AH164+AH165+AH166+AH167+AH168,"")</f>
        <v>2395</v>
      </c>
      <c r="AI169" s="262">
        <f>IF(ISNUMBER(AI164),AI164+AI165+AI166+AI167+AI168,"")</f>
        <v>635.9</v>
      </c>
      <c r="AJ169" s="262">
        <f>IF(ISNUMBER(AJ164),AJ164+AJ165+AJ166+AJ167+AJ168,"")</f>
        <v>641.1</v>
      </c>
      <c r="AK169" s="262">
        <f>IF(ISNUMBER(AK164),AK164+AK165+AK166+AK167+AK168,"")</f>
        <v>614</v>
      </c>
      <c r="AL169" s="262">
        <f>IF(ISNUMBER(AL164),AL164+AL165+AL166+AL167+AL168,"")</f>
        <v>683.5</v>
      </c>
      <c r="AM169" s="262">
        <f>IF(ISNUMBER(AM164),AM164+AM165+AM166+AM167+AM168,"")</f>
        <v>2574.5</v>
      </c>
      <c r="AN169" s="262">
        <f>IF(ISNUMBER(AN164),AN164+AN165+AN166+AN167+AN168,"")</f>
        <v>680.4</v>
      </c>
      <c r="AO169" s="262">
        <f>IF(ISNUMBER(AO164),AO164+AO165+AO166+AO167+AO168,"")</f>
        <v>730.1</v>
      </c>
      <c r="AP169" s="262">
        <f>IF(ISNUMBER(AP164),AP164+AP165+AP166+AP167+AP168,"")</f>
        <v>691.7</v>
      </c>
      <c r="AQ169" s="262">
        <f>IF(ISNUMBER(AQ164),AQ164+AQ165+AQ166+AQ167+AQ168,"")</f>
        <v>729</v>
      </c>
      <c r="AR169" s="262">
        <f>IF(ISNUMBER(AR164),AR164+AR165+AR166+AR167+AR168,"")</f>
        <v>2831</v>
      </c>
      <c r="AS169" s="262">
        <f>IF(ISNUMBER(AS164),AS164+AS165+AS166+AS167+AS168,"")</f>
        <v>698</v>
      </c>
      <c r="AT169" s="262">
        <f>IF(ISNUMBER(AT164),AT164+AT165+AT166+AT167+AT168,"")</f>
        <v>725</v>
      </c>
      <c r="AU169" s="262">
        <f>IF(ISNUMBER(AU164),AU164+AU165+AU166+AU167+AU168,"")</f>
        <v>714</v>
      </c>
      <c r="AV169" s="262">
        <f>IF(ISNUMBER(AV164),AV164+AV165+AV166+AV167+AV168,"")</f>
        <v>846</v>
      </c>
      <c r="AW169" s="262">
        <f>IF(ISNUMBER(AW164),AW164+AW165+AW166+AW167+AW168,"")</f>
        <v>2983</v>
      </c>
      <c r="AX169" s="262">
        <f>IF(ISNUMBER(AX164),AX164+AX165+AX166+AX167+AX168,"")</f>
        <v>747</v>
      </c>
      <c r="AY169" s="262">
        <f>IF(ISNUMBER(AY164),AY164+AY165+AY166+AY167+AY168,"")</f>
        <v>752</v>
      </c>
      <c r="AZ169" s="262">
        <f>IF(ISNUMBER(AZ164),AZ164+AZ165+AZ166+AZ167+AZ168,"")</f>
        <v>850</v>
      </c>
      <c r="BA169" s="262">
        <f>IF(ISNUMBER(BA164),BA164+BA165+BA166+BA167+BA168,"")</f>
        <v>1025</v>
      </c>
      <c r="BB169" s="262">
        <f>IF(ISNUMBER(BB164),BB164+BB165+BB166+BB167+BB168,"")</f>
        <v>3374</v>
      </c>
      <c r="BC169" s="262">
        <f>IF(ISNUMBER(BC164),BC164+BC165+BC166+BC167+BC168,"")</f>
        <v>866</v>
      </c>
      <c r="BD169" s="262">
        <f>IF(ISNUMBER(BD164),BD164+BD165+BD166+BD167+BD168,"")</f>
        <v>873</v>
      </c>
      <c r="BE169" s="262">
        <f>IF(ISNUMBER(BE164),BE164+BE165+BE166+BE167+BE168,"")</f>
        <v>862</v>
      </c>
      <c r="BF169" s="262">
        <f>IF(ISNUMBER(BF164),BF164+BF165+BF166+BF167+BF168,"")</f>
        <v>984</v>
      </c>
      <c r="BG169" s="262">
        <f>IF(ISNUMBER(BG164),BG164+BG165+BG166+BG167+BG168,"")</f>
        <v>3585</v>
      </c>
      <c r="BH169" s="262">
        <f>IF(ISNUMBER(BH164),BH164+BH165+BH166+BH167+BH168,"")</f>
        <v>916</v>
      </c>
      <c r="BI169" s="262">
        <f>IF(ISNUMBER(BI164),BI164+BI165+BI166+BI167+BI168,"")</f>
        <v>944</v>
      </c>
      <c r="BJ169" s="262">
        <f>IF(ISNUMBER(BJ164),BJ164+BJ165+BJ166+BJ167+BJ168,"")</f>
        <v>937</v>
      </c>
      <c r="BK169" s="262">
        <f>IF(ISNUMBER(BK164),BK164+BK165+BK166+BK167+BK168,"")</f>
        <v>982</v>
      </c>
      <c r="BL169" s="262">
        <f>IF(ISNUMBER(BL164),BL164+BL165+BL166+BL167+BL168,"")</f>
        <v>3779</v>
      </c>
      <c r="BM169" s="262">
        <f>IF(ISNUMBER(BM164),BM164+BM165+BM166+BM167+BM168,"")</f>
        <v>985</v>
      </c>
      <c r="BN169" s="262">
        <f>IF(ISNUMBER(BN164),BN164+BN165+BN166+BN167+BN168,"")</f>
        <v>1042</v>
      </c>
      <c r="BO169" s="262">
        <f>IF(ISNUMBER(BO164),BO164+BO165+BO166+BO167+BO168,"")</f>
        <v>1075</v>
      </c>
      <c r="BP169" s="262">
        <f>IF(ISNUMBER(BP164),BP164+BP165+BP166+BP167+BP168,"")</f>
        <v>1111</v>
      </c>
      <c r="BQ169" s="262">
        <f>IF(ISNUMBER(BQ164),BQ164+BQ165+BQ166+BQ167+BQ168,"")</f>
        <v>4213</v>
      </c>
      <c r="BR169" s="262">
        <f>IF(ISNUMBER(BR164),BR164+BR165+BR166+BR167+BR168,"")</f>
        <v>1078</v>
      </c>
      <c r="BS169" s="262">
        <f>IF(ISNUMBER(BS164),BS164+BS165+BS166+BS167+BS168,"")</f>
        <v>1080</v>
      </c>
      <c r="BT169" s="262">
        <f>IF(ISNUMBER(BT164),BT164+BT165+BT166+BT167+BT168,"")</f>
        <v>1090</v>
      </c>
      <c r="BU169" s="262">
        <f>IF(ISNUMBER(BU164),BU164+BU165+BU166+BU167+BU168,"")</f>
        <v>1119</v>
      </c>
      <c r="BV169" s="262">
        <f>IF(ISNUMBER(BV164),BV164+BV165+BV166+BV167+BV168,"")</f>
        <v>4367</v>
      </c>
      <c r="BW169" s="262">
        <f>IF(ISNUMBER(BW164),BW164+BW165+BW166+BW167+BW168,"")</f>
        <v>1157</v>
      </c>
      <c r="BX169" s="262">
        <f>IF(ISNUMBER(BX164),BX164+BX165+BX166+BX167+BX168,"")</f>
        <v>1139</v>
      </c>
      <c r="BY169" s="263">
        <f>IF(ISNUMBER(BY164),BY164+BY165+BY166+BY167+BY168,"")</f>
        <v>1124.73084866597</v>
      </c>
      <c r="BZ169" s="263">
        <f>IF(ISNUMBER(BZ164),BZ164+BZ165+BZ166+BZ167+BZ168,"")</f>
        <v>1152.25715595329</v>
      </c>
      <c r="CA169" s="263">
        <f>IF(ISNUMBER(CA164),CA164+CA165+CA166+CA167+CA168,"")</f>
        <v>4572.98800461926</v>
      </c>
      <c r="CB169" s="263">
        <f>IF(ISNUMBER(CB164),CB164+CB165+CB166+CB167+CB168,"")</f>
        <v>4728.73899551004</v>
      </c>
      <c r="CC169" s="263">
        <f>IF(ISNUMBER(CC164),CC164+CC165+CC166+CC167+CC168,"")</f>
        <v>4904.51624872936</v>
      </c>
      <c r="CD169" s="263">
        <f>IF(ISNUMBER(CD164),CD164+CD165+CD166+CD167+CD168,"")</f>
        <v>5137.81801146682</v>
      </c>
      <c r="CE169" s="263">
        <f>IF(ISNUMBER(CE164),CE164+CE165+CE166+CE167+CE168,"")</f>
        <v>5361.65270592251</v>
      </c>
      <c r="CF169" s="153" t="n"/>
    </row>
    <row r="170" ht="15" customHeight="1" s="251">
      <c r="B170" s="55" t="inlineStr">
        <is>
          <t>Operating income</t>
        </is>
      </c>
      <c r="C170" s="275">
        <f>IF(ISNUMBER(C169),C163-C169,"")</f>
        <v>1259.5</v>
      </c>
      <c r="D170" s="275">
        <f>IF(ISNUMBER(D169),D163-D169,"")</f>
        <v>1131</v>
      </c>
      <c r="E170" s="275">
        <f>IF(ISNUMBER(E169),E163-E169,"")</f>
        <v>748.2</v>
      </c>
      <c r="F170" s="275">
        <f>IF(ISNUMBER(F169),F163-F169,"")</f>
        <v>687.5</v>
      </c>
      <c r="G170" s="275">
        <f>IF(ISNUMBER(G169),G163-G169,"")</f>
        <v>772.8</v>
      </c>
      <c r="H170" s="275">
        <f>IF(ISNUMBER(H169),H163-H169,"")</f>
        <v>888.4</v>
      </c>
      <c r="I170" s="275">
        <f>IF(ISNUMBER(I169),I163-I169,"")</f>
        <v>1077.4</v>
      </c>
      <c r="J170" s="275">
        <f>IF(ISNUMBER(J169),J163-J169,"")</f>
        <v>280.4</v>
      </c>
      <c r="K170" s="275">
        <f>IF(ISNUMBER(K169),K163-K169,"")</f>
        <v>350.8</v>
      </c>
      <c r="L170" s="275">
        <f>IF(ISNUMBER(L169),L163-L169,"")</f>
        <v>291.5</v>
      </c>
      <c r="M170" s="275">
        <f>IF(ISNUMBER(M169),M163-M169,"")</f>
        <v>311.9</v>
      </c>
      <c r="N170" s="275">
        <f>IF(ISNUMBER(N169),N163-N169,"")</f>
        <v>1234.6</v>
      </c>
      <c r="O170" s="275">
        <f>IF(ISNUMBER(O169),O163-O169,"")</f>
        <v>333</v>
      </c>
      <c r="P170" s="275">
        <f>IF(ISNUMBER(P169),P163-P169,"")</f>
        <v>411.7</v>
      </c>
      <c r="Q170" s="275">
        <f>IF(ISNUMBER(Q169),Q163-Q169,"")</f>
        <v>349.7</v>
      </c>
      <c r="R170" s="275">
        <f>IF(ISNUMBER(R169),R163-R169,"")</f>
        <v>344.7</v>
      </c>
      <c r="S170" s="275">
        <f>IF(ISNUMBER(S169),S163-S169,"")</f>
        <v>1439.1</v>
      </c>
      <c r="T170" s="275">
        <f>IF(ISNUMBER(T169),T163-T169,"")</f>
        <v>371.3</v>
      </c>
      <c r="U170" s="275">
        <f>IF(ISNUMBER(U169),U163-U169,"")</f>
        <v>419.3</v>
      </c>
      <c r="V170" s="275">
        <f>IF(ISNUMBER(V169),V163-V169,"")</f>
        <v>349.7</v>
      </c>
      <c r="W170" s="275">
        <f>IF(ISNUMBER(W169),W163-W169,"")</f>
        <v>333.1</v>
      </c>
      <c r="X170" s="275">
        <f>IF(ISNUMBER(X169),X163-X169,"")</f>
        <v>1473.4</v>
      </c>
      <c r="Y170" s="275">
        <f>IF(ISNUMBER(Y169),Y163-Y169,"")</f>
        <v>304.1</v>
      </c>
      <c r="Z170" s="275">
        <f>IF(ISNUMBER(Z169),Z163-Z169,"")</f>
        <v>410.2</v>
      </c>
      <c r="AA170" s="275">
        <f>IF(ISNUMBER(AA169),AA163-AA169,"")</f>
        <v>397.5</v>
      </c>
      <c r="AB170" s="275">
        <f>IF(ISNUMBER(AB169),AB163-AB169,"")</f>
        <v>-473.1</v>
      </c>
      <c r="AC170" s="275">
        <f>IF(ISNUMBER(AC169),AC163-AC169,"")</f>
        <v>638.7</v>
      </c>
      <c r="AD170" s="275">
        <f>IF(ISNUMBER(AD169),AD163-AD169,"")</f>
        <v>443.4</v>
      </c>
      <c r="AE170" s="275">
        <f>IF(ISNUMBER(AE169),AE163-AE169,"")</f>
        <v>457.5</v>
      </c>
      <c r="AF170" s="275">
        <f>IF(ISNUMBER(AF169),AF163-AF169,"")</f>
        <v>445.4</v>
      </c>
      <c r="AG170" s="275">
        <f>IF(ISNUMBER(AG169),AG163-AG169,"")</f>
        <v>462.8</v>
      </c>
      <c r="AH170" s="275">
        <f>IF(ISNUMBER(AH169),AH163-AH169,"")</f>
        <v>1809.1</v>
      </c>
      <c r="AI170" s="275">
        <f>IF(ISNUMBER(AI169),AI163-AI169,"")</f>
        <v>490.8</v>
      </c>
      <c r="AJ170" s="275">
        <f>IF(ISNUMBER(AJ169),AJ163-AJ169,"")</f>
        <v>534</v>
      </c>
      <c r="AK170" s="275">
        <f>IF(ISNUMBER(AK169),AK163-AK169,"")</f>
        <v>466.8</v>
      </c>
      <c r="AL170" s="275">
        <f>IF(ISNUMBER(AL169),AL163-AL169,"")</f>
        <v>376.6</v>
      </c>
      <c r="AM170" s="275">
        <f>IF(ISNUMBER(AM169),AM163-AM169,"")</f>
        <v>1868.2</v>
      </c>
      <c r="AN170" s="275">
        <f>IF(ISNUMBER(AN169),AN163-AN169,"")</f>
        <v>461.7</v>
      </c>
      <c r="AO170" s="275">
        <f>IF(ISNUMBER(AO169),AO163-AO169,"")</f>
        <v>483.5</v>
      </c>
      <c r="AP170" s="275">
        <f>IF(ISNUMBER(AP169),AP163-AP169,"")</f>
        <v>548.8</v>
      </c>
      <c r="AQ170" s="275">
        <f>IF(ISNUMBER(AQ169),AQ163-AQ169,"")</f>
        <v>504</v>
      </c>
      <c r="AR170" s="275">
        <f>IF(ISNUMBER(AR169),AR163-AR169,"")</f>
        <v>1998</v>
      </c>
      <c r="AS170" s="275">
        <f>IF(ISNUMBER(AS169),AS163-AS169,"")</f>
        <v>592</v>
      </c>
      <c r="AT170" s="275">
        <f>IF(ISNUMBER(AT169),AT163-AT169,"")</f>
        <v>710</v>
      </c>
      <c r="AU170" s="275">
        <f>IF(ISNUMBER(AU169),AU163-AU169,"")</f>
        <v>642</v>
      </c>
      <c r="AV170" s="275">
        <f>IF(ISNUMBER(AV169),AV163-AV169,"")</f>
        <v>444</v>
      </c>
      <c r="AW170" s="275">
        <f>IF(ISNUMBER(AW169),AW163-AW169,"")</f>
        <v>2388</v>
      </c>
      <c r="AX170" s="275">
        <f>IF(ISNUMBER(AX169),AX163-AX169,"")</f>
        <v>853</v>
      </c>
      <c r="AY170" s="275">
        <f>IF(ISNUMBER(AY169),AY163-AY169,"")</f>
        <v>801</v>
      </c>
      <c r="AZ170" s="275">
        <f>IF(ISNUMBER(AZ169),AZ163-AZ169,"")</f>
        <v>676</v>
      </c>
      <c r="BA170" s="275">
        <f>IF(ISNUMBER(BA169),BA163-BA169,"")</f>
        <v>514</v>
      </c>
      <c r="BB170" s="275">
        <f>IF(ISNUMBER(BB169),BB163-BB169,"")</f>
        <v>2844</v>
      </c>
      <c r="BC170" s="275">
        <f>IF(ISNUMBER(BC169),BC163-BC169,"")</f>
        <v>656</v>
      </c>
      <c r="BD170" s="275">
        <f>IF(ISNUMBER(BD169),BD163-BD169,"")</f>
        <v>508</v>
      </c>
      <c r="BE170" s="275">
        <f>IF(ISNUMBER(BE169),BE163-BE169,"")</f>
        <v>413</v>
      </c>
      <c r="BF170" s="275">
        <f>IF(ISNUMBER(BF169),BF163-BF169,"")</f>
        <v>306</v>
      </c>
      <c r="BG170" s="275">
        <f>IF(ISNUMBER(BG169),BG163-BG169,"")</f>
        <v>1883</v>
      </c>
      <c r="BH170" s="275">
        <f>IF(ISNUMBER(BH169),BH163-BH169,"")</f>
        <v>554</v>
      </c>
      <c r="BI170" s="275">
        <f>IF(ISNUMBER(BI169),BI163-BI169,"")</f>
        <v>550</v>
      </c>
      <c r="BJ170" s="275">
        <f>IF(ISNUMBER(BJ169),BJ163-BJ169,"")</f>
        <v>535</v>
      </c>
      <c r="BK170" s="275">
        <f>IF(ISNUMBER(BK169),BK163-BK169,"")</f>
        <v>498</v>
      </c>
      <c r="BL170" s="275">
        <f>IF(ISNUMBER(BL169),BL163-BL169,"")</f>
        <v>2137</v>
      </c>
      <c r="BM170" s="275">
        <f>IF(ISNUMBER(BM169),BM163-BM169,"")</f>
        <v>801</v>
      </c>
      <c r="BN170" s="275">
        <f>IF(ISNUMBER(BN169),BN163-BN169,"")</f>
        <v>775</v>
      </c>
      <c r="BO170" s="275">
        <f>IF(ISNUMBER(BO169),BO163-BO169,"")</f>
        <v>738</v>
      </c>
      <c r="BP170" s="275">
        <f>IF(ISNUMBER(BP169),BP163-BP169,"")</f>
        <v>561</v>
      </c>
      <c r="BQ170" s="275">
        <f>IF(ISNUMBER(BQ169),BQ163-BQ169,"")</f>
        <v>2875</v>
      </c>
      <c r="BR170" s="275">
        <f>IF(ISNUMBER(BR169),BR163-BR169,"")</f>
        <v>846</v>
      </c>
      <c r="BS170" s="275">
        <f>IF(ISNUMBER(BS169),BS163-BS169,"")</f>
        <v>818</v>
      </c>
      <c r="BT170" s="275">
        <f>IF(ISNUMBER(BT169),BT163-BT169,"")</f>
        <v>917</v>
      </c>
      <c r="BU170" s="275">
        <f>IF(ISNUMBER(BU169),BU163-BU169,"")</f>
        <v>770</v>
      </c>
      <c r="BV170" s="275">
        <f>IF(ISNUMBER(BV169),BV163-BV169,"")</f>
        <v>3351</v>
      </c>
      <c r="BW170" s="275">
        <f>IF(ISNUMBER(BW169),BW163-BW169,"")</f>
        <v>922</v>
      </c>
      <c r="BX170" s="275">
        <f>IF(ISNUMBER(BX169),BX163-BX169,"")</f>
        <v>1046</v>
      </c>
      <c r="BY170" s="275">
        <f>BY113-BY149-BY154-BY155</f>
        <v>915.362532557667</v>
      </c>
      <c r="BZ170" s="275">
        <f>BZ113-BZ149-BZ154-BZ155</f>
        <v>771.119462823072</v>
      </c>
      <c r="CA170" s="275">
        <f>CA113-CA149-CA154-CA155</f>
        <v>3654.48199538074</v>
      </c>
      <c r="CB170" s="275">
        <f>CB113-CB149-CB154-CB155</f>
        <v>4091.70313375746</v>
      </c>
      <c r="CC170" s="275">
        <f>CC113-CC149-CC154-CC155</f>
        <v>4514.71049359008</v>
      </c>
      <c r="CD170" s="275">
        <f>CD113-CD149-CD154-CD155</f>
        <v>4889.41469951407</v>
      </c>
      <c r="CE170" s="275">
        <f>CE113-CE149-CE154-CE155</f>
        <v>5268.05801280658</v>
      </c>
      <c r="CF170" s="153" t="inlineStr">
        <is>
          <t>Forecast = Adjusted Operating Income − D&amp;A − restructuring − other excluded items.</t>
        </is>
      </c>
      <c r="CH170" s="20">
        <f>IFERROR((CE170/BV170)^(1/5)-1,"n/m")</f>
        <v>0.0947002674845665</v>
      </c>
      <c r="CI170" s="20">
        <f>IFERROR((BV170/AW170)^(1/5)-1,"n/m")</f>
        <v>0.0701090109157332</v>
      </c>
      <c r="CJ170" s="20">
        <f>IFERROR((BV170/X170)^(1/10)-1,"n/m")</f>
        <v>0.0856388497708334</v>
      </c>
      <c r="CK170" s="20">
        <f>IFERROR((BV170/C170)^(1/19)-1,"n/m")</f>
        <v>0.052851624025646</v>
      </c>
    </row>
    <row r="171" ht="15" customHeight="1" s="251">
      <c r="B171" s="25" t="inlineStr">
        <is>
          <t xml:space="preserve">  Operating margin %</t>
        </is>
      </c>
      <c r="C171" s="215">
        <f>IF(AND(ISNUMBER(C170),ISNUMBER(C163)),IFERROR(C170/C163,""),"")</f>
        <v>0.618280889499779</v>
      </c>
      <c r="D171" s="215">
        <f>IF(AND(ISNUMBER(D170),ISNUMBER(D163)),IFERROR(D170/D163,""),"")</f>
        <v>0.50066401062417</v>
      </c>
      <c r="E171" s="215">
        <f>IF(AND(ISNUMBER(E170),ISNUMBER(E163)),IFERROR(E170/E163,""),"")</f>
        <v>0.426227640423835</v>
      </c>
      <c r="F171" s="215">
        <f>IF(AND(ISNUMBER(F170),ISNUMBER(F163)),IFERROR(F170/F163,""),"")</f>
        <v>0.382539505898064</v>
      </c>
      <c r="G171" s="215">
        <f>IF(AND(ISNUMBER(G170),ISNUMBER(G163)),IFERROR(G170/G163,""),"")</f>
        <v>0.380314960629921</v>
      </c>
      <c r="H171" s="215">
        <f>IF(AND(ISNUMBER(H170),ISNUMBER(H163)),IFERROR(H170/H163,""),"")</f>
        <v>0.389529530407331</v>
      </c>
      <c r="I171" s="215">
        <f>IF(AND(ISNUMBER(I170),ISNUMBER(I163)),IFERROR(I170/I163,""),"")</f>
        <v>0.394608651063986</v>
      </c>
      <c r="J171" s="215">
        <f>IF(AND(ISNUMBER(J170),ISNUMBER(J163)),IFERROR(J170/J163,""),"")</f>
        <v>0.383164799125444</v>
      </c>
      <c r="K171" s="215">
        <f>IF(AND(ISNUMBER(K170),ISNUMBER(K163)),IFERROR(K170/K163,""),"")</f>
        <v>0.464021164021164</v>
      </c>
      <c r="L171" s="215">
        <f>IF(AND(ISNUMBER(L170),ISNUMBER(L163)),IFERROR(L170/L163,""),"")</f>
        <v>0.41318214032601</v>
      </c>
      <c r="M171" s="215">
        <f>IF(AND(ISNUMBER(M170),ISNUMBER(M163)),IFERROR(M170/M163,""),"")</f>
        <v>0.400282340862423</v>
      </c>
      <c r="N171" s="215">
        <f>IF(AND(ISNUMBER(N170),ISNUMBER(N163)),IFERROR(N170/N163,""),"")</f>
        <v>0.415340622371741</v>
      </c>
      <c r="O171" s="215">
        <f>IF(AND(ISNUMBER(O170),ISNUMBER(O163)),IFERROR(O170/O163,""),"")</f>
        <v>0.434045881126173</v>
      </c>
      <c r="P171" s="215">
        <f>IF(AND(ISNUMBER(P170),ISNUMBER(P163)),IFERROR(P170/P163,""),"")</f>
        <v>0.471322266742988</v>
      </c>
      <c r="Q171" s="215">
        <f>IF(AND(ISNUMBER(Q170),ISNUMBER(Q163)),IFERROR(Q170/Q163,""),"")</f>
        <v>0.428501409141037</v>
      </c>
      <c r="R171" s="215">
        <f>IF(AND(ISNUMBER(R170),ISNUMBER(R163)),IFERROR(R170/R163,""),"")</f>
        <v>0.392820512820513</v>
      </c>
      <c r="S171" s="215">
        <f>IF(AND(ISNUMBER(S170),ISNUMBER(S163)),IFERROR(S170/S163,""),"")</f>
        <v>0.431604834597967</v>
      </c>
      <c r="T171" s="215">
        <f>IF(AND(ISNUMBER(T170),ISNUMBER(T163)),IFERROR(T170/T163,""),"")</f>
        <v>0.428951016635859</v>
      </c>
      <c r="U171" s="215">
        <f>IF(AND(ISNUMBER(U170),ISNUMBER(U163)),IFERROR(U170/U163,""),"")</f>
        <v>0.456704062738264</v>
      </c>
      <c r="V171" s="215">
        <f>IF(AND(ISNUMBER(V170),ISNUMBER(V163)),IFERROR(V170/V163,""),"")</f>
        <v>0.418852557192478</v>
      </c>
      <c r="W171" s="215">
        <f>IF(AND(ISNUMBER(W170),ISNUMBER(W163)),IFERROR(W170/W163,""),"")</f>
        <v>0.384686453401086</v>
      </c>
      <c r="X171" s="215">
        <f>IF(AND(ISNUMBER(X170),ISNUMBER(X163)),IFERROR(X170/X163,""),"")</f>
        <v>0.422844023532788</v>
      </c>
      <c r="Y171" s="215">
        <f>IF(AND(ISNUMBER(Y170),ISNUMBER(Y163)),IFERROR(Y170/Y163,""),"")</f>
        <v>0.372625903688274</v>
      </c>
      <c r="Z171" s="215">
        <f>IF(AND(ISNUMBER(Z170),ISNUMBER(Z163)),IFERROR(Z170/Z163,""),"")</f>
        <v>0.441597588545592</v>
      </c>
      <c r="AA171" s="215">
        <f>IF(AND(ISNUMBER(AA170),ISNUMBER(AA163)),IFERROR(AA170/AA163,""),"")</f>
        <v>0.433431468760222</v>
      </c>
      <c r="AB171" s="215">
        <f>IF(AND(ISNUMBER(AB170),ISNUMBER(AB163)),IFERROR(AB170/AB163,""),"")</f>
        <v>-0.502175989809999</v>
      </c>
      <c r="AC171" s="215">
        <f>IF(AND(ISNUMBER(AC170),ISNUMBER(AC163)),IFERROR(AC170/AC163,""),"")</f>
        <v>0.177209921757949</v>
      </c>
      <c r="AD171" s="215">
        <f>IF(AND(ISNUMBER(AD170),ISNUMBER(AD163)),IFERROR(AD170/AD163,""),"")</f>
        <v>0.45467596390484</v>
      </c>
      <c r="AE171" s="215">
        <f>IF(AND(ISNUMBER(AE170),ISNUMBER(AE163)),IFERROR(AE170/AE163,""),"")</f>
        <v>0.457271364317841</v>
      </c>
      <c r="AF171" s="215">
        <f>IF(AND(ISNUMBER(AF170),ISNUMBER(AF163)),IFERROR(AF170/AF163,""),"")</f>
        <v>0.419042242920312</v>
      </c>
      <c r="AG171" s="215">
        <f>IF(AND(ISNUMBER(AG170),ISNUMBER(AG163)),IFERROR(AG170/AG163,""),"")</f>
        <v>0.397082797082797</v>
      </c>
      <c r="AH171" s="215">
        <f>IF(AND(ISNUMBER(AH170),ISNUMBER(AH163)),IFERROR(AH170/AH163,""),"")</f>
        <v>0.430318022882424</v>
      </c>
      <c r="AI171" s="215">
        <f>IF(AND(ISNUMBER(AI170),ISNUMBER(AI163)),IFERROR(AI170/AI163,""),"")</f>
        <v>0.43560841395225</v>
      </c>
      <c r="AJ171" s="215">
        <f>IF(AND(ISNUMBER(AJ170),ISNUMBER(AJ163)),IFERROR(AJ170/AJ163,""),"")</f>
        <v>0.454429410262956</v>
      </c>
      <c r="AK171" s="215">
        <f>IF(AND(ISNUMBER(AK170),ISNUMBER(AK163)),IFERROR(AK170/AK163,""),"")</f>
        <v>0.431902294596595</v>
      </c>
      <c r="AL171" s="215">
        <f>IF(AND(ISNUMBER(AL170),ISNUMBER(AL163)),IFERROR(AL170/AL163,""),"")</f>
        <v>0.355249504763702</v>
      </c>
      <c r="AM171" s="215">
        <f>IF(AND(ISNUMBER(AM170),ISNUMBER(AM163)),IFERROR(AM170/AM163,""),"")</f>
        <v>0.420510050194701</v>
      </c>
      <c r="AN171" s="215">
        <f>IF(AND(ISNUMBER(AN170),ISNUMBER(AN163)),IFERROR(AN170/AN163,""),"")</f>
        <v>0.404255319148936</v>
      </c>
      <c r="AO171" s="215">
        <f>IF(AND(ISNUMBER(AO170),ISNUMBER(AO163)),IFERROR(AO170/AO163,""),"")</f>
        <v>0.398401450230719</v>
      </c>
      <c r="AP171" s="215">
        <f>IF(AND(ISNUMBER(AP170),ISNUMBER(AP163)),IFERROR(AP170/AP163,""),"")</f>
        <v>0.442402257154373</v>
      </c>
      <c r="AQ171" s="215">
        <f>IF(AND(ISNUMBER(AQ170),ISNUMBER(AQ163)),IFERROR(AQ170/AQ163,""),"")</f>
        <v>0.408759124087591</v>
      </c>
      <c r="AR171" s="215">
        <f>IF(AND(ISNUMBER(AR170),ISNUMBER(AR163)),IFERROR(AR170/AR163,""),"")</f>
        <v>0.413750258852765</v>
      </c>
      <c r="AS171" s="215">
        <f>IF(AND(ISNUMBER(AS170),ISNUMBER(AS163)),IFERROR(AS170/AS163,""),"")</f>
        <v>0.458914728682171</v>
      </c>
      <c r="AT171" s="215">
        <f>IF(AND(ISNUMBER(AT170),ISNUMBER(AT163)),IFERROR(AT170/AT163,""),"")</f>
        <v>0.494773519163763</v>
      </c>
      <c r="AU171" s="215">
        <f>IF(AND(ISNUMBER(AU170),ISNUMBER(AU163)),IFERROR(AU170/AU163,""),"")</f>
        <v>0.473451327433628</v>
      </c>
      <c r="AV171" s="215">
        <f>IF(AND(ISNUMBER(AV170),ISNUMBER(AV163)),IFERROR(AV170/AV163,""),"")</f>
        <v>0.344186046511628</v>
      </c>
      <c r="AW171" s="215">
        <f>IF(AND(ISNUMBER(AW170),ISNUMBER(AW163)),IFERROR(AW170/AW163,""),"")</f>
        <v>0.444609942282629</v>
      </c>
      <c r="AX171" s="215">
        <f>IF(AND(ISNUMBER(AX170),ISNUMBER(AX163)),IFERROR(AX170/AX163,""),"")</f>
        <v>0.533125</v>
      </c>
      <c r="AY171" s="215">
        <f>IF(AND(ISNUMBER(AY170),ISNUMBER(AY163)),IFERROR(AY170/AY163,""),"")</f>
        <v>0.51577591757888</v>
      </c>
      <c r="AZ171" s="215">
        <f>IF(AND(ISNUMBER(AZ170),ISNUMBER(AZ163)),IFERROR(AZ170/AZ163,""),"")</f>
        <v>0.442988204456094</v>
      </c>
      <c r="BA171" s="215">
        <f>IF(AND(ISNUMBER(BA170),ISNUMBER(BA163)),IFERROR(BA170/BA163,""),"")</f>
        <v>0.33398310591293</v>
      </c>
      <c r="BB171" s="215">
        <f>IF(AND(ISNUMBER(BB170),ISNUMBER(BB163)),IFERROR(BB170/BB163,""),"")</f>
        <v>0.457381794789321</v>
      </c>
      <c r="BC171" s="215">
        <f>IF(AND(ISNUMBER(BC170),ISNUMBER(BC163)),IFERROR(BC170/BC163,""),"")</f>
        <v>0.431011826544021</v>
      </c>
      <c r="BD171" s="215">
        <f>IF(AND(ISNUMBER(BD170),ISNUMBER(BD163)),IFERROR(BD170/BD163,""),"")</f>
        <v>0.367849384503983</v>
      </c>
      <c r="BE171" s="215">
        <f>IF(AND(ISNUMBER(BE170),ISNUMBER(BE163)),IFERROR(BE170/BE163,""),"")</f>
        <v>0.323921568627451</v>
      </c>
      <c r="BF171" s="215">
        <f>IF(AND(ISNUMBER(BF170),ISNUMBER(BF163)),IFERROR(BF170/BF163,""),"")</f>
        <v>0.237209302325581</v>
      </c>
      <c r="BG171" s="215">
        <f>IF(AND(ISNUMBER(BG170),ISNUMBER(BG163)),IFERROR(BG170/BG163,""),"")</f>
        <v>0.344367227505487</v>
      </c>
      <c r="BH171" s="215">
        <f>IF(AND(ISNUMBER(BH170),ISNUMBER(BH163)),IFERROR(BH170/BH163,""),"")</f>
        <v>0.37687074829932</v>
      </c>
      <c r="BI171" s="215">
        <f>IF(AND(ISNUMBER(BI170),ISNUMBER(BI163)),IFERROR(BI170/BI163,""),"")</f>
        <v>0.36813922356091</v>
      </c>
      <c r="BJ171" s="215">
        <f>IF(AND(ISNUMBER(BJ170),ISNUMBER(BJ163)),IFERROR(BJ170/BJ163,""),"")</f>
        <v>0.363451086956522</v>
      </c>
      <c r="BK171" s="215">
        <f>IF(AND(ISNUMBER(BK170),ISNUMBER(BK163)),IFERROR(BK170/BK163,""),"")</f>
        <v>0.336486486486487</v>
      </c>
      <c r="BL171" s="215">
        <f>IF(AND(ISNUMBER(BL170),ISNUMBER(BL163)),IFERROR(BL170/BL163,""),"")</f>
        <v>0.361223799864774</v>
      </c>
      <c r="BM171" s="215">
        <f>IF(AND(ISNUMBER(BM170),ISNUMBER(BM163)),IFERROR(BM170/BM163,""),"")</f>
        <v>0.448488241881299</v>
      </c>
      <c r="BN171" s="215">
        <f>IF(AND(ISNUMBER(BN170),ISNUMBER(BN163)),IFERROR(BN170/BN163,""),"")</f>
        <v>0.42652724270776</v>
      </c>
      <c r="BO171" s="215">
        <f>IF(AND(ISNUMBER(BO170),ISNUMBER(BO163)),IFERROR(BO170/BO163,""),"")</f>
        <v>0.407060121345836</v>
      </c>
      <c r="BP171" s="215">
        <f>IF(AND(ISNUMBER(BP170),ISNUMBER(BP163)),IFERROR(BP170/BP163,""),"")</f>
        <v>0.335526315789474</v>
      </c>
      <c r="BQ171" s="215">
        <f>IF(AND(ISNUMBER(BQ170),ISNUMBER(BQ163)),IFERROR(BQ170/BQ163,""),"")</f>
        <v>0.405615124153499</v>
      </c>
      <c r="BR171" s="215">
        <f>IF(AND(ISNUMBER(BR170),ISNUMBER(BR163)),IFERROR(BR170/BR163,""),"")</f>
        <v>0.43970893970894</v>
      </c>
      <c r="BS171" s="215">
        <f>IF(AND(ISNUMBER(BS170),ISNUMBER(BS163)),IFERROR(BS170/BS163,""),"")</f>
        <v>0.430979978925184</v>
      </c>
      <c r="BT171" s="215">
        <f>IF(AND(ISNUMBER(BT170),ISNUMBER(BT163)),IFERROR(BT170/BT163,""),"")</f>
        <v>0.456900847035376</v>
      </c>
      <c r="BU171" s="215">
        <f>IF(AND(ISNUMBER(BU170),ISNUMBER(BU163)),IFERROR(BU170/BU163,""),"")</f>
        <v>0.407623080995236</v>
      </c>
      <c r="BV171" s="215">
        <f>IF(AND(ISNUMBER(BV170),ISNUMBER(BV163)),IFERROR(BV170/BV163,""),"")</f>
        <v>0.434179839336616</v>
      </c>
      <c r="BW171" s="215">
        <f>IF(AND(ISNUMBER(BW170),ISNUMBER(BW163)),IFERROR(BW170/BW163,""),"")</f>
        <v>0.443482443482444</v>
      </c>
      <c r="BX171" s="215">
        <f>IF(AND(ISNUMBER(BX170),ISNUMBER(BX163)),IFERROR(BX170/BX163,""),"")</f>
        <v>0.478718535469108</v>
      </c>
      <c r="BY171" s="256">
        <f>IF(AND(ISNUMBER(BY170),ISNUMBER(BY163)),IFERROR(BY170/BY163,""),"")</f>
        <v>0.448686585125156</v>
      </c>
      <c r="BZ171" s="256">
        <f>IF(AND(ISNUMBER(BZ170),ISNUMBER(BZ163)),IFERROR(BZ170/BZ163,""),"")</f>
        <v>0.400919640644095</v>
      </c>
      <c r="CA171" s="256">
        <f>IF(AND(ISNUMBER(CA170),ISNUMBER(CA163)),IFERROR(CA170/CA163,""),"")</f>
        <v>0.444180531242379</v>
      </c>
      <c r="CB171" s="256">
        <f>IF(AND(ISNUMBER(CB170),ISNUMBER(CB163)),IFERROR(CB170/CB163,""),"")</f>
        <v>0.463888666099922</v>
      </c>
      <c r="CC171" s="256">
        <f>IF(AND(ISNUMBER(CC170),ISNUMBER(CC163)),IFERROR(CC170/CC163,""),"")</f>
        <v>0.479307974751901</v>
      </c>
      <c r="CD171" s="256">
        <f>IF(AND(ISNUMBER(CD170),ISNUMBER(CD163)),IFERROR(CD170/CD163,""),"")</f>
        <v>0.487613566020029</v>
      </c>
      <c r="CE171" s="256">
        <f>IF(AND(ISNUMBER(CE170),ISNUMBER(CE163)),IFERROR(CE170/CE163,""),"")</f>
        <v>0.49559749575541</v>
      </c>
      <c r="CF171" s="153" t="n"/>
      <c r="CH171" s="37">
        <f>IFERROR(AVERAGE(CA171,CB171,CC171,CD171,CE171),"n/m")</f>
        <v>0.474117646773928</v>
      </c>
      <c r="CI171" s="37">
        <f>IFERROR(AVERAGE(BB171,BG171,BL171,BQ171,BV171),"n/m")</f>
        <v>0.400553557129939</v>
      </c>
      <c r="CJ171" s="37">
        <f>IFERROR(AVERAGE(AC171,AH171,AM171,AR171,AW171,BB171,BG171,BL171,BQ171,BV171),"n/m")</f>
        <v>0.388916598162016</v>
      </c>
      <c r="CK171" s="37">
        <f>IFERROR(AVERAGE(C171,D171,E171,F171,G171,H171,I171,N171,S171,X171,AC171,AH171,AM171,AR171,AW171,BB171,BG171,BL171,BQ171,BV171),"n/m")</f>
        <v>0.412556032533487</v>
      </c>
    </row>
    <row r="172" ht="15" customHeight="1" s="251">
      <c r="B172" s="156" t="inlineStr">
        <is>
          <t xml:space="preserve">  Memo: operating income as reported</t>
        </is>
      </c>
      <c r="C172" s="253" t="n">
        <v>1259.5</v>
      </c>
      <c r="D172" s="253" t="n">
        <v>1131</v>
      </c>
      <c r="E172" s="253" t="n">
        <v>748.2</v>
      </c>
      <c r="F172" s="253" t="n">
        <v>687.5</v>
      </c>
      <c r="G172" s="253" t="n">
        <v>772.8</v>
      </c>
      <c r="H172" s="253" t="n">
        <v>888.4</v>
      </c>
      <c r="I172" s="253" t="n">
        <v>1077.4</v>
      </c>
      <c r="J172" s="253" t="n">
        <v>280.4</v>
      </c>
      <c r="K172" s="253" t="n">
        <v>350.8</v>
      </c>
      <c r="L172" s="253" t="n">
        <v>291.5</v>
      </c>
      <c r="M172" s="253" t="n">
        <v>311.9</v>
      </c>
      <c r="N172" s="253" t="n">
        <v>1234.6</v>
      </c>
      <c r="O172" s="253" t="n">
        <v>333</v>
      </c>
      <c r="P172" s="253" t="n">
        <v>411.7</v>
      </c>
      <c r="Q172" s="253" t="n">
        <v>349.7</v>
      </c>
      <c r="R172" s="253" t="n">
        <v>344.7</v>
      </c>
      <c r="S172" s="253" t="n">
        <v>1439.1</v>
      </c>
      <c r="T172" s="253" t="n">
        <v>371.3</v>
      </c>
      <c r="U172" s="253" t="n">
        <v>419.3</v>
      </c>
      <c r="V172" s="253" t="n">
        <v>349.7</v>
      </c>
      <c r="W172" s="253" t="n">
        <v>333.1</v>
      </c>
      <c r="X172" s="253" t="n">
        <v>1473.4</v>
      </c>
      <c r="Y172" s="253" t="n">
        <v>304.1</v>
      </c>
      <c r="Z172" s="253" t="n">
        <v>410.2</v>
      </c>
      <c r="AA172" s="253" t="n">
        <v>397.5</v>
      </c>
      <c r="AB172" s="253" t="n">
        <v>-473.1</v>
      </c>
      <c r="AC172" s="253" t="n">
        <v>638.7</v>
      </c>
      <c r="AD172" s="253" t="n">
        <v>443.4</v>
      </c>
      <c r="AE172" s="253" t="n">
        <v>457.5</v>
      </c>
      <c r="AF172" s="253" t="n">
        <v>445.4</v>
      </c>
      <c r="AG172" s="253" t="n">
        <v>462.8</v>
      </c>
      <c r="AH172" s="253" t="n">
        <v>1809.1</v>
      </c>
      <c r="AI172" s="253" t="n">
        <v>490.8</v>
      </c>
      <c r="AJ172" s="253" t="n">
        <v>534</v>
      </c>
      <c r="AK172" s="253" t="n">
        <v>466.8</v>
      </c>
      <c r="AL172" s="253" t="n">
        <v>376.6</v>
      </c>
      <c r="AM172" s="253" t="n">
        <v>1868.2</v>
      </c>
      <c r="AN172" s="253" t="n">
        <v>461.7</v>
      </c>
      <c r="AO172" s="253" t="n">
        <v>483.5</v>
      </c>
      <c r="AP172" s="253" t="n">
        <v>548.8</v>
      </c>
      <c r="AQ172" s="253" t="n">
        <v>504</v>
      </c>
      <c r="AR172" s="253" t="n">
        <v>1998</v>
      </c>
      <c r="AS172" s="253" t="n">
        <v>592</v>
      </c>
      <c r="AT172" s="253" t="n">
        <v>710</v>
      </c>
      <c r="AU172" s="253" t="n">
        <v>642</v>
      </c>
      <c r="AV172" s="253" t="n">
        <v>444</v>
      </c>
      <c r="AW172" s="253" t="n">
        <v>2388</v>
      </c>
      <c r="AX172" s="253" t="n">
        <v>853</v>
      </c>
      <c r="AY172" s="253" t="n">
        <v>801</v>
      </c>
      <c r="AZ172" s="253" t="n">
        <v>676</v>
      </c>
      <c r="BA172" s="253" t="n">
        <v>514</v>
      </c>
      <c r="BB172" s="253" t="n">
        <v>2844</v>
      </c>
      <c r="BC172" s="253" t="n">
        <v>656</v>
      </c>
      <c r="BD172" s="253" t="n">
        <v>508</v>
      </c>
      <c r="BE172" s="253" t="n">
        <v>413</v>
      </c>
      <c r="BF172" s="253" t="n">
        <v>306</v>
      </c>
      <c r="BG172" s="253" t="n">
        <v>1883</v>
      </c>
      <c r="BH172" s="253" t="n">
        <v>554</v>
      </c>
      <c r="BI172" s="253" t="n">
        <v>550</v>
      </c>
      <c r="BJ172" s="253" t="n">
        <v>535</v>
      </c>
      <c r="BK172" s="253" t="n">
        <v>498</v>
      </c>
      <c r="BL172" s="253" t="n">
        <v>2137</v>
      </c>
      <c r="BM172" s="253" t="n">
        <v>801</v>
      </c>
      <c r="BN172" s="253" t="n">
        <v>775</v>
      </c>
      <c r="BO172" s="253" t="n">
        <v>738</v>
      </c>
      <c r="BP172" s="253" t="n">
        <v>561</v>
      </c>
      <c r="BQ172" s="253" t="n">
        <v>2875</v>
      </c>
      <c r="BR172" s="253" t="n">
        <v>846</v>
      </c>
      <c r="BS172" s="253" t="n">
        <v>818</v>
      </c>
      <c r="BT172" s="253" t="n">
        <v>917</v>
      </c>
      <c r="BU172" s="253" t="n">
        <v>770</v>
      </c>
      <c r="BV172" s="253" t="n">
        <v>3351</v>
      </c>
      <c r="BW172" s="253" t="n">
        <v>922</v>
      </c>
      <c r="BX172" s="253" t="n">
        <v>1046</v>
      </c>
      <c r="BY172" s="153" t="n"/>
      <c r="BZ172" s="153" t="n"/>
      <c r="CA172" s="153" t="n"/>
      <c r="CB172" s="153" t="n"/>
      <c r="CC172" s="153" t="n"/>
      <c r="CD172" s="153" t="n"/>
      <c r="CE172" s="153" t="n"/>
      <c r="CF172" s="153" t="n"/>
    </row>
    <row r="173" ht="15" customHeight="1" s="251">
      <c r="B173" s="57" t="inlineStr">
        <is>
          <t xml:space="preserve">  Check: operating income vs reported (should be 0)</t>
        </is>
      </c>
      <c r="C173" s="261">
        <f>IF(ISNUMBER(C172),IF(ABS(C170-C172)&lt;=1.5,0,ROUND(C170-C172,1)),"")</f>
        <v>0</v>
      </c>
      <c r="D173" s="261">
        <f>IF(ISNUMBER(D172),IF(ABS(D170-D172)&lt;=1.5,0,ROUND(D170-D172,1)),"")</f>
        <v>0</v>
      </c>
      <c r="E173" s="261">
        <f>IF(ISNUMBER(E172),IF(ABS(E170-E172)&lt;=1.5,0,ROUND(E170-E172,1)),"")</f>
        <v>0</v>
      </c>
      <c r="F173" s="261">
        <f>IF(ISNUMBER(F172),IF(ABS(F170-F172)&lt;=1.5,0,ROUND(F170-F172,1)),"")</f>
        <v>0</v>
      </c>
      <c r="G173" s="261">
        <f>IF(ISNUMBER(G172),IF(ABS(G170-G172)&lt;=1.5,0,ROUND(G170-G172,1)),"")</f>
        <v>0</v>
      </c>
      <c r="H173" s="261">
        <f>IF(ISNUMBER(H172),IF(ABS(H170-H172)&lt;=1.5,0,ROUND(H170-H172,1)),"")</f>
        <v>0</v>
      </c>
      <c r="I173" s="261">
        <f>IF(ISNUMBER(I172),IF(ABS(I170-I172)&lt;=1.5,0,ROUND(I170-I172,1)),"")</f>
        <v>0</v>
      </c>
      <c r="J173" s="261">
        <f>IF(ISNUMBER(J172),IF(ABS(J170-J172)&lt;=1.5,0,ROUND(J170-J172,1)),"")</f>
        <v>0</v>
      </c>
      <c r="K173" s="261">
        <f>IF(ISNUMBER(K172),IF(ABS(K170-K172)&lt;=1.5,0,ROUND(K170-K172,1)),"")</f>
        <v>0</v>
      </c>
      <c r="L173" s="261">
        <f>IF(ISNUMBER(L172),IF(ABS(L170-L172)&lt;=1.5,0,ROUND(L170-L172,1)),"")</f>
        <v>0</v>
      </c>
      <c r="M173" s="261">
        <f>IF(ISNUMBER(M172),IF(ABS(M170-M172)&lt;=1.5,0,ROUND(M170-M172,1)),"")</f>
        <v>0</v>
      </c>
      <c r="N173" s="261">
        <f>IF(ISNUMBER(N172),IF(ABS(N170-N172)&lt;=1.5,0,ROUND(N170-N172,1)),"")</f>
        <v>0</v>
      </c>
      <c r="O173" s="261">
        <f>IF(ISNUMBER(O172),IF(ABS(O170-O172)&lt;=1.5,0,ROUND(O170-O172,1)),"")</f>
        <v>0</v>
      </c>
      <c r="P173" s="261">
        <f>IF(ISNUMBER(P172),IF(ABS(P170-P172)&lt;=1.5,0,ROUND(P170-P172,1)),"")</f>
        <v>0</v>
      </c>
      <c r="Q173" s="261">
        <f>IF(ISNUMBER(Q172),IF(ABS(Q170-Q172)&lt;=1.5,0,ROUND(Q170-Q172,1)),"")</f>
        <v>0</v>
      </c>
      <c r="R173" s="261">
        <f>IF(ISNUMBER(R172),IF(ABS(R170-R172)&lt;=1.5,0,ROUND(R170-R172,1)),"")</f>
        <v>0</v>
      </c>
      <c r="S173" s="261">
        <f>IF(ISNUMBER(S172),IF(ABS(S170-S172)&lt;=1.5,0,ROUND(S170-S172,1)),"")</f>
        <v>0</v>
      </c>
      <c r="T173" s="261">
        <f>IF(ISNUMBER(T172),IF(ABS(T170-T172)&lt;=1.5,0,ROUND(T170-T172,1)),"")</f>
        <v>0</v>
      </c>
      <c r="U173" s="261">
        <f>IF(ISNUMBER(U172),IF(ABS(U170-U172)&lt;=1.5,0,ROUND(U170-U172,1)),"")</f>
        <v>0</v>
      </c>
      <c r="V173" s="261">
        <f>IF(ISNUMBER(V172),IF(ABS(V170-V172)&lt;=1.5,0,ROUND(V170-V172,1)),"")</f>
        <v>0</v>
      </c>
      <c r="W173" s="261">
        <f>IF(ISNUMBER(W172),IF(ABS(W170-W172)&lt;=1.5,0,ROUND(W170-W172,1)),"")</f>
        <v>0</v>
      </c>
      <c r="X173" s="261">
        <f>IF(ISNUMBER(X172),IF(ABS(X170-X172)&lt;=1.5,0,ROUND(X170-X172,1)),"")</f>
        <v>0</v>
      </c>
      <c r="Y173" s="261">
        <f>IF(ISNUMBER(Y172),IF(ABS(Y170-Y172)&lt;=1.5,0,ROUND(Y170-Y172,1)),"")</f>
        <v>0</v>
      </c>
      <c r="Z173" s="261">
        <f>IF(ISNUMBER(Z172),IF(ABS(Z170-Z172)&lt;=1.5,0,ROUND(Z170-Z172,1)),"")</f>
        <v>0</v>
      </c>
      <c r="AA173" s="261">
        <f>IF(ISNUMBER(AA172),IF(ABS(AA170-AA172)&lt;=1.5,0,ROUND(AA170-AA172,1)),"")</f>
        <v>0</v>
      </c>
      <c r="AB173" s="261">
        <f>IF(ISNUMBER(AB172),IF(ABS(AB170-AB172)&lt;=1.5,0,ROUND(AB170-AB172,1)),"")</f>
        <v>0</v>
      </c>
      <c r="AC173" s="261">
        <f>IF(ISNUMBER(AC172),IF(ABS(AC170-AC172)&lt;=1.5,0,ROUND(AC170-AC172,1)),"")</f>
        <v>0</v>
      </c>
      <c r="AD173" s="261">
        <f>IF(ISNUMBER(AD172),IF(ABS(AD170-AD172)&lt;=1.5,0,ROUND(AD170-AD172,1)),"")</f>
        <v>0</v>
      </c>
      <c r="AE173" s="261">
        <f>IF(ISNUMBER(AE172),IF(ABS(AE170-AE172)&lt;=1.5,0,ROUND(AE170-AE172,1)),"")</f>
        <v>0</v>
      </c>
      <c r="AF173" s="261">
        <f>IF(ISNUMBER(AF172),IF(ABS(AF170-AF172)&lt;=1.5,0,ROUND(AF170-AF172,1)),"")</f>
        <v>0</v>
      </c>
      <c r="AG173" s="261">
        <f>IF(ISNUMBER(AG172),IF(ABS(AG170-AG172)&lt;=1.5,0,ROUND(AG170-AG172,1)),"")</f>
        <v>0</v>
      </c>
      <c r="AH173" s="261">
        <f>IF(ISNUMBER(AH172),IF(ABS(AH170-AH172)&lt;=1.5,0,ROUND(AH170-AH172,1)),"")</f>
        <v>0</v>
      </c>
      <c r="AI173" s="261">
        <f>IF(ISNUMBER(AI172),IF(ABS(AI170-AI172)&lt;=1.5,0,ROUND(AI170-AI172,1)),"")</f>
        <v>0</v>
      </c>
      <c r="AJ173" s="261">
        <f>IF(ISNUMBER(AJ172),IF(ABS(AJ170-AJ172)&lt;=1.5,0,ROUND(AJ170-AJ172,1)),"")</f>
        <v>0</v>
      </c>
      <c r="AK173" s="261">
        <f>IF(ISNUMBER(AK172),IF(ABS(AK170-AK172)&lt;=1.5,0,ROUND(AK170-AK172,1)),"")</f>
        <v>0</v>
      </c>
      <c r="AL173" s="261">
        <f>IF(ISNUMBER(AL172),IF(ABS(AL170-AL172)&lt;=1.5,0,ROUND(AL170-AL172,1)),"")</f>
        <v>0</v>
      </c>
      <c r="AM173" s="261">
        <f>IF(ISNUMBER(AM172),IF(ABS(AM170-AM172)&lt;=1.5,0,ROUND(AM170-AM172,1)),"")</f>
        <v>0</v>
      </c>
      <c r="AN173" s="261">
        <f>IF(ISNUMBER(AN172),IF(ABS(AN170-AN172)&lt;=1.5,0,ROUND(AN170-AN172,1)),"")</f>
        <v>0</v>
      </c>
      <c r="AO173" s="261">
        <f>IF(ISNUMBER(AO172),IF(ABS(AO170-AO172)&lt;=1.5,0,ROUND(AO170-AO172,1)),"")</f>
        <v>0</v>
      </c>
      <c r="AP173" s="261">
        <f>IF(ISNUMBER(AP172),IF(ABS(AP170-AP172)&lt;=1.5,0,ROUND(AP170-AP172,1)),"")</f>
        <v>0</v>
      </c>
      <c r="AQ173" s="261">
        <f>IF(ISNUMBER(AQ172),IF(ABS(AQ170-AQ172)&lt;=1.5,0,ROUND(AQ170-AQ172,1)),"")</f>
        <v>0</v>
      </c>
      <c r="AR173" s="261">
        <f>IF(ISNUMBER(AR172),IF(ABS(AR170-AR172)&lt;=1.5,0,ROUND(AR170-AR172,1)),"")</f>
        <v>0</v>
      </c>
      <c r="AS173" s="261">
        <f>IF(ISNUMBER(AS172),IF(ABS(AS170-AS172)&lt;=1.5,0,ROUND(AS170-AS172,1)),"")</f>
        <v>0</v>
      </c>
      <c r="AT173" s="261">
        <f>IF(ISNUMBER(AT172),IF(ABS(AT170-AT172)&lt;=1.5,0,ROUND(AT170-AT172,1)),"")</f>
        <v>0</v>
      </c>
      <c r="AU173" s="261">
        <f>IF(ISNUMBER(AU172),IF(ABS(AU170-AU172)&lt;=1.5,0,ROUND(AU170-AU172,1)),"")</f>
        <v>0</v>
      </c>
      <c r="AV173" s="261">
        <f>IF(ISNUMBER(AV172),IF(ABS(AV170-AV172)&lt;=1.5,0,ROUND(AV170-AV172,1)),"")</f>
        <v>0</v>
      </c>
      <c r="AW173" s="261">
        <f>IF(ISNUMBER(AW172),IF(ABS(AW170-AW172)&lt;=1.5,0,ROUND(AW170-AW172,1)),"")</f>
        <v>0</v>
      </c>
      <c r="AX173" s="261">
        <f>IF(ISNUMBER(AX172),IF(ABS(AX170-AX172)&lt;=1.5,0,ROUND(AX170-AX172,1)),"")</f>
        <v>0</v>
      </c>
      <c r="AY173" s="261">
        <f>IF(ISNUMBER(AY172),IF(ABS(AY170-AY172)&lt;=1.5,0,ROUND(AY170-AY172,1)),"")</f>
        <v>0</v>
      </c>
      <c r="AZ173" s="261">
        <f>IF(ISNUMBER(AZ172),IF(ABS(AZ170-AZ172)&lt;=1.5,0,ROUND(AZ170-AZ172,1)),"")</f>
        <v>0</v>
      </c>
      <c r="BA173" s="261">
        <f>IF(ISNUMBER(BA172),IF(ABS(BA170-BA172)&lt;=1.5,0,ROUND(BA170-BA172,1)),"")</f>
        <v>0</v>
      </c>
      <c r="BB173" s="261">
        <f>IF(ISNUMBER(BB172),IF(ABS(BB170-BB172)&lt;=1.5,0,ROUND(BB170-BB172,1)),"")</f>
        <v>0</v>
      </c>
      <c r="BC173" s="261">
        <f>IF(ISNUMBER(BC172),IF(ABS(BC170-BC172)&lt;=1.5,0,ROUND(BC170-BC172,1)),"")</f>
        <v>0</v>
      </c>
      <c r="BD173" s="261">
        <f>IF(ISNUMBER(BD172),IF(ABS(BD170-BD172)&lt;=1.5,0,ROUND(BD170-BD172,1)),"")</f>
        <v>0</v>
      </c>
      <c r="BE173" s="261">
        <f>IF(ISNUMBER(BE172),IF(ABS(BE170-BE172)&lt;=1.5,0,ROUND(BE170-BE172,1)),"")</f>
        <v>0</v>
      </c>
      <c r="BF173" s="261">
        <f>IF(ISNUMBER(BF172),IF(ABS(BF170-BF172)&lt;=1.5,0,ROUND(BF170-BF172,1)),"")</f>
        <v>0</v>
      </c>
      <c r="BG173" s="261">
        <f>IF(ISNUMBER(BG172),IF(ABS(BG170-BG172)&lt;=1.5,0,ROUND(BG170-BG172,1)),"")</f>
        <v>0</v>
      </c>
      <c r="BH173" s="261">
        <f>IF(ISNUMBER(BH172),IF(ABS(BH170-BH172)&lt;=1.5,0,ROUND(BH170-BH172,1)),"")</f>
        <v>0</v>
      </c>
      <c r="BI173" s="261">
        <f>IF(ISNUMBER(BI172),IF(ABS(BI170-BI172)&lt;=1.5,0,ROUND(BI170-BI172,1)),"")</f>
        <v>0</v>
      </c>
      <c r="BJ173" s="261">
        <f>IF(ISNUMBER(BJ172),IF(ABS(BJ170-BJ172)&lt;=1.5,0,ROUND(BJ170-BJ172,1)),"")</f>
        <v>0</v>
      </c>
      <c r="BK173" s="261">
        <f>IF(ISNUMBER(BK172),IF(ABS(BK170-BK172)&lt;=1.5,0,ROUND(BK170-BK172,1)),"")</f>
        <v>0</v>
      </c>
      <c r="BL173" s="261">
        <f>IF(ISNUMBER(BL172),IF(ABS(BL170-BL172)&lt;=1.5,0,ROUND(BL170-BL172,1)),"")</f>
        <v>0</v>
      </c>
      <c r="BM173" s="261">
        <f>IF(ISNUMBER(BM172),IF(ABS(BM170-BM172)&lt;=1.5,0,ROUND(BM170-BM172,1)),"")</f>
        <v>0</v>
      </c>
      <c r="BN173" s="261">
        <f>IF(ISNUMBER(BN172),IF(ABS(BN170-BN172)&lt;=1.5,0,ROUND(BN170-BN172,1)),"")</f>
        <v>0</v>
      </c>
      <c r="BO173" s="261">
        <f>IF(ISNUMBER(BO172),IF(ABS(BO170-BO172)&lt;=1.5,0,ROUND(BO170-BO172,1)),"")</f>
        <v>0</v>
      </c>
      <c r="BP173" s="261">
        <f>IF(ISNUMBER(BP172),IF(ABS(BP170-BP172)&lt;=1.5,0,ROUND(BP170-BP172,1)),"")</f>
        <v>0</v>
      </c>
      <c r="BQ173" s="261">
        <f>IF(ISNUMBER(BQ172),IF(ABS(BQ170-BQ172)&lt;=1.5,0,ROUND(BQ170-BQ172,1)),"")</f>
        <v>0</v>
      </c>
      <c r="BR173" s="261">
        <f>IF(ISNUMBER(BR172),IF(ABS(BR170-BR172)&lt;=1.5,0,ROUND(BR170-BR172,1)),"")</f>
        <v>0</v>
      </c>
      <c r="BS173" s="261">
        <f>IF(ISNUMBER(BS172),IF(ABS(BS170-BS172)&lt;=1.5,0,ROUND(BS170-BS172,1)),"")</f>
        <v>0</v>
      </c>
      <c r="BT173" s="261">
        <f>IF(ISNUMBER(BT172),IF(ABS(BT170-BT172)&lt;=1.5,0,ROUND(BT170-BT172,1)),"")</f>
        <v>0</v>
      </c>
      <c r="BU173" s="261">
        <f>IF(ISNUMBER(BU172),IF(ABS(BU170-BU172)&lt;=1.5,0,ROUND(BU170-BU172,1)),"")</f>
        <v>0</v>
      </c>
      <c r="BV173" s="261">
        <f>IF(ISNUMBER(BV172),IF(ABS(BV170-BV172)&lt;=1.5,0,ROUND(BV170-BV172,1)),"")</f>
        <v>0</v>
      </c>
      <c r="BW173" s="261">
        <f>IF(ISNUMBER(BW172),IF(ABS(BW170-BW172)&lt;=1.5,0,ROUND(BW170-BW172,1)),"")</f>
        <v>0</v>
      </c>
      <c r="BX173" s="261">
        <f>IF(ISNUMBER(BX172),IF(ABS(BX170-BX172)&lt;=1.5,0,ROUND(BX170-BX172,1)),"")</f>
        <v>0</v>
      </c>
      <c r="BY173" s="153" t="n"/>
      <c r="BZ173" s="153" t="n"/>
      <c r="CA173" s="153" t="n"/>
      <c r="CB173" s="153" t="n"/>
      <c r="CC173" s="153" t="n"/>
      <c r="CD173" s="153" t="n"/>
      <c r="CE173" s="153" t="n"/>
      <c r="CF173" s="153" t="n"/>
    </row>
    <row r="174" ht="15" customHeight="1" s="251">
      <c r="B174" s="25" t="inlineStr">
        <is>
          <t>Interest expense, net (expense −)</t>
        </is>
      </c>
      <c r="C174" s="253" t="n">
        <v>3</v>
      </c>
      <c r="D174" s="253" t="n">
        <v>-24.3</v>
      </c>
      <c r="E174" s="253" t="n">
        <v>-52.2</v>
      </c>
      <c r="F174" s="253" t="n">
        <v>-33.4</v>
      </c>
      <c r="G174" s="253" t="n">
        <v>-52.5</v>
      </c>
      <c r="H174" s="253" t="n">
        <v>-62.1</v>
      </c>
      <c r="I174" s="253" t="n">
        <v>-63.8</v>
      </c>
      <c r="J174" s="253" t="n">
        <v>-22</v>
      </c>
      <c r="K174" s="253" t="n">
        <v>-21.7</v>
      </c>
      <c r="L174" s="253" t="n">
        <v>-24.4</v>
      </c>
      <c r="M174" s="253" t="n">
        <v>-23.7</v>
      </c>
      <c r="N174" s="253" t="n">
        <v>-91.8</v>
      </c>
      <c r="O174" s="253" t="n">
        <v>-23.8</v>
      </c>
      <c r="P174" s="253" t="n">
        <v>-26</v>
      </c>
      <c r="Q174" s="253" t="n">
        <v>-37.7</v>
      </c>
      <c r="R174" s="253" t="n">
        <v>-29.3</v>
      </c>
      <c r="S174" s="253" t="n">
        <v>-116.8</v>
      </c>
      <c r="T174" s="253" t="n">
        <v>-29.3</v>
      </c>
      <c r="U174" s="253" t="n">
        <v>-31.9</v>
      </c>
      <c r="V174" s="253" t="n">
        <v>-25.8</v>
      </c>
      <c r="W174" s="253" t="n">
        <v>-28.1</v>
      </c>
      <c r="X174" s="253" t="n">
        <v>-115.1</v>
      </c>
      <c r="Y174" s="253" t="n">
        <v>-34.1</v>
      </c>
      <c r="Z174" s="253" t="n">
        <v>-34.3</v>
      </c>
      <c r="AA174" s="253" t="n">
        <v>-35.4</v>
      </c>
      <c r="AB174" s="253" t="n">
        <v>-34</v>
      </c>
      <c r="AC174" s="253" t="n">
        <v>-137.8</v>
      </c>
      <c r="AD174" s="253" t="n">
        <v>-42.4</v>
      </c>
      <c r="AE174" s="253" t="n">
        <v>-45</v>
      </c>
      <c r="AF174" s="253" t="n">
        <v>-48.1</v>
      </c>
      <c r="AG174" s="253" t="n">
        <v>-52.9</v>
      </c>
      <c r="AH174" s="253" t="n">
        <v>-188.4</v>
      </c>
      <c r="AI174" s="253" t="n">
        <v>-50.7</v>
      </c>
      <c r="AJ174" s="253" t="n">
        <v>-53.4</v>
      </c>
      <c r="AK174" s="253" t="n">
        <v>-56.4</v>
      </c>
      <c r="AL174" s="253" t="n">
        <v>-55.5</v>
      </c>
      <c r="AM174" s="253" t="n">
        <v>-216</v>
      </c>
      <c r="AN174" s="253" t="n">
        <v>-52.5</v>
      </c>
      <c r="AO174" s="253" t="n">
        <v>-50.6</v>
      </c>
      <c r="AP174" s="253" t="n">
        <v>-45.9</v>
      </c>
      <c r="AQ174" s="253" t="n">
        <v>-59</v>
      </c>
      <c r="AR174" s="253" t="n">
        <v>-208</v>
      </c>
      <c r="AS174" s="253" t="n">
        <v>-40</v>
      </c>
      <c r="AT174" s="253" t="n">
        <v>-60</v>
      </c>
      <c r="AU174" s="253" t="n">
        <v>-53</v>
      </c>
      <c r="AV174" s="253" t="n">
        <v>-52</v>
      </c>
      <c r="AW174" s="253" t="n">
        <v>-205</v>
      </c>
      <c r="AX174" s="253" t="n">
        <v>-7</v>
      </c>
      <c r="AY174" s="253" t="n">
        <v>-49</v>
      </c>
      <c r="AZ174" s="253" t="n">
        <v>-53</v>
      </c>
      <c r="BA174" s="253" t="n">
        <v>-62</v>
      </c>
      <c r="BB174" s="253" t="n">
        <v>-171</v>
      </c>
      <c r="BC174" s="253" t="n">
        <v>-53</v>
      </c>
      <c r="BD174" s="253" t="n">
        <v>-55</v>
      </c>
      <c r="BE174" s="253" t="n">
        <v>-58</v>
      </c>
      <c r="BF174" s="253" t="n">
        <v>-65</v>
      </c>
      <c r="BG174" s="253" t="n">
        <v>-231</v>
      </c>
      <c r="BH174" s="253" t="n">
        <v>-48</v>
      </c>
      <c r="BI174" s="253" t="n">
        <v>-71</v>
      </c>
      <c r="BJ174" s="253" t="n">
        <v>-66</v>
      </c>
      <c r="BK174" s="253" t="n">
        <v>-66</v>
      </c>
      <c r="BL174" s="253" t="n">
        <v>-251</v>
      </c>
      <c r="BM174" s="253" t="n">
        <v>-62</v>
      </c>
      <c r="BN174" s="253" t="n">
        <v>-63</v>
      </c>
      <c r="BO174" s="253" t="n">
        <v>-60</v>
      </c>
      <c r="BP174" s="253" t="n">
        <v>-52</v>
      </c>
      <c r="BQ174" s="253" t="n">
        <v>-237</v>
      </c>
      <c r="BR174" s="253" t="n">
        <v>-61</v>
      </c>
      <c r="BS174" s="253" t="n">
        <v>-61</v>
      </c>
      <c r="BT174" s="253" t="n">
        <v>-58</v>
      </c>
      <c r="BU174" s="253" t="n">
        <v>-33</v>
      </c>
      <c r="BV174" s="253" t="n">
        <v>-213</v>
      </c>
      <c r="BW174" s="253" t="n">
        <v>-66</v>
      </c>
      <c r="BX174" s="253" t="n">
        <v>-58</v>
      </c>
      <c r="BY174" s="254">
        <f>$CP$24</f>
        <v>-53</v>
      </c>
      <c r="BZ174" s="254">
        <f>$CP$24</f>
        <v>-53</v>
      </c>
      <c r="CA174" s="254">
        <f>SUM(BW174:BZ174)</f>
        <v>-230</v>
      </c>
      <c r="CB174" s="254">
        <f>-(CA369*CB378+CA375*CB379+CB380)+CA284*CB381</f>
        <v>-247.644984371583</v>
      </c>
      <c r="CC174" s="254">
        <f>-(CB369*CC378+CB375*CC379+CC380)+CB284*CC381</f>
        <v>-286.308642926944</v>
      </c>
      <c r="CD174" s="254">
        <f>-(CC369*CD378+CC375*CD379+CD380)+CC284*CD381</f>
        <v>-311.412547076398</v>
      </c>
      <c r="CE174" s="254">
        <f>-(CD369*CE378+CD375*CE379+CE380)+CD284*CE381</f>
        <v>-346.318571896617</v>
      </c>
      <c r="CF174" s="19" t="inlineStr">
        <is>
          <t>Q3/Q4-26E point estimate (FY26 guidance $220–240m). 2027E+ = −(rate × opening notes + rate × opening commercial paper + UTP / pension interest &amp; fees) + yield × opening cash (no circularity).</t>
        </is>
      </c>
    </row>
    <row r="175" ht="15" customHeight="1" s="251">
      <c r="B175" s="25" t="inlineStr">
        <is>
          <t>Other non-operating income (expense), net</t>
        </is>
      </c>
      <c r="C175" s="253" t="n">
        <v>-2</v>
      </c>
      <c r="D175" s="253" t="n">
        <v>10</v>
      </c>
      <c r="E175" s="253" t="n">
        <v>29.8</v>
      </c>
      <c r="F175" s="253" t="n">
        <v>-7.9</v>
      </c>
      <c r="G175" s="253" t="n">
        <v>-5.9</v>
      </c>
      <c r="H175" s="253" t="n">
        <v>13.5</v>
      </c>
      <c r="I175" s="253" t="n">
        <v>10.4</v>
      </c>
      <c r="J175" s="253" t="n">
        <v>8.800000000000001</v>
      </c>
      <c r="K175" s="253" t="n">
        <v>7.7</v>
      </c>
      <c r="L175" s="253" t="n">
        <v>-3.6</v>
      </c>
      <c r="M175" s="253" t="n">
        <v>13.6</v>
      </c>
      <c r="N175" s="253" t="n">
        <v>26.5</v>
      </c>
      <c r="O175" s="253" t="n">
        <v>2.4</v>
      </c>
      <c r="P175" s="253" t="n">
        <v>-3.3</v>
      </c>
      <c r="Q175" s="253" t="n">
        <v>16.4</v>
      </c>
      <c r="R175" s="253" t="n">
        <v>20.4</v>
      </c>
      <c r="S175" s="253" t="n">
        <v>35.9</v>
      </c>
      <c r="T175" s="253" t="n">
        <v>2.5</v>
      </c>
      <c r="U175" s="253" t="n">
        <v>-8.199999999999999</v>
      </c>
      <c r="V175" s="253" t="n">
        <v>19.7</v>
      </c>
      <c r="W175" s="253" t="n">
        <v>7.3</v>
      </c>
      <c r="X175" s="253" t="n">
        <v>21.3</v>
      </c>
      <c r="Y175" s="253" t="n">
        <v>5.6</v>
      </c>
      <c r="Z175" s="253" t="n">
        <v>3</v>
      </c>
      <c r="AA175" s="253" t="n">
        <v>6.9</v>
      </c>
      <c r="AB175" s="253" t="n">
        <v>41.6</v>
      </c>
      <c r="AC175" s="253" t="n">
        <v>57.1</v>
      </c>
      <c r="AD175" s="253" t="n">
        <v>-9.4</v>
      </c>
      <c r="AE175" s="253" t="n">
        <v>8.300000000000001</v>
      </c>
      <c r="AF175" s="253" t="n">
        <v>-1.4</v>
      </c>
      <c r="AG175" s="253" t="n">
        <v>-2.2</v>
      </c>
      <c r="AH175" s="253" t="n">
        <v>-4.7</v>
      </c>
      <c r="AI175" s="253" t="n">
        <v>1</v>
      </c>
      <c r="AJ175" s="253" t="n">
        <v>14.9</v>
      </c>
      <c r="AK175" s="253" t="n">
        <v>2.4</v>
      </c>
      <c r="AL175" s="253" t="n">
        <v>0.5</v>
      </c>
      <c r="AM175" s="253" t="n">
        <v>18.8</v>
      </c>
      <c r="AN175" s="253" t="n">
        <v>2.3</v>
      </c>
      <c r="AO175" s="253" t="n">
        <v>0.4</v>
      </c>
      <c r="AP175" s="253" t="n">
        <v>9.9</v>
      </c>
      <c r="AQ175" s="253" t="n">
        <v>7</v>
      </c>
      <c r="AR175" s="253" t="n">
        <v>20</v>
      </c>
      <c r="AS175" s="253" t="n">
        <v>12</v>
      </c>
      <c r="AT175" s="253" t="n">
        <v>16</v>
      </c>
      <c r="AU175" s="253" t="n">
        <v>10</v>
      </c>
      <c r="AV175" s="253" t="n">
        <v>8</v>
      </c>
      <c r="AW175" s="253" t="n">
        <v>46</v>
      </c>
      <c r="AX175" s="253" t="n">
        <v>16</v>
      </c>
      <c r="AY175" s="253" t="n">
        <v>6</v>
      </c>
      <c r="AZ175" s="253" t="n">
        <v>-4</v>
      </c>
      <c r="BA175" s="253" t="n">
        <v>64</v>
      </c>
      <c r="BB175" s="253" t="n">
        <v>82</v>
      </c>
      <c r="BC175" s="253" t="n">
        <v>6</v>
      </c>
      <c r="BD175" s="253" t="n">
        <v>-10</v>
      </c>
      <c r="BE175" s="253" t="n">
        <v>26</v>
      </c>
      <c r="BF175" s="253" t="n">
        <v>16</v>
      </c>
      <c r="BG175" s="253" t="n">
        <v>38</v>
      </c>
      <c r="BH175" s="253" t="n">
        <v>0</v>
      </c>
      <c r="BI175" s="253" t="n">
        <v>13</v>
      </c>
      <c r="BJ175" s="253" t="n">
        <v>18</v>
      </c>
      <c r="BK175" s="253" t="n">
        <v>18</v>
      </c>
      <c r="BL175" s="253" t="n">
        <v>49</v>
      </c>
      <c r="BM175" s="253" t="n">
        <v>13</v>
      </c>
      <c r="BN175" s="253" t="n">
        <v>7</v>
      </c>
      <c r="BO175" s="253" t="n">
        <v>25</v>
      </c>
      <c r="BP175" s="253" t="n">
        <v>16</v>
      </c>
      <c r="BQ175" s="253" t="n">
        <v>61</v>
      </c>
      <c r="BR175" s="253" t="n">
        <v>19</v>
      </c>
      <c r="BS175" s="253" t="n">
        <v>15</v>
      </c>
      <c r="BT175" s="253" t="n">
        <v>8</v>
      </c>
      <c r="BU175" s="253" t="n">
        <v>-73</v>
      </c>
      <c r="BV175" s="253" t="n">
        <v>-31</v>
      </c>
      <c r="BW175" s="253" t="n">
        <v>14</v>
      </c>
      <c r="BX175" s="253" t="n">
        <v>2</v>
      </c>
      <c r="BY175" s="254">
        <f>BY159</f>
        <v>0</v>
      </c>
      <c r="BZ175" s="254">
        <f>BZ159</f>
        <v>0</v>
      </c>
      <c r="CA175" s="254">
        <f>SUM(BW175:BZ175)</f>
        <v>16</v>
      </c>
      <c r="CB175" s="254">
        <f>CB159</f>
        <v>10</v>
      </c>
      <c r="CC175" s="254">
        <f>CC159</f>
        <v>10</v>
      </c>
      <c r="CD175" s="254">
        <f>CD159</f>
        <v>10</v>
      </c>
      <c r="CE175" s="254">
        <f>CE159</f>
        <v>10</v>
      </c>
      <c r="CF175" s="19" t="n"/>
    </row>
    <row r="176" ht="15" customHeight="1" s="251">
      <c r="B176" s="25" t="inlineStr">
        <is>
          <t>Other non-operating items shown separately (gains on divestitures / step acquisitions, CCXI, hedge losses)</t>
        </is>
      </c>
      <c r="C176" s="253" t="n">
        <v>0</v>
      </c>
      <c r="D176" s="253" t="n">
        <v>0</v>
      </c>
      <c r="E176" s="253" t="n">
        <v>0</v>
      </c>
      <c r="F176" s="253" t="n">
        <v>0</v>
      </c>
      <c r="G176" s="253" t="n">
        <v>0</v>
      </c>
      <c r="H176" s="253" t="n">
        <v>0</v>
      </c>
      <c r="I176" s="253" t="n">
        <v>0</v>
      </c>
      <c r="J176" s="253" t="n">
        <v>0</v>
      </c>
      <c r="K176" s="253" t="n">
        <v>0</v>
      </c>
      <c r="L176" s="253" t="n">
        <v>0</v>
      </c>
      <c r="M176" s="253" t="n">
        <v>0</v>
      </c>
      <c r="N176" s="253" t="n">
        <v>0</v>
      </c>
      <c r="O176" s="253" t="n">
        <v>0</v>
      </c>
      <c r="P176" s="253" t="n">
        <v>102.8</v>
      </c>
      <c r="Q176" s="253" t="n">
        <v>0</v>
      </c>
      <c r="R176" s="253" t="n">
        <v>0</v>
      </c>
      <c r="S176" s="253" t="n">
        <v>102.8</v>
      </c>
      <c r="T176" s="253" t="n">
        <v>0</v>
      </c>
      <c r="U176" s="253" t="n">
        <v>0</v>
      </c>
      <c r="V176" s="253" t="n">
        <v>0</v>
      </c>
      <c r="W176" s="253" t="n">
        <v>0</v>
      </c>
      <c r="X176" s="253" t="n">
        <v>0</v>
      </c>
      <c r="Y176" s="253" t="n">
        <v>0</v>
      </c>
      <c r="Z176" s="253" t="n">
        <v>0</v>
      </c>
      <c r="AA176" s="253" t="n">
        <v>0</v>
      </c>
      <c r="AB176" s="253" t="n">
        <v>0</v>
      </c>
      <c r="AC176" s="253" t="n">
        <v>0</v>
      </c>
      <c r="AD176" s="253" t="n">
        <v>59.7</v>
      </c>
      <c r="AE176" s="253" t="n">
        <v>41.2</v>
      </c>
      <c r="AF176" s="253" t="n">
        <v>69.90000000000001</v>
      </c>
      <c r="AG176" s="253" t="n">
        <v>0</v>
      </c>
      <c r="AH176" s="253" t="n">
        <v>170.8</v>
      </c>
      <c r="AI176" s="253" t="n">
        <v>0</v>
      </c>
      <c r="AJ176" s="253" t="n">
        <v>0</v>
      </c>
      <c r="AK176" s="253" t="n">
        <v>0</v>
      </c>
      <c r="AL176" s="253" t="n">
        <v>0</v>
      </c>
      <c r="AM176" s="253" t="n">
        <v>0</v>
      </c>
      <c r="AN176" s="253" t="n">
        <v>0</v>
      </c>
      <c r="AO176" s="253" t="n">
        <v>0</v>
      </c>
      <c r="AP176" s="253" t="n">
        <v>0</v>
      </c>
      <c r="AQ176" s="253" t="n">
        <v>0</v>
      </c>
      <c r="AR176" s="253" t="n">
        <v>0</v>
      </c>
      <c r="AS176" s="253" t="n">
        <v>0</v>
      </c>
      <c r="AT176" s="253" t="n">
        <v>0</v>
      </c>
      <c r="AU176" s="253" t="n">
        <v>0</v>
      </c>
      <c r="AV176" s="253" t="n">
        <v>0</v>
      </c>
      <c r="AW176" s="253" t="n">
        <v>0</v>
      </c>
      <c r="AX176" s="253" t="n">
        <v>0</v>
      </c>
      <c r="AY176" s="253" t="n">
        <v>0</v>
      </c>
      <c r="AZ176" s="253" t="n">
        <v>0</v>
      </c>
      <c r="BA176" s="253" t="n">
        <v>0</v>
      </c>
      <c r="BB176" s="253" t="n">
        <v>0</v>
      </c>
      <c r="BC176" s="253" t="n">
        <v>0</v>
      </c>
      <c r="BD176" s="253" t="n">
        <v>0</v>
      </c>
      <c r="BE176" s="253" t="n">
        <v>0</v>
      </c>
      <c r="BF176" s="253" t="n">
        <v>70</v>
      </c>
      <c r="BG176" s="253" t="n">
        <v>70</v>
      </c>
      <c r="BH176" s="253" t="n">
        <v>0</v>
      </c>
      <c r="BI176" s="253" t="n">
        <v>0</v>
      </c>
      <c r="BJ176" s="253" t="n">
        <v>0</v>
      </c>
      <c r="BK176" s="253" t="n">
        <v>0</v>
      </c>
      <c r="BL176" s="253" t="n">
        <v>0</v>
      </c>
      <c r="BM176" s="253" t="n">
        <v>0</v>
      </c>
      <c r="BN176" s="253" t="n">
        <v>0</v>
      </c>
      <c r="BO176" s="253" t="n">
        <v>0</v>
      </c>
      <c r="BP176" s="253" t="n">
        <v>0</v>
      </c>
      <c r="BQ176" s="253" t="n">
        <v>0</v>
      </c>
      <c r="BR176" s="253" t="n">
        <v>0</v>
      </c>
      <c r="BS176" s="253" t="n">
        <v>0</v>
      </c>
      <c r="BT176" s="253" t="n">
        <v>0</v>
      </c>
      <c r="BU176" s="253" t="n">
        <v>23</v>
      </c>
      <c r="BV176" s="253" t="n">
        <v>23</v>
      </c>
      <c r="BW176" s="253" t="n">
        <v>0</v>
      </c>
      <c r="BX176" s="253" t="n">
        <v>181</v>
      </c>
      <c r="BY176" s="254">
        <f>BY160</f>
        <v>0</v>
      </c>
      <c r="BZ176" s="254">
        <f>BZ160</f>
        <v>119</v>
      </c>
      <c r="CA176" s="254">
        <f>SUM(BW176:BZ176)</f>
        <v>300</v>
      </c>
      <c r="CB176" s="254">
        <f>CB160</f>
        <v>0</v>
      </c>
      <c r="CC176" s="254">
        <f>CC160</f>
        <v>0</v>
      </c>
      <c r="CD176" s="254">
        <f>CD160</f>
        <v>0</v>
      </c>
      <c r="CE176" s="254">
        <f>CE160</f>
        <v>0</v>
      </c>
      <c r="CF176" s="19" t="n"/>
    </row>
    <row r="177" ht="15" customHeight="1" s="251">
      <c r="B177" s="16" t="inlineStr">
        <is>
          <t>Income before provision for income taxes</t>
        </is>
      </c>
      <c r="C177" s="262">
        <f>IF(ISNUMBER(C170),C170+C174+C175+N(C176),"")</f>
        <v>1260.5</v>
      </c>
      <c r="D177" s="262">
        <f>IF(ISNUMBER(D170),D170+D174+D175+N(D176),"")</f>
        <v>1116.7</v>
      </c>
      <c r="E177" s="262">
        <f>IF(ISNUMBER(E170),E170+E174+E175+N(E176),"")</f>
        <v>725.8</v>
      </c>
      <c r="F177" s="262">
        <f>IF(ISNUMBER(F170),F170+F174+F175+N(F176),"")</f>
        <v>646.2</v>
      </c>
      <c r="G177" s="262">
        <f>IF(ISNUMBER(G170),G170+G174+G175+N(G176),"")</f>
        <v>714.4</v>
      </c>
      <c r="H177" s="262">
        <f>IF(ISNUMBER(H170),H170+H174+H175+N(H176),"")</f>
        <v>839.8</v>
      </c>
      <c r="I177" s="262">
        <f>IF(ISNUMBER(I170),I170+I174+I175+N(I176),"")</f>
        <v>1024</v>
      </c>
      <c r="J177" s="262">
        <f>IF(ISNUMBER(J170),J170+J174+J175+N(J176),"")</f>
        <v>267.2</v>
      </c>
      <c r="K177" s="262">
        <f>IF(ISNUMBER(K170),K170+K174+K175+N(K176),"")</f>
        <v>336.8</v>
      </c>
      <c r="L177" s="262">
        <f>IF(ISNUMBER(L170),L170+L174+L175+N(L176),"")</f>
        <v>263.5</v>
      </c>
      <c r="M177" s="262">
        <f>IF(ISNUMBER(M170),M170+M174+M175+N(M176),"")</f>
        <v>301.8</v>
      </c>
      <c r="N177" s="262">
        <f>IF(ISNUMBER(N170),N170+N174+N175+N(N176),"")</f>
        <v>1169.3</v>
      </c>
      <c r="O177" s="262">
        <f>IF(ISNUMBER(O170),O170+O174+O175+N(O176),"")</f>
        <v>311.6</v>
      </c>
      <c r="P177" s="262">
        <f>IF(ISNUMBER(P170),P170+P174+P175+N(P176),"")</f>
        <v>485.2</v>
      </c>
      <c r="Q177" s="262">
        <f>IF(ISNUMBER(Q170),Q170+Q174+Q175+N(Q176),"")</f>
        <v>328.4</v>
      </c>
      <c r="R177" s="262">
        <f>IF(ISNUMBER(R170),R170+R174+R175+N(R176),"")</f>
        <v>335.8</v>
      </c>
      <c r="S177" s="262">
        <f>IF(ISNUMBER(S170),S170+S174+S175+N(S176),"")</f>
        <v>1461</v>
      </c>
      <c r="T177" s="262">
        <f>IF(ISNUMBER(T170),T170+T174+T175+N(T176),"")</f>
        <v>344.5</v>
      </c>
      <c r="U177" s="262">
        <f>IF(ISNUMBER(U170),U170+U174+U175+N(U176),"")</f>
        <v>379.2</v>
      </c>
      <c r="V177" s="262">
        <f>IF(ISNUMBER(V170),V170+V174+V175+N(V176),"")</f>
        <v>343.6</v>
      </c>
      <c r="W177" s="262">
        <f>IF(ISNUMBER(W170),W170+W174+W175+N(W176),"")</f>
        <v>312.3</v>
      </c>
      <c r="X177" s="262">
        <f>IF(ISNUMBER(X170),X170+X174+X175+N(X176),"")</f>
        <v>1379.6</v>
      </c>
      <c r="Y177" s="262">
        <f>IF(ISNUMBER(Y170),Y170+Y174+Y175+N(Y176),"")</f>
        <v>275.6</v>
      </c>
      <c r="Z177" s="262">
        <f>IF(ISNUMBER(Z170),Z170+Z174+Z175+N(Z176),"")</f>
        <v>378.9</v>
      </c>
      <c r="AA177" s="262">
        <f>IF(ISNUMBER(AA170),AA170+AA174+AA175+N(AA176),"")</f>
        <v>369</v>
      </c>
      <c r="AB177" s="262">
        <f>IF(ISNUMBER(AB170),AB170+AB174+AB175+N(AB176),"")</f>
        <v>-465.5</v>
      </c>
      <c r="AC177" s="262">
        <f>IF(ISNUMBER(AC170),AC170+AC174+AC175+N(AC176),"")</f>
        <v>558</v>
      </c>
      <c r="AD177" s="262">
        <f>IF(ISNUMBER(AD170),AD170+AD174+AD175+N(AD176),"")</f>
        <v>451.3</v>
      </c>
      <c r="AE177" s="262">
        <f>IF(ISNUMBER(AE170),AE170+AE174+AE175+N(AE176),"")</f>
        <v>462</v>
      </c>
      <c r="AF177" s="262">
        <f>IF(ISNUMBER(AF170),AF170+AF174+AF175+N(AF176),"")</f>
        <v>465.8</v>
      </c>
      <c r="AG177" s="262">
        <f>IF(ISNUMBER(AG170),AG170+AG174+AG175+N(AG176),"")</f>
        <v>407.7</v>
      </c>
      <c r="AH177" s="262">
        <f>IF(ISNUMBER(AH170),AH170+AH174+AH175+N(AH176),"")</f>
        <v>1786.8</v>
      </c>
      <c r="AI177" s="262">
        <f>IF(ISNUMBER(AI170),AI170+AI174+AI175+N(AI176),"")</f>
        <v>441.1</v>
      </c>
      <c r="AJ177" s="262">
        <f>IF(ISNUMBER(AJ170),AJ170+AJ174+AJ175+N(AJ176),"")</f>
        <v>495.5</v>
      </c>
      <c r="AK177" s="262">
        <f>IF(ISNUMBER(AK170),AK170+AK174+AK175+N(AK176),"")</f>
        <v>412.8</v>
      </c>
      <c r="AL177" s="262">
        <f>IF(ISNUMBER(AL170),AL170+AL174+AL175+N(AL176),"")</f>
        <v>321.6</v>
      </c>
      <c r="AM177" s="262">
        <f>IF(ISNUMBER(AM170),AM170+AM174+AM175+N(AM176),"")</f>
        <v>1671</v>
      </c>
      <c r="AN177" s="262">
        <f>IF(ISNUMBER(AN170),AN170+AN174+AN175+N(AN176),"")</f>
        <v>411.5</v>
      </c>
      <c r="AO177" s="262">
        <f>IF(ISNUMBER(AO170),AO170+AO174+AO175+N(AO176),"")</f>
        <v>433.3</v>
      </c>
      <c r="AP177" s="262">
        <f>IF(ISNUMBER(AP170),AP170+AP174+AP175+N(AP176),"")</f>
        <v>512.8</v>
      </c>
      <c r="AQ177" s="262">
        <f>IF(ISNUMBER(AQ170),AQ170+AQ174+AQ175+N(AQ176),"")</f>
        <v>452</v>
      </c>
      <c r="AR177" s="262">
        <f>IF(ISNUMBER(AR170),AR170+AR174+AR175+N(AR176),"")</f>
        <v>1810</v>
      </c>
      <c r="AS177" s="262">
        <f>IF(ISNUMBER(AS170),AS170+AS174+AS175+N(AS176),"")</f>
        <v>564</v>
      </c>
      <c r="AT177" s="262">
        <f>IF(ISNUMBER(AT170),AT170+AT174+AT175+N(AT176),"")</f>
        <v>666</v>
      </c>
      <c r="AU177" s="262">
        <f>IF(ISNUMBER(AU170),AU170+AU174+AU175+N(AU176),"")</f>
        <v>599</v>
      </c>
      <c r="AV177" s="262">
        <f>IF(ISNUMBER(AV170),AV170+AV174+AV175+N(AV176),"")</f>
        <v>400</v>
      </c>
      <c r="AW177" s="262">
        <f>IF(ISNUMBER(AW170),AW170+AW174+AW175+N(AW176),"")</f>
        <v>2229</v>
      </c>
      <c r="AX177" s="262">
        <f>IF(ISNUMBER(AX170),AX170+AX174+AX175+N(AX176),"")</f>
        <v>862</v>
      </c>
      <c r="AY177" s="262">
        <f>IF(ISNUMBER(AY170),AY170+AY174+AY175+N(AY176),"")</f>
        <v>758</v>
      </c>
      <c r="AZ177" s="262">
        <f>IF(ISNUMBER(AZ170),AZ170+AZ174+AZ175+N(AZ176),"")</f>
        <v>619</v>
      </c>
      <c r="BA177" s="262">
        <f>IF(ISNUMBER(BA170),BA170+BA174+BA175+N(BA176),"")</f>
        <v>516</v>
      </c>
      <c r="BB177" s="262">
        <f>IF(ISNUMBER(BB170),BB170+BB174+BB175+N(BB176),"")</f>
        <v>2755</v>
      </c>
      <c r="BC177" s="262">
        <f>IF(ISNUMBER(BC170),BC170+BC174+BC175+N(BC176),"")</f>
        <v>609</v>
      </c>
      <c r="BD177" s="262">
        <f>IF(ISNUMBER(BD170),BD170+BD174+BD175+N(BD176),"")</f>
        <v>443</v>
      </c>
      <c r="BE177" s="262">
        <f>IF(ISNUMBER(BE170),BE170+BE174+BE175+N(BE176),"")</f>
        <v>381</v>
      </c>
      <c r="BF177" s="262">
        <f>IF(ISNUMBER(BF170),BF170+BF174+BF175+N(BF176),"")</f>
        <v>327</v>
      </c>
      <c r="BG177" s="262">
        <f>IF(ISNUMBER(BG170),BG170+BG174+BG175+N(BG176),"")</f>
        <v>1760</v>
      </c>
      <c r="BH177" s="262">
        <f>IF(ISNUMBER(BH170),BH170+BH174+BH175+N(BH176),"")</f>
        <v>506</v>
      </c>
      <c r="BI177" s="262">
        <f>IF(ISNUMBER(BI170),BI170+BI174+BI175+N(BI176),"")</f>
        <v>492</v>
      </c>
      <c r="BJ177" s="262">
        <f>IF(ISNUMBER(BJ170),BJ170+BJ174+BJ175+N(BJ176),"")</f>
        <v>487</v>
      </c>
      <c r="BK177" s="262">
        <f>IF(ISNUMBER(BK170),BK170+BK174+BK175+N(BK176),"")</f>
        <v>450</v>
      </c>
      <c r="BL177" s="262">
        <f>IF(ISNUMBER(BL170),BL170+BL174+BL175+N(BL176),"")</f>
        <v>1935</v>
      </c>
      <c r="BM177" s="262">
        <f>IF(ISNUMBER(BM170),BM170+BM174+BM175+N(BM176),"")</f>
        <v>752</v>
      </c>
      <c r="BN177" s="262">
        <f>IF(ISNUMBER(BN170),BN170+BN174+BN175+N(BN176),"")</f>
        <v>719</v>
      </c>
      <c r="BO177" s="262">
        <f>IF(ISNUMBER(BO170),BO170+BO174+BO175+N(BO176),"")</f>
        <v>703</v>
      </c>
      <c r="BP177" s="262">
        <f>IF(ISNUMBER(BP170),BP170+BP174+BP175+N(BP176),"")</f>
        <v>525</v>
      </c>
      <c r="BQ177" s="262">
        <f>IF(ISNUMBER(BQ170),BQ170+BQ174+BQ175+N(BQ176),"")</f>
        <v>2699</v>
      </c>
      <c r="BR177" s="262">
        <f>IF(ISNUMBER(BR170),BR170+BR174+BR175+N(BR176),"")</f>
        <v>804</v>
      </c>
      <c r="BS177" s="262">
        <f>IF(ISNUMBER(BS170),BS170+BS174+BS175+N(BS176),"")</f>
        <v>772</v>
      </c>
      <c r="BT177" s="262">
        <f>IF(ISNUMBER(BT170),BT170+BT174+BT175+N(BT176),"")</f>
        <v>867</v>
      </c>
      <c r="BU177" s="262">
        <f>IF(ISNUMBER(BU170),BU170+BU174+BU175+N(BU176),"")</f>
        <v>687</v>
      </c>
      <c r="BV177" s="262">
        <f>IF(ISNUMBER(BV170),BV170+BV174+BV175+N(BV176),"")</f>
        <v>3130</v>
      </c>
      <c r="BW177" s="262">
        <f>IF(ISNUMBER(BW170),BW170+BW174+BW175+N(BW176),"")</f>
        <v>870</v>
      </c>
      <c r="BX177" s="262">
        <f>IF(ISNUMBER(BX170),BX170+BX174+BX175+N(BX176),"")</f>
        <v>1171</v>
      </c>
      <c r="BY177" s="263">
        <f>IF(ISNUMBER(BY170),BY170+BY174+BY175+N(BY176),"")</f>
        <v>862.362532557667</v>
      </c>
      <c r="BZ177" s="263">
        <f>IF(ISNUMBER(BZ170),BZ170+BZ174+BZ175+N(BZ176),"")</f>
        <v>837.119462823072</v>
      </c>
      <c r="CA177" s="263">
        <f>IF(ISNUMBER(CA170),CA170+CA174+CA175+N(CA176),"")</f>
        <v>3740.48199538074</v>
      </c>
      <c r="CB177" s="263">
        <f>IF(ISNUMBER(CB170),CB170+CB174+CB175+N(CB176),"")</f>
        <v>3854.05814938588</v>
      </c>
      <c r="CC177" s="263">
        <f>IF(ISNUMBER(CC170),CC170+CC174+CC175+N(CC176),"")</f>
        <v>4238.40185066314</v>
      </c>
      <c r="CD177" s="263">
        <f>IF(ISNUMBER(CD170),CD170+CD174+CD175+N(CD176),"")</f>
        <v>4588.00215243767</v>
      </c>
      <c r="CE177" s="263">
        <f>IF(ISNUMBER(CE170),CE170+CE174+CE175+N(CE176),"")</f>
        <v>4931.73944090996</v>
      </c>
      <c r="CF177" s="153" t="n"/>
    </row>
    <row r="178" ht="15" customHeight="1" s="251">
      <c r="B178" s="25" t="inlineStr">
        <is>
          <t>Provision for income taxes</t>
        </is>
      </c>
      <c r="C178" s="253" t="n">
        <v>506.6</v>
      </c>
      <c r="D178" s="253" t="n">
        <v>415.2</v>
      </c>
      <c r="E178" s="253" t="n">
        <v>268.2</v>
      </c>
      <c r="F178" s="253" t="n">
        <v>239.1</v>
      </c>
      <c r="G178" s="253" t="n">
        <v>201</v>
      </c>
      <c r="H178" s="253" t="n">
        <v>261.8</v>
      </c>
      <c r="I178" s="253" t="n">
        <v>324.3</v>
      </c>
      <c r="J178" s="253" t="n">
        <v>76.09999999999999</v>
      </c>
      <c r="K178" s="253" t="n">
        <v>108.4</v>
      </c>
      <c r="L178" s="253" t="n">
        <v>76.7</v>
      </c>
      <c r="M178" s="253" t="n">
        <v>92.2</v>
      </c>
      <c r="N178" s="253" t="n">
        <v>353.4</v>
      </c>
      <c r="O178" s="253" t="n">
        <v>89.90000000000001</v>
      </c>
      <c r="P178" s="253" t="n">
        <v>160.8</v>
      </c>
      <c r="Q178" s="253" t="n">
        <v>109.9</v>
      </c>
      <c r="R178" s="253" t="n">
        <v>94.40000000000001</v>
      </c>
      <c r="S178" s="253" t="n">
        <v>455</v>
      </c>
      <c r="T178" s="253" t="n">
        <v>113.2</v>
      </c>
      <c r="U178" s="253" t="n">
        <v>115.1</v>
      </c>
      <c r="V178" s="253" t="n">
        <v>109.8</v>
      </c>
      <c r="W178" s="253" t="n">
        <v>91.90000000000001</v>
      </c>
      <c r="X178" s="253" t="n">
        <v>430</v>
      </c>
      <c r="Y178" s="253" t="n">
        <v>89</v>
      </c>
      <c r="Z178" s="253" t="n">
        <v>120.8</v>
      </c>
      <c r="AA178" s="253" t="n">
        <v>112.4</v>
      </c>
      <c r="AB178" s="253" t="n">
        <v>-40</v>
      </c>
      <c r="AC178" s="253" t="n">
        <v>282.2</v>
      </c>
      <c r="AD178" s="253" t="n">
        <v>105.4</v>
      </c>
      <c r="AE178" s="253" t="n">
        <v>148.4</v>
      </c>
      <c r="AF178" s="253" t="n">
        <v>146.1</v>
      </c>
      <c r="AG178" s="253" t="n">
        <v>379.2</v>
      </c>
      <c r="AH178" s="253" t="n">
        <v>779.1</v>
      </c>
      <c r="AI178" s="253" t="n">
        <v>64.3</v>
      </c>
      <c r="AJ178" s="253" t="n">
        <v>117.6</v>
      </c>
      <c r="AK178" s="253" t="n">
        <v>100.8</v>
      </c>
      <c r="AL178" s="253" t="n">
        <v>68.90000000000001</v>
      </c>
      <c r="AM178" s="253" t="n">
        <v>351.6</v>
      </c>
      <c r="AN178" s="253" t="n">
        <v>37.9</v>
      </c>
      <c r="AO178" s="253" t="n">
        <v>121.3</v>
      </c>
      <c r="AP178" s="253" t="n">
        <v>130.4</v>
      </c>
      <c r="AQ178" s="253" t="n">
        <v>91</v>
      </c>
      <c r="AR178" s="253" t="n">
        <v>381</v>
      </c>
      <c r="AS178" s="253" t="n">
        <v>77</v>
      </c>
      <c r="AT178" s="253" t="n">
        <v>157</v>
      </c>
      <c r="AU178" s="253" t="n">
        <v>132</v>
      </c>
      <c r="AV178" s="253" t="n">
        <v>86</v>
      </c>
      <c r="AW178" s="253" t="n">
        <v>452</v>
      </c>
      <c r="AX178" s="253" t="n">
        <v>126</v>
      </c>
      <c r="AY178" s="253" t="n">
        <v>181</v>
      </c>
      <c r="AZ178" s="253" t="n">
        <v>145</v>
      </c>
      <c r="BA178" s="253" t="n">
        <v>89</v>
      </c>
      <c r="BB178" s="253" t="n">
        <v>541</v>
      </c>
      <c r="BC178" s="253" t="n">
        <v>111</v>
      </c>
      <c r="BD178" s="253" t="n">
        <v>116</v>
      </c>
      <c r="BE178" s="253" t="n">
        <v>78</v>
      </c>
      <c r="BF178" s="253" t="n">
        <v>81</v>
      </c>
      <c r="BG178" s="253" t="n">
        <v>386</v>
      </c>
      <c r="BH178" s="253" t="n">
        <v>5</v>
      </c>
      <c r="BI178" s="253" t="n">
        <v>115</v>
      </c>
      <c r="BJ178" s="253" t="n">
        <v>97</v>
      </c>
      <c r="BK178" s="253" t="n">
        <v>110</v>
      </c>
      <c r="BL178" s="253" t="n">
        <v>327</v>
      </c>
      <c r="BM178" s="253" t="n">
        <v>175</v>
      </c>
      <c r="BN178" s="253" t="n">
        <v>166</v>
      </c>
      <c r="BO178" s="253" t="n">
        <v>169</v>
      </c>
      <c r="BP178" s="253" t="n">
        <v>130</v>
      </c>
      <c r="BQ178" s="253" t="n">
        <v>640</v>
      </c>
      <c r="BR178" s="253" t="n">
        <v>179</v>
      </c>
      <c r="BS178" s="253" t="n">
        <v>193</v>
      </c>
      <c r="BT178" s="253" t="n">
        <v>220</v>
      </c>
      <c r="BU178" s="253" t="n">
        <v>76</v>
      </c>
      <c r="BV178" s="253" t="n">
        <v>668</v>
      </c>
      <c r="BW178" s="253" t="n">
        <v>209</v>
      </c>
      <c r="BX178" s="253" t="n">
        <v>292</v>
      </c>
      <c r="BY178" s="254">
        <f>BY177*BY179</f>
        <v>206.96700781384</v>
      </c>
      <c r="BZ178" s="254">
        <f>BZ177*BZ179</f>
        <v>200.908671077537</v>
      </c>
      <c r="CA178" s="254">
        <f>SUM(BW178:BZ178)</f>
        <v>908.875678891377</v>
      </c>
      <c r="CB178" s="254">
        <f>CB177*CB179</f>
        <v>924.973955852611</v>
      </c>
      <c r="CC178" s="254">
        <f>CC177*CC179</f>
        <v>1017.21644415915</v>
      </c>
      <c r="CD178" s="254">
        <f>CD177*CD179</f>
        <v>1101.12051658504</v>
      </c>
      <c r="CE178" s="254">
        <f>CE177*CE179</f>
        <v>1183.61746581839</v>
      </c>
      <c r="CF178" s="19" t="n"/>
    </row>
    <row r="179" ht="15" customHeight="1" s="251">
      <c r="B179" s="25" t="inlineStr">
        <is>
          <t xml:space="preserve">  Effective tax rate</t>
        </is>
      </c>
      <c r="C179" s="215">
        <f>IF(AND(ISNUMBER(C178),ISNUMBER(C177)),IFERROR(C178/C177,""),"")</f>
        <v>0.401904006346688</v>
      </c>
      <c r="D179" s="215">
        <f>IF(AND(ISNUMBER(D178),ISNUMBER(D177)),IFERROR(D178/D177,""),"")</f>
        <v>0.371809796722486</v>
      </c>
      <c r="E179" s="215">
        <f>IF(AND(ISNUMBER(E178),ISNUMBER(E177)),IFERROR(E178/E177,""),"")</f>
        <v>0.369523284651419</v>
      </c>
      <c r="F179" s="215">
        <f>IF(AND(ISNUMBER(F178),ISNUMBER(F177)),IFERROR(F178/F177,""),"")</f>
        <v>0.370009285051068</v>
      </c>
      <c r="G179" s="215">
        <f>IF(AND(ISNUMBER(G178),ISNUMBER(G177)),IFERROR(G178/G177,""),"")</f>
        <v>0.281354983202688</v>
      </c>
      <c r="H179" s="215">
        <f>IF(AND(ISNUMBER(H178),ISNUMBER(H177)),IFERROR(H178/H177,""),"")</f>
        <v>0.311740890688259</v>
      </c>
      <c r="I179" s="215">
        <f>IF(AND(ISNUMBER(I178),ISNUMBER(I177)),IFERROR(I178/I177,""),"")</f>
        <v>0.31669921875</v>
      </c>
      <c r="J179" s="215">
        <f>IF(AND(ISNUMBER(J178),ISNUMBER(J177)),IFERROR(J178/J177,""),"")</f>
        <v>0.284805389221557</v>
      </c>
      <c r="K179" s="215">
        <f>IF(AND(ISNUMBER(K178),ISNUMBER(K177)),IFERROR(K178/K177,""),"")</f>
        <v>0.321852731591449</v>
      </c>
      <c r="L179" s="215">
        <f>IF(AND(ISNUMBER(L178),ISNUMBER(L177)),IFERROR(L178/L177,""),"")</f>
        <v>0.291081593927894</v>
      </c>
      <c r="M179" s="215">
        <f>IF(AND(ISNUMBER(M178),ISNUMBER(M177)),IFERROR(M178/M177,""),"")</f>
        <v>0.305500331345262</v>
      </c>
      <c r="N179" s="215">
        <f>IF(AND(ISNUMBER(N178),ISNUMBER(N177)),IFERROR(N178/N177,""),"")</f>
        <v>0.302232104678013</v>
      </c>
      <c r="O179" s="215">
        <f>IF(AND(ISNUMBER(O178),ISNUMBER(O177)),IFERROR(O178/O177,""),"")</f>
        <v>0.288510911424904</v>
      </c>
      <c r="P179" s="215">
        <f>IF(AND(ISNUMBER(P178),ISNUMBER(P177)),IFERROR(P178/P177,""),"")</f>
        <v>0.331409727947238</v>
      </c>
      <c r="Q179" s="215">
        <f>IF(AND(ISNUMBER(Q178),ISNUMBER(Q177)),IFERROR(Q178/Q177,""),"")</f>
        <v>0.334652862362972</v>
      </c>
      <c r="R179" s="215">
        <f>IF(AND(ISNUMBER(R178),ISNUMBER(R177)),IFERROR(R178/R177,""),"")</f>
        <v>0.281119714115545</v>
      </c>
      <c r="S179" s="215">
        <f>IF(AND(ISNUMBER(S178),ISNUMBER(S177)),IFERROR(S178/S177,""),"")</f>
        <v>0.311430527036276</v>
      </c>
      <c r="T179" s="215">
        <f>IF(AND(ISNUMBER(T178),ISNUMBER(T177)),IFERROR(T178/T177,""),"")</f>
        <v>0.328592162554427</v>
      </c>
      <c r="U179" s="215">
        <f>IF(AND(ISNUMBER(U178),ISNUMBER(U177)),IFERROR(U178/U177,""),"")</f>
        <v>0.303533755274262</v>
      </c>
      <c r="V179" s="215">
        <f>IF(AND(ISNUMBER(V178),ISNUMBER(V177)),IFERROR(V178/V177,""),"")</f>
        <v>0.319557625145518</v>
      </c>
      <c r="W179" s="215">
        <f>IF(AND(ISNUMBER(W178),ISNUMBER(W177)),IFERROR(W178/W177,""),"")</f>
        <v>0.294268331732309</v>
      </c>
      <c r="X179" s="215">
        <f>IF(AND(ISNUMBER(X178),ISNUMBER(X177)),IFERROR(X178/X177,""),"")</f>
        <v>0.311684546245288</v>
      </c>
      <c r="Y179" s="215">
        <f>IF(AND(ISNUMBER(Y178),ISNUMBER(Y177)),IFERROR(Y178/Y177,""),"")</f>
        <v>0.322931785195936</v>
      </c>
      <c r="Z179" s="215">
        <f>IF(AND(ISNUMBER(Z178),ISNUMBER(Z177)),IFERROR(Z178/Z177,""),"")</f>
        <v>0.318817629981526</v>
      </c>
      <c r="AA179" s="215">
        <f>IF(AND(ISNUMBER(AA178),ISNUMBER(AA177)),IFERROR(AA178/AA177,""),"")</f>
        <v>0.304607046070461</v>
      </c>
      <c r="AB179" s="215">
        <f>IF(AND(ISNUMBER(AB178),ISNUMBER(AB177)),IFERROR(AB178/AB177,""),"")</f>
        <v>0.0859291084854995</v>
      </c>
      <c r="AC179" s="215">
        <f>IF(AND(ISNUMBER(AC178),ISNUMBER(AC177)),IFERROR(AC178/AC177,""),"")</f>
        <v>0.50573476702509</v>
      </c>
      <c r="AD179" s="215">
        <f>IF(AND(ISNUMBER(AD178),ISNUMBER(AD177)),IFERROR(AD178/AD177,""),"")</f>
        <v>0.233547529359628</v>
      </c>
      <c r="AE179" s="215">
        <f>IF(AND(ISNUMBER(AE178),ISNUMBER(AE177)),IFERROR(AE178/AE177,""),"")</f>
        <v>0.321212121212121</v>
      </c>
      <c r="AF179" s="215">
        <f>IF(AND(ISNUMBER(AF178),ISNUMBER(AF177)),IFERROR(AF178/AF177,""),"")</f>
        <v>0.313653928724775</v>
      </c>
      <c r="AG179" s="215">
        <f>IF(AND(ISNUMBER(AG178),ISNUMBER(AG177)),IFERROR(AG178/AG177,""),"")</f>
        <v>0.93009565857248</v>
      </c>
      <c r="AH179" s="215">
        <f>IF(AND(ISNUMBER(AH178),ISNUMBER(AH177)),IFERROR(AH178/AH177,""),"")</f>
        <v>0.436030893216924</v>
      </c>
      <c r="AI179" s="215">
        <f>IF(AND(ISNUMBER(AI178),ISNUMBER(AI177)),IFERROR(AI178/AI177,""),"")</f>
        <v>0.145771933801859</v>
      </c>
      <c r="AJ179" s="215">
        <f>IF(AND(ISNUMBER(AJ178),ISNUMBER(AJ177)),IFERROR(AJ178/AJ177,""),"")</f>
        <v>0.237336024217962</v>
      </c>
      <c r="AK179" s="215">
        <f>IF(AND(ISNUMBER(AK178),ISNUMBER(AK177)),IFERROR(AK178/AK177,""),"")</f>
        <v>0.244186046511628</v>
      </c>
      <c r="AL179" s="215">
        <f>IF(AND(ISNUMBER(AL178),ISNUMBER(AL177)),IFERROR(AL178/AL177,""),"")</f>
        <v>0.214241293532338</v>
      </c>
      <c r="AM179" s="215">
        <f>IF(AND(ISNUMBER(AM178),ISNUMBER(AM177)),IFERROR(AM178/AM177,""),"")</f>
        <v>0.210412926391382</v>
      </c>
      <c r="AN179" s="215">
        <f>IF(AND(ISNUMBER(AN178),ISNUMBER(AN177)),IFERROR(AN178/AN177,""),"")</f>
        <v>0.0921020656136088</v>
      </c>
      <c r="AO179" s="215">
        <f>IF(AND(ISNUMBER(AO178),ISNUMBER(AO177)),IFERROR(AO178/AO177,""),"")</f>
        <v>0.279944611123933</v>
      </c>
      <c r="AP179" s="215">
        <f>IF(AND(ISNUMBER(AP178),ISNUMBER(AP177)),IFERROR(AP178/AP177,""),"")</f>
        <v>0.254290171606864</v>
      </c>
      <c r="AQ179" s="215">
        <f>IF(AND(ISNUMBER(AQ178),ISNUMBER(AQ177)),IFERROR(AQ178/AQ177,""),"")</f>
        <v>0.201327433628319</v>
      </c>
      <c r="AR179" s="215">
        <f>IF(AND(ISNUMBER(AR178),ISNUMBER(AR177)),IFERROR(AR178/AR177,""),"")</f>
        <v>0.210497237569061</v>
      </c>
      <c r="AS179" s="215">
        <f>IF(AND(ISNUMBER(AS178),ISNUMBER(AS177)),IFERROR(AS178/AS177,""),"")</f>
        <v>0.136524822695035</v>
      </c>
      <c r="AT179" s="215">
        <f>IF(AND(ISNUMBER(AT178),ISNUMBER(AT177)),IFERROR(AT178/AT177,""),"")</f>
        <v>0.235735735735736</v>
      </c>
      <c r="AU179" s="215">
        <f>IF(AND(ISNUMBER(AU178),ISNUMBER(AU177)),IFERROR(AU178/AU177,""),"")</f>
        <v>0.220367278797997</v>
      </c>
      <c r="AV179" s="215">
        <f>IF(AND(ISNUMBER(AV178),ISNUMBER(AV177)),IFERROR(AV178/AV177,""),"")</f>
        <v>0.215</v>
      </c>
      <c r="AW179" s="215">
        <f>IF(AND(ISNUMBER(AW178),ISNUMBER(AW177)),IFERROR(AW178/AW177,""),"")</f>
        <v>0.202781516375056</v>
      </c>
      <c r="AX179" s="215">
        <f>IF(AND(ISNUMBER(AX178),ISNUMBER(AX177)),IFERROR(AX178/AX177,""),"")</f>
        <v>0.146171693735499</v>
      </c>
      <c r="AY179" s="215">
        <f>IF(AND(ISNUMBER(AY178),ISNUMBER(AY177)),IFERROR(AY178/AY177,""),"")</f>
        <v>0.238786279683377</v>
      </c>
      <c r="AZ179" s="215">
        <f>IF(AND(ISNUMBER(AZ178),ISNUMBER(AZ177)),IFERROR(AZ178/AZ177,""),"")</f>
        <v>0.234248788368336</v>
      </c>
      <c r="BA179" s="215">
        <f>IF(AND(ISNUMBER(BA178),ISNUMBER(BA177)),IFERROR(BA178/BA177,""),"")</f>
        <v>0.172480620155039</v>
      </c>
      <c r="BB179" s="215">
        <f>IF(AND(ISNUMBER(BB178),ISNUMBER(BB177)),IFERROR(BB178/BB177,""),"")</f>
        <v>0.196370235934664</v>
      </c>
      <c r="BC179" s="215">
        <f>IF(AND(ISNUMBER(BC178),ISNUMBER(BC177)),IFERROR(BC178/BC177,""),"")</f>
        <v>0.182266009852217</v>
      </c>
      <c r="BD179" s="215">
        <f>IF(AND(ISNUMBER(BD178),ISNUMBER(BD177)),IFERROR(BD178/BD177,""),"")</f>
        <v>0.261851015801354</v>
      </c>
      <c r="BE179" s="215">
        <f>IF(AND(ISNUMBER(BE178),ISNUMBER(BE177)),IFERROR(BE178/BE177,""),"")</f>
        <v>0.204724409448819</v>
      </c>
      <c r="BF179" s="215">
        <f>IF(AND(ISNUMBER(BF178),ISNUMBER(BF177)),IFERROR(BF178/BF177,""),"")</f>
        <v>0.247706422018349</v>
      </c>
      <c r="BG179" s="215">
        <f>IF(AND(ISNUMBER(BG178),ISNUMBER(BG177)),IFERROR(BG178/BG177,""),"")</f>
        <v>0.219318181818182</v>
      </c>
      <c r="BH179" s="215">
        <f>IF(AND(ISNUMBER(BH178),ISNUMBER(BH177)),IFERROR(BH178/BH177,""),"")</f>
        <v>0.00988142292490119</v>
      </c>
      <c r="BI179" s="215">
        <f>IF(AND(ISNUMBER(BI178),ISNUMBER(BI177)),IFERROR(BI178/BI177,""),"")</f>
        <v>0.233739837398374</v>
      </c>
      <c r="BJ179" s="215">
        <f>IF(AND(ISNUMBER(BJ178),ISNUMBER(BJ177)),IFERROR(BJ178/BJ177,""),"")</f>
        <v>0.19917864476386</v>
      </c>
      <c r="BK179" s="215">
        <f>IF(AND(ISNUMBER(BK178),ISNUMBER(BK177)),IFERROR(BK178/BK177,""),"")</f>
        <v>0.244444444444444</v>
      </c>
      <c r="BL179" s="215">
        <f>IF(AND(ISNUMBER(BL178),ISNUMBER(BL177)),IFERROR(BL178/BL177,""),"")</f>
        <v>0.168992248062016</v>
      </c>
      <c r="BM179" s="215">
        <f>IF(AND(ISNUMBER(BM178),ISNUMBER(BM177)),IFERROR(BM178/BM177,""),"")</f>
        <v>0.232712765957447</v>
      </c>
      <c r="BN179" s="215">
        <f>IF(AND(ISNUMBER(BN178),ISNUMBER(BN177)),IFERROR(BN178/BN177,""),"")</f>
        <v>0.230876216968011</v>
      </c>
      <c r="BO179" s="215">
        <f>IF(AND(ISNUMBER(BO178),ISNUMBER(BO177)),IFERROR(BO178/BO177,""),"")</f>
        <v>0.240398293029872</v>
      </c>
      <c r="BP179" s="215">
        <f>IF(AND(ISNUMBER(BP178),ISNUMBER(BP177)),IFERROR(BP178/BP177,""),"")</f>
        <v>0.247619047619048</v>
      </c>
      <c r="BQ179" s="215">
        <f>IF(AND(ISNUMBER(BQ178),ISNUMBER(BQ177)),IFERROR(BQ178/BQ177,""),"")</f>
        <v>0.237124861059652</v>
      </c>
      <c r="BR179" s="215">
        <f>IF(AND(ISNUMBER(BR178),ISNUMBER(BR177)),IFERROR(BR178/BR177,""),"")</f>
        <v>0.222636815920398</v>
      </c>
      <c r="BS179" s="215">
        <f>IF(AND(ISNUMBER(BS178),ISNUMBER(BS177)),IFERROR(BS178/BS177,""),"")</f>
        <v>0.25</v>
      </c>
      <c r="BT179" s="215">
        <f>IF(AND(ISNUMBER(BT178),ISNUMBER(BT177)),IFERROR(BT178/BT177,""),"")</f>
        <v>0.253748558246828</v>
      </c>
      <c r="BU179" s="215">
        <f>IF(AND(ISNUMBER(BU178),ISNUMBER(BU177)),IFERROR(BU178/BU177,""),"")</f>
        <v>0.110625909752547</v>
      </c>
      <c r="BV179" s="215">
        <f>IF(AND(ISNUMBER(BV178),ISNUMBER(BV177)),IFERROR(BV178/BV177,""),"")</f>
        <v>0.213418530351438</v>
      </c>
      <c r="BW179" s="215">
        <f>IF(AND(ISNUMBER(BW178),ISNUMBER(BW177)),IFERROR(BW178/BW177,""),"")</f>
        <v>0.240229885057471</v>
      </c>
      <c r="BX179" s="215">
        <f>IF(AND(ISNUMBER(BX178),ISNUMBER(BX177)),IFERROR(BX178/BX177,""),"")</f>
        <v>0.24935952177626</v>
      </c>
      <c r="BY179" s="256">
        <f>$CP$31</f>
        <v>0.24</v>
      </c>
      <c r="BZ179" s="256">
        <f>$CP$31</f>
        <v>0.24</v>
      </c>
      <c r="CA179" s="256">
        <f>IF(AND(ISNUMBER(CA178),ISNUMBER(CA177)),IFERROR(CA178/CA177,""),"")</f>
        <v>0.24298357270902</v>
      </c>
      <c r="CB179" s="271" t="n">
        <v>0.24</v>
      </c>
      <c r="CC179" s="271" t="n">
        <v>0.24</v>
      </c>
      <c r="CD179" s="271" t="n">
        <v>0.24</v>
      </c>
      <c r="CE179" s="271" t="n">
        <v>0.24</v>
      </c>
      <c r="CF179" s="153" t="inlineStr">
        <is>
          <t>Q3/Q4-26E: point estimate (FY26 ETR guidance 23–25%). 2027E+: input. The model applies the same rate to adjusting items.</t>
        </is>
      </c>
      <c r="CH179" s="37">
        <f>IFERROR(AVERAGE(CA179,CB179,CC179,CD179,CE179),"n/m")</f>
        <v>0.240596714541804</v>
      </c>
      <c r="CI179" s="37">
        <f>IFERROR(AVERAGE(BB179,BG179,BL179,BQ179,BV179),"n/m")</f>
        <v>0.20704481144519</v>
      </c>
      <c r="CJ179" s="37">
        <f>IFERROR(AVERAGE(AC179,AH179,AM179,AR179,AW179,BB179,BG179,BL179,BQ179,BV179),"n/m")</f>
        <v>0.260068139780346</v>
      </c>
      <c r="CK179" s="37">
        <f>IFERROR(AVERAGE(C179,D179,E179,F179,G179,H179,I179,N179,S179,X179,AC179,AH179,AM179,AR179,AW179,BB179,BG179,BL179,BQ179,BV179),"n/m")</f>
        <v>0.297453502058782</v>
      </c>
    </row>
    <row r="180" ht="15" customHeight="1" s="251">
      <c r="B180" s="16" t="inlineStr">
        <is>
          <t>Net income</t>
        </is>
      </c>
      <c r="C180" s="262">
        <f>IF(ISNUMBER(C177),C177-C178,"")</f>
        <v>753.9</v>
      </c>
      <c r="D180" s="262">
        <f>IF(ISNUMBER(D177),D177-D178,"")</f>
        <v>701.5</v>
      </c>
      <c r="E180" s="262">
        <f>IF(ISNUMBER(E177),E177-E178,"")</f>
        <v>457.6</v>
      </c>
      <c r="F180" s="262">
        <f>IF(ISNUMBER(F177),F177-F178,"")</f>
        <v>407.1</v>
      </c>
      <c r="G180" s="262">
        <f>IF(ISNUMBER(G177),G177-G178,"")</f>
        <v>513.4</v>
      </c>
      <c r="H180" s="262">
        <f>IF(ISNUMBER(H177),H177-H178,"")</f>
        <v>578</v>
      </c>
      <c r="I180" s="262">
        <f>IF(ISNUMBER(I177),I177-I178,"")</f>
        <v>699.7</v>
      </c>
      <c r="J180" s="262">
        <f>IF(ISNUMBER(J177),J177-J178,"")</f>
        <v>191.1</v>
      </c>
      <c r="K180" s="262">
        <f>IF(ISNUMBER(K177),K177-K178,"")</f>
        <v>228.4</v>
      </c>
      <c r="L180" s="262">
        <f>IF(ISNUMBER(L177),L177-L178,"")</f>
        <v>186.8</v>
      </c>
      <c r="M180" s="262">
        <f>IF(ISNUMBER(M177),M177-M178,"")</f>
        <v>209.6</v>
      </c>
      <c r="N180" s="262">
        <f>IF(ISNUMBER(N177),N177-N178,"")</f>
        <v>815.9</v>
      </c>
      <c r="O180" s="262">
        <f>IF(ISNUMBER(O177),O177-O178,"")</f>
        <v>221.7</v>
      </c>
      <c r="P180" s="262">
        <f>IF(ISNUMBER(P177),P177-P178,"")</f>
        <v>324.4</v>
      </c>
      <c r="Q180" s="262">
        <f>IF(ISNUMBER(Q177),Q177-Q178,"")</f>
        <v>218.5</v>
      </c>
      <c r="R180" s="262">
        <f>IF(ISNUMBER(R177),R177-R178,"")</f>
        <v>241.4</v>
      </c>
      <c r="S180" s="262">
        <f>IF(ISNUMBER(S177),S177-S178,"")</f>
        <v>1006</v>
      </c>
      <c r="T180" s="262">
        <f>IF(ISNUMBER(T177),T177-T178,"")</f>
        <v>231.3</v>
      </c>
      <c r="U180" s="262">
        <f>IF(ISNUMBER(U177),U177-U178,"")</f>
        <v>264.1</v>
      </c>
      <c r="V180" s="262">
        <f>IF(ISNUMBER(V177),V177-V178,"")</f>
        <v>233.8</v>
      </c>
      <c r="W180" s="262">
        <f>IF(ISNUMBER(W177),W177-W178,"")</f>
        <v>220.4</v>
      </c>
      <c r="X180" s="262">
        <f>IF(ISNUMBER(X177),X177-X178,"")</f>
        <v>949.6</v>
      </c>
      <c r="Y180" s="262">
        <f>IF(ISNUMBER(Y177),Y177-Y178,"")</f>
        <v>186.6</v>
      </c>
      <c r="Z180" s="262">
        <f>IF(ISNUMBER(Z177),Z177-Z178,"")</f>
        <v>258.1</v>
      </c>
      <c r="AA180" s="262">
        <f>IF(ISNUMBER(AA177),AA177-AA178,"")</f>
        <v>256.6</v>
      </c>
      <c r="AB180" s="262">
        <f>IF(ISNUMBER(AB177),AB177-AB178,"")</f>
        <v>-425.5</v>
      </c>
      <c r="AC180" s="262">
        <f>IF(ISNUMBER(AC177),AC177-AC178,"")</f>
        <v>275.8</v>
      </c>
      <c r="AD180" s="262">
        <f>IF(ISNUMBER(AD177),AD177-AD178,"")</f>
        <v>345.9</v>
      </c>
      <c r="AE180" s="262">
        <f>IF(ISNUMBER(AE177),AE177-AE178,"")</f>
        <v>313.6</v>
      </c>
      <c r="AF180" s="262">
        <f>IF(ISNUMBER(AF177),AF177-AF178,"")</f>
        <v>319.7</v>
      </c>
      <c r="AG180" s="262">
        <f>IF(ISNUMBER(AG177),AG177-AG178,"")</f>
        <v>28.5000000000001</v>
      </c>
      <c r="AH180" s="262">
        <f>IF(ISNUMBER(AH177),AH177-AH178,"")</f>
        <v>1007.7</v>
      </c>
      <c r="AI180" s="262">
        <f>IF(ISNUMBER(AI177),AI177-AI178,"")</f>
        <v>376.8</v>
      </c>
      <c r="AJ180" s="262">
        <f>IF(ISNUMBER(AJ177),AJ177-AJ178,"")</f>
        <v>377.9</v>
      </c>
      <c r="AK180" s="262">
        <f>IF(ISNUMBER(AK177),AK177-AK178,"")</f>
        <v>312</v>
      </c>
      <c r="AL180" s="262">
        <f>IF(ISNUMBER(AL177),AL177-AL178,"")</f>
        <v>252.7</v>
      </c>
      <c r="AM180" s="262">
        <f>IF(ISNUMBER(AM177),AM177-AM178,"")</f>
        <v>1319.4</v>
      </c>
      <c r="AN180" s="262">
        <f>IF(ISNUMBER(AN177),AN177-AN178,"")</f>
        <v>373.6</v>
      </c>
      <c r="AO180" s="262">
        <f>IF(ISNUMBER(AO177),AO177-AO178,"")</f>
        <v>312</v>
      </c>
      <c r="AP180" s="262">
        <f>IF(ISNUMBER(AP177),AP177-AP178,"")</f>
        <v>382.4</v>
      </c>
      <c r="AQ180" s="262">
        <f>IF(ISNUMBER(AQ177),AQ177-AQ178,"")</f>
        <v>361</v>
      </c>
      <c r="AR180" s="262">
        <f>IF(ISNUMBER(AR177),AR177-AR178,"")</f>
        <v>1429</v>
      </c>
      <c r="AS180" s="262">
        <f>IF(ISNUMBER(AS177),AS177-AS178,"")</f>
        <v>487</v>
      </c>
      <c r="AT180" s="262">
        <f>IF(ISNUMBER(AT177),AT177-AT178,"")</f>
        <v>509</v>
      </c>
      <c r="AU180" s="262">
        <f>IF(ISNUMBER(AU177),AU177-AU178,"")</f>
        <v>467</v>
      </c>
      <c r="AV180" s="262">
        <f>IF(ISNUMBER(AV177),AV177-AV178,"")</f>
        <v>314</v>
      </c>
      <c r="AW180" s="262">
        <f>IF(ISNUMBER(AW177),AW177-AW178,"")</f>
        <v>1777</v>
      </c>
      <c r="AX180" s="262">
        <f>IF(ISNUMBER(AX177),AX177-AX178,"")</f>
        <v>736</v>
      </c>
      <c r="AY180" s="262">
        <f>IF(ISNUMBER(AY177),AY177-AY178,"")</f>
        <v>577</v>
      </c>
      <c r="AZ180" s="262">
        <f>IF(ISNUMBER(AZ177),AZ177-AZ178,"")</f>
        <v>474</v>
      </c>
      <c r="BA180" s="262">
        <f>IF(ISNUMBER(BA177),BA177-BA178,"")</f>
        <v>427</v>
      </c>
      <c r="BB180" s="262">
        <f>IF(ISNUMBER(BB177),BB177-BB178,"")</f>
        <v>2214</v>
      </c>
      <c r="BC180" s="262">
        <f>IF(ISNUMBER(BC177),BC177-BC178,"")</f>
        <v>498</v>
      </c>
      <c r="BD180" s="262">
        <f>IF(ISNUMBER(BD177),BD177-BD178,"")</f>
        <v>327</v>
      </c>
      <c r="BE180" s="262">
        <f>IF(ISNUMBER(BE177),BE177-BE178,"")</f>
        <v>303</v>
      </c>
      <c r="BF180" s="262">
        <f>IF(ISNUMBER(BF177),BF177-BF178,"")</f>
        <v>246</v>
      </c>
      <c r="BG180" s="262">
        <f>IF(ISNUMBER(BG177),BG177-BG178,"")</f>
        <v>1374</v>
      </c>
      <c r="BH180" s="262">
        <f>IF(ISNUMBER(BH177),BH177-BH178,"")</f>
        <v>501</v>
      </c>
      <c r="BI180" s="262">
        <f>IF(ISNUMBER(BI177),BI177-BI178,"")</f>
        <v>377</v>
      </c>
      <c r="BJ180" s="262">
        <f>IF(ISNUMBER(BJ177),BJ177-BJ178,"")</f>
        <v>390</v>
      </c>
      <c r="BK180" s="262">
        <f>IF(ISNUMBER(BK177),BK177-BK178,"")</f>
        <v>340</v>
      </c>
      <c r="BL180" s="262">
        <f>IF(ISNUMBER(BL177),BL177-BL178,"")</f>
        <v>1608</v>
      </c>
      <c r="BM180" s="262">
        <f>IF(ISNUMBER(BM177),BM177-BM178,"")</f>
        <v>577</v>
      </c>
      <c r="BN180" s="262">
        <f>IF(ISNUMBER(BN177),BN177-BN178,"")</f>
        <v>553</v>
      </c>
      <c r="BO180" s="262">
        <f>IF(ISNUMBER(BO177),BO177-BO178,"")</f>
        <v>534</v>
      </c>
      <c r="BP180" s="262">
        <f>IF(ISNUMBER(BP177),BP177-BP178,"")</f>
        <v>395</v>
      </c>
      <c r="BQ180" s="262">
        <f>IF(ISNUMBER(BQ177),BQ177-BQ178,"")</f>
        <v>2059</v>
      </c>
      <c r="BR180" s="262">
        <f>IF(ISNUMBER(BR177),BR177-BR178,"")</f>
        <v>625</v>
      </c>
      <c r="BS180" s="262">
        <f>IF(ISNUMBER(BS177),BS177-BS178,"")</f>
        <v>579</v>
      </c>
      <c r="BT180" s="262">
        <f>IF(ISNUMBER(BT177),BT177-BT178,"")</f>
        <v>647</v>
      </c>
      <c r="BU180" s="262">
        <f>IF(ISNUMBER(BU177),BU177-BU178,"")</f>
        <v>611</v>
      </c>
      <c r="BV180" s="262">
        <f>IF(ISNUMBER(BV177),BV177-BV178,"")</f>
        <v>2462</v>
      </c>
      <c r="BW180" s="262">
        <f>IF(ISNUMBER(BW177),BW177-BW178,"")</f>
        <v>661</v>
      </c>
      <c r="BX180" s="262">
        <f>IF(ISNUMBER(BX177),BX177-BX178,"")</f>
        <v>879</v>
      </c>
      <c r="BY180" s="263">
        <f>IF(ISNUMBER(BY177),BY177-BY178,"")</f>
        <v>655.395524743827</v>
      </c>
      <c r="BZ180" s="263">
        <f>IF(ISNUMBER(BZ177),BZ177-BZ178,"")</f>
        <v>636.210791745535</v>
      </c>
      <c r="CA180" s="263">
        <f>IF(ISNUMBER(CA177),CA177-CA178,"")</f>
        <v>2831.60631648936</v>
      </c>
      <c r="CB180" s="263">
        <f>IF(ISNUMBER(CB177),CB177-CB178,"")</f>
        <v>2929.08419353327</v>
      </c>
      <c r="CC180" s="263">
        <f>IF(ISNUMBER(CC177),CC177-CC178,"")</f>
        <v>3221.18540650399</v>
      </c>
      <c r="CD180" s="263">
        <f>IF(ISNUMBER(CD177),CD177-CD178,"")</f>
        <v>3486.88163585263</v>
      </c>
      <c r="CE180" s="263">
        <f>IF(ISNUMBER(CE177),CE177-CE178,"")</f>
        <v>3748.12197509157</v>
      </c>
      <c r="CF180" s="153" t="n"/>
    </row>
    <row r="181" ht="15" customHeight="1" s="251">
      <c r="B181" s="25" t="inlineStr">
        <is>
          <t xml:space="preserve">  Less: net income attributable to noncontrolling interests</t>
        </is>
      </c>
      <c r="C181" s="253" t="n">
        <v>0</v>
      </c>
      <c r="D181" s="253" t="n">
        <v>0</v>
      </c>
      <c r="E181" s="253" t="n">
        <v>0</v>
      </c>
      <c r="F181" s="253" t="n">
        <v>5.1</v>
      </c>
      <c r="G181" s="253" t="n">
        <v>5.6</v>
      </c>
      <c r="H181" s="253" t="n">
        <v>6.6</v>
      </c>
      <c r="I181" s="253" t="n">
        <v>9.699999999999999</v>
      </c>
      <c r="J181" s="253" t="n">
        <v>2.7</v>
      </c>
      <c r="K181" s="253" t="n">
        <v>2.9</v>
      </c>
      <c r="L181" s="253" t="n">
        <v>2.9</v>
      </c>
      <c r="M181" s="253" t="n">
        <v>2.9</v>
      </c>
      <c r="N181" s="253" t="n">
        <v>11.4</v>
      </c>
      <c r="O181" s="253" t="n">
        <v>3.7</v>
      </c>
      <c r="P181" s="253" t="n">
        <v>5.2</v>
      </c>
      <c r="Q181" s="253" t="n">
        <v>3.3</v>
      </c>
      <c r="R181" s="253" t="n">
        <v>5.1</v>
      </c>
      <c r="S181" s="253" t="n">
        <v>17.3</v>
      </c>
      <c r="T181" s="253" t="n">
        <v>1.2</v>
      </c>
      <c r="U181" s="253" t="n">
        <v>2.4</v>
      </c>
      <c r="V181" s="253" t="n">
        <v>2.2</v>
      </c>
      <c r="W181" s="253" t="n">
        <v>2.5</v>
      </c>
      <c r="X181" s="253" t="n">
        <v>8.300000000000001</v>
      </c>
      <c r="Y181" s="253" t="n">
        <v>2.2</v>
      </c>
      <c r="Z181" s="253" t="n">
        <v>2.6</v>
      </c>
      <c r="AA181" s="253" t="n">
        <v>1.3</v>
      </c>
      <c r="AB181" s="253" t="n">
        <v>3.1</v>
      </c>
      <c r="AC181" s="253" t="n">
        <v>9.199999999999999</v>
      </c>
      <c r="AD181" s="253" t="n">
        <v>0.3</v>
      </c>
      <c r="AE181" s="253" t="n">
        <v>1.4</v>
      </c>
      <c r="AF181" s="253" t="n">
        <v>2.4</v>
      </c>
      <c r="AG181" s="253" t="n">
        <v>3</v>
      </c>
      <c r="AH181" s="253" t="n">
        <v>7.1</v>
      </c>
      <c r="AI181" s="253" t="n">
        <v>3.9</v>
      </c>
      <c r="AJ181" s="253" t="n">
        <v>1.7</v>
      </c>
      <c r="AK181" s="253" t="n">
        <v>1.8</v>
      </c>
      <c r="AL181" s="253" t="n">
        <v>2.4</v>
      </c>
      <c r="AM181" s="253" t="n">
        <v>9.800000000000001</v>
      </c>
      <c r="AN181" s="253" t="n">
        <v>0.7</v>
      </c>
      <c r="AO181" s="253" t="n">
        <v>1.7</v>
      </c>
      <c r="AP181" s="253" t="n">
        <v>3</v>
      </c>
      <c r="AQ181" s="253" t="n">
        <v>2</v>
      </c>
      <c r="AR181" s="253" t="n">
        <v>7</v>
      </c>
      <c r="AS181" s="253" t="n">
        <v>-1</v>
      </c>
      <c r="AT181" s="253" t="n">
        <v>0</v>
      </c>
      <c r="AU181" s="253" t="n">
        <v>0</v>
      </c>
      <c r="AV181" s="253" t="n">
        <v>0</v>
      </c>
      <c r="AW181" s="253" t="n">
        <v>-1</v>
      </c>
      <c r="AX181" s="253" t="n">
        <v>0</v>
      </c>
      <c r="AY181" s="253" t="n">
        <v>0</v>
      </c>
      <c r="AZ181" s="253" t="n">
        <v>0</v>
      </c>
      <c r="BA181" s="253" t="n">
        <v>0</v>
      </c>
      <c r="BB181" s="253" t="n">
        <v>0</v>
      </c>
      <c r="BC181" s="253" t="n">
        <v>0</v>
      </c>
      <c r="BD181" s="253" t="n">
        <v>0</v>
      </c>
      <c r="BE181" s="253" t="n">
        <v>0</v>
      </c>
      <c r="BF181" s="253" t="n">
        <v>0</v>
      </c>
      <c r="BG181" s="253" t="n">
        <v>0</v>
      </c>
      <c r="BH181" s="253" t="n">
        <v>0</v>
      </c>
      <c r="BI181" s="253" t="n">
        <v>0</v>
      </c>
      <c r="BJ181" s="253" t="n">
        <v>1</v>
      </c>
      <c r="BK181" s="253" t="n">
        <v>0</v>
      </c>
      <c r="BL181" s="253" t="n">
        <v>1</v>
      </c>
      <c r="BM181" s="253" t="n">
        <v>0</v>
      </c>
      <c r="BN181" s="253" t="n">
        <v>1</v>
      </c>
      <c r="BO181" s="253" t="n">
        <v>0</v>
      </c>
      <c r="BP181" s="253" t="n">
        <v>0</v>
      </c>
      <c r="BQ181" s="253" t="n">
        <v>1</v>
      </c>
      <c r="BR181" s="253" t="n">
        <v>0</v>
      </c>
      <c r="BS181" s="253" t="n">
        <v>1</v>
      </c>
      <c r="BT181" s="253" t="n">
        <v>1</v>
      </c>
      <c r="BU181" s="253" t="n">
        <v>1</v>
      </c>
      <c r="BV181" s="253" t="n">
        <v>3</v>
      </c>
      <c r="BW181" s="253" t="n">
        <v>0</v>
      </c>
      <c r="BX181" s="253" t="n">
        <v>1</v>
      </c>
      <c r="BY181" s="254">
        <f>$CP$32</f>
        <v>1</v>
      </c>
      <c r="BZ181" s="254">
        <f>$CP$32</f>
        <v>1</v>
      </c>
      <c r="CA181" s="254">
        <f>SUM(BW181:BZ181)</f>
        <v>3</v>
      </c>
      <c r="CB181" s="279" t="n">
        <v>4</v>
      </c>
      <c r="CC181" s="279" t="n">
        <v>4</v>
      </c>
      <c r="CD181" s="279" t="n">
        <v>4</v>
      </c>
      <c r="CE181" s="279" t="n">
        <v>4</v>
      </c>
      <c r="CF181" s="19" t="n"/>
    </row>
    <row r="182" ht="15" customHeight="1" s="251">
      <c r="B182" s="55" t="inlineStr">
        <is>
          <t>Net income attributable to Moody's</t>
        </is>
      </c>
      <c r="C182" s="275">
        <f>IF(ISNUMBER(C180),C180-N(C181),"")</f>
        <v>753.9</v>
      </c>
      <c r="D182" s="275">
        <f>IF(ISNUMBER(D180),D180-N(D181),"")</f>
        <v>701.5</v>
      </c>
      <c r="E182" s="275">
        <f>IF(ISNUMBER(E180),E180-N(E181),"")</f>
        <v>457.6</v>
      </c>
      <c r="F182" s="275">
        <f>IF(ISNUMBER(F180),F180-N(F181),"")</f>
        <v>402</v>
      </c>
      <c r="G182" s="275">
        <f>IF(ISNUMBER(G180),G180-N(G181),"")</f>
        <v>507.8</v>
      </c>
      <c r="H182" s="275">
        <f>IF(ISNUMBER(H180),H180-N(H181),"")</f>
        <v>571.4</v>
      </c>
      <c r="I182" s="275">
        <f>IF(ISNUMBER(I180),I180-N(I181),"")</f>
        <v>690</v>
      </c>
      <c r="J182" s="275">
        <f>IF(ISNUMBER(J180),J180-N(J181),"")</f>
        <v>188.4</v>
      </c>
      <c r="K182" s="275">
        <f>IF(ISNUMBER(K180),K180-N(K181),"")</f>
        <v>225.5</v>
      </c>
      <c r="L182" s="275">
        <f>IF(ISNUMBER(L180),L180-N(L181),"")</f>
        <v>183.9</v>
      </c>
      <c r="M182" s="275">
        <f>IF(ISNUMBER(M180),M180-N(M181),"")</f>
        <v>206.7</v>
      </c>
      <c r="N182" s="275">
        <f>IF(ISNUMBER(N180),N180-N(N181),"")</f>
        <v>804.5</v>
      </c>
      <c r="O182" s="275">
        <f>IF(ISNUMBER(O180),O180-N(O181),"")</f>
        <v>218</v>
      </c>
      <c r="P182" s="275">
        <f>IF(ISNUMBER(P180),P180-N(P181),"")</f>
        <v>319.2</v>
      </c>
      <c r="Q182" s="275">
        <f>IF(ISNUMBER(Q180),Q180-N(Q181),"")</f>
        <v>215.2</v>
      </c>
      <c r="R182" s="275">
        <f>IF(ISNUMBER(R180),R180-N(R181),"")</f>
        <v>236.3</v>
      </c>
      <c r="S182" s="275">
        <f>IF(ISNUMBER(S180),S180-N(S181),"")</f>
        <v>988.700000000001</v>
      </c>
      <c r="T182" s="275">
        <f>IF(ISNUMBER(T180),T180-N(T181),"")</f>
        <v>230.1</v>
      </c>
      <c r="U182" s="275">
        <f>IF(ISNUMBER(U180),U180-N(U181),"")</f>
        <v>261.7</v>
      </c>
      <c r="V182" s="275">
        <f>IF(ISNUMBER(V180),V180-N(V181),"")</f>
        <v>231.6</v>
      </c>
      <c r="W182" s="275">
        <f>IF(ISNUMBER(W180),W180-N(W181),"")</f>
        <v>217.9</v>
      </c>
      <c r="X182" s="275">
        <f>IF(ISNUMBER(X180),X180-N(X181),"")</f>
        <v>941.3</v>
      </c>
      <c r="Y182" s="275">
        <f>IF(ISNUMBER(Y180),Y180-N(Y181),"")</f>
        <v>184.4</v>
      </c>
      <c r="Z182" s="275">
        <f>IF(ISNUMBER(Z180),Z180-N(Z181),"")</f>
        <v>255.5</v>
      </c>
      <c r="AA182" s="275">
        <f>IF(ISNUMBER(AA180),AA180-N(AA181),"")</f>
        <v>255.3</v>
      </c>
      <c r="AB182" s="275">
        <f>IF(ISNUMBER(AB180),AB180-N(AB181),"")</f>
        <v>-428.6</v>
      </c>
      <c r="AC182" s="275">
        <f>IF(ISNUMBER(AC180),AC180-N(AC181),"")</f>
        <v>266.6</v>
      </c>
      <c r="AD182" s="275">
        <f>IF(ISNUMBER(AD180),AD180-N(AD181),"")</f>
        <v>345.6</v>
      </c>
      <c r="AE182" s="275">
        <f>IF(ISNUMBER(AE180),AE180-N(AE181),"")</f>
        <v>312.2</v>
      </c>
      <c r="AF182" s="275">
        <f>IF(ISNUMBER(AF180),AF180-N(AF181),"")</f>
        <v>317.3</v>
      </c>
      <c r="AG182" s="275">
        <f>IF(ISNUMBER(AG180),AG180-N(AG181),"")</f>
        <v>25.5000000000001</v>
      </c>
      <c r="AH182" s="275">
        <f>IF(ISNUMBER(AH180),AH180-N(AH181),"")</f>
        <v>1000.6</v>
      </c>
      <c r="AI182" s="275">
        <f>IF(ISNUMBER(AI180),AI180-N(AI181),"")</f>
        <v>372.9</v>
      </c>
      <c r="AJ182" s="275">
        <f>IF(ISNUMBER(AJ180),AJ180-N(AJ181),"")</f>
        <v>376.2</v>
      </c>
      <c r="AK182" s="275">
        <f>IF(ISNUMBER(AK180),AK180-N(AK181),"")</f>
        <v>310.2</v>
      </c>
      <c r="AL182" s="275">
        <f>IF(ISNUMBER(AL180),AL180-N(AL181),"")</f>
        <v>250.3</v>
      </c>
      <c r="AM182" s="275">
        <f>IF(ISNUMBER(AM180),AM180-N(AM181),"")</f>
        <v>1309.6</v>
      </c>
      <c r="AN182" s="275">
        <f>IF(ISNUMBER(AN180),AN180-N(AN181),"")</f>
        <v>372.9</v>
      </c>
      <c r="AO182" s="275">
        <f>IF(ISNUMBER(AO180),AO180-N(AO181),"")</f>
        <v>310.3</v>
      </c>
      <c r="AP182" s="275">
        <f>IF(ISNUMBER(AP180),AP180-N(AP181),"")</f>
        <v>379.4</v>
      </c>
      <c r="AQ182" s="275">
        <f>IF(ISNUMBER(AQ180),AQ180-N(AQ181),"")</f>
        <v>359</v>
      </c>
      <c r="AR182" s="275">
        <f>IF(ISNUMBER(AR180),AR180-N(AR181),"")</f>
        <v>1422</v>
      </c>
      <c r="AS182" s="275">
        <f>IF(ISNUMBER(AS180),AS180-N(AS181),"")</f>
        <v>488</v>
      </c>
      <c r="AT182" s="275">
        <f>IF(ISNUMBER(AT180),AT180-N(AT181),"")</f>
        <v>509</v>
      </c>
      <c r="AU182" s="275">
        <f>IF(ISNUMBER(AU180),AU180-N(AU181),"")</f>
        <v>467</v>
      </c>
      <c r="AV182" s="275">
        <f>IF(ISNUMBER(AV180),AV180-N(AV181),"")</f>
        <v>314</v>
      </c>
      <c r="AW182" s="275">
        <f>IF(ISNUMBER(AW180),AW180-N(AW181),"")</f>
        <v>1778</v>
      </c>
      <c r="AX182" s="275">
        <f>IF(ISNUMBER(AX180),AX180-N(AX181),"")</f>
        <v>736</v>
      </c>
      <c r="AY182" s="275">
        <f>IF(ISNUMBER(AY180),AY180-N(AY181),"")</f>
        <v>577</v>
      </c>
      <c r="AZ182" s="275">
        <f>IF(ISNUMBER(AZ180),AZ180-N(AZ181),"")</f>
        <v>474</v>
      </c>
      <c r="BA182" s="275">
        <f>IF(ISNUMBER(BA180),BA180-N(BA181),"")</f>
        <v>427</v>
      </c>
      <c r="BB182" s="275">
        <f>IF(ISNUMBER(BB180),BB180-N(BB181),"")</f>
        <v>2214</v>
      </c>
      <c r="BC182" s="275">
        <f>IF(ISNUMBER(BC180),BC180-N(BC181),"")</f>
        <v>498</v>
      </c>
      <c r="BD182" s="275">
        <f>IF(ISNUMBER(BD180),BD180-N(BD181),"")</f>
        <v>327</v>
      </c>
      <c r="BE182" s="275">
        <f>IF(ISNUMBER(BE180),BE180-N(BE181),"")</f>
        <v>303</v>
      </c>
      <c r="BF182" s="275">
        <f>IF(ISNUMBER(BF180),BF180-N(BF181),"")</f>
        <v>246</v>
      </c>
      <c r="BG182" s="275">
        <f>IF(ISNUMBER(BG180),BG180-N(BG181),"")</f>
        <v>1374</v>
      </c>
      <c r="BH182" s="275">
        <f>IF(ISNUMBER(BH180),BH180-N(BH181),"")</f>
        <v>501</v>
      </c>
      <c r="BI182" s="275">
        <f>IF(ISNUMBER(BI180),BI180-N(BI181),"")</f>
        <v>377</v>
      </c>
      <c r="BJ182" s="275">
        <f>IF(ISNUMBER(BJ180),BJ180-N(BJ181),"")</f>
        <v>389</v>
      </c>
      <c r="BK182" s="275">
        <f>IF(ISNUMBER(BK180),BK180-N(BK181),"")</f>
        <v>340</v>
      </c>
      <c r="BL182" s="275">
        <f>IF(ISNUMBER(BL180),BL180-N(BL181),"")</f>
        <v>1607</v>
      </c>
      <c r="BM182" s="275">
        <f>IF(ISNUMBER(BM180),BM180-N(BM181),"")</f>
        <v>577</v>
      </c>
      <c r="BN182" s="275">
        <f>IF(ISNUMBER(BN180),BN180-N(BN181),"")</f>
        <v>552</v>
      </c>
      <c r="BO182" s="275">
        <f>IF(ISNUMBER(BO180),BO180-N(BO181),"")</f>
        <v>534</v>
      </c>
      <c r="BP182" s="275">
        <f>IF(ISNUMBER(BP180),BP180-N(BP181),"")</f>
        <v>395</v>
      </c>
      <c r="BQ182" s="275">
        <f>IF(ISNUMBER(BQ180),BQ180-N(BQ181),"")</f>
        <v>2058</v>
      </c>
      <c r="BR182" s="275">
        <f>IF(ISNUMBER(BR180),BR180-N(BR181),"")</f>
        <v>625</v>
      </c>
      <c r="BS182" s="275">
        <f>IF(ISNUMBER(BS180),BS180-N(BS181),"")</f>
        <v>578</v>
      </c>
      <c r="BT182" s="275">
        <f>IF(ISNUMBER(BT180),BT180-N(BT181),"")</f>
        <v>646</v>
      </c>
      <c r="BU182" s="275">
        <f>IF(ISNUMBER(BU180),BU180-N(BU181),"")</f>
        <v>610</v>
      </c>
      <c r="BV182" s="275">
        <f>IF(ISNUMBER(BV180),BV180-N(BV181),"")</f>
        <v>2459</v>
      </c>
      <c r="BW182" s="275">
        <f>IF(ISNUMBER(BW180),BW180-N(BW181),"")</f>
        <v>661</v>
      </c>
      <c r="BX182" s="275">
        <f>IF(ISNUMBER(BX180),BX180-N(BX181),"")</f>
        <v>878</v>
      </c>
      <c r="BY182" s="275">
        <f>IF(ISNUMBER(BY180),BY180-N(BY181),"")</f>
        <v>654.395524743827</v>
      </c>
      <c r="BZ182" s="275">
        <f>IF(ISNUMBER(BZ180),BZ180-N(BZ181),"")</f>
        <v>635.210791745535</v>
      </c>
      <c r="CA182" s="275">
        <f>IF(ISNUMBER(CA180),CA180-N(CA181),"")</f>
        <v>2828.60631648936</v>
      </c>
      <c r="CB182" s="275">
        <f>IF(ISNUMBER(CB180),CB180-N(CB181),"")</f>
        <v>2925.08419353327</v>
      </c>
      <c r="CC182" s="275">
        <f>IF(ISNUMBER(CC180),CC180-N(CC181),"")</f>
        <v>3217.18540650399</v>
      </c>
      <c r="CD182" s="275">
        <f>IF(ISNUMBER(CD180),CD180-N(CD181),"")</f>
        <v>3482.88163585263</v>
      </c>
      <c r="CE182" s="275">
        <f>IF(ISNUMBER(CE180),CE180-N(CE181),"")</f>
        <v>3744.12197509157</v>
      </c>
      <c r="CF182" s="153" t="n"/>
      <c r="CH182" s="20">
        <f>IFERROR((CE182/BV182)^(1/5)-1,"n/m")</f>
        <v>0.0877229502943275</v>
      </c>
      <c r="CI182" s="20">
        <f>IFERROR((BV182/AW182)^(1/5)-1,"n/m")</f>
        <v>0.0670022971562181</v>
      </c>
      <c r="CJ182" s="20">
        <f>IFERROR((BV182/X182)^(1/10)-1,"n/m")</f>
        <v>0.100786378971503</v>
      </c>
      <c r="CK182" s="20">
        <f>IFERROR((BV182/C182)^(1/19)-1,"n/m")</f>
        <v>0.0642003802317843</v>
      </c>
    </row>
    <row r="183" ht="15" customHeight="1" s="251">
      <c r="B183" s="57" t="inlineStr">
        <is>
          <t xml:space="preserve">  Check: net income attributable vs reported (should be 0)</t>
        </is>
      </c>
      <c r="C183" s="261">
        <f>IF(ISNUMBER(C184),IF(ABS(C182-C184)&lt;=1.5,0,ROUND(C182-C184,1)),"")</f>
        <v>0</v>
      </c>
      <c r="D183" s="261">
        <f>IF(ISNUMBER(D184),IF(ABS(D182-D184)&lt;=1.5,0,ROUND(D182-D184,1)),"")</f>
        <v>0</v>
      </c>
      <c r="E183" s="261">
        <f>IF(ISNUMBER(E184),IF(ABS(E182-E184)&lt;=1.5,0,ROUND(E182-E184,1)),"")</f>
        <v>0</v>
      </c>
      <c r="F183" s="261">
        <f>IF(ISNUMBER(F184),IF(ABS(F182-F184)&lt;=1.5,0,ROUND(F182-F184,1)),"")</f>
        <v>0</v>
      </c>
      <c r="G183" s="261">
        <f>IF(ISNUMBER(G184),IF(ABS(G182-G184)&lt;=1.5,0,ROUND(G182-G184,1)),"")</f>
        <v>0</v>
      </c>
      <c r="H183" s="261">
        <f>IF(ISNUMBER(H184),IF(ABS(H182-H184)&lt;=1.5,0,ROUND(H182-H184,1)),"")</f>
        <v>0</v>
      </c>
      <c r="I183" s="261">
        <f>IF(ISNUMBER(I184),IF(ABS(I182-I184)&lt;=1.5,0,ROUND(I182-I184,1)),"")</f>
        <v>0</v>
      </c>
      <c r="J183" s="261">
        <f>IF(ISNUMBER(J184),IF(ABS(J182-J184)&lt;=1.5,0,ROUND(J182-J184,1)),"")</f>
        <v>0</v>
      </c>
      <c r="K183" s="261">
        <f>IF(ISNUMBER(K184),IF(ABS(K182-K184)&lt;=1.5,0,ROUND(K182-K184,1)),"")</f>
        <v>0</v>
      </c>
      <c r="L183" s="261">
        <f>IF(ISNUMBER(L184),IF(ABS(L182-L184)&lt;=1.5,0,ROUND(L182-L184,1)),"")</f>
        <v>0</v>
      </c>
      <c r="M183" s="261">
        <f>IF(ISNUMBER(M184),IF(ABS(M182-M184)&lt;=1.5,0,ROUND(M182-M184,1)),"")</f>
        <v>0</v>
      </c>
      <c r="N183" s="261">
        <f>IF(ISNUMBER(N184),IF(ABS(N182-N184)&lt;=1.5,0,ROUND(N182-N184,1)),"")</f>
        <v>0</v>
      </c>
      <c r="O183" s="261">
        <f>IF(ISNUMBER(O184),IF(ABS(O182-O184)&lt;=1.5,0,ROUND(O182-O184,1)),"")</f>
        <v>0</v>
      </c>
      <c r="P183" s="261">
        <f>IF(ISNUMBER(P184),IF(ABS(P182-P184)&lt;=1.5,0,ROUND(P182-P184,1)),"")</f>
        <v>0</v>
      </c>
      <c r="Q183" s="261">
        <f>IF(ISNUMBER(Q184),IF(ABS(Q182-Q184)&lt;=1.5,0,ROUND(Q182-Q184,1)),"")</f>
        <v>0</v>
      </c>
      <c r="R183" s="261">
        <f>IF(ISNUMBER(R184),IF(ABS(R182-R184)&lt;=1.5,0,ROUND(R182-R184,1)),"")</f>
        <v>0</v>
      </c>
      <c r="S183" s="261">
        <f>IF(ISNUMBER(S184),IF(ABS(S182-S184)&lt;=1.5,0,ROUND(S182-S184,1)),"")</f>
        <v>0</v>
      </c>
      <c r="T183" s="261">
        <f>IF(ISNUMBER(T184),IF(ABS(T182-T184)&lt;=1.5,0,ROUND(T182-T184,1)),"")</f>
        <v>0</v>
      </c>
      <c r="U183" s="261">
        <f>IF(ISNUMBER(U184),IF(ABS(U182-U184)&lt;=1.5,0,ROUND(U182-U184,1)),"")</f>
        <v>0</v>
      </c>
      <c r="V183" s="261">
        <f>IF(ISNUMBER(V184),IF(ABS(V182-V184)&lt;=1.5,0,ROUND(V182-V184,1)),"")</f>
        <v>0</v>
      </c>
      <c r="W183" s="261">
        <f>IF(ISNUMBER(W184),IF(ABS(W182-W184)&lt;=1.5,0,ROUND(W182-W184,1)),"")</f>
        <v>0</v>
      </c>
      <c r="X183" s="261">
        <f>IF(ISNUMBER(X184),IF(ABS(X182-X184)&lt;=1.5,0,ROUND(X182-X184,1)),"")</f>
        <v>0</v>
      </c>
      <c r="Y183" s="261">
        <f>IF(ISNUMBER(Y184),IF(ABS(Y182-Y184)&lt;=1.5,0,ROUND(Y182-Y184,1)),"")</f>
        <v>0</v>
      </c>
      <c r="Z183" s="261">
        <f>IF(ISNUMBER(Z184),IF(ABS(Z182-Z184)&lt;=1.5,0,ROUND(Z182-Z184,1)),"")</f>
        <v>0</v>
      </c>
      <c r="AA183" s="261">
        <f>IF(ISNUMBER(AA184),IF(ABS(AA182-AA184)&lt;=1.5,0,ROUND(AA182-AA184,1)),"")</f>
        <v>0</v>
      </c>
      <c r="AB183" s="261">
        <f>IF(ISNUMBER(AB184),IF(ABS(AB182-AB184)&lt;=1.5,0,ROUND(AB182-AB184,1)),"")</f>
        <v>0</v>
      </c>
      <c r="AC183" s="261">
        <f>IF(ISNUMBER(AC184),IF(ABS(AC182-AC184)&lt;=1.5,0,ROUND(AC182-AC184,1)),"")</f>
        <v>0</v>
      </c>
      <c r="AD183" s="261">
        <f>IF(ISNUMBER(AD184),IF(ABS(AD182-AD184)&lt;=1.5,0,ROUND(AD182-AD184,1)),"")</f>
        <v>0</v>
      </c>
      <c r="AE183" s="261">
        <f>IF(ISNUMBER(AE184),IF(ABS(AE182-AE184)&lt;=1.5,0,ROUND(AE182-AE184,1)),"")</f>
        <v>0</v>
      </c>
      <c r="AF183" s="261">
        <f>IF(ISNUMBER(AF184),IF(ABS(AF182-AF184)&lt;=1.5,0,ROUND(AF182-AF184,1)),"")</f>
        <v>0</v>
      </c>
      <c r="AG183" s="261">
        <f>IF(ISNUMBER(AG184),IF(ABS(AG182-AG184)&lt;=1.5,0,ROUND(AG182-AG184,1)),"")</f>
        <v>0</v>
      </c>
      <c r="AH183" s="261">
        <f>IF(ISNUMBER(AH184),IF(ABS(AH182-AH184)&lt;=1.5,0,ROUND(AH182-AH184,1)),"")</f>
        <v>0</v>
      </c>
      <c r="AI183" s="261">
        <f>IF(ISNUMBER(AI184),IF(ABS(AI182-AI184)&lt;=1.5,0,ROUND(AI182-AI184,1)),"")</f>
        <v>0</v>
      </c>
      <c r="AJ183" s="261">
        <f>IF(ISNUMBER(AJ184),IF(ABS(AJ182-AJ184)&lt;=1.5,0,ROUND(AJ182-AJ184,1)),"")</f>
        <v>0</v>
      </c>
      <c r="AK183" s="261">
        <f>IF(ISNUMBER(AK184),IF(ABS(AK182-AK184)&lt;=1.5,0,ROUND(AK182-AK184,1)),"")</f>
        <v>0</v>
      </c>
      <c r="AL183" s="261">
        <f>IF(ISNUMBER(AL184),IF(ABS(AL182-AL184)&lt;=1.5,0,ROUND(AL182-AL184,1)),"")</f>
        <v>0</v>
      </c>
      <c r="AM183" s="261">
        <f>IF(ISNUMBER(AM184),IF(ABS(AM182-AM184)&lt;=1.5,0,ROUND(AM182-AM184,1)),"")</f>
        <v>0</v>
      </c>
      <c r="AN183" s="261">
        <f>IF(ISNUMBER(AN184),IF(ABS(AN182-AN184)&lt;=1.5,0,ROUND(AN182-AN184,1)),"")</f>
        <v>0</v>
      </c>
      <c r="AO183" s="261">
        <f>IF(ISNUMBER(AO184),IF(ABS(AO182-AO184)&lt;=1.5,0,ROUND(AO182-AO184,1)),"")</f>
        <v>0</v>
      </c>
      <c r="AP183" s="261">
        <f>IF(ISNUMBER(AP184),IF(ABS(AP182-AP184)&lt;=1.5,0,ROUND(AP182-AP184,1)),"")</f>
        <v>0</v>
      </c>
      <c r="AQ183" s="261">
        <f>IF(ISNUMBER(AQ184),IF(ABS(AQ182-AQ184)&lt;=1.5,0,ROUND(AQ182-AQ184,1)),"")</f>
        <v>0</v>
      </c>
      <c r="AR183" s="261">
        <f>IF(ISNUMBER(AR184),IF(ABS(AR182-AR184)&lt;=1.5,0,ROUND(AR182-AR184,1)),"")</f>
        <v>0</v>
      </c>
      <c r="AS183" s="261">
        <f>IF(ISNUMBER(AS184),IF(ABS(AS182-AS184)&lt;=1.5,0,ROUND(AS182-AS184,1)),"")</f>
        <v>0</v>
      </c>
      <c r="AT183" s="261">
        <f>IF(ISNUMBER(AT184),IF(ABS(AT182-AT184)&lt;=1.5,0,ROUND(AT182-AT184,1)),"")</f>
        <v>0</v>
      </c>
      <c r="AU183" s="261">
        <f>IF(ISNUMBER(AU184),IF(ABS(AU182-AU184)&lt;=1.5,0,ROUND(AU182-AU184,1)),"")</f>
        <v>0</v>
      </c>
      <c r="AV183" s="261">
        <f>IF(ISNUMBER(AV184),IF(ABS(AV182-AV184)&lt;=1.5,0,ROUND(AV182-AV184,1)),"")</f>
        <v>0</v>
      </c>
      <c r="AW183" s="261">
        <f>IF(ISNUMBER(AW184),IF(ABS(AW182-AW184)&lt;=1.5,0,ROUND(AW182-AW184,1)),"")</f>
        <v>0</v>
      </c>
      <c r="AX183" s="261">
        <f>IF(ISNUMBER(AX184),IF(ABS(AX182-AX184)&lt;=1.5,0,ROUND(AX182-AX184,1)),"")</f>
        <v>0</v>
      </c>
      <c r="AY183" s="261">
        <f>IF(ISNUMBER(AY184),IF(ABS(AY182-AY184)&lt;=1.5,0,ROUND(AY182-AY184,1)),"")</f>
        <v>0</v>
      </c>
      <c r="AZ183" s="261">
        <f>IF(ISNUMBER(AZ184),IF(ABS(AZ182-AZ184)&lt;=1.5,0,ROUND(AZ182-AZ184,1)),"")</f>
        <v>0</v>
      </c>
      <c r="BA183" s="261">
        <f>IF(ISNUMBER(BA184),IF(ABS(BA182-BA184)&lt;=1.5,0,ROUND(BA182-BA184,1)),"")</f>
        <v>0</v>
      </c>
      <c r="BB183" s="261">
        <f>IF(ISNUMBER(BB184),IF(ABS(BB182-BB184)&lt;=1.5,0,ROUND(BB182-BB184,1)),"")</f>
        <v>0</v>
      </c>
      <c r="BC183" s="261">
        <f>IF(ISNUMBER(BC184),IF(ABS(BC182-BC184)&lt;=1.5,0,ROUND(BC182-BC184,1)),"")</f>
        <v>0</v>
      </c>
      <c r="BD183" s="261">
        <f>IF(ISNUMBER(BD184),IF(ABS(BD182-BD184)&lt;=1.5,0,ROUND(BD182-BD184,1)),"")</f>
        <v>0</v>
      </c>
      <c r="BE183" s="261">
        <f>IF(ISNUMBER(BE184),IF(ABS(BE182-BE184)&lt;=1.5,0,ROUND(BE182-BE184,1)),"")</f>
        <v>0</v>
      </c>
      <c r="BF183" s="261">
        <f>IF(ISNUMBER(BF184),IF(ABS(BF182-BF184)&lt;=1.5,0,ROUND(BF182-BF184,1)),"")</f>
        <v>0</v>
      </c>
      <c r="BG183" s="261">
        <f>IF(ISNUMBER(BG184),IF(ABS(BG182-BG184)&lt;=1.5,0,ROUND(BG182-BG184,1)),"")</f>
        <v>0</v>
      </c>
      <c r="BH183" s="261">
        <f>IF(ISNUMBER(BH184),IF(ABS(BH182-BH184)&lt;=1.5,0,ROUND(BH182-BH184,1)),"")</f>
        <v>0</v>
      </c>
      <c r="BI183" s="261">
        <f>IF(ISNUMBER(BI184),IF(ABS(BI182-BI184)&lt;=1.5,0,ROUND(BI182-BI184,1)),"")</f>
        <v>0</v>
      </c>
      <c r="BJ183" s="261">
        <f>IF(ISNUMBER(BJ184),IF(ABS(BJ182-BJ184)&lt;=1.5,0,ROUND(BJ182-BJ184,1)),"")</f>
        <v>0</v>
      </c>
      <c r="BK183" s="261">
        <f>IF(ISNUMBER(BK184),IF(ABS(BK182-BK184)&lt;=1.5,0,ROUND(BK182-BK184,1)),"")</f>
        <v>0</v>
      </c>
      <c r="BL183" s="261">
        <f>IF(ISNUMBER(BL184),IF(ABS(BL182-BL184)&lt;=1.5,0,ROUND(BL182-BL184,1)),"")</f>
        <v>0</v>
      </c>
      <c r="BM183" s="261">
        <f>IF(ISNUMBER(BM184),IF(ABS(BM182-BM184)&lt;=1.5,0,ROUND(BM182-BM184,1)),"")</f>
        <v>0</v>
      </c>
      <c r="BN183" s="261">
        <f>IF(ISNUMBER(BN184),IF(ABS(BN182-BN184)&lt;=1.5,0,ROUND(BN182-BN184,1)),"")</f>
        <v>0</v>
      </c>
      <c r="BO183" s="261">
        <f>IF(ISNUMBER(BO184),IF(ABS(BO182-BO184)&lt;=1.5,0,ROUND(BO182-BO184,1)),"")</f>
        <v>0</v>
      </c>
      <c r="BP183" s="261">
        <f>IF(ISNUMBER(BP184),IF(ABS(BP182-BP184)&lt;=1.5,0,ROUND(BP182-BP184,1)),"")</f>
        <v>0</v>
      </c>
      <c r="BQ183" s="261">
        <f>IF(ISNUMBER(BQ184),IF(ABS(BQ182-BQ184)&lt;=1.5,0,ROUND(BQ182-BQ184,1)),"")</f>
        <v>0</v>
      </c>
      <c r="BR183" s="261">
        <f>IF(ISNUMBER(BR184),IF(ABS(BR182-BR184)&lt;=1.5,0,ROUND(BR182-BR184,1)),"")</f>
        <v>0</v>
      </c>
      <c r="BS183" s="261">
        <f>IF(ISNUMBER(BS184),IF(ABS(BS182-BS184)&lt;=1.5,0,ROUND(BS182-BS184,1)),"")</f>
        <v>0</v>
      </c>
      <c r="BT183" s="261">
        <f>IF(ISNUMBER(BT184),IF(ABS(BT182-BT184)&lt;=1.5,0,ROUND(BT182-BT184,1)),"")</f>
        <v>0</v>
      </c>
      <c r="BU183" s="261">
        <f>IF(ISNUMBER(BU184),IF(ABS(BU182-BU184)&lt;=1.5,0,ROUND(BU182-BU184,1)),"")</f>
        <v>0</v>
      </c>
      <c r="BV183" s="261">
        <f>IF(ISNUMBER(BV184),IF(ABS(BV182-BV184)&lt;=1.5,0,ROUND(BV182-BV184,1)),"")</f>
        <v>0</v>
      </c>
      <c r="BW183" s="261">
        <f>IF(ISNUMBER(BW184),IF(ABS(BW182-BW184)&lt;=1.5,0,ROUND(BW182-BW184,1)),"")</f>
        <v>0</v>
      </c>
      <c r="BX183" s="261">
        <f>IF(ISNUMBER(BX184),IF(ABS(BX182-BX184)&lt;=1.5,0,ROUND(BX182-BX184,1)),"")</f>
        <v>0</v>
      </c>
      <c r="BY183" s="153" t="n"/>
      <c r="BZ183" s="153" t="n"/>
      <c r="CA183" s="153" t="n"/>
      <c r="CB183" s="153" t="n"/>
      <c r="CC183" s="153" t="n"/>
      <c r="CD183" s="153" t="n"/>
      <c r="CE183" s="153" t="n"/>
      <c r="CF183" s="153" t="n"/>
    </row>
    <row r="184" ht="15" customHeight="1" s="251">
      <c r="B184" s="156" t="inlineStr">
        <is>
          <t xml:space="preserve">  Memo: net income attributable to Moody's as reported</t>
        </is>
      </c>
      <c r="C184" s="253" t="n">
        <v>753.9</v>
      </c>
      <c r="D184" s="253" t="n">
        <v>701.5</v>
      </c>
      <c r="E184" s="253" t="n">
        <v>457.6</v>
      </c>
      <c r="F184" s="253" t="n">
        <v>402</v>
      </c>
      <c r="G184" s="253" t="n">
        <v>507.8</v>
      </c>
      <c r="H184" s="253" t="n">
        <v>571.4</v>
      </c>
      <c r="I184" s="253" t="n">
        <v>690</v>
      </c>
      <c r="J184" s="253" t="n">
        <v>188.4</v>
      </c>
      <c r="K184" s="253" t="n">
        <v>225.5</v>
      </c>
      <c r="L184" s="253" t="n">
        <v>183.9</v>
      </c>
      <c r="M184" s="253" t="n">
        <v>206.7</v>
      </c>
      <c r="N184" s="253" t="n">
        <v>804.5</v>
      </c>
      <c r="O184" s="253" t="n">
        <v>218</v>
      </c>
      <c r="P184" s="253" t="n">
        <v>319.2</v>
      </c>
      <c r="Q184" s="253" t="n">
        <v>215.2</v>
      </c>
      <c r="R184" s="253" t="n">
        <v>236.3</v>
      </c>
      <c r="S184" s="253" t="n">
        <v>988.7</v>
      </c>
      <c r="T184" s="253" t="n">
        <v>230.1</v>
      </c>
      <c r="U184" s="253" t="n">
        <v>261.7</v>
      </c>
      <c r="V184" s="253" t="n">
        <v>231.6</v>
      </c>
      <c r="W184" s="253" t="n">
        <v>217.9</v>
      </c>
      <c r="X184" s="253" t="n">
        <v>941.3</v>
      </c>
      <c r="Y184" s="253" t="n">
        <v>184.4</v>
      </c>
      <c r="Z184" s="253" t="n">
        <v>255.5</v>
      </c>
      <c r="AA184" s="253" t="n">
        <v>255.3</v>
      </c>
      <c r="AB184" s="253" t="n">
        <v>-428.6</v>
      </c>
      <c r="AC184" s="253" t="n">
        <v>266.6</v>
      </c>
      <c r="AD184" s="253" t="n">
        <v>345.6</v>
      </c>
      <c r="AE184" s="253" t="n">
        <v>312.2</v>
      </c>
      <c r="AF184" s="253" t="n">
        <v>317.3</v>
      </c>
      <c r="AG184" s="253" t="n">
        <v>25.5</v>
      </c>
      <c r="AH184" s="253" t="n">
        <v>1000.6</v>
      </c>
      <c r="AI184" s="253" t="n">
        <v>372.9</v>
      </c>
      <c r="AJ184" s="253" t="n">
        <v>376.2</v>
      </c>
      <c r="AK184" s="253" t="n">
        <v>310.2</v>
      </c>
      <c r="AL184" s="253" t="n">
        <v>250.3</v>
      </c>
      <c r="AM184" s="253" t="n">
        <v>1309.6</v>
      </c>
      <c r="AN184" s="253" t="n">
        <v>372.9</v>
      </c>
      <c r="AO184" s="253" t="n">
        <v>310.3</v>
      </c>
      <c r="AP184" s="253" t="n">
        <v>379.4</v>
      </c>
      <c r="AQ184" s="253" t="n">
        <v>359</v>
      </c>
      <c r="AR184" s="253" t="n">
        <v>1422</v>
      </c>
      <c r="AS184" s="253" t="n">
        <v>488</v>
      </c>
      <c r="AT184" s="253" t="n">
        <v>509</v>
      </c>
      <c r="AU184" s="253" t="n">
        <v>467</v>
      </c>
      <c r="AV184" s="253" t="n">
        <v>314</v>
      </c>
      <c r="AW184" s="253" t="n">
        <v>1778</v>
      </c>
      <c r="AX184" s="253" t="n">
        <v>736</v>
      </c>
      <c r="AY184" s="253" t="n">
        <v>577</v>
      </c>
      <c r="AZ184" s="253" t="n">
        <v>474</v>
      </c>
      <c r="BA184" s="253" t="n">
        <v>427</v>
      </c>
      <c r="BB184" s="253" t="n">
        <v>2214</v>
      </c>
      <c r="BC184" s="253" t="n">
        <v>498</v>
      </c>
      <c r="BD184" s="253" t="n">
        <v>327</v>
      </c>
      <c r="BE184" s="253" t="n">
        <v>303</v>
      </c>
      <c r="BF184" s="253" t="n">
        <v>246</v>
      </c>
      <c r="BG184" s="253" t="n">
        <v>1374</v>
      </c>
      <c r="BH184" s="253" t="n">
        <v>501</v>
      </c>
      <c r="BI184" s="253" t="n">
        <v>377</v>
      </c>
      <c r="BJ184" s="253" t="n">
        <v>389</v>
      </c>
      <c r="BK184" s="253" t="n">
        <v>340</v>
      </c>
      <c r="BL184" s="253" t="n">
        <v>1607</v>
      </c>
      <c r="BM184" s="253" t="n">
        <v>577</v>
      </c>
      <c r="BN184" s="253" t="n">
        <v>552</v>
      </c>
      <c r="BO184" s="253" t="n">
        <v>534</v>
      </c>
      <c r="BP184" s="253" t="n">
        <v>395</v>
      </c>
      <c r="BQ184" s="253" t="n">
        <v>2058</v>
      </c>
      <c r="BR184" s="253" t="n">
        <v>625</v>
      </c>
      <c r="BS184" s="253" t="n">
        <v>578</v>
      </c>
      <c r="BT184" s="253" t="n">
        <v>646</v>
      </c>
      <c r="BU184" s="253" t="n">
        <v>610</v>
      </c>
      <c r="BV184" s="253" t="n">
        <v>2459</v>
      </c>
      <c r="BW184" s="253" t="n">
        <v>661</v>
      </c>
      <c r="BX184" s="253" t="n">
        <v>878</v>
      </c>
      <c r="BY184" s="153" t="n"/>
      <c r="BZ184" s="153" t="n"/>
      <c r="CA184" s="153" t="n"/>
      <c r="CB184" s="153" t="n"/>
      <c r="CC184" s="153" t="n"/>
      <c r="CD184" s="153" t="n"/>
      <c r="CE184" s="153" t="n"/>
      <c r="CF184" s="153" t="n"/>
    </row>
    <row r="185" ht="15" customHeight="1" s="251">
      <c r="B185" s="156" t="inlineStr">
        <is>
          <t xml:space="preserve">  Memo: depreciation &amp; amortization (total)</t>
        </is>
      </c>
      <c r="C185" s="261">
        <f>C149</f>
        <v>39.5</v>
      </c>
      <c r="D185" s="261">
        <f>D149</f>
        <v>42.9</v>
      </c>
      <c r="E185" s="261">
        <f>E149</f>
        <v>75.1</v>
      </c>
      <c r="F185" s="261">
        <f>F149</f>
        <v>64.1</v>
      </c>
      <c r="G185" s="261">
        <f>G149</f>
        <v>66.3</v>
      </c>
      <c r="H185" s="261">
        <f>H149</f>
        <v>79.2</v>
      </c>
      <c r="I185" s="261">
        <f>I149</f>
        <v>93.5</v>
      </c>
      <c r="J185" s="261">
        <f>J149</f>
        <v>23.6</v>
      </c>
      <c r="K185" s="261">
        <f>K149</f>
        <v>23.1</v>
      </c>
      <c r="L185" s="261">
        <f>L149</f>
        <v>23.4</v>
      </c>
      <c r="M185" s="261">
        <f>M149</f>
        <v>23.3</v>
      </c>
      <c r="N185" s="261">
        <f>N149</f>
        <v>93.4</v>
      </c>
      <c r="O185" s="261">
        <f>O149</f>
        <v>23.1</v>
      </c>
      <c r="P185" s="261">
        <f>P149</f>
        <v>22.3</v>
      </c>
      <c r="Q185" s="261">
        <f>Q149</f>
        <v>23.2</v>
      </c>
      <c r="R185" s="261">
        <f>R149</f>
        <v>27</v>
      </c>
      <c r="S185" s="261">
        <f>S149</f>
        <v>95.6</v>
      </c>
      <c r="T185" s="261">
        <f>T149</f>
        <v>28.6</v>
      </c>
      <c r="U185" s="261">
        <f>U149</f>
        <v>27.9</v>
      </c>
      <c r="V185" s="261">
        <f>V149</f>
        <v>28.3</v>
      </c>
      <c r="W185" s="261">
        <f>W149</f>
        <v>28.7</v>
      </c>
      <c r="X185" s="261">
        <f>X149</f>
        <v>113.5</v>
      </c>
      <c r="Y185" s="261">
        <f>Y149</f>
        <v>29.9</v>
      </c>
      <c r="Z185" s="261">
        <f>Z149</f>
        <v>31.2</v>
      </c>
      <c r="AA185" s="261">
        <f>AA149</f>
        <v>32.7</v>
      </c>
      <c r="AB185" s="261">
        <f>AB149</f>
        <v>32.9</v>
      </c>
      <c r="AC185" s="261">
        <f>AC149</f>
        <v>126.7</v>
      </c>
      <c r="AD185" s="261">
        <f>AD149</f>
        <v>32.5</v>
      </c>
      <c r="AE185" s="261">
        <f>AE149</f>
        <v>32.9</v>
      </c>
      <c r="AF185" s="261">
        <f>AF149</f>
        <v>43</v>
      </c>
      <c r="AG185" s="261">
        <f>AG149</f>
        <v>49.9</v>
      </c>
      <c r="AH185" s="261">
        <f>AH149</f>
        <v>158.3</v>
      </c>
      <c r="AI185" s="261">
        <f>AI149</f>
        <v>49.1</v>
      </c>
      <c r="AJ185" s="261">
        <f>AJ149</f>
        <v>48.4</v>
      </c>
      <c r="AK185" s="261">
        <f>AK149</f>
        <v>46.1</v>
      </c>
      <c r="AL185" s="261">
        <f>AL149</f>
        <v>48.3</v>
      </c>
      <c r="AM185" s="261">
        <f>AM149</f>
        <v>191.9</v>
      </c>
      <c r="AN185" s="261">
        <f>AN149</f>
        <v>50.3</v>
      </c>
      <c r="AO185" s="261">
        <f>AO149</f>
        <v>51</v>
      </c>
      <c r="AP185" s="261">
        <f>AP149</f>
        <v>48.6</v>
      </c>
      <c r="AQ185" s="261">
        <f>AQ149</f>
        <v>50</v>
      </c>
      <c r="AR185" s="261">
        <f>AR149</f>
        <v>200</v>
      </c>
      <c r="AS185" s="261">
        <f>AS149</f>
        <v>49</v>
      </c>
      <c r="AT185" s="261">
        <f>AT149</f>
        <v>58</v>
      </c>
      <c r="AU185" s="261">
        <f>AU149</f>
        <v>56</v>
      </c>
      <c r="AV185" s="261">
        <f>AV149</f>
        <v>57</v>
      </c>
      <c r="AW185" s="261">
        <f>AW149</f>
        <v>220</v>
      </c>
      <c r="AX185" s="261">
        <f>AX149</f>
        <v>59</v>
      </c>
      <c r="AY185" s="261">
        <f>AY149</f>
        <v>60</v>
      </c>
      <c r="AZ185" s="261">
        <f>AZ149</f>
        <v>61</v>
      </c>
      <c r="BA185" s="261">
        <f>BA149</f>
        <v>77</v>
      </c>
      <c r="BB185" s="261">
        <f>BB149</f>
        <v>257</v>
      </c>
      <c r="BC185" s="261">
        <f>BC149</f>
        <v>78</v>
      </c>
      <c r="BD185" s="261">
        <f>BD149</f>
        <v>81</v>
      </c>
      <c r="BE185" s="261">
        <f>BE149</f>
        <v>83</v>
      </c>
      <c r="BF185" s="261">
        <f>BF149</f>
        <v>89</v>
      </c>
      <c r="BG185" s="261">
        <f>BG149</f>
        <v>331</v>
      </c>
      <c r="BH185" s="261">
        <f>BH149</f>
        <v>88</v>
      </c>
      <c r="BI185" s="261">
        <f>BI149</f>
        <v>93</v>
      </c>
      <c r="BJ185" s="261">
        <f>BJ149</f>
        <v>95</v>
      </c>
      <c r="BK185" s="261">
        <f>BK149</f>
        <v>97</v>
      </c>
      <c r="BL185" s="261">
        <f>BL149</f>
        <v>373</v>
      </c>
      <c r="BM185" s="261">
        <f>BM149</f>
        <v>100</v>
      </c>
      <c r="BN185" s="261">
        <f>BN149</f>
        <v>110</v>
      </c>
      <c r="BO185" s="261">
        <f>BO149</f>
        <v>108</v>
      </c>
      <c r="BP185" s="261">
        <f>BP149</f>
        <v>113</v>
      </c>
      <c r="BQ185" s="261">
        <f>BQ149</f>
        <v>431</v>
      </c>
      <c r="BR185" s="261">
        <f>BR149</f>
        <v>113</v>
      </c>
      <c r="BS185" s="261">
        <f>BS149</f>
        <v>120</v>
      </c>
      <c r="BT185" s="261">
        <f>BT149</f>
        <v>123</v>
      </c>
      <c r="BU185" s="261">
        <f>BU149</f>
        <v>124</v>
      </c>
      <c r="BV185" s="261">
        <f>BV149</f>
        <v>480</v>
      </c>
      <c r="BW185" s="261">
        <f>BW149</f>
        <v>122</v>
      </c>
      <c r="BX185" s="261">
        <f>BX149</f>
        <v>126</v>
      </c>
      <c r="BY185" s="254">
        <f>BY149</f>
        <v>118.5</v>
      </c>
      <c r="BZ185" s="254">
        <f>BZ149</f>
        <v>118.5</v>
      </c>
      <c r="CA185" s="254">
        <f>CA149</f>
        <v>485</v>
      </c>
      <c r="CB185" s="254">
        <f>CB149</f>
        <v>515.202583320297</v>
      </c>
      <c r="CC185" s="254">
        <f>CC149</f>
        <v>538.511389465819</v>
      </c>
      <c r="CD185" s="254">
        <f>CD149</f>
        <v>544.368176350607</v>
      </c>
      <c r="CE185" s="254">
        <f>CE149</f>
        <v>548.595673978372</v>
      </c>
      <c r="CF185" s="153" t="n"/>
    </row>
    <row r="186" ht="15" customHeight="1" s="251">
      <c r="B186" s="156" t="inlineStr">
        <is>
          <t xml:space="preserve">  Memo: stock-based compensation</t>
        </is>
      </c>
      <c r="C186" s="261">
        <f>C157</f>
        <v>77.1</v>
      </c>
      <c r="D186" s="261">
        <f>D157</f>
        <v>90.2</v>
      </c>
      <c r="E186" s="261">
        <f>E157</f>
        <v>63.2</v>
      </c>
      <c r="F186" s="261">
        <f>F157</f>
        <v>57.4</v>
      </c>
      <c r="G186" s="261">
        <f>G157</f>
        <v>56.6</v>
      </c>
      <c r="H186" s="261">
        <f>H157</f>
        <v>56.7</v>
      </c>
      <c r="I186" s="261">
        <f>I157</f>
        <v>64.5</v>
      </c>
      <c r="J186" s="261">
        <f>J157</f>
        <v>17.2</v>
      </c>
      <c r="K186" s="261">
        <f>K157</f>
        <v>16.1</v>
      </c>
      <c r="L186" s="261">
        <f>L157</f>
        <v>16</v>
      </c>
      <c r="M186" s="261">
        <f>M157</f>
        <v>17.8</v>
      </c>
      <c r="N186" s="261">
        <f>N157</f>
        <v>67.1</v>
      </c>
      <c r="O186" s="261">
        <f>O157</f>
        <v>20.3</v>
      </c>
      <c r="P186" s="261">
        <f>P157</f>
        <v>20.3</v>
      </c>
      <c r="Q186" s="261">
        <f>Q157</f>
        <v>19.3</v>
      </c>
      <c r="R186" s="261">
        <f>R157</f>
        <v>20.5</v>
      </c>
      <c r="S186" s="261">
        <f>S157</f>
        <v>80.4</v>
      </c>
      <c r="T186" s="261">
        <f>T157</f>
        <v>22.7</v>
      </c>
      <c r="U186" s="261">
        <f>U157</f>
        <v>21.7</v>
      </c>
      <c r="V186" s="261">
        <f>V157</f>
        <v>22.1</v>
      </c>
      <c r="W186" s="261">
        <f>W157</f>
        <v>20.7</v>
      </c>
      <c r="X186" s="261">
        <f>X157</f>
        <v>87.2</v>
      </c>
      <c r="Y186" s="261">
        <f>Y157</f>
        <v>25.4</v>
      </c>
      <c r="Z186" s="261">
        <f>Z157</f>
        <v>23.5</v>
      </c>
      <c r="AA186" s="261">
        <f>AA157</f>
        <v>23.9</v>
      </c>
      <c r="AB186" s="261">
        <f>AB157</f>
        <v>25.3</v>
      </c>
      <c r="AC186" s="261">
        <f>AC157</f>
        <v>98.1</v>
      </c>
      <c r="AD186" s="261">
        <f>AD157</f>
        <v>28.4</v>
      </c>
      <c r="AE186" s="261">
        <f>AE157</f>
        <v>28.7</v>
      </c>
      <c r="AF186" s="261">
        <f>AF157</f>
        <v>31.8</v>
      </c>
      <c r="AG186" s="261">
        <f>AG157</f>
        <v>34</v>
      </c>
      <c r="AH186" s="261">
        <f>AH157</f>
        <v>122.9</v>
      </c>
      <c r="AI186" s="261">
        <f>AI157</f>
        <v>35.1</v>
      </c>
      <c r="AJ186" s="261">
        <f>AJ157</f>
        <v>34.4</v>
      </c>
      <c r="AK186" s="261">
        <f>AK157</f>
        <v>30.5</v>
      </c>
      <c r="AL186" s="261">
        <f>AL157</f>
        <v>30.3</v>
      </c>
      <c r="AM186" s="261">
        <f>AM157</f>
        <v>130.3</v>
      </c>
      <c r="AN186" s="261">
        <f>AN157</f>
        <v>35.7</v>
      </c>
      <c r="AO186" s="261">
        <f>AO157</f>
        <v>34.2</v>
      </c>
      <c r="AP186" s="261">
        <f>AP157</f>
        <v>33.3</v>
      </c>
      <c r="AQ186" s="261">
        <f>AQ157</f>
        <v>32.8</v>
      </c>
      <c r="AR186" s="261">
        <f>AR157</f>
        <v>136</v>
      </c>
      <c r="AS186" s="261">
        <f>AS157</f>
        <v>37</v>
      </c>
      <c r="AT186" s="261">
        <f>AT157</f>
        <v>35</v>
      </c>
      <c r="AU186" s="261">
        <f>AU157</f>
        <v>38</v>
      </c>
      <c r="AV186" s="261">
        <f>AV157</f>
        <v>44</v>
      </c>
      <c r="AW186" s="261">
        <f>AW157</f>
        <v>154</v>
      </c>
      <c r="AX186" s="261">
        <f>AX157</f>
        <v>45</v>
      </c>
      <c r="AY186" s="261">
        <f>AY157</f>
        <v>41</v>
      </c>
      <c r="AZ186" s="261">
        <f>AZ157</f>
        <v>41</v>
      </c>
      <c r="BA186" s="261">
        <f>BA157</f>
        <v>48</v>
      </c>
      <c r="BB186" s="261">
        <f>BB157</f>
        <v>175</v>
      </c>
      <c r="BC186" s="261">
        <f>BC157</f>
        <v>46</v>
      </c>
      <c r="BD186" s="261">
        <f>BD157</f>
        <v>38</v>
      </c>
      <c r="BE186" s="261">
        <f>BE157</f>
        <v>46</v>
      </c>
      <c r="BF186" s="261">
        <f>BF157</f>
        <v>39</v>
      </c>
      <c r="BG186" s="261">
        <f>BG157</f>
        <v>169</v>
      </c>
      <c r="BH186" s="261">
        <f>BH157</f>
        <v>47</v>
      </c>
      <c r="BI186" s="261">
        <f>BI157</f>
        <v>50</v>
      </c>
      <c r="BJ186" s="261">
        <f>BJ157</f>
        <v>46</v>
      </c>
      <c r="BK186" s="261">
        <f>BK157</f>
        <v>50</v>
      </c>
      <c r="BL186" s="261">
        <f>BL157</f>
        <v>193</v>
      </c>
      <c r="BM186" s="261">
        <f>BM157</f>
        <v>53</v>
      </c>
      <c r="BN186" s="261">
        <f>BN157</f>
        <v>56</v>
      </c>
      <c r="BO186" s="261">
        <f>BO157</f>
        <v>57</v>
      </c>
      <c r="BP186" s="261">
        <f>BP157</f>
        <v>54</v>
      </c>
      <c r="BQ186" s="261">
        <f>BQ157</f>
        <v>220</v>
      </c>
      <c r="BR186" s="261">
        <f>BR157</f>
        <v>56</v>
      </c>
      <c r="BS186" s="261">
        <f>BS157</f>
        <v>61</v>
      </c>
      <c r="BT186" s="261">
        <f>BT157</f>
        <v>57</v>
      </c>
      <c r="BU186" s="261">
        <f>BU157</f>
        <v>58</v>
      </c>
      <c r="BV186" s="261">
        <f>BV157</f>
        <v>232</v>
      </c>
      <c r="BW186" s="261">
        <f>BW157</f>
        <v>58</v>
      </c>
      <c r="BX186" s="261">
        <f>BX157</f>
        <v>59</v>
      </c>
      <c r="BY186" s="254">
        <f>BY157</f>
        <v>57</v>
      </c>
      <c r="BZ186" s="254">
        <f>BZ157</f>
        <v>58</v>
      </c>
      <c r="CA186" s="254">
        <f>CA157</f>
        <v>232</v>
      </c>
      <c r="CB186" s="254">
        <f>CB157</f>
        <v>264.613263878025</v>
      </c>
      <c r="CC186" s="254">
        <f>CC157</f>
        <v>282.576802269583</v>
      </c>
      <c r="CD186" s="254">
        <f>CD157</f>
        <v>300.816981329427</v>
      </c>
      <c r="CE186" s="254">
        <f>CE157</f>
        <v>318.891321561873</v>
      </c>
      <c r="CF186" s="153" t="n"/>
    </row>
    <row r="187" ht="15" customHeight="1" s="251">
      <c r="B187" s="25" t="inlineStr">
        <is>
          <t>(Earnings per share — Moody's common stock)</t>
        </is>
      </c>
      <c r="CF187" s="153" t="n"/>
    </row>
    <row r="188" ht="15" customHeight="1" s="251">
      <c r="B188" s="25" t="inlineStr">
        <is>
          <t xml:space="preserve">  Weighted-average basic shares (m)</t>
        </is>
      </c>
      <c r="C188" s="253" t="n">
        <v>284.2</v>
      </c>
      <c r="D188" s="253" t="n">
        <v>266.4</v>
      </c>
      <c r="E188" s="253" t="n">
        <v>242.4</v>
      </c>
      <c r="F188" s="253" t="n">
        <v>236.1</v>
      </c>
      <c r="G188" s="253" t="n">
        <v>235</v>
      </c>
      <c r="H188" s="253" t="n">
        <v>226.3</v>
      </c>
      <c r="I188" s="253" t="n">
        <v>223.2</v>
      </c>
      <c r="J188" s="253" t="n">
        <v>223.3</v>
      </c>
      <c r="K188" s="253" t="n">
        <v>222.3</v>
      </c>
      <c r="L188" s="253" t="n">
        <v>217.8</v>
      </c>
      <c r="M188" s="253" t="n">
        <v>214.3</v>
      </c>
      <c r="N188" s="253" t="n">
        <v>219.4</v>
      </c>
      <c r="O188" s="253" t="n">
        <v>214</v>
      </c>
      <c r="P188" s="253" t="n">
        <v>212</v>
      </c>
      <c r="Q188" s="253" t="n">
        <v>210.4</v>
      </c>
      <c r="R188" s="253" t="n">
        <v>206.5</v>
      </c>
      <c r="S188" s="253" t="n">
        <v>210.7</v>
      </c>
      <c r="T188" s="253" t="n">
        <v>202.7</v>
      </c>
      <c r="U188" s="253" t="n">
        <v>201.3</v>
      </c>
      <c r="V188" s="253" t="n">
        <v>199.4</v>
      </c>
      <c r="W188" s="253" t="n">
        <v>197</v>
      </c>
      <c r="X188" s="253" t="n">
        <v>200.1</v>
      </c>
      <c r="Y188" s="253" t="n">
        <v>195</v>
      </c>
      <c r="Z188" s="253" t="n">
        <v>193.4</v>
      </c>
      <c r="AA188" s="253" t="n">
        <v>191.7</v>
      </c>
      <c r="AB188" s="253" t="n">
        <v>190.8</v>
      </c>
      <c r="AC188" s="253" t="n">
        <v>192.7</v>
      </c>
      <c r="AD188" s="253" t="n">
        <v>191.1</v>
      </c>
      <c r="AE188" s="253" t="n">
        <v>191</v>
      </c>
      <c r="AF188" s="253" t="n">
        <v>191.1</v>
      </c>
      <c r="AG188" s="253" t="n">
        <v>191</v>
      </c>
      <c r="AH188" s="253" t="n">
        <v>191.1</v>
      </c>
      <c r="AI188" s="253" t="n">
        <v>191.4</v>
      </c>
      <c r="AJ188" s="253" t="n">
        <v>191.9</v>
      </c>
      <c r="AK188" s="253" t="n">
        <v>191.8</v>
      </c>
      <c r="AL188" s="253" t="n">
        <v>191.4</v>
      </c>
      <c r="AM188" s="253" t="n">
        <v>191.6</v>
      </c>
      <c r="AN188" s="253" t="n">
        <v>190.4</v>
      </c>
      <c r="AO188" s="253" t="n">
        <v>189.4</v>
      </c>
      <c r="AP188" s="253" t="n">
        <v>189</v>
      </c>
      <c r="AQ188" s="253" t="n">
        <v>188.3</v>
      </c>
      <c r="AR188" s="253" t="n">
        <v>189.3</v>
      </c>
      <c r="AS188" s="253" t="n">
        <v>187.5</v>
      </c>
      <c r="AT188" s="253" t="n">
        <v>187.7</v>
      </c>
      <c r="AU188" s="253" t="n">
        <v>187.8</v>
      </c>
      <c r="AV188" s="253" t="n">
        <v>187.6</v>
      </c>
      <c r="AW188" s="253" t="n">
        <v>187.6</v>
      </c>
      <c r="AX188" s="253" t="n">
        <v>187.2</v>
      </c>
      <c r="AY188" s="253" t="n">
        <v>186.7</v>
      </c>
      <c r="AZ188" s="253" t="n">
        <v>186</v>
      </c>
      <c r="BA188" s="253" t="n">
        <v>185.8</v>
      </c>
      <c r="BB188" s="253" t="n">
        <v>186.4</v>
      </c>
      <c r="BC188" s="253" t="n">
        <v>185.1</v>
      </c>
      <c r="BD188" s="253" t="n">
        <v>184.1</v>
      </c>
      <c r="BE188" s="253" t="n">
        <v>183.2</v>
      </c>
      <c r="BF188" s="253" t="n">
        <v>183.2</v>
      </c>
      <c r="BG188" s="253" t="n">
        <v>183.9</v>
      </c>
      <c r="BH188" s="253" t="n">
        <v>183.3</v>
      </c>
      <c r="BI188" s="253" t="n">
        <v>183.5</v>
      </c>
      <c r="BJ188" s="253" t="n">
        <v>183.3</v>
      </c>
      <c r="BK188" s="253" t="n">
        <v>182.7</v>
      </c>
      <c r="BL188" s="253" t="n">
        <v>183.2</v>
      </c>
      <c r="BM188" s="253" t="n">
        <v>182.6</v>
      </c>
      <c r="BN188" s="253" t="n">
        <v>182.3</v>
      </c>
      <c r="BO188" s="253" t="n">
        <v>181.7</v>
      </c>
      <c r="BP188" s="253" t="n">
        <v>180.8</v>
      </c>
      <c r="BQ188" s="253" t="n">
        <v>181.8</v>
      </c>
      <c r="BR188" s="253" t="n">
        <v>180</v>
      </c>
      <c r="BS188" s="253" t="n">
        <v>179.7</v>
      </c>
      <c r="BT188" s="253" t="n">
        <v>178.9</v>
      </c>
      <c r="BU188" s="253" t="n">
        <v>177.9</v>
      </c>
      <c r="BV188" s="253" t="n">
        <v>179.1</v>
      </c>
      <c r="BW188" s="253" t="n">
        <v>176.8</v>
      </c>
      <c r="BX188" s="253" t="n">
        <v>174.1</v>
      </c>
      <c r="BY188" s="254">
        <f>BX340-$CA$303*0.25+$CA$304*0.25</f>
        <v>172.898138297872</v>
      </c>
      <c r="BZ188" s="254">
        <f>BX340-$CA$303*0.75+$CA$304*0.75</f>
        <v>172.294414893617</v>
      </c>
      <c r="CA188" s="254">
        <f>AVERAGE(BW188:BZ188)</f>
        <v>174.023138297872</v>
      </c>
      <c r="CB188" s="254">
        <f>AVERAGE(CB305,CB306)</f>
        <v>169.256454291422</v>
      </c>
      <c r="CC188" s="254">
        <f>AVERAGE(CC305,CC306)</f>
        <v>164.101905568436</v>
      </c>
      <c r="CD188" s="254">
        <f>AVERAGE(CD305,CD306)</f>
        <v>159.271571528836</v>
      </c>
      <c r="CE188" s="254">
        <f>AVERAGE(CE305,CE306)</f>
        <v>154.487519652474</v>
      </c>
      <c r="CF188" s="19" t="inlineStr">
        <is>
          <t>Q3/Q4-26E: shares outstanding at 30-Jun-2026 − 2H buybacks (spread evenly; ¼ / ¾ weighted) + equity-plan issuance. 2027E+: average of beginning and ending shares.</t>
        </is>
      </c>
    </row>
    <row r="189" ht="15" customHeight="1" s="251">
      <c r="B189" s="25" t="inlineStr">
        <is>
          <t xml:space="preserve">  Weighted-average diluted shares (m)</t>
        </is>
      </c>
      <c r="C189" s="253" t="n">
        <v>291.9</v>
      </c>
      <c r="D189" s="253" t="n">
        <v>272.2</v>
      </c>
      <c r="E189" s="253" t="n">
        <v>245.3</v>
      </c>
      <c r="F189" s="253" t="n">
        <v>237.8</v>
      </c>
      <c r="G189" s="253" t="n">
        <v>236.6</v>
      </c>
      <c r="H189" s="253" t="n">
        <v>229.4</v>
      </c>
      <c r="I189" s="253" t="n">
        <v>226.6</v>
      </c>
      <c r="J189" s="253" t="n">
        <v>227.2</v>
      </c>
      <c r="K189" s="253" t="n">
        <v>226.2</v>
      </c>
      <c r="L189" s="253" t="n">
        <v>222</v>
      </c>
      <c r="M189" s="253" t="n">
        <v>219</v>
      </c>
      <c r="N189" s="253" t="n">
        <v>223.5</v>
      </c>
      <c r="O189" s="253" t="n">
        <v>218.5</v>
      </c>
      <c r="P189" s="253" t="n">
        <v>215.7</v>
      </c>
      <c r="Q189" s="253" t="n">
        <v>214.2</v>
      </c>
      <c r="R189" s="253" t="n">
        <v>210.5</v>
      </c>
      <c r="S189" s="253" t="n">
        <v>214.7</v>
      </c>
      <c r="T189" s="253" t="n">
        <v>206.5</v>
      </c>
      <c r="U189" s="253" t="n">
        <v>204.4</v>
      </c>
      <c r="V189" s="253" t="n">
        <v>202.5</v>
      </c>
      <c r="W189" s="253" t="n">
        <v>200.2</v>
      </c>
      <c r="X189" s="253" t="n">
        <v>203.4</v>
      </c>
      <c r="Y189" s="253" t="n">
        <v>197.9</v>
      </c>
      <c r="Z189" s="253" t="n">
        <v>195.8</v>
      </c>
      <c r="AA189" s="253" t="n">
        <v>194.3</v>
      </c>
      <c r="AB189" s="253" t="n">
        <v>193.4</v>
      </c>
      <c r="AC189" s="253" t="n">
        <v>195.4</v>
      </c>
      <c r="AD189" s="253" t="n">
        <v>194.3</v>
      </c>
      <c r="AE189" s="253" t="n">
        <v>193.8</v>
      </c>
      <c r="AF189" s="253" t="n">
        <v>194.1</v>
      </c>
      <c r="AG189" s="253" t="n">
        <v>194.4</v>
      </c>
      <c r="AH189" s="253" t="n">
        <v>194.2</v>
      </c>
      <c r="AI189" s="253" t="n">
        <v>194.5</v>
      </c>
      <c r="AJ189" s="253" t="n">
        <v>194.4</v>
      </c>
      <c r="AK189" s="253" t="n">
        <v>194.5</v>
      </c>
      <c r="AL189" s="253" t="n">
        <v>194</v>
      </c>
      <c r="AM189" s="253" t="n">
        <v>194.4</v>
      </c>
      <c r="AN189" s="253" t="n">
        <v>192.8</v>
      </c>
      <c r="AO189" s="253" t="n">
        <v>191.3</v>
      </c>
      <c r="AP189" s="253" t="n">
        <v>191.1</v>
      </c>
      <c r="AQ189" s="253" t="n">
        <v>190.6</v>
      </c>
      <c r="AR189" s="253" t="n">
        <v>191.6</v>
      </c>
      <c r="AS189" s="253" t="n">
        <v>189.6</v>
      </c>
      <c r="AT189" s="253" t="n">
        <v>189</v>
      </c>
      <c r="AU189" s="253" t="n">
        <v>189.3</v>
      </c>
      <c r="AV189" s="253" t="n">
        <v>189.2</v>
      </c>
      <c r="AW189" s="253" t="n">
        <v>189.3</v>
      </c>
      <c r="AX189" s="253" t="n">
        <v>188.6</v>
      </c>
      <c r="AY189" s="253" t="n">
        <v>187.9</v>
      </c>
      <c r="AZ189" s="253" t="n">
        <v>187.3</v>
      </c>
      <c r="BA189" s="253" t="n">
        <v>187.4</v>
      </c>
      <c r="BB189" s="253" t="n">
        <v>187.9</v>
      </c>
      <c r="BC189" s="253" t="n">
        <v>186.1</v>
      </c>
      <c r="BD189" s="253" t="n">
        <v>184.9</v>
      </c>
      <c r="BE189" s="253" t="n">
        <v>183.9</v>
      </c>
      <c r="BF189" s="253" t="n">
        <v>183.9</v>
      </c>
      <c r="BG189" s="253" t="n">
        <v>184.7</v>
      </c>
      <c r="BH189" s="253" t="n">
        <v>184.1</v>
      </c>
      <c r="BI189" s="253" t="n">
        <v>184.1</v>
      </c>
      <c r="BJ189" s="253" t="n">
        <v>184</v>
      </c>
      <c r="BK189" s="253" t="n">
        <v>183.6</v>
      </c>
      <c r="BL189" s="253" t="n">
        <v>184</v>
      </c>
      <c r="BM189" s="253" t="n">
        <v>183.4</v>
      </c>
      <c r="BN189" s="253" t="n">
        <v>183</v>
      </c>
      <c r="BO189" s="253" t="n">
        <v>182.5</v>
      </c>
      <c r="BP189" s="253" t="n">
        <v>181.7</v>
      </c>
      <c r="BQ189" s="253" t="n">
        <v>182.7</v>
      </c>
      <c r="BR189" s="253" t="n">
        <v>180.7</v>
      </c>
      <c r="BS189" s="253" t="n">
        <v>180.2</v>
      </c>
      <c r="BT189" s="253" t="n">
        <v>179.6</v>
      </c>
      <c r="BU189" s="253" t="n">
        <v>178.7</v>
      </c>
      <c r="BV189" s="253" t="n">
        <v>179.9</v>
      </c>
      <c r="BW189" s="253" t="n">
        <v>177.3</v>
      </c>
      <c r="BX189" s="253" t="n">
        <v>174.5</v>
      </c>
      <c r="BY189" s="254">
        <f>BY188+(BX189-BX188)</f>
        <v>173.298138297872</v>
      </c>
      <c r="BZ189" s="254">
        <f>BZ188+(BX189-BX188)</f>
        <v>172.694414893617</v>
      </c>
      <c r="CA189" s="254">
        <f>AVERAGE(BW189:BZ189)</f>
        <v>174.448138297872</v>
      </c>
      <c r="CB189" s="254">
        <f>CB188+CB365</f>
        <v>169.756454291422</v>
      </c>
      <c r="CC189" s="254">
        <f>CC188+CC365</f>
        <v>164.601905568436</v>
      </c>
      <c r="CD189" s="254">
        <f>CD188+CD365</f>
        <v>159.771571528836</v>
      </c>
      <c r="CE189" s="254">
        <f>CE188+CE365</f>
        <v>154.987519652474</v>
      </c>
      <c r="CF189" s="19" t="n"/>
      <c r="CH189" s="20">
        <f>IFERROR((CE189/BV189)^(1/5)-1,"n/m")</f>
        <v>-0.0293713349624317</v>
      </c>
      <c r="CI189" s="20">
        <f>IFERROR((BV189/AW189)^(1/5)-1,"n/m")</f>
        <v>-0.0101346779607596</v>
      </c>
      <c r="CJ189" s="20">
        <f>IFERROR((BV189/X189)^(1/10)-1,"n/m")</f>
        <v>-0.0122022752862039</v>
      </c>
      <c r="CK189" s="20">
        <f>IFERROR((BV189/C189)^(1/19)-1,"n/m")</f>
        <v>-0.025152487578208</v>
      </c>
    </row>
    <row r="190" ht="15" customHeight="1" s="251">
      <c r="B190" s="55" t="inlineStr">
        <is>
          <t>EPS – diluted ($)</t>
        </is>
      </c>
      <c r="C190" s="281">
        <f>IF(ISNUMBER(C189),IFERROR(C182/C189,""),"")</f>
        <v>2.58273381294964</v>
      </c>
      <c r="D190" s="281">
        <f>IF(ISNUMBER(D189),IFERROR(D182/D189,""),"")</f>
        <v>2.57714915503306</v>
      </c>
      <c r="E190" s="281">
        <f>IF(ISNUMBER(E189),IFERROR(E182/E189,""),"")</f>
        <v>1.86547085201794</v>
      </c>
      <c r="F190" s="281">
        <f>IF(ISNUMBER(F189),IFERROR(F182/F189,""),"")</f>
        <v>1.69049621530698</v>
      </c>
      <c r="G190" s="281">
        <f>IF(ISNUMBER(G189),IFERROR(G182/G189,""),"")</f>
        <v>2.14623837700761</v>
      </c>
      <c r="H190" s="281">
        <f>IF(ISNUMBER(H189),IFERROR(H182/H189,""),"")</f>
        <v>2.49084568439407</v>
      </c>
      <c r="I190" s="281">
        <f>IF(ISNUMBER(I189),IFERROR(I182/I189,""),"")</f>
        <v>3.045013239188</v>
      </c>
      <c r="J190" s="281">
        <f>IF(ISNUMBER(J189),IFERROR(J182/J189,""),"")</f>
        <v>0.829225352112676</v>
      </c>
      <c r="K190" s="281">
        <f>IF(ISNUMBER(K189),IFERROR(K182/K189,""),"")</f>
        <v>0.996905393457117</v>
      </c>
      <c r="L190" s="281">
        <f>IF(ISNUMBER(L189),IFERROR(L182/L189,""),"")</f>
        <v>0.828378378378378</v>
      </c>
      <c r="M190" s="281">
        <f>IF(ISNUMBER(M189),IFERROR(M182/M189,""),"")</f>
        <v>0.943835616438357</v>
      </c>
      <c r="N190" s="281">
        <f>IF(ISNUMBER(N189),IFERROR(N182/N189,""),"")</f>
        <v>3.59955257270694</v>
      </c>
      <c r="O190" s="281">
        <f>IF(ISNUMBER(O189),IFERROR(O182/O189,""),"")</f>
        <v>0.997711670480549</v>
      </c>
      <c r="P190" s="281">
        <f>IF(ISNUMBER(P189),IFERROR(P182/P189,""),"")</f>
        <v>1.4798331015299</v>
      </c>
      <c r="Q190" s="281">
        <f>IF(ISNUMBER(Q189),IFERROR(Q182/Q189,""),"")</f>
        <v>1.0046685340803</v>
      </c>
      <c r="R190" s="281">
        <f>IF(ISNUMBER(R189),IFERROR(R182/R189,""),"")</f>
        <v>1.12256532066508</v>
      </c>
      <c r="S190" s="281">
        <f>IF(ISNUMBER(S189),IFERROR(S182/S189,""),"")</f>
        <v>4.60503027480205</v>
      </c>
      <c r="T190" s="281">
        <f>IF(ISNUMBER(T189),IFERROR(T182/T189,""),"")</f>
        <v>1.11428571428571</v>
      </c>
      <c r="U190" s="281">
        <f>IF(ISNUMBER(U189),IFERROR(U182/U189,""),"")</f>
        <v>1.28033268101761</v>
      </c>
      <c r="V190" s="281">
        <f>IF(ISNUMBER(V189),IFERROR(V182/V189,""),"")</f>
        <v>1.1437037037037</v>
      </c>
      <c r="W190" s="281">
        <f>IF(ISNUMBER(W189),IFERROR(W182/W189,""),"")</f>
        <v>1.08841158841159</v>
      </c>
      <c r="X190" s="281">
        <f>IF(ISNUMBER(X189),IFERROR(X182/X189,""),"")</f>
        <v>4.62782694198624</v>
      </c>
      <c r="Y190" s="281">
        <f>IF(ISNUMBER(Y189),IFERROR(Y182/Y189,""),"")</f>
        <v>0.93178372915614</v>
      </c>
      <c r="Z190" s="281">
        <f>IF(ISNUMBER(Z189),IFERROR(Z182/Z189,""),"")</f>
        <v>1.30490296220633</v>
      </c>
      <c r="AA190" s="281">
        <f>IF(ISNUMBER(AA189),IFERROR(AA182/AA189,""),"")</f>
        <v>1.31394750386001</v>
      </c>
      <c r="AB190" s="281">
        <f>IF(ISNUMBER(AB189),IFERROR(AB182/AB189,""),"")</f>
        <v>-2.21613236814891</v>
      </c>
      <c r="AC190" s="281">
        <f>IF(ISNUMBER(AC189),IFERROR(AC182/AC189,""),"")</f>
        <v>1.36438075742067</v>
      </c>
      <c r="AD190" s="281">
        <f>IF(ISNUMBER(AD189),IFERROR(AD182/AD189,""),"")</f>
        <v>1.77869274318065</v>
      </c>
      <c r="AE190" s="281">
        <f>IF(ISNUMBER(AE189),IFERROR(AE182/AE189,""),"")</f>
        <v>1.6109391124871</v>
      </c>
      <c r="AF190" s="281">
        <f>IF(ISNUMBER(AF189),IFERROR(AF182/AF189,""),"")</f>
        <v>1.63472436888202</v>
      </c>
      <c r="AG190" s="281">
        <f>IF(ISNUMBER(AG189),IFERROR(AG182/AG189,""),"")</f>
        <v>0.131172839506173</v>
      </c>
      <c r="AH190" s="281">
        <f>IF(ISNUMBER(AH189),IFERROR(AH182/AH189,""),"")</f>
        <v>5.1524201853759</v>
      </c>
      <c r="AI190" s="281">
        <f>IF(ISNUMBER(AI189),IFERROR(AI182/AI189,""),"")</f>
        <v>1.9172236503856</v>
      </c>
      <c r="AJ190" s="281">
        <f>IF(ISNUMBER(AJ189),IFERROR(AJ182/AJ189,""),"")</f>
        <v>1.93518518518518</v>
      </c>
      <c r="AK190" s="281">
        <f>IF(ISNUMBER(AK189),IFERROR(AK182/AK189,""),"")</f>
        <v>1.59485861182519</v>
      </c>
      <c r="AL190" s="281">
        <f>IF(ISNUMBER(AL189),IFERROR(AL182/AL189,""),"")</f>
        <v>1.29020618556701</v>
      </c>
      <c r="AM190" s="281">
        <f>IF(ISNUMBER(AM189),IFERROR(AM182/AM189,""),"")</f>
        <v>6.73662551440329</v>
      </c>
      <c r="AN190" s="281">
        <f>IF(ISNUMBER(AN189),IFERROR(AN182/AN189,""),"")</f>
        <v>1.93412863070539</v>
      </c>
      <c r="AO190" s="281">
        <f>IF(ISNUMBER(AO189),IFERROR(AO182/AO189,""),"")</f>
        <v>1.62205959226346</v>
      </c>
      <c r="AP190" s="281">
        <f>IF(ISNUMBER(AP189),IFERROR(AP182/AP189,""),"")</f>
        <v>1.98534798534799</v>
      </c>
      <c r="AQ190" s="281">
        <f>IF(ISNUMBER(AQ189),IFERROR(AQ182/AQ189,""),"")</f>
        <v>1.88352570828961</v>
      </c>
      <c r="AR190" s="281">
        <f>IF(ISNUMBER(AR189),IFERROR(AR182/AR189,""),"")</f>
        <v>7.42171189979123</v>
      </c>
      <c r="AS190" s="281">
        <f>IF(ISNUMBER(AS189),IFERROR(AS182/AS189,""),"")</f>
        <v>2.57383966244726</v>
      </c>
      <c r="AT190" s="281">
        <f>IF(ISNUMBER(AT189),IFERROR(AT182/AT189,""),"")</f>
        <v>2.69312169312169</v>
      </c>
      <c r="AU190" s="281">
        <f>IF(ISNUMBER(AU189),IFERROR(AU182/AU189,""),"")</f>
        <v>2.46698362387744</v>
      </c>
      <c r="AV190" s="281">
        <f>IF(ISNUMBER(AV189),IFERROR(AV182/AV189,""),"")</f>
        <v>1.65961945031712</v>
      </c>
      <c r="AW190" s="281">
        <f>IF(ISNUMBER(AW189),IFERROR(AW182/AW189,""),"")</f>
        <v>9.39249867934496</v>
      </c>
      <c r="AX190" s="281">
        <f>IF(ISNUMBER(AX189),IFERROR(AX182/AX189,""),"")</f>
        <v>3.90243902439024</v>
      </c>
      <c r="AY190" s="281">
        <f>IF(ISNUMBER(AY189),IFERROR(AY182/AY189,""),"")</f>
        <v>3.07078233102714</v>
      </c>
      <c r="AZ190" s="281">
        <f>IF(ISNUMBER(AZ189),IFERROR(AZ182/AZ189,""),"")</f>
        <v>2.53069941270689</v>
      </c>
      <c r="BA190" s="281">
        <f>IF(ISNUMBER(BA189),IFERROR(BA182/BA189,""),"")</f>
        <v>2.27854855923159</v>
      </c>
      <c r="BB190" s="281">
        <f>IF(ISNUMBER(BB189),IFERROR(BB182/BB189,""),"")</f>
        <v>11.7828632251197</v>
      </c>
      <c r="BC190" s="281">
        <f>IF(ISNUMBER(BC189),IFERROR(BC182/BC189,""),"")</f>
        <v>2.67598065556153</v>
      </c>
      <c r="BD190" s="281">
        <f>IF(ISNUMBER(BD189),IFERROR(BD182/BD189,""),"")</f>
        <v>1.76852352623039</v>
      </c>
      <c r="BE190" s="281">
        <f>IF(ISNUMBER(BE189),IFERROR(BE182/BE189,""),"")</f>
        <v>1.64763458401305</v>
      </c>
      <c r="BF190" s="281">
        <f>IF(ISNUMBER(BF189),IFERROR(BF182/BF189,""),"")</f>
        <v>1.33768352365416</v>
      </c>
      <c r="BG190" s="281">
        <f>IF(ISNUMBER(BG189),IFERROR(BG182/BG189,""),"")</f>
        <v>7.43909041689226</v>
      </c>
      <c r="BH190" s="281">
        <f>IF(ISNUMBER(BH189),IFERROR(BH182/BH189,""),"")</f>
        <v>2.72134709397067</v>
      </c>
      <c r="BI190" s="281">
        <f>IF(ISNUMBER(BI189),IFERROR(BI182/BI189,""),"")</f>
        <v>2.04780010863661</v>
      </c>
      <c r="BJ190" s="281">
        <f>IF(ISNUMBER(BJ189),IFERROR(BJ182/BJ189,""),"")</f>
        <v>2.11413043478261</v>
      </c>
      <c r="BK190" s="281">
        <f>IF(ISNUMBER(BK189),IFERROR(BK182/BK189,""),"")</f>
        <v>1.85185185185185</v>
      </c>
      <c r="BL190" s="281">
        <f>IF(ISNUMBER(BL189),IFERROR(BL182/BL189,""),"")</f>
        <v>8.73369565217391</v>
      </c>
      <c r="BM190" s="281">
        <f>IF(ISNUMBER(BM189),IFERROR(BM182/BM189,""),"")</f>
        <v>3.14612868047983</v>
      </c>
      <c r="BN190" s="281">
        <f>IF(ISNUMBER(BN189),IFERROR(BN182/BN189,""),"")</f>
        <v>3.01639344262295</v>
      </c>
      <c r="BO190" s="281">
        <f>IF(ISNUMBER(BO189),IFERROR(BO182/BO189,""),"")</f>
        <v>2.92602739726027</v>
      </c>
      <c r="BP190" s="281">
        <f>IF(ISNUMBER(BP189),IFERROR(BP182/BP189,""),"")</f>
        <v>2.17391304347826</v>
      </c>
      <c r="BQ190" s="281">
        <f>IF(ISNUMBER(BQ189),IFERROR(BQ182/BQ189,""),"")</f>
        <v>11.264367816092</v>
      </c>
      <c r="BR190" s="281">
        <f>IF(ISNUMBER(BR189),IFERROR(BR182/BR189,""),"")</f>
        <v>3.45877144438296</v>
      </c>
      <c r="BS190" s="281">
        <f>IF(ISNUMBER(BS189),IFERROR(BS182/BS189,""),"")</f>
        <v>3.20754716981132</v>
      </c>
      <c r="BT190" s="281">
        <f>IF(ISNUMBER(BT189),IFERROR(BT182/BT189,""),"")</f>
        <v>3.59688195991091</v>
      </c>
      <c r="BU190" s="281">
        <f>IF(ISNUMBER(BU189),IFERROR(BU182/BU189,""),"")</f>
        <v>3.4135422495803</v>
      </c>
      <c r="BV190" s="281">
        <f>IF(ISNUMBER(BV189),IFERROR(BV182/BV189,""),"")</f>
        <v>13.66870483602</v>
      </c>
      <c r="BW190" s="281">
        <f>IF(ISNUMBER(BW189),IFERROR(BW182/BW189,""),"")</f>
        <v>3.72814438804287</v>
      </c>
      <c r="BX190" s="281">
        <f>IF(ISNUMBER(BX189),IFERROR(BX182/BX189,""),"")</f>
        <v>5.03151862464183</v>
      </c>
      <c r="BY190" s="281">
        <f>IF(ISNUMBER(BY189),IFERROR(BY182/BY189,""),"")</f>
        <v>3.77612553239911</v>
      </c>
      <c r="BZ190" s="281">
        <f>IF(ISNUMBER(BZ189),IFERROR(BZ182/BZ189,""),"")</f>
        <v>3.67823587194083</v>
      </c>
      <c r="CA190" s="281">
        <f>IF(ISNUMBER(CA189),IFERROR(CA182/CA189,""),"")</f>
        <v>16.2145973243892</v>
      </c>
      <c r="CB190" s="281">
        <f>IF(ISNUMBER(CB189),IFERROR(CB182/CB189,""),"")</f>
        <v>17.2310632060667</v>
      </c>
      <c r="CC190" s="281">
        <f>IF(ISNUMBER(CC189),IFERROR(CC182/CC189,""),"")</f>
        <v>19.5452500710351</v>
      </c>
      <c r="CD190" s="281">
        <f>IF(ISNUMBER(CD189),IFERROR(CD182/CD189,""),"")</f>
        <v>21.7991323645711</v>
      </c>
      <c r="CE190" s="281">
        <f>IF(ISNUMBER(CE189),IFERROR(CE182/CE189,""),"")</f>
        <v>24.1575707740013</v>
      </c>
      <c r="CF190" s="19" t="inlineStr">
        <is>
          <t>Net income attributable / weighted diluted shares (±$0.01 vs reported).</t>
        </is>
      </c>
      <c r="CH190" s="20">
        <f>IFERROR((CE190/BV190)^(1/5)-1,"n/m")</f>
        <v>0.120637571786763</v>
      </c>
      <c r="CI190" s="20">
        <f>IFERROR((BV190/AW190)^(1/5)-1,"n/m")</f>
        <v>0.077926737506135</v>
      </c>
      <c r="CJ190" s="20">
        <f>IFERROR((BV190/X190)^(1/10)-1,"n/m")</f>
        <v>0.114384404246775</v>
      </c>
      <c r="CK190" s="20">
        <f>IFERROR((BV190/C190)^(1/19)-1,"n/m")</f>
        <v>0.0916583021153892</v>
      </c>
    </row>
    <row r="191" ht="15" customHeight="1" s="251">
      <c r="B191" s="22" t="inlineStr">
        <is>
          <t xml:space="preserve">  EPS – diluted y/y %</t>
        </is>
      </c>
      <c r="D191" s="255">
        <f>IF(AND(ISNUMBER(D190),ISNUMBER(C190)),IFERROR(D190/C190-1,""),"")</f>
        <v>-0.0021623048757774</v>
      </c>
      <c r="E191" s="255">
        <f>IF(AND(ISNUMBER(E190),ISNUMBER(D190)),IFERROR(E190/D190-1,""),"")</f>
        <v>-0.276149442738015</v>
      </c>
      <c r="F191" s="255">
        <f>IF(AND(ISNUMBER(F190),ISNUMBER(E190)),IFERROR(F190/E190-1,""),"")</f>
        <v>-0.0937964999676516</v>
      </c>
      <c r="G191" s="255">
        <f>IF(AND(ISNUMBER(G190),ISNUMBER(F190)),IFERROR(G190/F190-1,""),"")</f>
        <v>0.269590761324401</v>
      </c>
      <c r="H191" s="255">
        <f>IF(AND(ISNUMBER(H190),ISNUMBER(G190)),IFERROR(H190/G190-1,""),"")</f>
        <v>0.160563388987075</v>
      </c>
      <c r="I191" s="255">
        <f>IF(AND(ISNUMBER(I190),ISNUMBER(H190)),IFERROR(I190/H190-1,""),"")</f>
        <v>0.22248168895647</v>
      </c>
      <c r="N191" s="255">
        <f>IF(AND(ISNUMBER(N190),ISNUMBER(I190)),IFERROR(N190/I190-1,""),"")</f>
        <v>0.182113931848393</v>
      </c>
      <c r="O191" s="255">
        <f>IF(AND(ISNUMBER(O190),ISNUMBER(J190)),IFERROR(O190/J190-1,""),"")</f>
        <v>0.203185199220705</v>
      </c>
      <c r="P191" s="255">
        <f>IF(AND(ISNUMBER(P190),ISNUMBER(K190)),IFERROR(P190/K190-1,""),"")</f>
        <v>0.484426818474785</v>
      </c>
      <c r="Q191" s="255">
        <f>IF(AND(ISNUMBER(Q190),ISNUMBER(L190)),IFERROR(Q190/L190-1,""),"")</f>
        <v>0.212813564795141</v>
      </c>
      <c r="R191" s="255">
        <f>IF(AND(ISNUMBER(R190),ISNUMBER(M190)),IFERROR(R190/M190-1,""),"")</f>
        <v>0.189365288948491</v>
      </c>
      <c r="S191" s="255">
        <f>IF(AND(ISNUMBER(S190),ISNUMBER(N190)),IFERROR(S190/N190-1,""),"")</f>
        <v>0.279334078829408</v>
      </c>
      <c r="T191" s="255">
        <f>IF(AND(ISNUMBER(T190),ISNUMBER(O190)),IFERROR(T190/O190-1,""),"")</f>
        <v>0.116841415465269</v>
      </c>
      <c r="U191" s="255">
        <f>IF(AND(ISNUMBER(U190),ISNUMBER(P190)),IFERROR(U190/P190-1,""),"")</f>
        <v>-0.13481278416197</v>
      </c>
      <c r="V191" s="255">
        <f>IF(AND(ISNUMBER(V190),ISNUMBER(Q190)),IFERROR(V190/Q190-1,""),"")</f>
        <v>0.138389095415117</v>
      </c>
      <c r="W191" s="255">
        <f>IF(AND(ISNUMBER(W190),ISNUMBER(R190)),IFERROR(W190/R190-1,""),"")</f>
        <v>-0.0304247170518864</v>
      </c>
      <c r="X191" s="255">
        <f>IF(AND(ISNUMBER(X190),ISNUMBER(S190)),IFERROR(X190/S190-1,""),"")</f>
        <v>0.0049503837811713</v>
      </c>
      <c r="Y191" s="255">
        <f>IF(AND(ISNUMBER(Y190),ISNUMBER(T190)),IFERROR(Y190/T190-1,""),"")</f>
        <v>-0.163783832808593</v>
      </c>
      <c r="Z191" s="255">
        <f>IF(AND(ISNUMBER(Z190),ISNUMBER(U190)),IFERROR(Z190/U190-1,""),"")</f>
        <v>0.0191905444209943</v>
      </c>
      <c r="AA191" s="255">
        <f>IF(AND(ISNUMBER(AA190),ISNUMBER(V190)),IFERROR(AA190/V190-1,""),"")</f>
        <v>0.14885306360817</v>
      </c>
      <c r="AB191" s="255">
        <f>IF(AND(ISNUMBER(AB190),ISNUMBER(W190)),IFERROR(AB190/W190-1,""),"")</f>
        <v>-3.03611610878115</v>
      </c>
      <c r="AC191" s="255">
        <f>IF(AND(ISNUMBER(AC190),ISNUMBER(X190)),IFERROR(AC190/X190-1,""),"")</f>
        <v>-0.705178958823579</v>
      </c>
      <c r="AD191" s="255">
        <f>IF(AND(ISNUMBER(AD190),ISNUMBER(Y190)),IFERROR(AD190/Y190-1,""),"")</f>
        <v>0.908911571992681</v>
      </c>
      <c r="AE191" s="255">
        <f>IF(AND(ISNUMBER(AE190),ISNUMBER(Z190)),IFERROR(AE190/Z190-1,""),"")</f>
        <v>0.234527899119273</v>
      </c>
      <c r="AF191" s="255">
        <f>IF(AND(ISNUMBER(AF190),ISNUMBER(AA190)),IFERROR(AF190/AA190-1,""),"")</f>
        <v>0.244132177335591</v>
      </c>
      <c r="AG191" s="255">
        <f>IF(AND(ISNUMBER(AG190),ISNUMBER(AB190)),IFERROR(AG190/AB190-1,""),"")</f>
        <v>-1.05918998404222</v>
      </c>
      <c r="AH191" s="255">
        <f>IF(AND(ISNUMBER(AH190),ISNUMBER(AC190)),IFERROR(AH190/AC190-1,""),"")</f>
        <v>2.77637998583065</v>
      </c>
      <c r="AI191" s="255">
        <f>IF(AND(ISNUMBER(AI190),ISNUMBER(AD190)),IFERROR(AI190/AD190-1,""),"")</f>
        <v>0.0778835511282492</v>
      </c>
      <c r="AJ191" s="255">
        <f>IF(AND(ISNUMBER(AJ190),ISNUMBER(AE190)),IFERROR(AJ190/AE190-1,""),"")</f>
        <v>0.201277671008612</v>
      </c>
      <c r="AK191" s="255">
        <f>IF(AND(ISNUMBER(AK190),ISNUMBER(AF190)),IFERROR(AK190/AF190-1,""),"")</f>
        <v>-0.0243868372036881</v>
      </c>
      <c r="AL191" s="255">
        <f>IF(AND(ISNUMBER(AL190),ISNUMBER(AG190)),IFERROR(AL190/AG190-1,""),"")</f>
        <v>8.83592480291081</v>
      </c>
      <c r="AM191" s="255">
        <f>IF(AND(ISNUMBER(AM190),ISNUMBER(AH190)),IFERROR(AM190/AH190-1,""),"")</f>
        <v>0.30746819398073</v>
      </c>
      <c r="AN191" s="255">
        <f>IF(AND(ISNUMBER(AN190),ISNUMBER(AI190)),IFERROR(AN190/AI190-1,""),"")</f>
        <v>0.00881742738589164</v>
      </c>
      <c r="AO191" s="255">
        <f>IF(AND(ISNUMBER(AO190),ISNUMBER(AJ190)),IFERROR(AO190/AJ190-1,""),"")</f>
        <v>-0.161806526485867</v>
      </c>
      <c r="AP191" s="255">
        <f>IF(AND(ISNUMBER(AP190),ISNUMBER(AK190)),IFERROR(AP190/AK190-1,""),"")</f>
        <v>0.244842627821352</v>
      </c>
      <c r="AQ191" s="255">
        <f>IF(AND(ISNUMBER(AQ190),ISNUMBER(AL190)),IFERROR(AQ190/AL190-1,""),"")</f>
        <v>0.459864112697502</v>
      </c>
      <c r="AR191" s="255">
        <f>IF(AND(ISNUMBER(AR190),ISNUMBER(AM190)),IFERROR(AR190/AM190-1,""),"")</f>
        <v>0.101695779871271</v>
      </c>
      <c r="AS191" s="255">
        <f>IF(AND(ISNUMBER(AS190),ISNUMBER(AN190)),IFERROR(AS190/AN190-1,""),"")</f>
        <v>0.330748959291583</v>
      </c>
      <c r="AT191" s="255">
        <f>IF(AND(ISNUMBER(AT190),ISNUMBER(AO190)),IFERROR(AT190/AO190-1,""),"")</f>
        <v>0.660309957764035</v>
      </c>
      <c r="AU191" s="255">
        <f>IF(AND(ISNUMBER(AU190),ISNUMBER(AP190)),IFERROR(AU190/AP190-1,""),"")</f>
        <v>0.242595072543435</v>
      </c>
      <c r="AV191" s="255">
        <f>IF(AND(ISNUMBER(AV190),ISNUMBER(AQ190)),IFERROR(AV190/AQ190-1,""),"")</f>
        <v>-0.118876135848345</v>
      </c>
      <c r="AW191" s="255">
        <f>IF(AND(ISNUMBER(AW190),ISNUMBER(AR190)),IFERROR(AW190/AR190-1,""),"")</f>
        <v>0.265543422617787</v>
      </c>
      <c r="AX191" s="255">
        <f>IF(AND(ISNUMBER(AX190),ISNUMBER(AS190)),IFERROR(AX190/AS190-1,""),"")</f>
        <v>0.516193522590964</v>
      </c>
      <c r="AY191" s="255">
        <f>IF(AND(ISNUMBER(AY190),ISNUMBER(AT190)),IFERROR(AY190/AT190-1,""),"")</f>
        <v>0.140231553171178</v>
      </c>
      <c r="AZ191" s="255">
        <f>IF(AND(ISNUMBER(AZ190),ISNUMBER(AU190)),IFERROR(AZ190/AU190-1,""),"")</f>
        <v>0.0258274064784021</v>
      </c>
      <c r="BA191" s="255">
        <f>IF(AND(ISNUMBER(BA190),ISNUMBER(AV190)),IFERROR(BA190/AV190-1,""),"")</f>
        <v>0.372934354798143</v>
      </c>
      <c r="BB191" s="255">
        <f>IF(AND(ISNUMBER(BB190),ISNUMBER(AW190)),IFERROR(BB190/AW190-1,""),"")</f>
        <v>0.254497192640702</v>
      </c>
      <c r="BC191" s="255">
        <f>IF(AND(ISNUMBER(BC190),ISNUMBER(AX190)),IFERROR(BC190/AX190-1,""),"")</f>
        <v>-0.314279957012359</v>
      </c>
      <c r="BD191" s="255">
        <f>IF(AND(ISNUMBER(BD190),ISNUMBER(AY190)),IFERROR(BD190/AY190-1,""),"")</f>
        <v>-0.424080466934677</v>
      </c>
      <c r="BE191" s="255">
        <f>IF(AND(ISNUMBER(BE190),ISNUMBER(AZ190)),IFERROR(BE190/AZ190-1,""),"")</f>
        <v>-0.348941017751805</v>
      </c>
      <c r="BF191" s="255">
        <f>IF(AND(ISNUMBER(BF190),ISNUMBER(BA190)),IFERROR(BF190/BA190-1,""),"")</f>
        <v>-0.412922968775669</v>
      </c>
      <c r="BG191" s="255">
        <f>IF(AND(ISNUMBER(BG190),ISNUMBER(BB190)),IFERROR(BG190/BB190-1,""),"")</f>
        <v>-0.368651721167997</v>
      </c>
      <c r="BH191" s="255">
        <f>IF(AND(ISNUMBER(BH190),ISNUMBER(BC190)),IFERROR(BH190/BC190-1,""),"")</f>
        <v>0.0169532011806053</v>
      </c>
      <c r="BI191" s="255">
        <f>IF(AND(ISNUMBER(BI190),ISNUMBER(BD190)),IFERROR(BI190/BD190-1,""),"")</f>
        <v>0.157915107299417</v>
      </c>
      <c r="BJ191" s="255">
        <f>IF(AND(ISNUMBER(BJ190),ISNUMBER(BE190)),IFERROR(BJ190/BE190-1,""),"")</f>
        <v>0.283130650021524</v>
      </c>
      <c r="BK191" s="255">
        <f>IF(AND(ISNUMBER(BK190),ISNUMBER(BF190)),IFERROR(BK190/BF190-1,""),"")</f>
        <v>0.384372177055104</v>
      </c>
      <c r="BL191" s="255">
        <f>IF(AND(ISNUMBER(BL190),ISNUMBER(BG190)),IFERROR(BL190/BG190-1,""),"")</f>
        <v>0.174027355863553</v>
      </c>
      <c r="BM191" s="255">
        <f>IF(AND(ISNUMBER(BM190),ISNUMBER(BH190)),IFERROR(BM190/BH190-1,""),"")</f>
        <v>0.156092395361948</v>
      </c>
      <c r="BN191" s="255">
        <f>IF(AND(ISNUMBER(BN190),ISNUMBER(BI190)),IFERROR(BN190/BI190-1,""),"")</f>
        <v>0.472992129408184</v>
      </c>
      <c r="BO191" s="255">
        <f>IF(AND(ISNUMBER(BO190),ISNUMBER(BJ190)),IFERROR(BO190/BJ190-1,""),"")</f>
        <v>0.384033524668099</v>
      </c>
      <c r="BP191" s="255">
        <f>IF(AND(ISNUMBER(BP190),ISNUMBER(BK190)),IFERROR(BP190/BK190-1,""),"")</f>
        <v>0.173913043478261</v>
      </c>
      <c r="BQ191" s="255">
        <f>IF(AND(ISNUMBER(BQ190),ISNUMBER(BL190)),IFERROR(BQ190/BL190-1,""),"")</f>
        <v>0.289759600597959</v>
      </c>
      <c r="BR191" s="255">
        <f>IF(AND(ISNUMBER(BR190),ISNUMBER(BM190)),IFERROR(BR190/BM190-1,""),"")</f>
        <v>0.099373800519643</v>
      </c>
      <c r="BS191" s="255">
        <f>IF(AND(ISNUMBER(BS190),ISNUMBER(BN190)),IFERROR(BS190/BN190-1,""),"")</f>
        <v>0.0633716160787532</v>
      </c>
      <c r="BT191" s="255">
        <f>IF(AND(ISNUMBER(BT190),ISNUMBER(BO190)),IFERROR(BT190/BO190-1,""),"")</f>
        <v>0.229271456336595</v>
      </c>
      <c r="BU191" s="255">
        <f>IF(AND(ISNUMBER(BU190),ISNUMBER(BP190)),IFERROR(BU190/BP190-1,""),"")</f>
        <v>0.570229434806939</v>
      </c>
      <c r="BV191" s="255">
        <f>IF(AND(ISNUMBER(BV190),ISNUMBER(BQ190)),IFERROR(BV190/BQ190-1,""),"")</f>
        <v>0.213446245646674</v>
      </c>
      <c r="BW191" s="255">
        <f>IF(AND(ISNUMBER(BW190),ISNUMBER(BR190)),IFERROR(BW190/BR190-1,""),"")</f>
        <v>0.077881105470953</v>
      </c>
      <c r="BX191" s="255">
        <f>IF(AND(ISNUMBER(BX190),ISNUMBER(BS190)),IFERROR(BX190/BS190-1,""),"")</f>
        <v>0.568649924153042</v>
      </c>
      <c r="BY191" s="256">
        <f>IF(AND(ISNUMBER(BY190),ISNUMBER(BT190)),IFERROR(BY190/BT190-1,""),"")</f>
        <v>0.0498330427536833</v>
      </c>
      <c r="BZ191" s="256">
        <f>IF(AND(ISNUMBER(BZ190),ISNUMBER(BU190)),IFERROR(BZ190/BU190-1,""),"")</f>
        <v>0.0775422136325024</v>
      </c>
      <c r="CA191" s="256">
        <f>IF(AND(ISNUMBER(CA190),ISNUMBER(BV190)),IFERROR(CA190/BV190-1,""),"")</f>
        <v>0.186257038901025</v>
      </c>
      <c r="CB191" s="256">
        <f>IF(AND(ISNUMBER(CB190),ISNUMBER(CA190)),IFERROR(CB190/CA190-1,""),"")</f>
        <v>0.0626883209827573</v>
      </c>
      <c r="CC191" s="256">
        <f>IF(AND(ISNUMBER(CC190),ISNUMBER(CB190)),IFERROR(CC190/CB190-1,""),"")</f>
        <v>0.13430319634331</v>
      </c>
      <c r="CD191" s="256">
        <f>IF(AND(ISNUMBER(CD190),ISNUMBER(CC190)),IFERROR(CD190/CC190-1,""),"")</f>
        <v>0.115316114418828</v>
      </c>
      <c r="CE191" s="256">
        <f>IF(AND(ISNUMBER(CE190),ISNUMBER(CD190)),IFERROR(CE190/CD190-1,""),"")</f>
        <v>0.108189554060564</v>
      </c>
      <c r="CF191" s="153" t="n"/>
    </row>
    <row r="192" ht="15" customHeight="1" s="251">
      <c r="B192" s="156" t="inlineStr">
        <is>
          <t xml:space="preserve">  Memo: EPS – diluted as reported ($)</t>
        </is>
      </c>
      <c r="C192" s="282" t="n">
        <v>2.58</v>
      </c>
      <c r="D192" s="282" t="n">
        <v>2.58</v>
      </c>
      <c r="E192" s="282" t="n">
        <v>1.87</v>
      </c>
      <c r="F192" s="282" t="n">
        <v>1.69</v>
      </c>
      <c r="G192" s="282" t="n">
        <v>2.15</v>
      </c>
      <c r="H192" s="282" t="n">
        <v>2.49</v>
      </c>
      <c r="I192" s="282" t="n">
        <v>3.05</v>
      </c>
      <c r="J192" s="282" t="n">
        <v>0.83</v>
      </c>
      <c r="K192" s="282" t="n">
        <v>1</v>
      </c>
      <c r="L192" s="282" t="n">
        <v>0.83</v>
      </c>
      <c r="M192" s="282" t="n">
        <v>0.9399999999999999</v>
      </c>
      <c r="N192" s="282" t="n">
        <v>3.6</v>
      </c>
      <c r="O192" s="282" t="n">
        <v>1</v>
      </c>
      <c r="P192" s="282" t="n">
        <v>1.48</v>
      </c>
      <c r="Q192" s="282" t="n">
        <v>1</v>
      </c>
      <c r="R192" s="282" t="n">
        <v>1.12</v>
      </c>
      <c r="S192" s="282" t="n">
        <v>4.61</v>
      </c>
      <c r="T192" s="282" t="n">
        <v>1.11</v>
      </c>
      <c r="U192" s="282" t="n">
        <v>1.28</v>
      </c>
      <c r="V192" s="282" t="n">
        <v>1.14</v>
      </c>
      <c r="W192" s="282" t="n">
        <v>1.09</v>
      </c>
      <c r="X192" s="282" t="n">
        <v>4.63</v>
      </c>
      <c r="Y192" s="282" t="n">
        <v>0.93</v>
      </c>
      <c r="Z192" s="282" t="n">
        <v>1.3</v>
      </c>
      <c r="AA192" s="282" t="n">
        <v>1.31</v>
      </c>
      <c r="AB192" s="282" t="n">
        <v>-2.22</v>
      </c>
      <c r="AC192" s="282" t="n">
        <v>1.36</v>
      </c>
      <c r="AD192" s="282" t="n">
        <v>1.78</v>
      </c>
      <c r="AE192" s="282" t="n">
        <v>1.61</v>
      </c>
      <c r="AF192" s="282" t="n">
        <v>1.63</v>
      </c>
      <c r="AG192" s="282" t="n">
        <v>0.13</v>
      </c>
      <c r="AH192" s="282" t="n">
        <v>5.15</v>
      </c>
      <c r="AI192" s="282" t="n">
        <v>1.92</v>
      </c>
      <c r="AJ192" s="282" t="n">
        <v>1.94</v>
      </c>
      <c r="AK192" s="282" t="n">
        <v>1.59</v>
      </c>
      <c r="AL192" s="282" t="n">
        <v>1.29</v>
      </c>
      <c r="AM192" s="282" t="n">
        <v>6.74</v>
      </c>
      <c r="AN192" s="282" t="n">
        <v>1.93</v>
      </c>
      <c r="AO192" s="282" t="n">
        <v>1.62</v>
      </c>
      <c r="AP192" s="282" t="n">
        <v>1.99</v>
      </c>
      <c r="AQ192" s="282" t="n">
        <v>1.88</v>
      </c>
      <c r="AR192" s="282" t="n">
        <v>7.42</v>
      </c>
      <c r="AS192" s="282" t="n">
        <v>2.57</v>
      </c>
      <c r="AT192" s="282" t="n">
        <v>2.69</v>
      </c>
      <c r="AU192" s="282" t="n">
        <v>2.47</v>
      </c>
      <c r="AV192" s="282" t="n">
        <v>1.66</v>
      </c>
      <c r="AW192" s="282" t="n">
        <v>9.390000000000001</v>
      </c>
      <c r="AX192" s="282" t="n">
        <v>3.9</v>
      </c>
      <c r="AY192" s="282" t="n">
        <v>3.07</v>
      </c>
      <c r="AZ192" s="282" t="n">
        <v>2.53</v>
      </c>
      <c r="BA192" s="282" t="n">
        <v>2.28</v>
      </c>
      <c r="BB192" s="282" t="n">
        <v>11.78</v>
      </c>
      <c r="BC192" s="282" t="n">
        <v>2.68</v>
      </c>
      <c r="BD192" s="282" t="n">
        <v>1.77</v>
      </c>
      <c r="BE192" s="282" t="n">
        <v>1.65</v>
      </c>
      <c r="BF192" s="282" t="n">
        <v>1.34</v>
      </c>
      <c r="BG192" s="282" t="n">
        <v>7.44</v>
      </c>
      <c r="BH192" s="282" t="n">
        <v>2.72</v>
      </c>
      <c r="BI192" s="282" t="n">
        <v>2.05</v>
      </c>
      <c r="BJ192" s="282" t="n">
        <v>2.11</v>
      </c>
      <c r="BK192" s="282" t="n">
        <v>1.85</v>
      </c>
      <c r="BL192" s="282" t="n">
        <v>8.73</v>
      </c>
      <c r="BM192" s="282" t="n">
        <v>3.15</v>
      </c>
      <c r="BN192" s="282" t="n">
        <v>3.02</v>
      </c>
      <c r="BO192" s="282" t="n">
        <v>2.93</v>
      </c>
      <c r="BP192" s="282" t="n">
        <v>2.17</v>
      </c>
      <c r="BQ192" s="282" t="n">
        <v>11.26</v>
      </c>
      <c r="BR192" s="282" t="n">
        <v>3.46</v>
      </c>
      <c r="BS192" s="282" t="n">
        <v>3.21</v>
      </c>
      <c r="BT192" s="282" t="n">
        <v>3.6</v>
      </c>
      <c r="BU192" s="282" t="n">
        <v>3.41</v>
      </c>
      <c r="BV192" s="282" t="n">
        <v>13.67</v>
      </c>
      <c r="BW192" s="282" t="n">
        <v>3.73</v>
      </c>
      <c r="BX192" s="282" t="n">
        <v>5.03</v>
      </c>
      <c r="BY192" s="153" t="n"/>
      <c r="BZ192" s="153" t="n"/>
      <c r="CA192" s="153" t="n"/>
      <c r="CB192" s="153" t="n"/>
      <c r="CC192" s="153" t="n"/>
      <c r="CD192" s="153" t="n"/>
      <c r="CE192" s="153" t="n"/>
      <c r="CF192" s="153" t="n"/>
    </row>
    <row r="193" ht="15" customHeight="1" s="251">
      <c r="B193" s="57" t="inlineStr">
        <is>
          <t xml:space="preserve">  Check: model vs reported diluted EPS (should be 0.00; ±0.01 rounding)</t>
        </is>
      </c>
      <c r="C193" s="283">
        <f>IF(AND(ISNUMBER(C192),ISNUMBER(C190)),IF(ABS(C190-C192)&lt;=0.0101,0,ROUND(C190-C192,2)),"n/p")</f>
        <v>0</v>
      </c>
      <c r="D193" s="283">
        <f>IF(AND(ISNUMBER(D192),ISNUMBER(D190)),IF(ABS(D190-D192)&lt;=0.0101,0,ROUND(D190-D192,2)),"n/p")</f>
        <v>0</v>
      </c>
      <c r="E193" s="283">
        <f>IF(AND(ISNUMBER(E192),ISNUMBER(E190)),IF(ABS(E190-E192)&lt;=0.0101,0,ROUND(E190-E192,2)),"n/p")</f>
        <v>0</v>
      </c>
      <c r="F193" s="283">
        <f>IF(AND(ISNUMBER(F192),ISNUMBER(F190)),IF(ABS(F190-F192)&lt;=0.0101,0,ROUND(F190-F192,2)),"n/p")</f>
        <v>0</v>
      </c>
      <c r="G193" s="283">
        <f>IF(AND(ISNUMBER(G192),ISNUMBER(G190)),IF(ABS(G190-G192)&lt;=0.0101,0,ROUND(G190-G192,2)),"n/p")</f>
        <v>0</v>
      </c>
      <c r="H193" s="283">
        <f>IF(AND(ISNUMBER(H192),ISNUMBER(H190)),IF(ABS(H190-H192)&lt;=0.0101,0,ROUND(H190-H192,2)),"n/p")</f>
        <v>0</v>
      </c>
      <c r="I193" s="283">
        <f>IF(AND(ISNUMBER(I192),ISNUMBER(I190)),IF(ABS(I190-I192)&lt;=0.0101,0,ROUND(I190-I192,2)),"n/p")</f>
        <v>0</v>
      </c>
      <c r="J193" s="283">
        <f>IF(AND(ISNUMBER(J192),ISNUMBER(J190)),IF(ABS(J190-J192)&lt;=0.0101,0,ROUND(J190-J192,2)),"n/p")</f>
        <v>0</v>
      </c>
      <c r="K193" s="283">
        <f>IF(AND(ISNUMBER(K192),ISNUMBER(K190)),IF(ABS(K190-K192)&lt;=0.0101,0,ROUND(K190-K192,2)),"n/p")</f>
        <v>0</v>
      </c>
      <c r="L193" s="283">
        <f>IF(AND(ISNUMBER(L192),ISNUMBER(L190)),IF(ABS(L190-L192)&lt;=0.0101,0,ROUND(L190-L192,2)),"n/p")</f>
        <v>0</v>
      </c>
      <c r="M193" s="283">
        <f>IF(AND(ISNUMBER(M192),ISNUMBER(M190)),IF(ABS(M190-M192)&lt;=0.0101,0,ROUND(M190-M192,2)),"n/p")</f>
        <v>0</v>
      </c>
      <c r="N193" s="283">
        <f>IF(AND(ISNUMBER(N192),ISNUMBER(N190)),IF(ABS(N190-N192)&lt;=0.0101,0,ROUND(N190-N192,2)),"n/p")</f>
        <v>0</v>
      </c>
      <c r="O193" s="283">
        <f>IF(AND(ISNUMBER(O192),ISNUMBER(O190)),IF(ABS(O190-O192)&lt;=0.0101,0,ROUND(O190-O192,2)),"n/p")</f>
        <v>0</v>
      </c>
      <c r="P193" s="283">
        <f>IF(AND(ISNUMBER(P192),ISNUMBER(P190)),IF(ABS(P190-P192)&lt;=0.0101,0,ROUND(P190-P192,2)),"n/p")</f>
        <v>0</v>
      </c>
      <c r="Q193" s="283">
        <f>IF(AND(ISNUMBER(Q192),ISNUMBER(Q190)),IF(ABS(Q190-Q192)&lt;=0.0101,0,ROUND(Q190-Q192,2)),"n/p")</f>
        <v>0</v>
      </c>
      <c r="R193" s="283">
        <f>IF(AND(ISNUMBER(R192),ISNUMBER(R190)),IF(ABS(R190-R192)&lt;=0.0101,0,ROUND(R190-R192,2)),"n/p")</f>
        <v>0</v>
      </c>
      <c r="S193" s="283">
        <f>IF(AND(ISNUMBER(S192),ISNUMBER(S190)),IF(ABS(S190-S192)&lt;=0.0101,0,ROUND(S190-S192,2)),"n/p")</f>
        <v>0</v>
      </c>
      <c r="T193" s="283">
        <f>IF(AND(ISNUMBER(T192),ISNUMBER(T190)),IF(ABS(T190-T192)&lt;=0.0101,0,ROUND(T190-T192,2)),"n/p")</f>
        <v>0</v>
      </c>
      <c r="U193" s="283">
        <f>IF(AND(ISNUMBER(U192),ISNUMBER(U190)),IF(ABS(U190-U192)&lt;=0.0101,0,ROUND(U190-U192,2)),"n/p")</f>
        <v>0</v>
      </c>
      <c r="V193" s="283">
        <f>IF(AND(ISNUMBER(V192),ISNUMBER(V190)),IF(ABS(V190-V192)&lt;=0.0101,0,ROUND(V190-V192,2)),"n/p")</f>
        <v>0</v>
      </c>
      <c r="W193" s="283">
        <f>IF(AND(ISNUMBER(W192),ISNUMBER(W190)),IF(ABS(W190-W192)&lt;=0.0101,0,ROUND(W190-W192,2)),"n/p")</f>
        <v>0</v>
      </c>
      <c r="X193" s="283">
        <f>IF(AND(ISNUMBER(X192),ISNUMBER(X190)),IF(ABS(X190-X192)&lt;=0.0101,0,ROUND(X190-X192,2)),"n/p")</f>
        <v>0</v>
      </c>
      <c r="Y193" s="283">
        <f>IF(AND(ISNUMBER(Y192),ISNUMBER(Y190)),IF(ABS(Y190-Y192)&lt;=0.0101,0,ROUND(Y190-Y192,2)),"n/p")</f>
        <v>0</v>
      </c>
      <c r="Z193" s="283">
        <f>IF(AND(ISNUMBER(Z192),ISNUMBER(Z190)),IF(ABS(Z190-Z192)&lt;=0.0101,0,ROUND(Z190-Z192,2)),"n/p")</f>
        <v>0</v>
      </c>
      <c r="AA193" s="283">
        <f>IF(AND(ISNUMBER(AA192),ISNUMBER(AA190)),IF(ABS(AA190-AA192)&lt;=0.0101,0,ROUND(AA190-AA192,2)),"n/p")</f>
        <v>0</v>
      </c>
      <c r="AB193" s="283">
        <f>IF(AND(ISNUMBER(AB192),ISNUMBER(AB190)),IF(ABS(AB190-AB192)&lt;=0.0101,0,ROUND(AB190-AB192,2)),"n/p")</f>
        <v>0</v>
      </c>
      <c r="AC193" s="283">
        <f>IF(AND(ISNUMBER(AC192),ISNUMBER(AC190)),IF(ABS(AC190-AC192)&lt;=0.0101,0,ROUND(AC190-AC192,2)),"n/p")</f>
        <v>0</v>
      </c>
      <c r="AD193" s="283">
        <f>IF(AND(ISNUMBER(AD192),ISNUMBER(AD190)),IF(ABS(AD190-AD192)&lt;=0.0101,0,ROUND(AD190-AD192,2)),"n/p")</f>
        <v>0</v>
      </c>
      <c r="AE193" s="283">
        <f>IF(AND(ISNUMBER(AE192),ISNUMBER(AE190)),IF(ABS(AE190-AE192)&lt;=0.0101,0,ROUND(AE190-AE192,2)),"n/p")</f>
        <v>0</v>
      </c>
      <c r="AF193" s="283">
        <f>IF(AND(ISNUMBER(AF192),ISNUMBER(AF190)),IF(ABS(AF190-AF192)&lt;=0.0101,0,ROUND(AF190-AF192,2)),"n/p")</f>
        <v>0</v>
      </c>
      <c r="AG193" s="283">
        <f>IF(AND(ISNUMBER(AG192),ISNUMBER(AG190)),IF(ABS(AG190-AG192)&lt;=0.0101,0,ROUND(AG190-AG192,2)),"n/p")</f>
        <v>0</v>
      </c>
      <c r="AH193" s="283">
        <f>IF(AND(ISNUMBER(AH192),ISNUMBER(AH190)),IF(ABS(AH190-AH192)&lt;=0.0101,0,ROUND(AH190-AH192,2)),"n/p")</f>
        <v>0</v>
      </c>
      <c r="AI193" s="283">
        <f>IF(AND(ISNUMBER(AI192),ISNUMBER(AI190)),IF(ABS(AI190-AI192)&lt;=0.0101,0,ROUND(AI190-AI192,2)),"n/p")</f>
        <v>0</v>
      </c>
      <c r="AJ193" s="283">
        <f>IF(AND(ISNUMBER(AJ192),ISNUMBER(AJ190)),IF(ABS(AJ190-AJ192)&lt;=0.0101,0,ROUND(AJ190-AJ192,2)),"n/p")</f>
        <v>0</v>
      </c>
      <c r="AK193" s="283">
        <f>IF(AND(ISNUMBER(AK192),ISNUMBER(AK190)),IF(ABS(AK190-AK192)&lt;=0.0101,0,ROUND(AK190-AK192,2)),"n/p")</f>
        <v>0</v>
      </c>
      <c r="AL193" s="283">
        <f>IF(AND(ISNUMBER(AL192),ISNUMBER(AL190)),IF(ABS(AL190-AL192)&lt;=0.0101,0,ROUND(AL190-AL192,2)),"n/p")</f>
        <v>0</v>
      </c>
      <c r="AM193" s="283">
        <f>IF(AND(ISNUMBER(AM192),ISNUMBER(AM190)),IF(ABS(AM190-AM192)&lt;=0.0101,0,ROUND(AM190-AM192,2)),"n/p")</f>
        <v>0</v>
      </c>
      <c r="AN193" s="283">
        <f>IF(AND(ISNUMBER(AN192),ISNUMBER(AN190)),IF(ABS(AN190-AN192)&lt;=0.0101,0,ROUND(AN190-AN192,2)),"n/p")</f>
        <v>0</v>
      </c>
      <c r="AO193" s="283">
        <f>IF(AND(ISNUMBER(AO192),ISNUMBER(AO190)),IF(ABS(AO190-AO192)&lt;=0.0101,0,ROUND(AO190-AO192,2)),"n/p")</f>
        <v>0</v>
      </c>
      <c r="AP193" s="283">
        <f>IF(AND(ISNUMBER(AP192),ISNUMBER(AP190)),IF(ABS(AP190-AP192)&lt;=0.0101,0,ROUND(AP190-AP192,2)),"n/p")</f>
        <v>0</v>
      </c>
      <c r="AQ193" s="283">
        <f>IF(AND(ISNUMBER(AQ192),ISNUMBER(AQ190)),IF(ABS(AQ190-AQ192)&lt;=0.0101,0,ROUND(AQ190-AQ192,2)),"n/p")</f>
        <v>0</v>
      </c>
      <c r="AR193" s="283">
        <f>IF(AND(ISNUMBER(AR192),ISNUMBER(AR190)),IF(ABS(AR190-AR192)&lt;=0.0101,0,ROUND(AR190-AR192,2)),"n/p")</f>
        <v>0</v>
      </c>
      <c r="AS193" s="283">
        <f>IF(AND(ISNUMBER(AS192),ISNUMBER(AS190)),IF(ABS(AS190-AS192)&lt;=0.0101,0,ROUND(AS190-AS192,2)),"n/p")</f>
        <v>0</v>
      </c>
      <c r="AT193" s="283">
        <f>IF(AND(ISNUMBER(AT192),ISNUMBER(AT190)),IF(ABS(AT190-AT192)&lt;=0.0101,0,ROUND(AT190-AT192,2)),"n/p")</f>
        <v>0</v>
      </c>
      <c r="AU193" s="283">
        <f>IF(AND(ISNUMBER(AU192),ISNUMBER(AU190)),IF(ABS(AU190-AU192)&lt;=0.0101,0,ROUND(AU190-AU192,2)),"n/p")</f>
        <v>0</v>
      </c>
      <c r="AV193" s="283">
        <f>IF(AND(ISNUMBER(AV192),ISNUMBER(AV190)),IF(ABS(AV190-AV192)&lt;=0.0101,0,ROUND(AV190-AV192,2)),"n/p")</f>
        <v>0</v>
      </c>
      <c r="AW193" s="283">
        <f>IF(AND(ISNUMBER(AW192),ISNUMBER(AW190)),IF(ABS(AW190-AW192)&lt;=0.0101,0,ROUND(AW190-AW192,2)),"n/p")</f>
        <v>0</v>
      </c>
      <c r="AX193" s="283">
        <f>IF(AND(ISNUMBER(AX192),ISNUMBER(AX190)),IF(ABS(AX190-AX192)&lt;=0.0101,0,ROUND(AX190-AX192,2)),"n/p")</f>
        <v>0</v>
      </c>
      <c r="AY193" s="283">
        <f>IF(AND(ISNUMBER(AY192),ISNUMBER(AY190)),IF(ABS(AY190-AY192)&lt;=0.0101,0,ROUND(AY190-AY192,2)),"n/p")</f>
        <v>0</v>
      </c>
      <c r="AZ193" s="283">
        <f>IF(AND(ISNUMBER(AZ192),ISNUMBER(AZ190)),IF(ABS(AZ190-AZ192)&lt;=0.0101,0,ROUND(AZ190-AZ192,2)),"n/p")</f>
        <v>0</v>
      </c>
      <c r="BA193" s="283">
        <f>IF(AND(ISNUMBER(BA192),ISNUMBER(BA190)),IF(ABS(BA190-BA192)&lt;=0.0101,0,ROUND(BA190-BA192,2)),"n/p")</f>
        <v>0</v>
      </c>
      <c r="BB193" s="283">
        <f>IF(AND(ISNUMBER(BB192),ISNUMBER(BB190)),IF(ABS(BB190-BB192)&lt;=0.0101,0,ROUND(BB190-BB192,2)),"n/p")</f>
        <v>0</v>
      </c>
      <c r="BC193" s="283">
        <f>IF(AND(ISNUMBER(BC192),ISNUMBER(BC190)),IF(ABS(BC190-BC192)&lt;=0.0101,0,ROUND(BC190-BC192,2)),"n/p")</f>
        <v>0</v>
      </c>
      <c r="BD193" s="283">
        <f>IF(AND(ISNUMBER(BD192),ISNUMBER(BD190)),IF(ABS(BD190-BD192)&lt;=0.0101,0,ROUND(BD190-BD192,2)),"n/p")</f>
        <v>0</v>
      </c>
      <c r="BE193" s="283">
        <f>IF(AND(ISNUMBER(BE192),ISNUMBER(BE190)),IF(ABS(BE190-BE192)&lt;=0.0101,0,ROUND(BE190-BE192,2)),"n/p")</f>
        <v>0</v>
      </c>
      <c r="BF193" s="283">
        <f>IF(AND(ISNUMBER(BF192),ISNUMBER(BF190)),IF(ABS(BF190-BF192)&lt;=0.0101,0,ROUND(BF190-BF192,2)),"n/p")</f>
        <v>0</v>
      </c>
      <c r="BG193" s="283">
        <f>IF(AND(ISNUMBER(BG192),ISNUMBER(BG190)),IF(ABS(BG190-BG192)&lt;=0.0101,0,ROUND(BG190-BG192,2)),"n/p")</f>
        <v>0</v>
      </c>
      <c r="BH193" s="283">
        <f>IF(AND(ISNUMBER(BH192),ISNUMBER(BH190)),IF(ABS(BH190-BH192)&lt;=0.0101,0,ROUND(BH190-BH192,2)),"n/p")</f>
        <v>0</v>
      </c>
      <c r="BI193" s="283">
        <f>IF(AND(ISNUMBER(BI192),ISNUMBER(BI190)),IF(ABS(BI190-BI192)&lt;=0.0101,0,ROUND(BI190-BI192,2)),"n/p")</f>
        <v>0</v>
      </c>
      <c r="BJ193" s="283">
        <f>IF(AND(ISNUMBER(BJ192),ISNUMBER(BJ190)),IF(ABS(BJ190-BJ192)&lt;=0.0101,0,ROUND(BJ190-BJ192,2)),"n/p")</f>
        <v>0</v>
      </c>
      <c r="BK193" s="283">
        <f>IF(AND(ISNUMBER(BK192),ISNUMBER(BK190)),IF(ABS(BK190-BK192)&lt;=0.0101,0,ROUND(BK190-BK192,2)),"n/p")</f>
        <v>0</v>
      </c>
      <c r="BL193" s="283">
        <f>IF(AND(ISNUMBER(BL192),ISNUMBER(BL190)),IF(ABS(BL190-BL192)&lt;=0.0101,0,ROUND(BL190-BL192,2)),"n/p")</f>
        <v>0</v>
      </c>
      <c r="BM193" s="283">
        <f>IF(AND(ISNUMBER(BM192),ISNUMBER(BM190)),IF(ABS(BM190-BM192)&lt;=0.0101,0,ROUND(BM190-BM192,2)),"n/p")</f>
        <v>0</v>
      </c>
      <c r="BN193" s="283">
        <f>IF(AND(ISNUMBER(BN192),ISNUMBER(BN190)),IF(ABS(BN190-BN192)&lt;=0.0101,0,ROUND(BN190-BN192,2)),"n/p")</f>
        <v>0</v>
      </c>
      <c r="BO193" s="283">
        <f>IF(AND(ISNUMBER(BO192),ISNUMBER(BO190)),IF(ABS(BO190-BO192)&lt;=0.0101,0,ROUND(BO190-BO192,2)),"n/p")</f>
        <v>0</v>
      </c>
      <c r="BP193" s="283">
        <f>IF(AND(ISNUMBER(BP192),ISNUMBER(BP190)),IF(ABS(BP190-BP192)&lt;=0.0101,0,ROUND(BP190-BP192,2)),"n/p")</f>
        <v>0</v>
      </c>
      <c r="BQ193" s="283">
        <f>IF(AND(ISNUMBER(BQ192),ISNUMBER(BQ190)),IF(ABS(BQ190-BQ192)&lt;=0.0101,0,ROUND(BQ190-BQ192,2)),"n/p")</f>
        <v>0</v>
      </c>
      <c r="BR193" s="283">
        <f>IF(AND(ISNUMBER(BR192),ISNUMBER(BR190)),IF(ABS(BR190-BR192)&lt;=0.0101,0,ROUND(BR190-BR192,2)),"n/p")</f>
        <v>0</v>
      </c>
      <c r="BS193" s="283">
        <f>IF(AND(ISNUMBER(BS192),ISNUMBER(BS190)),IF(ABS(BS190-BS192)&lt;=0.0101,0,ROUND(BS190-BS192,2)),"n/p")</f>
        <v>0</v>
      </c>
      <c r="BT193" s="283">
        <f>IF(AND(ISNUMBER(BT192),ISNUMBER(BT190)),IF(ABS(BT190-BT192)&lt;=0.0101,0,ROUND(BT190-BT192,2)),"n/p")</f>
        <v>0</v>
      </c>
      <c r="BU193" s="283">
        <f>IF(AND(ISNUMBER(BU192),ISNUMBER(BU190)),IF(ABS(BU190-BU192)&lt;=0.0101,0,ROUND(BU190-BU192,2)),"n/p")</f>
        <v>0</v>
      </c>
      <c r="BV193" s="283">
        <f>IF(AND(ISNUMBER(BV192),ISNUMBER(BV190)),IF(ABS(BV190-BV192)&lt;=0.0101,0,ROUND(BV190-BV192,2)),"n/p")</f>
        <v>0</v>
      </c>
      <c r="BW193" s="283">
        <f>IF(AND(ISNUMBER(BW192),ISNUMBER(BW190)),IF(ABS(BW190-BW192)&lt;=0.0101,0,ROUND(BW190-BW192,2)),"n/p")</f>
        <v>0</v>
      </c>
      <c r="BX193" s="283">
        <f>IF(AND(ISNUMBER(BX192),ISNUMBER(BX190)),IF(ABS(BX190-BX192)&lt;=0.0101,0,ROUND(BX190-BX192,2)),"n/p")</f>
        <v>0</v>
      </c>
      <c r="BY193" s="153" t="n"/>
      <c r="BZ193" s="153" t="n"/>
      <c r="CA193" s="153" t="n"/>
      <c r="CB193" s="153" t="n"/>
      <c r="CC193" s="153" t="n"/>
      <c r="CD193" s="153" t="n"/>
      <c r="CE193" s="153" t="n"/>
      <c r="CF193" s="153" t="n"/>
    </row>
    <row r="194" ht="15" customHeight="1" s="251">
      <c r="B194" s="25" t="inlineStr">
        <is>
          <t xml:space="preserve">  Dividends declared per share ($)</t>
        </is>
      </c>
      <c r="C194" s="282" t="n">
        <v>0.29</v>
      </c>
      <c r="D194" s="282" t="n">
        <v>0.34</v>
      </c>
      <c r="E194" s="282" t="n">
        <v>0.4</v>
      </c>
      <c r="F194" s="282" t="n">
        <v>0.405</v>
      </c>
      <c r="G194" s="282" t="n">
        <v>0.43</v>
      </c>
      <c r="H194" s="282" t="n">
        <v>0.58</v>
      </c>
      <c r="I194" s="282" t="n">
        <v>0.68</v>
      </c>
      <c r="J194" s="282" t="n">
        <v>0</v>
      </c>
      <c r="K194" s="282" t="n">
        <v>0.2</v>
      </c>
      <c r="L194" s="282" t="n">
        <v>0.25</v>
      </c>
      <c r="M194" s="282" t="n">
        <v>0.53</v>
      </c>
      <c r="N194" s="282" t="n">
        <v>0.98</v>
      </c>
      <c r="O194" s="282" t="n">
        <v>0</v>
      </c>
      <c r="P194" s="282" t="n">
        <v>0.28</v>
      </c>
      <c r="Q194" s="282" t="n">
        <v>0.28</v>
      </c>
      <c r="R194" s="282" t="n">
        <v>0.62</v>
      </c>
      <c r="S194" s="282" t="n">
        <v>1.18</v>
      </c>
      <c r="T194" s="282" t="n">
        <v>0</v>
      </c>
      <c r="U194" s="282" t="n">
        <v>0.34</v>
      </c>
      <c r="V194" s="282" t="n">
        <v>0.34</v>
      </c>
      <c r="W194" s="282" t="n">
        <v>0.71</v>
      </c>
      <c r="X194" s="282" t="n">
        <v>1.39</v>
      </c>
      <c r="Y194" s="282" t="n">
        <v>0</v>
      </c>
      <c r="Z194" s="282" t="n">
        <v>0.37</v>
      </c>
      <c r="AA194" s="282" t="n">
        <v>0.37</v>
      </c>
      <c r="AB194" s="282" t="n">
        <v>0.75</v>
      </c>
      <c r="AC194" s="282" t="n">
        <v>1.49</v>
      </c>
      <c r="AD194" s="282" t="n">
        <v>0</v>
      </c>
      <c r="AE194" s="282" t="n">
        <v>0.38</v>
      </c>
      <c r="AF194" s="282" t="n">
        <v>0.38</v>
      </c>
      <c r="AG194" s="282" t="n">
        <v>0.38</v>
      </c>
      <c r="AH194" s="282" t="n">
        <v>1.14</v>
      </c>
      <c r="AI194" s="282" t="n">
        <v>0.44</v>
      </c>
      <c r="AJ194" s="282" t="n">
        <v>0.44</v>
      </c>
      <c r="AK194" s="282" t="n">
        <v>0.44</v>
      </c>
      <c r="AL194" s="282" t="n">
        <v>0.44</v>
      </c>
      <c r="AM194" s="282" t="n">
        <v>1.76</v>
      </c>
      <c r="AN194" s="282" t="n">
        <v>0.5</v>
      </c>
      <c r="AO194" s="282" t="n">
        <v>0.5</v>
      </c>
      <c r="AP194" s="282" t="n">
        <v>0.5</v>
      </c>
      <c r="AQ194" s="282" t="n">
        <v>0.5</v>
      </c>
      <c r="AR194" s="282" t="n">
        <v>2</v>
      </c>
      <c r="AS194" s="282" t="n">
        <v>0.5600000000000001</v>
      </c>
      <c r="AT194" s="282" t="n">
        <v>0.5600000000000001</v>
      </c>
      <c r="AU194" s="282" t="n">
        <v>0.5600000000000001</v>
      </c>
      <c r="AV194" s="282" t="n">
        <v>0.5600000000000001</v>
      </c>
      <c r="AW194" s="282" t="n">
        <v>2.24</v>
      </c>
      <c r="AX194" s="282" t="n">
        <v>0.62</v>
      </c>
      <c r="AY194" s="282" t="n">
        <v>0.62</v>
      </c>
      <c r="AZ194" s="282" t="n">
        <v>0.62</v>
      </c>
      <c r="BA194" s="282" t="n">
        <v>0.62</v>
      </c>
      <c r="BB194" s="282" t="n">
        <v>2.48</v>
      </c>
      <c r="BC194" s="282" t="n">
        <v>0.7</v>
      </c>
      <c r="BD194" s="282" t="n">
        <v>0.7</v>
      </c>
      <c r="BE194" s="282" t="n">
        <v>0.7</v>
      </c>
      <c r="BF194" s="282" t="n">
        <v>0.7</v>
      </c>
      <c r="BG194" s="282" t="n">
        <v>2.8</v>
      </c>
      <c r="BH194" s="282" t="n">
        <v>0.77</v>
      </c>
      <c r="BI194" s="282" t="n">
        <v>0.77</v>
      </c>
      <c r="BJ194" s="282" t="n">
        <v>0.77</v>
      </c>
      <c r="BK194" s="282" t="n">
        <v>0.77</v>
      </c>
      <c r="BL194" s="282" t="n">
        <v>3.08</v>
      </c>
      <c r="BM194" s="282" t="n">
        <v>0.85</v>
      </c>
      <c r="BN194" s="282" t="n">
        <v>0.85</v>
      </c>
      <c r="BO194" s="282" t="n">
        <v>0.85</v>
      </c>
      <c r="BP194" s="282" t="n">
        <v>0.85</v>
      </c>
      <c r="BQ194" s="282" t="n">
        <v>3.4</v>
      </c>
      <c r="BR194" s="282" t="n">
        <v>0.9399999999999999</v>
      </c>
      <c r="BS194" s="282" t="n">
        <v>0.9399999999999999</v>
      </c>
      <c r="BT194" s="282" t="n">
        <v>0.9399999999999999</v>
      </c>
      <c r="BU194" s="282" t="n">
        <v>0.9399999999999999</v>
      </c>
      <c r="BV194" s="282" t="n">
        <v>3.76</v>
      </c>
      <c r="BW194" s="282" t="n">
        <v>1.03</v>
      </c>
      <c r="BX194" s="282" t="n">
        <v>1.03</v>
      </c>
      <c r="BY194" s="284" t="n">
        <v>1.03</v>
      </c>
      <c r="BZ194" s="284" t="n">
        <v>1.03</v>
      </c>
      <c r="CA194" s="278">
        <f>SUM(BW194:BZ194)</f>
        <v>4.12</v>
      </c>
      <c r="CB194" s="278">
        <f>CA194*(1+CB195)</f>
        <v>4.4908</v>
      </c>
      <c r="CC194" s="278">
        <f>CB194*(1+CC195)</f>
        <v>4.894972</v>
      </c>
      <c r="CD194" s="278">
        <f>CC194*(1+CD195)</f>
        <v>5.33551948</v>
      </c>
      <c r="CE194" s="278">
        <f>CD194*(1+CE195)</f>
        <v>5.8157162332</v>
      </c>
      <c r="CF194" s="19" t="inlineStr">
        <is>
          <t>Dividends declared per share in the quarter as reported (from 2008 the 10-K shows each dividend in the quarter it was declared). Q3/Q4-26E $1.03 (declared 21-Jul-2026). 2027E+: prior year × (1 + growth); FY2021–26 +9–10% p.a.</t>
        </is>
      </c>
      <c r="CH194" s="20">
        <f>IFERROR((CE194/BV194)^(1/5)-1,"n/m")</f>
        <v>0.0911465216832894</v>
      </c>
      <c r="CI194" s="20">
        <f>IFERROR((BV194/AW194)^(1/5)-1,"n/m")</f>
        <v>0.109144079480539</v>
      </c>
      <c r="CJ194" s="20">
        <f>IFERROR((BV194/X194)^(1/10)-1,"n/m")</f>
        <v>0.104631197151297</v>
      </c>
      <c r="CK194" s="20">
        <f>IFERROR((BV194/C194)^(1/19)-1,"n/m")</f>
        <v>0.144373748471065</v>
      </c>
    </row>
    <row r="195" ht="15" customHeight="1" s="251">
      <c r="B195" s="25" t="inlineStr">
        <is>
          <t xml:space="preserve">  Dividend per share growth %</t>
        </is>
      </c>
      <c r="C195" s="36" t="n"/>
      <c r="D195" s="215">
        <f>IF(AND(ISNUMBER(D194),ISNUMBER(C194)),IFERROR(D194/C194-1,""),"")</f>
        <v>0.172413793103448</v>
      </c>
      <c r="E195" s="215">
        <f>IF(AND(ISNUMBER(E194),ISNUMBER(D194)),IFERROR(E194/D194-1,""),"")</f>
        <v>0.176470588235294</v>
      </c>
      <c r="F195" s="215">
        <f>IF(AND(ISNUMBER(F194),ISNUMBER(E194)),IFERROR(F194/E194-1,""),"")</f>
        <v>0.0125</v>
      </c>
      <c r="G195" s="215">
        <f>IF(AND(ISNUMBER(G194),ISNUMBER(F194)),IFERROR(G194/F194-1,""),"")</f>
        <v>0.0617283950617282</v>
      </c>
      <c r="H195" s="215">
        <f>IF(AND(ISNUMBER(H194),ISNUMBER(G194)),IFERROR(H194/G194-1,""),"")</f>
        <v>0.348837209302326</v>
      </c>
      <c r="I195" s="215">
        <f>IF(AND(ISNUMBER(I194),ISNUMBER(H194)),IFERROR(I194/H194-1,""),"")</f>
        <v>0.172413793103448</v>
      </c>
      <c r="J195" s="36" t="n"/>
      <c r="K195" s="36" t="n"/>
      <c r="L195" s="36" t="n"/>
      <c r="M195" s="36" t="n"/>
      <c r="N195" s="215">
        <f>IF(AND(ISNUMBER(N194),ISNUMBER(I194)),IFERROR(N194/I194-1,""),"")</f>
        <v>0.441176470588235</v>
      </c>
      <c r="O195" s="215">
        <f>IF(AND(ISNUMBER(O194),ISNUMBER(J194)),IFERROR(O194/J194-1,""),"")</f>
      </c>
      <c r="P195" s="215">
        <f>IF(AND(ISNUMBER(P194),ISNUMBER(K194)),IFERROR(P194/K194-1,""),"")</f>
        <v>0.4</v>
      </c>
      <c r="Q195" s="215">
        <f>IF(AND(ISNUMBER(Q194),ISNUMBER(L194)),IFERROR(Q194/L194-1,""),"")</f>
        <v>0.12</v>
      </c>
      <c r="R195" s="215">
        <f>IF(AND(ISNUMBER(R194),ISNUMBER(M194)),IFERROR(R194/M194-1,""),"")</f>
        <v>0.169811320754717</v>
      </c>
      <c r="S195" s="215">
        <f>IF(AND(ISNUMBER(S194),ISNUMBER(N194)),IFERROR(S194/N194-1,""),"")</f>
        <v>0.204081632653061</v>
      </c>
      <c r="T195" s="215">
        <f>IF(AND(ISNUMBER(T194),ISNUMBER(O194)),IFERROR(T194/O194-1,""),"")</f>
      </c>
      <c r="U195" s="215">
        <f>IF(AND(ISNUMBER(U194),ISNUMBER(P194)),IFERROR(U194/P194-1,""),"")</f>
        <v>0.214285714285714</v>
      </c>
      <c r="V195" s="215">
        <f>IF(AND(ISNUMBER(V194),ISNUMBER(Q194)),IFERROR(V194/Q194-1,""),"")</f>
        <v>0.214285714285714</v>
      </c>
      <c r="W195" s="215">
        <f>IF(AND(ISNUMBER(W194),ISNUMBER(R194)),IFERROR(W194/R194-1,""),"")</f>
        <v>0.145161290322581</v>
      </c>
      <c r="X195" s="215">
        <f>IF(AND(ISNUMBER(X194),ISNUMBER(S194)),IFERROR(X194/S194-1,""),"")</f>
        <v>0.177966101694915</v>
      </c>
      <c r="Y195" s="215">
        <f>IF(AND(ISNUMBER(Y194),ISNUMBER(T194)),IFERROR(Y194/T194-1,""),"")</f>
      </c>
      <c r="Z195" s="215">
        <f>IF(AND(ISNUMBER(Z194),ISNUMBER(U194)),IFERROR(Z194/U194-1,""),"")</f>
        <v>0.088235294117647</v>
      </c>
      <c r="AA195" s="215">
        <f>IF(AND(ISNUMBER(AA194),ISNUMBER(V194)),IFERROR(AA194/V194-1,""),"")</f>
        <v>0.088235294117647</v>
      </c>
      <c r="AB195" s="215">
        <f>IF(AND(ISNUMBER(AB194),ISNUMBER(W194)),IFERROR(AB194/W194-1,""),"")</f>
        <v>0.0563380281690142</v>
      </c>
      <c r="AC195" s="215">
        <f>IF(AND(ISNUMBER(AC194),ISNUMBER(X194)),IFERROR(AC194/X194-1,""),"")</f>
        <v>0.0719424460431655</v>
      </c>
      <c r="AD195" s="215">
        <f>IF(AND(ISNUMBER(AD194),ISNUMBER(Y194)),IFERROR(AD194/Y194-1,""),"")</f>
      </c>
      <c r="AE195" s="215">
        <f>IF(AND(ISNUMBER(AE194),ISNUMBER(Z194)),IFERROR(AE194/Z194-1,""),"")</f>
        <v>0.027027027027027</v>
      </c>
      <c r="AF195" s="215">
        <f>IF(AND(ISNUMBER(AF194),ISNUMBER(AA194)),IFERROR(AF194/AA194-1,""),"")</f>
        <v>0.027027027027027</v>
      </c>
      <c r="AG195" s="215">
        <f>IF(AND(ISNUMBER(AG194),ISNUMBER(AB194)),IFERROR(AG194/AB194-1,""),"")</f>
        <v>-0.493333333333333</v>
      </c>
      <c r="AH195" s="215">
        <f>IF(AND(ISNUMBER(AH194),ISNUMBER(AC194)),IFERROR(AH194/AC194-1,""),"")</f>
        <v>-0.234899328859061</v>
      </c>
      <c r="AI195" s="215">
        <f>IF(AND(ISNUMBER(AI194),ISNUMBER(AD194)),IFERROR(AI194/AD194-1,""),"")</f>
      </c>
      <c r="AJ195" s="215">
        <f>IF(AND(ISNUMBER(AJ194),ISNUMBER(AE194)),IFERROR(AJ194/AE194-1,""),"")</f>
        <v>0.157894736842105</v>
      </c>
      <c r="AK195" s="215">
        <f>IF(AND(ISNUMBER(AK194),ISNUMBER(AF194)),IFERROR(AK194/AF194-1,""),"")</f>
        <v>0.157894736842105</v>
      </c>
      <c r="AL195" s="215">
        <f>IF(AND(ISNUMBER(AL194),ISNUMBER(AG194)),IFERROR(AL194/AG194-1,""),"")</f>
        <v>0.157894736842105</v>
      </c>
      <c r="AM195" s="215">
        <f>IF(AND(ISNUMBER(AM194),ISNUMBER(AH194)),IFERROR(AM194/AH194-1,""),"")</f>
        <v>0.543859649122807</v>
      </c>
      <c r="AN195" s="215">
        <f>IF(AND(ISNUMBER(AN194),ISNUMBER(AI194)),IFERROR(AN194/AI194-1,""),"")</f>
        <v>0.136363636363636</v>
      </c>
      <c r="AO195" s="215">
        <f>IF(AND(ISNUMBER(AO194),ISNUMBER(AJ194)),IFERROR(AO194/AJ194-1,""),"")</f>
        <v>0.136363636363636</v>
      </c>
      <c r="AP195" s="215">
        <f>IF(AND(ISNUMBER(AP194),ISNUMBER(AK194)),IFERROR(AP194/AK194-1,""),"")</f>
        <v>0.136363636363636</v>
      </c>
      <c r="AQ195" s="215">
        <f>IF(AND(ISNUMBER(AQ194),ISNUMBER(AL194)),IFERROR(AQ194/AL194-1,""),"")</f>
        <v>0.136363636363636</v>
      </c>
      <c r="AR195" s="215">
        <f>IF(AND(ISNUMBER(AR194),ISNUMBER(AM194)),IFERROR(AR194/AM194-1,""),"")</f>
        <v>0.136363636363636</v>
      </c>
      <c r="AS195" s="215">
        <f>IF(AND(ISNUMBER(AS194),ISNUMBER(AN194)),IFERROR(AS194/AN194-1,""),"")</f>
        <v>0.12</v>
      </c>
      <c r="AT195" s="215">
        <f>IF(AND(ISNUMBER(AT194),ISNUMBER(AO194)),IFERROR(AT194/AO194-1,""),"")</f>
        <v>0.12</v>
      </c>
      <c r="AU195" s="215">
        <f>IF(AND(ISNUMBER(AU194),ISNUMBER(AP194)),IFERROR(AU194/AP194-1,""),"")</f>
        <v>0.12</v>
      </c>
      <c r="AV195" s="215">
        <f>IF(AND(ISNUMBER(AV194),ISNUMBER(AQ194)),IFERROR(AV194/AQ194-1,""),"")</f>
        <v>0.12</v>
      </c>
      <c r="AW195" s="215">
        <f>IF(AND(ISNUMBER(AW194),ISNUMBER(AR194)),IFERROR(AW194/AR194-1,""),"")</f>
        <v>0.12</v>
      </c>
      <c r="AX195" s="215">
        <f>IF(AND(ISNUMBER(AX194),ISNUMBER(AS194)),IFERROR(AX194/AS194-1,""),"")</f>
        <v>0.107142857142857</v>
      </c>
      <c r="AY195" s="215">
        <f>IF(AND(ISNUMBER(AY194),ISNUMBER(AT194)),IFERROR(AY194/AT194-1,""),"")</f>
        <v>0.107142857142857</v>
      </c>
      <c r="AZ195" s="215">
        <f>IF(AND(ISNUMBER(AZ194),ISNUMBER(AU194)),IFERROR(AZ194/AU194-1,""),"")</f>
        <v>0.107142857142857</v>
      </c>
      <c r="BA195" s="215">
        <f>IF(AND(ISNUMBER(BA194),ISNUMBER(AV194)),IFERROR(BA194/AV194-1,""),"")</f>
        <v>0.107142857142857</v>
      </c>
      <c r="BB195" s="215">
        <f>IF(AND(ISNUMBER(BB194),ISNUMBER(AW194)),IFERROR(BB194/AW194-1,""),"")</f>
        <v>0.107142857142857</v>
      </c>
      <c r="BC195" s="215">
        <f>IF(AND(ISNUMBER(BC194),ISNUMBER(AX194)),IFERROR(BC194/AX194-1,""),"")</f>
        <v>0.129032258064516</v>
      </c>
      <c r="BD195" s="215">
        <f>IF(AND(ISNUMBER(BD194),ISNUMBER(AY194)),IFERROR(BD194/AY194-1,""),"")</f>
        <v>0.129032258064516</v>
      </c>
      <c r="BE195" s="215">
        <f>IF(AND(ISNUMBER(BE194),ISNUMBER(AZ194)),IFERROR(BE194/AZ194-1,""),"")</f>
        <v>0.129032258064516</v>
      </c>
      <c r="BF195" s="215">
        <f>IF(AND(ISNUMBER(BF194),ISNUMBER(BA194)),IFERROR(BF194/BA194-1,""),"")</f>
        <v>0.129032258064516</v>
      </c>
      <c r="BG195" s="215">
        <f>IF(AND(ISNUMBER(BG194),ISNUMBER(BB194)),IFERROR(BG194/BB194-1,""),"")</f>
        <v>0.129032258064516</v>
      </c>
      <c r="BH195" s="215">
        <f>IF(AND(ISNUMBER(BH194),ISNUMBER(BC194)),IFERROR(BH194/BC194-1,""),"")</f>
        <v>0.1</v>
      </c>
      <c r="BI195" s="215">
        <f>IF(AND(ISNUMBER(BI194),ISNUMBER(BD194)),IFERROR(BI194/BD194-1,""),"")</f>
        <v>0.1</v>
      </c>
      <c r="BJ195" s="215">
        <f>IF(AND(ISNUMBER(BJ194),ISNUMBER(BE194)),IFERROR(BJ194/BE194-1,""),"")</f>
        <v>0.1</v>
      </c>
      <c r="BK195" s="215">
        <f>IF(AND(ISNUMBER(BK194),ISNUMBER(BF194)),IFERROR(BK194/BF194-1,""),"")</f>
        <v>0.1</v>
      </c>
      <c r="BL195" s="215">
        <f>IF(AND(ISNUMBER(BL194),ISNUMBER(BG194)),IFERROR(BL194/BG194-1,""),"")</f>
        <v>0.1</v>
      </c>
      <c r="BM195" s="215">
        <f>IF(AND(ISNUMBER(BM194),ISNUMBER(BH194)),IFERROR(BM194/BH194-1,""),"")</f>
        <v>0.103896103896104</v>
      </c>
      <c r="BN195" s="215">
        <f>IF(AND(ISNUMBER(BN194),ISNUMBER(BI194)),IFERROR(BN194/BI194-1,""),"")</f>
        <v>0.103896103896104</v>
      </c>
      <c r="BO195" s="215">
        <f>IF(AND(ISNUMBER(BO194),ISNUMBER(BJ194)),IFERROR(BO194/BJ194-1,""),"")</f>
        <v>0.103896103896104</v>
      </c>
      <c r="BP195" s="215">
        <f>IF(AND(ISNUMBER(BP194),ISNUMBER(BK194)),IFERROR(BP194/BK194-1,""),"")</f>
        <v>0.103896103896104</v>
      </c>
      <c r="BQ195" s="215">
        <f>IF(AND(ISNUMBER(BQ194),ISNUMBER(BL194)),IFERROR(BQ194/BL194-1,""),"")</f>
        <v>0.103896103896104</v>
      </c>
      <c r="BR195" s="215">
        <f>IF(AND(ISNUMBER(BR194),ISNUMBER(BM194)),IFERROR(BR194/BM194-1,""),"")</f>
        <v>0.105882352941177</v>
      </c>
      <c r="BS195" s="215">
        <f>IF(AND(ISNUMBER(BS194),ISNUMBER(BN194)),IFERROR(BS194/BN194-1,""),"")</f>
        <v>0.105882352941177</v>
      </c>
      <c r="BT195" s="215">
        <f>IF(AND(ISNUMBER(BT194),ISNUMBER(BO194)),IFERROR(BT194/BO194-1,""),"")</f>
        <v>0.105882352941177</v>
      </c>
      <c r="BU195" s="215">
        <f>IF(AND(ISNUMBER(BU194),ISNUMBER(BP194)),IFERROR(BU194/BP194-1,""),"")</f>
        <v>0.105882352941177</v>
      </c>
      <c r="BV195" s="215">
        <f>IF(AND(ISNUMBER(BV194),ISNUMBER(BQ194)),IFERROR(BV194/BQ194-1,""),"")</f>
        <v>0.105882352941177</v>
      </c>
      <c r="BW195" s="215">
        <f>IF(AND(ISNUMBER(BW194),ISNUMBER(BR194)),IFERROR(BW194/BR194-1,""),"")</f>
        <v>0.095744680851064</v>
      </c>
      <c r="BX195" s="215">
        <f>IF(AND(ISNUMBER(BX194),ISNUMBER(BS194)),IFERROR(BX194/BS194-1,""),"")</f>
        <v>0.095744680851064</v>
      </c>
      <c r="BY195" s="256">
        <f>IF(AND(ISNUMBER(BY194),ISNUMBER(BT194)),IFERROR(BY194/BT194-1,""),"")</f>
        <v>0.095744680851064</v>
      </c>
      <c r="BZ195" s="256">
        <f>IF(AND(ISNUMBER(BZ194),ISNUMBER(BU194)),IFERROR(BZ194/BU194-1,""),"")</f>
        <v>0.095744680851064</v>
      </c>
      <c r="CA195" s="256">
        <f>IF(AND(ISNUMBER(CA194),ISNUMBER(BV194)),IFERROR(CA194/BV194-1,""),"")</f>
        <v>0.095744680851064</v>
      </c>
      <c r="CB195" s="271" t="n">
        <v>0.09</v>
      </c>
      <c r="CC195" s="271" t="n">
        <v>0.09</v>
      </c>
      <c r="CD195" s="271" t="n">
        <v>0.09</v>
      </c>
      <c r="CE195" s="271" t="n">
        <v>0.09</v>
      </c>
      <c r="CF195" s="19" t="n"/>
    </row>
    <row r="196" ht="15" customHeight="1" s="251">
      <c r="CN196" s="11" t="n"/>
      <c r="CO196" s="12" t="n"/>
      <c r="CP196" s="12" t="n"/>
      <c r="CQ196" s="12" t="n"/>
      <c r="CR196" s="13" t="n"/>
    </row>
    <row r="197" ht="15" customHeight="1" s="251">
      <c r="B197" s="10" t="inlineStr">
        <is>
          <t>RECONCILIATION: OPERATING INCOME → ADJUSTED OPERATING INCOME (company definition)</t>
        </is>
      </c>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c r="AH197" s="10" t="n"/>
      <c r="AI197" s="10" t="n"/>
      <c r="AJ197" s="10" t="n"/>
      <c r="AK197" s="10" t="n"/>
      <c r="AL197" s="10" t="n"/>
      <c r="AM197" s="10" t="n"/>
      <c r="AN197" s="10" t="n"/>
      <c r="AO197" s="10" t="n"/>
      <c r="AP197" s="10" t="n"/>
      <c r="AQ197" s="10" t="n"/>
      <c r="AR197" s="10" t="n"/>
      <c r="AS197" s="10" t="n"/>
      <c r="AT197" s="10" t="n"/>
      <c r="AU197" s="10" t="n"/>
      <c r="AV197" s="10" t="n"/>
      <c r="AW197" s="10" t="n"/>
      <c r="AX197" s="10" t="n"/>
      <c r="AY197" s="10" t="n"/>
      <c r="AZ197" s="10" t="n"/>
      <c r="BA197" s="10" t="n"/>
      <c r="BB197" s="10" t="n"/>
      <c r="BC197" s="10" t="n"/>
      <c r="BD197" s="10" t="n"/>
      <c r="BE197" s="10" t="n"/>
      <c r="BF197" s="10" t="n"/>
      <c r="BG197" s="10" t="n"/>
      <c r="BH197" s="10" t="n"/>
      <c r="BI197" s="10" t="n"/>
      <c r="BJ197" s="10" t="n"/>
      <c r="BK197" s="10" t="n"/>
      <c r="BL197" s="10" t="n"/>
      <c r="BM197" s="10" t="n"/>
      <c r="BN197" s="10" t="n"/>
      <c r="BO197" s="10" t="n"/>
      <c r="BP197" s="10" t="n"/>
      <c r="BQ197" s="10" t="n"/>
      <c r="BR197" s="10" t="n"/>
      <c r="BS197" s="10" t="n"/>
      <c r="BT197" s="10" t="n"/>
      <c r="BU197" s="10" t="n"/>
      <c r="BV197" s="10" t="n"/>
      <c r="BW197" s="10" t="n"/>
      <c r="BX197" s="10" t="n"/>
      <c r="BY197" s="10" t="n"/>
      <c r="BZ197" s="10" t="n"/>
      <c r="CA197" s="10" t="n"/>
      <c r="CB197" s="10" t="n"/>
      <c r="CC197" s="10" t="n"/>
      <c r="CD197" s="10" t="n"/>
      <c r="CE197" s="10" t="n"/>
      <c r="CF197" s="10" t="inlineStr">
        <is>
          <t>ADJUSTED OPERATING INCOME — per the release reconciliations (operating income + D&amp;A + restructuring + other items the company excludes); item labels in the cell comments of the cost-driver rows</t>
        </is>
      </c>
    </row>
    <row r="198" ht="15" customHeight="1" s="251">
      <c r="B198" s="16" t="inlineStr">
        <is>
          <t>Operating income (GAAP)</t>
        </is>
      </c>
      <c r="C198" s="262">
        <f>C170</f>
        <v>1259.5</v>
      </c>
      <c r="D198" s="262">
        <f>D170</f>
        <v>1131</v>
      </c>
      <c r="E198" s="262">
        <f>E170</f>
        <v>748.2</v>
      </c>
      <c r="F198" s="262">
        <f>F170</f>
        <v>687.5</v>
      </c>
      <c r="G198" s="262">
        <f>G170</f>
        <v>772.8</v>
      </c>
      <c r="H198" s="262">
        <f>H170</f>
        <v>888.4</v>
      </c>
      <c r="I198" s="262">
        <f>I170</f>
        <v>1077.4</v>
      </c>
      <c r="J198" s="262">
        <f>J170</f>
        <v>280.4</v>
      </c>
      <c r="K198" s="262">
        <f>K170</f>
        <v>350.8</v>
      </c>
      <c r="L198" s="262">
        <f>L170</f>
        <v>291.5</v>
      </c>
      <c r="M198" s="262">
        <f>M170</f>
        <v>311.9</v>
      </c>
      <c r="N198" s="262">
        <f>N170</f>
        <v>1234.6</v>
      </c>
      <c r="O198" s="262">
        <f>O170</f>
        <v>333</v>
      </c>
      <c r="P198" s="262">
        <f>P170</f>
        <v>411.7</v>
      </c>
      <c r="Q198" s="262">
        <f>Q170</f>
        <v>349.7</v>
      </c>
      <c r="R198" s="262">
        <f>R170</f>
        <v>344.7</v>
      </c>
      <c r="S198" s="262">
        <f>S170</f>
        <v>1439.1</v>
      </c>
      <c r="T198" s="262">
        <f>T170</f>
        <v>371.3</v>
      </c>
      <c r="U198" s="262">
        <f>U170</f>
        <v>419.3</v>
      </c>
      <c r="V198" s="262">
        <f>V170</f>
        <v>349.7</v>
      </c>
      <c r="W198" s="262">
        <f>W170</f>
        <v>333.1</v>
      </c>
      <c r="X198" s="262">
        <f>X170</f>
        <v>1473.4</v>
      </c>
      <c r="Y198" s="262">
        <f>Y170</f>
        <v>304.1</v>
      </c>
      <c r="Z198" s="262">
        <f>Z170</f>
        <v>410.2</v>
      </c>
      <c r="AA198" s="262">
        <f>AA170</f>
        <v>397.5</v>
      </c>
      <c r="AB198" s="262">
        <f>AB170</f>
        <v>-473.1</v>
      </c>
      <c r="AC198" s="262">
        <f>AC170</f>
        <v>638.7</v>
      </c>
      <c r="AD198" s="262">
        <f>AD170</f>
        <v>443.4</v>
      </c>
      <c r="AE198" s="262">
        <f>AE170</f>
        <v>457.5</v>
      </c>
      <c r="AF198" s="262">
        <f>AF170</f>
        <v>445.4</v>
      </c>
      <c r="AG198" s="262">
        <f>AG170</f>
        <v>462.8</v>
      </c>
      <c r="AH198" s="262">
        <f>AH170</f>
        <v>1809.1</v>
      </c>
      <c r="AI198" s="262">
        <f>AI170</f>
        <v>490.8</v>
      </c>
      <c r="AJ198" s="262">
        <f>AJ170</f>
        <v>534</v>
      </c>
      <c r="AK198" s="262">
        <f>AK170</f>
        <v>466.8</v>
      </c>
      <c r="AL198" s="262">
        <f>AL170</f>
        <v>376.6</v>
      </c>
      <c r="AM198" s="262">
        <f>AM170</f>
        <v>1868.2</v>
      </c>
      <c r="AN198" s="262">
        <f>AN170</f>
        <v>461.7</v>
      </c>
      <c r="AO198" s="262">
        <f>AO170</f>
        <v>483.5</v>
      </c>
      <c r="AP198" s="262">
        <f>AP170</f>
        <v>548.8</v>
      </c>
      <c r="AQ198" s="262">
        <f>AQ170</f>
        <v>504</v>
      </c>
      <c r="AR198" s="262">
        <f>AR170</f>
        <v>1998</v>
      </c>
      <c r="AS198" s="262">
        <f>AS170</f>
        <v>592</v>
      </c>
      <c r="AT198" s="262">
        <f>AT170</f>
        <v>710</v>
      </c>
      <c r="AU198" s="262">
        <f>AU170</f>
        <v>642</v>
      </c>
      <c r="AV198" s="262">
        <f>AV170</f>
        <v>444</v>
      </c>
      <c r="AW198" s="262">
        <f>AW170</f>
        <v>2388</v>
      </c>
      <c r="AX198" s="262">
        <f>AX170</f>
        <v>853</v>
      </c>
      <c r="AY198" s="262">
        <f>AY170</f>
        <v>801</v>
      </c>
      <c r="AZ198" s="262">
        <f>AZ170</f>
        <v>676</v>
      </c>
      <c r="BA198" s="262">
        <f>BA170</f>
        <v>514</v>
      </c>
      <c r="BB198" s="262">
        <f>BB170</f>
        <v>2844</v>
      </c>
      <c r="BC198" s="262">
        <f>BC170</f>
        <v>656</v>
      </c>
      <c r="BD198" s="262">
        <f>BD170</f>
        <v>508</v>
      </c>
      <c r="BE198" s="262">
        <f>BE170</f>
        <v>413</v>
      </c>
      <c r="BF198" s="262">
        <f>BF170</f>
        <v>306</v>
      </c>
      <c r="BG198" s="262">
        <f>BG170</f>
        <v>1883</v>
      </c>
      <c r="BH198" s="262">
        <f>BH170</f>
        <v>554</v>
      </c>
      <c r="BI198" s="262">
        <f>BI170</f>
        <v>550</v>
      </c>
      <c r="BJ198" s="262">
        <f>BJ170</f>
        <v>535</v>
      </c>
      <c r="BK198" s="262">
        <f>BK170</f>
        <v>498</v>
      </c>
      <c r="BL198" s="262">
        <f>BL170</f>
        <v>2137</v>
      </c>
      <c r="BM198" s="262">
        <f>BM170</f>
        <v>801</v>
      </c>
      <c r="BN198" s="262">
        <f>BN170</f>
        <v>775</v>
      </c>
      <c r="BO198" s="262">
        <f>BO170</f>
        <v>738</v>
      </c>
      <c r="BP198" s="262">
        <f>BP170</f>
        <v>561</v>
      </c>
      <c r="BQ198" s="262">
        <f>BQ170</f>
        <v>2875</v>
      </c>
      <c r="BR198" s="262">
        <f>BR170</f>
        <v>846</v>
      </c>
      <c r="BS198" s="262">
        <f>BS170</f>
        <v>818</v>
      </c>
      <c r="BT198" s="262">
        <f>BT170</f>
        <v>917</v>
      </c>
      <c r="BU198" s="262">
        <f>BU170</f>
        <v>770</v>
      </c>
      <c r="BV198" s="262">
        <f>BV170</f>
        <v>3351</v>
      </c>
      <c r="BW198" s="262">
        <f>BW170</f>
        <v>922</v>
      </c>
      <c r="BX198" s="262">
        <f>BX170</f>
        <v>1046</v>
      </c>
      <c r="BY198" s="263">
        <f>BY170</f>
        <v>915.362532557667</v>
      </c>
      <c r="BZ198" s="263">
        <f>BZ170</f>
        <v>771.119462823072</v>
      </c>
      <c r="CA198" s="263">
        <f>CA170</f>
        <v>3654.48199538074</v>
      </c>
      <c r="CB198" s="263">
        <f>CB170</f>
        <v>4091.70313375746</v>
      </c>
      <c r="CC198" s="263">
        <f>CC170</f>
        <v>4514.71049359008</v>
      </c>
      <c r="CD198" s="263">
        <f>CD170</f>
        <v>4889.41469951407</v>
      </c>
      <c r="CE198" s="263">
        <f>CE170</f>
        <v>5268.05801280658</v>
      </c>
      <c r="CF198" s="153" t="n"/>
    </row>
    <row r="199" ht="15" customHeight="1" s="251">
      <c r="B199" s="25" t="inlineStr">
        <is>
          <t xml:space="preserve">  (+) Depreciation &amp; amortization</t>
        </is>
      </c>
      <c r="C199" s="261">
        <f>C149</f>
        <v>39.5</v>
      </c>
      <c r="D199" s="261">
        <f>D149</f>
        <v>42.9</v>
      </c>
      <c r="E199" s="261">
        <f>E149</f>
        <v>75.1</v>
      </c>
      <c r="F199" s="261">
        <f>F149</f>
        <v>64.1</v>
      </c>
      <c r="G199" s="261">
        <f>G149</f>
        <v>66.3</v>
      </c>
      <c r="H199" s="261">
        <f>H149</f>
        <v>79.2</v>
      </c>
      <c r="I199" s="261">
        <f>I149</f>
        <v>93.5</v>
      </c>
      <c r="J199" s="261">
        <f>J149</f>
        <v>23.6</v>
      </c>
      <c r="K199" s="261">
        <f>K149</f>
        <v>23.1</v>
      </c>
      <c r="L199" s="261">
        <f>L149</f>
        <v>23.4</v>
      </c>
      <c r="M199" s="261">
        <f>M149</f>
        <v>23.3</v>
      </c>
      <c r="N199" s="261">
        <f>N149</f>
        <v>93.4</v>
      </c>
      <c r="O199" s="261">
        <f>O149</f>
        <v>23.1</v>
      </c>
      <c r="P199" s="261">
        <f>P149</f>
        <v>22.3</v>
      </c>
      <c r="Q199" s="261">
        <f>Q149</f>
        <v>23.2</v>
      </c>
      <c r="R199" s="261">
        <f>R149</f>
        <v>27</v>
      </c>
      <c r="S199" s="261">
        <f>S149</f>
        <v>95.6</v>
      </c>
      <c r="T199" s="261">
        <f>T149</f>
        <v>28.6</v>
      </c>
      <c r="U199" s="261">
        <f>U149</f>
        <v>27.9</v>
      </c>
      <c r="V199" s="261">
        <f>V149</f>
        <v>28.3</v>
      </c>
      <c r="W199" s="261">
        <f>W149</f>
        <v>28.7</v>
      </c>
      <c r="X199" s="261">
        <f>X149</f>
        <v>113.5</v>
      </c>
      <c r="Y199" s="261">
        <f>Y149</f>
        <v>29.9</v>
      </c>
      <c r="Z199" s="261">
        <f>Z149</f>
        <v>31.2</v>
      </c>
      <c r="AA199" s="261">
        <f>AA149</f>
        <v>32.7</v>
      </c>
      <c r="AB199" s="261">
        <f>AB149</f>
        <v>32.9</v>
      </c>
      <c r="AC199" s="261">
        <f>AC149</f>
        <v>126.7</v>
      </c>
      <c r="AD199" s="261">
        <f>AD149</f>
        <v>32.5</v>
      </c>
      <c r="AE199" s="261">
        <f>AE149</f>
        <v>32.9</v>
      </c>
      <c r="AF199" s="261">
        <f>AF149</f>
        <v>43</v>
      </c>
      <c r="AG199" s="261">
        <f>AG149</f>
        <v>49.9</v>
      </c>
      <c r="AH199" s="261">
        <f>AH149</f>
        <v>158.3</v>
      </c>
      <c r="AI199" s="261">
        <f>AI149</f>
        <v>49.1</v>
      </c>
      <c r="AJ199" s="261">
        <f>AJ149</f>
        <v>48.4</v>
      </c>
      <c r="AK199" s="261">
        <f>AK149</f>
        <v>46.1</v>
      </c>
      <c r="AL199" s="261">
        <f>AL149</f>
        <v>48.3</v>
      </c>
      <c r="AM199" s="261">
        <f>AM149</f>
        <v>191.9</v>
      </c>
      <c r="AN199" s="261">
        <f>AN149</f>
        <v>50.3</v>
      </c>
      <c r="AO199" s="261">
        <f>AO149</f>
        <v>51</v>
      </c>
      <c r="AP199" s="261">
        <f>AP149</f>
        <v>48.6</v>
      </c>
      <c r="AQ199" s="261">
        <f>AQ149</f>
        <v>50</v>
      </c>
      <c r="AR199" s="261">
        <f>AR149</f>
        <v>200</v>
      </c>
      <c r="AS199" s="261">
        <f>AS149</f>
        <v>49</v>
      </c>
      <c r="AT199" s="261">
        <f>AT149</f>
        <v>58</v>
      </c>
      <c r="AU199" s="261">
        <f>AU149</f>
        <v>56</v>
      </c>
      <c r="AV199" s="261">
        <f>AV149</f>
        <v>57</v>
      </c>
      <c r="AW199" s="261">
        <f>AW149</f>
        <v>220</v>
      </c>
      <c r="AX199" s="261">
        <f>AX149</f>
        <v>59</v>
      </c>
      <c r="AY199" s="261">
        <f>AY149</f>
        <v>60</v>
      </c>
      <c r="AZ199" s="261">
        <f>AZ149</f>
        <v>61</v>
      </c>
      <c r="BA199" s="261">
        <f>BA149</f>
        <v>77</v>
      </c>
      <c r="BB199" s="261">
        <f>BB149</f>
        <v>257</v>
      </c>
      <c r="BC199" s="261">
        <f>BC149</f>
        <v>78</v>
      </c>
      <c r="BD199" s="261">
        <f>BD149</f>
        <v>81</v>
      </c>
      <c r="BE199" s="261">
        <f>BE149</f>
        <v>83</v>
      </c>
      <c r="BF199" s="261">
        <f>BF149</f>
        <v>89</v>
      </c>
      <c r="BG199" s="261">
        <f>BG149</f>
        <v>331</v>
      </c>
      <c r="BH199" s="261">
        <f>BH149</f>
        <v>88</v>
      </c>
      <c r="BI199" s="261">
        <f>BI149</f>
        <v>93</v>
      </c>
      <c r="BJ199" s="261">
        <f>BJ149</f>
        <v>95</v>
      </c>
      <c r="BK199" s="261">
        <f>BK149</f>
        <v>97</v>
      </c>
      <c r="BL199" s="261">
        <f>BL149</f>
        <v>373</v>
      </c>
      <c r="BM199" s="261">
        <f>BM149</f>
        <v>100</v>
      </c>
      <c r="BN199" s="261">
        <f>BN149</f>
        <v>110</v>
      </c>
      <c r="BO199" s="261">
        <f>BO149</f>
        <v>108</v>
      </c>
      <c r="BP199" s="261">
        <f>BP149</f>
        <v>113</v>
      </c>
      <c r="BQ199" s="261">
        <f>BQ149</f>
        <v>431</v>
      </c>
      <c r="BR199" s="261">
        <f>BR149</f>
        <v>113</v>
      </c>
      <c r="BS199" s="261">
        <f>BS149</f>
        <v>120</v>
      </c>
      <c r="BT199" s="261">
        <f>BT149</f>
        <v>123</v>
      </c>
      <c r="BU199" s="261">
        <f>BU149</f>
        <v>124</v>
      </c>
      <c r="BV199" s="261">
        <f>BV149</f>
        <v>480</v>
      </c>
      <c r="BW199" s="261">
        <f>BW149</f>
        <v>122</v>
      </c>
      <c r="BX199" s="261">
        <f>BX149</f>
        <v>126</v>
      </c>
      <c r="BY199" s="254">
        <f>BY149</f>
        <v>118.5</v>
      </c>
      <c r="BZ199" s="254">
        <f>BZ149</f>
        <v>118.5</v>
      </c>
      <c r="CA199" s="254">
        <f>CA149</f>
        <v>485</v>
      </c>
      <c r="CB199" s="254">
        <f>CB149</f>
        <v>515.202583320297</v>
      </c>
      <c r="CC199" s="254">
        <f>CC149</f>
        <v>538.511389465819</v>
      </c>
      <c r="CD199" s="254">
        <f>CD149</f>
        <v>544.368176350607</v>
      </c>
      <c r="CE199" s="254">
        <f>CE149</f>
        <v>548.595673978372</v>
      </c>
      <c r="CF199" s="19" t="n"/>
    </row>
    <row r="200" ht="15" customHeight="1" s="251">
      <c r="B200" s="25" t="inlineStr">
        <is>
          <t xml:space="preserve">  (+) Restructuring</t>
        </is>
      </c>
      <c r="C200" s="261">
        <f>C154</f>
        <v>0</v>
      </c>
      <c r="D200" s="261">
        <f>D154</f>
        <v>50</v>
      </c>
      <c r="E200" s="261">
        <f>E154</f>
        <v>-2.5</v>
      </c>
      <c r="F200" s="261">
        <f>F154</f>
        <v>17.5</v>
      </c>
      <c r="G200" s="261">
        <f>G154</f>
        <v>0.1</v>
      </c>
      <c r="H200" s="261">
        <f>H154</f>
        <v>0</v>
      </c>
      <c r="I200" s="261">
        <f>I154</f>
        <v>0</v>
      </c>
      <c r="J200" s="261">
        <f>J154</f>
        <v>0</v>
      </c>
      <c r="K200" s="261">
        <f>K154</f>
        <v>0</v>
      </c>
      <c r="L200" s="261">
        <f>L154</f>
        <v>0</v>
      </c>
      <c r="M200" s="261">
        <f>M154</f>
        <v>0</v>
      </c>
      <c r="N200" s="261">
        <f>N154</f>
        <v>0</v>
      </c>
      <c r="O200" s="261">
        <f>O154</f>
        <v>0</v>
      </c>
      <c r="P200" s="261">
        <f>P154</f>
        <v>0</v>
      </c>
      <c r="Q200" s="261">
        <f>Q154</f>
        <v>0</v>
      </c>
      <c r="R200" s="261">
        <f>R154</f>
        <v>0</v>
      </c>
      <c r="S200" s="261">
        <f>S154</f>
        <v>0</v>
      </c>
      <c r="T200" s="261">
        <f>T154</f>
        <v>0</v>
      </c>
      <c r="U200" s="261">
        <f>U154</f>
        <v>0</v>
      </c>
      <c r="V200" s="261">
        <f>V154</f>
        <v>0</v>
      </c>
      <c r="W200" s="261">
        <f>W154</f>
        <v>0</v>
      </c>
      <c r="X200" s="261">
        <f>X154</f>
        <v>0</v>
      </c>
      <c r="Y200" s="261">
        <f>Y154</f>
        <v>0</v>
      </c>
      <c r="Z200" s="261">
        <f>Z154</f>
        <v>0</v>
      </c>
      <c r="AA200" s="261">
        <f>AA154</f>
        <v>8.4</v>
      </c>
      <c r="AB200" s="261">
        <f>AB154</f>
        <v>0</v>
      </c>
      <c r="AC200" s="261">
        <f>AC154</f>
        <v>12</v>
      </c>
      <c r="AD200" s="261">
        <f>AD154</f>
        <v>0</v>
      </c>
      <c r="AE200" s="261">
        <f>AE154</f>
        <v>0</v>
      </c>
      <c r="AF200" s="261">
        <f>AF154</f>
        <v>0</v>
      </c>
      <c r="AG200" s="261">
        <f>AG154</f>
        <v>0</v>
      </c>
      <c r="AH200" s="261">
        <f>AH154</f>
        <v>0</v>
      </c>
      <c r="AI200" s="261">
        <f>AI154</f>
        <v>0</v>
      </c>
      <c r="AJ200" s="261">
        <f>AJ154</f>
        <v>0</v>
      </c>
      <c r="AK200" s="261">
        <f>AK154</f>
        <v>0</v>
      </c>
      <c r="AL200" s="261">
        <f>AL154</f>
        <v>48.7</v>
      </c>
      <c r="AM200" s="261">
        <f>AM154</f>
        <v>48.7</v>
      </c>
      <c r="AN200" s="261">
        <f>AN154</f>
        <v>5.5</v>
      </c>
      <c r="AO200" s="261">
        <f>AO154</f>
        <v>53.8</v>
      </c>
      <c r="AP200" s="261">
        <f>AP154</f>
        <v>-1</v>
      </c>
      <c r="AQ200" s="261">
        <f>AQ154</f>
        <v>2</v>
      </c>
      <c r="AR200" s="261">
        <f>AR154</f>
        <v>60</v>
      </c>
      <c r="AS200" s="261">
        <f>AS154</f>
        <v>-1</v>
      </c>
      <c r="AT200" s="261">
        <f>AT154</f>
        <v>-2</v>
      </c>
      <c r="AU200" s="261">
        <f>AU154</f>
        <v>23</v>
      </c>
      <c r="AV200" s="261">
        <f>AV154</f>
        <v>30</v>
      </c>
      <c r="AW200" s="261">
        <f>AW154</f>
        <v>50</v>
      </c>
      <c r="AX200" s="261">
        <f>AX154</f>
        <v>2</v>
      </c>
      <c r="AY200" s="261">
        <f>AY154</f>
        <v>0</v>
      </c>
      <c r="AZ200" s="261">
        <f>AZ154</f>
        <v>0</v>
      </c>
      <c r="BA200" s="261">
        <f>BA154</f>
        <v>-2</v>
      </c>
      <c r="BB200" s="261">
        <f>BB154</f>
        <v>0</v>
      </c>
      <c r="BC200" s="261">
        <f>BC154</f>
        <v>0</v>
      </c>
      <c r="BD200" s="261">
        <f>BD154</f>
        <v>31</v>
      </c>
      <c r="BE200" s="261">
        <f>BE154</f>
        <v>1</v>
      </c>
      <c r="BF200" s="261">
        <f>BF154</f>
        <v>82</v>
      </c>
      <c r="BG200" s="261">
        <f>BG154</f>
        <v>114</v>
      </c>
      <c r="BH200" s="261">
        <f>BH154</f>
        <v>14</v>
      </c>
      <c r="BI200" s="261">
        <f>BI154</f>
        <v>10</v>
      </c>
      <c r="BJ200" s="261">
        <f>BJ154</f>
        <v>27</v>
      </c>
      <c r="BK200" s="261">
        <f>BK154</f>
        <v>36</v>
      </c>
      <c r="BL200" s="261">
        <f>BL154</f>
        <v>87</v>
      </c>
      <c r="BM200" s="261">
        <f>BM154</f>
        <v>5</v>
      </c>
      <c r="BN200" s="261">
        <f>BN154</f>
        <v>2</v>
      </c>
      <c r="BO200" s="261">
        <f>BO154</f>
        <v>6</v>
      </c>
      <c r="BP200" s="261">
        <f>BP154</f>
        <v>46</v>
      </c>
      <c r="BQ200" s="261">
        <f>BQ154</f>
        <v>59</v>
      </c>
      <c r="BR200" s="261">
        <f>BR154</f>
        <v>33</v>
      </c>
      <c r="BS200" s="261">
        <f>BS154</f>
        <v>27</v>
      </c>
      <c r="BT200" s="261">
        <f>BT154</f>
        <v>21</v>
      </c>
      <c r="BU200" s="261">
        <f>BU154</f>
        <v>27</v>
      </c>
      <c r="BV200" s="261">
        <f>BV154</f>
        <v>108</v>
      </c>
      <c r="BW200" s="261">
        <f>BW154</f>
        <v>27</v>
      </c>
      <c r="BX200" s="261">
        <f>BX154</f>
        <v>32</v>
      </c>
      <c r="BY200" s="254">
        <f>BY154</f>
        <v>30</v>
      </c>
      <c r="BZ200" s="254">
        <f>BZ154</f>
        <v>30</v>
      </c>
      <c r="CA200" s="254">
        <f>CA154</f>
        <v>119</v>
      </c>
      <c r="CB200" s="254">
        <f>CB154</f>
        <v>60</v>
      </c>
      <c r="CC200" s="254">
        <f>CC154</f>
        <v>0</v>
      </c>
      <c r="CD200" s="254">
        <f>CD154</f>
        <v>0</v>
      </c>
      <c r="CE200" s="254">
        <f>CE154</f>
        <v>0</v>
      </c>
      <c r="CF200" s="19" t="n"/>
    </row>
    <row r="201" ht="15" customHeight="1" s="251">
      <c r="B201" s="25" t="inlineStr">
        <is>
          <t xml:space="preserve">  (+) Other items excluded (settlement charges, impairments, acquisition-related expenses, asset abandonment, reserves, duplicate rent)</t>
        </is>
      </c>
      <c r="C201" s="261">
        <f>C155</f>
        <v>-160.6</v>
      </c>
      <c r="D201" s="261">
        <f>D155</f>
        <v>0</v>
      </c>
      <c r="E201" s="261">
        <f>E155</f>
        <v>0</v>
      </c>
      <c r="F201" s="261">
        <f>F155</f>
        <v>0</v>
      </c>
      <c r="G201" s="261">
        <f>G155</f>
        <v>0</v>
      </c>
      <c r="H201" s="261">
        <f>H155</f>
        <v>0</v>
      </c>
      <c r="I201" s="261">
        <f>I155</f>
        <v>12.2</v>
      </c>
      <c r="J201" s="261">
        <f>J155</f>
        <v>0</v>
      </c>
      <c r="K201" s="261">
        <f>K155</f>
        <v>0</v>
      </c>
      <c r="L201" s="261">
        <f>L155</f>
        <v>0</v>
      </c>
      <c r="M201" s="261">
        <f>M155</f>
        <v>0</v>
      </c>
      <c r="N201" s="261">
        <f>N155</f>
        <v>0</v>
      </c>
      <c r="O201" s="261">
        <f>O155</f>
        <v>0</v>
      </c>
      <c r="P201" s="261">
        <f>P155</f>
        <v>0</v>
      </c>
      <c r="Q201" s="261">
        <f>Q155</f>
        <v>0</v>
      </c>
      <c r="R201" s="261">
        <f>R155</f>
        <v>0</v>
      </c>
      <c r="S201" s="261">
        <f>S155</f>
        <v>0</v>
      </c>
      <c r="T201" s="261">
        <f>T155</f>
        <v>0</v>
      </c>
      <c r="U201" s="261">
        <f>U155</f>
        <v>0</v>
      </c>
      <c r="V201" s="261">
        <f>V155</f>
        <v>0</v>
      </c>
      <c r="W201" s="261">
        <f>W155</f>
        <v>0</v>
      </c>
      <c r="X201" s="261">
        <f>X155</f>
        <v>0</v>
      </c>
      <c r="Y201" s="261">
        <f>Y155</f>
        <v>0</v>
      </c>
      <c r="Z201" s="261">
        <f>Z155</f>
        <v>0</v>
      </c>
      <c r="AA201" s="261">
        <f>AA155</f>
        <v>0</v>
      </c>
      <c r="AB201" s="261">
        <f>AB155</f>
        <v>863.8</v>
      </c>
      <c r="AC201" s="261">
        <f>AC155</f>
        <v>863.8</v>
      </c>
      <c r="AD201" s="261">
        <f>AD155</f>
        <v>0</v>
      </c>
      <c r="AE201" s="261">
        <f>AE155</f>
        <v>6.6</v>
      </c>
      <c r="AF201" s="261">
        <f>AF155</f>
        <v>10.1</v>
      </c>
      <c r="AG201" s="261">
        <f>AG155</f>
        <v>5.8</v>
      </c>
      <c r="AH201" s="261">
        <f>AH155</f>
        <v>22.5</v>
      </c>
      <c r="AI201" s="261">
        <f>AI155</f>
        <v>0.8</v>
      </c>
      <c r="AJ201" s="261">
        <f>AJ155</f>
        <v>2</v>
      </c>
      <c r="AK201" s="261">
        <f>AK155</f>
        <v>1.3</v>
      </c>
      <c r="AL201" s="261">
        <f>AL155</f>
        <v>4.2</v>
      </c>
      <c r="AM201" s="261">
        <f>AM155</f>
        <v>8.3</v>
      </c>
      <c r="AN201" s="261">
        <f>AN155</f>
        <v>1.4</v>
      </c>
      <c r="AO201" s="261">
        <f>AO155</f>
        <v>10.7</v>
      </c>
      <c r="AP201" s="261">
        <f>AP155</f>
        <v>17.5</v>
      </c>
      <c r="AQ201" s="261">
        <f>AQ155</f>
        <v>3</v>
      </c>
      <c r="AR201" s="261">
        <f>AR155</f>
        <v>33</v>
      </c>
      <c r="AS201" s="261">
        <f>AS155</f>
        <v>9</v>
      </c>
      <c r="AT201" s="261">
        <f>AT155</f>
        <v>0</v>
      </c>
      <c r="AU201" s="261">
        <f>AU155</f>
        <v>0</v>
      </c>
      <c r="AV201" s="261">
        <f>AV155</f>
        <v>0</v>
      </c>
      <c r="AW201" s="261">
        <f>AW155</f>
        <v>9</v>
      </c>
      <c r="AX201" s="261">
        <f>AX155</f>
        <v>0</v>
      </c>
      <c r="AY201" s="261">
        <f>AY155</f>
        <v>0</v>
      </c>
      <c r="AZ201" s="261">
        <f>AZ155</f>
        <v>0</v>
      </c>
      <c r="BA201" s="261">
        <f>BA155</f>
        <v>0</v>
      </c>
      <c r="BB201" s="261">
        <f>BB155</f>
        <v>0</v>
      </c>
      <c r="BC201" s="261">
        <f>BC155</f>
        <v>0</v>
      </c>
      <c r="BD201" s="261">
        <f>BD155</f>
        <v>0</v>
      </c>
      <c r="BE201" s="261">
        <f>BE155</f>
        <v>0</v>
      </c>
      <c r="BF201" s="261">
        <f>BF155</f>
        <v>0</v>
      </c>
      <c r="BG201" s="261">
        <f>BG155</f>
        <v>0</v>
      </c>
      <c r="BH201" s="261">
        <f>BH155</f>
        <v>0</v>
      </c>
      <c r="BI201" s="261">
        <f>BI155</f>
        <v>0</v>
      </c>
      <c r="BJ201" s="261">
        <f>BJ155</f>
        <v>0</v>
      </c>
      <c r="BK201" s="261">
        <f>BK155</f>
        <v>0</v>
      </c>
      <c r="BL201" s="261">
        <f>BL155</f>
        <v>0</v>
      </c>
      <c r="BM201" s="261">
        <f>BM155</f>
        <v>0</v>
      </c>
      <c r="BN201" s="261">
        <f>BN155</f>
        <v>15</v>
      </c>
      <c r="BO201" s="261">
        <f>BO155</f>
        <v>15</v>
      </c>
      <c r="BP201" s="261">
        <f>BP155</f>
        <v>13</v>
      </c>
      <c r="BQ201" s="261">
        <f>BQ155</f>
        <v>43</v>
      </c>
      <c r="BR201" s="261">
        <f>BR155</f>
        <v>2</v>
      </c>
      <c r="BS201" s="261">
        <f>BS155</f>
        <v>1</v>
      </c>
      <c r="BT201" s="261">
        <f>BT155</f>
        <v>1</v>
      </c>
      <c r="BU201" s="261">
        <f>BU155</f>
        <v>-1</v>
      </c>
      <c r="BV201" s="261">
        <f>BV155</f>
        <v>3</v>
      </c>
      <c r="BW201" s="261">
        <f>BW155</f>
        <v>34</v>
      </c>
      <c r="BX201" s="261">
        <f>BX155</f>
        <v>4</v>
      </c>
      <c r="BY201" s="254">
        <f>BY155</f>
        <v>11.5</v>
      </c>
      <c r="BZ201" s="254">
        <f>BZ155</f>
        <v>11.5</v>
      </c>
      <c r="CA201" s="254">
        <f>CA155</f>
        <v>61</v>
      </c>
      <c r="CB201" s="254">
        <f>CB155</f>
        <v>20</v>
      </c>
      <c r="CC201" s="254">
        <f>CC155</f>
        <v>0</v>
      </c>
      <c r="CD201" s="254">
        <f>CD155</f>
        <v>0</v>
      </c>
      <c r="CE201" s="254">
        <f>CE155</f>
        <v>0</v>
      </c>
      <c r="CF201" s="19" t="n"/>
    </row>
    <row r="202" ht="15" customHeight="1" s="251">
      <c r="B202" s="55" t="inlineStr">
        <is>
          <t xml:space="preserve">  = Adjusted Operating Income (model bridge)</t>
        </is>
      </c>
      <c r="C202" s="275">
        <f>IF(ISNUMBER(C198),C198+N(C199)+N(C200)+N(C201),"")</f>
        <v>1138.4</v>
      </c>
      <c r="D202" s="275">
        <f>IF(ISNUMBER(D198),D198+N(D199)+N(D200)+N(D201),"")</f>
        <v>1223.9</v>
      </c>
      <c r="E202" s="275">
        <f>IF(ISNUMBER(E198),E198+N(E199)+N(E200)+N(E201),"")</f>
        <v>820.8</v>
      </c>
      <c r="F202" s="275">
        <f>IF(ISNUMBER(F198),F198+N(F199)+N(F200)+N(F201),"")</f>
        <v>769.1</v>
      </c>
      <c r="G202" s="275">
        <f>IF(ISNUMBER(G198),G198+N(G199)+N(G200)+N(G201),"")</f>
        <v>839.2</v>
      </c>
      <c r="H202" s="275">
        <f>IF(ISNUMBER(H198),H198+N(H199)+N(H200)+N(H201),"")</f>
        <v>967.6</v>
      </c>
      <c r="I202" s="275">
        <f>IF(ISNUMBER(I198),I198+N(I199)+N(I200)+N(I201),"")</f>
        <v>1183.1</v>
      </c>
      <c r="J202" s="275">
        <f>IF(ISNUMBER(J198),J198+N(J199)+N(J200)+N(J201),"")</f>
        <v>304</v>
      </c>
      <c r="K202" s="275">
        <f>IF(ISNUMBER(K198),K198+N(K199)+N(K200)+N(K201),"")</f>
        <v>373.9</v>
      </c>
      <c r="L202" s="275">
        <f>IF(ISNUMBER(L198),L198+N(L199)+N(L200)+N(L201),"")</f>
        <v>314.9</v>
      </c>
      <c r="M202" s="275">
        <f>IF(ISNUMBER(M198),M198+N(M199)+N(M200)+N(M201),"")</f>
        <v>335.2</v>
      </c>
      <c r="N202" s="275">
        <f>IF(ISNUMBER(N198),N198+N(N199)+N(N200)+N(N201),"")</f>
        <v>1328</v>
      </c>
      <c r="O202" s="275">
        <f>IF(ISNUMBER(O198),O198+N(O199)+N(O200)+N(O201),"")</f>
        <v>356.1</v>
      </c>
      <c r="P202" s="275">
        <f>IF(ISNUMBER(P198),P198+N(P199)+N(P200)+N(P201),"")</f>
        <v>434</v>
      </c>
      <c r="Q202" s="275">
        <f>IF(ISNUMBER(Q198),Q198+N(Q199)+N(Q200)+N(Q201),"")</f>
        <v>372.9</v>
      </c>
      <c r="R202" s="275">
        <f>IF(ISNUMBER(R198),R198+N(R199)+N(R200)+N(R201),"")</f>
        <v>371.7</v>
      </c>
      <c r="S202" s="275">
        <f>IF(ISNUMBER(S198),S198+N(S199)+N(S200)+N(S201),"")</f>
        <v>1534.7</v>
      </c>
      <c r="T202" s="275">
        <f>IF(ISNUMBER(T198),T198+N(T199)+N(T200)+N(T201),"")</f>
        <v>399.9</v>
      </c>
      <c r="U202" s="275">
        <f>IF(ISNUMBER(U198),U198+N(U199)+N(U200)+N(U201),"")</f>
        <v>447.2</v>
      </c>
      <c r="V202" s="275">
        <f>IF(ISNUMBER(V198),V198+N(V199)+N(V200)+N(V201),"")</f>
        <v>378</v>
      </c>
      <c r="W202" s="275">
        <f>IF(ISNUMBER(W198),W198+N(W199)+N(W200)+N(W201),"")</f>
        <v>361.8</v>
      </c>
      <c r="X202" s="275">
        <f>IF(ISNUMBER(X198),X198+N(X199)+N(X200)+N(X201),"")</f>
        <v>1586.9</v>
      </c>
      <c r="Y202" s="275">
        <f>IF(ISNUMBER(Y198),Y198+N(Y199)+N(Y200)+N(Y201),"")</f>
        <v>334</v>
      </c>
      <c r="Z202" s="275">
        <f>IF(ISNUMBER(Z198),Z198+N(Z199)+N(Z200)+N(Z201),"")</f>
        <v>441.4</v>
      </c>
      <c r="AA202" s="275">
        <f>IF(ISNUMBER(AA198),AA198+N(AA199)+N(AA200)+N(AA201),"")</f>
        <v>438.6</v>
      </c>
      <c r="AB202" s="275">
        <f>IF(ISNUMBER(AB198),AB198+N(AB199)+N(AB200)+N(AB201),"")</f>
        <v>423.6</v>
      </c>
      <c r="AC202" s="275">
        <f>IF(ISNUMBER(AC198),AC198+N(AC199)+N(AC200)+N(AC201),"")</f>
        <v>1641.2</v>
      </c>
      <c r="AD202" s="275">
        <f>IF(ISNUMBER(AD198),AD198+N(AD199)+N(AD200)+N(AD201),"")</f>
        <v>475.9</v>
      </c>
      <c r="AE202" s="275">
        <f>IF(ISNUMBER(AE198),AE198+N(AE199)+N(AE200)+N(AE201),"")</f>
        <v>497</v>
      </c>
      <c r="AF202" s="275">
        <f>IF(ISNUMBER(AF198),AF198+N(AF199)+N(AF200)+N(AF201),"")</f>
        <v>498.5</v>
      </c>
      <c r="AG202" s="275">
        <f>IF(ISNUMBER(AG198),AG198+N(AG199)+N(AG200)+N(AG201),"")</f>
        <v>518.5</v>
      </c>
      <c r="AH202" s="275">
        <f>IF(ISNUMBER(AH198),AH198+N(AH199)+N(AH200)+N(AH201),"")</f>
        <v>1989.9</v>
      </c>
      <c r="AI202" s="275">
        <f>IF(ISNUMBER(AI198),AI198+N(AI199)+N(AI200)+N(AI201),"")</f>
        <v>540.7</v>
      </c>
      <c r="AJ202" s="275">
        <f>IF(ISNUMBER(AJ198),AJ198+N(AJ199)+N(AJ200)+N(AJ201),"")</f>
        <v>584.4</v>
      </c>
      <c r="AK202" s="275">
        <f>IF(ISNUMBER(AK198),AK198+N(AK199)+N(AK200)+N(AK201),"")</f>
        <v>514.2</v>
      </c>
      <c r="AL202" s="275">
        <f>IF(ISNUMBER(AL198),AL198+N(AL199)+N(AL200)+N(AL201),"")</f>
        <v>477.8</v>
      </c>
      <c r="AM202" s="275">
        <f>IF(ISNUMBER(AM198),AM198+N(AM199)+N(AM200)+N(AM201),"")</f>
        <v>2117.1</v>
      </c>
      <c r="AN202" s="275">
        <f>IF(ISNUMBER(AN198),AN198+N(AN199)+N(AN200)+N(AN201),"")</f>
        <v>518.9</v>
      </c>
      <c r="AO202" s="275">
        <f>IF(ISNUMBER(AO198),AO198+N(AO199)+N(AO200)+N(AO201),"")</f>
        <v>599</v>
      </c>
      <c r="AP202" s="275">
        <f>IF(ISNUMBER(AP198),AP198+N(AP199)+N(AP200)+N(AP201),"")</f>
        <v>613.9</v>
      </c>
      <c r="AQ202" s="275">
        <f>IF(ISNUMBER(AQ198),AQ198+N(AQ199)+N(AQ200)+N(AQ201),"")</f>
        <v>559</v>
      </c>
      <c r="AR202" s="275">
        <f>IF(ISNUMBER(AR198),AR198+N(AR199)+N(AR200)+N(AR201),"")</f>
        <v>2291</v>
      </c>
      <c r="AS202" s="275">
        <f>IF(ISNUMBER(AS198),AS198+N(AS199)+N(AS200)+N(AS201),"")</f>
        <v>649</v>
      </c>
      <c r="AT202" s="275">
        <f>IF(ISNUMBER(AT198),AT198+N(AT199)+N(AT200)+N(AT201),"")</f>
        <v>766</v>
      </c>
      <c r="AU202" s="275">
        <f>IF(ISNUMBER(AU198),AU198+N(AU199)+N(AU200)+N(AU201),"")</f>
        <v>721</v>
      </c>
      <c r="AV202" s="275">
        <f>IF(ISNUMBER(AV198),AV198+N(AV199)+N(AV200)+N(AV201),"")</f>
        <v>531</v>
      </c>
      <c r="AW202" s="275">
        <f>IF(ISNUMBER(AW198),AW198+N(AW199)+N(AW200)+N(AW201),"")</f>
        <v>2667</v>
      </c>
      <c r="AX202" s="275">
        <f>IF(ISNUMBER(AX198),AX198+N(AX199)+N(AX200)+N(AX201),"")</f>
        <v>914</v>
      </c>
      <c r="AY202" s="275">
        <f>IF(ISNUMBER(AY198),AY198+N(AY199)+N(AY200)+N(AY201),"")</f>
        <v>861</v>
      </c>
      <c r="AZ202" s="275">
        <f>IF(ISNUMBER(AZ198),AZ198+N(AZ199)+N(AZ200)+N(AZ201),"")</f>
        <v>737</v>
      </c>
      <c r="BA202" s="275">
        <f>IF(ISNUMBER(BA198),BA198+N(BA199)+N(BA200)+N(BA201),"")</f>
        <v>589</v>
      </c>
      <c r="BB202" s="275">
        <f>IF(ISNUMBER(BB198),BB198+N(BB199)+N(BB200)+N(BB201),"")</f>
        <v>3101</v>
      </c>
      <c r="BC202" s="275">
        <f>IF(ISNUMBER(BC198),BC198+N(BC199)+N(BC200)+N(BC201),"")</f>
        <v>734</v>
      </c>
      <c r="BD202" s="275">
        <f>IF(ISNUMBER(BD198),BD198+N(BD199)+N(BD200)+N(BD201),"")</f>
        <v>620</v>
      </c>
      <c r="BE202" s="275">
        <f>IF(ISNUMBER(BE198),BE198+N(BE199)+N(BE200)+N(BE201),"")</f>
        <v>497</v>
      </c>
      <c r="BF202" s="275">
        <f>IF(ISNUMBER(BF198),BF198+N(BF199)+N(BF200)+N(BF201),"")</f>
        <v>477</v>
      </c>
      <c r="BG202" s="275">
        <f>IF(ISNUMBER(BG198),BG198+N(BG199)+N(BG200)+N(BG201),"")</f>
        <v>2328</v>
      </c>
      <c r="BH202" s="275">
        <f>IF(ISNUMBER(BH198),BH198+N(BH199)+N(BH200)+N(BH201),"")</f>
        <v>656</v>
      </c>
      <c r="BI202" s="275">
        <f>IF(ISNUMBER(BI198),BI198+N(BI199)+N(BI200)+N(BI201),"")</f>
        <v>653</v>
      </c>
      <c r="BJ202" s="275">
        <f>IF(ISNUMBER(BJ198),BJ198+N(BJ199)+N(BJ200)+N(BJ201),"")</f>
        <v>657</v>
      </c>
      <c r="BK202" s="275">
        <f>IF(ISNUMBER(BK198),BK198+N(BK199)+N(BK200)+N(BK201),"")</f>
        <v>631</v>
      </c>
      <c r="BL202" s="275">
        <f>IF(ISNUMBER(BL198),BL198+N(BL199)+N(BL200)+N(BL201),"")</f>
        <v>2597</v>
      </c>
      <c r="BM202" s="275">
        <f>IF(ISNUMBER(BM198),BM198+N(BM199)+N(BM200)+N(BM201),"")</f>
        <v>906</v>
      </c>
      <c r="BN202" s="275">
        <f>IF(ISNUMBER(BN198),BN198+N(BN199)+N(BN200)+N(BN201),"")</f>
        <v>902</v>
      </c>
      <c r="BO202" s="275">
        <f>IF(ISNUMBER(BO198),BO198+N(BO199)+N(BO200)+N(BO201),"")</f>
        <v>867</v>
      </c>
      <c r="BP202" s="275">
        <f>IF(ISNUMBER(BP198),BP198+N(BP199)+N(BP200)+N(BP201),"")</f>
        <v>733</v>
      </c>
      <c r="BQ202" s="275">
        <f>IF(ISNUMBER(BQ198),BQ198+N(BQ199)+N(BQ200)+N(BQ201),"")</f>
        <v>3408</v>
      </c>
      <c r="BR202" s="275">
        <f>IF(ISNUMBER(BR198),BR198+N(BR199)+N(BR200)+N(BR201),"")</f>
        <v>994</v>
      </c>
      <c r="BS202" s="275">
        <f>IF(ISNUMBER(BS198),BS198+N(BS199)+N(BS200)+N(BS201),"")</f>
        <v>966</v>
      </c>
      <c r="BT202" s="275">
        <f>IF(ISNUMBER(BT198),BT198+N(BT199)+N(BT200)+N(BT201),"")</f>
        <v>1062</v>
      </c>
      <c r="BU202" s="275">
        <f>IF(ISNUMBER(BU198),BU198+N(BU199)+N(BU200)+N(BU201),"")</f>
        <v>920</v>
      </c>
      <c r="BV202" s="275">
        <f>IF(ISNUMBER(BV198),BV198+N(BV199)+N(BV200)+N(BV201),"")</f>
        <v>3942</v>
      </c>
      <c r="BW202" s="275">
        <f>IF(ISNUMBER(BW198),BW198+N(BW199)+N(BW200)+N(BW201),"")</f>
        <v>1105</v>
      </c>
      <c r="BX202" s="275">
        <f>IF(ISNUMBER(BX198),BX198+N(BX199)+N(BX200)+N(BX201),"")</f>
        <v>1208</v>
      </c>
      <c r="BY202" s="275">
        <f>IF(ISNUMBER(BY198),BY198+N(BY199)+N(BY200)+N(BY201),"")</f>
        <v>1075.36253255767</v>
      </c>
      <c r="BZ202" s="275">
        <f>IF(ISNUMBER(BZ198),BZ198+N(BZ199)+N(BZ200)+N(BZ201),"")</f>
        <v>931.119462823072</v>
      </c>
      <c r="CA202" s="275">
        <f>IF(ISNUMBER(CA198),CA198+N(CA199)+N(CA200)+N(CA201),"")</f>
        <v>4319.48199538074</v>
      </c>
      <c r="CB202" s="275">
        <f>IF(ISNUMBER(CB198),CB198+N(CB199)+N(CB200)+N(CB201),"")</f>
        <v>4686.90571707776</v>
      </c>
      <c r="CC202" s="275">
        <f>IF(ISNUMBER(CC198),CC198+N(CC199)+N(CC200)+N(CC201),"")</f>
        <v>5053.2218830559</v>
      </c>
      <c r="CD202" s="275">
        <f>IF(ISNUMBER(CD198),CD198+N(CD199)+N(CD200)+N(CD201),"")</f>
        <v>5433.78287586468</v>
      </c>
      <c r="CE202" s="275">
        <f>IF(ISNUMBER(CE198),CE198+N(CE199)+N(CE200)+N(CE201),"")</f>
        <v>5816.65368678495</v>
      </c>
      <c r="CF202" s="153" t="inlineStr">
        <is>
          <t>Rebuilt from the published reconciliation items; forecast = operating income + forecast items (equals the segment build — check in the Group block).</t>
        </is>
      </c>
      <c r="CH202" s="20">
        <f>IFERROR((CE202/BV202)^(1/5)-1,"n/m")</f>
        <v>0.0809144371478396</v>
      </c>
      <c r="CI202" s="20">
        <f>IFERROR((BV202/AW202)^(1/5)-1,"n/m")</f>
        <v>0.0812813712394469</v>
      </c>
      <c r="CJ202" s="20">
        <f>IFERROR((BV202/X202)^(1/10)-1,"n/m")</f>
        <v>0.0952586858077966</v>
      </c>
      <c r="CK202" s="20">
        <f>IFERROR((BV202/C202)^(1/19)-1,"n/m")</f>
        <v>0.0675558814156576</v>
      </c>
    </row>
    <row r="203" ht="15" customHeight="1" s="251">
      <c r="B203" s="25" t="inlineStr">
        <is>
          <t xml:space="preserve">  Adjusted Operating Margin %</t>
        </is>
      </c>
      <c r="C203" s="215">
        <f>IF(AND(ISNUMBER(C202),ISNUMBER(C163)),IFERROR(C202/C163,""),"")</f>
        <v>0.558833636051249</v>
      </c>
      <c r="D203" s="215">
        <f>IF(AND(ISNUMBER(D202),ISNUMBER(D163)),IFERROR(D202/D163,""),"")</f>
        <v>0.541788401947765</v>
      </c>
      <c r="E203" s="215">
        <f>IF(AND(ISNUMBER(E202),ISNUMBER(E163)),IFERROR(E202/E163,""),"")</f>
        <v>0.467585735444913</v>
      </c>
      <c r="F203" s="215">
        <f>IF(AND(ISNUMBER(F202),ISNUMBER(F163)),IFERROR(F202/F163,""),"")</f>
        <v>0.427943467616292</v>
      </c>
      <c r="G203" s="215">
        <f>IF(AND(ISNUMBER(G202),ISNUMBER(G163)),IFERROR(G202/G163,""),"")</f>
        <v>0.412992125984252</v>
      </c>
      <c r="H203" s="215">
        <f>IF(AND(ISNUMBER(H202),ISNUMBER(H163)),IFERROR(H202/H163,""),"")</f>
        <v>0.424255710965932</v>
      </c>
      <c r="I203" s="215">
        <f>IF(AND(ISNUMBER(I202),ISNUMBER(I163)),IFERROR(I202/I163,""),"")</f>
        <v>0.433322345529795</v>
      </c>
      <c r="J203" s="215">
        <f>IF(AND(ISNUMBER(J202),ISNUMBER(J163)),IFERROR(J202/J163,""),"")</f>
        <v>0.415414047553976</v>
      </c>
      <c r="K203" s="215">
        <f>IF(AND(ISNUMBER(K202),ISNUMBER(K163)),IFERROR(K202/K163,""),"")</f>
        <v>0.49457671957672</v>
      </c>
      <c r="L203" s="215">
        <f>IF(AND(ISNUMBER(L202),ISNUMBER(L163)),IFERROR(L202/L163,""),"")</f>
        <v>0.446350106307583</v>
      </c>
      <c r="M203" s="215">
        <f>IF(AND(ISNUMBER(M202),ISNUMBER(M163)),IFERROR(M202/M163,""),"")</f>
        <v>0.430184804928131</v>
      </c>
      <c r="N203" s="215">
        <f>IF(AND(ISNUMBER(N202),ISNUMBER(N163)),IFERROR(N202/N163,""),"")</f>
        <v>0.446761984861228</v>
      </c>
      <c r="O203" s="215">
        <f>IF(AND(ISNUMBER(O202),ISNUMBER(O163)),IFERROR(O202/O163,""),"")</f>
        <v>0.464155370177268</v>
      </c>
      <c r="P203" s="215">
        <f>IF(AND(ISNUMBER(P202),ISNUMBER(P163)),IFERROR(P202/P163,""),"")</f>
        <v>0.496851745850029</v>
      </c>
      <c r="Q203" s="215">
        <f>IF(AND(ISNUMBER(Q202),ISNUMBER(Q163)),IFERROR(Q202/Q163,""),"")</f>
        <v>0.456929297880162</v>
      </c>
      <c r="R203" s="215">
        <f>IF(AND(ISNUMBER(R202),ISNUMBER(R163)),IFERROR(R202/R163,""),"")</f>
        <v>0.423589743589744</v>
      </c>
      <c r="S203" s="215">
        <f>IF(AND(ISNUMBER(S202),ISNUMBER(S163)),IFERROR(S202/S163,""),"")</f>
        <v>0.460276519809255</v>
      </c>
      <c r="T203" s="215">
        <f>IF(AND(ISNUMBER(T202),ISNUMBER(T163)),IFERROR(T202/T163,""),"")</f>
        <v>0.46199168207024</v>
      </c>
      <c r="U203" s="215">
        <f>IF(AND(ISNUMBER(U202),ISNUMBER(U163)),IFERROR(U202/U163,""),"")</f>
        <v>0.487092909269143</v>
      </c>
      <c r="V203" s="215">
        <f>IF(AND(ISNUMBER(V202),ISNUMBER(V163)),IFERROR(V202/V163,""),"")</f>
        <v>0.452748832195473</v>
      </c>
      <c r="W203" s="215">
        <f>IF(AND(ISNUMBER(W202),ISNUMBER(W163)),IFERROR(W202/W163,""),"")</f>
        <v>0.417831158332371</v>
      </c>
      <c r="X203" s="215">
        <f>IF(AND(ISNUMBER(X202),ISNUMBER(X163)),IFERROR(X202/X163,""),"")</f>
        <v>0.455416846032429</v>
      </c>
      <c r="Y203" s="215">
        <f>IF(AND(ISNUMBER(Y202),ISNUMBER(Y163)),IFERROR(Y202/Y163,""),"")</f>
        <v>0.409263570640853</v>
      </c>
      <c r="Z203" s="215">
        <f>IF(AND(ISNUMBER(Z202),ISNUMBER(Z163)),IFERROR(Z202/Z163,""),"")</f>
        <v>0.475185703520293</v>
      </c>
      <c r="AA203" s="215">
        <f>IF(AND(ISNUMBER(AA202),ISNUMBER(AA163)),IFERROR(AA202/AA163,""),"")</f>
        <v>0.478246647039581</v>
      </c>
      <c r="AB203" s="215">
        <f>IF(AND(ISNUMBER(AB202),ISNUMBER(AB163)),IFERROR(AB202/AB163,""),"")</f>
        <v>0.449633796836854</v>
      </c>
      <c r="AC203" s="215">
        <f>IF(AND(ISNUMBER(AC202),ISNUMBER(AC163)),IFERROR(AC202/AC163,""),"")</f>
        <v>0.45535763831086</v>
      </c>
      <c r="AD203" s="215">
        <f>IF(AND(ISNUMBER(AD202),ISNUMBER(AD163)),IFERROR(AD202/AD163,""),"")</f>
        <v>0.488002461033634</v>
      </c>
      <c r="AE203" s="215">
        <f>IF(AND(ISNUMBER(AE202),ISNUMBER(AE163)),IFERROR(AE202/AE163,""),"")</f>
        <v>0.496751624187906</v>
      </c>
      <c r="AF203" s="215">
        <f>IF(AND(ISNUMBER(AF202),ISNUMBER(AF163)),IFERROR(AF202/AF163,""),"")</f>
        <v>0.468999905917772</v>
      </c>
      <c r="AG203" s="215">
        <f>IF(AND(ISNUMBER(AG202),ISNUMBER(AG163)),IFERROR(AG202/AG163,""),"")</f>
        <v>0.444873444873445</v>
      </c>
      <c r="AH203" s="215">
        <f>IF(AND(ISNUMBER(AH202),ISNUMBER(AH163)),IFERROR(AH202/AH163,""),"")</f>
        <v>0.473323660236436</v>
      </c>
      <c r="AI203" s="215">
        <f>IF(AND(ISNUMBER(AI202),ISNUMBER(AI163)),IFERROR(AI202/AI163,""),"")</f>
        <v>0.47989704446614</v>
      </c>
      <c r="AJ203" s="215">
        <f>IF(AND(ISNUMBER(AJ202),ISNUMBER(AJ163)),IFERROR(AJ202/AJ163,""),"")</f>
        <v>0.497319377074291</v>
      </c>
      <c r="AK203" s="215">
        <f>IF(AND(ISNUMBER(AK202),ISNUMBER(AK163)),IFERROR(AK202/AK163,""),"")</f>
        <v>0.475758697261288</v>
      </c>
      <c r="AL203" s="215">
        <f>IF(AND(ISNUMBER(AL202),ISNUMBER(AL163)),IFERROR(AL202/AL163,""),"")</f>
        <v>0.450712196962551</v>
      </c>
      <c r="AM203" s="215">
        <f>IF(AND(ISNUMBER(AM202),ISNUMBER(AM163)),IFERROR(AM202/AM163,""),"")</f>
        <v>0.476534539806874</v>
      </c>
      <c r="AN203" s="215">
        <f>IF(AND(ISNUMBER(AN202),ISNUMBER(AN163)),IFERROR(AN202/AN163,""),"")</f>
        <v>0.454338499255757</v>
      </c>
      <c r="AO203" s="215">
        <f>IF(AND(ISNUMBER(AO202),ISNUMBER(AO163)),IFERROR(AO202/AO163,""),"")</f>
        <v>0.493572841133817</v>
      </c>
      <c r="AP203" s="215">
        <f>IF(AND(ISNUMBER(AP202),ISNUMBER(AP163)),IFERROR(AP202/AP163,""),"")</f>
        <v>0.494881096332124</v>
      </c>
      <c r="AQ203" s="215">
        <f>IF(AND(ISNUMBER(AQ202),ISNUMBER(AQ163)),IFERROR(AQ202/AQ163,""),"")</f>
        <v>0.453365774533658</v>
      </c>
      <c r="AR203" s="215">
        <f>IF(AND(ISNUMBER(AR202),ISNUMBER(AR163)),IFERROR(AR202/AR163,""),"")</f>
        <v>0.474425346862705</v>
      </c>
      <c r="AS203" s="215">
        <f>IF(AND(ISNUMBER(AS202),ISNUMBER(AS163)),IFERROR(AS202/AS163,""),"")</f>
        <v>0.503100775193799</v>
      </c>
      <c r="AT203" s="215">
        <f>IF(AND(ISNUMBER(AT202),ISNUMBER(AT163)),IFERROR(AT202/AT163,""),"")</f>
        <v>0.533797909407666</v>
      </c>
      <c r="AU203" s="215">
        <f>IF(AND(ISNUMBER(AU202),ISNUMBER(AU163)),IFERROR(AU202/AU163,""),"")</f>
        <v>0.531710914454277</v>
      </c>
      <c r="AV203" s="215">
        <f>IF(AND(ISNUMBER(AV202),ISNUMBER(AV163)),IFERROR(AV202/AV163,""),"")</f>
        <v>0.411627906976744</v>
      </c>
      <c r="AW203" s="215">
        <f>IF(AND(ISNUMBER(AW202),ISNUMBER(AW163)),IFERROR(AW202/AW163,""),"")</f>
        <v>0.496555576242785</v>
      </c>
      <c r="AX203" s="215">
        <f>IF(AND(ISNUMBER(AX202),ISNUMBER(AX163)),IFERROR(AX202/AX163,""),"")</f>
        <v>0.57125</v>
      </c>
      <c r="AY203" s="215">
        <f>IF(AND(ISNUMBER(AY202),ISNUMBER(AY163)),IFERROR(AY202/AY163,""),"")</f>
        <v>0.554410817772054</v>
      </c>
      <c r="AZ203" s="215">
        <f>IF(AND(ISNUMBER(AZ202),ISNUMBER(AZ163)),IFERROR(AZ202/AZ163,""),"")</f>
        <v>0.482961992136304</v>
      </c>
      <c r="BA203" s="215">
        <f>IF(AND(ISNUMBER(BA202),ISNUMBER(BA163)),IFERROR(BA202/BA163,""),"")</f>
        <v>0.382716049382716</v>
      </c>
      <c r="BB203" s="215">
        <f>IF(AND(ISNUMBER(BB202),ISNUMBER(BB163)),IFERROR(BB202/BB163,""),"")</f>
        <v>0.498713412672885</v>
      </c>
      <c r="BC203" s="215">
        <f>IF(AND(ISNUMBER(BC202),ISNUMBER(BC163)),IFERROR(BC202/BC163,""),"")</f>
        <v>0.482260183968463</v>
      </c>
      <c r="BD203" s="215">
        <f>IF(AND(ISNUMBER(BD202),ISNUMBER(BD163)),IFERROR(BD202/BD163,""),"")</f>
        <v>0.448950036205648</v>
      </c>
      <c r="BE203" s="215">
        <f>IF(AND(ISNUMBER(BE202),ISNUMBER(BE163)),IFERROR(BE202/BE163,""),"")</f>
        <v>0.389803921568628</v>
      </c>
      <c r="BF203" s="215">
        <f>IF(AND(ISNUMBER(BF202),ISNUMBER(BF163)),IFERROR(BF202/BF163,""),"")</f>
        <v>0.369767441860465</v>
      </c>
      <c r="BG203" s="215">
        <f>IF(AND(ISNUMBER(BG202),ISNUMBER(BG163)),IFERROR(BG202/BG163,""),"")</f>
        <v>0.425749817117776</v>
      </c>
      <c r="BH203" s="215">
        <f>IF(AND(ISNUMBER(BH202),ISNUMBER(BH163)),IFERROR(BH202/BH163,""),"")</f>
        <v>0.446258503401361</v>
      </c>
      <c r="BI203" s="215">
        <f>IF(AND(ISNUMBER(BI202),ISNUMBER(BI163)),IFERROR(BI202/BI163,""),"")</f>
        <v>0.437081659973226</v>
      </c>
      <c r="BJ203" s="215">
        <f>IF(AND(ISNUMBER(BJ202),ISNUMBER(BJ163)),IFERROR(BJ202/BJ163,""),"")</f>
        <v>0.44633152173913</v>
      </c>
      <c r="BK203" s="215">
        <f>IF(AND(ISNUMBER(BK202),ISNUMBER(BK163)),IFERROR(BK202/BK163,""),"")</f>
        <v>0.426351351351351</v>
      </c>
      <c r="BL203" s="215">
        <f>IF(AND(ISNUMBER(BL202),ISNUMBER(BL163)),IFERROR(BL202/BL163,""),"")</f>
        <v>0.438979039891819</v>
      </c>
      <c r="BM203" s="215">
        <f>IF(AND(ISNUMBER(BM202),ISNUMBER(BM163)),IFERROR(BM202/BM163,""),"")</f>
        <v>0.507278835386338</v>
      </c>
      <c r="BN203" s="215">
        <f>IF(AND(ISNUMBER(BN202),ISNUMBER(BN163)),IFERROR(BN202/BN163,""),"")</f>
        <v>0.49642267473858</v>
      </c>
      <c r="BO203" s="215">
        <f>IF(AND(ISNUMBER(BO202),ISNUMBER(BO163)),IFERROR(BO202/BO163,""),"")</f>
        <v>0.478212906784335</v>
      </c>
      <c r="BP203" s="215">
        <f>IF(AND(ISNUMBER(BP202),ISNUMBER(BP163)),IFERROR(BP202/BP163,""),"")</f>
        <v>0.438397129186603</v>
      </c>
      <c r="BQ203" s="215">
        <f>IF(AND(ISNUMBER(BQ202),ISNUMBER(BQ163)),IFERROR(BQ202/BQ163,""),"")</f>
        <v>0.480812641083521</v>
      </c>
      <c r="BR203" s="215">
        <f>IF(AND(ISNUMBER(BR202),ISNUMBER(BR163)),IFERROR(BR202/BR163,""),"")</f>
        <v>0.516632016632017</v>
      </c>
      <c r="BS203" s="215">
        <f>IF(AND(ISNUMBER(BS202),ISNUMBER(BS163)),IFERROR(BS202/BS163,""),"")</f>
        <v>0.50895679662803</v>
      </c>
      <c r="BT203" s="215">
        <f>IF(AND(ISNUMBER(BT202),ISNUMBER(BT163)),IFERROR(BT202/BT163,""),"")</f>
        <v>0.52914798206278</v>
      </c>
      <c r="BU203" s="215">
        <f>IF(AND(ISNUMBER(BU202),ISNUMBER(BU163)),IFERROR(BU202/BU163,""),"")</f>
        <v>0.487030174695606</v>
      </c>
      <c r="BV203" s="215">
        <f>IF(AND(ISNUMBER(BV202),ISNUMBER(BV163)),IFERROR(BV202/BV163,""),"")</f>
        <v>0.51075408136823</v>
      </c>
      <c r="BW203" s="215">
        <f>IF(AND(ISNUMBER(BW202),ISNUMBER(BW163)),IFERROR(BW202/BW163,""),"")</f>
        <v>0.531505531505532</v>
      </c>
      <c r="BX203" s="215">
        <f>IF(AND(ISNUMBER(BX202),ISNUMBER(BX163)),IFERROR(BX202/BX163,""),"")</f>
        <v>0.552860411899314</v>
      </c>
      <c r="BY203" s="256">
        <f>IF(AND(ISNUMBER(BY202),ISNUMBER(BY163)),IFERROR(BY202/BY163,""),"")</f>
        <v>0.527114367633833</v>
      </c>
      <c r="BZ203" s="256">
        <f>IF(AND(ISNUMBER(BZ202),ISNUMBER(BZ163)),IFERROR(BZ202/BZ163,""),"")</f>
        <v>0.484106676629689</v>
      </c>
      <c r="CA203" s="256">
        <f>IF(AND(ISNUMBER(CA202),ISNUMBER(CA163)),IFERROR(CA202/CA163,""),"")</f>
        <v>0.525007322467385</v>
      </c>
      <c r="CB203" s="256">
        <f>IF(AND(ISNUMBER(CB202),ISNUMBER(CB163)),IFERROR(CB202/CB163,""),"")</f>
        <v>0.531368569555706</v>
      </c>
      <c r="CC203" s="256">
        <f>IF(AND(ISNUMBER(CC202),ISNUMBER(CC163)),IFERROR(CC202/CC163,""),"")</f>
        <v>0.536479481946473</v>
      </c>
      <c r="CD203" s="256">
        <f>IF(AND(ISNUMBER(CD202),ISNUMBER(CD163)),IFERROR(CD202/CD163,""),"")</f>
        <v>0.541902540061138</v>
      </c>
      <c r="CE203" s="256">
        <f>IF(AND(ISNUMBER(CE202),ISNUMBER(CE163)),IFERROR(CE202/CE163,""),"")</f>
        <v>0.547207148030497</v>
      </c>
      <c r="CF203" s="153" t="n"/>
      <c r="CH203" s="37">
        <f>IFERROR(AVERAGE(CA203,CB203,CC203,CD203,CE203),"n/m")</f>
        <v>0.53639301241224</v>
      </c>
      <c r="CI203" s="37">
        <f>IFERROR(AVERAGE(BB203,BG203,BL203,BQ203,BV203),"n/m")</f>
        <v>0.471001798426846</v>
      </c>
      <c r="CJ203" s="37">
        <f>IFERROR(AVERAGE(AC203,AH203,AM203,AR203,AW203,BB203,BG203,BL203,BQ203,BV203),"n/m")</f>
        <v>0.473120575359389</v>
      </c>
      <c r="CK203" s="37">
        <f>IFERROR(AVERAGE(C203,D203,E203,F203,G203,H203,I203,N203,S203,X203,AC203,AH203,AM203,AR203,AW203,BB203,BG203,BL203,BQ203,BV203),"n/m")</f>
        <v>0.46801912639185</v>
      </c>
    </row>
    <row r="204" ht="15" customHeight="1" s="251">
      <c r="B204" s="156" t="inlineStr">
        <is>
          <t xml:space="preserve">  Company-published Adjusted Operating Income</t>
        </is>
      </c>
      <c r="C204" s="34" t="n"/>
      <c r="D204" s="34" t="n"/>
      <c r="E204" s="34" t="n"/>
      <c r="F204" s="34" t="n"/>
      <c r="G204" s="34" t="n"/>
      <c r="H204" s="34" t="n"/>
      <c r="I204" s="253" t="n">
        <v>1183.1</v>
      </c>
      <c r="J204" s="253" t="n">
        <v>304</v>
      </c>
      <c r="K204" s="253" t="n">
        <v>373.9</v>
      </c>
      <c r="L204" s="253" t="n">
        <v>314.9</v>
      </c>
      <c r="M204" s="253" t="n">
        <v>335.2</v>
      </c>
      <c r="N204" s="253" t="n">
        <v>1328</v>
      </c>
      <c r="O204" s="253" t="n">
        <v>356.1</v>
      </c>
      <c r="P204" s="253" t="n">
        <v>434</v>
      </c>
      <c r="Q204" s="253" t="n">
        <v>372.9</v>
      </c>
      <c r="R204" s="253" t="n">
        <v>371.7</v>
      </c>
      <c r="S204" s="253" t="n">
        <v>1534.7</v>
      </c>
      <c r="T204" s="253" t="n">
        <v>399.9</v>
      </c>
      <c r="U204" s="253" t="n">
        <v>447.2</v>
      </c>
      <c r="V204" s="253" t="n">
        <v>378</v>
      </c>
      <c r="W204" s="253" t="n">
        <v>361.8</v>
      </c>
      <c r="X204" s="253" t="n">
        <v>1586.9</v>
      </c>
      <c r="Y204" s="253" t="n">
        <v>334</v>
      </c>
      <c r="Z204" s="253" t="n">
        <v>441.4</v>
      </c>
      <c r="AA204" s="253" t="n">
        <v>438.6</v>
      </c>
      <c r="AB204" s="253" t="n">
        <v>423.6</v>
      </c>
      <c r="AC204" s="253" t="n">
        <v>1641.2</v>
      </c>
      <c r="AD204" s="253" t="n">
        <v>475.9</v>
      </c>
      <c r="AE204" s="253" t="n">
        <v>497</v>
      </c>
      <c r="AF204" s="253" t="n">
        <v>498.5</v>
      </c>
      <c r="AG204" s="253" t="n">
        <v>518.5</v>
      </c>
      <c r="AH204" s="253" t="n">
        <v>1989.9</v>
      </c>
      <c r="AI204" s="253" t="n">
        <v>540.7</v>
      </c>
      <c r="AJ204" s="253" t="n">
        <v>584.4</v>
      </c>
      <c r="AK204" s="253" t="n">
        <v>514.2</v>
      </c>
      <c r="AL204" s="253" t="n">
        <v>477.8</v>
      </c>
      <c r="AM204" s="253" t="n">
        <v>2117.1</v>
      </c>
      <c r="AN204" s="253" t="n">
        <v>518.9</v>
      </c>
      <c r="AO204" s="253" t="n">
        <v>599</v>
      </c>
      <c r="AP204" s="253" t="n">
        <v>613.9</v>
      </c>
      <c r="AQ204" s="253" t="n">
        <v>559</v>
      </c>
      <c r="AR204" s="253" t="n">
        <v>2291</v>
      </c>
      <c r="AS204" s="253" t="n">
        <v>649</v>
      </c>
      <c r="AT204" s="253" t="n">
        <v>766</v>
      </c>
      <c r="AU204" s="253" t="n">
        <v>721</v>
      </c>
      <c r="AV204" s="253" t="n">
        <v>531</v>
      </c>
      <c r="AW204" s="253" t="n">
        <v>2667</v>
      </c>
      <c r="AX204" s="253" t="n">
        <v>914</v>
      </c>
      <c r="AY204" s="253" t="n">
        <v>861</v>
      </c>
      <c r="AZ204" s="253" t="n">
        <v>737</v>
      </c>
      <c r="BA204" s="253" t="n">
        <v>589</v>
      </c>
      <c r="BB204" s="253" t="n">
        <v>3101</v>
      </c>
      <c r="BC204" s="253" t="n">
        <v>734</v>
      </c>
      <c r="BD204" s="253" t="n">
        <v>620</v>
      </c>
      <c r="BE204" s="253" t="n">
        <v>497</v>
      </c>
      <c r="BF204" s="253" t="n">
        <v>477</v>
      </c>
      <c r="BG204" s="253" t="n">
        <v>2328</v>
      </c>
      <c r="BH204" s="253" t="n">
        <v>656</v>
      </c>
      <c r="BI204" s="253" t="n">
        <v>653</v>
      </c>
      <c r="BJ204" s="253" t="n">
        <v>657</v>
      </c>
      <c r="BK204" s="253" t="n">
        <v>631</v>
      </c>
      <c r="BL204" s="253" t="n">
        <v>2597</v>
      </c>
      <c r="BM204" s="253" t="n">
        <v>906</v>
      </c>
      <c r="BN204" s="253" t="n">
        <v>902</v>
      </c>
      <c r="BO204" s="253" t="n">
        <v>867</v>
      </c>
      <c r="BP204" s="253" t="n">
        <v>733</v>
      </c>
      <c r="BQ204" s="253" t="n">
        <v>3408</v>
      </c>
      <c r="BR204" s="253" t="n">
        <v>994</v>
      </c>
      <c r="BS204" s="253" t="n">
        <v>966</v>
      </c>
      <c r="BT204" s="253" t="n">
        <v>1062</v>
      </c>
      <c r="BU204" s="253" t="n">
        <v>920</v>
      </c>
      <c r="BV204" s="253" t="n">
        <v>3942</v>
      </c>
      <c r="BW204" s="253" t="n">
        <v>1105</v>
      </c>
      <c r="BX204" s="253" t="n">
        <v>1208</v>
      </c>
      <c r="BY204" s="153" t="n"/>
      <c r="BZ204" s="153" t="n"/>
      <c r="CA204" s="153" t="n"/>
      <c r="CB204" s="153" t="n"/>
      <c r="CC204" s="153" t="n"/>
      <c r="CD204" s="153" t="n"/>
      <c r="CE204" s="153" t="n"/>
      <c r="CF204" s="153" t="n"/>
    </row>
    <row r="205" ht="15" customHeight="1" s="251">
      <c r="B205" s="57" t="inlineStr">
        <is>
          <t xml:space="preserve">  Check: model bridge vs company-published (should be 0)</t>
        </is>
      </c>
      <c r="C205" s="261" t="str">
        <f>IF(ISNUMBER(C204),IF(ABS(C202-C204)&lt;=1.5,0,ROUND(C202-C204,1)),"n/p")</f>
        <v>n/p</v>
      </c>
      <c r="D205" s="261" t="str">
        <f>IF(ISNUMBER(D204),IF(ABS(D202-D204)&lt;=1.5,0,ROUND(D202-D204,1)),"n/p")</f>
        <v>n/p</v>
      </c>
      <c r="E205" s="261" t="str">
        <f>IF(ISNUMBER(E204),IF(ABS(E202-E204)&lt;=1.5,0,ROUND(E202-E204,1)),"n/p")</f>
        <v>n/p</v>
      </c>
      <c r="F205" s="261" t="str">
        <f>IF(ISNUMBER(F204),IF(ABS(F202-F204)&lt;=1.5,0,ROUND(F202-F204,1)),"n/p")</f>
        <v>n/p</v>
      </c>
      <c r="G205" s="261" t="str">
        <f>IF(ISNUMBER(G204),IF(ABS(G202-G204)&lt;=1.5,0,ROUND(G202-G204,1)),"n/p")</f>
        <v>n/p</v>
      </c>
      <c r="H205" s="261" t="str">
        <f>IF(ISNUMBER(H204),IF(ABS(H202-H204)&lt;=1.5,0,ROUND(H202-H204,1)),"n/p")</f>
        <v>n/p</v>
      </c>
      <c r="I205" s="261">
        <f>IF(ISNUMBER(I204),IF(ABS(I202-I204)&lt;=1.5,0,ROUND(I202-I204,1)),"n/p")</f>
        <v>0</v>
      </c>
      <c r="J205" s="261">
        <f>IF(ISNUMBER(J204),IF(ABS(J202-J204)&lt;=1.5,0,ROUND(J202-J204,1)),"n/p")</f>
        <v>0</v>
      </c>
      <c r="K205" s="261">
        <f>IF(ISNUMBER(K204),IF(ABS(K202-K204)&lt;=1.5,0,ROUND(K202-K204,1)),"n/p")</f>
        <v>0</v>
      </c>
      <c r="L205" s="261">
        <f>IF(ISNUMBER(L204),IF(ABS(L202-L204)&lt;=1.5,0,ROUND(L202-L204,1)),"n/p")</f>
        <v>0</v>
      </c>
      <c r="M205" s="261">
        <f>IF(ISNUMBER(M204),IF(ABS(M202-M204)&lt;=1.5,0,ROUND(M202-M204,1)),"n/p")</f>
        <v>0</v>
      </c>
      <c r="N205" s="261">
        <f>IF(ISNUMBER(N204),IF(ABS(N202-N204)&lt;=1.5,0,ROUND(N202-N204,1)),"n/p")</f>
        <v>0</v>
      </c>
      <c r="O205" s="261">
        <f>IF(ISNUMBER(O204),IF(ABS(O202-O204)&lt;=1.5,0,ROUND(O202-O204,1)),"n/p")</f>
        <v>0</v>
      </c>
      <c r="P205" s="261">
        <f>IF(ISNUMBER(P204),IF(ABS(P202-P204)&lt;=1.5,0,ROUND(P202-P204,1)),"n/p")</f>
        <v>0</v>
      </c>
      <c r="Q205" s="261">
        <f>IF(ISNUMBER(Q204),IF(ABS(Q202-Q204)&lt;=1.5,0,ROUND(Q202-Q204,1)),"n/p")</f>
        <v>0</v>
      </c>
      <c r="R205" s="261">
        <f>IF(ISNUMBER(R204),IF(ABS(R202-R204)&lt;=1.5,0,ROUND(R202-R204,1)),"n/p")</f>
        <v>0</v>
      </c>
      <c r="S205" s="261">
        <f>IF(ISNUMBER(S204),IF(ABS(S202-S204)&lt;=1.5,0,ROUND(S202-S204,1)),"n/p")</f>
        <v>0</v>
      </c>
      <c r="T205" s="261">
        <f>IF(ISNUMBER(T204),IF(ABS(T202-T204)&lt;=1.5,0,ROUND(T202-T204,1)),"n/p")</f>
        <v>0</v>
      </c>
      <c r="U205" s="261">
        <f>IF(ISNUMBER(U204),IF(ABS(U202-U204)&lt;=1.5,0,ROUND(U202-U204,1)),"n/p")</f>
        <v>0</v>
      </c>
      <c r="V205" s="261">
        <f>IF(ISNUMBER(V204),IF(ABS(V202-V204)&lt;=1.5,0,ROUND(V202-V204,1)),"n/p")</f>
        <v>0</v>
      </c>
      <c r="W205" s="261">
        <f>IF(ISNUMBER(W204),IF(ABS(W202-W204)&lt;=1.5,0,ROUND(W202-W204,1)),"n/p")</f>
        <v>0</v>
      </c>
      <c r="X205" s="261">
        <f>IF(ISNUMBER(X204),IF(ABS(X202-X204)&lt;=1.5,0,ROUND(X202-X204,1)),"n/p")</f>
        <v>0</v>
      </c>
      <c r="Y205" s="261">
        <f>IF(ISNUMBER(Y204),IF(ABS(Y202-Y204)&lt;=1.5,0,ROUND(Y202-Y204,1)),"n/p")</f>
        <v>0</v>
      </c>
      <c r="Z205" s="261">
        <f>IF(ISNUMBER(Z204),IF(ABS(Z202-Z204)&lt;=1.5,0,ROUND(Z202-Z204,1)),"n/p")</f>
        <v>0</v>
      </c>
      <c r="AA205" s="261">
        <f>IF(ISNUMBER(AA204),IF(ABS(AA202-AA204)&lt;=1.5,0,ROUND(AA202-AA204,1)),"n/p")</f>
        <v>0</v>
      </c>
      <c r="AB205" s="261">
        <f>IF(ISNUMBER(AB204),IF(ABS(AB202-AB204)&lt;=1.5,0,ROUND(AB202-AB204,1)),"n/p")</f>
        <v>0</v>
      </c>
      <c r="AC205" s="261">
        <f>IF(ISNUMBER(AC204),IF(ABS(AC202-AC204)&lt;=1.5,0,ROUND(AC202-AC204,1)),"n/p")</f>
        <v>0</v>
      </c>
      <c r="AD205" s="261">
        <f>IF(ISNUMBER(AD204),IF(ABS(AD202-AD204)&lt;=1.5,0,ROUND(AD202-AD204,1)),"n/p")</f>
        <v>0</v>
      </c>
      <c r="AE205" s="261">
        <f>IF(ISNUMBER(AE204),IF(ABS(AE202-AE204)&lt;=1.5,0,ROUND(AE202-AE204,1)),"n/p")</f>
        <v>0</v>
      </c>
      <c r="AF205" s="261">
        <f>IF(ISNUMBER(AF204),IF(ABS(AF202-AF204)&lt;=1.5,0,ROUND(AF202-AF204,1)),"n/p")</f>
        <v>0</v>
      </c>
      <c r="AG205" s="261">
        <f>IF(ISNUMBER(AG204),IF(ABS(AG202-AG204)&lt;=1.5,0,ROUND(AG202-AG204,1)),"n/p")</f>
        <v>0</v>
      </c>
      <c r="AH205" s="261">
        <f>IF(ISNUMBER(AH204),IF(ABS(AH202-AH204)&lt;=1.5,0,ROUND(AH202-AH204,1)),"n/p")</f>
        <v>0</v>
      </c>
      <c r="AI205" s="261">
        <f>IF(ISNUMBER(AI204),IF(ABS(AI202-AI204)&lt;=1.5,0,ROUND(AI202-AI204,1)),"n/p")</f>
        <v>0</v>
      </c>
      <c r="AJ205" s="261">
        <f>IF(ISNUMBER(AJ204),IF(ABS(AJ202-AJ204)&lt;=1.5,0,ROUND(AJ202-AJ204,1)),"n/p")</f>
        <v>0</v>
      </c>
      <c r="AK205" s="261">
        <f>IF(ISNUMBER(AK204),IF(ABS(AK202-AK204)&lt;=1.5,0,ROUND(AK202-AK204,1)),"n/p")</f>
        <v>0</v>
      </c>
      <c r="AL205" s="261">
        <f>IF(ISNUMBER(AL204),IF(ABS(AL202-AL204)&lt;=1.5,0,ROUND(AL202-AL204,1)),"n/p")</f>
        <v>0</v>
      </c>
      <c r="AM205" s="261">
        <f>IF(ISNUMBER(AM204),IF(ABS(AM202-AM204)&lt;=1.5,0,ROUND(AM202-AM204,1)),"n/p")</f>
        <v>0</v>
      </c>
      <c r="AN205" s="261">
        <f>IF(ISNUMBER(AN204),IF(ABS(AN202-AN204)&lt;=1.5,0,ROUND(AN202-AN204,1)),"n/p")</f>
        <v>0</v>
      </c>
      <c r="AO205" s="261">
        <f>IF(ISNUMBER(AO204),IF(ABS(AO202-AO204)&lt;=1.5,0,ROUND(AO202-AO204,1)),"n/p")</f>
        <v>0</v>
      </c>
      <c r="AP205" s="261">
        <f>IF(ISNUMBER(AP204),IF(ABS(AP202-AP204)&lt;=1.5,0,ROUND(AP202-AP204,1)),"n/p")</f>
        <v>0</v>
      </c>
      <c r="AQ205" s="261">
        <f>IF(ISNUMBER(AQ204),IF(ABS(AQ202-AQ204)&lt;=1.5,0,ROUND(AQ202-AQ204,1)),"n/p")</f>
        <v>0</v>
      </c>
      <c r="AR205" s="261">
        <f>IF(ISNUMBER(AR204),IF(ABS(AR202-AR204)&lt;=1.5,0,ROUND(AR202-AR204,1)),"n/p")</f>
        <v>0</v>
      </c>
      <c r="AS205" s="261">
        <f>IF(ISNUMBER(AS204),IF(ABS(AS202-AS204)&lt;=1.5,0,ROUND(AS202-AS204,1)),"n/p")</f>
        <v>0</v>
      </c>
      <c r="AT205" s="261">
        <f>IF(ISNUMBER(AT204),IF(ABS(AT202-AT204)&lt;=1.5,0,ROUND(AT202-AT204,1)),"n/p")</f>
        <v>0</v>
      </c>
      <c r="AU205" s="261">
        <f>IF(ISNUMBER(AU204),IF(ABS(AU202-AU204)&lt;=1.5,0,ROUND(AU202-AU204,1)),"n/p")</f>
        <v>0</v>
      </c>
      <c r="AV205" s="261">
        <f>IF(ISNUMBER(AV204),IF(ABS(AV202-AV204)&lt;=1.5,0,ROUND(AV202-AV204,1)),"n/p")</f>
        <v>0</v>
      </c>
      <c r="AW205" s="261">
        <f>IF(ISNUMBER(AW204),IF(ABS(AW202-AW204)&lt;=1.5,0,ROUND(AW202-AW204,1)),"n/p")</f>
        <v>0</v>
      </c>
      <c r="AX205" s="261">
        <f>IF(ISNUMBER(AX204),IF(ABS(AX202-AX204)&lt;=1.5,0,ROUND(AX202-AX204,1)),"n/p")</f>
        <v>0</v>
      </c>
      <c r="AY205" s="261">
        <f>IF(ISNUMBER(AY204),IF(ABS(AY202-AY204)&lt;=1.5,0,ROUND(AY202-AY204,1)),"n/p")</f>
        <v>0</v>
      </c>
      <c r="AZ205" s="261">
        <f>IF(ISNUMBER(AZ204),IF(ABS(AZ202-AZ204)&lt;=1.5,0,ROUND(AZ202-AZ204,1)),"n/p")</f>
        <v>0</v>
      </c>
      <c r="BA205" s="261">
        <f>IF(ISNUMBER(BA204),IF(ABS(BA202-BA204)&lt;=1.5,0,ROUND(BA202-BA204,1)),"n/p")</f>
        <v>0</v>
      </c>
      <c r="BB205" s="261">
        <f>IF(ISNUMBER(BB204),IF(ABS(BB202-BB204)&lt;=1.5,0,ROUND(BB202-BB204,1)),"n/p")</f>
        <v>0</v>
      </c>
      <c r="BC205" s="261">
        <f>IF(ISNUMBER(BC204),IF(ABS(BC202-BC204)&lt;=1.5,0,ROUND(BC202-BC204,1)),"n/p")</f>
        <v>0</v>
      </c>
      <c r="BD205" s="261">
        <f>IF(ISNUMBER(BD204),IF(ABS(BD202-BD204)&lt;=1.5,0,ROUND(BD202-BD204,1)),"n/p")</f>
        <v>0</v>
      </c>
      <c r="BE205" s="261">
        <f>IF(ISNUMBER(BE204),IF(ABS(BE202-BE204)&lt;=1.5,0,ROUND(BE202-BE204,1)),"n/p")</f>
        <v>0</v>
      </c>
      <c r="BF205" s="261">
        <f>IF(ISNUMBER(BF204),IF(ABS(BF202-BF204)&lt;=1.5,0,ROUND(BF202-BF204,1)),"n/p")</f>
        <v>0</v>
      </c>
      <c r="BG205" s="261">
        <f>IF(ISNUMBER(BG204),IF(ABS(BG202-BG204)&lt;=1.5,0,ROUND(BG202-BG204,1)),"n/p")</f>
        <v>0</v>
      </c>
      <c r="BH205" s="261">
        <f>IF(ISNUMBER(BH204),IF(ABS(BH202-BH204)&lt;=1.5,0,ROUND(BH202-BH204,1)),"n/p")</f>
        <v>0</v>
      </c>
      <c r="BI205" s="261">
        <f>IF(ISNUMBER(BI204),IF(ABS(BI202-BI204)&lt;=1.5,0,ROUND(BI202-BI204,1)),"n/p")</f>
        <v>0</v>
      </c>
      <c r="BJ205" s="261">
        <f>IF(ISNUMBER(BJ204),IF(ABS(BJ202-BJ204)&lt;=1.5,0,ROUND(BJ202-BJ204,1)),"n/p")</f>
        <v>0</v>
      </c>
      <c r="BK205" s="261">
        <f>IF(ISNUMBER(BK204),IF(ABS(BK202-BK204)&lt;=1.5,0,ROUND(BK202-BK204,1)),"n/p")</f>
        <v>0</v>
      </c>
      <c r="BL205" s="261">
        <f>IF(ISNUMBER(BL204),IF(ABS(BL202-BL204)&lt;=1.5,0,ROUND(BL202-BL204,1)),"n/p")</f>
        <v>0</v>
      </c>
      <c r="BM205" s="261">
        <f>IF(ISNUMBER(BM204),IF(ABS(BM202-BM204)&lt;=1.5,0,ROUND(BM202-BM204,1)),"n/p")</f>
        <v>0</v>
      </c>
      <c r="BN205" s="261">
        <f>IF(ISNUMBER(BN204),IF(ABS(BN202-BN204)&lt;=1.5,0,ROUND(BN202-BN204,1)),"n/p")</f>
        <v>0</v>
      </c>
      <c r="BO205" s="261">
        <f>IF(ISNUMBER(BO204),IF(ABS(BO202-BO204)&lt;=1.5,0,ROUND(BO202-BO204,1)),"n/p")</f>
        <v>0</v>
      </c>
      <c r="BP205" s="261">
        <f>IF(ISNUMBER(BP204),IF(ABS(BP202-BP204)&lt;=1.5,0,ROUND(BP202-BP204,1)),"n/p")</f>
        <v>0</v>
      </c>
      <c r="BQ205" s="261">
        <f>IF(ISNUMBER(BQ204),IF(ABS(BQ202-BQ204)&lt;=1.5,0,ROUND(BQ202-BQ204,1)),"n/p")</f>
        <v>0</v>
      </c>
      <c r="BR205" s="261">
        <f>IF(ISNUMBER(BR204),IF(ABS(BR202-BR204)&lt;=1.5,0,ROUND(BR202-BR204,1)),"n/p")</f>
        <v>0</v>
      </c>
      <c r="BS205" s="261">
        <f>IF(ISNUMBER(BS204),IF(ABS(BS202-BS204)&lt;=1.5,0,ROUND(BS202-BS204,1)),"n/p")</f>
        <v>0</v>
      </c>
      <c r="BT205" s="261">
        <f>IF(ISNUMBER(BT204),IF(ABS(BT202-BT204)&lt;=1.5,0,ROUND(BT202-BT204,1)),"n/p")</f>
        <v>0</v>
      </c>
      <c r="BU205" s="261">
        <f>IF(ISNUMBER(BU204),IF(ABS(BU202-BU204)&lt;=1.5,0,ROUND(BU202-BU204,1)),"n/p")</f>
        <v>0</v>
      </c>
      <c r="BV205" s="261">
        <f>IF(ISNUMBER(BV204),IF(ABS(BV202-BV204)&lt;=1.5,0,ROUND(BV202-BV204,1)),"n/p")</f>
        <v>0</v>
      </c>
      <c r="BW205" s="261">
        <f>IF(ISNUMBER(BW204),IF(ABS(BW202-BW204)&lt;=1.5,0,ROUND(BW202-BW204,1)),"n/p")</f>
        <v>0</v>
      </c>
      <c r="BX205" s="261">
        <f>IF(ISNUMBER(BX204),IF(ABS(BX202-BX204)&lt;=1.5,0,ROUND(BX202-BX204,1)),"n/p")</f>
        <v>0</v>
      </c>
      <c r="BY205" s="153" t="n"/>
      <c r="BZ205" s="153" t="n"/>
      <c r="CA205" s="153" t="n"/>
      <c r="CB205" s="153" t="n"/>
      <c r="CC205" s="153" t="n"/>
      <c r="CD205" s="153" t="n"/>
      <c r="CE205" s="153" t="n"/>
      <c r="CF205" s="153" t="n"/>
    </row>
    <row r="206" ht="15" customHeight="1" s="251">
      <c r="B206" s="158" t="inlineStr">
        <is>
          <t xml:space="preserve">  Definition / basis (company Adjusted Operating Income definition in force)</t>
        </is>
      </c>
      <c r="C206" s="285" t="inlineStr">
        <is>
          <t>2006–11: no "Adjusted Operating Income" (before D&amp;A) published — model applies the current definition (OI + D&amp;A + restructuring + IS-face other items); 2006–09 company "non-GAAP operating income" (excl. building-sale gain / SBC / restructuring) in cell comments</t>
        </is>
      </c>
      <c r="I206" s="285" t="inlineStr">
        <is>
          <t>FY2012 (from Q3-12): Adjusted Operating Income = OI excl. D&amp;A, restructuring and goodwill impairment</t>
        </is>
      </c>
      <c r="J206" s="285" t="inlineStr">
        <is>
          <t>2013–Q2/16: Adjusted Operating Income = OI excl. D&amp;A (and the Q4-13 goodwill impairment)</t>
        </is>
      </c>
      <c r="AA206" s="285" t="inlineStr">
        <is>
          <t>Q3-16+: also excludes restructuring; Q4-16 the $863.8m DOJ / states settlement charge</t>
        </is>
      </c>
      <c r="AE206" s="285" t="inlineStr">
        <is>
          <t>Q2-17+: acquisition-related expenses (Bureau van Dijk) excluded</t>
        </is>
      </c>
      <c r="AJ206" s="159" t="n"/>
      <c r="AN206" s="159" t="n"/>
      <c r="AO206" s="285" t="inlineStr">
        <is>
          <t>2019: MAKS impairment / divestiture loss and a captive-insurance settlement excluded</t>
        </is>
      </c>
      <c r="BA206" s="159" t="n"/>
      <c r="BM206" s="159" t="n"/>
      <c r="BN206" s="285" t="inlineStr">
        <is>
          <t>Q2-24+: charges related to asset abandonment excluded</t>
        </is>
      </c>
      <c r="BT206" s="159" t="n"/>
      <c r="BW206" s="285" t="inlineStr">
        <is>
          <t>2026: reserve for an international non-income tax obligation and duplicate rent (NY HQ) excluded</t>
        </is>
      </c>
      <c r="BY206" s="153" t="n"/>
      <c r="BZ206" s="153" t="n"/>
      <c r="CA206" s="153" t="n"/>
      <c r="CB206" s="153" t="n"/>
      <c r="CC206" s="153" t="n"/>
      <c r="CD206" s="153" t="n"/>
      <c r="CE206" s="153" t="n"/>
      <c r="CF206" s="19" t="inlineStr">
        <is>
          <t>Basis changes are flagged in the column where they take effect (cell comment gives the detail).</t>
        </is>
      </c>
    </row>
    <row r="207" ht="15" customHeight="1" s="251">
      <c r="B207" s="22" t="inlineStr">
        <is>
          <t xml:space="preserve">  Adjusted Operating Income y/y %</t>
        </is>
      </c>
      <c r="D207" s="255">
        <f>IF(AND(ISNUMBER(D202),ISNUMBER(C202)),IFERROR(D202/C202-1,""),"")</f>
        <v>0.0751054111033029</v>
      </c>
      <c r="E207" s="255">
        <f>IF(AND(ISNUMBER(E202),ISNUMBER(D202)),IFERROR(E202/D202-1,""),"")</f>
        <v>-0.329356973608955</v>
      </c>
      <c r="F207" s="255">
        <f>IF(AND(ISNUMBER(F202),ISNUMBER(E202)),IFERROR(F202/E202-1,""),"")</f>
        <v>-0.0629873294346977</v>
      </c>
      <c r="G207" s="255">
        <f>IF(AND(ISNUMBER(G202),ISNUMBER(F202)),IFERROR(G202/F202-1,""),"")</f>
        <v>0.0911454947341046</v>
      </c>
      <c r="H207" s="255">
        <f>IF(AND(ISNUMBER(H202),ISNUMBER(G202)),IFERROR(H202/G202-1,""),"")</f>
        <v>0.153002859866539</v>
      </c>
      <c r="I207" s="255">
        <f>IF(AND(ISNUMBER(I202),ISNUMBER(H202)),IFERROR(I202/H202-1,""),"")</f>
        <v>0.222715998346424</v>
      </c>
      <c r="N207" s="255">
        <f>IF(AND(ISNUMBER(N202),ISNUMBER(I202)),IFERROR(N202/I202-1,""),"")</f>
        <v>0.122474854196602</v>
      </c>
      <c r="O207" s="255">
        <f>IF(AND(ISNUMBER(O202),ISNUMBER(J202)),IFERROR(O202/J202-1,""),"")</f>
        <v>0.171381578947369</v>
      </c>
      <c r="P207" s="255">
        <f>IF(AND(ISNUMBER(P202),ISNUMBER(K202)),IFERROR(P202/K202-1,""),"")</f>
        <v>0.160738165284836</v>
      </c>
      <c r="Q207" s="255">
        <f>IF(AND(ISNUMBER(Q202),ISNUMBER(L202)),IFERROR(Q202/L202-1,""),"")</f>
        <v>0.184185455700223</v>
      </c>
      <c r="R207" s="255">
        <f>IF(AND(ISNUMBER(R202),ISNUMBER(M202)),IFERROR(R202/M202-1,""),"")</f>
        <v>0.108890214797136</v>
      </c>
      <c r="S207" s="255">
        <f>IF(AND(ISNUMBER(S202),ISNUMBER(N202)),IFERROR(S202/N202-1,""),"")</f>
        <v>0.155647590361446</v>
      </c>
      <c r="T207" s="255">
        <f>IF(AND(ISNUMBER(T202),ISNUMBER(O202)),IFERROR(T202/O202-1,""),"")</f>
        <v>0.122999157540017</v>
      </c>
      <c r="U207" s="255">
        <f>IF(AND(ISNUMBER(U202),ISNUMBER(P202)),IFERROR(U202/P202-1,""),"")</f>
        <v>0.030414746543779</v>
      </c>
      <c r="V207" s="255">
        <f>IF(AND(ISNUMBER(V202),ISNUMBER(Q202)),IFERROR(V202/Q202-1,""),"")</f>
        <v>0.0136765888978276</v>
      </c>
      <c r="W207" s="255">
        <f>IF(AND(ISNUMBER(W202),ISNUMBER(R202)),IFERROR(W202/R202-1,""),"")</f>
        <v>-0.0266343825665863</v>
      </c>
      <c r="X207" s="255">
        <f>IF(AND(ISNUMBER(X202),ISNUMBER(S202)),IFERROR(X202/S202-1,""),"")</f>
        <v>0.0340131621815338</v>
      </c>
      <c r="Y207" s="255">
        <f>IF(AND(ISNUMBER(Y202),ISNUMBER(T202)),IFERROR(Y202/T202-1,""),"")</f>
        <v>-0.16479119779945</v>
      </c>
      <c r="Z207" s="255">
        <f>IF(AND(ISNUMBER(Z202),ISNUMBER(U202)),IFERROR(Z202/U202-1,""),"")</f>
        <v>-0.0129695885509842</v>
      </c>
      <c r="AA207" s="255">
        <f>IF(AND(ISNUMBER(AA202),ISNUMBER(V202)),IFERROR(AA202/V202-1,""),"")</f>
        <v>0.16031746031746</v>
      </c>
      <c r="AB207" s="255">
        <f>IF(AND(ISNUMBER(AB202),ISNUMBER(W202)),IFERROR(AB202/W202-1,""),"")</f>
        <v>0.170812603648425</v>
      </c>
      <c r="AC207" s="255">
        <f>IF(AND(ISNUMBER(AC202),ISNUMBER(X202)),IFERROR(AC202/X202-1,""),"")</f>
        <v>0.0342176570672379</v>
      </c>
      <c r="AD207" s="255">
        <f>IF(AND(ISNUMBER(AD202),ISNUMBER(Y202)),IFERROR(AD202/Y202-1,""),"")</f>
        <v>0.424850299401198</v>
      </c>
      <c r="AE207" s="255">
        <f>IF(AND(ISNUMBER(AE202),ISNUMBER(Z202)),IFERROR(AE202/Z202-1,""),"")</f>
        <v>0.125962845491618</v>
      </c>
      <c r="AF207" s="255">
        <f>IF(AND(ISNUMBER(AF202),ISNUMBER(AA202)),IFERROR(AF202/AA202-1,""),"")</f>
        <v>0.136570907432741</v>
      </c>
      <c r="AG207" s="255">
        <f>IF(AND(ISNUMBER(AG202),ISNUMBER(AB202)),IFERROR(AG202/AB202-1,""),"")</f>
        <v>0.224032105760151</v>
      </c>
      <c r="AH207" s="255">
        <f>IF(AND(ISNUMBER(AH202),ISNUMBER(AC202)),IFERROR(AH202/AC202-1,""),"")</f>
        <v>0.212466487935657</v>
      </c>
      <c r="AI207" s="255">
        <f>IF(AND(ISNUMBER(AI202),ISNUMBER(AD202)),IFERROR(AI202/AD202-1,""),"")</f>
        <v>0.136163059466274</v>
      </c>
      <c r="AJ207" s="255">
        <f>IF(AND(ISNUMBER(AJ202),ISNUMBER(AE202)),IFERROR(AJ202/AE202-1,""),"")</f>
        <v>0.175855130784708</v>
      </c>
      <c r="AK207" s="255">
        <f>IF(AND(ISNUMBER(AK202),ISNUMBER(AF202)),IFERROR(AK202/AF202-1,""),"")</f>
        <v>0.0314944834503508</v>
      </c>
      <c r="AL207" s="255">
        <f>IF(AND(ISNUMBER(AL202),ISNUMBER(AG202)),IFERROR(AL202/AG202-1,""),"")</f>
        <v>-0.0784956605593059</v>
      </c>
      <c r="AM207" s="255">
        <f>IF(AND(ISNUMBER(AM202),ISNUMBER(AH202)),IFERROR(AM202/AH202-1,""),"")</f>
        <v>0.0639228101914666</v>
      </c>
      <c r="AN207" s="255">
        <f>IF(AND(ISNUMBER(AN202),ISNUMBER(AI202)),IFERROR(AN202/AI202-1,""),"")</f>
        <v>-0.0403181061586834</v>
      </c>
      <c r="AO207" s="255">
        <f>IF(AND(ISNUMBER(AO202),ISNUMBER(AJ202)),IFERROR(AO202/AJ202-1,""),"")</f>
        <v>0.0249828884325807</v>
      </c>
      <c r="AP207" s="255">
        <f>IF(AND(ISNUMBER(AP202),ISNUMBER(AK202)),IFERROR(AP202/AK202-1,""),"")</f>
        <v>0.193893426682225</v>
      </c>
      <c r="AQ207" s="255">
        <f>IF(AND(ISNUMBER(AQ202),ISNUMBER(AL202)),IFERROR(AQ202/AL202-1,""),"")</f>
        <v>0.169945583926329</v>
      </c>
      <c r="AR207" s="255">
        <f>IF(AND(ISNUMBER(AR202),ISNUMBER(AM202)),IFERROR(AR202/AM202-1,""),"")</f>
        <v>0.0821406641160078</v>
      </c>
      <c r="AS207" s="255">
        <f>IF(AND(ISNUMBER(AS202),ISNUMBER(AN202)),IFERROR(AS202/AN202-1,""),"")</f>
        <v>0.250722682597803</v>
      </c>
      <c r="AT207" s="255">
        <f>IF(AND(ISNUMBER(AT202),ISNUMBER(AO202)),IFERROR(AT202/AO202-1,""),"")</f>
        <v>0.278797996661102</v>
      </c>
      <c r="AU207" s="255">
        <f>IF(AND(ISNUMBER(AU202),ISNUMBER(AP202)),IFERROR(AU202/AP202-1,""),"")</f>
        <v>0.174458380843785</v>
      </c>
      <c r="AV207" s="255">
        <f>IF(AND(ISNUMBER(AV202),ISNUMBER(AQ202)),IFERROR(AV202/AQ202-1,""),"")</f>
        <v>-0.0500894454382826</v>
      </c>
      <c r="AW207" s="255">
        <f>IF(AND(ISNUMBER(AW202),ISNUMBER(AR202)),IFERROR(AW202/AR202-1,""),"")</f>
        <v>0.164120471409865</v>
      </c>
      <c r="AX207" s="255">
        <f>IF(AND(ISNUMBER(AX202),ISNUMBER(AS202)),IFERROR(AX202/AS202-1,""),"")</f>
        <v>0.408320493066256</v>
      </c>
      <c r="AY207" s="255">
        <f>IF(AND(ISNUMBER(AY202),ISNUMBER(AT202)),IFERROR(AY202/AT202-1,""),"")</f>
        <v>0.124020887728459</v>
      </c>
      <c r="AZ207" s="255">
        <f>IF(AND(ISNUMBER(AZ202),ISNUMBER(AU202)),IFERROR(AZ202/AU202-1,""),"")</f>
        <v>0.0221914008321775</v>
      </c>
      <c r="BA207" s="255">
        <f>IF(AND(ISNUMBER(BA202),ISNUMBER(AV202)),IFERROR(BA202/AV202-1,""),"")</f>
        <v>0.109227871939736</v>
      </c>
      <c r="BB207" s="255">
        <f>IF(AND(ISNUMBER(BB202),ISNUMBER(AW202)),IFERROR(BB202/AW202-1,""),"")</f>
        <v>0.162729658792651</v>
      </c>
      <c r="BC207" s="255">
        <f>IF(AND(ISNUMBER(BC202),ISNUMBER(AX202)),IFERROR(BC202/AX202-1,""),"")</f>
        <v>-0.196936542669584</v>
      </c>
      <c r="BD207" s="255">
        <f>IF(AND(ISNUMBER(BD202),ISNUMBER(AY202)),IFERROR(BD202/AY202-1,""),"")</f>
        <v>-0.279907084785134</v>
      </c>
      <c r="BE207" s="255">
        <f>IF(AND(ISNUMBER(BE202),ISNUMBER(AZ202)),IFERROR(BE202/AZ202-1,""),"")</f>
        <v>-0.325644504748982</v>
      </c>
      <c r="BF207" s="255">
        <f>IF(AND(ISNUMBER(BF202),ISNUMBER(BA202)),IFERROR(BF202/BA202-1,""),"")</f>
        <v>-0.190152801358234</v>
      </c>
      <c r="BG207" s="255">
        <f>IF(AND(ISNUMBER(BG202),ISNUMBER(BB202)),IFERROR(BG202/BB202-1,""),"")</f>
        <v>-0.249274427603999</v>
      </c>
      <c r="BH207" s="255">
        <f>IF(AND(ISNUMBER(BH202),ISNUMBER(BC202)),IFERROR(BH202/BC202-1,""),"")</f>
        <v>-0.106267029972752</v>
      </c>
      <c r="BI207" s="255">
        <f>IF(AND(ISNUMBER(BI202),ISNUMBER(BD202)),IFERROR(BI202/BD202-1,""),"")</f>
        <v>0.0532258064516129</v>
      </c>
      <c r="BJ207" s="255">
        <f>IF(AND(ISNUMBER(BJ202),ISNUMBER(BE202)),IFERROR(BJ202/BE202-1,""),"")</f>
        <v>0.321931589537223</v>
      </c>
      <c r="BK207" s="255">
        <f>IF(AND(ISNUMBER(BK202),ISNUMBER(BF202)),IFERROR(BK202/BF202-1,""),"")</f>
        <v>0.322851153039832</v>
      </c>
      <c r="BL207" s="255">
        <f>IF(AND(ISNUMBER(BL202),ISNUMBER(BG202)),IFERROR(BL202/BG202-1,""),"")</f>
        <v>0.115549828178694</v>
      </c>
      <c r="BM207" s="255">
        <f>IF(AND(ISNUMBER(BM202),ISNUMBER(BH202)),IFERROR(BM202/BH202-1,""),"")</f>
        <v>0.38109756097561</v>
      </c>
      <c r="BN207" s="255">
        <f>IF(AND(ISNUMBER(BN202),ISNUMBER(BI202)),IFERROR(BN202/BI202-1,""),"")</f>
        <v>0.381316998468606</v>
      </c>
      <c r="BO207" s="255">
        <f>IF(AND(ISNUMBER(BO202),ISNUMBER(BJ202)),IFERROR(BO202/BJ202-1,""),"")</f>
        <v>0.319634703196347</v>
      </c>
      <c r="BP207" s="255">
        <f>IF(AND(ISNUMBER(BP202),ISNUMBER(BK202)),IFERROR(BP202/BK202-1,""),"")</f>
        <v>0.161648177496038</v>
      </c>
      <c r="BQ207" s="255">
        <f>IF(AND(ISNUMBER(BQ202),ISNUMBER(BL202)),IFERROR(BQ202/BL202-1,""),"")</f>
        <v>0.312283403927609</v>
      </c>
      <c r="BR207" s="255">
        <f>IF(AND(ISNUMBER(BR202),ISNUMBER(BM202)),IFERROR(BR202/BM202-1,""),"")</f>
        <v>0.0971302428256071</v>
      </c>
      <c r="BS207" s="255">
        <f>IF(AND(ISNUMBER(BS202),ISNUMBER(BN202)),IFERROR(BS202/BN202-1,""),"")</f>
        <v>0.0709534368070954</v>
      </c>
      <c r="BT207" s="255">
        <f>IF(AND(ISNUMBER(BT202),ISNUMBER(BO202)),IFERROR(BT202/BO202-1,""),"")</f>
        <v>0.224913494809688</v>
      </c>
      <c r="BU207" s="255">
        <f>IF(AND(ISNUMBER(BU202),ISNUMBER(BP202)),IFERROR(BU202/BP202-1,""),"")</f>
        <v>0.255115961800819</v>
      </c>
      <c r="BV207" s="255">
        <f>IF(AND(ISNUMBER(BV202),ISNUMBER(BQ202)),IFERROR(BV202/BQ202-1,""),"")</f>
        <v>0.156690140845071</v>
      </c>
      <c r="BW207" s="255">
        <f>IF(AND(ISNUMBER(BW202),ISNUMBER(BR202)),IFERROR(BW202/BR202-1,""),"")</f>
        <v>0.111670020120724</v>
      </c>
      <c r="BX207" s="255">
        <f>IF(AND(ISNUMBER(BX202),ISNUMBER(BS202)),IFERROR(BX202/BS202-1,""),"")</f>
        <v>0.250517598343685</v>
      </c>
      <c r="BY207" s="256">
        <f>IF(AND(ISNUMBER(BY202),ISNUMBER(BT202)),IFERROR(BY202/BT202-1,""),"")</f>
        <v>0.0125824223706845</v>
      </c>
      <c r="BZ207" s="256">
        <f>IF(AND(ISNUMBER(BZ202),ISNUMBER(BU202)),IFERROR(BZ202/BU202-1,""),"")</f>
        <v>0.0120863726337741</v>
      </c>
      <c r="CA207" s="256">
        <f>IF(AND(ISNUMBER(CA202),ISNUMBER(BV202)),IFERROR(CA202/BV202-1,""),"")</f>
        <v>0.095759004409117</v>
      </c>
      <c r="CB207" s="256">
        <f>IF(AND(ISNUMBER(CB202),ISNUMBER(CA202)),IFERROR(CB202/CA202-1,""),"")</f>
        <v>0.0850619870831597</v>
      </c>
      <c r="CC207" s="256">
        <f>IF(AND(ISNUMBER(CC202),ISNUMBER(CB202)),IFERROR(CC202/CB202-1,""),"")</f>
        <v>0.0781573575596779</v>
      </c>
      <c r="CD207" s="256">
        <f>IF(AND(ISNUMBER(CD202),ISNUMBER(CC202)),IFERROR(CD202/CC202-1,""),"")</f>
        <v>0.0753105645498853</v>
      </c>
      <c r="CE207" s="256">
        <f>IF(AND(ISNUMBER(CE202),ISNUMBER(CD202)),IFERROR(CE202/CD202-1,""),"")</f>
        <v>0.0704611906045927</v>
      </c>
      <c r="CF207" s="153" t="n"/>
    </row>
    <row r="208" ht="15" customHeight="1" s="251">
      <c r="B208" s="25" t="inlineStr">
        <is>
          <t xml:space="preserve">  Incremental Adjusted Operating Margin (Δ AOI / Δ revenue)</t>
        </is>
      </c>
      <c r="C208" s="36" t="n"/>
      <c r="D208" s="215">
        <f>IFERROR((D202-C202)/(D163-C163),"")</f>
        <v>0.385308697611537</v>
      </c>
      <c r="E208" s="215">
        <f>IFERROR((E202-D202)/(E163-D163),"")</f>
        <v>0.800436854646545</v>
      </c>
      <c r="F208" s="215">
        <f>IFERROR((F202-E202)/(F163-E163),"")</f>
        <v>-1.23684210526315</v>
      </c>
      <c r="G208" s="215">
        <f>IFERROR((G202-F202)/(G163-F163),"")</f>
        <v>0.298551959114139</v>
      </c>
      <c r="H208" s="215">
        <f>IFERROR((H202-G202)/(H163-G163),"")</f>
        <v>0.516284680337756</v>
      </c>
      <c r="I208" s="215">
        <f>IFERROR((I202-H202)/(I163-H163),"")</f>
        <v>0.479314946619217</v>
      </c>
      <c r="J208" s="36" t="n"/>
      <c r="K208" s="36" t="n"/>
      <c r="L208" s="36" t="n"/>
      <c r="M208" s="36" t="n"/>
      <c r="N208" s="215">
        <f>IFERROR((N202-I202)/(N163-I163),"")</f>
        <v>0.598265895953757</v>
      </c>
      <c r="O208" s="215">
        <f>IFERROR((O202-J202)/(O163-J163),"")</f>
        <v>1.47175141242938</v>
      </c>
      <c r="P208" s="215">
        <f>IFERROR((P202-K202)/(P163-K163),"")</f>
        <v>0.511489361702128</v>
      </c>
      <c r="Q208" s="215">
        <f>IFERROR((Q202-L202)/(Q163-L163),"")</f>
        <v>0.524412296564196</v>
      </c>
      <c r="R208" s="215">
        <f>IFERROR((R202-M202)/(R163-M163),"")</f>
        <v>0.371312309257376</v>
      </c>
      <c r="S208" s="215">
        <f>IFERROR((S202-N202)/(S163-N163),"")</f>
        <v>0.571310116086236</v>
      </c>
      <c r="T208" s="215">
        <f>IFERROR((T202-O202)/(T163-O163),"")</f>
        <v>0.445121951219512</v>
      </c>
      <c r="U208" s="215">
        <f>IFERROR((U202-P202)/(U163-P163),"")</f>
        <v>0.295964125560539</v>
      </c>
      <c r="V208" s="215">
        <f>IFERROR((V202-Q202)/(V163-Q163),"")</f>
        <v>0.27127659574468</v>
      </c>
      <c r="W208" s="215">
        <f>IFERROR((W202-R202)/(W163-R163),"")</f>
        <v>0.85344827586208</v>
      </c>
      <c r="X208" s="215">
        <f>IFERROR((X202-S202)/(X163-S163),"")</f>
        <v>0.347536617842875</v>
      </c>
      <c r="Y208" s="215">
        <f>IFERROR((Y202-T202)/(Y163-T163),"")</f>
        <v>1.33131313131313</v>
      </c>
      <c r="Z208" s="215">
        <f>IFERROR((Z202-U202)/(Z163-U163),"")</f>
        <v>-0.537037037037051</v>
      </c>
      <c r="AA208" s="215">
        <f>IFERROR((AA202-V202)/(AA163-V163),"")</f>
        <v>0.737226277372262</v>
      </c>
      <c r="AB208" s="215">
        <f>IFERROR((AB202-W202)/(AB163-W163),"")</f>
        <v>0.811023622047247</v>
      </c>
      <c r="AC208" s="215">
        <f>IFERROR((AC202-X202)/(AC163-X163),"")</f>
        <v>0.453634085213031</v>
      </c>
      <c r="AD208" s="215">
        <f>IFERROR((AD202-Y202)/(AD163-Y163),"")</f>
        <v>0.891891891891892</v>
      </c>
      <c r="AE208" s="215">
        <f>IFERROR((AE202-Z202)/(AE163-Z163),"")</f>
        <v>0.776536312849163</v>
      </c>
      <c r="AF208" s="215">
        <f>IFERROR((AF202-AA202)/(AF163-AA163),"")</f>
        <v>0.410836762688615</v>
      </c>
      <c r="AG208" s="215">
        <f>IFERROR((AG202-AB202)/(AG163-AB163),"")</f>
        <v>0.424798567591763</v>
      </c>
      <c r="AH208" s="215">
        <f>IFERROR((AH202-AC202)/(AH163-AC163),"")</f>
        <v>0.581263543923988</v>
      </c>
      <c r="AI208" s="215">
        <f>IFERROR((AI202-AD202)/(AI163-AD163),"")</f>
        <v>0.427722772277227</v>
      </c>
      <c r="AJ208" s="215">
        <f>IFERROR((AJ202-AE202)/(AJ163-AE163),"")</f>
        <v>0.500572737686139</v>
      </c>
      <c r="AK208" s="215">
        <f>IFERROR((AK202-AF202)/(AK163-AF163),"")</f>
        <v>0.877094972067036</v>
      </c>
      <c r="AL208" s="215">
        <f>IFERROR((AL202-AG202)/(AL163-AG163),"")</f>
        <v>0.386148007590133</v>
      </c>
      <c r="AM208" s="215">
        <f>IFERROR((AM202-AH202)/(AM163-AH163),"")</f>
        <v>0.533109807208717</v>
      </c>
      <c r="AN208" s="215">
        <f>IFERROR((AN202-AI202)/(AN163-AI163),"")</f>
        <v>-1.41558441558443</v>
      </c>
      <c r="AO208" s="215">
        <f>IFERROR((AO202-AJ202)/(AO163-AJ163),"")</f>
        <v>0.379220779220783</v>
      </c>
      <c r="AP208" s="215">
        <f>IFERROR((AP202-AK202)/(AP163-AK163),"")</f>
        <v>0.624295554164059</v>
      </c>
      <c r="AQ208" s="215">
        <f>IFERROR((AQ202-AL202)/(AQ163-AL163),"")</f>
        <v>0.469635627530365</v>
      </c>
      <c r="AR208" s="215">
        <f>IFERROR((AR202-AM202)/(AR163-AM163),"")</f>
        <v>0.450168263008025</v>
      </c>
      <c r="AS208" s="215">
        <f>IFERROR((AS202-AN202)/(AS163-AN163),"")</f>
        <v>0.879648411088573</v>
      </c>
      <c r="AT208" s="215">
        <f>IFERROR((AT202-AO202)/(AT163-AO163),"")</f>
        <v>0.754290876242096</v>
      </c>
      <c r="AU208" s="215">
        <f>IFERROR((AU202-AP202)/(AU163-AP163),"")</f>
        <v>0.927272727272727</v>
      </c>
      <c r="AV208" s="215">
        <f>IFERROR((AV202-AQ202)/(AV163-AQ163),"")</f>
        <v>-0.491228070175439</v>
      </c>
      <c r="AW208" s="215">
        <f>IFERROR((AW202-AR202)/(AW163-AR163),"")</f>
        <v>0.693726937269373</v>
      </c>
      <c r="AX208" s="215">
        <f>IFERROR((AX202-AS202)/(AX163-AS163),"")</f>
        <v>0.854838709677419</v>
      </c>
      <c r="AY208" s="215">
        <f>IFERROR((AY202-AT202)/(AY163-AT163),"")</f>
        <v>0.805084745762712</v>
      </c>
      <c r="AZ208" s="215">
        <f>IFERROR((AZ202-AU202)/(AZ163-AU163),"")</f>
        <v>0.0941176470588235</v>
      </c>
      <c r="BA208" s="215">
        <f>IFERROR((BA202-AV202)/(BA163-AV163),"")</f>
        <v>0.232931726907631</v>
      </c>
      <c r="BB208" s="215">
        <f>IFERROR((BB202-AW202)/(BB163-AW163),"")</f>
        <v>0.512396694214876</v>
      </c>
      <c r="BC208" s="215">
        <f>IFERROR((BC202-AX202)/(BC163-AX163),"")</f>
        <v>2.30769230769231</v>
      </c>
      <c r="BD208" s="215">
        <f>IFERROR((BD202-AY202)/(BD163-AY163),"")</f>
        <v>1.40116279069767</v>
      </c>
      <c r="BE208" s="215">
        <f>IFERROR((BE202-AZ202)/(BE163-AZ163),"")</f>
        <v>0.956175298804781</v>
      </c>
      <c r="BF208" s="215">
        <f>IFERROR((BF202-BA202)/(BF163-BA163),"")</f>
        <v>0.449799196787149</v>
      </c>
      <c r="BG208" s="215">
        <f>IFERROR((BG202-BB202)/(BG163-BB163),"")</f>
        <v>1.03066666666667</v>
      </c>
      <c r="BH208" s="215">
        <f>IFERROR((BH202-BC202)/(BH163-BC163),"")</f>
        <v>1.5</v>
      </c>
      <c r="BI208" s="215">
        <f>IFERROR((BI202-BD202)/(BI163-BD163),"")</f>
        <v>0.292035398230089</v>
      </c>
      <c r="BJ208" s="215">
        <f>IFERROR((BJ202-BE202)/(BJ163-BE163),"")</f>
        <v>0.812182741116751</v>
      </c>
      <c r="BK208" s="215">
        <f>IFERROR((BK202-BF202)/(BK163-BF163),"")</f>
        <v>0.810526315789474</v>
      </c>
      <c r="BL208" s="215">
        <f>IFERROR((BL202-BG202)/(BL163-BG163),"")</f>
        <v>0.600446428571429</v>
      </c>
      <c r="BM208" s="215">
        <f>IFERROR((BM202-BH202)/(BM163-BH163),"")</f>
        <v>0.791139240506329</v>
      </c>
      <c r="BN208" s="215">
        <f>IFERROR((BN202-BI202)/(BN163-BI163),"")</f>
        <v>0.770897832817338</v>
      </c>
      <c r="BO208" s="215">
        <f>IFERROR((BO202-BJ202)/(BO163-BJ163),"")</f>
        <v>0.6158357771261</v>
      </c>
      <c r="BP208" s="215">
        <f>IFERROR((BP202-BK202)/(BP163-BK163),"")</f>
        <v>0.53125</v>
      </c>
      <c r="BQ208" s="215">
        <f>IFERROR((BQ202-BL202)/(BQ163-BL163),"")</f>
        <v>0.6919795221843</v>
      </c>
      <c r="BR208" s="215">
        <f>IFERROR((BR202-BM202)/(BR163-BM163),"")</f>
        <v>0.63768115942029</v>
      </c>
      <c r="BS208" s="215">
        <f>IFERROR((BS202-BN202)/(BS163-BN163),"")</f>
        <v>0.790123456790123</v>
      </c>
      <c r="BT208" s="215">
        <f>IFERROR((BT202-BO202)/(BT163-BO163),"")</f>
        <v>1.00515463917526</v>
      </c>
      <c r="BU208" s="215">
        <f>IFERROR((BU202-BP202)/(BU163-BP163),"")</f>
        <v>0.861751152073733</v>
      </c>
      <c r="BV208" s="215">
        <f>IFERROR((BV202-BQ202)/(BV163-BQ163),"")</f>
        <v>0.847619047619048</v>
      </c>
      <c r="BW208" s="215">
        <f>IFERROR((BW202-BR202)/(BW163-BR163),"")</f>
        <v>0.716129032258065</v>
      </c>
      <c r="BX208" s="215">
        <f>IFERROR((BX202-BS202)/(BX163-BS163),"")</f>
        <v>0.843205574912892</v>
      </c>
      <c r="BY208" s="256">
        <f>IFERROR((BY202-BT202)/(BY163-BT163),"")</f>
        <v>0.403782631559015</v>
      </c>
      <c r="BZ208" s="256">
        <f>IFERROR((BZ202-BU202)/(BZ163-BU163),"")</f>
        <v>0.323460049849891</v>
      </c>
      <c r="CA208" s="256">
        <f>IFERROR((CA202-BV202)/(CA163-BV163),"")</f>
        <v>0.740930762126795</v>
      </c>
      <c r="CB208" s="256">
        <f>IFERROR((CB202-CA202)/(CB163-CA163),"")</f>
        <v>0.619630676657431</v>
      </c>
      <c r="CC208" s="256">
        <f>IFERROR((CC202-CB202)/(CC163-CB163),"")</f>
        <v>0.611766164315862</v>
      </c>
      <c r="CD208" s="256">
        <f>IFERROR((CD202-CC202)/(CD163-CC163),"")</f>
        <v>0.625916540994817</v>
      </c>
      <c r="CE208" s="256">
        <f>IFERROR((CE202-CD202)/(CE163-CD163),"")</f>
        <v>0.635493422160383</v>
      </c>
      <c r="CF208" s="153" t="n"/>
    </row>
    <row r="209" ht="15" customHeight="1" s="251">
      <c r="CN209" s="11" t="n"/>
      <c r="CO209" s="12" t="n"/>
      <c r="CP209" s="12" t="n"/>
      <c r="CQ209" s="12" t="n"/>
      <c r="CR209" s="13" t="n"/>
    </row>
    <row r="210" ht="15" customHeight="1" s="251">
      <c r="B210" s="10" t="inlineStr">
        <is>
          <t>RECONCILIATION: NET INCOME → EBITDA → ADJUSTED EBITDA → ADJUSTED EBITA (model definitions)</t>
        </is>
      </c>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c r="AH210" s="10" t="n"/>
      <c r="AI210" s="10" t="n"/>
      <c r="AJ210" s="10" t="n"/>
      <c r="AK210" s="10" t="n"/>
      <c r="AL210" s="10" t="n"/>
      <c r="AM210" s="10" t="n"/>
      <c r="AN210" s="10" t="n"/>
      <c r="AO210" s="10" t="n"/>
      <c r="AP210" s="10" t="n"/>
      <c r="AQ210" s="10" t="n"/>
      <c r="AR210" s="10" t="n"/>
      <c r="AS210" s="10" t="n"/>
      <c r="AT210" s="10" t="n"/>
      <c r="AU210" s="10" t="n"/>
      <c r="AV210" s="10" t="n"/>
      <c r="AW210" s="10" t="n"/>
      <c r="AX210" s="10" t="n"/>
      <c r="AY210" s="10" t="n"/>
      <c r="AZ210" s="10" t="n"/>
      <c r="BA210" s="10" t="n"/>
      <c r="BB210" s="10" t="n"/>
      <c r="BC210" s="10" t="n"/>
      <c r="BD210" s="10" t="n"/>
      <c r="BE210" s="10" t="n"/>
      <c r="BF210" s="10" t="n"/>
      <c r="BG210" s="10" t="n"/>
      <c r="BH210" s="10" t="n"/>
      <c r="BI210" s="10" t="n"/>
      <c r="BJ210" s="10" t="n"/>
      <c r="BK210" s="10" t="n"/>
      <c r="BL210" s="10" t="n"/>
      <c r="BM210" s="10" t="n"/>
      <c r="BN210" s="10" t="n"/>
      <c r="BO210" s="10" t="n"/>
      <c r="BP210" s="10" t="n"/>
      <c r="BQ210" s="10" t="n"/>
      <c r="BR210" s="10" t="n"/>
      <c r="BS210" s="10" t="n"/>
      <c r="BT210" s="10" t="n"/>
      <c r="BU210" s="10" t="n"/>
      <c r="BV210" s="10" t="n"/>
      <c r="BW210" s="10" t="n"/>
      <c r="BX210" s="10" t="n"/>
      <c r="BY210" s="10" t="n"/>
      <c r="BZ210" s="10" t="n"/>
      <c r="CA210" s="10" t="n"/>
      <c r="CB210" s="10" t="n"/>
      <c r="CC210" s="10" t="n"/>
      <c r="CD210" s="10" t="n"/>
      <c r="CE210" s="10" t="n"/>
      <c r="CF210" s="10" t="inlineStr">
        <is>
          <t>EBITDA — model definition (Moody's publishes no EBITDA). Adjusted EBITDA = EBITDA + restructuring + other excluded items = the company's Adjusted Operating Income (same definition).</t>
        </is>
      </c>
    </row>
    <row r="211" ht="15" customHeight="1" s="251">
      <c r="B211" s="16" t="inlineStr">
        <is>
          <t>Net income attributable to Moody's</t>
        </is>
      </c>
      <c r="C211" s="262">
        <f>C182</f>
        <v>753.9</v>
      </c>
      <c r="D211" s="262">
        <f>D182</f>
        <v>701.5</v>
      </c>
      <c r="E211" s="262">
        <f>E182</f>
        <v>457.6</v>
      </c>
      <c r="F211" s="262">
        <f>F182</f>
        <v>402</v>
      </c>
      <c r="G211" s="262">
        <f>G182</f>
        <v>507.8</v>
      </c>
      <c r="H211" s="262">
        <f>H182</f>
        <v>571.4</v>
      </c>
      <c r="I211" s="262">
        <f>I182</f>
        <v>690</v>
      </c>
      <c r="J211" s="262">
        <f>J182</f>
        <v>188.4</v>
      </c>
      <c r="K211" s="262">
        <f>K182</f>
        <v>225.5</v>
      </c>
      <c r="L211" s="262">
        <f>L182</f>
        <v>183.9</v>
      </c>
      <c r="M211" s="262">
        <f>M182</f>
        <v>206.7</v>
      </c>
      <c r="N211" s="262">
        <f>N182</f>
        <v>804.5</v>
      </c>
      <c r="O211" s="262">
        <f>O182</f>
        <v>218</v>
      </c>
      <c r="P211" s="262">
        <f>P182</f>
        <v>319.2</v>
      </c>
      <c r="Q211" s="262">
        <f>Q182</f>
        <v>215.2</v>
      </c>
      <c r="R211" s="262">
        <f>R182</f>
        <v>236.3</v>
      </c>
      <c r="S211" s="262">
        <f>S182</f>
        <v>988.700000000001</v>
      </c>
      <c r="T211" s="262">
        <f>T182</f>
        <v>230.1</v>
      </c>
      <c r="U211" s="262">
        <f>U182</f>
        <v>261.7</v>
      </c>
      <c r="V211" s="262">
        <f>V182</f>
        <v>231.6</v>
      </c>
      <c r="W211" s="262">
        <f>W182</f>
        <v>217.9</v>
      </c>
      <c r="X211" s="262">
        <f>X182</f>
        <v>941.3</v>
      </c>
      <c r="Y211" s="262">
        <f>Y182</f>
        <v>184.4</v>
      </c>
      <c r="Z211" s="262">
        <f>Z182</f>
        <v>255.5</v>
      </c>
      <c r="AA211" s="262">
        <f>AA182</f>
        <v>255.3</v>
      </c>
      <c r="AB211" s="262">
        <f>AB182</f>
        <v>-428.6</v>
      </c>
      <c r="AC211" s="262">
        <f>AC182</f>
        <v>266.6</v>
      </c>
      <c r="AD211" s="262">
        <f>AD182</f>
        <v>345.6</v>
      </c>
      <c r="AE211" s="262">
        <f>AE182</f>
        <v>312.2</v>
      </c>
      <c r="AF211" s="262">
        <f>AF182</f>
        <v>317.3</v>
      </c>
      <c r="AG211" s="262">
        <f>AG182</f>
        <v>25.5000000000001</v>
      </c>
      <c r="AH211" s="262">
        <f>AH182</f>
        <v>1000.6</v>
      </c>
      <c r="AI211" s="262">
        <f>AI182</f>
        <v>372.9</v>
      </c>
      <c r="AJ211" s="262">
        <f>AJ182</f>
        <v>376.2</v>
      </c>
      <c r="AK211" s="262">
        <f>AK182</f>
        <v>310.2</v>
      </c>
      <c r="AL211" s="262">
        <f>AL182</f>
        <v>250.3</v>
      </c>
      <c r="AM211" s="262">
        <f>AM182</f>
        <v>1309.6</v>
      </c>
      <c r="AN211" s="262">
        <f>AN182</f>
        <v>372.9</v>
      </c>
      <c r="AO211" s="262">
        <f>AO182</f>
        <v>310.3</v>
      </c>
      <c r="AP211" s="262">
        <f>AP182</f>
        <v>379.4</v>
      </c>
      <c r="AQ211" s="262">
        <f>AQ182</f>
        <v>359</v>
      </c>
      <c r="AR211" s="262">
        <f>AR182</f>
        <v>1422</v>
      </c>
      <c r="AS211" s="262">
        <f>AS182</f>
        <v>488</v>
      </c>
      <c r="AT211" s="262">
        <f>AT182</f>
        <v>509</v>
      </c>
      <c r="AU211" s="262">
        <f>AU182</f>
        <v>467</v>
      </c>
      <c r="AV211" s="262">
        <f>AV182</f>
        <v>314</v>
      </c>
      <c r="AW211" s="262">
        <f>AW182</f>
        <v>1778</v>
      </c>
      <c r="AX211" s="262">
        <f>AX182</f>
        <v>736</v>
      </c>
      <c r="AY211" s="262">
        <f>AY182</f>
        <v>577</v>
      </c>
      <c r="AZ211" s="262">
        <f>AZ182</f>
        <v>474</v>
      </c>
      <c r="BA211" s="262">
        <f>BA182</f>
        <v>427</v>
      </c>
      <c r="BB211" s="262">
        <f>BB182</f>
        <v>2214</v>
      </c>
      <c r="BC211" s="262">
        <f>BC182</f>
        <v>498</v>
      </c>
      <c r="BD211" s="262">
        <f>BD182</f>
        <v>327</v>
      </c>
      <c r="BE211" s="262">
        <f>BE182</f>
        <v>303</v>
      </c>
      <c r="BF211" s="262">
        <f>BF182</f>
        <v>246</v>
      </c>
      <c r="BG211" s="262">
        <f>BG182</f>
        <v>1374</v>
      </c>
      <c r="BH211" s="262">
        <f>BH182</f>
        <v>501</v>
      </c>
      <c r="BI211" s="262">
        <f>BI182</f>
        <v>377</v>
      </c>
      <c r="BJ211" s="262">
        <f>BJ182</f>
        <v>389</v>
      </c>
      <c r="BK211" s="262">
        <f>BK182</f>
        <v>340</v>
      </c>
      <c r="BL211" s="262">
        <f>BL182</f>
        <v>1607</v>
      </c>
      <c r="BM211" s="262">
        <f>BM182</f>
        <v>577</v>
      </c>
      <c r="BN211" s="262">
        <f>BN182</f>
        <v>552</v>
      </c>
      <c r="BO211" s="262">
        <f>BO182</f>
        <v>534</v>
      </c>
      <c r="BP211" s="262">
        <f>BP182</f>
        <v>395</v>
      </c>
      <c r="BQ211" s="262">
        <f>BQ182</f>
        <v>2058</v>
      </c>
      <c r="BR211" s="262">
        <f>BR182</f>
        <v>625</v>
      </c>
      <c r="BS211" s="262">
        <f>BS182</f>
        <v>578</v>
      </c>
      <c r="BT211" s="262">
        <f>BT182</f>
        <v>646</v>
      </c>
      <c r="BU211" s="262">
        <f>BU182</f>
        <v>610</v>
      </c>
      <c r="BV211" s="262">
        <f>BV182</f>
        <v>2459</v>
      </c>
      <c r="BW211" s="262">
        <f>BW182</f>
        <v>661</v>
      </c>
      <c r="BX211" s="262">
        <f>BX182</f>
        <v>878</v>
      </c>
      <c r="BY211" s="263">
        <f>BY182</f>
        <v>654.395524743827</v>
      </c>
      <c r="BZ211" s="263">
        <f>BZ182</f>
        <v>635.210791745535</v>
      </c>
      <c r="CA211" s="263">
        <f>CA182</f>
        <v>2828.60631648936</v>
      </c>
      <c r="CB211" s="263">
        <f>CB182</f>
        <v>2925.08419353327</v>
      </c>
      <c r="CC211" s="263">
        <f>CC182</f>
        <v>3217.18540650399</v>
      </c>
      <c r="CD211" s="263">
        <f>CD182</f>
        <v>3482.88163585263</v>
      </c>
      <c r="CE211" s="263">
        <f>CE182</f>
        <v>3744.12197509157</v>
      </c>
      <c r="CF211" s="153" t="n"/>
    </row>
    <row r="212" ht="15" customHeight="1" s="251">
      <c r="B212" s="25" t="inlineStr">
        <is>
          <t xml:space="preserve">  (+) Net income attributable to noncontrolling interests</t>
        </is>
      </c>
      <c r="C212" s="261">
        <f>N(C181)</f>
        <v>0</v>
      </c>
      <c r="D212" s="261">
        <f>N(D181)</f>
        <v>0</v>
      </c>
      <c r="E212" s="261">
        <f>N(E181)</f>
        <v>0</v>
      </c>
      <c r="F212" s="261">
        <f>N(F181)</f>
        <v>5.1</v>
      </c>
      <c r="G212" s="261">
        <f>N(G181)</f>
        <v>5.6</v>
      </c>
      <c r="H212" s="261">
        <f>N(H181)</f>
        <v>6.6</v>
      </c>
      <c r="I212" s="261">
        <f>N(I181)</f>
        <v>9.7</v>
      </c>
      <c r="J212" s="261">
        <f>N(J181)</f>
        <v>2.7</v>
      </c>
      <c r="K212" s="261">
        <f>N(K181)</f>
        <v>2.9</v>
      </c>
      <c r="L212" s="261">
        <f>N(L181)</f>
        <v>2.9</v>
      </c>
      <c r="M212" s="261">
        <f>N(M181)</f>
        <v>2.9</v>
      </c>
      <c r="N212" s="261">
        <f>N(N181)</f>
        <v>11.4</v>
      </c>
      <c r="O212" s="261">
        <f>N(O181)</f>
        <v>3.7</v>
      </c>
      <c r="P212" s="261">
        <f>N(P181)</f>
        <v>5.2</v>
      </c>
      <c r="Q212" s="261">
        <f>N(Q181)</f>
        <v>3.3</v>
      </c>
      <c r="R212" s="261">
        <f>N(R181)</f>
        <v>5.1</v>
      </c>
      <c r="S212" s="261">
        <f>N(S181)</f>
        <v>17.3</v>
      </c>
      <c r="T212" s="261">
        <f>N(T181)</f>
        <v>1.2</v>
      </c>
      <c r="U212" s="261">
        <f>N(U181)</f>
        <v>2.4</v>
      </c>
      <c r="V212" s="261">
        <f>N(V181)</f>
        <v>2.2</v>
      </c>
      <c r="W212" s="261">
        <f>N(W181)</f>
        <v>2.5</v>
      </c>
      <c r="X212" s="261">
        <f>N(X181)</f>
        <v>8.3</v>
      </c>
      <c r="Y212" s="261">
        <f>N(Y181)</f>
        <v>2.2</v>
      </c>
      <c r="Z212" s="261">
        <f>N(Z181)</f>
        <v>2.6</v>
      </c>
      <c r="AA212" s="261">
        <f>N(AA181)</f>
        <v>1.3</v>
      </c>
      <c r="AB212" s="261">
        <f>N(AB181)</f>
        <v>3.1</v>
      </c>
      <c r="AC212" s="261">
        <f>N(AC181)</f>
        <v>9.2</v>
      </c>
      <c r="AD212" s="261">
        <f>N(AD181)</f>
        <v>0.3</v>
      </c>
      <c r="AE212" s="261">
        <f>N(AE181)</f>
        <v>1.4</v>
      </c>
      <c r="AF212" s="261">
        <f>N(AF181)</f>
        <v>2.4</v>
      </c>
      <c r="AG212" s="261">
        <f>N(AG181)</f>
        <v>3</v>
      </c>
      <c r="AH212" s="261">
        <f>N(AH181)</f>
        <v>7.1</v>
      </c>
      <c r="AI212" s="261">
        <f>N(AI181)</f>
        <v>3.9</v>
      </c>
      <c r="AJ212" s="261">
        <f>N(AJ181)</f>
        <v>1.7</v>
      </c>
      <c r="AK212" s="261">
        <f>N(AK181)</f>
        <v>1.8</v>
      </c>
      <c r="AL212" s="261">
        <f>N(AL181)</f>
        <v>2.4</v>
      </c>
      <c r="AM212" s="261">
        <f>N(AM181)</f>
        <v>9.8</v>
      </c>
      <c r="AN212" s="261">
        <f>N(AN181)</f>
        <v>0.7</v>
      </c>
      <c r="AO212" s="261">
        <f>N(AO181)</f>
        <v>1.7</v>
      </c>
      <c r="AP212" s="261">
        <f>N(AP181)</f>
        <v>3</v>
      </c>
      <c r="AQ212" s="261">
        <f>N(AQ181)</f>
        <v>2</v>
      </c>
      <c r="AR212" s="261">
        <f>N(AR181)</f>
        <v>7</v>
      </c>
      <c r="AS212" s="261">
        <f>N(AS181)</f>
        <v>-1</v>
      </c>
      <c r="AT212" s="261">
        <f>N(AT181)</f>
        <v>0</v>
      </c>
      <c r="AU212" s="261">
        <f>N(AU181)</f>
        <v>0</v>
      </c>
      <c r="AV212" s="261">
        <f>N(AV181)</f>
        <v>0</v>
      </c>
      <c r="AW212" s="261">
        <f>N(AW181)</f>
        <v>-1</v>
      </c>
      <c r="AX212" s="261">
        <f>N(AX181)</f>
        <v>0</v>
      </c>
      <c r="AY212" s="261">
        <f>N(AY181)</f>
        <v>0</v>
      </c>
      <c r="AZ212" s="261">
        <f>N(AZ181)</f>
        <v>0</v>
      </c>
      <c r="BA212" s="261">
        <f>N(BA181)</f>
        <v>0</v>
      </c>
      <c r="BB212" s="261">
        <f>N(BB181)</f>
        <v>0</v>
      </c>
      <c r="BC212" s="261">
        <f>N(BC181)</f>
        <v>0</v>
      </c>
      <c r="BD212" s="261">
        <f>N(BD181)</f>
        <v>0</v>
      </c>
      <c r="BE212" s="261">
        <f>N(BE181)</f>
        <v>0</v>
      </c>
      <c r="BF212" s="261">
        <f>N(BF181)</f>
        <v>0</v>
      </c>
      <c r="BG212" s="261">
        <f>N(BG181)</f>
        <v>0</v>
      </c>
      <c r="BH212" s="261">
        <f>N(BH181)</f>
        <v>0</v>
      </c>
      <c r="BI212" s="261">
        <f>N(BI181)</f>
        <v>0</v>
      </c>
      <c r="BJ212" s="261">
        <f>N(BJ181)</f>
        <v>1</v>
      </c>
      <c r="BK212" s="261">
        <f>N(BK181)</f>
        <v>0</v>
      </c>
      <c r="BL212" s="261">
        <f>N(BL181)</f>
        <v>1</v>
      </c>
      <c r="BM212" s="261">
        <f>N(BM181)</f>
        <v>0</v>
      </c>
      <c r="BN212" s="261">
        <f>N(BN181)</f>
        <v>1</v>
      </c>
      <c r="BO212" s="261">
        <f>N(BO181)</f>
        <v>0</v>
      </c>
      <c r="BP212" s="261">
        <f>N(BP181)</f>
        <v>0</v>
      </c>
      <c r="BQ212" s="261">
        <f>N(BQ181)</f>
        <v>1</v>
      </c>
      <c r="BR212" s="261">
        <f>N(BR181)</f>
        <v>0</v>
      </c>
      <c r="BS212" s="261">
        <f>N(BS181)</f>
        <v>1</v>
      </c>
      <c r="BT212" s="261">
        <f>N(BT181)</f>
        <v>1</v>
      </c>
      <c r="BU212" s="261">
        <f>N(BU181)</f>
        <v>1</v>
      </c>
      <c r="BV212" s="261">
        <f>N(BV181)</f>
        <v>3</v>
      </c>
      <c r="BW212" s="261">
        <f>N(BW181)</f>
        <v>0</v>
      </c>
      <c r="BX212" s="261">
        <f>N(BX181)</f>
        <v>1</v>
      </c>
      <c r="BY212" s="254">
        <f>N(BY181)</f>
        <v>1</v>
      </c>
      <c r="BZ212" s="254">
        <f>N(BZ181)</f>
        <v>1</v>
      </c>
      <c r="CA212" s="254">
        <f>N(CA181)</f>
        <v>3</v>
      </c>
      <c r="CB212" s="254">
        <f>N(CB181)</f>
        <v>4</v>
      </c>
      <c r="CC212" s="254">
        <f>N(CC181)</f>
        <v>4</v>
      </c>
      <c r="CD212" s="254">
        <f>N(CD181)</f>
        <v>4</v>
      </c>
      <c r="CE212" s="254">
        <f>N(CE181)</f>
        <v>4</v>
      </c>
      <c r="CF212" s="19" t="n"/>
    </row>
    <row r="213" ht="15" customHeight="1" s="251">
      <c r="B213" s="25" t="inlineStr">
        <is>
          <t xml:space="preserve">  (+) Provision for income taxes</t>
        </is>
      </c>
      <c r="C213" s="261">
        <f>C178</f>
        <v>506.6</v>
      </c>
      <c r="D213" s="261">
        <f>D178</f>
        <v>415.2</v>
      </c>
      <c r="E213" s="261">
        <f>E178</f>
        <v>268.2</v>
      </c>
      <c r="F213" s="261">
        <f>F178</f>
        <v>239.1</v>
      </c>
      <c r="G213" s="261">
        <f>G178</f>
        <v>201</v>
      </c>
      <c r="H213" s="261">
        <f>H178</f>
        <v>261.8</v>
      </c>
      <c r="I213" s="261">
        <f>I178</f>
        <v>324.3</v>
      </c>
      <c r="J213" s="261">
        <f>J178</f>
        <v>76.1</v>
      </c>
      <c r="K213" s="261">
        <f>K178</f>
        <v>108.4</v>
      </c>
      <c r="L213" s="261">
        <f>L178</f>
        <v>76.7</v>
      </c>
      <c r="M213" s="261">
        <f>M178</f>
        <v>92.2</v>
      </c>
      <c r="N213" s="261">
        <f>N178</f>
        <v>353.4</v>
      </c>
      <c r="O213" s="261">
        <f>O178</f>
        <v>89.9</v>
      </c>
      <c r="P213" s="261">
        <f>P178</f>
        <v>160.8</v>
      </c>
      <c r="Q213" s="261">
        <f>Q178</f>
        <v>109.9</v>
      </c>
      <c r="R213" s="261">
        <f>R178</f>
        <v>94.4</v>
      </c>
      <c r="S213" s="261">
        <f>S178</f>
        <v>455</v>
      </c>
      <c r="T213" s="261">
        <f>T178</f>
        <v>113.2</v>
      </c>
      <c r="U213" s="261">
        <f>U178</f>
        <v>115.1</v>
      </c>
      <c r="V213" s="261">
        <f>V178</f>
        <v>109.8</v>
      </c>
      <c r="W213" s="261">
        <f>W178</f>
        <v>91.9</v>
      </c>
      <c r="X213" s="261">
        <f>X178</f>
        <v>430</v>
      </c>
      <c r="Y213" s="261">
        <f>Y178</f>
        <v>89</v>
      </c>
      <c r="Z213" s="261">
        <f>Z178</f>
        <v>120.8</v>
      </c>
      <c r="AA213" s="261">
        <f>AA178</f>
        <v>112.4</v>
      </c>
      <c r="AB213" s="261">
        <f>AB178</f>
        <v>-40</v>
      </c>
      <c r="AC213" s="261">
        <f>AC178</f>
        <v>282.2</v>
      </c>
      <c r="AD213" s="261">
        <f>AD178</f>
        <v>105.4</v>
      </c>
      <c r="AE213" s="261">
        <f>AE178</f>
        <v>148.4</v>
      </c>
      <c r="AF213" s="261">
        <f>AF178</f>
        <v>146.1</v>
      </c>
      <c r="AG213" s="261">
        <f>AG178</f>
        <v>379.2</v>
      </c>
      <c r="AH213" s="261">
        <f>AH178</f>
        <v>779.1</v>
      </c>
      <c r="AI213" s="261">
        <f>AI178</f>
        <v>64.3</v>
      </c>
      <c r="AJ213" s="261">
        <f>AJ178</f>
        <v>117.6</v>
      </c>
      <c r="AK213" s="261">
        <f>AK178</f>
        <v>100.8</v>
      </c>
      <c r="AL213" s="261">
        <f>AL178</f>
        <v>68.9</v>
      </c>
      <c r="AM213" s="261">
        <f>AM178</f>
        <v>351.6</v>
      </c>
      <c r="AN213" s="261">
        <f>AN178</f>
        <v>37.9</v>
      </c>
      <c r="AO213" s="261">
        <f>AO178</f>
        <v>121.3</v>
      </c>
      <c r="AP213" s="261">
        <f>AP178</f>
        <v>130.4</v>
      </c>
      <c r="AQ213" s="261">
        <f>AQ178</f>
        <v>91</v>
      </c>
      <c r="AR213" s="261">
        <f>AR178</f>
        <v>381</v>
      </c>
      <c r="AS213" s="261">
        <f>AS178</f>
        <v>77</v>
      </c>
      <c r="AT213" s="261">
        <f>AT178</f>
        <v>157</v>
      </c>
      <c r="AU213" s="261">
        <f>AU178</f>
        <v>132</v>
      </c>
      <c r="AV213" s="261">
        <f>AV178</f>
        <v>86</v>
      </c>
      <c r="AW213" s="261">
        <f>AW178</f>
        <v>452</v>
      </c>
      <c r="AX213" s="261">
        <f>AX178</f>
        <v>126</v>
      </c>
      <c r="AY213" s="261">
        <f>AY178</f>
        <v>181</v>
      </c>
      <c r="AZ213" s="261">
        <f>AZ178</f>
        <v>145</v>
      </c>
      <c r="BA213" s="261">
        <f>BA178</f>
        <v>89</v>
      </c>
      <c r="BB213" s="261">
        <f>BB178</f>
        <v>541</v>
      </c>
      <c r="BC213" s="261">
        <f>BC178</f>
        <v>111</v>
      </c>
      <c r="BD213" s="261">
        <f>BD178</f>
        <v>116</v>
      </c>
      <c r="BE213" s="261">
        <f>BE178</f>
        <v>78</v>
      </c>
      <c r="BF213" s="261">
        <f>BF178</f>
        <v>81</v>
      </c>
      <c r="BG213" s="261">
        <f>BG178</f>
        <v>386</v>
      </c>
      <c r="BH213" s="261">
        <f>BH178</f>
        <v>5</v>
      </c>
      <c r="BI213" s="261">
        <f>BI178</f>
        <v>115</v>
      </c>
      <c r="BJ213" s="261">
        <f>BJ178</f>
        <v>97</v>
      </c>
      <c r="BK213" s="261">
        <f>BK178</f>
        <v>110</v>
      </c>
      <c r="BL213" s="261">
        <f>BL178</f>
        <v>327</v>
      </c>
      <c r="BM213" s="261">
        <f>BM178</f>
        <v>175</v>
      </c>
      <c r="BN213" s="261">
        <f>BN178</f>
        <v>166</v>
      </c>
      <c r="BO213" s="261">
        <f>BO178</f>
        <v>169</v>
      </c>
      <c r="BP213" s="261">
        <f>BP178</f>
        <v>130</v>
      </c>
      <c r="BQ213" s="261">
        <f>BQ178</f>
        <v>640</v>
      </c>
      <c r="BR213" s="261">
        <f>BR178</f>
        <v>179</v>
      </c>
      <c r="BS213" s="261">
        <f>BS178</f>
        <v>193</v>
      </c>
      <c r="BT213" s="261">
        <f>BT178</f>
        <v>220</v>
      </c>
      <c r="BU213" s="261">
        <f>BU178</f>
        <v>76</v>
      </c>
      <c r="BV213" s="261">
        <f>BV178</f>
        <v>668</v>
      </c>
      <c r="BW213" s="261">
        <f>BW178</f>
        <v>209</v>
      </c>
      <c r="BX213" s="261">
        <f>BX178</f>
        <v>292</v>
      </c>
      <c r="BY213" s="254">
        <f>BY178</f>
        <v>206.96700781384</v>
      </c>
      <c r="BZ213" s="254">
        <f>BZ178</f>
        <v>200.908671077537</v>
      </c>
      <c r="CA213" s="254">
        <f>CA178</f>
        <v>908.875678891377</v>
      </c>
      <c r="CB213" s="254">
        <f>CB178</f>
        <v>924.973955852611</v>
      </c>
      <c r="CC213" s="254">
        <f>CC178</f>
        <v>1017.21644415915</v>
      </c>
      <c r="CD213" s="254">
        <f>CD178</f>
        <v>1101.12051658504</v>
      </c>
      <c r="CE213" s="254">
        <f>CE178</f>
        <v>1183.61746581839</v>
      </c>
      <c r="CF213" s="19" t="n"/>
    </row>
    <row r="214" ht="15" customHeight="1" s="251">
      <c r="B214" s="25" t="inlineStr">
        <is>
          <t xml:space="preserve">  (−) Non-operating income / (+) expense (interest, other, divestiture gains)</t>
        </is>
      </c>
      <c r="C214" s="261">
        <f>IF(ISNUMBER(C174),-(C174+C175+N(C176)),"")</f>
        <v>-1</v>
      </c>
      <c r="D214" s="261">
        <f>IF(ISNUMBER(D174),-(D174+D175+N(D176)),"")</f>
        <v>14.3</v>
      </c>
      <c r="E214" s="261">
        <f>IF(ISNUMBER(E174),-(E174+E175+N(E176)),"")</f>
        <v>22.4</v>
      </c>
      <c r="F214" s="261">
        <f>IF(ISNUMBER(F174),-(F174+F175+N(F176)),"")</f>
        <v>41.3</v>
      </c>
      <c r="G214" s="261">
        <f>IF(ISNUMBER(G174),-(G174+G175+N(G176)),"")</f>
        <v>58.4</v>
      </c>
      <c r="H214" s="261">
        <f>IF(ISNUMBER(H174),-(H174+H175+N(H176)),"")</f>
        <v>48.6</v>
      </c>
      <c r="I214" s="261">
        <f>IF(ISNUMBER(I174),-(I174+I175+N(I176)),"")</f>
        <v>53.4</v>
      </c>
      <c r="J214" s="261">
        <f>IF(ISNUMBER(J174),-(J174+J175+N(J176)),"")</f>
        <v>13.2</v>
      </c>
      <c r="K214" s="261">
        <f>IF(ISNUMBER(K174),-(K174+K175+N(K176)),"")</f>
        <v>14</v>
      </c>
      <c r="L214" s="261">
        <f>IF(ISNUMBER(L174),-(L174+L175+N(L176)),"")</f>
        <v>28</v>
      </c>
      <c r="M214" s="261">
        <f>IF(ISNUMBER(M174),-(M174+M175+N(M176)),"")</f>
        <v>10.1</v>
      </c>
      <c r="N214" s="261">
        <f>IF(ISNUMBER(N174),-(N174+N175+N(N176)),"")</f>
        <v>65.3</v>
      </c>
      <c r="O214" s="261">
        <f>IF(ISNUMBER(O174),-(O174+O175+N(O176)),"")</f>
        <v>21.4</v>
      </c>
      <c r="P214" s="261">
        <f>IF(ISNUMBER(P174),-(P174+P175+N(P176)),"")</f>
        <v>-73.5</v>
      </c>
      <c r="Q214" s="261">
        <f>IF(ISNUMBER(Q174),-(Q174+Q175+N(Q176)),"")</f>
        <v>21.3</v>
      </c>
      <c r="R214" s="261">
        <f>IF(ISNUMBER(R174),-(R174+R175+N(R176)),"")</f>
        <v>8.9</v>
      </c>
      <c r="S214" s="261">
        <f>IF(ISNUMBER(S174),-(S174+S175+N(S176)),"")</f>
        <v>-21.9</v>
      </c>
      <c r="T214" s="261">
        <f>IF(ISNUMBER(T174),-(T174+T175+N(T176)),"")</f>
        <v>26.8</v>
      </c>
      <c r="U214" s="261">
        <f>IF(ISNUMBER(U174),-(U174+U175+N(U176)),"")</f>
        <v>40.1</v>
      </c>
      <c r="V214" s="261">
        <f>IF(ISNUMBER(V174),-(V174+V175+N(V176)),"")</f>
        <v>6.1</v>
      </c>
      <c r="W214" s="261">
        <f>IF(ISNUMBER(W174),-(W174+W175+N(W176)),"")</f>
        <v>20.8</v>
      </c>
      <c r="X214" s="261">
        <f>IF(ISNUMBER(X174),-(X174+X175+N(X176)),"")</f>
        <v>93.8</v>
      </c>
      <c r="Y214" s="261">
        <f>IF(ISNUMBER(Y174),-(Y174+Y175+N(Y176)),"")</f>
        <v>28.5</v>
      </c>
      <c r="Z214" s="261">
        <f>IF(ISNUMBER(Z174),-(Z174+Z175+N(Z176)),"")</f>
        <v>31.3</v>
      </c>
      <c r="AA214" s="261">
        <f>IF(ISNUMBER(AA174),-(AA174+AA175+N(AA176)),"")</f>
        <v>28.5</v>
      </c>
      <c r="AB214" s="261">
        <f>IF(ISNUMBER(AB174),-(AB174+AB175+N(AB176)),"")</f>
        <v>-7.6</v>
      </c>
      <c r="AC214" s="261">
        <f>IF(ISNUMBER(AC174),-(AC174+AC175+N(AC176)),"")</f>
        <v>80.7</v>
      </c>
      <c r="AD214" s="261">
        <f>IF(ISNUMBER(AD174),-(AD174+AD175+N(AD176)),"")</f>
        <v>-7.90000000000001</v>
      </c>
      <c r="AE214" s="261">
        <f>IF(ISNUMBER(AE174),-(AE174+AE175+N(AE176)),"")</f>
        <v>-4.5</v>
      </c>
      <c r="AF214" s="261">
        <f>IF(ISNUMBER(AF174),-(AF174+AF175+N(AF176)),"")</f>
        <v>-20.4</v>
      </c>
      <c r="AG214" s="261">
        <f>IF(ISNUMBER(AG174),-(AG174+AG175+N(AG176)),"")</f>
        <v>55.1</v>
      </c>
      <c r="AH214" s="261">
        <f>IF(ISNUMBER(AH174),-(AH174+AH175+N(AH176)),"")</f>
        <v>22.3</v>
      </c>
      <c r="AI214" s="261">
        <f>IF(ISNUMBER(AI174),-(AI174+AI175+N(AI176)),"")</f>
        <v>49.7</v>
      </c>
      <c r="AJ214" s="261">
        <f>IF(ISNUMBER(AJ174),-(AJ174+AJ175+N(AJ176)),"")</f>
        <v>38.5</v>
      </c>
      <c r="AK214" s="261">
        <f>IF(ISNUMBER(AK174),-(AK174+AK175+N(AK176)),"")</f>
        <v>54</v>
      </c>
      <c r="AL214" s="261">
        <f>IF(ISNUMBER(AL174),-(AL174+AL175+N(AL176)),"")</f>
        <v>55</v>
      </c>
      <c r="AM214" s="261">
        <f>IF(ISNUMBER(AM174),-(AM174+AM175+N(AM176)),"")</f>
        <v>197.2</v>
      </c>
      <c r="AN214" s="261">
        <f>IF(ISNUMBER(AN174),-(AN174+AN175+N(AN176)),"")</f>
        <v>50.2</v>
      </c>
      <c r="AO214" s="261">
        <f>IF(ISNUMBER(AO174),-(AO174+AO175+N(AO176)),"")</f>
        <v>50.2</v>
      </c>
      <c r="AP214" s="261">
        <f>IF(ISNUMBER(AP174),-(AP174+AP175+N(AP176)),"")</f>
        <v>36</v>
      </c>
      <c r="AQ214" s="261">
        <f>IF(ISNUMBER(AQ174),-(AQ174+AQ175+N(AQ176)),"")</f>
        <v>52</v>
      </c>
      <c r="AR214" s="261">
        <f>IF(ISNUMBER(AR174),-(AR174+AR175+N(AR176)),"")</f>
        <v>188</v>
      </c>
      <c r="AS214" s="261">
        <f>IF(ISNUMBER(AS174),-(AS174+AS175+N(AS176)),"")</f>
        <v>28</v>
      </c>
      <c r="AT214" s="261">
        <f>IF(ISNUMBER(AT174),-(AT174+AT175+N(AT176)),"")</f>
        <v>44</v>
      </c>
      <c r="AU214" s="261">
        <f>IF(ISNUMBER(AU174),-(AU174+AU175+N(AU176)),"")</f>
        <v>43</v>
      </c>
      <c r="AV214" s="261">
        <f>IF(ISNUMBER(AV174),-(AV174+AV175+N(AV176)),"")</f>
        <v>44</v>
      </c>
      <c r="AW214" s="261">
        <f>IF(ISNUMBER(AW174),-(AW174+AW175+N(AW176)),"")</f>
        <v>159</v>
      </c>
      <c r="AX214" s="261">
        <f>IF(ISNUMBER(AX174),-(AX174+AX175+N(AX176)),"")</f>
        <v>-9</v>
      </c>
      <c r="AY214" s="261">
        <f>IF(ISNUMBER(AY174),-(AY174+AY175+N(AY176)),"")</f>
        <v>43</v>
      </c>
      <c r="AZ214" s="261">
        <f>IF(ISNUMBER(AZ174),-(AZ174+AZ175+N(AZ176)),"")</f>
        <v>57</v>
      </c>
      <c r="BA214" s="261">
        <f>IF(ISNUMBER(BA174),-(BA174+BA175+N(BA176)),"")</f>
        <v>-2</v>
      </c>
      <c r="BB214" s="261">
        <f>IF(ISNUMBER(BB174),-(BB174+BB175+N(BB176)),"")</f>
        <v>89</v>
      </c>
      <c r="BC214" s="261">
        <f>IF(ISNUMBER(BC174),-(BC174+BC175+N(BC176)),"")</f>
        <v>47</v>
      </c>
      <c r="BD214" s="261">
        <f>IF(ISNUMBER(BD174),-(BD174+BD175+N(BD176)),"")</f>
        <v>65</v>
      </c>
      <c r="BE214" s="261">
        <f>IF(ISNUMBER(BE174),-(BE174+BE175+N(BE176)),"")</f>
        <v>32</v>
      </c>
      <c r="BF214" s="261">
        <f>IF(ISNUMBER(BF174),-(BF174+BF175+N(BF176)),"")</f>
        <v>-21</v>
      </c>
      <c r="BG214" s="261">
        <f>IF(ISNUMBER(BG174),-(BG174+BG175+N(BG176)),"")</f>
        <v>123</v>
      </c>
      <c r="BH214" s="261">
        <f>IF(ISNUMBER(BH174),-(BH174+BH175+N(BH176)),"")</f>
        <v>48</v>
      </c>
      <c r="BI214" s="261">
        <f>IF(ISNUMBER(BI174),-(BI174+BI175+N(BI176)),"")</f>
        <v>58</v>
      </c>
      <c r="BJ214" s="261">
        <f>IF(ISNUMBER(BJ174),-(BJ174+BJ175+N(BJ176)),"")</f>
        <v>48</v>
      </c>
      <c r="BK214" s="261">
        <f>IF(ISNUMBER(BK174),-(BK174+BK175+N(BK176)),"")</f>
        <v>48</v>
      </c>
      <c r="BL214" s="261">
        <f>IF(ISNUMBER(BL174),-(BL174+BL175+N(BL176)),"")</f>
        <v>202</v>
      </c>
      <c r="BM214" s="261">
        <f>IF(ISNUMBER(BM174),-(BM174+BM175+N(BM176)),"")</f>
        <v>49</v>
      </c>
      <c r="BN214" s="261">
        <f>IF(ISNUMBER(BN174),-(BN174+BN175+N(BN176)),"")</f>
        <v>56</v>
      </c>
      <c r="BO214" s="261">
        <f>IF(ISNUMBER(BO174),-(BO174+BO175+N(BO176)),"")</f>
        <v>35</v>
      </c>
      <c r="BP214" s="261">
        <f>IF(ISNUMBER(BP174),-(BP174+BP175+N(BP176)),"")</f>
        <v>36</v>
      </c>
      <c r="BQ214" s="261">
        <f>IF(ISNUMBER(BQ174),-(BQ174+BQ175+N(BQ176)),"")</f>
        <v>176</v>
      </c>
      <c r="BR214" s="261">
        <f>IF(ISNUMBER(BR174),-(BR174+BR175+N(BR176)),"")</f>
        <v>42</v>
      </c>
      <c r="BS214" s="261">
        <f>IF(ISNUMBER(BS174),-(BS174+BS175+N(BS176)),"")</f>
        <v>46</v>
      </c>
      <c r="BT214" s="261">
        <f>IF(ISNUMBER(BT174),-(BT174+BT175+N(BT176)),"")</f>
        <v>50</v>
      </c>
      <c r="BU214" s="261">
        <f>IF(ISNUMBER(BU174),-(BU174+BU175+N(BU176)),"")</f>
        <v>83</v>
      </c>
      <c r="BV214" s="261">
        <f>IF(ISNUMBER(BV174),-(BV174+BV175+N(BV176)),"")</f>
        <v>221</v>
      </c>
      <c r="BW214" s="261">
        <f>IF(ISNUMBER(BW174),-(BW174+BW175+N(BW176)),"")</f>
        <v>52</v>
      </c>
      <c r="BX214" s="261">
        <f>IF(ISNUMBER(BX174),-(BX174+BX175+N(BX176)),"")</f>
        <v>-125</v>
      </c>
      <c r="BY214" s="254">
        <f>IF(ISNUMBER(BY174),-(BY174+BY175+N(BY176)),"")</f>
        <v>53</v>
      </c>
      <c r="BZ214" s="254">
        <f>IF(ISNUMBER(BZ174),-(BZ174+BZ175+N(BZ176)),"")</f>
        <v>-66</v>
      </c>
      <c r="CA214" s="254">
        <f>IF(ISNUMBER(CA174),-(CA174+CA175+N(CA176)),"")</f>
        <v>-86</v>
      </c>
      <c r="CB214" s="254">
        <f>IF(ISNUMBER(CB174),-(CB174+CB175+N(CB176)),"")</f>
        <v>237.644984371583</v>
      </c>
      <c r="CC214" s="254">
        <f>IF(ISNUMBER(CC174),-(CC174+CC175+N(CC176)),"")</f>
        <v>276.308642926944</v>
      </c>
      <c r="CD214" s="254">
        <f>IF(ISNUMBER(CD174),-(CD174+CD175+N(CD176)),"")</f>
        <v>301.412547076398</v>
      </c>
      <c r="CE214" s="254">
        <f>IF(ISNUMBER(CE174),-(CE174+CE175+N(CE176)),"")</f>
        <v>336.318571896617</v>
      </c>
      <c r="CF214" s="19" t="n"/>
    </row>
    <row r="215" ht="15" customHeight="1" s="251">
      <c r="B215" s="16" t="inlineStr">
        <is>
          <t xml:space="preserve">  = EBIT (operating income)</t>
        </is>
      </c>
      <c r="C215" s="262">
        <f>IF(ISNUMBER(C211),C211+C212+C213+C214,"")</f>
        <v>1259.5</v>
      </c>
      <c r="D215" s="262">
        <f>IF(ISNUMBER(D211),D211+D212+D213+D214,"")</f>
        <v>1131</v>
      </c>
      <c r="E215" s="262">
        <f>IF(ISNUMBER(E211),E211+E212+E213+E214,"")</f>
        <v>748.2</v>
      </c>
      <c r="F215" s="262">
        <f>IF(ISNUMBER(F211),F211+F212+F213+F214,"")</f>
        <v>687.5</v>
      </c>
      <c r="G215" s="262">
        <f>IF(ISNUMBER(G211),G211+G212+G213+G214,"")</f>
        <v>772.8</v>
      </c>
      <c r="H215" s="262">
        <f>IF(ISNUMBER(H211),H211+H212+H213+H214,"")</f>
        <v>888.4</v>
      </c>
      <c r="I215" s="262">
        <f>IF(ISNUMBER(I211),I211+I212+I213+I214,"")</f>
        <v>1077.4</v>
      </c>
      <c r="J215" s="262">
        <f>IF(ISNUMBER(J211),J211+J212+J213+J214,"")</f>
        <v>280.4</v>
      </c>
      <c r="K215" s="262">
        <f>IF(ISNUMBER(K211),K211+K212+K213+K214,"")</f>
        <v>350.8</v>
      </c>
      <c r="L215" s="262">
        <f>IF(ISNUMBER(L211),L211+L212+L213+L214,"")</f>
        <v>291.5</v>
      </c>
      <c r="M215" s="262">
        <f>IF(ISNUMBER(M211),M211+M212+M213+M214,"")</f>
        <v>311.9</v>
      </c>
      <c r="N215" s="262">
        <f>IF(ISNUMBER(N211),N211+N212+N213+N214,"")</f>
        <v>1234.6</v>
      </c>
      <c r="O215" s="262">
        <f>IF(ISNUMBER(O211),O211+O212+O213+O214,"")</f>
        <v>333</v>
      </c>
      <c r="P215" s="262">
        <f>IF(ISNUMBER(P211),P211+P212+P213+P214,"")</f>
        <v>411.7</v>
      </c>
      <c r="Q215" s="262">
        <f>IF(ISNUMBER(Q211),Q211+Q212+Q213+Q214,"")</f>
        <v>349.7</v>
      </c>
      <c r="R215" s="262">
        <f>IF(ISNUMBER(R211),R211+R212+R213+R214,"")</f>
        <v>344.7</v>
      </c>
      <c r="S215" s="262">
        <f>IF(ISNUMBER(S211),S211+S212+S213+S214,"")</f>
        <v>1439.1</v>
      </c>
      <c r="T215" s="262">
        <f>IF(ISNUMBER(T211),T211+T212+T213+T214,"")</f>
        <v>371.3</v>
      </c>
      <c r="U215" s="262">
        <f>IF(ISNUMBER(U211),U211+U212+U213+U214,"")</f>
        <v>419.3</v>
      </c>
      <c r="V215" s="262">
        <f>IF(ISNUMBER(V211),V211+V212+V213+V214,"")</f>
        <v>349.7</v>
      </c>
      <c r="W215" s="262">
        <f>IF(ISNUMBER(W211),W211+W212+W213+W214,"")</f>
        <v>333.1</v>
      </c>
      <c r="X215" s="262">
        <f>IF(ISNUMBER(X211),X211+X212+X213+X214,"")</f>
        <v>1473.4</v>
      </c>
      <c r="Y215" s="262">
        <f>IF(ISNUMBER(Y211),Y211+Y212+Y213+Y214,"")</f>
        <v>304.1</v>
      </c>
      <c r="Z215" s="262">
        <f>IF(ISNUMBER(Z211),Z211+Z212+Z213+Z214,"")</f>
        <v>410.2</v>
      </c>
      <c r="AA215" s="262">
        <f>IF(ISNUMBER(AA211),AA211+AA212+AA213+AA214,"")</f>
        <v>397.5</v>
      </c>
      <c r="AB215" s="262">
        <f>IF(ISNUMBER(AB211),AB211+AB212+AB213+AB214,"")</f>
        <v>-473.1</v>
      </c>
      <c r="AC215" s="262">
        <f>IF(ISNUMBER(AC211),AC211+AC212+AC213+AC214,"")</f>
        <v>638.7</v>
      </c>
      <c r="AD215" s="262">
        <f>IF(ISNUMBER(AD211),AD211+AD212+AD213+AD214,"")</f>
        <v>443.4</v>
      </c>
      <c r="AE215" s="262">
        <f>IF(ISNUMBER(AE211),AE211+AE212+AE213+AE214,"")</f>
        <v>457.5</v>
      </c>
      <c r="AF215" s="262">
        <f>IF(ISNUMBER(AF211),AF211+AF212+AF213+AF214,"")</f>
        <v>445.4</v>
      </c>
      <c r="AG215" s="262">
        <f>IF(ISNUMBER(AG211),AG211+AG212+AG213+AG214,"")</f>
        <v>462.8</v>
      </c>
      <c r="AH215" s="262">
        <f>IF(ISNUMBER(AH211),AH211+AH212+AH213+AH214,"")</f>
        <v>1809.1</v>
      </c>
      <c r="AI215" s="262">
        <f>IF(ISNUMBER(AI211),AI211+AI212+AI213+AI214,"")</f>
        <v>490.8</v>
      </c>
      <c r="AJ215" s="262">
        <f>IF(ISNUMBER(AJ211),AJ211+AJ212+AJ213+AJ214,"")</f>
        <v>534</v>
      </c>
      <c r="AK215" s="262">
        <f>IF(ISNUMBER(AK211),AK211+AK212+AK213+AK214,"")</f>
        <v>466.8</v>
      </c>
      <c r="AL215" s="262">
        <f>IF(ISNUMBER(AL211),AL211+AL212+AL213+AL214,"")</f>
        <v>376.6</v>
      </c>
      <c r="AM215" s="262">
        <f>IF(ISNUMBER(AM211),AM211+AM212+AM213+AM214,"")</f>
        <v>1868.2</v>
      </c>
      <c r="AN215" s="262">
        <f>IF(ISNUMBER(AN211),AN211+AN212+AN213+AN214,"")</f>
        <v>461.7</v>
      </c>
      <c r="AO215" s="262">
        <f>IF(ISNUMBER(AO211),AO211+AO212+AO213+AO214,"")</f>
        <v>483.5</v>
      </c>
      <c r="AP215" s="262">
        <f>IF(ISNUMBER(AP211),AP211+AP212+AP213+AP214,"")</f>
        <v>548.8</v>
      </c>
      <c r="AQ215" s="262">
        <f>IF(ISNUMBER(AQ211),AQ211+AQ212+AQ213+AQ214,"")</f>
        <v>504</v>
      </c>
      <c r="AR215" s="262">
        <f>IF(ISNUMBER(AR211),AR211+AR212+AR213+AR214,"")</f>
        <v>1998</v>
      </c>
      <c r="AS215" s="262">
        <f>IF(ISNUMBER(AS211),AS211+AS212+AS213+AS214,"")</f>
        <v>592</v>
      </c>
      <c r="AT215" s="262">
        <f>IF(ISNUMBER(AT211),AT211+AT212+AT213+AT214,"")</f>
        <v>710</v>
      </c>
      <c r="AU215" s="262">
        <f>IF(ISNUMBER(AU211),AU211+AU212+AU213+AU214,"")</f>
        <v>642</v>
      </c>
      <c r="AV215" s="262">
        <f>IF(ISNUMBER(AV211),AV211+AV212+AV213+AV214,"")</f>
        <v>444</v>
      </c>
      <c r="AW215" s="262">
        <f>IF(ISNUMBER(AW211),AW211+AW212+AW213+AW214,"")</f>
        <v>2388</v>
      </c>
      <c r="AX215" s="262">
        <f>IF(ISNUMBER(AX211),AX211+AX212+AX213+AX214,"")</f>
        <v>853</v>
      </c>
      <c r="AY215" s="262">
        <f>IF(ISNUMBER(AY211),AY211+AY212+AY213+AY214,"")</f>
        <v>801</v>
      </c>
      <c r="AZ215" s="262">
        <f>IF(ISNUMBER(AZ211),AZ211+AZ212+AZ213+AZ214,"")</f>
        <v>676</v>
      </c>
      <c r="BA215" s="262">
        <f>IF(ISNUMBER(BA211),BA211+BA212+BA213+BA214,"")</f>
        <v>514</v>
      </c>
      <c r="BB215" s="262">
        <f>IF(ISNUMBER(BB211),BB211+BB212+BB213+BB214,"")</f>
        <v>2844</v>
      </c>
      <c r="BC215" s="262">
        <f>IF(ISNUMBER(BC211),BC211+BC212+BC213+BC214,"")</f>
        <v>656</v>
      </c>
      <c r="BD215" s="262">
        <f>IF(ISNUMBER(BD211),BD211+BD212+BD213+BD214,"")</f>
        <v>508</v>
      </c>
      <c r="BE215" s="262">
        <f>IF(ISNUMBER(BE211),BE211+BE212+BE213+BE214,"")</f>
        <v>413</v>
      </c>
      <c r="BF215" s="262">
        <f>IF(ISNUMBER(BF211),BF211+BF212+BF213+BF214,"")</f>
        <v>306</v>
      </c>
      <c r="BG215" s="262">
        <f>IF(ISNUMBER(BG211),BG211+BG212+BG213+BG214,"")</f>
        <v>1883</v>
      </c>
      <c r="BH215" s="262">
        <f>IF(ISNUMBER(BH211),BH211+BH212+BH213+BH214,"")</f>
        <v>554</v>
      </c>
      <c r="BI215" s="262">
        <f>IF(ISNUMBER(BI211),BI211+BI212+BI213+BI214,"")</f>
        <v>550</v>
      </c>
      <c r="BJ215" s="262">
        <f>IF(ISNUMBER(BJ211),BJ211+BJ212+BJ213+BJ214,"")</f>
        <v>535</v>
      </c>
      <c r="BK215" s="262">
        <f>IF(ISNUMBER(BK211),BK211+BK212+BK213+BK214,"")</f>
        <v>498</v>
      </c>
      <c r="BL215" s="262">
        <f>IF(ISNUMBER(BL211),BL211+BL212+BL213+BL214,"")</f>
        <v>2137</v>
      </c>
      <c r="BM215" s="262">
        <f>IF(ISNUMBER(BM211),BM211+BM212+BM213+BM214,"")</f>
        <v>801</v>
      </c>
      <c r="BN215" s="262">
        <f>IF(ISNUMBER(BN211),BN211+BN212+BN213+BN214,"")</f>
        <v>775</v>
      </c>
      <c r="BO215" s="262">
        <f>IF(ISNUMBER(BO211),BO211+BO212+BO213+BO214,"")</f>
        <v>738</v>
      </c>
      <c r="BP215" s="262">
        <f>IF(ISNUMBER(BP211),BP211+BP212+BP213+BP214,"")</f>
        <v>561</v>
      </c>
      <c r="BQ215" s="262">
        <f>IF(ISNUMBER(BQ211),BQ211+BQ212+BQ213+BQ214,"")</f>
        <v>2875</v>
      </c>
      <c r="BR215" s="262">
        <f>IF(ISNUMBER(BR211),BR211+BR212+BR213+BR214,"")</f>
        <v>846</v>
      </c>
      <c r="BS215" s="262">
        <f>IF(ISNUMBER(BS211),BS211+BS212+BS213+BS214,"")</f>
        <v>818</v>
      </c>
      <c r="BT215" s="262">
        <f>IF(ISNUMBER(BT211),BT211+BT212+BT213+BT214,"")</f>
        <v>917</v>
      </c>
      <c r="BU215" s="262">
        <f>IF(ISNUMBER(BU211),BU211+BU212+BU213+BU214,"")</f>
        <v>770</v>
      </c>
      <c r="BV215" s="262">
        <f>IF(ISNUMBER(BV211),BV211+BV212+BV213+BV214,"")</f>
        <v>3351</v>
      </c>
      <c r="BW215" s="262">
        <f>IF(ISNUMBER(BW211),BW211+BW212+BW213+BW214,"")</f>
        <v>922</v>
      </c>
      <c r="BX215" s="262">
        <f>IF(ISNUMBER(BX211),BX211+BX212+BX213+BX214,"")</f>
        <v>1046</v>
      </c>
      <c r="BY215" s="263">
        <f>IF(ISNUMBER(BY211),BY211+BY212+BY213+BY214,"")</f>
        <v>915.362532557667</v>
      </c>
      <c r="BZ215" s="263">
        <f>IF(ISNUMBER(BZ211),BZ211+BZ212+BZ213+BZ214,"")</f>
        <v>771.119462823072</v>
      </c>
      <c r="CA215" s="263">
        <f>IF(ISNUMBER(CA211),CA211+CA212+CA213+CA214,"")</f>
        <v>3654.48199538074</v>
      </c>
      <c r="CB215" s="263">
        <f>IF(ISNUMBER(CB211),CB211+CB212+CB213+CB214,"")</f>
        <v>4091.70313375746</v>
      </c>
      <c r="CC215" s="263">
        <f>IF(ISNUMBER(CC211),CC211+CC212+CC213+CC214,"")</f>
        <v>4514.71049359008</v>
      </c>
      <c r="CD215" s="263">
        <f>IF(ISNUMBER(CD211),CD211+CD212+CD213+CD214,"")</f>
        <v>4889.41469951407</v>
      </c>
      <c r="CE215" s="263">
        <f>IF(ISNUMBER(CE211),CE211+CE212+CE213+CE214,"")</f>
        <v>5268.05801280658</v>
      </c>
      <c r="CF215" s="153" t="n"/>
    </row>
    <row r="216" ht="15" customHeight="1" s="251">
      <c r="B216" s="25" t="inlineStr">
        <is>
          <t xml:space="preserve">  (+) Depreciation &amp; amortization</t>
        </is>
      </c>
      <c r="C216" s="261">
        <f>C149</f>
        <v>39.5</v>
      </c>
      <c r="D216" s="261">
        <f>D149</f>
        <v>42.9</v>
      </c>
      <c r="E216" s="261">
        <f>E149</f>
        <v>75.1</v>
      </c>
      <c r="F216" s="261">
        <f>F149</f>
        <v>64.1</v>
      </c>
      <c r="G216" s="261">
        <f>G149</f>
        <v>66.3</v>
      </c>
      <c r="H216" s="261">
        <f>H149</f>
        <v>79.2</v>
      </c>
      <c r="I216" s="261">
        <f>I149</f>
        <v>93.5</v>
      </c>
      <c r="J216" s="261">
        <f>J149</f>
        <v>23.6</v>
      </c>
      <c r="K216" s="261">
        <f>K149</f>
        <v>23.1</v>
      </c>
      <c r="L216" s="261">
        <f>L149</f>
        <v>23.4</v>
      </c>
      <c r="M216" s="261">
        <f>M149</f>
        <v>23.3</v>
      </c>
      <c r="N216" s="261">
        <f>N149</f>
        <v>93.4</v>
      </c>
      <c r="O216" s="261">
        <f>O149</f>
        <v>23.1</v>
      </c>
      <c r="P216" s="261">
        <f>P149</f>
        <v>22.3</v>
      </c>
      <c r="Q216" s="261">
        <f>Q149</f>
        <v>23.2</v>
      </c>
      <c r="R216" s="261">
        <f>R149</f>
        <v>27</v>
      </c>
      <c r="S216" s="261">
        <f>S149</f>
        <v>95.6</v>
      </c>
      <c r="T216" s="261">
        <f>T149</f>
        <v>28.6</v>
      </c>
      <c r="U216" s="261">
        <f>U149</f>
        <v>27.9</v>
      </c>
      <c r="V216" s="261">
        <f>V149</f>
        <v>28.3</v>
      </c>
      <c r="W216" s="261">
        <f>W149</f>
        <v>28.7</v>
      </c>
      <c r="X216" s="261">
        <f>X149</f>
        <v>113.5</v>
      </c>
      <c r="Y216" s="261">
        <f>Y149</f>
        <v>29.9</v>
      </c>
      <c r="Z216" s="261">
        <f>Z149</f>
        <v>31.2</v>
      </c>
      <c r="AA216" s="261">
        <f>AA149</f>
        <v>32.7</v>
      </c>
      <c r="AB216" s="261">
        <f>AB149</f>
        <v>32.9</v>
      </c>
      <c r="AC216" s="261">
        <f>AC149</f>
        <v>126.7</v>
      </c>
      <c r="AD216" s="261">
        <f>AD149</f>
        <v>32.5</v>
      </c>
      <c r="AE216" s="261">
        <f>AE149</f>
        <v>32.9</v>
      </c>
      <c r="AF216" s="261">
        <f>AF149</f>
        <v>43</v>
      </c>
      <c r="AG216" s="261">
        <f>AG149</f>
        <v>49.9</v>
      </c>
      <c r="AH216" s="261">
        <f>AH149</f>
        <v>158.3</v>
      </c>
      <c r="AI216" s="261">
        <f>AI149</f>
        <v>49.1</v>
      </c>
      <c r="AJ216" s="261">
        <f>AJ149</f>
        <v>48.4</v>
      </c>
      <c r="AK216" s="261">
        <f>AK149</f>
        <v>46.1</v>
      </c>
      <c r="AL216" s="261">
        <f>AL149</f>
        <v>48.3</v>
      </c>
      <c r="AM216" s="261">
        <f>AM149</f>
        <v>191.9</v>
      </c>
      <c r="AN216" s="261">
        <f>AN149</f>
        <v>50.3</v>
      </c>
      <c r="AO216" s="261">
        <f>AO149</f>
        <v>51</v>
      </c>
      <c r="AP216" s="261">
        <f>AP149</f>
        <v>48.6</v>
      </c>
      <c r="AQ216" s="261">
        <f>AQ149</f>
        <v>50</v>
      </c>
      <c r="AR216" s="261">
        <f>AR149</f>
        <v>200</v>
      </c>
      <c r="AS216" s="261">
        <f>AS149</f>
        <v>49</v>
      </c>
      <c r="AT216" s="261">
        <f>AT149</f>
        <v>58</v>
      </c>
      <c r="AU216" s="261">
        <f>AU149</f>
        <v>56</v>
      </c>
      <c r="AV216" s="261">
        <f>AV149</f>
        <v>57</v>
      </c>
      <c r="AW216" s="261">
        <f>AW149</f>
        <v>220</v>
      </c>
      <c r="AX216" s="261">
        <f>AX149</f>
        <v>59</v>
      </c>
      <c r="AY216" s="261">
        <f>AY149</f>
        <v>60</v>
      </c>
      <c r="AZ216" s="261">
        <f>AZ149</f>
        <v>61</v>
      </c>
      <c r="BA216" s="261">
        <f>BA149</f>
        <v>77</v>
      </c>
      <c r="BB216" s="261">
        <f>BB149</f>
        <v>257</v>
      </c>
      <c r="BC216" s="261">
        <f>BC149</f>
        <v>78</v>
      </c>
      <c r="BD216" s="261">
        <f>BD149</f>
        <v>81</v>
      </c>
      <c r="BE216" s="261">
        <f>BE149</f>
        <v>83</v>
      </c>
      <c r="BF216" s="261">
        <f>BF149</f>
        <v>89</v>
      </c>
      <c r="BG216" s="261">
        <f>BG149</f>
        <v>331</v>
      </c>
      <c r="BH216" s="261">
        <f>BH149</f>
        <v>88</v>
      </c>
      <c r="BI216" s="261">
        <f>BI149</f>
        <v>93</v>
      </c>
      <c r="BJ216" s="261">
        <f>BJ149</f>
        <v>95</v>
      </c>
      <c r="BK216" s="261">
        <f>BK149</f>
        <v>97</v>
      </c>
      <c r="BL216" s="261">
        <f>BL149</f>
        <v>373</v>
      </c>
      <c r="BM216" s="261">
        <f>BM149</f>
        <v>100</v>
      </c>
      <c r="BN216" s="261">
        <f>BN149</f>
        <v>110</v>
      </c>
      <c r="BO216" s="261">
        <f>BO149</f>
        <v>108</v>
      </c>
      <c r="BP216" s="261">
        <f>BP149</f>
        <v>113</v>
      </c>
      <c r="BQ216" s="261">
        <f>BQ149</f>
        <v>431</v>
      </c>
      <c r="BR216" s="261">
        <f>BR149</f>
        <v>113</v>
      </c>
      <c r="BS216" s="261">
        <f>BS149</f>
        <v>120</v>
      </c>
      <c r="BT216" s="261">
        <f>BT149</f>
        <v>123</v>
      </c>
      <c r="BU216" s="261">
        <f>BU149</f>
        <v>124</v>
      </c>
      <c r="BV216" s="261">
        <f>BV149</f>
        <v>480</v>
      </c>
      <c r="BW216" s="261">
        <f>BW149</f>
        <v>122</v>
      </c>
      <c r="BX216" s="261">
        <f>BX149</f>
        <v>126</v>
      </c>
      <c r="BY216" s="254">
        <f>BY149</f>
        <v>118.5</v>
      </c>
      <c r="BZ216" s="254">
        <f>BZ149</f>
        <v>118.5</v>
      </c>
      <c r="CA216" s="254">
        <f>CA149</f>
        <v>485</v>
      </c>
      <c r="CB216" s="254">
        <f>CB149</f>
        <v>515.202583320297</v>
      </c>
      <c r="CC216" s="254">
        <f>CC149</f>
        <v>538.511389465819</v>
      </c>
      <c r="CD216" s="254">
        <f>CD149</f>
        <v>544.368176350607</v>
      </c>
      <c r="CE216" s="254">
        <f>CE149</f>
        <v>548.595673978372</v>
      </c>
      <c r="CF216" s="19" t="n"/>
    </row>
    <row r="217" ht="15" customHeight="1" s="251">
      <c r="B217" s="55" t="inlineStr">
        <is>
          <t xml:space="preserve">  = EBITDA (model)</t>
        </is>
      </c>
      <c r="C217" s="275">
        <f>IF(AND(ISNUMBER(C215),ISNUMBER(C216)),C215+C216,"")</f>
        <v>1299</v>
      </c>
      <c r="D217" s="275">
        <f>IF(AND(ISNUMBER(D215),ISNUMBER(D216)),D215+D216,"")</f>
        <v>1173.9</v>
      </c>
      <c r="E217" s="275">
        <f>IF(AND(ISNUMBER(E215),ISNUMBER(E216)),E215+E216,"")</f>
        <v>823.3</v>
      </c>
      <c r="F217" s="275">
        <f>IF(AND(ISNUMBER(F215),ISNUMBER(F216)),F215+F216,"")</f>
        <v>751.6</v>
      </c>
      <c r="G217" s="275">
        <f>IF(AND(ISNUMBER(G215),ISNUMBER(G216)),G215+G216,"")</f>
        <v>839.1</v>
      </c>
      <c r="H217" s="275">
        <f>IF(AND(ISNUMBER(H215),ISNUMBER(H216)),H215+H216,"")</f>
        <v>967.6</v>
      </c>
      <c r="I217" s="275">
        <f>IF(AND(ISNUMBER(I215),ISNUMBER(I216)),I215+I216,"")</f>
        <v>1170.9</v>
      </c>
      <c r="J217" s="275">
        <f>IF(AND(ISNUMBER(J215),ISNUMBER(J216)),J215+J216,"")</f>
        <v>304</v>
      </c>
      <c r="K217" s="275">
        <f>IF(AND(ISNUMBER(K215),ISNUMBER(K216)),K215+K216,"")</f>
        <v>373.9</v>
      </c>
      <c r="L217" s="275">
        <f>IF(AND(ISNUMBER(L215),ISNUMBER(L216)),L215+L216,"")</f>
        <v>314.9</v>
      </c>
      <c r="M217" s="275">
        <f>IF(AND(ISNUMBER(M215),ISNUMBER(M216)),M215+M216,"")</f>
        <v>335.2</v>
      </c>
      <c r="N217" s="275">
        <f>IF(AND(ISNUMBER(N215),ISNUMBER(N216)),N215+N216,"")</f>
        <v>1328</v>
      </c>
      <c r="O217" s="275">
        <f>IF(AND(ISNUMBER(O215),ISNUMBER(O216)),O215+O216,"")</f>
        <v>356.1</v>
      </c>
      <c r="P217" s="275">
        <f>IF(AND(ISNUMBER(P215),ISNUMBER(P216)),P215+P216,"")</f>
        <v>434</v>
      </c>
      <c r="Q217" s="275">
        <f>IF(AND(ISNUMBER(Q215),ISNUMBER(Q216)),Q215+Q216,"")</f>
        <v>372.9</v>
      </c>
      <c r="R217" s="275">
        <f>IF(AND(ISNUMBER(R215),ISNUMBER(R216)),R215+R216,"")</f>
        <v>371.7</v>
      </c>
      <c r="S217" s="275">
        <f>IF(AND(ISNUMBER(S215),ISNUMBER(S216)),S215+S216,"")</f>
        <v>1534.7</v>
      </c>
      <c r="T217" s="275">
        <f>IF(AND(ISNUMBER(T215),ISNUMBER(T216)),T215+T216,"")</f>
        <v>399.9</v>
      </c>
      <c r="U217" s="275">
        <f>IF(AND(ISNUMBER(U215),ISNUMBER(U216)),U215+U216,"")</f>
        <v>447.2</v>
      </c>
      <c r="V217" s="275">
        <f>IF(AND(ISNUMBER(V215),ISNUMBER(V216)),V215+V216,"")</f>
        <v>378</v>
      </c>
      <c r="W217" s="275">
        <f>IF(AND(ISNUMBER(W215),ISNUMBER(W216)),W215+W216,"")</f>
        <v>361.8</v>
      </c>
      <c r="X217" s="275">
        <f>IF(AND(ISNUMBER(X215),ISNUMBER(X216)),X215+X216,"")</f>
        <v>1586.9</v>
      </c>
      <c r="Y217" s="275">
        <f>IF(AND(ISNUMBER(Y215),ISNUMBER(Y216)),Y215+Y216,"")</f>
        <v>334</v>
      </c>
      <c r="Z217" s="275">
        <f>IF(AND(ISNUMBER(Z215),ISNUMBER(Z216)),Z215+Z216,"")</f>
        <v>441.4</v>
      </c>
      <c r="AA217" s="275">
        <f>IF(AND(ISNUMBER(AA215),ISNUMBER(AA216)),AA215+AA216,"")</f>
        <v>430.2</v>
      </c>
      <c r="AB217" s="275">
        <f>IF(AND(ISNUMBER(AB215),ISNUMBER(AB216)),AB215+AB216,"")</f>
        <v>-440.2</v>
      </c>
      <c r="AC217" s="275">
        <f>IF(AND(ISNUMBER(AC215),ISNUMBER(AC216)),AC215+AC216,"")</f>
        <v>765.4</v>
      </c>
      <c r="AD217" s="275">
        <f>IF(AND(ISNUMBER(AD215),ISNUMBER(AD216)),AD215+AD216,"")</f>
        <v>475.9</v>
      </c>
      <c r="AE217" s="275">
        <f>IF(AND(ISNUMBER(AE215),ISNUMBER(AE216)),AE215+AE216,"")</f>
        <v>490.4</v>
      </c>
      <c r="AF217" s="275">
        <f>IF(AND(ISNUMBER(AF215),ISNUMBER(AF216)),AF215+AF216,"")</f>
        <v>488.4</v>
      </c>
      <c r="AG217" s="275">
        <f>IF(AND(ISNUMBER(AG215),ISNUMBER(AG216)),AG215+AG216,"")</f>
        <v>512.7</v>
      </c>
      <c r="AH217" s="275">
        <f>IF(AND(ISNUMBER(AH215),ISNUMBER(AH216)),AH215+AH216,"")</f>
        <v>1967.4</v>
      </c>
      <c r="AI217" s="275">
        <f>IF(AND(ISNUMBER(AI215),ISNUMBER(AI216)),AI215+AI216,"")</f>
        <v>539.9</v>
      </c>
      <c r="AJ217" s="275">
        <f>IF(AND(ISNUMBER(AJ215),ISNUMBER(AJ216)),AJ215+AJ216,"")</f>
        <v>582.4</v>
      </c>
      <c r="AK217" s="275">
        <f>IF(AND(ISNUMBER(AK215),ISNUMBER(AK216)),AK215+AK216,"")</f>
        <v>512.9</v>
      </c>
      <c r="AL217" s="275">
        <f>IF(AND(ISNUMBER(AL215),ISNUMBER(AL216)),AL215+AL216,"")</f>
        <v>424.9</v>
      </c>
      <c r="AM217" s="275">
        <f>IF(AND(ISNUMBER(AM215),ISNUMBER(AM216)),AM215+AM216,"")</f>
        <v>2060.1</v>
      </c>
      <c r="AN217" s="275">
        <f>IF(AND(ISNUMBER(AN215),ISNUMBER(AN216)),AN215+AN216,"")</f>
        <v>512</v>
      </c>
      <c r="AO217" s="275">
        <f>IF(AND(ISNUMBER(AO215),ISNUMBER(AO216)),AO215+AO216,"")</f>
        <v>534.5</v>
      </c>
      <c r="AP217" s="275">
        <f>IF(AND(ISNUMBER(AP215),ISNUMBER(AP216)),AP215+AP216,"")</f>
        <v>597.4</v>
      </c>
      <c r="AQ217" s="275">
        <f>IF(AND(ISNUMBER(AQ215),ISNUMBER(AQ216)),AQ215+AQ216,"")</f>
        <v>554</v>
      </c>
      <c r="AR217" s="275">
        <f>IF(AND(ISNUMBER(AR215),ISNUMBER(AR216)),AR215+AR216,"")</f>
        <v>2198</v>
      </c>
      <c r="AS217" s="275">
        <f>IF(AND(ISNUMBER(AS215),ISNUMBER(AS216)),AS215+AS216,"")</f>
        <v>641</v>
      </c>
      <c r="AT217" s="275">
        <f>IF(AND(ISNUMBER(AT215),ISNUMBER(AT216)),AT215+AT216,"")</f>
        <v>768</v>
      </c>
      <c r="AU217" s="275">
        <f>IF(AND(ISNUMBER(AU215),ISNUMBER(AU216)),AU215+AU216,"")</f>
        <v>698</v>
      </c>
      <c r="AV217" s="275">
        <f>IF(AND(ISNUMBER(AV215),ISNUMBER(AV216)),AV215+AV216,"")</f>
        <v>501</v>
      </c>
      <c r="AW217" s="275">
        <f>IF(AND(ISNUMBER(AW215),ISNUMBER(AW216)),AW215+AW216,"")</f>
        <v>2608</v>
      </c>
      <c r="AX217" s="275">
        <f>IF(AND(ISNUMBER(AX215),ISNUMBER(AX216)),AX215+AX216,"")</f>
        <v>912</v>
      </c>
      <c r="AY217" s="275">
        <f>IF(AND(ISNUMBER(AY215),ISNUMBER(AY216)),AY215+AY216,"")</f>
        <v>861</v>
      </c>
      <c r="AZ217" s="275">
        <f>IF(AND(ISNUMBER(AZ215),ISNUMBER(AZ216)),AZ215+AZ216,"")</f>
        <v>737</v>
      </c>
      <c r="BA217" s="275">
        <f>IF(AND(ISNUMBER(BA215),ISNUMBER(BA216)),BA215+BA216,"")</f>
        <v>591</v>
      </c>
      <c r="BB217" s="275">
        <f>IF(AND(ISNUMBER(BB215),ISNUMBER(BB216)),BB215+BB216,"")</f>
        <v>3101</v>
      </c>
      <c r="BC217" s="275">
        <f>IF(AND(ISNUMBER(BC215),ISNUMBER(BC216)),BC215+BC216,"")</f>
        <v>734</v>
      </c>
      <c r="BD217" s="275">
        <f>IF(AND(ISNUMBER(BD215),ISNUMBER(BD216)),BD215+BD216,"")</f>
        <v>589</v>
      </c>
      <c r="BE217" s="275">
        <f>IF(AND(ISNUMBER(BE215),ISNUMBER(BE216)),BE215+BE216,"")</f>
        <v>496</v>
      </c>
      <c r="BF217" s="275">
        <f>IF(AND(ISNUMBER(BF215),ISNUMBER(BF216)),BF215+BF216,"")</f>
        <v>395</v>
      </c>
      <c r="BG217" s="275">
        <f>IF(AND(ISNUMBER(BG215),ISNUMBER(BG216)),BG215+BG216,"")</f>
        <v>2214</v>
      </c>
      <c r="BH217" s="275">
        <f>IF(AND(ISNUMBER(BH215),ISNUMBER(BH216)),BH215+BH216,"")</f>
        <v>642</v>
      </c>
      <c r="BI217" s="275">
        <f>IF(AND(ISNUMBER(BI215),ISNUMBER(BI216)),BI215+BI216,"")</f>
        <v>643</v>
      </c>
      <c r="BJ217" s="275">
        <f>IF(AND(ISNUMBER(BJ215),ISNUMBER(BJ216)),BJ215+BJ216,"")</f>
        <v>630</v>
      </c>
      <c r="BK217" s="275">
        <f>IF(AND(ISNUMBER(BK215),ISNUMBER(BK216)),BK215+BK216,"")</f>
        <v>595</v>
      </c>
      <c r="BL217" s="275">
        <f>IF(AND(ISNUMBER(BL215),ISNUMBER(BL216)),BL215+BL216,"")</f>
        <v>2510</v>
      </c>
      <c r="BM217" s="275">
        <f>IF(AND(ISNUMBER(BM215),ISNUMBER(BM216)),BM215+BM216,"")</f>
        <v>901</v>
      </c>
      <c r="BN217" s="275">
        <f>IF(AND(ISNUMBER(BN215),ISNUMBER(BN216)),BN215+BN216,"")</f>
        <v>885</v>
      </c>
      <c r="BO217" s="275">
        <f>IF(AND(ISNUMBER(BO215),ISNUMBER(BO216)),BO215+BO216,"")</f>
        <v>846</v>
      </c>
      <c r="BP217" s="275">
        <f>IF(AND(ISNUMBER(BP215),ISNUMBER(BP216)),BP215+BP216,"")</f>
        <v>674</v>
      </c>
      <c r="BQ217" s="275">
        <f>IF(AND(ISNUMBER(BQ215),ISNUMBER(BQ216)),BQ215+BQ216,"")</f>
        <v>3306</v>
      </c>
      <c r="BR217" s="275">
        <f>IF(AND(ISNUMBER(BR215),ISNUMBER(BR216)),BR215+BR216,"")</f>
        <v>959</v>
      </c>
      <c r="BS217" s="275">
        <f>IF(AND(ISNUMBER(BS215),ISNUMBER(BS216)),BS215+BS216,"")</f>
        <v>938</v>
      </c>
      <c r="BT217" s="275">
        <f>IF(AND(ISNUMBER(BT215),ISNUMBER(BT216)),BT215+BT216,"")</f>
        <v>1040</v>
      </c>
      <c r="BU217" s="275">
        <f>IF(AND(ISNUMBER(BU215),ISNUMBER(BU216)),BU215+BU216,"")</f>
        <v>894</v>
      </c>
      <c r="BV217" s="275">
        <f>IF(AND(ISNUMBER(BV215),ISNUMBER(BV216)),BV215+BV216,"")</f>
        <v>3831</v>
      </c>
      <c r="BW217" s="275">
        <f>IF(AND(ISNUMBER(BW215),ISNUMBER(BW216)),BW215+BW216,"")</f>
        <v>1044</v>
      </c>
      <c r="BX217" s="275">
        <f>IF(AND(ISNUMBER(BX215),ISNUMBER(BX216)),BX215+BX216,"")</f>
        <v>1172</v>
      </c>
      <c r="BY217" s="275">
        <f>IF(AND(ISNUMBER(BY215),ISNUMBER(BY216)),BY215+BY216,"")</f>
        <v>1033.86253255767</v>
      </c>
      <c r="BZ217" s="275">
        <f>IF(AND(ISNUMBER(BZ215),ISNUMBER(BZ216)),BZ215+BZ216,"")</f>
        <v>889.619462823072</v>
      </c>
      <c r="CA217" s="275">
        <f>IF(AND(ISNUMBER(CA215),ISNUMBER(CA216)),CA215+CA216,"")</f>
        <v>4139.48199538074</v>
      </c>
      <c r="CB217" s="275">
        <f>IF(AND(ISNUMBER(CB215),ISNUMBER(CB216)),CB215+CB216,"")</f>
        <v>4606.90571707776</v>
      </c>
      <c r="CC217" s="275">
        <f>IF(AND(ISNUMBER(CC215),ISNUMBER(CC216)),CC215+CC216,"")</f>
        <v>5053.2218830559</v>
      </c>
      <c r="CD217" s="275">
        <f>IF(AND(ISNUMBER(CD215),ISNUMBER(CD216)),CD215+CD216,"")</f>
        <v>5433.78287586468</v>
      </c>
      <c r="CE217" s="275">
        <f>IF(AND(ISNUMBER(CE215),ISNUMBER(CE216)),CE215+CE216,"")</f>
        <v>5816.65368678495</v>
      </c>
      <c r="CF217" s="153" t="n"/>
      <c r="CH217" s="20">
        <f>IFERROR((CE217/BV217)^(1/5)-1,"n/m")</f>
        <v>0.0871067969230919</v>
      </c>
      <c r="CI217" s="20">
        <f>IFERROR((BV217/AW217)^(1/5)-1,"n/m")</f>
        <v>0.0799431969441109</v>
      </c>
      <c r="CJ217" s="20">
        <f>IFERROR((BV217/X217)^(1/10)-1,"n/m")</f>
        <v>0.0921348337311478</v>
      </c>
      <c r="CK217" s="20">
        <f>IFERROR((BV217/C217)^(1/19)-1,"n/m")</f>
        <v>0.0585739698829568</v>
      </c>
    </row>
    <row r="218" ht="15" customHeight="1" s="251">
      <c r="B218" s="25" t="inlineStr">
        <is>
          <t xml:space="preserve">  (+) Restructuring and other items excluded by the company</t>
        </is>
      </c>
      <c r="C218" s="261">
        <f>IF(ISNUMBER(C200),N(C200)+N(C201),"")</f>
        <v>-160.6</v>
      </c>
      <c r="D218" s="261">
        <f>IF(ISNUMBER(D200),N(D200)+N(D201),"")</f>
        <v>50</v>
      </c>
      <c r="E218" s="261">
        <f>IF(ISNUMBER(E200),N(E200)+N(E201),"")</f>
        <v>-2.5</v>
      </c>
      <c r="F218" s="261">
        <f>IF(ISNUMBER(F200),N(F200)+N(F201),"")</f>
        <v>17.5</v>
      </c>
      <c r="G218" s="261">
        <f>IF(ISNUMBER(G200),N(G200)+N(G201),"")</f>
        <v>0.1</v>
      </c>
      <c r="H218" s="261">
        <f>IF(ISNUMBER(H200),N(H200)+N(H201),"")</f>
        <v>0</v>
      </c>
      <c r="I218" s="261">
        <f>IF(ISNUMBER(I200),N(I200)+N(I201),"")</f>
        <v>12.2</v>
      </c>
      <c r="J218" s="261">
        <f>IF(ISNUMBER(J200),N(J200)+N(J201),"")</f>
        <v>0</v>
      </c>
      <c r="K218" s="261">
        <f>IF(ISNUMBER(K200),N(K200)+N(K201),"")</f>
        <v>0</v>
      </c>
      <c r="L218" s="261">
        <f>IF(ISNUMBER(L200),N(L200)+N(L201),"")</f>
        <v>0</v>
      </c>
      <c r="M218" s="261">
        <f>IF(ISNUMBER(M200),N(M200)+N(M201),"")</f>
        <v>0</v>
      </c>
      <c r="N218" s="261">
        <f>IF(ISNUMBER(N200),N(N200)+N(N201),"")</f>
        <v>0</v>
      </c>
      <c r="O218" s="261">
        <f>IF(ISNUMBER(O200),N(O200)+N(O201),"")</f>
        <v>0</v>
      </c>
      <c r="P218" s="261">
        <f>IF(ISNUMBER(P200),N(P200)+N(P201),"")</f>
        <v>0</v>
      </c>
      <c r="Q218" s="261">
        <f>IF(ISNUMBER(Q200),N(Q200)+N(Q201),"")</f>
        <v>0</v>
      </c>
      <c r="R218" s="261">
        <f>IF(ISNUMBER(R200),N(R200)+N(R201),"")</f>
        <v>0</v>
      </c>
      <c r="S218" s="261">
        <f>IF(ISNUMBER(S200),N(S200)+N(S201),"")</f>
        <v>0</v>
      </c>
      <c r="T218" s="261">
        <f>IF(ISNUMBER(T200),N(T200)+N(T201),"")</f>
        <v>0</v>
      </c>
      <c r="U218" s="261">
        <f>IF(ISNUMBER(U200),N(U200)+N(U201),"")</f>
        <v>0</v>
      </c>
      <c r="V218" s="261">
        <f>IF(ISNUMBER(V200),N(V200)+N(V201),"")</f>
        <v>0</v>
      </c>
      <c r="W218" s="261">
        <f>IF(ISNUMBER(W200),N(W200)+N(W201),"")</f>
        <v>0</v>
      </c>
      <c r="X218" s="261">
        <f>IF(ISNUMBER(X200),N(X200)+N(X201),"")</f>
        <v>0</v>
      </c>
      <c r="Y218" s="261">
        <f>IF(ISNUMBER(Y200),N(Y200)+N(Y201),"")</f>
        <v>0</v>
      </c>
      <c r="Z218" s="261">
        <f>IF(ISNUMBER(Z200),N(Z200)+N(Z201),"")</f>
        <v>0</v>
      </c>
      <c r="AA218" s="261">
        <f>IF(ISNUMBER(AA200),N(AA200)+N(AA201),"")</f>
        <v>8.4</v>
      </c>
      <c r="AB218" s="261">
        <f>IF(ISNUMBER(AB200),N(AB200)+N(AB201),"")</f>
        <v>863.8</v>
      </c>
      <c r="AC218" s="261">
        <f>IF(ISNUMBER(AC200),N(AC200)+N(AC201),"")</f>
        <v>875.8</v>
      </c>
      <c r="AD218" s="261">
        <f>IF(ISNUMBER(AD200),N(AD200)+N(AD201),"")</f>
        <v>0</v>
      </c>
      <c r="AE218" s="261">
        <f>IF(ISNUMBER(AE200),N(AE200)+N(AE201),"")</f>
        <v>6.6</v>
      </c>
      <c r="AF218" s="261">
        <f>IF(ISNUMBER(AF200),N(AF200)+N(AF201),"")</f>
        <v>10.1</v>
      </c>
      <c r="AG218" s="261">
        <f>IF(ISNUMBER(AG200),N(AG200)+N(AG201),"")</f>
        <v>5.8</v>
      </c>
      <c r="AH218" s="261">
        <f>IF(ISNUMBER(AH200),N(AH200)+N(AH201),"")</f>
        <v>22.5</v>
      </c>
      <c r="AI218" s="261">
        <f>IF(ISNUMBER(AI200),N(AI200)+N(AI201),"")</f>
        <v>0.8</v>
      </c>
      <c r="AJ218" s="261">
        <f>IF(ISNUMBER(AJ200),N(AJ200)+N(AJ201),"")</f>
        <v>2</v>
      </c>
      <c r="AK218" s="261">
        <f>IF(ISNUMBER(AK200),N(AK200)+N(AK201),"")</f>
        <v>1.3</v>
      </c>
      <c r="AL218" s="261">
        <f>IF(ISNUMBER(AL200),N(AL200)+N(AL201),"")</f>
        <v>52.9</v>
      </c>
      <c r="AM218" s="261">
        <f>IF(ISNUMBER(AM200),N(AM200)+N(AM201),"")</f>
        <v>57</v>
      </c>
      <c r="AN218" s="261">
        <f>IF(ISNUMBER(AN200),N(AN200)+N(AN201),"")</f>
        <v>6.9</v>
      </c>
      <c r="AO218" s="261">
        <f>IF(ISNUMBER(AO200),N(AO200)+N(AO201),"")</f>
        <v>64.5</v>
      </c>
      <c r="AP218" s="261">
        <f>IF(ISNUMBER(AP200),N(AP200)+N(AP201),"")</f>
        <v>16.5</v>
      </c>
      <c r="AQ218" s="261">
        <f>IF(ISNUMBER(AQ200),N(AQ200)+N(AQ201),"")</f>
        <v>5</v>
      </c>
      <c r="AR218" s="261">
        <f>IF(ISNUMBER(AR200),N(AR200)+N(AR201),"")</f>
        <v>93</v>
      </c>
      <c r="AS218" s="261">
        <f>IF(ISNUMBER(AS200),N(AS200)+N(AS201),"")</f>
        <v>8</v>
      </c>
      <c r="AT218" s="261">
        <f>IF(ISNUMBER(AT200),N(AT200)+N(AT201),"")</f>
        <v>-2</v>
      </c>
      <c r="AU218" s="261">
        <f>IF(ISNUMBER(AU200),N(AU200)+N(AU201),"")</f>
        <v>23</v>
      </c>
      <c r="AV218" s="261">
        <f>IF(ISNUMBER(AV200),N(AV200)+N(AV201),"")</f>
        <v>30</v>
      </c>
      <c r="AW218" s="261">
        <f>IF(ISNUMBER(AW200),N(AW200)+N(AW201),"")</f>
        <v>59</v>
      </c>
      <c r="AX218" s="261">
        <f>IF(ISNUMBER(AX200),N(AX200)+N(AX201),"")</f>
        <v>2</v>
      </c>
      <c r="AY218" s="261">
        <f>IF(ISNUMBER(AY200),N(AY200)+N(AY201),"")</f>
        <v>0</v>
      </c>
      <c r="AZ218" s="261">
        <f>IF(ISNUMBER(AZ200),N(AZ200)+N(AZ201),"")</f>
        <v>0</v>
      </c>
      <c r="BA218" s="261">
        <f>IF(ISNUMBER(BA200),N(BA200)+N(BA201),"")</f>
        <v>-2</v>
      </c>
      <c r="BB218" s="261">
        <f>IF(ISNUMBER(BB200),N(BB200)+N(BB201),"")</f>
        <v>0</v>
      </c>
      <c r="BC218" s="261">
        <f>IF(ISNUMBER(BC200),N(BC200)+N(BC201),"")</f>
        <v>0</v>
      </c>
      <c r="BD218" s="261">
        <f>IF(ISNUMBER(BD200),N(BD200)+N(BD201),"")</f>
        <v>31</v>
      </c>
      <c r="BE218" s="261">
        <f>IF(ISNUMBER(BE200),N(BE200)+N(BE201),"")</f>
        <v>1</v>
      </c>
      <c r="BF218" s="261">
        <f>IF(ISNUMBER(BF200),N(BF200)+N(BF201),"")</f>
        <v>82</v>
      </c>
      <c r="BG218" s="261">
        <f>IF(ISNUMBER(BG200),N(BG200)+N(BG201),"")</f>
        <v>114</v>
      </c>
      <c r="BH218" s="261">
        <f>IF(ISNUMBER(BH200),N(BH200)+N(BH201),"")</f>
        <v>14</v>
      </c>
      <c r="BI218" s="261">
        <f>IF(ISNUMBER(BI200),N(BI200)+N(BI201),"")</f>
        <v>10</v>
      </c>
      <c r="BJ218" s="261">
        <f>IF(ISNUMBER(BJ200),N(BJ200)+N(BJ201),"")</f>
        <v>27</v>
      </c>
      <c r="BK218" s="261">
        <f>IF(ISNUMBER(BK200),N(BK200)+N(BK201),"")</f>
        <v>36</v>
      </c>
      <c r="BL218" s="261">
        <f>IF(ISNUMBER(BL200),N(BL200)+N(BL201),"")</f>
        <v>87</v>
      </c>
      <c r="BM218" s="261">
        <f>IF(ISNUMBER(BM200),N(BM200)+N(BM201),"")</f>
        <v>5</v>
      </c>
      <c r="BN218" s="261">
        <f>IF(ISNUMBER(BN200),N(BN200)+N(BN201),"")</f>
        <v>17</v>
      </c>
      <c r="BO218" s="261">
        <f>IF(ISNUMBER(BO200),N(BO200)+N(BO201),"")</f>
        <v>21</v>
      </c>
      <c r="BP218" s="261">
        <f>IF(ISNUMBER(BP200),N(BP200)+N(BP201),"")</f>
        <v>59</v>
      </c>
      <c r="BQ218" s="261">
        <f>IF(ISNUMBER(BQ200),N(BQ200)+N(BQ201),"")</f>
        <v>102</v>
      </c>
      <c r="BR218" s="261">
        <f>IF(ISNUMBER(BR200),N(BR200)+N(BR201),"")</f>
        <v>35</v>
      </c>
      <c r="BS218" s="261">
        <f>IF(ISNUMBER(BS200),N(BS200)+N(BS201),"")</f>
        <v>28</v>
      </c>
      <c r="BT218" s="261">
        <f>IF(ISNUMBER(BT200),N(BT200)+N(BT201),"")</f>
        <v>22</v>
      </c>
      <c r="BU218" s="261">
        <f>IF(ISNUMBER(BU200),N(BU200)+N(BU201),"")</f>
        <v>26</v>
      </c>
      <c r="BV218" s="261">
        <f>IF(ISNUMBER(BV200),N(BV200)+N(BV201),"")</f>
        <v>111</v>
      </c>
      <c r="BW218" s="261">
        <f>IF(ISNUMBER(BW200),N(BW200)+N(BW201),"")</f>
        <v>61</v>
      </c>
      <c r="BX218" s="261">
        <f>IF(ISNUMBER(BX200),N(BX200)+N(BX201),"")</f>
        <v>36</v>
      </c>
      <c r="BY218" s="254">
        <f>IF(ISNUMBER(BY200),N(BY200)+N(BY201),"")</f>
        <v>41.5</v>
      </c>
      <c r="BZ218" s="254">
        <f>IF(ISNUMBER(BZ200),N(BZ200)+N(BZ201),"")</f>
        <v>41.5</v>
      </c>
      <c r="CA218" s="254">
        <f>IF(ISNUMBER(CA200),N(CA200)+N(CA201),"")</f>
        <v>180</v>
      </c>
      <c r="CB218" s="254">
        <f>IF(ISNUMBER(CB200),N(CB200)+N(CB201),"")</f>
        <v>80</v>
      </c>
      <c r="CC218" s="254">
        <f>IF(ISNUMBER(CC200),N(CC200)+N(CC201),"")</f>
        <v>0</v>
      </c>
      <c r="CD218" s="254">
        <f>IF(ISNUMBER(CD200),N(CD200)+N(CD201),"")</f>
        <v>0</v>
      </c>
      <c r="CE218" s="254">
        <f>IF(ISNUMBER(CE200),N(CE200)+N(CE201),"")</f>
        <v>0</v>
      </c>
      <c r="CF218" s="19" t="n"/>
    </row>
    <row r="219" ht="15" customHeight="1" s="251">
      <c r="B219" s="55" t="inlineStr">
        <is>
          <t xml:space="preserve">  = Adjusted EBITDA (= company Adjusted Operating Income)</t>
        </is>
      </c>
      <c r="C219" s="275">
        <f>IF(AND(ISNUMBER(C217),ISNUMBER(C218)),C217+C218,"")</f>
        <v>1138.4</v>
      </c>
      <c r="D219" s="275">
        <f>IF(AND(ISNUMBER(D217),ISNUMBER(D218)),D217+D218,"")</f>
        <v>1223.9</v>
      </c>
      <c r="E219" s="275">
        <f>IF(AND(ISNUMBER(E217),ISNUMBER(E218)),E217+E218,"")</f>
        <v>820.8</v>
      </c>
      <c r="F219" s="275">
        <f>IF(AND(ISNUMBER(F217),ISNUMBER(F218)),F217+F218,"")</f>
        <v>769.1</v>
      </c>
      <c r="G219" s="275">
        <f>IF(AND(ISNUMBER(G217),ISNUMBER(G218)),G217+G218,"")</f>
        <v>839.2</v>
      </c>
      <c r="H219" s="275">
        <f>IF(AND(ISNUMBER(H217),ISNUMBER(H218)),H217+H218,"")</f>
        <v>967.6</v>
      </c>
      <c r="I219" s="275">
        <f>IF(AND(ISNUMBER(I217),ISNUMBER(I218)),I217+I218,"")</f>
        <v>1183.1</v>
      </c>
      <c r="J219" s="275">
        <f>IF(AND(ISNUMBER(J217),ISNUMBER(J218)),J217+J218,"")</f>
        <v>304</v>
      </c>
      <c r="K219" s="275">
        <f>IF(AND(ISNUMBER(K217),ISNUMBER(K218)),K217+K218,"")</f>
        <v>373.9</v>
      </c>
      <c r="L219" s="275">
        <f>IF(AND(ISNUMBER(L217),ISNUMBER(L218)),L217+L218,"")</f>
        <v>314.9</v>
      </c>
      <c r="M219" s="275">
        <f>IF(AND(ISNUMBER(M217),ISNUMBER(M218)),M217+M218,"")</f>
        <v>335.2</v>
      </c>
      <c r="N219" s="275">
        <f>IF(AND(ISNUMBER(N217),ISNUMBER(N218)),N217+N218,"")</f>
        <v>1328</v>
      </c>
      <c r="O219" s="275">
        <f>IF(AND(ISNUMBER(O217),ISNUMBER(O218)),O217+O218,"")</f>
        <v>356.1</v>
      </c>
      <c r="P219" s="275">
        <f>IF(AND(ISNUMBER(P217),ISNUMBER(P218)),P217+P218,"")</f>
        <v>434</v>
      </c>
      <c r="Q219" s="275">
        <f>IF(AND(ISNUMBER(Q217),ISNUMBER(Q218)),Q217+Q218,"")</f>
        <v>372.9</v>
      </c>
      <c r="R219" s="275">
        <f>IF(AND(ISNUMBER(R217),ISNUMBER(R218)),R217+R218,"")</f>
        <v>371.7</v>
      </c>
      <c r="S219" s="275">
        <f>IF(AND(ISNUMBER(S217),ISNUMBER(S218)),S217+S218,"")</f>
        <v>1534.7</v>
      </c>
      <c r="T219" s="275">
        <f>IF(AND(ISNUMBER(T217),ISNUMBER(T218)),T217+T218,"")</f>
        <v>399.9</v>
      </c>
      <c r="U219" s="275">
        <f>IF(AND(ISNUMBER(U217),ISNUMBER(U218)),U217+U218,"")</f>
        <v>447.2</v>
      </c>
      <c r="V219" s="275">
        <f>IF(AND(ISNUMBER(V217),ISNUMBER(V218)),V217+V218,"")</f>
        <v>378</v>
      </c>
      <c r="W219" s="275">
        <f>IF(AND(ISNUMBER(W217),ISNUMBER(W218)),W217+W218,"")</f>
        <v>361.8</v>
      </c>
      <c r="X219" s="275">
        <f>IF(AND(ISNUMBER(X217),ISNUMBER(X218)),X217+X218,"")</f>
        <v>1586.9</v>
      </c>
      <c r="Y219" s="275">
        <f>IF(AND(ISNUMBER(Y217),ISNUMBER(Y218)),Y217+Y218,"")</f>
        <v>334</v>
      </c>
      <c r="Z219" s="275">
        <f>IF(AND(ISNUMBER(Z217),ISNUMBER(Z218)),Z217+Z218,"")</f>
        <v>441.4</v>
      </c>
      <c r="AA219" s="275">
        <f>IF(AND(ISNUMBER(AA217),ISNUMBER(AA218)),AA217+AA218,"")</f>
        <v>438.6</v>
      </c>
      <c r="AB219" s="275">
        <f>IF(AND(ISNUMBER(AB217),ISNUMBER(AB218)),AB217+AB218,"")</f>
        <v>423.6</v>
      </c>
      <c r="AC219" s="275">
        <f>IF(AND(ISNUMBER(AC217),ISNUMBER(AC218)),AC217+AC218,"")</f>
        <v>1641.2</v>
      </c>
      <c r="AD219" s="275">
        <f>IF(AND(ISNUMBER(AD217),ISNUMBER(AD218)),AD217+AD218,"")</f>
        <v>475.9</v>
      </c>
      <c r="AE219" s="275">
        <f>IF(AND(ISNUMBER(AE217),ISNUMBER(AE218)),AE217+AE218,"")</f>
        <v>497</v>
      </c>
      <c r="AF219" s="275">
        <f>IF(AND(ISNUMBER(AF217),ISNUMBER(AF218)),AF217+AF218,"")</f>
        <v>498.5</v>
      </c>
      <c r="AG219" s="275">
        <f>IF(AND(ISNUMBER(AG217),ISNUMBER(AG218)),AG217+AG218,"")</f>
        <v>518.5</v>
      </c>
      <c r="AH219" s="275">
        <f>IF(AND(ISNUMBER(AH217),ISNUMBER(AH218)),AH217+AH218,"")</f>
        <v>1989.9</v>
      </c>
      <c r="AI219" s="275">
        <f>IF(AND(ISNUMBER(AI217),ISNUMBER(AI218)),AI217+AI218,"")</f>
        <v>540.7</v>
      </c>
      <c r="AJ219" s="275">
        <f>IF(AND(ISNUMBER(AJ217),ISNUMBER(AJ218)),AJ217+AJ218,"")</f>
        <v>584.4</v>
      </c>
      <c r="AK219" s="275">
        <f>IF(AND(ISNUMBER(AK217),ISNUMBER(AK218)),AK217+AK218,"")</f>
        <v>514.2</v>
      </c>
      <c r="AL219" s="275">
        <f>IF(AND(ISNUMBER(AL217),ISNUMBER(AL218)),AL217+AL218,"")</f>
        <v>477.8</v>
      </c>
      <c r="AM219" s="275">
        <f>IF(AND(ISNUMBER(AM217),ISNUMBER(AM218)),AM217+AM218,"")</f>
        <v>2117.1</v>
      </c>
      <c r="AN219" s="275">
        <f>IF(AND(ISNUMBER(AN217),ISNUMBER(AN218)),AN217+AN218,"")</f>
        <v>518.9</v>
      </c>
      <c r="AO219" s="275">
        <f>IF(AND(ISNUMBER(AO217),ISNUMBER(AO218)),AO217+AO218,"")</f>
        <v>599</v>
      </c>
      <c r="AP219" s="275">
        <f>IF(AND(ISNUMBER(AP217),ISNUMBER(AP218)),AP217+AP218,"")</f>
        <v>613.9</v>
      </c>
      <c r="AQ219" s="275">
        <f>IF(AND(ISNUMBER(AQ217),ISNUMBER(AQ218)),AQ217+AQ218,"")</f>
        <v>559</v>
      </c>
      <c r="AR219" s="275">
        <f>IF(AND(ISNUMBER(AR217),ISNUMBER(AR218)),AR217+AR218,"")</f>
        <v>2291</v>
      </c>
      <c r="AS219" s="275">
        <f>IF(AND(ISNUMBER(AS217),ISNUMBER(AS218)),AS217+AS218,"")</f>
        <v>649</v>
      </c>
      <c r="AT219" s="275">
        <f>IF(AND(ISNUMBER(AT217),ISNUMBER(AT218)),AT217+AT218,"")</f>
        <v>766</v>
      </c>
      <c r="AU219" s="275">
        <f>IF(AND(ISNUMBER(AU217),ISNUMBER(AU218)),AU217+AU218,"")</f>
        <v>721</v>
      </c>
      <c r="AV219" s="275">
        <f>IF(AND(ISNUMBER(AV217),ISNUMBER(AV218)),AV217+AV218,"")</f>
        <v>531</v>
      </c>
      <c r="AW219" s="275">
        <f>IF(AND(ISNUMBER(AW217),ISNUMBER(AW218)),AW217+AW218,"")</f>
        <v>2667</v>
      </c>
      <c r="AX219" s="275">
        <f>IF(AND(ISNUMBER(AX217),ISNUMBER(AX218)),AX217+AX218,"")</f>
        <v>914</v>
      </c>
      <c r="AY219" s="275">
        <f>IF(AND(ISNUMBER(AY217),ISNUMBER(AY218)),AY217+AY218,"")</f>
        <v>861</v>
      </c>
      <c r="AZ219" s="275">
        <f>IF(AND(ISNUMBER(AZ217),ISNUMBER(AZ218)),AZ217+AZ218,"")</f>
        <v>737</v>
      </c>
      <c r="BA219" s="275">
        <f>IF(AND(ISNUMBER(BA217),ISNUMBER(BA218)),BA217+BA218,"")</f>
        <v>589</v>
      </c>
      <c r="BB219" s="275">
        <f>IF(AND(ISNUMBER(BB217),ISNUMBER(BB218)),BB217+BB218,"")</f>
        <v>3101</v>
      </c>
      <c r="BC219" s="275">
        <f>IF(AND(ISNUMBER(BC217),ISNUMBER(BC218)),BC217+BC218,"")</f>
        <v>734</v>
      </c>
      <c r="BD219" s="275">
        <f>IF(AND(ISNUMBER(BD217),ISNUMBER(BD218)),BD217+BD218,"")</f>
        <v>620</v>
      </c>
      <c r="BE219" s="275">
        <f>IF(AND(ISNUMBER(BE217),ISNUMBER(BE218)),BE217+BE218,"")</f>
        <v>497</v>
      </c>
      <c r="BF219" s="275">
        <f>IF(AND(ISNUMBER(BF217),ISNUMBER(BF218)),BF217+BF218,"")</f>
        <v>477</v>
      </c>
      <c r="BG219" s="275">
        <f>IF(AND(ISNUMBER(BG217),ISNUMBER(BG218)),BG217+BG218,"")</f>
        <v>2328</v>
      </c>
      <c r="BH219" s="275">
        <f>IF(AND(ISNUMBER(BH217),ISNUMBER(BH218)),BH217+BH218,"")</f>
        <v>656</v>
      </c>
      <c r="BI219" s="275">
        <f>IF(AND(ISNUMBER(BI217),ISNUMBER(BI218)),BI217+BI218,"")</f>
        <v>653</v>
      </c>
      <c r="BJ219" s="275">
        <f>IF(AND(ISNUMBER(BJ217),ISNUMBER(BJ218)),BJ217+BJ218,"")</f>
        <v>657</v>
      </c>
      <c r="BK219" s="275">
        <f>IF(AND(ISNUMBER(BK217),ISNUMBER(BK218)),BK217+BK218,"")</f>
        <v>631</v>
      </c>
      <c r="BL219" s="275">
        <f>IF(AND(ISNUMBER(BL217),ISNUMBER(BL218)),BL217+BL218,"")</f>
        <v>2597</v>
      </c>
      <c r="BM219" s="275">
        <f>IF(AND(ISNUMBER(BM217),ISNUMBER(BM218)),BM217+BM218,"")</f>
        <v>906</v>
      </c>
      <c r="BN219" s="275">
        <f>IF(AND(ISNUMBER(BN217),ISNUMBER(BN218)),BN217+BN218,"")</f>
        <v>902</v>
      </c>
      <c r="BO219" s="275">
        <f>IF(AND(ISNUMBER(BO217),ISNUMBER(BO218)),BO217+BO218,"")</f>
        <v>867</v>
      </c>
      <c r="BP219" s="275">
        <f>IF(AND(ISNUMBER(BP217),ISNUMBER(BP218)),BP217+BP218,"")</f>
        <v>733</v>
      </c>
      <c r="BQ219" s="275">
        <f>IF(AND(ISNUMBER(BQ217),ISNUMBER(BQ218)),BQ217+BQ218,"")</f>
        <v>3408</v>
      </c>
      <c r="BR219" s="275">
        <f>IF(AND(ISNUMBER(BR217),ISNUMBER(BR218)),BR217+BR218,"")</f>
        <v>994</v>
      </c>
      <c r="BS219" s="275">
        <f>IF(AND(ISNUMBER(BS217),ISNUMBER(BS218)),BS217+BS218,"")</f>
        <v>966</v>
      </c>
      <c r="BT219" s="275">
        <f>IF(AND(ISNUMBER(BT217),ISNUMBER(BT218)),BT217+BT218,"")</f>
        <v>1062</v>
      </c>
      <c r="BU219" s="275">
        <f>IF(AND(ISNUMBER(BU217),ISNUMBER(BU218)),BU217+BU218,"")</f>
        <v>920</v>
      </c>
      <c r="BV219" s="275">
        <f>IF(AND(ISNUMBER(BV217),ISNUMBER(BV218)),BV217+BV218,"")</f>
        <v>3942</v>
      </c>
      <c r="BW219" s="275">
        <f>IF(AND(ISNUMBER(BW217),ISNUMBER(BW218)),BW217+BW218,"")</f>
        <v>1105</v>
      </c>
      <c r="BX219" s="275">
        <f>IF(AND(ISNUMBER(BX217),ISNUMBER(BX218)),BX217+BX218,"")</f>
        <v>1208</v>
      </c>
      <c r="BY219" s="275">
        <f>IF(AND(ISNUMBER(BY217),ISNUMBER(BY218)),BY217+BY218,"")</f>
        <v>1075.36253255767</v>
      </c>
      <c r="BZ219" s="275">
        <f>IF(AND(ISNUMBER(BZ217),ISNUMBER(BZ218)),BZ217+BZ218,"")</f>
        <v>931.119462823072</v>
      </c>
      <c r="CA219" s="275">
        <f>IF(AND(ISNUMBER(CA217),ISNUMBER(CA218)),CA217+CA218,"")</f>
        <v>4319.48199538074</v>
      </c>
      <c r="CB219" s="275">
        <f>IF(AND(ISNUMBER(CB217),ISNUMBER(CB218)),CB217+CB218,"")</f>
        <v>4686.90571707776</v>
      </c>
      <c r="CC219" s="275">
        <f>IF(AND(ISNUMBER(CC217),ISNUMBER(CC218)),CC217+CC218,"")</f>
        <v>5053.2218830559</v>
      </c>
      <c r="CD219" s="275">
        <f>IF(AND(ISNUMBER(CD217),ISNUMBER(CD218)),CD217+CD218,"")</f>
        <v>5433.78287586468</v>
      </c>
      <c r="CE219" s="275">
        <f>IF(AND(ISNUMBER(CE217),ISNUMBER(CE218)),CE217+CE218,"")</f>
        <v>5816.65368678495</v>
      </c>
      <c r="CF219" s="153" t="inlineStr">
        <is>
          <t>Used for leverage (net debt / Adjusted Operating Income) and EV / EBITDA.</t>
        </is>
      </c>
      <c r="CH219" s="20">
        <f>IFERROR((CE219/BV219)^(1/5)-1,"n/m")</f>
        <v>0.0809144371478396</v>
      </c>
      <c r="CI219" s="20">
        <f>IFERROR((BV219/AW219)^(1/5)-1,"n/m")</f>
        <v>0.0812813712394469</v>
      </c>
      <c r="CJ219" s="20">
        <f>IFERROR((BV219/X219)^(1/10)-1,"n/m")</f>
        <v>0.0952586858077966</v>
      </c>
      <c r="CK219" s="20">
        <f>IFERROR((BV219/C219)^(1/19)-1,"n/m")</f>
        <v>0.0675558814156576</v>
      </c>
    </row>
    <row r="220" ht="15" customHeight="1" s="251">
      <c r="B220" s="25" t="inlineStr">
        <is>
          <t xml:space="preserve">  Adjusted EBITDA margin %</t>
        </is>
      </c>
      <c r="C220" s="215">
        <f>IF(AND(ISNUMBER(C219),ISNUMBER(C163)),IFERROR(C219/C163,""),"")</f>
        <v>0.558833636051249</v>
      </c>
      <c r="D220" s="215">
        <f>IF(AND(ISNUMBER(D219),ISNUMBER(D163)),IFERROR(D219/D163,""),"")</f>
        <v>0.541788401947765</v>
      </c>
      <c r="E220" s="215">
        <f>IF(AND(ISNUMBER(E219),ISNUMBER(E163)),IFERROR(E219/E163,""),"")</f>
        <v>0.467585735444913</v>
      </c>
      <c r="F220" s="215">
        <f>IF(AND(ISNUMBER(F219),ISNUMBER(F163)),IFERROR(F219/F163,""),"")</f>
        <v>0.427943467616292</v>
      </c>
      <c r="G220" s="215">
        <f>IF(AND(ISNUMBER(G219),ISNUMBER(G163)),IFERROR(G219/G163,""),"")</f>
        <v>0.412992125984252</v>
      </c>
      <c r="H220" s="215">
        <f>IF(AND(ISNUMBER(H219),ISNUMBER(H163)),IFERROR(H219/H163,""),"")</f>
        <v>0.424255710965931</v>
      </c>
      <c r="I220" s="215">
        <f>IF(AND(ISNUMBER(I219),ISNUMBER(I163)),IFERROR(I219/I163,""),"")</f>
        <v>0.433322345529795</v>
      </c>
      <c r="J220" s="215">
        <f>IF(AND(ISNUMBER(J219),ISNUMBER(J163)),IFERROR(J219/J163,""),"")</f>
        <v>0.415414047553976</v>
      </c>
      <c r="K220" s="215">
        <f>IF(AND(ISNUMBER(K219),ISNUMBER(K163)),IFERROR(K219/K163,""),"")</f>
        <v>0.49457671957672</v>
      </c>
      <c r="L220" s="215">
        <f>IF(AND(ISNUMBER(L219),ISNUMBER(L163)),IFERROR(L219/L163,""),"")</f>
        <v>0.446350106307583</v>
      </c>
      <c r="M220" s="215">
        <f>IF(AND(ISNUMBER(M219),ISNUMBER(M163)),IFERROR(M219/M163,""),"")</f>
        <v>0.430184804928132</v>
      </c>
      <c r="N220" s="215">
        <f>IF(AND(ISNUMBER(N219),ISNUMBER(N163)),IFERROR(N219/N163,""),"")</f>
        <v>0.446761984861228</v>
      </c>
      <c r="O220" s="215">
        <f>IF(AND(ISNUMBER(O219),ISNUMBER(O163)),IFERROR(O219/O163,""),"")</f>
        <v>0.464155370177268</v>
      </c>
      <c r="P220" s="215">
        <f>IF(AND(ISNUMBER(P219),ISNUMBER(P163)),IFERROR(P219/P163,""),"")</f>
        <v>0.496851745850029</v>
      </c>
      <c r="Q220" s="215">
        <f>IF(AND(ISNUMBER(Q219),ISNUMBER(Q163)),IFERROR(Q219/Q163,""),"")</f>
        <v>0.456929297880162</v>
      </c>
      <c r="R220" s="215">
        <f>IF(AND(ISNUMBER(R219),ISNUMBER(R163)),IFERROR(R219/R163,""),"")</f>
        <v>0.423589743589744</v>
      </c>
      <c r="S220" s="215">
        <f>IF(AND(ISNUMBER(S219),ISNUMBER(S163)),IFERROR(S219/S163,""),"")</f>
        <v>0.460276519809255</v>
      </c>
      <c r="T220" s="215">
        <f>IF(AND(ISNUMBER(T219),ISNUMBER(T163)),IFERROR(T219/T163,""),"")</f>
        <v>0.46199168207024</v>
      </c>
      <c r="U220" s="215">
        <f>IF(AND(ISNUMBER(U219),ISNUMBER(U163)),IFERROR(U219/U163,""),"")</f>
        <v>0.487092909269143</v>
      </c>
      <c r="V220" s="215">
        <f>IF(AND(ISNUMBER(V219),ISNUMBER(V163)),IFERROR(V219/V163,""),"")</f>
        <v>0.452748832195473</v>
      </c>
      <c r="W220" s="215">
        <f>IF(AND(ISNUMBER(W219),ISNUMBER(W163)),IFERROR(W219/W163,""),"")</f>
        <v>0.417831158332371</v>
      </c>
      <c r="X220" s="215">
        <f>IF(AND(ISNUMBER(X219),ISNUMBER(X163)),IFERROR(X219/X163,""),"")</f>
        <v>0.455416846032429</v>
      </c>
      <c r="Y220" s="215">
        <f>IF(AND(ISNUMBER(Y219),ISNUMBER(Y163)),IFERROR(Y219/Y163,""),"")</f>
        <v>0.409263570640853</v>
      </c>
      <c r="Z220" s="215">
        <f>IF(AND(ISNUMBER(Z219),ISNUMBER(Z163)),IFERROR(Z219/Z163,""),"")</f>
        <v>0.475185703520293</v>
      </c>
      <c r="AA220" s="215">
        <f>IF(AND(ISNUMBER(AA219),ISNUMBER(AA163)),IFERROR(AA219/AA163,""),"")</f>
        <v>0.478246647039581</v>
      </c>
      <c r="AB220" s="215">
        <f>IF(AND(ISNUMBER(AB219),ISNUMBER(AB163)),IFERROR(AB219/AB163,""),"")</f>
        <v>0.449633796836854</v>
      </c>
      <c r="AC220" s="215">
        <f>IF(AND(ISNUMBER(AC219),ISNUMBER(AC163)),IFERROR(AC219/AC163,""),"")</f>
        <v>0.45535763831086</v>
      </c>
      <c r="AD220" s="215">
        <f>IF(AND(ISNUMBER(AD219),ISNUMBER(AD163)),IFERROR(AD219/AD163,""),"")</f>
        <v>0.488002461033634</v>
      </c>
      <c r="AE220" s="215">
        <f>IF(AND(ISNUMBER(AE219),ISNUMBER(AE163)),IFERROR(AE219/AE163,""),"")</f>
        <v>0.496751624187906</v>
      </c>
      <c r="AF220" s="215">
        <f>IF(AND(ISNUMBER(AF219),ISNUMBER(AF163)),IFERROR(AF219/AF163,""),"")</f>
        <v>0.468999905917772</v>
      </c>
      <c r="AG220" s="215">
        <f>IF(AND(ISNUMBER(AG219),ISNUMBER(AG163)),IFERROR(AG219/AG163,""),"")</f>
        <v>0.444873444873445</v>
      </c>
      <c r="AH220" s="215">
        <f>IF(AND(ISNUMBER(AH219),ISNUMBER(AH163)),IFERROR(AH219/AH163,""),"")</f>
        <v>0.473323660236436</v>
      </c>
      <c r="AI220" s="215">
        <f>IF(AND(ISNUMBER(AI219),ISNUMBER(AI163)),IFERROR(AI219/AI163,""),"")</f>
        <v>0.47989704446614</v>
      </c>
      <c r="AJ220" s="215">
        <f>IF(AND(ISNUMBER(AJ219),ISNUMBER(AJ163)),IFERROR(AJ219/AJ163,""),"")</f>
        <v>0.497319377074291</v>
      </c>
      <c r="AK220" s="215">
        <f>IF(AND(ISNUMBER(AK219),ISNUMBER(AK163)),IFERROR(AK219/AK163,""),"")</f>
        <v>0.475758697261288</v>
      </c>
      <c r="AL220" s="215">
        <f>IF(AND(ISNUMBER(AL219),ISNUMBER(AL163)),IFERROR(AL219/AL163,""),"")</f>
        <v>0.450712196962551</v>
      </c>
      <c r="AM220" s="215">
        <f>IF(AND(ISNUMBER(AM219),ISNUMBER(AM163)),IFERROR(AM219/AM163,""),"")</f>
        <v>0.476534539806874</v>
      </c>
      <c r="AN220" s="215">
        <f>IF(AND(ISNUMBER(AN219),ISNUMBER(AN163)),IFERROR(AN219/AN163,""),"")</f>
        <v>0.454338499255757</v>
      </c>
      <c r="AO220" s="215">
        <f>IF(AND(ISNUMBER(AO219),ISNUMBER(AO163)),IFERROR(AO219/AO163,""),"")</f>
        <v>0.493572841133817</v>
      </c>
      <c r="AP220" s="215">
        <f>IF(AND(ISNUMBER(AP219),ISNUMBER(AP163)),IFERROR(AP219/AP163,""),"")</f>
        <v>0.494881096332124</v>
      </c>
      <c r="AQ220" s="215">
        <f>IF(AND(ISNUMBER(AQ219),ISNUMBER(AQ163)),IFERROR(AQ219/AQ163,""),"")</f>
        <v>0.453365774533658</v>
      </c>
      <c r="AR220" s="215">
        <f>IF(AND(ISNUMBER(AR219),ISNUMBER(AR163)),IFERROR(AR219/AR163,""),"")</f>
        <v>0.474425346862705</v>
      </c>
      <c r="AS220" s="215">
        <f>IF(AND(ISNUMBER(AS219),ISNUMBER(AS163)),IFERROR(AS219/AS163,""),"")</f>
        <v>0.503100775193799</v>
      </c>
      <c r="AT220" s="215">
        <f>IF(AND(ISNUMBER(AT219),ISNUMBER(AT163)),IFERROR(AT219/AT163,""),"")</f>
        <v>0.533797909407666</v>
      </c>
      <c r="AU220" s="215">
        <f>IF(AND(ISNUMBER(AU219),ISNUMBER(AU163)),IFERROR(AU219/AU163,""),"")</f>
        <v>0.531710914454277</v>
      </c>
      <c r="AV220" s="215">
        <f>IF(AND(ISNUMBER(AV219),ISNUMBER(AV163)),IFERROR(AV219/AV163,""),"")</f>
        <v>0.411627906976744</v>
      </c>
      <c r="AW220" s="215">
        <f>IF(AND(ISNUMBER(AW219),ISNUMBER(AW163)),IFERROR(AW219/AW163,""),"")</f>
        <v>0.496555576242785</v>
      </c>
      <c r="AX220" s="215">
        <f>IF(AND(ISNUMBER(AX219),ISNUMBER(AX163)),IFERROR(AX219/AX163,""),"")</f>
        <v>0.57125</v>
      </c>
      <c r="AY220" s="215">
        <f>IF(AND(ISNUMBER(AY219),ISNUMBER(AY163)),IFERROR(AY219/AY163,""),"")</f>
        <v>0.554410817772054</v>
      </c>
      <c r="AZ220" s="215">
        <f>IF(AND(ISNUMBER(AZ219),ISNUMBER(AZ163)),IFERROR(AZ219/AZ163,""),"")</f>
        <v>0.482961992136304</v>
      </c>
      <c r="BA220" s="215">
        <f>IF(AND(ISNUMBER(BA219),ISNUMBER(BA163)),IFERROR(BA219/BA163,""),"")</f>
        <v>0.382716049382716</v>
      </c>
      <c r="BB220" s="215">
        <f>IF(AND(ISNUMBER(BB219),ISNUMBER(BB163)),IFERROR(BB219/BB163,""),"")</f>
        <v>0.498713412672885</v>
      </c>
      <c r="BC220" s="215">
        <f>IF(AND(ISNUMBER(BC219),ISNUMBER(BC163)),IFERROR(BC219/BC163,""),"")</f>
        <v>0.482260183968463</v>
      </c>
      <c r="BD220" s="215">
        <f>IF(AND(ISNUMBER(BD219),ISNUMBER(BD163)),IFERROR(BD219/BD163,""),"")</f>
        <v>0.448950036205648</v>
      </c>
      <c r="BE220" s="215">
        <f>IF(AND(ISNUMBER(BE219),ISNUMBER(BE163)),IFERROR(BE219/BE163,""),"")</f>
        <v>0.389803921568628</v>
      </c>
      <c r="BF220" s="215">
        <f>IF(AND(ISNUMBER(BF219),ISNUMBER(BF163)),IFERROR(BF219/BF163,""),"")</f>
        <v>0.369767441860465</v>
      </c>
      <c r="BG220" s="215">
        <f>IF(AND(ISNUMBER(BG219),ISNUMBER(BG163)),IFERROR(BG219/BG163,""),"")</f>
        <v>0.425749817117776</v>
      </c>
      <c r="BH220" s="215">
        <f>IF(AND(ISNUMBER(BH219),ISNUMBER(BH163)),IFERROR(BH219/BH163,""),"")</f>
        <v>0.446258503401361</v>
      </c>
      <c r="BI220" s="215">
        <f>IF(AND(ISNUMBER(BI219),ISNUMBER(BI163)),IFERROR(BI219/BI163,""),"")</f>
        <v>0.437081659973226</v>
      </c>
      <c r="BJ220" s="215">
        <f>IF(AND(ISNUMBER(BJ219),ISNUMBER(BJ163)),IFERROR(BJ219/BJ163,""),"")</f>
        <v>0.44633152173913</v>
      </c>
      <c r="BK220" s="215">
        <f>IF(AND(ISNUMBER(BK219),ISNUMBER(BK163)),IFERROR(BK219/BK163,""),"")</f>
        <v>0.426351351351351</v>
      </c>
      <c r="BL220" s="215">
        <f>IF(AND(ISNUMBER(BL219),ISNUMBER(BL163)),IFERROR(BL219/BL163,""),"")</f>
        <v>0.438979039891819</v>
      </c>
      <c r="BM220" s="215">
        <f>IF(AND(ISNUMBER(BM219),ISNUMBER(BM163)),IFERROR(BM219/BM163,""),"")</f>
        <v>0.507278835386338</v>
      </c>
      <c r="BN220" s="215">
        <f>IF(AND(ISNUMBER(BN219),ISNUMBER(BN163)),IFERROR(BN219/BN163,""),"")</f>
        <v>0.49642267473858</v>
      </c>
      <c r="BO220" s="215">
        <f>IF(AND(ISNUMBER(BO219),ISNUMBER(BO163)),IFERROR(BO219/BO163,""),"")</f>
        <v>0.478212906784335</v>
      </c>
      <c r="BP220" s="215">
        <f>IF(AND(ISNUMBER(BP219),ISNUMBER(BP163)),IFERROR(BP219/BP163,""),"")</f>
        <v>0.438397129186603</v>
      </c>
      <c r="BQ220" s="215">
        <f>IF(AND(ISNUMBER(BQ219),ISNUMBER(BQ163)),IFERROR(BQ219/BQ163,""),"")</f>
        <v>0.480812641083521</v>
      </c>
      <c r="BR220" s="215">
        <f>IF(AND(ISNUMBER(BR219),ISNUMBER(BR163)),IFERROR(BR219/BR163,""),"")</f>
        <v>0.516632016632017</v>
      </c>
      <c r="BS220" s="215">
        <f>IF(AND(ISNUMBER(BS219),ISNUMBER(BS163)),IFERROR(BS219/BS163,""),"")</f>
        <v>0.50895679662803</v>
      </c>
      <c r="BT220" s="215">
        <f>IF(AND(ISNUMBER(BT219),ISNUMBER(BT163)),IFERROR(BT219/BT163,""),"")</f>
        <v>0.52914798206278</v>
      </c>
      <c r="BU220" s="215">
        <f>IF(AND(ISNUMBER(BU219),ISNUMBER(BU163)),IFERROR(BU219/BU163,""),"")</f>
        <v>0.487030174695606</v>
      </c>
      <c r="BV220" s="215">
        <f>IF(AND(ISNUMBER(BV219),ISNUMBER(BV163)),IFERROR(BV219/BV163,""),"")</f>
        <v>0.51075408136823</v>
      </c>
      <c r="BW220" s="215">
        <f>IF(AND(ISNUMBER(BW219),ISNUMBER(BW163)),IFERROR(BW219/BW163,""),"")</f>
        <v>0.531505531505532</v>
      </c>
      <c r="BX220" s="215">
        <f>IF(AND(ISNUMBER(BX219),ISNUMBER(BX163)),IFERROR(BX219/BX163,""),"")</f>
        <v>0.552860411899314</v>
      </c>
      <c r="BY220" s="256">
        <f>IF(AND(ISNUMBER(BY219),ISNUMBER(BY163)),IFERROR(BY219/BY163,""),"")</f>
        <v>0.527114367633833</v>
      </c>
      <c r="BZ220" s="256">
        <f>IF(AND(ISNUMBER(BZ219),ISNUMBER(BZ163)),IFERROR(BZ219/BZ163,""),"")</f>
        <v>0.484106676629689</v>
      </c>
      <c r="CA220" s="256">
        <f>IF(AND(ISNUMBER(CA219),ISNUMBER(CA163)),IFERROR(CA219/CA163,""),"")</f>
        <v>0.525007322467385</v>
      </c>
      <c r="CB220" s="256">
        <f>IF(AND(ISNUMBER(CB219),ISNUMBER(CB163)),IFERROR(CB219/CB163,""),"")</f>
        <v>0.531368569555706</v>
      </c>
      <c r="CC220" s="256">
        <f>IF(AND(ISNUMBER(CC219),ISNUMBER(CC163)),IFERROR(CC219/CC163,""),"")</f>
        <v>0.536479481946473</v>
      </c>
      <c r="CD220" s="256">
        <f>IF(AND(ISNUMBER(CD219),ISNUMBER(CD163)),IFERROR(CD219/CD163,""),"")</f>
        <v>0.541902540061138</v>
      </c>
      <c r="CE220" s="256">
        <f>IF(AND(ISNUMBER(CE219),ISNUMBER(CE163)),IFERROR(CE219/CE163,""),"")</f>
        <v>0.547207148030497</v>
      </c>
      <c r="CF220" s="153" t="n"/>
      <c r="CH220" s="37">
        <f>IFERROR(AVERAGE(CA220,CB220,CC220,CD220,CE220),"n/m")</f>
        <v>0.53639301241224</v>
      </c>
      <c r="CI220" s="37">
        <f>IFERROR(AVERAGE(BB220,BG220,BL220,BQ220,BV220),"n/m")</f>
        <v>0.471001798426846</v>
      </c>
      <c r="CJ220" s="37">
        <f>IFERROR(AVERAGE(AC220,AH220,AM220,AR220,AW220,BB220,BG220,BL220,BQ220,BV220),"n/m")</f>
        <v>0.473120575359389</v>
      </c>
      <c r="CK220" s="37">
        <f>IFERROR(AVERAGE(C220,D220,E220,F220,G220,H220,I220,N220,S220,X220,AC220,AH220,AM220,AR220,AW220,BB220,BG220,BL220,BQ220,BV220),"n/m")</f>
        <v>0.46801912639185</v>
      </c>
    </row>
    <row r="221" ht="15" customHeight="1" s="251">
      <c r="B221" s="57" t="inlineStr">
        <is>
          <t xml:space="preserve">  Check: Adjusted EBITDA vs company-published Adjusted Operating Income (should be 0)</t>
        </is>
      </c>
      <c r="C221" s="261" t="str">
        <f>IF(AND(ISNUMBER(C204),ISNUMBER(C219)),IF(ABS(C219-C204)&lt;=1.5,0,ROUND(C219-C204,1)),"n/p")</f>
        <v>n/p</v>
      </c>
      <c r="D221" s="261" t="str">
        <f>IF(AND(ISNUMBER(D204),ISNUMBER(D219)),IF(ABS(D219-D204)&lt;=1.5,0,ROUND(D219-D204,1)),"n/p")</f>
        <v>n/p</v>
      </c>
      <c r="E221" s="261" t="str">
        <f>IF(AND(ISNUMBER(E204),ISNUMBER(E219)),IF(ABS(E219-E204)&lt;=1.5,0,ROUND(E219-E204,1)),"n/p")</f>
        <v>n/p</v>
      </c>
      <c r="F221" s="261" t="str">
        <f>IF(AND(ISNUMBER(F204),ISNUMBER(F219)),IF(ABS(F219-F204)&lt;=1.5,0,ROUND(F219-F204,1)),"n/p")</f>
        <v>n/p</v>
      </c>
      <c r="G221" s="261" t="str">
        <f>IF(AND(ISNUMBER(G204),ISNUMBER(G219)),IF(ABS(G219-G204)&lt;=1.5,0,ROUND(G219-G204,1)),"n/p")</f>
        <v>n/p</v>
      </c>
      <c r="H221" s="261" t="str">
        <f>IF(AND(ISNUMBER(H204),ISNUMBER(H219)),IF(ABS(H219-H204)&lt;=1.5,0,ROUND(H219-H204,1)),"n/p")</f>
        <v>n/p</v>
      </c>
      <c r="I221" s="261">
        <f>IF(AND(ISNUMBER(I204),ISNUMBER(I219)),IF(ABS(I219-I204)&lt;=1.5,0,ROUND(I219-I204,1)),"n/p")</f>
        <v>0</v>
      </c>
      <c r="J221" s="261">
        <f>IF(AND(ISNUMBER(J204),ISNUMBER(J219)),IF(ABS(J219-J204)&lt;=1.5,0,ROUND(J219-J204,1)),"n/p")</f>
        <v>0</v>
      </c>
      <c r="K221" s="261">
        <f>IF(AND(ISNUMBER(K204),ISNUMBER(K219)),IF(ABS(K219-K204)&lt;=1.5,0,ROUND(K219-K204,1)),"n/p")</f>
        <v>0</v>
      </c>
      <c r="L221" s="261">
        <f>IF(AND(ISNUMBER(L204),ISNUMBER(L219)),IF(ABS(L219-L204)&lt;=1.5,0,ROUND(L219-L204,1)),"n/p")</f>
        <v>0</v>
      </c>
      <c r="M221" s="261">
        <f>IF(AND(ISNUMBER(M204),ISNUMBER(M219)),IF(ABS(M219-M204)&lt;=1.5,0,ROUND(M219-M204,1)),"n/p")</f>
        <v>0</v>
      </c>
      <c r="N221" s="261">
        <f>IF(AND(ISNUMBER(N204),ISNUMBER(N219)),IF(ABS(N219-N204)&lt;=1.5,0,ROUND(N219-N204,1)),"n/p")</f>
        <v>0</v>
      </c>
      <c r="O221" s="261">
        <f>IF(AND(ISNUMBER(O204),ISNUMBER(O219)),IF(ABS(O219-O204)&lt;=1.5,0,ROUND(O219-O204,1)),"n/p")</f>
        <v>0</v>
      </c>
      <c r="P221" s="261">
        <f>IF(AND(ISNUMBER(P204),ISNUMBER(P219)),IF(ABS(P219-P204)&lt;=1.5,0,ROUND(P219-P204,1)),"n/p")</f>
        <v>0</v>
      </c>
      <c r="Q221" s="261">
        <f>IF(AND(ISNUMBER(Q204),ISNUMBER(Q219)),IF(ABS(Q219-Q204)&lt;=1.5,0,ROUND(Q219-Q204,1)),"n/p")</f>
        <v>0</v>
      </c>
      <c r="R221" s="261">
        <f>IF(AND(ISNUMBER(R204),ISNUMBER(R219)),IF(ABS(R219-R204)&lt;=1.5,0,ROUND(R219-R204,1)),"n/p")</f>
        <v>0</v>
      </c>
      <c r="S221" s="261">
        <f>IF(AND(ISNUMBER(S204),ISNUMBER(S219)),IF(ABS(S219-S204)&lt;=1.5,0,ROUND(S219-S204,1)),"n/p")</f>
        <v>0</v>
      </c>
      <c r="T221" s="261">
        <f>IF(AND(ISNUMBER(T204),ISNUMBER(T219)),IF(ABS(T219-T204)&lt;=1.5,0,ROUND(T219-T204,1)),"n/p")</f>
        <v>0</v>
      </c>
      <c r="U221" s="261">
        <f>IF(AND(ISNUMBER(U204),ISNUMBER(U219)),IF(ABS(U219-U204)&lt;=1.5,0,ROUND(U219-U204,1)),"n/p")</f>
        <v>0</v>
      </c>
      <c r="V221" s="261">
        <f>IF(AND(ISNUMBER(V204),ISNUMBER(V219)),IF(ABS(V219-V204)&lt;=1.5,0,ROUND(V219-V204,1)),"n/p")</f>
        <v>0</v>
      </c>
      <c r="W221" s="261">
        <f>IF(AND(ISNUMBER(W204),ISNUMBER(W219)),IF(ABS(W219-W204)&lt;=1.5,0,ROUND(W219-W204,1)),"n/p")</f>
        <v>0</v>
      </c>
      <c r="X221" s="261">
        <f>IF(AND(ISNUMBER(X204),ISNUMBER(X219)),IF(ABS(X219-X204)&lt;=1.5,0,ROUND(X219-X204,1)),"n/p")</f>
        <v>0</v>
      </c>
      <c r="Y221" s="261">
        <f>IF(AND(ISNUMBER(Y204),ISNUMBER(Y219)),IF(ABS(Y219-Y204)&lt;=1.5,0,ROUND(Y219-Y204,1)),"n/p")</f>
        <v>0</v>
      </c>
      <c r="Z221" s="261">
        <f>IF(AND(ISNUMBER(Z204),ISNUMBER(Z219)),IF(ABS(Z219-Z204)&lt;=1.5,0,ROUND(Z219-Z204,1)),"n/p")</f>
        <v>0</v>
      </c>
      <c r="AA221" s="261">
        <f>IF(AND(ISNUMBER(AA204),ISNUMBER(AA219)),IF(ABS(AA219-AA204)&lt;=1.5,0,ROUND(AA219-AA204,1)),"n/p")</f>
        <v>0</v>
      </c>
      <c r="AB221" s="261">
        <f>IF(AND(ISNUMBER(AB204),ISNUMBER(AB219)),IF(ABS(AB219-AB204)&lt;=1.5,0,ROUND(AB219-AB204,1)),"n/p")</f>
        <v>0</v>
      </c>
      <c r="AC221" s="261">
        <f>IF(AND(ISNUMBER(AC204),ISNUMBER(AC219)),IF(ABS(AC219-AC204)&lt;=1.5,0,ROUND(AC219-AC204,1)),"n/p")</f>
        <v>0</v>
      </c>
      <c r="AD221" s="261">
        <f>IF(AND(ISNUMBER(AD204),ISNUMBER(AD219)),IF(ABS(AD219-AD204)&lt;=1.5,0,ROUND(AD219-AD204,1)),"n/p")</f>
        <v>0</v>
      </c>
      <c r="AE221" s="261">
        <f>IF(AND(ISNUMBER(AE204),ISNUMBER(AE219)),IF(ABS(AE219-AE204)&lt;=1.5,0,ROUND(AE219-AE204,1)),"n/p")</f>
        <v>0</v>
      </c>
      <c r="AF221" s="261">
        <f>IF(AND(ISNUMBER(AF204),ISNUMBER(AF219)),IF(ABS(AF219-AF204)&lt;=1.5,0,ROUND(AF219-AF204,1)),"n/p")</f>
        <v>0</v>
      </c>
      <c r="AG221" s="261">
        <f>IF(AND(ISNUMBER(AG204),ISNUMBER(AG219)),IF(ABS(AG219-AG204)&lt;=1.5,0,ROUND(AG219-AG204,1)),"n/p")</f>
        <v>0</v>
      </c>
      <c r="AH221" s="261">
        <f>IF(AND(ISNUMBER(AH204),ISNUMBER(AH219)),IF(ABS(AH219-AH204)&lt;=1.5,0,ROUND(AH219-AH204,1)),"n/p")</f>
        <v>0</v>
      </c>
      <c r="AI221" s="261">
        <f>IF(AND(ISNUMBER(AI204),ISNUMBER(AI219)),IF(ABS(AI219-AI204)&lt;=1.5,0,ROUND(AI219-AI204,1)),"n/p")</f>
        <v>0</v>
      </c>
      <c r="AJ221" s="261">
        <f>IF(AND(ISNUMBER(AJ204),ISNUMBER(AJ219)),IF(ABS(AJ219-AJ204)&lt;=1.5,0,ROUND(AJ219-AJ204,1)),"n/p")</f>
        <v>0</v>
      </c>
      <c r="AK221" s="261">
        <f>IF(AND(ISNUMBER(AK204),ISNUMBER(AK219)),IF(ABS(AK219-AK204)&lt;=1.5,0,ROUND(AK219-AK204,1)),"n/p")</f>
        <v>0</v>
      </c>
      <c r="AL221" s="261">
        <f>IF(AND(ISNUMBER(AL204),ISNUMBER(AL219)),IF(ABS(AL219-AL204)&lt;=1.5,0,ROUND(AL219-AL204,1)),"n/p")</f>
        <v>0</v>
      </c>
      <c r="AM221" s="261">
        <f>IF(AND(ISNUMBER(AM204),ISNUMBER(AM219)),IF(ABS(AM219-AM204)&lt;=1.5,0,ROUND(AM219-AM204,1)),"n/p")</f>
        <v>0</v>
      </c>
      <c r="AN221" s="261">
        <f>IF(AND(ISNUMBER(AN204),ISNUMBER(AN219)),IF(ABS(AN219-AN204)&lt;=1.5,0,ROUND(AN219-AN204,1)),"n/p")</f>
        <v>0</v>
      </c>
      <c r="AO221" s="261">
        <f>IF(AND(ISNUMBER(AO204),ISNUMBER(AO219)),IF(ABS(AO219-AO204)&lt;=1.5,0,ROUND(AO219-AO204,1)),"n/p")</f>
        <v>0</v>
      </c>
      <c r="AP221" s="261">
        <f>IF(AND(ISNUMBER(AP204),ISNUMBER(AP219)),IF(ABS(AP219-AP204)&lt;=1.5,0,ROUND(AP219-AP204,1)),"n/p")</f>
        <v>0</v>
      </c>
      <c r="AQ221" s="261">
        <f>IF(AND(ISNUMBER(AQ204),ISNUMBER(AQ219)),IF(ABS(AQ219-AQ204)&lt;=1.5,0,ROUND(AQ219-AQ204,1)),"n/p")</f>
        <v>0</v>
      </c>
      <c r="AR221" s="261">
        <f>IF(AND(ISNUMBER(AR204),ISNUMBER(AR219)),IF(ABS(AR219-AR204)&lt;=1.5,0,ROUND(AR219-AR204,1)),"n/p")</f>
        <v>0</v>
      </c>
      <c r="AS221" s="261">
        <f>IF(AND(ISNUMBER(AS204),ISNUMBER(AS219)),IF(ABS(AS219-AS204)&lt;=1.5,0,ROUND(AS219-AS204,1)),"n/p")</f>
        <v>0</v>
      </c>
      <c r="AT221" s="261">
        <f>IF(AND(ISNUMBER(AT204),ISNUMBER(AT219)),IF(ABS(AT219-AT204)&lt;=1.5,0,ROUND(AT219-AT204,1)),"n/p")</f>
        <v>0</v>
      </c>
      <c r="AU221" s="261">
        <f>IF(AND(ISNUMBER(AU204),ISNUMBER(AU219)),IF(ABS(AU219-AU204)&lt;=1.5,0,ROUND(AU219-AU204,1)),"n/p")</f>
        <v>0</v>
      </c>
      <c r="AV221" s="261">
        <f>IF(AND(ISNUMBER(AV204),ISNUMBER(AV219)),IF(ABS(AV219-AV204)&lt;=1.5,0,ROUND(AV219-AV204,1)),"n/p")</f>
        <v>0</v>
      </c>
      <c r="AW221" s="261">
        <f>IF(AND(ISNUMBER(AW204),ISNUMBER(AW219)),IF(ABS(AW219-AW204)&lt;=1.5,0,ROUND(AW219-AW204,1)),"n/p")</f>
        <v>0</v>
      </c>
      <c r="AX221" s="261">
        <f>IF(AND(ISNUMBER(AX204),ISNUMBER(AX219)),IF(ABS(AX219-AX204)&lt;=1.5,0,ROUND(AX219-AX204,1)),"n/p")</f>
        <v>0</v>
      </c>
      <c r="AY221" s="261">
        <f>IF(AND(ISNUMBER(AY204),ISNUMBER(AY219)),IF(ABS(AY219-AY204)&lt;=1.5,0,ROUND(AY219-AY204,1)),"n/p")</f>
        <v>0</v>
      </c>
      <c r="AZ221" s="261">
        <f>IF(AND(ISNUMBER(AZ204),ISNUMBER(AZ219)),IF(ABS(AZ219-AZ204)&lt;=1.5,0,ROUND(AZ219-AZ204,1)),"n/p")</f>
        <v>0</v>
      </c>
      <c r="BA221" s="261">
        <f>IF(AND(ISNUMBER(BA204),ISNUMBER(BA219)),IF(ABS(BA219-BA204)&lt;=1.5,0,ROUND(BA219-BA204,1)),"n/p")</f>
        <v>0</v>
      </c>
      <c r="BB221" s="261">
        <f>IF(AND(ISNUMBER(BB204),ISNUMBER(BB219)),IF(ABS(BB219-BB204)&lt;=1.5,0,ROUND(BB219-BB204,1)),"n/p")</f>
        <v>0</v>
      </c>
      <c r="BC221" s="261">
        <f>IF(AND(ISNUMBER(BC204),ISNUMBER(BC219)),IF(ABS(BC219-BC204)&lt;=1.5,0,ROUND(BC219-BC204,1)),"n/p")</f>
        <v>0</v>
      </c>
      <c r="BD221" s="261">
        <f>IF(AND(ISNUMBER(BD204),ISNUMBER(BD219)),IF(ABS(BD219-BD204)&lt;=1.5,0,ROUND(BD219-BD204,1)),"n/p")</f>
        <v>0</v>
      </c>
      <c r="BE221" s="261">
        <f>IF(AND(ISNUMBER(BE204),ISNUMBER(BE219)),IF(ABS(BE219-BE204)&lt;=1.5,0,ROUND(BE219-BE204,1)),"n/p")</f>
        <v>0</v>
      </c>
      <c r="BF221" s="261">
        <f>IF(AND(ISNUMBER(BF204),ISNUMBER(BF219)),IF(ABS(BF219-BF204)&lt;=1.5,0,ROUND(BF219-BF204,1)),"n/p")</f>
        <v>0</v>
      </c>
      <c r="BG221" s="261">
        <f>IF(AND(ISNUMBER(BG204),ISNUMBER(BG219)),IF(ABS(BG219-BG204)&lt;=1.5,0,ROUND(BG219-BG204,1)),"n/p")</f>
        <v>0</v>
      </c>
      <c r="BH221" s="261">
        <f>IF(AND(ISNUMBER(BH204),ISNUMBER(BH219)),IF(ABS(BH219-BH204)&lt;=1.5,0,ROUND(BH219-BH204,1)),"n/p")</f>
        <v>0</v>
      </c>
      <c r="BI221" s="261">
        <f>IF(AND(ISNUMBER(BI204),ISNUMBER(BI219)),IF(ABS(BI219-BI204)&lt;=1.5,0,ROUND(BI219-BI204,1)),"n/p")</f>
        <v>0</v>
      </c>
      <c r="BJ221" s="261">
        <f>IF(AND(ISNUMBER(BJ204),ISNUMBER(BJ219)),IF(ABS(BJ219-BJ204)&lt;=1.5,0,ROUND(BJ219-BJ204,1)),"n/p")</f>
        <v>0</v>
      </c>
      <c r="BK221" s="261">
        <f>IF(AND(ISNUMBER(BK204),ISNUMBER(BK219)),IF(ABS(BK219-BK204)&lt;=1.5,0,ROUND(BK219-BK204,1)),"n/p")</f>
        <v>0</v>
      </c>
      <c r="BL221" s="261">
        <f>IF(AND(ISNUMBER(BL204),ISNUMBER(BL219)),IF(ABS(BL219-BL204)&lt;=1.5,0,ROUND(BL219-BL204,1)),"n/p")</f>
        <v>0</v>
      </c>
      <c r="BM221" s="261">
        <f>IF(AND(ISNUMBER(BM204),ISNUMBER(BM219)),IF(ABS(BM219-BM204)&lt;=1.5,0,ROUND(BM219-BM204,1)),"n/p")</f>
        <v>0</v>
      </c>
      <c r="BN221" s="261">
        <f>IF(AND(ISNUMBER(BN204),ISNUMBER(BN219)),IF(ABS(BN219-BN204)&lt;=1.5,0,ROUND(BN219-BN204,1)),"n/p")</f>
        <v>0</v>
      </c>
      <c r="BO221" s="261">
        <f>IF(AND(ISNUMBER(BO204),ISNUMBER(BO219)),IF(ABS(BO219-BO204)&lt;=1.5,0,ROUND(BO219-BO204,1)),"n/p")</f>
        <v>0</v>
      </c>
      <c r="BP221" s="261">
        <f>IF(AND(ISNUMBER(BP204),ISNUMBER(BP219)),IF(ABS(BP219-BP204)&lt;=1.5,0,ROUND(BP219-BP204,1)),"n/p")</f>
        <v>0</v>
      </c>
      <c r="BQ221" s="261">
        <f>IF(AND(ISNUMBER(BQ204),ISNUMBER(BQ219)),IF(ABS(BQ219-BQ204)&lt;=1.5,0,ROUND(BQ219-BQ204,1)),"n/p")</f>
        <v>0</v>
      </c>
      <c r="BR221" s="261">
        <f>IF(AND(ISNUMBER(BR204),ISNUMBER(BR219)),IF(ABS(BR219-BR204)&lt;=1.5,0,ROUND(BR219-BR204,1)),"n/p")</f>
        <v>0</v>
      </c>
      <c r="BS221" s="261">
        <f>IF(AND(ISNUMBER(BS204),ISNUMBER(BS219)),IF(ABS(BS219-BS204)&lt;=1.5,0,ROUND(BS219-BS204,1)),"n/p")</f>
        <v>0</v>
      </c>
      <c r="BT221" s="261">
        <f>IF(AND(ISNUMBER(BT204),ISNUMBER(BT219)),IF(ABS(BT219-BT204)&lt;=1.5,0,ROUND(BT219-BT204,1)),"n/p")</f>
        <v>0</v>
      </c>
      <c r="BU221" s="261">
        <f>IF(AND(ISNUMBER(BU204),ISNUMBER(BU219)),IF(ABS(BU219-BU204)&lt;=1.5,0,ROUND(BU219-BU204,1)),"n/p")</f>
        <v>0</v>
      </c>
      <c r="BV221" s="261">
        <f>IF(AND(ISNUMBER(BV204),ISNUMBER(BV219)),IF(ABS(BV219-BV204)&lt;=1.5,0,ROUND(BV219-BV204,1)),"n/p")</f>
        <v>0</v>
      </c>
      <c r="BW221" s="261">
        <f>IF(AND(ISNUMBER(BW204),ISNUMBER(BW219)),IF(ABS(BW219-BW204)&lt;=1.5,0,ROUND(BW219-BW204,1)),"n/p")</f>
        <v>0</v>
      </c>
      <c r="BX221" s="261">
        <f>IF(AND(ISNUMBER(BX204),ISNUMBER(BX219)),IF(ABS(BX219-BX204)&lt;=1.5,0,ROUND(BX219-BX204,1)),"n/p")</f>
        <v>0</v>
      </c>
      <c r="BY221" s="153" t="n"/>
      <c r="BZ221" s="153" t="n"/>
      <c r="CA221" s="153" t="n"/>
      <c r="CB221" s="153" t="n"/>
      <c r="CC221" s="153" t="n"/>
      <c r="CD221" s="153" t="n"/>
      <c r="CE221" s="153" t="n"/>
      <c r="CF221" s="153" t="n"/>
    </row>
    <row r="222" collapsed="1" ht="15" customHeight="1" s="251">
      <c r="B222" s="25" t="inlineStr">
        <is>
          <t>To adjusted EBITA (for NOPAT, ROIC and the DCF):</t>
        </is>
      </c>
      <c r="CF222" s="153" t="n"/>
    </row>
    <row r="223" ht="15" customHeight="1" s="251">
      <c r="B223" s="25" t="inlineStr">
        <is>
          <t xml:space="preserve">  (−) Depreciation &amp; amortization excl. acquired intangibles</t>
        </is>
      </c>
      <c r="C223" s="261">
        <f>IF(ISNUMBER(C152),-C152,"")</f>
      </c>
      <c r="D223" s="261">
        <f>IF(ISNUMBER(D152),-D152,"")</f>
      </c>
      <c r="E223" s="261">
        <f>IF(ISNUMBER(E152),-E152,"")</f>
        <v>-46.9</v>
      </c>
      <c r="F223" s="261">
        <f>IF(ISNUMBER(F152),-F152,"")</f>
        <v>-47.7</v>
      </c>
      <c r="G223" s="261">
        <f>IF(ISNUMBER(G152),-G152,"")</f>
        <v>-49.9</v>
      </c>
      <c r="H223" s="261">
        <f>IF(ISNUMBER(H152),-H152,"")</f>
        <v>-58.7</v>
      </c>
      <c r="I223" s="261">
        <f>IF(ISNUMBER(I152),-I152,"")</f>
        <v>-63.4</v>
      </c>
      <c r="J223" s="261">
        <f>IF(ISNUMBER(J152),-J152,"")</f>
        <v>-16.5</v>
      </c>
      <c r="K223" s="261">
        <f>IF(ISNUMBER(K152),-K152,"")</f>
        <v>-16.2</v>
      </c>
      <c r="L223" s="261">
        <f>IF(ISNUMBER(L152),-L152,"")</f>
        <v>-16.4</v>
      </c>
      <c r="M223" s="261">
        <f>IF(ISNUMBER(M152),-M152,"")</f>
        <v>-16.3</v>
      </c>
      <c r="N223" s="261">
        <f>IF(ISNUMBER(N152),-N152,"")</f>
        <v>-65.4</v>
      </c>
      <c r="O223" s="261">
        <f>IF(ISNUMBER(O152),-O152,"")</f>
        <v>-15.8</v>
      </c>
      <c r="P223" s="261">
        <f>IF(ISNUMBER(P152),-P152,"")</f>
        <v>-16</v>
      </c>
      <c r="Q223" s="261">
        <f>IF(ISNUMBER(Q152),-Q152,"")</f>
        <v>-16.3</v>
      </c>
      <c r="R223" s="261">
        <f>IF(ISNUMBER(R152),-R152,"")</f>
        <v>-19.1</v>
      </c>
      <c r="S223" s="261">
        <f>IF(ISNUMBER(S152),-S152,"")</f>
        <v>-67.2</v>
      </c>
      <c r="T223" s="261">
        <f>IF(ISNUMBER(T152),-T152,"")</f>
        <v>-20.1</v>
      </c>
      <c r="U223" s="261">
        <f>IF(ISNUMBER(U152),-U152,"")</f>
        <v>-19.9</v>
      </c>
      <c r="V223" s="261">
        <f>IF(ISNUMBER(V152),-V152,"")</f>
        <v>-20.7</v>
      </c>
      <c r="W223" s="261">
        <f>IF(ISNUMBER(W152),-W152,"")</f>
        <v>-20.9</v>
      </c>
      <c r="X223" s="261">
        <f>IF(ISNUMBER(X152),-X152,"")</f>
        <v>-81.6</v>
      </c>
      <c r="Y223" s="261">
        <f>IF(ISNUMBER(Y152),-Y152,"")</f>
        <v>-22</v>
      </c>
      <c r="Z223" s="261">
        <f>IF(ISNUMBER(Z152),-Z152,"")</f>
        <v>-22.5</v>
      </c>
      <c r="AA223" s="261">
        <f>IF(ISNUMBER(AA152),-AA152,"")</f>
        <v>-23.8</v>
      </c>
      <c r="AB223" s="261">
        <f>IF(ISNUMBER(AB152),-AB152,"")</f>
        <v>-24.2</v>
      </c>
      <c r="AC223" s="261">
        <f>IF(ISNUMBER(AC152),-AC152,"")</f>
        <v>-92.5</v>
      </c>
      <c r="AD223" s="261">
        <f>IF(ISNUMBER(AD152),-AD152,"")</f>
        <v>-24</v>
      </c>
      <c r="AE223" s="261">
        <f>IF(ISNUMBER(AE152),-AE152,"")</f>
        <v>-24.3</v>
      </c>
      <c r="AF223" s="261">
        <f>IF(ISNUMBER(AF152),-AF152,"")</f>
        <v>-24.2</v>
      </c>
      <c r="AG223" s="261">
        <f>IF(ISNUMBER(AG152),-AG152,"")</f>
        <v>-24.4</v>
      </c>
      <c r="AH223" s="261">
        <f>IF(ISNUMBER(AH152),-AH152,"")</f>
        <v>-96.9</v>
      </c>
      <c r="AI223" s="261">
        <f>IF(ISNUMBER(AI152),-AI152,"")</f>
        <v>-23.4</v>
      </c>
      <c r="AJ223" s="261">
        <f>IF(ISNUMBER(AJ152),-AJ152,"")</f>
        <v>-23.3</v>
      </c>
      <c r="AK223" s="261">
        <f>IF(ISNUMBER(AK152),-AK152,"")</f>
        <v>-21.5</v>
      </c>
      <c r="AL223" s="261">
        <f>IF(ISNUMBER(AL152),-AL152,"")</f>
        <v>-22</v>
      </c>
      <c r="AM223" s="261">
        <f>IF(ISNUMBER(AM152),-AM152,"")</f>
        <v>-90.2</v>
      </c>
      <c r="AN223" s="261">
        <f>IF(ISNUMBER(AN152),-AN152,"")</f>
        <v>-23.9</v>
      </c>
      <c r="AO223" s="261">
        <f>IF(ISNUMBER(AO152),-AO152,"")</f>
        <v>-24.8</v>
      </c>
      <c r="AP223" s="261">
        <f>IF(ISNUMBER(AP152),-AP152,"")</f>
        <v>-23.9</v>
      </c>
      <c r="AQ223" s="261">
        <f>IF(ISNUMBER(AQ152),-AQ152,"")</f>
        <v>-24.3</v>
      </c>
      <c r="AR223" s="261">
        <f>IF(ISNUMBER(AR152),-AR152,"")</f>
        <v>-97</v>
      </c>
      <c r="AS223" s="261">
        <f>IF(ISNUMBER(AS152),-AS152,"")</f>
        <v>-21</v>
      </c>
      <c r="AT223" s="261">
        <f>IF(ISNUMBER(AT152),-AT152,"")</f>
        <v>-27</v>
      </c>
      <c r="AU223" s="261">
        <f>IF(ISNUMBER(AU152),-AU152,"")</f>
        <v>-25</v>
      </c>
      <c r="AV223" s="261">
        <f>IF(ISNUMBER(AV152),-AV152,"")</f>
        <v>-23</v>
      </c>
      <c r="AW223" s="261">
        <f>IF(ISNUMBER(AW152),-AW152,"")</f>
        <v>-96</v>
      </c>
      <c r="AX223" s="261">
        <f>IF(ISNUMBER(AX152),-AX152,"")</f>
        <v>-24</v>
      </c>
      <c r="AY223" s="261">
        <f>IF(ISNUMBER(AY152),-AY152,"")</f>
        <v>-24</v>
      </c>
      <c r="AZ223" s="261">
        <f>IF(ISNUMBER(AZ152),-AZ152,"")</f>
        <v>-24</v>
      </c>
      <c r="BA223" s="261">
        <f>IF(ISNUMBER(BA152),-BA152,"")</f>
        <v>-27</v>
      </c>
      <c r="BB223" s="261">
        <f>IF(ISNUMBER(BB152),-BB152,"")</f>
        <v>-99</v>
      </c>
      <c r="BC223" s="261">
        <f>IF(ISNUMBER(BC152),-BC152,"")</f>
        <v>-27</v>
      </c>
      <c r="BD223" s="261">
        <f>IF(ISNUMBER(BD152),-BD152,"")</f>
        <v>-30</v>
      </c>
      <c r="BE223" s="261">
        <f>IF(ISNUMBER(BE152),-BE152,"")</f>
        <v>-35</v>
      </c>
      <c r="BF223" s="261">
        <f>IF(ISNUMBER(BF152),-BF152,"")</f>
        <v>-39</v>
      </c>
      <c r="BG223" s="261">
        <f>IF(ISNUMBER(BG152),-BG152,"")</f>
        <v>-131</v>
      </c>
      <c r="BH223" s="261">
        <f>IF(ISNUMBER(BH152),-BH152,"")</f>
        <v>-37</v>
      </c>
      <c r="BI223" s="261">
        <f>IF(ISNUMBER(BI152),-BI152,"")</f>
        <v>-43</v>
      </c>
      <c r="BJ223" s="261">
        <f>IF(ISNUMBER(BJ152),-BJ152,"")</f>
        <v>-46</v>
      </c>
      <c r="BK223" s="261">
        <f>IF(ISNUMBER(BK152),-BK152,"")</f>
        <v>-49</v>
      </c>
      <c r="BL223" s="261">
        <f>IF(ISNUMBER(BL152),-BL152,"")</f>
        <v>-175</v>
      </c>
      <c r="BM223" s="261">
        <f>IF(ISNUMBER(BM152),-BM152,"")</f>
        <v>-51</v>
      </c>
      <c r="BN223" s="261">
        <f>IF(ISNUMBER(BN152),-BN152,"")</f>
        <v>-62</v>
      </c>
      <c r="BO223" s="261">
        <f>IF(ISNUMBER(BO152),-BO152,"")</f>
        <v>-57</v>
      </c>
      <c r="BP223" s="261">
        <f>IF(ISNUMBER(BP152),-BP152,"")</f>
        <v>-63</v>
      </c>
      <c r="BQ223" s="261">
        <f>IF(ISNUMBER(BQ152),-BQ152,"")</f>
        <v>-233</v>
      </c>
      <c r="BR223" s="261">
        <f>IF(ISNUMBER(BR152),-BR152,"")</f>
        <v>-60</v>
      </c>
      <c r="BS223" s="261">
        <f>IF(ISNUMBER(BS152),-BS152,"")</f>
        <v>-65</v>
      </c>
      <c r="BT223" s="261">
        <f>IF(ISNUMBER(BT152),-BT152,"")</f>
        <v>-68</v>
      </c>
      <c r="BU223" s="261">
        <f>IF(ISNUMBER(BU152),-BU152,"")</f>
        <v>-72</v>
      </c>
      <c r="BV223" s="261">
        <f>IF(ISNUMBER(BV152),-BV152,"")</f>
        <v>-265</v>
      </c>
      <c r="BW223" s="261">
        <f>IF(ISNUMBER(BW152),-BW152,"")</f>
        <v>-69</v>
      </c>
      <c r="BX223" s="261">
        <f>IF(ISNUMBER(BX152),-BX152,"")</f>
        <v>-73</v>
      </c>
      <c r="BY223" s="254">
        <f>IF(ISNUMBER(BY152),-BY152,"")</f>
        <v>-68</v>
      </c>
      <c r="BZ223" s="254">
        <f>IF(ISNUMBER(BZ152),-BZ152,"")</f>
        <v>-68</v>
      </c>
      <c r="CA223" s="254">
        <f>IF(ISNUMBER(CA152),-CA152,"")</f>
        <v>-278</v>
      </c>
      <c r="CB223" s="254">
        <f>IF(ISNUMBER(CB152),-CB152,"")</f>
        <v>-317.53591665363</v>
      </c>
      <c r="CC223" s="254">
        <f>IF(ISNUMBER(CC152),-CC152,"")</f>
        <v>-348.511389465819</v>
      </c>
      <c r="CD223" s="254">
        <f>IF(ISNUMBER(CD152),-CD152,"")</f>
        <v>-381.034843017274</v>
      </c>
      <c r="CE223" s="254">
        <f>IF(ISNUMBER(CE152),-CE152,"")</f>
        <v>-403.929007311705</v>
      </c>
      <c r="CF223" s="19" t="n"/>
    </row>
    <row r="224" ht="15" customHeight="1" s="251">
      <c r="B224" s="55" t="inlineStr">
        <is>
          <t xml:space="preserve">  = Adjusted EBITA (Adjusted Operating Income − depreciation; before acquired-intangible amortization)</t>
        </is>
      </c>
      <c r="C224" s="275">
        <f>IF(AND(ISNUMBER(C219),ISNUMBER(C223)),C219+C223,"")</f>
      </c>
      <c r="D224" s="275">
        <f>IF(AND(ISNUMBER(D219),ISNUMBER(D223)),D219+D223,"")</f>
      </c>
      <c r="E224" s="275">
        <f>IF(AND(ISNUMBER(E219),ISNUMBER(E223)),E219+E223,"")</f>
        <v>773.9</v>
      </c>
      <c r="F224" s="275">
        <f>IF(AND(ISNUMBER(F219),ISNUMBER(F223)),F219+F223,"")</f>
        <v>721.4</v>
      </c>
      <c r="G224" s="275">
        <f>IF(AND(ISNUMBER(G219),ISNUMBER(G223)),G219+G223,"")</f>
        <v>789.3</v>
      </c>
      <c r="H224" s="275">
        <f>IF(AND(ISNUMBER(H219),ISNUMBER(H223)),H219+H223,"")</f>
        <v>908.9</v>
      </c>
      <c r="I224" s="275">
        <f>IF(AND(ISNUMBER(I219),ISNUMBER(I223)),I219+I223,"")</f>
        <v>1119.7</v>
      </c>
      <c r="J224" s="275">
        <f>IF(AND(ISNUMBER(J219),ISNUMBER(J223)),J219+J223,"")</f>
        <v>287.5</v>
      </c>
      <c r="K224" s="275">
        <f>IF(AND(ISNUMBER(K219),ISNUMBER(K223)),K219+K223,"")</f>
        <v>357.7</v>
      </c>
      <c r="L224" s="275">
        <f>IF(AND(ISNUMBER(L219),ISNUMBER(L223)),L219+L223,"")</f>
        <v>298.5</v>
      </c>
      <c r="M224" s="275">
        <f>IF(AND(ISNUMBER(M219),ISNUMBER(M223)),M219+M223,"")</f>
        <v>318.9</v>
      </c>
      <c r="N224" s="275">
        <f>IF(AND(ISNUMBER(N219),ISNUMBER(N223)),N219+N223,"")</f>
        <v>1262.6</v>
      </c>
      <c r="O224" s="275">
        <f>IF(AND(ISNUMBER(O219),ISNUMBER(O223)),O219+O223,"")</f>
        <v>340.3</v>
      </c>
      <c r="P224" s="275">
        <f>IF(AND(ISNUMBER(P219),ISNUMBER(P223)),P219+P223,"")</f>
        <v>418</v>
      </c>
      <c r="Q224" s="275">
        <f>IF(AND(ISNUMBER(Q219),ISNUMBER(Q223)),Q219+Q223,"")</f>
        <v>356.6</v>
      </c>
      <c r="R224" s="275">
        <f>IF(AND(ISNUMBER(R219),ISNUMBER(R223)),R219+R223,"")</f>
        <v>352.6</v>
      </c>
      <c r="S224" s="275">
        <f>IF(AND(ISNUMBER(S219),ISNUMBER(S223)),S219+S223,"")</f>
        <v>1467.5</v>
      </c>
      <c r="T224" s="275">
        <f>IF(AND(ISNUMBER(T219),ISNUMBER(T223)),T219+T223,"")</f>
        <v>379.8</v>
      </c>
      <c r="U224" s="275">
        <f>IF(AND(ISNUMBER(U219),ISNUMBER(U223)),U219+U223,"")</f>
        <v>427.3</v>
      </c>
      <c r="V224" s="275">
        <f>IF(AND(ISNUMBER(V219),ISNUMBER(V223)),V219+V223,"")</f>
        <v>357.3</v>
      </c>
      <c r="W224" s="275">
        <f>IF(AND(ISNUMBER(W219),ISNUMBER(W223)),W219+W223,"")</f>
        <v>340.9</v>
      </c>
      <c r="X224" s="275">
        <f>IF(AND(ISNUMBER(X219),ISNUMBER(X223)),X219+X223,"")</f>
        <v>1505.3</v>
      </c>
      <c r="Y224" s="275">
        <f>IF(AND(ISNUMBER(Y219),ISNUMBER(Y223)),Y219+Y223,"")</f>
        <v>312</v>
      </c>
      <c r="Z224" s="275">
        <f>IF(AND(ISNUMBER(Z219),ISNUMBER(Z223)),Z219+Z223,"")</f>
        <v>418.9</v>
      </c>
      <c r="AA224" s="275">
        <f>IF(AND(ISNUMBER(AA219),ISNUMBER(AA223)),AA219+AA223,"")</f>
        <v>414.8</v>
      </c>
      <c r="AB224" s="275">
        <f>IF(AND(ISNUMBER(AB219),ISNUMBER(AB223)),AB219+AB223,"")</f>
        <v>399.4</v>
      </c>
      <c r="AC224" s="275">
        <f>IF(AND(ISNUMBER(AC219),ISNUMBER(AC223)),AC219+AC223,"")</f>
        <v>1548.7</v>
      </c>
      <c r="AD224" s="275">
        <f>IF(AND(ISNUMBER(AD219),ISNUMBER(AD223)),AD219+AD223,"")</f>
        <v>451.9</v>
      </c>
      <c r="AE224" s="275">
        <f>IF(AND(ISNUMBER(AE219),ISNUMBER(AE223)),AE219+AE223,"")</f>
        <v>472.7</v>
      </c>
      <c r="AF224" s="275">
        <f>IF(AND(ISNUMBER(AF219),ISNUMBER(AF223)),AF219+AF223,"")</f>
        <v>474.3</v>
      </c>
      <c r="AG224" s="275">
        <f>IF(AND(ISNUMBER(AG219),ISNUMBER(AG223)),AG219+AG223,"")</f>
        <v>494.1</v>
      </c>
      <c r="AH224" s="275">
        <f>IF(AND(ISNUMBER(AH219),ISNUMBER(AH223)),AH219+AH223,"")</f>
        <v>1893</v>
      </c>
      <c r="AI224" s="275">
        <f>IF(AND(ISNUMBER(AI219),ISNUMBER(AI223)),AI219+AI223,"")</f>
        <v>517.3</v>
      </c>
      <c r="AJ224" s="275">
        <f>IF(AND(ISNUMBER(AJ219),ISNUMBER(AJ223)),AJ219+AJ223,"")</f>
        <v>561.1</v>
      </c>
      <c r="AK224" s="275">
        <f>IF(AND(ISNUMBER(AK219),ISNUMBER(AK223)),AK219+AK223,"")</f>
        <v>492.7</v>
      </c>
      <c r="AL224" s="275">
        <f>IF(AND(ISNUMBER(AL219),ISNUMBER(AL223)),AL219+AL223,"")</f>
        <v>455.8</v>
      </c>
      <c r="AM224" s="275">
        <f>IF(AND(ISNUMBER(AM219),ISNUMBER(AM223)),AM219+AM223,"")</f>
        <v>2026.9</v>
      </c>
      <c r="AN224" s="275">
        <f>IF(AND(ISNUMBER(AN219),ISNUMBER(AN223)),AN219+AN223,"")</f>
        <v>495</v>
      </c>
      <c r="AO224" s="275">
        <f>IF(AND(ISNUMBER(AO219),ISNUMBER(AO223)),AO219+AO223,"")</f>
        <v>574.2</v>
      </c>
      <c r="AP224" s="275">
        <f>IF(AND(ISNUMBER(AP219),ISNUMBER(AP223)),AP219+AP223,"")</f>
        <v>590</v>
      </c>
      <c r="AQ224" s="275">
        <f>IF(AND(ISNUMBER(AQ219),ISNUMBER(AQ223)),AQ219+AQ223,"")</f>
        <v>534.7</v>
      </c>
      <c r="AR224" s="275">
        <f>IF(AND(ISNUMBER(AR219),ISNUMBER(AR223)),AR219+AR223,"")</f>
        <v>2194</v>
      </c>
      <c r="AS224" s="275">
        <f>IF(AND(ISNUMBER(AS219),ISNUMBER(AS223)),AS219+AS223,"")</f>
        <v>628</v>
      </c>
      <c r="AT224" s="275">
        <f>IF(AND(ISNUMBER(AT219),ISNUMBER(AT223)),AT219+AT223,"")</f>
        <v>739</v>
      </c>
      <c r="AU224" s="275">
        <f>IF(AND(ISNUMBER(AU219),ISNUMBER(AU223)),AU219+AU223,"")</f>
        <v>696</v>
      </c>
      <c r="AV224" s="275">
        <f>IF(AND(ISNUMBER(AV219),ISNUMBER(AV223)),AV219+AV223,"")</f>
        <v>508</v>
      </c>
      <c r="AW224" s="275">
        <f>IF(AND(ISNUMBER(AW219),ISNUMBER(AW223)),AW219+AW223,"")</f>
        <v>2571</v>
      </c>
      <c r="AX224" s="275">
        <f>IF(AND(ISNUMBER(AX219),ISNUMBER(AX223)),AX219+AX223,"")</f>
        <v>890</v>
      </c>
      <c r="AY224" s="275">
        <f>IF(AND(ISNUMBER(AY219),ISNUMBER(AY223)),AY219+AY223,"")</f>
        <v>837</v>
      </c>
      <c r="AZ224" s="275">
        <f>IF(AND(ISNUMBER(AZ219),ISNUMBER(AZ223)),AZ219+AZ223,"")</f>
        <v>713</v>
      </c>
      <c r="BA224" s="275">
        <f>IF(AND(ISNUMBER(BA219),ISNUMBER(BA223)),BA219+BA223,"")</f>
        <v>562</v>
      </c>
      <c r="BB224" s="275">
        <f>IF(AND(ISNUMBER(BB219),ISNUMBER(BB223)),BB219+BB223,"")</f>
        <v>3002</v>
      </c>
      <c r="BC224" s="275">
        <f>IF(AND(ISNUMBER(BC219),ISNUMBER(BC223)),BC219+BC223,"")</f>
        <v>707</v>
      </c>
      <c r="BD224" s="275">
        <f>IF(AND(ISNUMBER(BD219),ISNUMBER(BD223)),BD219+BD223,"")</f>
        <v>590</v>
      </c>
      <c r="BE224" s="275">
        <f>IF(AND(ISNUMBER(BE219),ISNUMBER(BE223)),BE219+BE223,"")</f>
        <v>462</v>
      </c>
      <c r="BF224" s="275">
        <f>IF(AND(ISNUMBER(BF219),ISNUMBER(BF223)),BF219+BF223,"")</f>
        <v>438</v>
      </c>
      <c r="BG224" s="275">
        <f>IF(AND(ISNUMBER(BG219),ISNUMBER(BG223)),BG219+BG223,"")</f>
        <v>2197</v>
      </c>
      <c r="BH224" s="275">
        <f>IF(AND(ISNUMBER(BH219),ISNUMBER(BH223)),BH219+BH223,"")</f>
        <v>619</v>
      </c>
      <c r="BI224" s="275">
        <f>IF(AND(ISNUMBER(BI219),ISNUMBER(BI223)),BI219+BI223,"")</f>
        <v>610</v>
      </c>
      <c r="BJ224" s="275">
        <f>IF(AND(ISNUMBER(BJ219),ISNUMBER(BJ223)),BJ219+BJ223,"")</f>
        <v>611</v>
      </c>
      <c r="BK224" s="275">
        <f>IF(AND(ISNUMBER(BK219),ISNUMBER(BK223)),BK219+BK223,"")</f>
        <v>582</v>
      </c>
      <c r="BL224" s="275">
        <f>IF(AND(ISNUMBER(BL219),ISNUMBER(BL223)),BL219+BL223,"")</f>
        <v>2422</v>
      </c>
      <c r="BM224" s="275">
        <f>IF(AND(ISNUMBER(BM219),ISNUMBER(BM223)),BM219+BM223,"")</f>
        <v>855</v>
      </c>
      <c r="BN224" s="275">
        <f>IF(AND(ISNUMBER(BN219),ISNUMBER(BN223)),BN219+BN223,"")</f>
        <v>840</v>
      </c>
      <c r="BO224" s="275">
        <f>IF(AND(ISNUMBER(BO219),ISNUMBER(BO223)),BO219+BO223,"")</f>
        <v>810</v>
      </c>
      <c r="BP224" s="275">
        <f>IF(AND(ISNUMBER(BP219),ISNUMBER(BP223)),BP219+BP223,"")</f>
        <v>670</v>
      </c>
      <c r="BQ224" s="275">
        <f>IF(AND(ISNUMBER(BQ219),ISNUMBER(BQ223)),BQ219+BQ223,"")</f>
        <v>3175</v>
      </c>
      <c r="BR224" s="275">
        <f>IF(AND(ISNUMBER(BR219),ISNUMBER(BR223)),BR219+BR223,"")</f>
        <v>934</v>
      </c>
      <c r="BS224" s="275">
        <f>IF(AND(ISNUMBER(BS219),ISNUMBER(BS223)),BS219+BS223,"")</f>
        <v>901</v>
      </c>
      <c r="BT224" s="275">
        <f>IF(AND(ISNUMBER(BT219),ISNUMBER(BT223)),BT219+BT223,"")</f>
        <v>994</v>
      </c>
      <c r="BU224" s="275">
        <f>IF(AND(ISNUMBER(BU219),ISNUMBER(BU223)),BU219+BU223,"")</f>
        <v>848</v>
      </c>
      <c r="BV224" s="275">
        <f>IF(AND(ISNUMBER(BV219),ISNUMBER(BV223)),BV219+BV223,"")</f>
        <v>3677</v>
      </c>
      <c r="BW224" s="275">
        <f>IF(AND(ISNUMBER(BW219),ISNUMBER(BW223)),BW219+BW223,"")</f>
        <v>1036</v>
      </c>
      <c r="BX224" s="275">
        <f>IF(AND(ISNUMBER(BX219),ISNUMBER(BX223)),BX219+BX223,"")</f>
        <v>1135</v>
      </c>
      <c r="BY224" s="275">
        <f>IF(AND(ISNUMBER(BY219),ISNUMBER(BY223)),BY219+BY223,"")</f>
        <v>1007.36253255767</v>
      </c>
      <c r="BZ224" s="275">
        <f>IF(AND(ISNUMBER(BZ219),ISNUMBER(BZ223)),BZ219+BZ223,"")</f>
        <v>863.119462823072</v>
      </c>
      <c r="CA224" s="275">
        <f>IF(AND(ISNUMBER(CA219),ISNUMBER(CA223)),CA219+CA223,"")</f>
        <v>4041.48199538074</v>
      </c>
      <c r="CB224" s="275">
        <f>IF(AND(ISNUMBER(CB219),ISNUMBER(CB223)),CB219+CB223,"")</f>
        <v>4369.36980042413</v>
      </c>
      <c r="CC224" s="275">
        <f>IF(AND(ISNUMBER(CC219),ISNUMBER(CC223)),CC219+CC223,"")</f>
        <v>4704.71049359008</v>
      </c>
      <c r="CD224" s="275">
        <f>IF(AND(ISNUMBER(CD219),ISNUMBER(CD223)),CD219+CD223,"")</f>
        <v>5052.7480328474</v>
      </c>
      <c r="CE224" s="275">
        <f>IF(AND(ISNUMBER(CE219),ISNUMBER(CE223)),CE219+CE223,"")</f>
        <v>5412.72467947324</v>
      </c>
      <c r="CF224" s="153" t="inlineStr">
        <is>
          <t>Standard NOPAT basis (playbook 5.7): adjusted EBIT before acquired-intangible amortization; stock-based compensation is already expensed. Restructuring and other excluded cash items are deducted in the DCF (row below).</t>
        </is>
      </c>
      <c r="CH224" s="20">
        <f>IFERROR((CE224/BV224)^(1/5)-1,"n/m")</f>
        <v>0.0803997162190107</v>
      </c>
      <c r="CI224" s="20">
        <f>IFERROR((BV224/AW224)^(1/5)-1,"n/m")</f>
        <v>0.0741830882697663</v>
      </c>
      <c r="CJ224" s="20">
        <f>IFERROR((BV224/X224)^(1/10)-1,"n/m")</f>
        <v>0.0934201093031024</v>
      </c>
      <c r="CK224" s="20" t="str">
        <f>IFERROR((BV224/C224)^(1/19)-1,"n/m")</f>
        <v>n/m</v>
      </c>
    </row>
    <row r="225" ht="15" customHeight="1" s="251">
      <c r="B225" s="25" t="inlineStr">
        <is>
          <t xml:space="preserve">  Adjusted EBITA margin %</t>
        </is>
      </c>
      <c r="C225" s="215">
        <f>IF(AND(ISNUMBER(C224),ISNUMBER(C163)),IFERROR(C224/C163,""),"")</f>
      </c>
      <c r="D225" s="215">
        <f>IF(AND(ISNUMBER(D224),ISNUMBER(D163)),IFERROR(D224/D163,""),"")</f>
      </c>
      <c r="E225" s="215">
        <f>IF(AND(ISNUMBER(E224),ISNUMBER(E163)),IFERROR(E224/E163,""),"")</f>
        <v>0.440868178193004</v>
      </c>
      <c r="F225" s="215">
        <f>IF(AND(ISNUMBER(F224),ISNUMBER(F163)),IFERROR(F224/F163,""),"")</f>
        <v>0.40140218117071</v>
      </c>
      <c r="G225" s="215">
        <f>IF(AND(ISNUMBER(G224),ISNUMBER(G163)),IFERROR(G224/G163,""),"")</f>
        <v>0.388435039370079</v>
      </c>
      <c r="H225" s="215">
        <f>IF(AND(ISNUMBER(H224),ISNUMBER(H163)),IFERROR(H224/H163,""),"")</f>
        <v>0.398517998859999</v>
      </c>
      <c r="I225" s="215">
        <f>IF(AND(ISNUMBER(I224),ISNUMBER(I163)),IFERROR(I224/I163,""),"")</f>
        <v>0.410101454052668</v>
      </c>
      <c r="J225" s="215">
        <f>IF(AND(ISNUMBER(J224),ISNUMBER(J163)),IFERROR(J224/J163,""),"")</f>
        <v>0.392866903525553</v>
      </c>
      <c r="K225" s="215">
        <f>IF(AND(ISNUMBER(K224),ISNUMBER(K163)),IFERROR(K224/K163,""),"")</f>
        <v>0.473148148148148</v>
      </c>
      <c r="L225" s="215">
        <f>IF(AND(ISNUMBER(L224),ISNUMBER(L163)),IFERROR(L224/L163,""),"")</f>
        <v>0.423104181431609</v>
      </c>
      <c r="M225" s="215">
        <f>IF(AND(ISNUMBER(M224),ISNUMBER(M163)),IFERROR(M224/M163,""),"")</f>
        <v>0.4092659137577</v>
      </c>
      <c r="N225" s="215">
        <f>IF(AND(ISNUMBER(N224),ISNUMBER(N163)),IFERROR(N224/N163,""),"")</f>
        <v>0.424760302775442</v>
      </c>
      <c r="O225" s="215">
        <f>IF(AND(ISNUMBER(O224),ISNUMBER(O163)),IFERROR(O224/O163,""),"")</f>
        <v>0.443561001042753</v>
      </c>
      <c r="P225" s="215">
        <f>IF(AND(ISNUMBER(P224),ISNUMBER(P163)),IFERROR(P224/P163,""),"")</f>
        <v>0.47853463079565</v>
      </c>
      <c r="Q225" s="215">
        <f>IF(AND(ISNUMBER(Q224),ISNUMBER(Q163)),IFERROR(Q224/Q163,""),"")</f>
        <v>0.436956255360863</v>
      </c>
      <c r="R225" s="215">
        <f>IF(AND(ISNUMBER(R224),ISNUMBER(R163)),IFERROR(R224/R163,""),"")</f>
        <v>0.401823361823362</v>
      </c>
      <c r="S225" s="215">
        <f>IF(AND(ISNUMBER(S224),ISNUMBER(S163)),IFERROR(S224/S163,""),"")</f>
        <v>0.440122364514291</v>
      </c>
      <c r="T225" s="215">
        <f>IF(AND(ISNUMBER(T224),ISNUMBER(T163)),IFERROR(T224/T163,""),"")</f>
        <v>0.438770794824399</v>
      </c>
      <c r="U225" s="215">
        <f>IF(AND(ISNUMBER(U224),ISNUMBER(U163)),IFERROR(U224/U163,""),"")</f>
        <v>0.465417710489054</v>
      </c>
      <c r="V225" s="215">
        <f>IF(AND(ISNUMBER(V224),ISNUMBER(V163)),IFERROR(V224/V163,""),"")</f>
        <v>0.427955443765721</v>
      </c>
      <c r="W225" s="215">
        <f>IF(AND(ISNUMBER(W224),ISNUMBER(W163)),IFERROR(W224/W163,""),"")</f>
        <v>0.393694421988682</v>
      </c>
      <c r="X225" s="215">
        <f>IF(AND(ISNUMBER(X224),ISNUMBER(X163)),IFERROR(X224/X163,""),"")</f>
        <v>0.431998852059119</v>
      </c>
      <c r="Y225" s="215">
        <f>IF(AND(ISNUMBER(Y224),ISNUMBER(Y163)),IFERROR(Y224/Y163,""),"")</f>
        <v>0.382306089939958</v>
      </c>
      <c r="Z225" s="215">
        <f>IF(AND(ISNUMBER(Z224),ISNUMBER(Z163)),IFERROR(Z224/Z163,""),"")</f>
        <v>0.450963505221229</v>
      </c>
      <c r="AA225" s="215">
        <f>IF(AND(ISNUMBER(AA224),ISNUMBER(AA163)),IFERROR(AA224/AA163,""),"")</f>
        <v>0.452295278595573</v>
      </c>
      <c r="AB225" s="215">
        <f>IF(AND(ISNUMBER(AB224),ISNUMBER(AB163)),IFERROR(AB224/AB163,""),"")</f>
        <v>0.423946502494428</v>
      </c>
      <c r="AC225" s="215">
        <f>IF(AND(ISNUMBER(AC224),ISNUMBER(AC163)),IFERROR(AC224/AC163,""),"")</f>
        <v>0.429693135786027</v>
      </c>
      <c r="AD225" s="215">
        <f>IF(AND(ISNUMBER(AD224),ISNUMBER(AD163)),IFERROR(AD224/AD163,""),"")</f>
        <v>0.463392124692371</v>
      </c>
      <c r="AE225" s="215">
        <f>IF(AND(ISNUMBER(AE224),ISNUMBER(AE163)),IFERROR(AE224/AE163,""),"")</f>
        <v>0.472463768115942</v>
      </c>
      <c r="AF225" s="215">
        <f>IF(AND(ISNUMBER(AF224),ISNUMBER(AF163)),IFERROR(AF224/AF163,""),"")</f>
        <v>0.446232006773921</v>
      </c>
      <c r="AG225" s="215">
        <f>IF(AND(ISNUMBER(AG224),ISNUMBER(AG163)),IFERROR(AG224/AG163,""),"")</f>
        <v>0.423938223938224</v>
      </c>
      <c r="AH225" s="215">
        <f>IF(AND(ISNUMBER(AH224),ISNUMBER(AH163)),IFERROR(AH224/AH163,""),"")</f>
        <v>0.450274731809424</v>
      </c>
      <c r="AI225" s="215">
        <f>IF(AND(ISNUMBER(AI224),ISNUMBER(AI163)),IFERROR(AI224/AI163,""),"")</f>
        <v>0.459128428153013</v>
      </c>
      <c r="AJ225" s="215">
        <f>IF(AND(ISNUMBER(AJ224),ISNUMBER(AJ163)),IFERROR(AJ224/AJ163,""),"")</f>
        <v>0.477491277338099</v>
      </c>
      <c r="AK225" s="215">
        <f>IF(AND(ISNUMBER(AK224),ISNUMBER(AK163)),IFERROR(AK224/AK163,""),"")</f>
        <v>0.455866025166543</v>
      </c>
      <c r="AL225" s="215">
        <f>IF(AND(ISNUMBER(AL224),ISNUMBER(AL163)),IFERROR(AL224/AL163,""),"")</f>
        <v>0.429959437788888</v>
      </c>
      <c r="AM225" s="215">
        <f>IF(AND(ISNUMBER(AM224),ISNUMBER(AM163)),IFERROR(AM224/AM163,""),"")</f>
        <v>0.456231570891575</v>
      </c>
      <c r="AN225" s="215">
        <f>IF(AND(ISNUMBER(AN224),ISNUMBER(AN163)),IFERROR(AN224/AN163,""),"")</f>
        <v>0.433412135539795</v>
      </c>
      <c r="AO225" s="215">
        <f>IF(AND(ISNUMBER(AO224),ISNUMBER(AO163)),IFERROR(AO224/AO163,""),"")</f>
        <v>0.47313777191826</v>
      </c>
      <c r="AP225" s="215">
        <f>IF(AND(ISNUMBER(AP224),ISNUMBER(AP163)),IFERROR(AP224/AP163,""),"")</f>
        <v>0.475614671503426</v>
      </c>
      <c r="AQ225" s="215">
        <f>IF(AND(ISNUMBER(AQ224),ISNUMBER(AQ163)),IFERROR(AQ224/AQ163,""),"")</f>
        <v>0.433657745336577</v>
      </c>
      <c r="AR225" s="215">
        <f>IF(AND(ISNUMBER(AR224),ISNUMBER(AR163)),IFERROR(AR224/AR163,""),"")</f>
        <v>0.454338372333817</v>
      </c>
      <c r="AS225" s="215">
        <f>IF(AND(ISNUMBER(AS224),ISNUMBER(AS163)),IFERROR(AS224/AS163,""),"")</f>
        <v>0.486821705426357</v>
      </c>
      <c r="AT225" s="215">
        <f>IF(AND(ISNUMBER(AT224),ISNUMBER(AT163)),IFERROR(AT224/AT163,""),"")</f>
        <v>0.514982578397213</v>
      </c>
      <c r="AU225" s="215">
        <f>IF(AND(ISNUMBER(AU224),ISNUMBER(AU163)),IFERROR(AU224/AU163,""),"")</f>
        <v>0.513274336283186</v>
      </c>
      <c r="AV225" s="215">
        <f>IF(AND(ISNUMBER(AV224),ISNUMBER(AV163)),IFERROR(AV224/AV163,""),"")</f>
        <v>0.393798449612403</v>
      </c>
      <c r="AW225" s="215">
        <f>IF(AND(ISNUMBER(AW224),ISNUMBER(AW163)),IFERROR(AW224/AW163,""),"")</f>
        <v>0.478681809718861</v>
      </c>
      <c r="AX225" s="215">
        <f>IF(AND(ISNUMBER(AX224),ISNUMBER(AX163)),IFERROR(AX224/AX163,""),"")</f>
        <v>0.55625</v>
      </c>
      <c r="AY225" s="215">
        <f>IF(AND(ISNUMBER(AY224),ISNUMBER(AY163)),IFERROR(AY224/AY163,""),"")</f>
        <v>0.538956857694784</v>
      </c>
      <c r="AZ225" s="215">
        <f>IF(AND(ISNUMBER(AZ224),ISNUMBER(AZ163)),IFERROR(AZ224/AZ163,""),"")</f>
        <v>0.467234600262123</v>
      </c>
      <c r="BA225" s="215">
        <f>IF(AND(ISNUMBER(BA224),ISNUMBER(BA163)),IFERROR(BA224/BA163,""),"")</f>
        <v>0.365172189733593</v>
      </c>
      <c r="BB225" s="215">
        <f>IF(AND(ISNUMBER(BB224),ISNUMBER(BB163)),IFERROR(BB224/BB163,""),"")</f>
        <v>0.482791894499839</v>
      </c>
      <c r="BC225" s="215">
        <f>IF(AND(ISNUMBER(BC224),ISNUMBER(BC163)),IFERROR(BC224/BC163,""),"")</f>
        <v>0.464520367936925</v>
      </c>
      <c r="BD225" s="215">
        <f>IF(AND(ISNUMBER(BD224),ISNUMBER(BD163)),IFERROR(BD224/BD163,""),"")</f>
        <v>0.427226647356988</v>
      </c>
      <c r="BE225" s="215">
        <f>IF(AND(ISNUMBER(BE224),ISNUMBER(BE163)),IFERROR(BE224/BE163,""),"")</f>
        <v>0.362352941176471</v>
      </c>
      <c r="BF225" s="215">
        <f>IF(AND(ISNUMBER(BF224),ISNUMBER(BF163)),IFERROR(BF224/BF163,""),"")</f>
        <v>0.33953488372093</v>
      </c>
      <c r="BG225" s="215">
        <f>IF(AND(ISNUMBER(BG224),ISNUMBER(BG163)),IFERROR(BG224/BG163,""),"")</f>
        <v>0.401792245793709</v>
      </c>
      <c r="BH225" s="215">
        <f>IF(AND(ISNUMBER(BH224),ISNUMBER(BH163)),IFERROR(BH224/BH163,""),"")</f>
        <v>0.42108843537415</v>
      </c>
      <c r="BI225" s="215">
        <f>IF(AND(ISNUMBER(BI224),ISNUMBER(BI163)),IFERROR(BI224/BI163,""),"")</f>
        <v>0.408299866131191</v>
      </c>
      <c r="BJ225" s="215">
        <f>IF(AND(ISNUMBER(BJ224),ISNUMBER(BJ163)),IFERROR(BJ224/BJ163,""),"")</f>
        <v>0.41508152173913</v>
      </c>
      <c r="BK225" s="215">
        <f>IF(AND(ISNUMBER(BK224),ISNUMBER(BK163)),IFERROR(BK224/BK163,""),"")</f>
        <v>0.393243243243243</v>
      </c>
      <c r="BL225" s="215">
        <f>IF(AND(ISNUMBER(BL224),ISNUMBER(BL163)),IFERROR(BL224/BL163,""),"")</f>
        <v>0.409398242055443</v>
      </c>
      <c r="BM225" s="215">
        <f>IF(AND(ISNUMBER(BM224),ISNUMBER(BM163)),IFERROR(BM224/BM163,""),"")</f>
        <v>0.478723404255319</v>
      </c>
      <c r="BN225" s="215">
        <f>IF(AND(ISNUMBER(BN224),ISNUMBER(BN163)),IFERROR(BN224/BN163,""),"")</f>
        <v>0.462300495321959</v>
      </c>
      <c r="BO225" s="215">
        <f>IF(AND(ISNUMBER(BO224),ISNUMBER(BO163)),IFERROR(BO224/BO163,""),"")</f>
        <v>0.446773303916161</v>
      </c>
      <c r="BP225" s="215">
        <f>IF(AND(ISNUMBER(BP224),ISNUMBER(BP163)),IFERROR(BP224/BP163,""),"")</f>
        <v>0.400717703349282</v>
      </c>
      <c r="BQ225" s="215">
        <f>IF(AND(ISNUMBER(BQ224),ISNUMBER(BQ163)),IFERROR(BQ224/BQ163,""),"")</f>
        <v>0.447940180586907</v>
      </c>
      <c r="BR225" s="215">
        <f>IF(AND(ISNUMBER(BR224),ISNUMBER(BR163)),IFERROR(BR224/BR163,""),"")</f>
        <v>0.485446985446985</v>
      </c>
      <c r="BS225" s="215">
        <f>IF(AND(ISNUMBER(BS224),ISNUMBER(BS163)),IFERROR(BS224/BS163,""),"")</f>
        <v>0.474710221285564</v>
      </c>
      <c r="BT225" s="215">
        <f>IF(AND(ISNUMBER(BT224),ISNUMBER(BT163)),IFERROR(BT224/BT163,""),"")</f>
        <v>0.495266567015446</v>
      </c>
      <c r="BU225" s="215">
        <f>IF(AND(ISNUMBER(BU224),ISNUMBER(BU163)),IFERROR(BU224/BU163,""),"")</f>
        <v>0.448914769719428</v>
      </c>
      <c r="BV225" s="215">
        <f>IF(AND(ISNUMBER(BV224),ISNUMBER(BV163)),IFERROR(BV224/BV163,""),"")</f>
        <v>0.476418761337134</v>
      </c>
      <c r="BW225" s="215">
        <f>IF(AND(ISNUMBER(BW224),ISNUMBER(BW163)),IFERROR(BW224/BW163,""),"")</f>
        <v>0.498316498316498</v>
      </c>
      <c r="BX225" s="215">
        <f>IF(AND(ISNUMBER(BX224),ISNUMBER(BX163)),IFERROR(BX224/BX163,""),"")</f>
        <v>0.519450800915332</v>
      </c>
      <c r="BY225" s="256">
        <f>IF(AND(ISNUMBER(BY224),ISNUMBER(BY163)),IFERROR(BY224/BY163,""),"")</f>
        <v>0.493782560067645</v>
      </c>
      <c r="BZ225" s="256">
        <f>IF(AND(ISNUMBER(BZ224),ISNUMBER(BZ163)),IFERROR(BZ224/BZ163,""),"")</f>
        <v>0.448752186335811</v>
      </c>
      <c r="CA225" s="256">
        <f>IF(AND(ISNUMBER(CA224),ISNUMBER(CA163)),IFERROR(CA224/CA163,""),"")</f>
        <v>0.491218077413924</v>
      </c>
      <c r="CB225" s="256">
        <f>IF(AND(ISNUMBER(CB224),ISNUMBER(CB163)),IFERROR(CB224/CB163,""),"")</f>
        <v>0.495368569555706</v>
      </c>
      <c r="CC225" s="256">
        <f>IF(AND(ISNUMBER(CC224),ISNUMBER(CC163)),IFERROR(CC224/CC163,""),"")</f>
        <v>0.499479481946473</v>
      </c>
      <c r="CD225" s="256">
        <f>IF(AND(ISNUMBER(CD224),ISNUMBER(CD163)),IFERROR(CD224/CD163,""),"")</f>
        <v>0.503902540061138</v>
      </c>
      <c r="CE225" s="256">
        <f>IF(AND(ISNUMBER(CE224),ISNUMBER(CE163)),IFERROR(CE224/CE163,""),"")</f>
        <v>0.509207148030497</v>
      </c>
      <c r="CF225" s="153" t="n"/>
      <c r="CH225" s="37">
        <f>IFERROR(AVERAGE(CA225,CB225,CC225,CD225,CE225),"n/m")</f>
        <v>0.499835163401548</v>
      </c>
      <c r="CI225" s="37">
        <f>IFERROR(AVERAGE(BB225,BG225,BL225,BQ225,BV225),"n/m")</f>
        <v>0.443668264854606</v>
      </c>
      <c r="CJ225" s="37">
        <f>IFERROR(AVERAGE(AC225,AH225,AM225,AR225,AW225,BB225,BG225,BL225,BQ225,BV225),"n/m")</f>
        <v>0.448756094481274</v>
      </c>
      <c r="CK225" s="37">
        <f>IFERROR(AVERAGE(C225,D225,E225,F225,G225,H225,I225,N225,S225,X225,AC225,AH225,AM225,AR225,AW225,BB225,BG225,BL225,BQ225,BV225),"n/m")</f>
        <v>0.434653739767114</v>
      </c>
    </row>
    <row r="226" ht="15" customHeight="1" s="251">
      <c r="B226" s="156" t="inlineStr">
        <is>
          <t xml:space="preserve">  Memo: restructuring and other excluded items (cash costs adjusted out; deducted in the DCF)</t>
        </is>
      </c>
      <c r="C226" s="261">
        <f>IF(ISNUMBER(C200),N(C200)+N(C201),"")</f>
        <v>-160.6</v>
      </c>
      <c r="D226" s="261">
        <f>IF(ISNUMBER(D200),N(D200)+N(D201),"")</f>
        <v>50</v>
      </c>
      <c r="E226" s="261">
        <f>IF(ISNUMBER(E200),N(E200)+N(E201),"")</f>
        <v>-2.5</v>
      </c>
      <c r="F226" s="261">
        <f>IF(ISNUMBER(F200),N(F200)+N(F201),"")</f>
        <v>17.5</v>
      </c>
      <c r="G226" s="261">
        <f>IF(ISNUMBER(G200),N(G200)+N(G201),"")</f>
        <v>0.1</v>
      </c>
      <c r="H226" s="261">
        <f>IF(ISNUMBER(H200),N(H200)+N(H201),"")</f>
        <v>0</v>
      </c>
      <c r="I226" s="261">
        <f>IF(ISNUMBER(I200),N(I200)+N(I201),"")</f>
        <v>12.2</v>
      </c>
      <c r="J226" s="261">
        <f>IF(ISNUMBER(J200),N(J200)+N(J201),"")</f>
        <v>0</v>
      </c>
      <c r="K226" s="261">
        <f>IF(ISNUMBER(K200),N(K200)+N(K201),"")</f>
        <v>0</v>
      </c>
      <c r="L226" s="261">
        <f>IF(ISNUMBER(L200),N(L200)+N(L201),"")</f>
        <v>0</v>
      </c>
      <c r="M226" s="261">
        <f>IF(ISNUMBER(M200),N(M200)+N(M201),"")</f>
        <v>0</v>
      </c>
      <c r="N226" s="261">
        <f>IF(ISNUMBER(N200),N(N200)+N(N201),"")</f>
        <v>0</v>
      </c>
      <c r="O226" s="261">
        <f>IF(ISNUMBER(O200),N(O200)+N(O201),"")</f>
        <v>0</v>
      </c>
      <c r="P226" s="261">
        <f>IF(ISNUMBER(P200),N(P200)+N(P201),"")</f>
        <v>0</v>
      </c>
      <c r="Q226" s="261">
        <f>IF(ISNUMBER(Q200),N(Q200)+N(Q201),"")</f>
        <v>0</v>
      </c>
      <c r="R226" s="261">
        <f>IF(ISNUMBER(R200),N(R200)+N(R201),"")</f>
        <v>0</v>
      </c>
      <c r="S226" s="261">
        <f>IF(ISNUMBER(S200),N(S200)+N(S201),"")</f>
        <v>0</v>
      </c>
      <c r="T226" s="261">
        <f>IF(ISNUMBER(T200),N(T200)+N(T201),"")</f>
        <v>0</v>
      </c>
      <c r="U226" s="261">
        <f>IF(ISNUMBER(U200),N(U200)+N(U201),"")</f>
        <v>0</v>
      </c>
      <c r="V226" s="261">
        <f>IF(ISNUMBER(V200),N(V200)+N(V201),"")</f>
        <v>0</v>
      </c>
      <c r="W226" s="261">
        <f>IF(ISNUMBER(W200),N(W200)+N(W201),"")</f>
        <v>0</v>
      </c>
      <c r="X226" s="261">
        <f>IF(ISNUMBER(X200),N(X200)+N(X201),"")</f>
        <v>0</v>
      </c>
      <c r="Y226" s="261">
        <f>IF(ISNUMBER(Y200),N(Y200)+N(Y201),"")</f>
        <v>0</v>
      </c>
      <c r="Z226" s="261">
        <f>IF(ISNUMBER(Z200),N(Z200)+N(Z201),"")</f>
        <v>0</v>
      </c>
      <c r="AA226" s="261">
        <f>IF(ISNUMBER(AA200),N(AA200)+N(AA201),"")</f>
        <v>8.4</v>
      </c>
      <c r="AB226" s="261">
        <f>IF(ISNUMBER(AB200),N(AB200)+N(AB201),"")</f>
        <v>863.8</v>
      </c>
      <c r="AC226" s="261">
        <f>IF(ISNUMBER(AC200),N(AC200)+N(AC201),"")</f>
        <v>875.8</v>
      </c>
      <c r="AD226" s="261">
        <f>IF(ISNUMBER(AD200),N(AD200)+N(AD201),"")</f>
        <v>0</v>
      </c>
      <c r="AE226" s="261">
        <f>IF(ISNUMBER(AE200),N(AE200)+N(AE201),"")</f>
        <v>6.6</v>
      </c>
      <c r="AF226" s="261">
        <f>IF(ISNUMBER(AF200),N(AF200)+N(AF201),"")</f>
        <v>10.1</v>
      </c>
      <c r="AG226" s="261">
        <f>IF(ISNUMBER(AG200),N(AG200)+N(AG201),"")</f>
        <v>5.8</v>
      </c>
      <c r="AH226" s="261">
        <f>IF(ISNUMBER(AH200),N(AH200)+N(AH201),"")</f>
        <v>22.5</v>
      </c>
      <c r="AI226" s="261">
        <f>IF(ISNUMBER(AI200),N(AI200)+N(AI201),"")</f>
        <v>0.8</v>
      </c>
      <c r="AJ226" s="261">
        <f>IF(ISNUMBER(AJ200),N(AJ200)+N(AJ201),"")</f>
        <v>2</v>
      </c>
      <c r="AK226" s="261">
        <f>IF(ISNUMBER(AK200),N(AK200)+N(AK201),"")</f>
        <v>1.3</v>
      </c>
      <c r="AL226" s="261">
        <f>IF(ISNUMBER(AL200),N(AL200)+N(AL201),"")</f>
        <v>52.9</v>
      </c>
      <c r="AM226" s="261">
        <f>IF(ISNUMBER(AM200),N(AM200)+N(AM201),"")</f>
        <v>57</v>
      </c>
      <c r="AN226" s="261">
        <f>IF(ISNUMBER(AN200),N(AN200)+N(AN201),"")</f>
        <v>6.9</v>
      </c>
      <c r="AO226" s="261">
        <f>IF(ISNUMBER(AO200),N(AO200)+N(AO201),"")</f>
        <v>64.5</v>
      </c>
      <c r="AP226" s="261">
        <f>IF(ISNUMBER(AP200),N(AP200)+N(AP201),"")</f>
        <v>16.5</v>
      </c>
      <c r="AQ226" s="261">
        <f>IF(ISNUMBER(AQ200),N(AQ200)+N(AQ201),"")</f>
        <v>5</v>
      </c>
      <c r="AR226" s="261">
        <f>IF(ISNUMBER(AR200),N(AR200)+N(AR201),"")</f>
        <v>93</v>
      </c>
      <c r="AS226" s="261">
        <f>IF(ISNUMBER(AS200),N(AS200)+N(AS201),"")</f>
        <v>8</v>
      </c>
      <c r="AT226" s="261">
        <f>IF(ISNUMBER(AT200),N(AT200)+N(AT201),"")</f>
        <v>-2</v>
      </c>
      <c r="AU226" s="261">
        <f>IF(ISNUMBER(AU200),N(AU200)+N(AU201),"")</f>
        <v>23</v>
      </c>
      <c r="AV226" s="261">
        <f>IF(ISNUMBER(AV200),N(AV200)+N(AV201),"")</f>
        <v>30</v>
      </c>
      <c r="AW226" s="261">
        <f>IF(ISNUMBER(AW200),N(AW200)+N(AW201),"")</f>
        <v>59</v>
      </c>
      <c r="AX226" s="261">
        <f>IF(ISNUMBER(AX200),N(AX200)+N(AX201),"")</f>
        <v>2</v>
      </c>
      <c r="AY226" s="261">
        <f>IF(ISNUMBER(AY200),N(AY200)+N(AY201),"")</f>
        <v>0</v>
      </c>
      <c r="AZ226" s="261">
        <f>IF(ISNUMBER(AZ200),N(AZ200)+N(AZ201),"")</f>
        <v>0</v>
      </c>
      <c r="BA226" s="261">
        <f>IF(ISNUMBER(BA200),N(BA200)+N(BA201),"")</f>
        <v>-2</v>
      </c>
      <c r="BB226" s="261">
        <f>IF(ISNUMBER(BB200),N(BB200)+N(BB201),"")</f>
        <v>0</v>
      </c>
      <c r="BC226" s="261">
        <f>IF(ISNUMBER(BC200),N(BC200)+N(BC201),"")</f>
        <v>0</v>
      </c>
      <c r="BD226" s="261">
        <f>IF(ISNUMBER(BD200),N(BD200)+N(BD201),"")</f>
        <v>31</v>
      </c>
      <c r="BE226" s="261">
        <f>IF(ISNUMBER(BE200),N(BE200)+N(BE201),"")</f>
        <v>1</v>
      </c>
      <c r="BF226" s="261">
        <f>IF(ISNUMBER(BF200),N(BF200)+N(BF201),"")</f>
        <v>82</v>
      </c>
      <c r="BG226" s="261">
        <f>IF(ISNUMBER(BG200),N(BG200)+N(BG201),"")</f>
        <v>114</v>
      </c>
      <c r="BH226" s="261">
        <f>IF(ISNUMBER(BH200),N(BH200)+N(BH201),"")</f>
        <v>14</v>
      </c>
      <c r="BI226" s="261">
        <f>IF(ISNUMBER(BI200),N(BI200)+N(BI201),"")</f>
        <v>10</v>
      </c>
      <c r="BJ226" s="261">
        <f>IF(ISNUMBER(BJ200),N(BJ200)+N(BJ201),"")</f>
        <v>27</v>
      </c>
      <c r="BK226" s="261">
        <f>IF(ISNUMBER(BK200),N(BK200)+N(BK201),"")</f>
        <v>36</v>
      </c>
      <c r="BL226" s="261">
        <f>IF(ISNUMBER(BL200),N(BL200)+N(BL201),"")</f>
        <v>87</v>
      </c>
      <c r="BM226" s="261">
        <f>IF(ISNUMBER(BM200),N(BM200)+N(BM201),"")</f>
        <v>5</v>
      </c>
      <c r="BN226" s="261">
        <f>IF(ISNUMBER(BN200),N(BN200)+N(BN201),"")</f>
        <v>17</v>
      </c>
      <c r="BO226" s="261">
        <f>IF(ISNUMBER(BO200),N(BO200)+N(BO201),"")</f>
        <v>21</v>
      </c>
      <c r="BP226" s="261">
        <f>IF(ISNUMBER(BP200),N(BP200)+N(BP201),"")</f>
        <v>59</v>
      </c>
      <c r="BQ226" s="261">
        <f>IF(ISNUMBER(BQ200),N(BQ200)+N(BQ201),"")</f>
        <v>102</v>
      </c>
      <c r="BR226" s="261">
        <f>IF(ISNUMBER(BR200),N(BR200)+N(BR201),"")</f>
        <v>35</v>
      </c>
      <c r="BS226" s="261">
        <f>IF(ISNUMBER(BS200),N(BS200)+N(BS201),"")</f>
        <v>28</v>
      </c>
      <c r="BT226" s="261">
        <f>IF(ISNUMBER(BT200),N(BT200)+N(BT201),"")</f>
        <v>22</v>
      </c>
      <c r="BU226" s="261">
        <f>IF(ISNUMBER(BU200),N(BU200)+N(BU201),"")</f>
        <v>26</v>
      </c>
      <c r="BV226" s="261">
        <f>IF(ISNUMBER(BV200),N(BV200)+N(BV201),"")</f>
        <v>111</v>
      </c>
      <c r="BW226" s="261">
        <f>IF(ISNUMBER(BW200),N(BW200)+N(BW201),"")</f>
        <v>61</v>
      </c>
      <c r="BX226" s="261">
        <f>IF(ISNUMBER(BX200),N(BX200)+N(BX201),"")</f>
        <v>36</v>
      </c>
      <c r="BY226" s="254">
        <f>IF(ISNUMBER(BY200),N(BY200)+N(BY201),"")</f>
        <v>41.5</v>
      </c>
      <c r="BZ226" s="254">
        <f>IF(ISNUMBER(BZ200),N(BZ200)+N(BZ201),"")</f>
        <v>41.5</v>
      </c>
      <c r="CA226" s="254">
        <f>IF(ISNUMBER(CA200),N(CA200)+N(CA201),"")</f>
        <v>180</v>
      </c>
      <c r="CB226" s="254">
        <f>IF(ISNUMBER(CB200),N(CB200)+N(CB201),"")</f>
        <v>80</v>
      </c>
      <c r="CC226" s="254">
        <f>IF(ISNUMBER(CC200),N(CC200)+N(CC201),"")</f>
        <v>0</v>
      </c>
      <c r="CD226" s="254">
        <f>IF(ISNUMBER(CD200),N(CD200)+N(CD201),"")</f>
        <v>0</v>
      </c>
      <c r="CE226" s="254">
        <f>IF(ISNUMBER(CE200),N(CE200)+N(CE201),"")</f>
        <v>0</v>
      </c>
      <c r="CF226" s="153" t="n"/>
    </row>
    <row r="227" ht="15" customHeight="1" s="251">
      <c r="CN227" s="11" t="n"/>
      <c r="CO227" s="12" t="n"/>
      <c r="CP227" s="12" t="n"/>
      <c r="CQ227" s="12" t="n"/>
      <c r="CR227" s="13" t="n"/>
    </row>
    <row r="228" ht="15" customHeight="1" s="251">
      <c r="B228" s="10" t="inlineStr">
        <is>
          <t>RECONCILIATION: NET INCOME / DILUTED EPS → ADJUSTED NET INCOME → ADJUSTED DILUTED EPS (company definition)</t>
        </is>
      </c>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c r="AH228" s="10" t="n"/>
      <c r="AI228" s="10" t="n"/>
      <c r="AJ228" s="10" t="n"/>
      <c r="AK228" s="10" t="n"/>
      <c r="AL228" s="10" t="n"/>
      <c r="AM228" s="10" t="n"/>
      <c r="AN228" s="10" t="n"/>
      <c r="AO228" s="10" t="n"/>
      <c r="AP228" s="10" t="n"/>
      <c r="AQ228" s="10" t="n"/>
      <c r="AR228" s="10" t="n"/>
      <c r="AS228" s="10" t="n"/>
      <c r="AT228" s="10" t="n"/>
      <c r="AU228" s="10" t="n"/>
      <c r="AV228" s="10" t="n"/>
      <c r="AW228" s="10" t="n"/>
      <c r="AX228" s="10" t="n"/>
      <c r="AY228" s="10" t="n"/>
      <c r="AZ228" s="10" t="n"/>
      <c r="BA228" s="10" t="n"/>
      <c r="BB228" s="10" t="n"/>
      <c r="BC228" s="10" t="n"/>
      <c r="BD228" s="10" t="n"/>
      <c r="BE228" s="10" t="n"/>
      <c r="BF228" s="10" t="n"/>
      <c r="BG228" s="10" t="n"/>
      <c r="BH228" s="10" t="n"/>
      <c r="BI228" s="10" t="n"/>
      <c r="BJ228" s="10" t="n"/>
      <c r="BK228" s="10" t="n"/>
      <c r="BL228" s="10" t="n"/>
      <c r="BM228" s="10" t="n"/>
      <c r="BN228" s="10" t="n"/>
      <c r="BO228" s="10" t="n"/>
      <c r="BP228" s="10" t="n"/>
      <c r="BQ228" s="10" t="n"/>
      <c r="BR228" s="10" t="n"/>
      <c r="BS228" s="10" t="n"/>
      <c r="BT228" s="10" t="n"/>
      <c r="BU228" s="10" t="n"/>
      <c r="BV228" s="10" t="n"/>
      <c r="BW228" s="10" t="n"/>
      <c r="BX228" s="10" t="n"/>
      <c r="BY228" s="10" t="n"/>
      <c r="BZ228" s="10" t="n"/>
      <c r="CA228" s="10" t="n"/>
      <c r="CB228" s="10" t="n"/>
      <c r="CC228" s="10" t="n"/>
      <c r="CD228" s="10" t="n"/>
      <c r="CE228" s="10" t="n"/>
      <c r="CF228" s="10" t="inlineStr">
        <is>
          <t>ADJUSTED EPS — net income attributable + pre-tax items (acquired-intangible amortization from 2016, restructuring, other operating items, non-operating gains / losses) − tax effect of the items ± discrete tax items</t>
        </is>
      </c>
    </row>
    <row r="229" ht="15" customHeight="1" s="251">
      <c r="B229" s="16" t="inlineStr">
        <is>
          <t>Net income attributable to Moody's (GAAP)</t>
        </is>
      </c>
      <c r="C229" s="262">
        <f>C182</f>
        <v>753.9</v>
      </c>
      <c r="D229" s="262">
        <f>D182</f>
        <v>701.5</v>
      </c>
      <c r="E229" s="262">
        <f>E182</f>
        <v>457.6</v>
      </c>
      <c r="F229" s="262">
        <f>F182</f>
        <v>402</v>
      </c>
      <c r="G229" s="262">
        <f>G182</f>
        <v>507.8</v>
      </c>
      <c r="H229" s="262">
        <f>H182</f>
        <v>571.4</v>
      </c>
      <c r="I229" s="262">
        <f>I182</f>
        <v>690</v>
      </c>
      <c r="J229" s="262">
        <f>J182</f>
        <v>188.4</v>
      </c>
      <c r="K229" s="262">
        <f>K182</f>
        <v>225.5</v>
      </c>
      <c r="L229" s="262">
        <f>L182</f>
        <v>183.9</v>
      </c>
      <c r="M229" s="262">
        <f>M182</f>
        <v>206.7</v>
      </c>
      <c r="N229" s="262">
        <f>N182</f>
        <v>804.5</v>
      </c>
      <c r="O229" s="262">
        <f>O182</f>
        <v>218</v>
      </c>
      <c r="P229" s="262">
        <f>P182</f>
        <v>319.2</v>
      </c>
      <c r="Q229" s="262">
        <f>Q182</f>
        <v>215.2</v>
      </c>
      <c r="R229" s="262">
        <f>R182</f>
        <v>236.3</v>
      </c>
      <c r="S229" s="262">
        <f>S182</f>
        <v>988.700000000001</v>
      </c>
      <c r="T229" s="262">
        <f>T182</f>
        <v>230.1</v>
      </c>
      <c r="U229" s="262">
        <f>U182</f>
        <v>261.7</v>
      </c>
      <c r="V229" s="262">
        <f>V182</f>
        <v>231.6</v>
      </c>
      <c r="W229" s="262">
        <f>W182</f>
        <v>217.9</v>
      </c>
      <c r="X229" s="262">
        <f>X182</f>
        <v>941.3</v>
      </c>
      <c r="Y229" s="262">
        <f>Y182</f>
        <v>184.4</v>
      </c>
      <c r="Z229" s="262">
        <f>Z182</f>
        <v>255.5</v>
      </c>
      <c r="AA229" s="262">
        <f>AA182</f>
        <v>255.3</v>
      </c>
      <c r="AB229" s="262">
        <f>AB182</f>
        <v>-428.6</v>
      </c>
      <c r="AC229" s="262">
        <f>AC182</f>
        <v>266.6</v>
      </c>
      <c r="AD229" s="262">
        <f>AD182</f>
        <v>345.6</v>
      </c>
      <c r="AE229" s="262">
        <f>AE182</f>
        <v>312.2</v>
      </c>
      <c r="AF229" s="262">
        <f>AF182</f>
        <v>317.3</v>
      </c>
      <c r="AG229" s="262">
        <f>AG182</f>
        <v>25.5000000000001</v>
      </c>
      <c r="AH229" s="262">
        <f>AH182</f>
        <v>1000.6</v>
      </c>
      <c r="AI229" s="262">
        <f>AI182</f>
        <v>372.9</v>
      </c>
      <c r="AJ229" s="262">
        <f>AJ182</f>
        <v>376.2</v>
      </c>
      <c r="AK229" s="262">
        <f>AK182</f>
        <v>310.2</v>
      </c>
      <c r="AL229" s="262">
        <f>AL182</f>
        <v>250.3</v>
      </c>
      <c r="AM229" s="262">
        <f>AM182</f>
        <v>1309.6</v>
      </c>
      <c r="AN229" s="262">
        <f>AN182</f>
        <v>372.9</v>
      </c>
      <c r="AO229" s="262">
        <f>AO182</f>
        <v>310.3</v>
      </c>
      <c r="AP229" s="262">
        <f>AP182</f>
        <v>379.4</v>
      </c>
      <c r="AQ229" s="262">
        <f>AQ182</f>
        <v>359</v>
      </c>
      <c r="AR229" s="262">
        <f>AR182</f>
        <v>1422</v>
      </c>
      <c r="AS229" s="262">
        <f>AS182</f>
        <v>488</v>
      </c>
      <c r="AT229" s="262">
        <f>AT182</f>
        <v>509</v>
      </c>
      <c r="AU229" s="262">
        <f>AU182</f>
        <v>467</v>
      </c>
      <c r="AV229" s="262">
        <f>AV182</f>
        <v>314</v>
      </c>
      <c r="AW229" s="262">
        <f>AW182</f>
        <v>1778</v>
      </c>
      <c r="AX229" s="262">
        <f>AX182</f>
        <v>736</v>
      </c>
      <c r="AY229" s="262">
        <f>AY182</f>
        <v>577</v>
      </c>
      <c r="AZ229" s="262">
        <f>AZ182</f>
        <v>474</v>
      </c>
      <c r="BA229" s="262">
        <f>BA182</f>
        <v>427</v>
      </c>
      <c r="BB229" s="262">
        <f>BB182</f>
        <v>2214</v>
      </c>
      <c r="BC229" s="262">
        <f>BC182</f>
        <v>498</v>
      </c>
      <c r="BD229" s="262">
        <f>BD182</f>
        <v>327</v>
      </c>
      <c r="BE229" s="262">
        <f>BE182</f>
        <v>303</v>
      </c>
      <c r="BF229" s="262">
        <f>BF182</f>
        <v>246</v>
      </c>
      <c r="BG229" s="262">
        <f>BG182</f>
        <v>1374</v>
      </c>
      <c r="BH229" s="262">
        <f>BH182</f>
        <v>501</v>
      </c>
      <c r="BI229" s="262">
        <f>BI182</f>
        <v>377</v>
      </c>
      <c r="BJ229" s="262">
        <f>BJ182</f>
        <v>389</v>
      </c>
      <c r="BK229" s="262">
        <f>BK182</f>
        <v>340</v>
      </c>
      <c r="BL229" s="262">
        <f>BL182</f>
        <v>1607</v>
      </c>
      <c r="BM229" s="262">
        <f>BM182</f>
        <v>577</v>
      </c>
      <c r="BN229" s="262">
        <f>BN182</f>
        <v>552</v>
      </c>
      <c r="BO229" s="262">
        <f>BO182</f>
        <v>534</v>
      </c>
      <c r="BP229" s="262">
        <f>BP182</f>
        <v>395</v>
      </c>
      <c r="BQ229" s="262">
        <f>BQ182</f>
        <v>2058</v>
      </c>
      <c r="BR229" s="262">
        <f>BR182</f>
        <v>625</v>
      </c>
      <c r="BS229" s="262">
        <f>BS182</f>
        <v>578</v>
      </c>
      <c r="BT229" s="262">
        <f>BT182</f>
        <v>646</v>
      </c>
      <c r="BU229" s="262">
        <f>BU182</f>
        <v>610</v>
      </c>
      <c r="BV229" s="262">
        <f>BV182</f>
        <v>2459</v>
      </c>
      <c r="BW229" s="262">
        <f>BW182</f>
        <v>661</v>
      </c>
      <c r="BX229" s="262">
        <f>BX182</f>
        <v>878</v>
      </c>
      <c r="BY229" s="263">
        <f>BY182</f>
        <v>654.395524743827</v>
      </c>
      <c r="BZ229" s="263">
        <f>BZ182</f>
        <v>635.210791745535</v>
      </c>
      <c r="CA229" s="263">
        <f>CA182</f>
        <v>2828.60631648936</v>
      </c>
      <c r="CB229" s="263">
        <f>CB182</f>
        <v>2925.08419353327</v>
      </c>
      <c r="CC229" s="263">
        <f>CC182</f>
        <v>3217.18540650399</v>
      </c>
      <c r="CD229" s="263">
        <f>CD182</f>
        <v>3482.88163585263</v>
      </c>
      <c r="CE229" s="263">
        <f>CE182</f>
        <v>3744.12197509157</v>
      </c>
      <c r="CF229" s="153" t="n"/>
    </row>
    <row r="230" ht="15" customHeight="1" s="251">
      <c r="B230" s="25" t="inlineStr">
        <is>
          <t xml:space="preserve">  (+) Acquisition-related intangible amortization (pre-tax; excluded from 2016)</t>
        </is>
      </c>
      <c r="C230" s="253" t="n">
        <v>0</v>
      </c>
      <c r="D230" s="253" t="n">
        <v>0</v>
      </c>
      <c r="E230" s="253" t="n">
        <v>0</v>
      </c>
      <c r="F230" s="253" t="n">
        <v>0</v>
      </c>
      <c r="G230" s="253" t="n">
        <v>0</v>
      </c>
      <c r="H230" s="253" t="n">
        <v>0</v>
      </c>
      <c r="I230" s="253" t="n">
        <v>0</v>
      </c>
      <c r="J230" s="253" t="n">
        <v>0</v>
      </c>
      <c r="K230" s="253" t="n">
        <v>0</v>
      </c>
      <c r="L230" s="253" t="n">
        <v>0</v>
      </c>
      <c r="M230" s="253" t="n">
        <v>0</v>
      </c>
      <c r="N230" s="253" t="n">
        <v>0</v>
      </c>
      <c r="O230" s="253" t="n">
        <v>0</v>
      </c>
      <c r="P230" s="253" t="n">
        <v>0</v>
      </c>
      <c r="Q230" s="253" t="n">
        <v>0</v>
      </c>
      <c r="R230" s="253" t="n">
        <v>0</v>
      </c>
      <c r="S230" s="253" t="n">
        <v>0</v>
      </c>
      <c r="T230" s="253" t="n">
        <v>0</v>
      </c>
      <c r="U230" s="253" t="n">
        <v>0</v>
      </c>
      <c r="V230" s="253" t="n">
        <v>0</v>
      </c>
      <c r="W230" s="253" t="n">
        <v>0</v>
      </c>
      <c r="X230" s="253" t="n">
        <v>0</v>
      </c>
      <c r="Y230" s="253" t="n">
        <v>0</v>
      </c>
      <c r="Z230" s="253" t="n">
        <v>0</v>
      </c>
      <c r="AA230" s="253" t="n">
        <v>0</v>
      </c>
      <c r="AB230" s="253" t="n">
        <v>0</v>
      </c>
      <c r="AC230" s="253" t="n">
        <v>0</v>
      </c>
      <c r="AD230" s="253" t="n">
        <v>0</v>
      </c>
      <c r="AE230" s="253" t="n">
        <v>0</v>
      </c>
      <c r="AF230" s="253" t="n">
        <v>0</v>
      </c>
      <c r="AG230" s="253" t="n">
        <v>19.44</v>
      </c>
      <c r="AH230" s="253" t="n">
        <v>0</v>
      </c>
      <c r="AI230" s="253" t="n">
        <v>25.7</v>
      </c>
      <c r="AJ230" s="253" t="n">
        <v>25.1</v>
      </c>
      <c r="AK230" s="253" t="n">
        <v>24.6</v>
      </c>
      <c r="AL230" s="253" t="n">
        <v>26.3</v>
      </c>
      <c r="AM230" s="253" t="n">
        <v>101.7</v>
      </c>
      <c r="AN230" s="253" t="n">
        <v>26.4</v>
      </c>
      <c r="AO230" s="253" t="n">
        <v>26.2</v>
      </c>
      <c r="AP230" s="253" t="n">
        <v>24.7</v>
      </c>
      <c r="AQ230" s="253" t="n">
        <v>26</v>
      </c>
      <c r="AR230" s="253" t="n">
        <v>103</v>
      </c>
      <c r="AS230" s="253" t="n">
        <v>28</v>
      </c>
      <c r="AT230" s="253" t="n">
        <v>31</v>
      </c>
      <c r="AU230" s="253" t="n">
        <v>31</v>
      </c>
      <c r="AV230" s="253" t="n">
        <v>34</v>
      </c>
      <c r="AW230" s="253" t="n">
        <v>124</v>
      </c>
      <c r="AX230" s="253" t="n">
        <v>35</v>
      </c>
      <c r="AY230" s="253" t="n">
        <v>36</v>
      </c>
      <c r="AZ230" s="253" t="n">
        <v>37</v>
      </c>
      <c r="BA230" s="253" t="n">
        <v>50</v>
      </c>
      <c r="BB230" s="253" t="n">
        <v>158</v>
      </c>
      <c r="BC230" s="253" t="n">
        <v>51</v>
      </c>
      <c r="BD230" s="253" t="n">
        <v>51</v>
      </c>
      <c r="BE230" s="253" t="n">
        <v>48</v>
      </c>
      <c r="BF230" s="253" t="n">
        <v>50</v>
      </c>
      <c r="BG230" s="253" t="n">
        <v>200</v>
      </c>
      <c r="BH230" s="253" t="n">
        <v>51</v>
      </c>
      <c r="BI230" s="253" t="n">
        <v>50</v>
      </c>
      <c r="BJ230" s="253" t="n">
        <v>49</v>
      </c>
      <c r="BK230" s="253" t="n">
        <v>48</v>
      </c>
      <c r="BL230" s="253" t="n">
        <v>198</v>
      </c>
      <c r="BM230" s="253" t="n">
        <v>49</v>
      </c>
      <c r="BN230" s="253" t="n">
        <v>48</v>
      </c>
      <c r="BO230" s="253" t="n">
        <v>51</v>
      </c>
      <c r="BP230" s="253" t="n">
        <v>50</v>
      </c>
      <c r="BQ230" s="253" t="n">
        <v>198</v>
      </c>
      <c r="BR230" s="253" t="n">
        <v>53</v>
      </c>
      <c r="BS230" s="253" t="n">
        <v>55</v>
      </c>
      <c r="BT230" s="253" t="n">
        <v>55</v>
      </c>
      <c r="BU230" s="253" t="n">
        <v>52</v>
      </c>
      <c r="BV230" s="253" t="n">
        <v>215</v>
      </c>
      <c r="BW230" s="253" t="n">
        <v>53</v>
      </c>
      <c r="BX230" s="253" t="n">
        <v>53</v>
      </c>
      <c r="BY230" s="254">
        <f>BY150</f>
        <v>50.5</v>
      </c>
      <c r="BZ230" s="254">
        <f>BZ150</f>
        <v>50.5</v>
      </c>
      <c r="CA230" s="254">
        <f>SUM(BW230:BZ230)</f>
        <v>207</v>
      </c>
      <c r="CB230" s="254">
        <f>CB150</f>
        <v>197.666666666667</v>
      </c>
      <c r="CC230" s="254">
        <f>CC150</f>
        <v>190</v>
      </c>
      <c r="CD230" s="254">
        <f>CD150</f>
        <v>163.333333333333</v>
      </c>
      <c r="CE230" s="254">
        <f>CE150</f>
        <v>144.666666666667</v>
      </c>
      <c r="CF230" s="19" t="n"/>
    </row>
    <row r="231" ht="15" customHeight="1" s="251">
      <c r="B231" s="25" t="inlineStr">
        <is>
          <t xml:space="preserve">  (+) Restructuring (pre-tax)</t>
        </is>
      </c>
      <c r="C231" s="253" t="n">
        <v>0</v>
      </c>
      <c r="D231" s="253" t="n">
        <v>50</v>
      </c>
      <c r="E231" s="253" t="n">
        <v>-2.5</v>
      </c>
      <c r="F231" s="253" t="n">
        <v>17.5</v>
      </c>
      <c r="G231" s="253" t="n">
        <v>0.1</v>
      </c>
      <c r="H231" s="253" t="n">
        <v>0</v>
      </c>
      <c r="I231" s="253" t="n">
        <v>0</v>
      </c>
      <c r="J231" s="253" t="n">
        <v>0</v>
      </c>
      <c r="K231" s="253" t="n">
        <v>0</v>
      </c>
      <c r="L231" s="253" t="n">
        <v>0</v>
      </c>
      <c r="M231" s="253" t="n">
        <v>0</v>
      </c>
      <c r="N231" s="253" t="n">
        <v>0</v>
      </c>
      <c r="O231" s="253" t="n">
        <v>0</v>
      </c>
      <c r="P231" s="253" t="n">
        <v>0</v>
      </c>
      <c r="Q231" s="253" t="n">
        <v>0</v>
      </c>
      <c r="R231" s="253" t="n">
        <v>0</v>
      </c>
      <c r="S231" s="253" t="n">
        <v>0</v>
      </c>
      <c r="T231" s="253" t="n">
        <v>0</v>
      </c>
      <c r="U231" s="253" t="n">
        <v>0</v>
      </c>
      <c r="V231" s="253" t="n">
        <v>0</v>
      </c>
      <c r="W231" s="253" t="n">
        <v>0</v>
      </c>
      <c r="X231" s="253" t="n">
        <v>0</v>
      </c>
      <c r="Y231" s="253" t="n">
        <v>0</v>
      </c>
      <c r="Z231" s="253" t="n">
        <v>0</v>
      </c>
      <c r="AA231" s="253" t="n">
        <v>8.4</v>
      </c>
      <c r="AB231" s="253" t="n">
        <v>0</v>
      </c>
      <c r="AC231" s="253" t="n">
        <v>0</v>
      </c>
      <c r="AD231" s="253" t="n">
        <v>0</v>
      </c>
      <c r="AE231" s="253" t="n">
        <v>0</v>
      </c>
      <c r="AF231" s="253" t="n">
        <v>0</v>
      </c>
      <c r="AG231" s="253" t="n">
        <v>0</v>
      </c>
      <c r="AH231" s="253" t="n">
        <v>0</v>
      </c>
      <c r="AI231" s="253" t="n">
        <v>0</v>
      </c>
      <c r="AJ231" s="253" t="n">
        <v>0</v>
      </c>
      <c r="AK231" s="253" t="n">
        <v>0</v>
      </c>
      <c r="AL231" s="253" t="n">
        <v>48.7</v>
      </c>
      <c r="AM231" s="253" t="n">
        <v>48.7</v>
      </c>
      <c r="AN231" s="253" t="n">
        <v>5.5</v>
      </c>
      <c r="AO231" s="253" t="n">
        <v>53.8</v>
      </c>
      <c r="AP231" s="253" t="n">
        <v>-1</v>
      </c>
      <c r="AQ231" s="253" t="n">
        <v>2</v>
      </c>
      <c r="AR231" s="253" t="n">
        <v>60</v>
      </c>
      <c r="AS231" s="253" t="n">
        <v>-1</v>
      </c>
      <c r="AT231" s="253" t="n">
        <v>-2</v>
      </c>
      <c r="AU231" s="253" t="n">
        <v>23</v>
      </c>
      <c r="AV231" s="253" t="n">
        <v>30</v>
      </c>
      <c r="AW231" s="253" t="n">
        <v>50</v>
      </c>
      <c r="AX231" s="253" t="n">
        <v>2</v>
      </c>
      <c r="AY231" s="253" t="n">
        <v>0</v>
      </c>
      <c r="AZ231" s="253" t="n">
        <v>0</v>
      </c>
      <c r="BA231" s="253" t="n">
        <v>-2</v>
      </c>
      <c r="BB231" s="253" t="n">
        <v>0</v>
      </c>
      <c r="BC231" s="253" t="n">
        <v>0</v>
      </c>
      <c r="BD231" s="253" t="n">
        <v>31</v>
      </c>
      <c r="BE231" s="253" t="n">
        <v>1</v>
      </c>
      <c r="BF231" s="253" t="n">
        <v>82</v>
      </c>
      <c r="BG231" s="253" t="n">
        <v>114</v>
      </c>
      <c r="BH231" s="253" t="n">
        <v>14</v>
      </c>
      <c r="BI231" s="253" t="n">
        <v>10</v>
      </c>
      <c r="BJ231" s="253" t="n">
        <v>27</v>
      </c>
      <c r="BK231" s="253" t="n">
        <v>36</v>
      </c>
      <c r="BL231" s="253" t="n">
        <v>87</v>
      </c>
      <c r="BM231" s="253" t="n">
        <v>5</v>
      </c>
      <c r="BN231" s="253" t="n">
        <v>2</v>
      </c>
      <c r="BO231" s="253" t="n">
        <v>6</v>
      </c>
      <c r="BP231" s="253" t="n">
        <v>46</v>
      </c>
      <c r="BQ231" s="253" t="n">
        <v>59</v>
      </c>
      <c r="BR231" s="253" t="n">
        <v>33</v>
      </c>
      <c r="BS231" s="253" t="n">
        <v>27</v>
      </c>
      <c r="BT231" s="253" t="n">
        <v>21</v>
      </c>
      <c r="BU231" s="253" t="n">
        <v>27</v>
      </c>
      <c r="BV231" s="253" t="n">
        <v>108</v>
      </c>
      <c r="BW231" s="253" t="n">
        <v>27</v>
      </c>
      <c r="BX231" s="253" t="n">
        <v>32</v>
      </c>
      <c r="BY231" s="254">
        <f>BY154</f>
        <v>30</v>
      </c>
      <c r="BZ231" s="254">
        <f>BZ154</f>
        <v>30</v>
      </c>
      <c r="CA231" s="254">
        <f>SUM(BW231:BZ231)</f>
        <v>119</v>
      </c>
      <c r="CB231" s="254">
        <f>CB154</f>
        <v>60</v>
      </c>
      <c r="CC231" s="254">
        <f>CC154</f>
        <v>0</v>
      </c>
      <c r="CD231" s="254">
        <f>CD154</f>
        <v>0</v>
      </c>
      <c r="CE231" s="254">
        <f>CE154</f>
        <v>0</v>
      </c>
      <c r="CF231" s="19" t="n"/>
    </row>
    <row r="232" ht="15" customHeight="1" s="251">
      <c r="B232" s="25" t="inlineStr">
        <is>
          <t xml:space="preserve">  (+) Other operating items (pre-tax: settlement charges, impairments, acquisition costs, asset abandonment, reserves, duplicate rent)</t>
        </is>
      </c>
      <c r="C232" s="253" t="n">
        <v>-83.5</v>
      </c>
      <c r="D232" s="253" t="n">
        <v>0</v>
      </c>
      <c r="E232" s="253" t="n">
        <v>0</v>
      </c>
      <c r="F232" s="253" t="n">
        <v>0</v>
      </c>
      <c r="G232" s="253" t="n">
        <v>0</v>
      </c>
      <c r="H232" s="253" t="n">
        <v>0</v>
      </c>
      <c r="I232" s="253" t="n">
        <v>0</v>
      </c>
      <c r="J232" s="253" t="n">
        <v>0</v>
      </c>
      <c r="K232" s="253" t="n">
        <v>0</v>
      </c>
      <c r="L232" s="253" t="n">
        <v>0</v>
      </c>
      <c r="M232" s="253" t="n">
        <v>0</v>
      </c>
      <c r="N232" s="253" t="n">
        <v>31.29</v>
      </c>
      <c r="O232" s="253" t="n">
        <v>0</v>
      </c>
      <c r="P232" s="253" t="n">
        <v>0</v>
      </c>
      <c r="Q232" s="253" t="n">
        <v>0</v>
      </c>
      <c r="R232" s="253" t="n">
        <v>0</v>
      </c>
      <c r="S232" s="253" t="n">
        <v>0</v>
      </c>
      <c r="T232" s="253" t="n">
        <v>0</v>
      </c>
      <c r="U232" s="253" t="n">
        <v>0</v>
      </c>
      <c r="V232" s="253" t="n">
        <v>0</v>
      </c>
      <c r="W232" s="253" t="n">
        <v>0</v>
      </c>
      <c r="X232" s="253" t="n">
        <v>0</v>
      </c>
      <c r="Y232" s="253" t="n">
        <v>0</v>
      </c>
      <c r="Z232" s="253" t="n">
        <v>0</v>
      </c>
      <c r="AA232" s="253" t="n">
        <v>0</v>
      </c>
      <c r="AB232" s="253" t="n">
        <v>0</v>
      </c>
      <c r="AC232" s="253" t="n">
        <v>0</v>
      </c>
      <c r="AD232" s="253" t="n">
        <v>0</v>
      </c>
      <c r="AE232" s="253" t="n">
        <v>6.6</v>
      </c>
      <c r="AF232" s="253" t="n">
        <v>10.1</v>
      </c>
      <c r="AG232" s="253" t="n">
        <v>3.888</v>
      </c>
      <c r="AH232" s="253" t="n">
        <v>0</v>
      </c>
      <c r="AI232" s="253" t="n">
        <v>0.8</v>
      </c>
      <c r="AJ232" s="253" t="n">
        <v>2</v>
      </c>
      <c r="AK232" s="253" t="n">
        <v>1.3</v>
      </c>
      <c r="AL232" s="253" t="n">
        <v>4.2</v>
      </c>
      <c r="AM232" s="253" t="n">
        <v>8.300000000000001</v>
      </c>
      <c r="AN232" s="253" t="n">
        <v>1.4</v>
      </c>
      <c r="AO232" s="253" t="n">
        <v>2</v>
      </c>
      <c r="AP232" s="253" t="n">
        <v>15.5</v>
      </c>
      <c r="AQ232" s="253" t="n">
        <v>0</v>
      </c>
      <c r="AR232" s="253" t="n">
        <v>19</v>
      </c>
      <c r="AS232" s="253" t="n">
        <v>0</v>
      </c>
      <c r="AT232" s="253" t="n">
        <v>0</v>
      </c>
      <c r="AU232" s="253" t="n">
        <v>0</v>
      </c>
      <c r="AV232" s="253" t="n">
        <v>0</v>
      </c>
      <c r="AW232" s="253" t="n">
        <v>0</v>
      </c>
      <c r="AX232" s="253" t="n">
        <v>0</v>
      </c>
      <c r="AY232" s="253" t="n">
        <v>0</v>
      </c>
      <c r="AZ232" s="253" t="n">
        <v>0</v>
      </c>
      <c r="BA232" s="253" t="n">
        <v>0</v>
      </c>
      <c r="BB232" s="253" t="n">
        <v>0</v>
      </c>
      <c r="BC232" s="253" t="n">
        <v>0</v>
      </c>
      <c r="BD232" s="253" t="n">
        <v>0</v>
      </c>
      <c r="BE232" s="253" t="n">
        <v>0</v>
      </c>
      <c r="BF232" s="253" t="n">
        <v>0</v>
      </c>
      <c r="BG232" s="253" t="n">
        <v>0</v>
      </c>
      <c r="BH232" s="253" t="n">
        <v>0</v>
      </c>
      <c r="BI232" s="253" t="n">
        <v>0</v>
      </c>
      <c r="BJ232" s="253" t="n">
        <v>0</v>
      </c>
      <c r="BK232" s="253" t="n">
        <v>0</v>
      </c>
      <c r="BL232" s="253" t="n">
        <v>0</v>
      </c>
      <c r="BM232" s="253" t="n">
        <v>0</v>
      </c>
      <c r="BN232" s="253" t="n">
        <v>15</v>
      </c>
      <c r="BO232" s="253" t="n">
        <v>15</v>
      </c>
      <c r="BP232" s="253" t="n">
        <v>13</v>
      </c>
      <c r="BQ232" s="253" t="n">
        <v>43</v>
      </c>
      <c r="BR232" s="253" t="n">
        <v>2</v>
      </c>
      <c r="BS232" s="253" t="n">
        <v>1</v>
      </c>
      <c r="BT232" s="253" t="n">
        <v>1</v>
      </c>
      <c r="BU232" s="253" t="n">
        <v>-1</v>
      </c>
      <c r="BV232" s="253" t="n">
        <v>3</v>
      </c>
      <c r="BW232" s="253" t="n">
        <v>53</v>
      </c>
      <c r="BX232" s="253" t="n">
        <v>1</v>
      </c>
      <c r="BY232" s="254">
        <f>BY155+BY168</f>
        <v>11.5</v>
      </c>
      <c r="BZ232" s="254">
        <f>BZ155+BZ168</f>
        <v>11.5</v>
      </c>
      <c r="CA232" s="254">
        <f>SUM(BW232:BZ232)</f>
        <v>77</v>
      </c>
      <c r="CB232" s="254">
        <f>CB155+CB168</f>
        <v>20</v>
      </c>
      <c r="CC232" s="254">
        <f>CC155+CC168</f>
        <v>0</v>
      </c>
      <c r="CD232" s="254">
        <f>CD155+CD168</f>
        <v>0</v>
      </c>
      <c r="CE232" s="254">
        <f>CE155+CE168</f>
        <v>0</v>
      </c>
      <c r="CF232" s="19" t="n"/>
    </row>
    <row r="233" ht="15" customHeight="1" s="251">
      <c r="B233" s="25" t="inlineStr">
        <is>
          <t xml:space="preserve">  (+) Non-operating items (pre-tax: divestiture / remeasurement gains (−), CCXI, hedge losses, legacy items)</t>
        </is>
      </c>
      <c r="C233" s="253" t="n">
        <v>0</v>
      </c>
      <c r="D233" s="253" t="n">
        <v>0</v>
      </c>
      <c r="E233" s="253" t="n">
        <v>0</v>
      </c>
      <c r="F233" s="253" t="n">
        <v>0</v>
      </c>
      <c r="G233" s="253" t="n">
        <v>0</v>
      </c>
      <c r="H233" s="253" t="n">
        <v>0</v>
      </c>
      <c r="I233" s="253" t="n">
        <v>0</v>
      </c>
      <c r="J233" s="253" t="n">
        <v>0</v>
      </c>
      <c r="K233" s="253" t="n">
        <v>0</v>
      </c>
      <c r="L233" s="253" t="n">
        <v>0</v>
      </c>
      <c r="M233" s="253" t="n">
        <v>0</v>
      </c>
      <c r="N233" s="253" t="n">
        <v>0</v>
      </c>
      <c r="O233" s="253" t="n">
        <v>0</v>
      </c>
      <c r="P233" s="253" t="n">
        <v>-102.8</v>
      </c>
      <c r="Q233" s="253" t="n">
        <v>0</v>
      </c>
      <c r="R233" s="253" t="n">
        <v>0</v>
      </c>
      <c r="S233" s="253" t="n">
        <v>-102.8</v>
      </c>
      <c r="T233" s="253" t="n">
        <v>0</v>
      </c>
      <c r="U233" s="253" t="n">
        <v>0</v>
      </c>
      <c r="V233" s="253" t="n">
        <v>0</v>
      </c>
      <c r="W233" s="253" t="n">
        <v>0</v>
      </c>
      <c r="X233" s="253" t="n">
        <v>0</v>
      </c>
      <c r="Y233" s="253" t="n">
        <v>0</v>
      </c>
      <c r="Z233" s="253" t="n">
        <v>0</v>
      </c>
      <c r="AA233" s="253" t="n">
        <v>0</v>
      </c>
      <c r="AB233" s="253" t="n">
        <v>-34.8</v>
      </c>
      <c r="AC233" s="253" t="n">
        <v>-34.8</v>
      </c>
      <c r="AD233" s="253" t="n">
        <v>-59.7</v>
      </c>
      <c r="AE233" s="253" t="n">
        <v>0</v>
      </c>
      <c r="AF233" s="253" t="n">
        <v>0</v>
      </c>
      <c r="AG233" s="253" t="n">
        <v>0</v>
      </c>
      <c r="AH233" s="253" t="n">
        <v>-59.7</v>
      </c>
      <c r="AI233" s="253" t="n">
        <v>0</v>
      </c>
      <c r="AJ233" s="253" t="n">
        <v>0</v>
      </c>
      <c r="AK233" s="253" t="n">
        <v>0</v>
      </c>
      <c r="AL233" s="253" t="n">
        <v>0</v>
      </c>
      <c r="AM233" s="253" t="n">
        <v>0</v>
      </c>
      <c r="AN233" s="253" t="n">
        <v>0</v>
      </c>
      <c r="AO233" s="253" t="n">
        <v>8.699999999999999</v>
      </c>
      <c r="AP233" s="253" t="n">
        <v>2</v>
      </c>
      <c r="AQ233" s="253" t="n">
        <v>3</v>
      </c>
      <c r="AR233" s="253" t="n">
        <v>14</v>
      </c>
      <c r="AS233" s="253" t="n">
        <v>9</v>
      </c>
      <c r="AT233" s="253" t="n">
        <v>0</v>
      </c>
      <c r="AU233" s="253" t="n">
        <v>0</v>
      </c>
      <c r="AV233" s="253" t="n">
        <v>0</v>
      </c>
      <c r="AW233" s="253" t="n">
        <v>9</v>
      </c>
      <c r="AX233" s="253" t="n">
        <v>0</v>
      </c>
      <c r="AY233" s="253" t="n">
        <v>0</v>
      </c>
      <c r="AZ233" s="253" t="n">
        <v>0</v>
      </c>
      <c r="BA233" s="253" t="n">
        <v>-36</v>
      </c>
      <c r="BB233" s="253" t="n">
        <v>-36</v>
      </c>
      <c r="BC233" s="253" t="n">
        <v>0</v>
      </c>
      <c r="BD233" s="253" t="n">
        <v>20</v>
      </c>
      <c r="BE233" s="253" t="n">
        <v>0</v>
      </c>
      <c r="BF233" s="253" t="n">
        <v>-70</v>
      </c>
      <c r="BG233" s="253" t="n">
        <v>-50</v>
      </c>
      <c r="BH233" s="253" t="n">
        <v>0</v>
      </c>
      <c r="BI233" s="253" t="n">
        <v>0</v>
      </c>
      <c r="BJ233" s="253" t="n">
        <v>0</v>
      </c>
      <c r="BK233" s="253" t="n">
        <v>0</v>
      </c>
      <c r="BL233" s="253" t="n">
        <v>0</v>
      </c>
      <c r="BM233" s="253" t="n">
        <v>0</v>
      </c>
      <c r="BN233" s="253" t="n">
        <v>0</v>
      </c>
      <c r="BO233" s="253" t="n">
        <v>-7</v>
      </c>
      <c r="BP233" s="253" t="n">
        <v>0</v>
      </c>
      <c r="BQ233" s="253" t="n">
        <v>-7</v>
      </c>
      <c r="BR233" s="253" t="n">
        <v>0</v>
      </c>
      <c r="BS233" s="253" t="n">
        <v>0</v>
      </c>
      <c r="BT233" s="253" t="n">
        <v>0</v>
      </c>
      <c r="BU233" s="253" t="n">
        <v>-21</v>
      </c>
      <c r="BV233" s="253" t="n">
        <v>-21</v>
      </c>
      <c r="BW233" s="253" t="n">
        <v>0</v>
      </c>
      <c r="BX233" s="253" t="n">
        <v>-181</v>
      </c>
      <c r="BY233" s="254">
        <f>-BY160</f>
        <v>0</v>
      </c>
      <c r="BZ233" s="254">
        <f>-BZ160</f>
        <v>-119</v>
      </c>
      <c r="CA233" s="254">
        <f>SUM(BW233:BZ233)</f>
        <v>-300</v>
      </c>
      <c r="CB233" s="254">
        <f>-CB160</f>
        <v>0</v>
      </c>
      <c r="CC233" s="254">
        <f>-CC160</f>
        <v>0</v>
      </c>
      <c r="CD233" s="254">
        <f>-CD160</f>
        <v>0</v>
      </c>
      <c r="CE233" s="254">
        <f>-CE160</f>
        <v>0</v>
      </c>
      <c r="CF233" s="19" t="n"/>
    </row>
    <row r="234" ht="15" customHeight="1" s="251">
      <c r="B234" s="25" t="inlineStr">
        <is>
          <t xml:space="preserve">  (−) Tax effect of the items &amp; discrete tax items (legacy tax, Tax Act, UTP releases)</t>
        </is>
      </c>
      <c r="C234" s="261">
        <f>IF(ISNUMBER(C236),C236-C229-(N(C230)+N(C231)+N(C232)+N(C233)),IF(ISNUMBER(C229),0,""))</f>
        <v>34.4</v>
      </c>
      <c r="D234" s="261">
        <f>IF(ISNUMBER(D236),D236-D229-(N(D230)+N(D231)+N(D232)+N(D233)),IF(ISNUMBER(D229),0,""))</f>
        <v>-72.3</v>
      </c>
      <c r="E234" s="261">
        <f>IF(ISNUMBER(E236),E236-E229-(N(E230)+N(E231)+N(E232)+N(E233)),IF(ISNUMBER(E229),0,""))</f>
        <v>-9.79999999999996</v>
      </c>
      <c r="F234" s="261">
        <f>IF(ISNUMBER(F236),F236-F229-(N(F230)+N(F231)+N(F232)+N(F233)),IF(ISNUMBER(F229),0,""))</f>
        <v>-14.8000000000002</v>
      </c>
      <c r="G234" s="261">
        <f>IF(ISNUMBER(G236),G236-G229-(N(G230)+N(G231)+N(G232)+N(G233)),IF(ISNUMBER(G229),0,""))</f>
        <v>-4.60000000000017</v>
      </c>
      <c r="H234" s="261">
        <f>IF(ISNUMBER(H236),H236-H229-(N(H230)+N(H231)+N(H232)+N(H233)),IF(ISNUMBER(H229),0,""))</f>
        <v>-6.99999999999977</v>
      </c>
      <c r="I234" s="261">
        <f>IF(ISNUMBER(I236),I236-I229-(N(I230)+N(I231)+N(I232)+N(I233)),IF(ISNUMBER(I229),0,""))</f>
        <v>-12.4660000000002</v>
      </c>
      <c r="J234" s="261">
        <f>IF(ISNUMBER(J236),J236-J229-(N(J230)+N(J231)+N(J232)+N(J233)),IF(ISNUMBER(J229),0,""))</f>
        <v>0</v>
      </c>
      <c r="K234" s="261">
        <f>IF(ISNUMBER(K236),K236-K229-(N(K230)+N(K231)+N(K232)+N(K233)),IF(ISNUMBER(K229),0,""))</f>
        <v>0</v>
      </c>
      <c r="L234" s="261">
        <f>IF(ISNUMBER(L236),L236-L229-(N(L230)+N(L231)+N(L232)+N(L233)),IF(ISNUMBER(L229),0,""))</f>
        <v>0.359999999999985</v>
      </c>
      <c r="M234" s="261">
        <f>IF(ISNUMBER(M236),M236-M229-(N(M230)+N(M231)+N(M232)+N(M233)),IF(ISNUMBER(M229),0,""))</f>
        <v>-20.5500000000001</v>
      </c>
      <c r="N234" s="261">
        <f>IF(ISNUMBER(N236),N236-N229-(N(N230)+N(N231)+N(N232)+N(N233)),IF(ISNUMBER(N229),0,""))</f>
        <v>-20.015</v>
      </c>
      <c r="O234" s="261">
        <f>IF(ISNUMBER(O236),O236-O229-(N(O230)+N(O231)+N(O232)+N(O233)),IF(ISNUMBER(O229),0,""))</f>
        <v>0.500000000000028</v>
      </c>
      <c r="P234" s="261">
        <f>IF(ISNUMBER(P236),P236-P229-(N(P230)+N(P231)+N(P232)+N(P233)),IF(ISNUMBER(P229),0,""))</f>
        <v>25.184</v>
      </c>
      <c r="Q234" s="261">
        <f>IF(ISNUMBER(Q236),Q236-Q229-(N(Q230)+N(Q231)+N(Q232)+N(Q233)),IF(ISNUMBER(Q229),0,""))</f>
        <v>-7.42600000000002</v>
      </c>
      <c r="R234" s="261">
        <f>IF(ISNUMBER(R236),R236-R229-(N(R230)+N(R231)+N(R232)+N(R233)),IF(ISNUMBER(R229),0,""))</f>
        <v>-0.540000000000021</v>
      </c>
      <c r="S234" s="261">
        <f>IF(ISNUMBER(S236),S236-S229-(N(S230)+N(S231)+N(S232)+N(S233)),IF(ISNUMBER(S229),0,""))</f>
        <v>17.9869999999994</v>
      </c>
      <c r="T234" s="261">
        <f>IF(ISNUMBER(T236),T236-T229-(N(T230)+N(T231)+N(T232)+N(T233)),IF(ISNUMBER(T229),0,""))</f>
        <v>0</v>
      </c>
      <c r="U234" s="261">
        <f>IF(ISNUMBER(U236),U236-U229-(N(U230)+N(U231)+N(U232)+N(U233)),IF(ISNUMBER(U229),0,""))</f>
        <v>-0.0680000000001542</v>
      </c>
      <c r="V234" s="261">
        <f>IF(ISNUMBER(V236),V236-V229-(N(V230)+N(V231)+N(V232)+N(V233)),IF(ISNUMBER(V229),0,""))</f>
        <v>-6.82499999999996</v>
      </c>
      <c r="W234" s="261">
        <f>IF(ISNUMBER(W236),W236-W229-(N(W230)+N(W231)+N(W232)+N(W233)),IF(ISNUMBER(W229),0,""))</f>
        <v>0</v>
      </c>
      <c r="X234" s="261">
        <f>IF(ISNUMBER(X236),X236-X229-(N(X230)+N(X231)+N(X232)+N(X233)),IF(ISNUMBER(X229),0,""))</f>
        <v>-5.6600000000002</v>
      </c>
      <c r="Y234" s="261">
        <f>IF(ISNUMBER(Y236),Y236-Y229-(N(Y230)+N(Y231)+N(Y232)+N(Y233)),IF(ISNUMBER(Y229),0,""))</f>
        <v>0</v>
      </c>
      <c r="Z234" s="261">
        <f>IF(ISNUMBER(Z236),Z236-Z229-(N(Z230)+N(Z231)+N(Z232)+N(Z233)),IF(ISNUMBER(Z229),0,""))</f>
        <v>0</v>
      </c>
      <c r="AA234" s="261">
        <f>IF(ISNUMBER(AA236),AA236-AA229-(N(AA230)+N(AA231)+N(AA232)+N(AA233)),IF(ISNUMBER(AA229),0,""))</f>
        <v>-3.33799999999999</v>
      </c>
      <c r="AB234" s="261">
        <f>IF(ISNUMBER(AB236),AB236-AB229-(N(AB230)+N(AB231)+N(AB232)+N(AB233)),IF(ISNUMBER(AB229),0,""))</f>
        <v>700.7</v>
      </c>
      <c r="AC234" s="261">
        <f>IF(ISNUMBER(AC236),AC236-AC229-(N(AC230)+N(AC231)+N(AC232)+N(AC233)),IF(ISNUMBER(AC229),0,""))</f>
        <v>708.8</v>
      </c>
      <c r="AD234" s="261">
        <f>IF(ISNUMBER(AD236),AD236-AD229-(N(AD230)+N(AD231)+N(AD232)+N(AD233)),IF(ISNUMBER(AD229),0,""))</f>
        <v>0</v>
      </c>
      <c r="AE234" s="261">
        <f>IF(ISNUMBER(AE236),AE236-AE229-(N(AE230)+N(AE231)+N(AE232)+N(AE233)),IF(ISNUMBER(AE229),0,""))</f>
        <v>-25.3</v>
      </c>
      <c r="AF234" s="261">
        <f>IF(ISNUMBER(AF236),AF236-AF229-(N(AF230)+N(AF231)+N(AF232)+N(AF233)),IF(ISNUMBER(AF229),0,""))</f>
        <v>-32.2000000000001</v>
      </c>
      <c r="AG234" s="261">
        <f>IF(ISNUMBER(AG236),AG236-AG229-(N(AG230)+N(AG231)+N(AG232)+N(AG233)),IF(ISNUMBER(AG229),0,""))</f>
        <v>245.272</v>
      </c>
      <c r="AH234" s="261">
        <f>IF(ISNUMBER(AH236),AH236-AH229-(N(AH230)+N(AH231)+N(AH232)+N(AH233)),IF(ISNUMBER(AH229),0,""))</f>
        <v>237.4</v>
      </c>
      <c r="AI234" s="261">
        <f>IF(ISNUMBER(AI236),AI236-AI229-(N(AI230)+N(AI231)+N(AI232)+N(AI233)),IF(ISNUMBER(AI229),0,""))</f>
        <v>-6.10000000000008</v>
      </c>
      <c r="AJ234" s="261">
        <f>IF(ISNUMBER(AJ236),AJ236-AJ229-(N(AJ230)+N(AJ231)+N(AJ232)+N(AJ233)),IF(ISNUMBER(AJ229),0,""))</f>
        <v>-5.99999999999987</v>
      </c>
      <c r="AK234" s="261">
        <f>IF(ISNUMBER(AK236),AK236-AK229-(N(AK230)+N(AK231)+N(AK232)+N(AK233)),IF(ISNUMBER(AK229),0,""))</f>
        <v>-6.69999999999996</v>
      </c>
      <c r="AL234" s="261">
        <f>IF(ISNUMBER(AL236),AL236-AL229-(N(AL230)+N(AL231)+N(AL232)+N(AL233)),IF(ISNUMBER(AL229),0,""))</f>
        <v>-13.2999999999999</v>
      </c>
      <c r="AM234" s="261">
        <f>IF(ISNUMBER(AM236),AM236-AM229-(N(AM230)+N(AM231)+N(AM232)+N(AM233)),IF(ISNUMBER(AM229),0,""))</f>
        <v>-32.0999999999997</v>
      </c>
      <c r="AN234" s="261">
        <f>IF(ISNUMBER(AN236),AN236-AN229-(N(AN230)+N(AN231)+N(AN232)+N(AN233)),IF(ISNUMBER(AN229),0,""))</f>
        <v>-7.8</v>
      </c>
      <c r="AO234" s="261">
        <f>IF(ISNUMBER(AO236),AO236-AO229-(N(AO230)+N(AO231)+N(AO232)+N(AO233)),IF(ISNUMBER(AO229),0,""))</f>
        <v>-4.79999999999997</v>
      </c>
      <c r="AP234" s="261">
        <f>IF(ISNUMBER(AP236),AP236-AP229-(N(AP230)+N(AP231)+N(AP232)+N(AP233)),IF(ISNUMBER(AP229),0,""))</f>
        <v>-9.30000000000008</v>
      </c>
      <c r="AQ234" s="261">
        <f>IF(ISNUMBER(AQ236),AQ236-AQ229-(N(AQ230)+N(AQ231)+N(AQ232)+N(AQ233)),IF(ISNUMBER(AQ229),0,""))</f>
        <v>-9</v>
      </c>
      <c r="AR234" s="261">
        <f>IF(ISNUMBER(AR236),AR236-AR229-(N(AR230)+N(AR231)+N(AR232)+N(AR233)),IF(ISNUMBER(AR229),0,""))</f>
        <v>-30</v>
      </c>
      <c r="AS234" s="261">
        <f>IF(ISNUMBER(AS236),AS236-AS229-(N(AS230)+N(AS231)+N(AS232)+N(AS233)),IF(ISNUMBER(AS229),0,""))</f>
        <v>-6</v>
      </c>
      <c r="AT234" s="261">
        <f>IF(ISNUMBER(AT236),AT236-AT229-(N(AT230)+N(AT231)+N(AT232)+N(AT233)),IF(ISNUMBER(AT229),0,""))</f>
        <v>-6</v>
      </c>
      <c r="AU234" s="261">
        <f>IF(ISNUMBER(AU236),AU236-AU229-(N(AU230)+N(AU231)+N(AU232)+N(AU233)),IF(ISNUMBER(AU229),0,""))</f>
        <v>-12</v>
      </c>
      <c r="AV234" s="261">
        <f>IF(ISNUMBER(AV236),AV236-AV229-(N(AV230)+N(AV231)+N(AV232)+N(AV233)),IF(ISNUMBER(AV229),0,""))</f>
        <v>-16</v>
      </c>
      <c r="AW234" s="261">
        <f>IF(ISNUMBER(AW236),AW236-AW229-(N(AW230)+N(AW231)+N(AW232)+N(AW233)),IF(ISNUMBER(AW229),0,""))</f>
        <v>-40</v>
      </c>
      <c r="AX234" s="261">
        <f>IF(ISNUMBER(AX236),AX236-AX229-(N(AX230)+N(AX231)+N(AX232)+N(AX233)),IF(ISNUMBER(AX229),0,""))</f>
        <v>-8</v>
      </c>
      <c r="AY234" s="261">
        <f>IF(ISNUMBER(AY236),AY236-AY229-(N(AY230)+N(AY231)+N(AY232)+N(AY233)),IF(ISNUMBER(AY229),0,""))</f>
        <v>-8</v>
      </c>
      <c r="AZ234" s="261">
        <f>IF(ISNUMBER(AZ236),AZ236-AZ229-(N(AZ230)+N(AZ231)+N(AZ232)+N(AZ233)),IF(ISNUMBER(AZ229),0,""))</f>
        <v>-8</v>
      </c>
      <c r="BA234" s="261">
        <f>IF(ISNUMBER(BA236),BA236-BA229-(N(BA230)+N(BA231)+N(BA232)+N(BA233)),IF(ISNUMBER(BA229),0,""))</f>
        <v>-3</v>
      </c>
      <c r="BB234" s="261">
        <f>IF(ISNUMBER(BB236),BB236-BB229-(N(BB230)+N(BB231)+N(BB232)+N(BB233)),IF(ISNUMBER(BB229),0,""))</f>
        <v>-27</v>
      </c>
      <c r="BC234" s="261">
        <f>IF(ISNUMBER(BC236),BC236-BC229-(N(BC230)+N(BC231)+N(BC232)+N(BC233)),IF(ISNUMBER(BC229),0,""))</f>
        <v>-12</v>
      </c>
      <c r="BD234" s="261">
        <f>IF(ISNUMBER(BD236),BD236-BD229-(N(BD230)+N(BD231)+N(BD232)+N(BD233)),IF(ISNUMBER(BD229),0,""))</f>
        <v>-19</v>
      </c>
      <c r="BE234" s="261">
        <f>IF(ISNUMBER(BE236),BE236-BE229-(N(BE230)+N(BE231)+N(BE232)+N(BE233)),IF(ISNUMBER(BE229),0,""))</f>
        <v>-12</v>
      </c>
      <c r="BF234" s="261">
        <f>IF(ISNUMBER(BF236),BF236-BF229-(N(BF230)+N(BF231)+N(BF232)+N(BF233)),IF(ISNUMBER(BF229),0,""))</f>
        <v>-13</v>
      </c>
      <c r="BG234" s="261">
        <f>IF(ISNUMBER(BG236),BG236-BG229-(N(BG230)+N(BG231)+N(BG232)+N(BG233)),IF(ISNUMBER(BG229),0,""))</f>
        <v>-56</v>
      </c>
      <c r="BH234" s="261">
        <f>IF(ISNUMBER(BH236),BH236-BH229-(N(BH230)+N(BH231)+N(BH232)+N(BH233)),IF(ISNUMBER(BH229),0,""))</f>
        <v>-16</v>
      </c>
      <c r="BI234" s="261">
        <f>IF(ISNUMBER(BI236),BI236-BI229-(N(BI230)+N(BI231)+N(BI232)+N(BI233)),IF(ISNUMBER(BI229),0,""))</f>
        <v>-14</v>
      </c>
      <c r="BJ234" s="261">
        <f>IF(ISNUMBER(BJ236),BJ236-BJ229-(N(BJ230)+N(BJ231)+N(BJ232)+N(BJ233)),IF(ISNUMBER(BJ229),0,""))</f>
        <v>-18</v>
      </c>
      <c r="BK234" s="261">
        <f>IF(ISNUMBER(BK236),BK236-BK229-(N(BK230)+N(BK231)+N(BK232)+N(BK233)),IF(ISNUMBER(BK229),0,""))</f>
        <v>-22</v>
      </c>
      <c r="BL234" s="261">
        <f>IF(ISNUMBER(BL236),BL236-BL229-(N(BL230)+N(BL231)+N(BL232)+N(BL233)),IF(ISNUMBER(BL229),0,""))</f>
        <v>-70</v>
      </c>
      <c r="BM234" s="261">
        <f>IF(ISNUMBER(BM236),BM236-BM229-(N(BM230)+N(BM231)+N(BM232)+N(BM233)),IF(ISNUMBER(BM229),0,""))</f>
        <v>-13</v>
      </c>
      <c r="BN234" s="261">
        <f>IF(ISNUMBER(BN236),BN236-BN229-(N(BN230)+N(BN231)+N(BN232)+N(BN233)),IF(ISNUMBER(BN229),0,""))</f>
        <v>-17</v>
      </c>
      <c r="BO234" s="261">
        <f>IF(ISNUMBER(BO236),BO236-BO229-(N(BO230)+N(BO231)+N(BO232)+N(BO233)),IF(ISNUMBER(BO229),0,""))</f>
        <v>-14</v>
      </c>
      <c r="BP234" s="261">
        <f>IF(ISNUMBER(BP236),BP236-BP229-(N(BP230)+N(BP231)+N(BP232)+N(BP233)),IF(ISNUMBER(BP229),0,""))</f>
        <v>-28</v>
      </c>
      <c r="BQ234" s="261">
        <f>IF(ISNUMBER(BQ236),BQ236-BQ229-(N(BQ230)+N(BQ231)+N(BQ232)+N(BQ233)),IF(ISNUMBER(BQ229),0,""))</f>
        <v>-72</v>
      </c>
      <c r="BR234" s="261">
        <f>IF(ISNUMBER(BR236),BR236-BR229-(N(BR230)+N(BR231)+N(BR232)+N(BR233)),IF(ISNUMBER(BR229),0,""))</f>
        <v>-21</v>
      </c>
      <c r="BS234" s="261">
        <f>IF(ISNUMBER(BS236),BS236-BS229-(N(BS230)+N(BS231)+N(BS232)+N(BS233)),IF(ISNUMBER(BS229),0,""))</f>
        <v>-21</v>
      </c>
      <c r="BT234" s="261">
        <f>IF(ISNUMBER(BT236),BT236-BT229-(N(BT230)+N(BT231)+N(BT232)+N(BT233)),IF(ISNUMBER(BT229),0,""))</f>
        <v>-19</v>
      </c>
      <c r="BU234" s="261">
        <f>IF(ISNUMBER(BU236),BU236-BU229-(N(BU230)+N(BU231)+N(BU232)+N(BU233)),IF(ISNUMBER(BU229),0,""))</f>
        <v>-16</v>
      </c>
      <c r="BV234" s="261">
        <f>IF(ISNUMBER(BV236),BV236-BV229-(N(BV230)+N(BV231)+N(BV232)+N(BV233)),IF(ISNUMBER(BV229),0,""))</f>
        <v>-77</v>
      </c>
      <c r="BW234" s="261">
        <f>IF(ISNUMBER(BW236),BW236-BW229-(N(BW230)+N(BW231)+N(BW232)+N(BW233)),IF(ISNUMBER(BW229),0,""))</f>
        <v>-27</v>
      </c>
      <c r="BX234" s="261">
        <f>IF(ISNUMBER(BX236),BX236-BX229-(N(BX230)+N(BX231)+N(BX232)+N(BX233)),IF(ISNUMBER(BX229),0,""))</f>
        <v>33</v>
      </c>
      <c r="BY234" s="254">
        <f>-(BY230+BY231+BY232+BY233)*BY179</f>
        <v>-22.08</v>
      </c>
      <c r="BZ234" s="254">
        <f>-(BZ230+BZ231+BZ232+BZ233)*BZ179</f>
        <v>6.48</v>
      </c>
      <c r="CA234" s="254">
        <f>SUM(BW234:BZ234)</f>
        <v>-9.6</v>
      </c>
      <c r="CB234" s="254">
        <f>-(CB230+CB231+CB232+CB233)*CB179</f>
        <v>-66.64</v>
      </c>
      <c r="CC234" s="254">
        <f>-(CC230+CC231+CC232+CC233)*CC179</f>
        <v>-45.6</v>
      </c>
      <c r="CD234" s="254">
        <f>-(CD230+CD231+CD232+CD233)*CD179</f>
        <v>-39.2</v>
      </c>
      <c r="CE234" s="254">
        <f>-(CE230+CE231+CE232+CE233)*CE179</f>
        <v>-34.72</v>
      </c>
      <c r="CF234" s="19" t="inlineStr">
        <is>
          <t>Historical: published adjusted net income − net income − pre-tax items (periods without a published measure: adjusted = GAAP). Forecast: items × the effective tax rate.</t>
        </is>
      </c>
    </row>
    <row r="235" ht="15" customHeight="1" s="251">
      <c r="B235" s="55" t="inlineStr">
        <is>
          <t xml:space="preserve">  = Adjusted net income (model bridge)</t>
        </is>
      </c>
      <c r="C235" s="275">
        <f>IF(ISNUMBER(C234),C229+N(C230)+N(C231)+N(C232)+N(C233)+C234,"")</f>
        <v>704.8</v>
      </c>
      <c r="D235" s="275">
        <f>IF(ISNUMBER(D234),D229+N(D230)+N(D231)+N(D232)+N(D233)+D234,"")</f>
        <v>679.2</v>
      </c>
      <c r="E235" s="275">
        <f>IF(ISNUMBER(E234),E229+N(E230)+N(E231)+N(E232)+N(E233)+E234,"")</f>
        <v>445.3</v>
      </c>
      <c r="F235" s="275">
        <f>IF(ISNUMBER(F234),F229+N(F230)+N(F231)+N(F232)+N(F233)+F234,"")</f>
        <v>404.7</v>
      </c>
      <c r="G235" s="275">
        <f>IF(ISNUMBER(G234),G229+N(G230)+N(G231)+N(G232)+N(G233)+G234,"")</f>
        <v>503.3</v>
      </c>
      <c r="H235" s="275">
        <f>IF(ISNUMBER(H234),H229+N(H230)+N(H231)+N(H232)+N(H233)+H234,"")</f>
        <v>564.4</v>
      </c>
      <c r="I235" s="275">
        <f>IF(ISNUMBER(I234),I229+N(I230)+N(I231)+N(I232)+N(I233)+I234,"")</f>
        <v>677.534</v>
      </c>
      <c r="J235" s="275">
        <f>IF(ISNUMBER(J234),J229+N(J230)+N(J231)+N(J232)+N(J233)+J234,"")</f>
        <v>188.4</v>
      </c>
      <c r="K235" s="275">
        <f>IF(ISNUMBER(K234),K229+N(K230)+N(K231)+N(K232)+N(K233)+K234,"")</f>
        <v>225.5</v>
      </c>
      <c r="L235" s="275">
        <f>IF(ISNUMBER(L234),L229+N(L230)+N(L231)+N(L232)+N(L233)+L234,"")</f>
        <v>184.26</v>
      </c>
      <c r="M235" s="275">
        <f>IF(ISNUMBER(M234),M229+N(M230)+N(M231)+N(M232)+N(M233)+M234,"")</f>
        <v>186.15</v>
      </c>
      <c r="N235" s="275">
        <f>IF(ISNUMBER(N234),N229+N(N230)+N(N231)+N(N232)+N(N233)+N234,"")</f>
        <v>815.775</v>
      </c>
      <c r="O235" s="275">
        <f>IF(ISNUMBER(O234),O229+N(O230)+N(O231)+N(O232)+N(O233)+O234,"")</f>
        <v>218.5</v>
      </c>
      <c r="P235" s="275">
        <f>IF(ISNUMBER(P234),P229+N(P230)+N(P231)+N(P232)+N(P233)+P234,"")</f>
        <v>241.584</v>
      </c>
      <c r="Q235" s="275">
        <f>IF(ISNUMBER(Q234),Q229+N(Q230)+N(Q231)+N(Q232)+N(Q233)+Q234,"")</f>
        <v>207.774</v>
      </c>
      <c r="R235" s="275">
        <f>IF(ISNUMBER(R234),R229+N(R230)+N(R231)+N(R232)+N(R233)+R234,"")</f>
        <v>235.76</v>
      </c>
      <c r="S235" s="275">
        <f>IF(ISNUMBER(S234),S229+N(S230)+N(S231)+N(S232)+N(S233)+S234,"")</f>
        <v>903.887</v>
      </c>
      <c r="T235" s="275">
        <f>IF(ISNUMBER(T234),T229+N(T230)+N(T231)+N(T232)+N(T233)+T234,"")</f>
        <v>230.1</v>
      </c>
      <c r="U235" s="275">
        <f>IF(ISNUMBER(U234),U229+N(U230)+N(U231)+N(U232)+N(U233)+U234,"")</f>
        <v>261.632</v>
      </c>
      <c r="V235" s="275">
        <f>IF(ISNUMBER(V234),V229+N(V230)+N(V231)+N(V232)+N(V233)+V234,"")</f>
        <v>224.775</v>
      </c>
      <c r="W235" s="275">
        <f>IF(ISNUMBER(W234),W229+N(W230)+N(W231)+N(W232)+N(W233)+W234,"")</f>
        <v>217.9</v>
      </c>
      <c r="X235" s="275">
        <f>IF(ISNUMBER(X234),X229+N(X230)+N(X231)+N(X232)+N(X233)+X234,"")</f>
        <v>935.64</v>
      </c>
      <c r="Y235" s="275">
        <f>IF(ISNUMBER(Y234),Y229+N(Y230)+N(Y231)+N(Y232)+N(Y233)+Y234,"")</f>
        <v>184.4</v>
      </c>
      <c r="Z235" s="275">
        <f>IF(ISNUMBER(Z234),Z229+N(Z230)+N(Z231)+N(Z232)+N(Z233)+Z234,"")</f>
        <v>255.5</v>
      </c>
      <c r="AA235" s="275">
        <f>IF(ISNUMBER(AA234),AA229+N(AA230)+N(AA231)+N(AA232)+N(AA233)+AA234,"")</f>
        <v>260.362</v>
      </c>
      <c r="AB235" s="275">
        <f>IF(ISNUMBER(AB234),AB229+N(AB230)+N(AB231)+N(AB232)+N(AB233)+AB234,"")</f>
        <v>237.3</v>
      </c>
      <c r="AC235" s="275">
        <f>IF(ISNUMBER(AC234),AC229+N(AC230)+N(AC231)+N(AC232)+N(AC233)+AC234,"")</f>
        <v>940.6</v>
      </c>
      <c r="AD235" s="275">
        <f>IF(ISNUMBER(AD234),AD229+N(AD230)+N(AD231)+N(AD232)+N(AD233)+AD234,"")</f>
        <v>285.9</v>
      </c>
      <c r="AE235" s="275">
        <f>IF(ISNUMBER(AE234),AE229+N(AE230)+N(AE231)+N(AE232)+N(AE233)+AE234,"")</f>
        <v>293.5</v>
      </c>
      <c r="AF235" s="275">
        <f>IF(ISNUMBER(AF234),AF229+N(AF230)+N(AF231)+N(AF232)+N(AF233)+AF234,"")</f>
        <v>295.2</v>
      </c>
      <c r="AG235" s="275">
        <f>IF(ISNUMBER(AG234),AG229+N(AG230)+N(AG231)+N(AG232)+N(AG233)+AG234,"")</f>
        <v>294.1</v>
      </c>
      <c r="AH235" s="275">
        <f>IF(ISNUMBER(AH234),AH229+N(AH230)+N(AH231)+N(AH232)+N(AH233)+AH234,"")</f>
        <v>1178.3</v>
      </c>
      <c r="AI235" s="275">
        <f>IF(ISNUMBER(AI234),AI229+N(AI230)+N(AI231)+N(AI232)+N(AI233)+AI234,"")</f>
        <v>393.3</v>
      </c>
      <c r="AJ235" s="275">
        <f>IF(ISNUMBER(AJ234),AJ229+N(AJ230)+N(AJ231)+N(AJ232)+N(AJ233)+AJ234,"")</f>
        <v>397.3</v>
      </c>
      <c r="AK235" s="275">
        <f>IF(ISNUMBER(AK234),AK229+N(AK230)+N(AK231)+N(AK232)+N(AK233)+AK234,"")</f>
        <v>329.4</v>
      </c>
      <c r="AL235" s="275">
        <f>IF(ISNUMBER(AL234),AL229+N(AL230)+N(AL231)+N(AL232)+N(AL233)+AL234,"")</f>
        <v>316.2</v>
      </c>
      <c r="AM235" s="275">
        <f>IF(ISNUMBER(AM234),AM229+N(AM230)+N(AM231)+N(AM232)+N(AM233)+AM234,"")</f>
        <v>1436.2</v>
      </c>
      <c r="AN235" s="275">
        <f>IF(ISNUMBER(AN234),AN229+N(AN230)+N(AN231)+N(AN232)+N(AN233)+AN234,"")</f>
        <v>398.4</v>
      </c>
      <c r="AO235" s="275">
        <f>IF(ISNUMBER(AO234),AO229+N(AO230)+N(AO231)+N(AO232)+N(AO233)+AO234,"")</f>
        <v>396.2</v>
      </c>
      <c r="AP235" s="275">
        <f>IF(ISNUMBER(AP234),AP229+N(AP230)+N(AP231)+N(AP232)+N(AP233)+AP234,"")</f>
        <v>411.3</v>
      </c>
      <c r="AQ235" s="275">
        <f>IF(ISNUMBER(AQ234),AQ229+N(AQ230)+N(AQ231)+N(AQ232)+N(AQ233)+AQ234,"")</f>
        <v>381</v>
      </c>
      <c r="AR235" s="275">
        <f>IF(ISNUMBER(AR234),AR229+N(AR230)+N(AR231)+N(AR232)+N(AR233)+AR234,"")</f>
        <v>1588</v>
      </c>
      <c r="AS235" s="275">
        <f>IF(ISNUMBER(AS234),AS229+N(AS230)+N(AS231)+N(AS232)+N(AS233)+AS234,"")</f>
        <v>518</v>
      </c>
      <c r="AT235" s="275">
        <f>IF(ISNUMBER(AT234),AT229+N(AT230)+N(AT231)+N(AT232)+N(AT233)+AT234,"")</f>
        <v>532</v>
      </c>
      <c r="AU235" s="275">
        <f>IF(ISNUMBER(AU234),AU229+N(AU230)+N(AU231)+N(AU232)+N(AU233)+AU234,"")</f>
        <v>509</v>
      </c>
      <c r="AV235" s="275">
        <f>IF(ISNUMBER(AV234),AV229+N(AV230)+N(AV231)+N(AV232)+N(AV233)+AV234,"")</f>
        <v>362</v>
      </c>
      <c r="AW235" s="275">
        <f>IF(ISNUMBER(AW234),AW229+N(AW230)+N(AW231)+N(AW232)+N(AW233)+AW234,"")</f>
        <v>1921</v>
      </c>
      <c r="AX235" s="275">
        <f>IF(ISNUMBER(AX234),AX229+N(AX230)+N(AX231)+N(AX232)+N(AX233)+AX234,"")</f>
        <v>765</v>
      </c>
      <c r="AY235" s="275">
        <f>IF(ISNUMBER(AY234),AY229+N(AY230)+N(AY231)+N(AY232)+N(AY233)+AY234,"")</f>
        <v>605</v>
      </c>
      <c r="AZ235" s="275">
        <f>IF(ISNUMBER(AZ234),AZ229+N(AZ230)+N(AZ231)+N(AZ232)+N(AZ233)+AZ234,"")</f>
        <v>503</v>
      </c>
      <c r="BA235" s="275">
        <f>IF(ISNUMBER(BA234),BA229+N(BA230)+N(BA231)+N(BA232)+N(BA233)+BA234,"")</f>
        <v>436</v>
      </c>
      <c r="BB235" s="275">
        <f>IF(ISNUMBER(BB234),BB229+N(BB230)+N(BB231)+N(BB232)+N(BB233)+BB234,"")</f>
        <v>2309</v>
      </c>
      <c r="BC235" s="275">
        <f>IF(ISNUMBER(BC234),BC229+N(BC230)+N(BC231)+N(BC232)+N(BC233)+BC234,"")</f>
        <v>537</v>
      </c>
      <c r="BD235" s="275">
        <f>IF(ISNUMBER(BD234),BD229+N(BD230)+N(BD231)+N(BD232)+N(BD233)+BD234,"")</f>
        <v>410</v>
      </c>
      <c r="BE235" s="275">
        <f>IF(ISNUMBER(BE234),BE229+N(BE230)+N(BE231)+N(BE232)+N(BE233)+BE234,"")</f>
        <v>340</v>
      </c>
      <c r="BF235" s="275">
        <f>IF(ISNUMBER(BF234),BF229+N(BF230)+N(BF231)+N(BF232)+N(BF233)+BF234,"")</f>
        <v>295</v>
      </c>
      <c r="BG235" s="275">
        <f>IF(ISNUMBER(BG234),BG229+N(BG230)+N(BG231)+N(BG232)+N(BG233)+BG234,"")</f>
        <v>1582</v>
      </c>
      <c r="BH235" s="275">
        <f>IF(ISNUMBER(BH234),BH229+N(BH230)+N(BH231)+N(BH232)+N(BH233)+BH234,"")</f>
        <v>550</v>
      </c>
      <c r="BI235" s="275">
        <f>IF(ISNUMBER(BI234),BI229+N(BI230)+N(BI231)+N(BI232)+N(BI233)+BI234,"")</f>
        <v>423</v>
      </c>
      <c r="BJ235" s="275">
        <f>IF(ISNUMBER(BJ234),BJ229+N(BJ230)+N(BJ231)+N(BJ232)+N(BJ233)+BJ234,"")</f>
        <v>447</v>
      </c>
      <c r="BK235" s="275">
        <f>IF(ISNUMBER(BK234),BK229+N(BK230)+N(BK231)+N(BK232)+N(BK233)+BK234,"")</f>
        <v>402</v>
      </c>
      <c r="BL235" s="275">
        <f>IF(ISNUMBER(BL234),BL229+N(BL230)+N(BL231)+N(BL232)+N(BL233)+BL234,"")</f>
        <v>1822</v>
      </c>
      <c r="BM235" s="275">
        <f>IF(ISNUMBER(BM234),BM229+N(BM230)+N(BM231)+N(BM232)+N(BM233)+BM234,"")</f>
        <v>618</v>
      </c>
      <c r="BN235" s="275">
        <f>IF(ISNUMBER(BN234),BN229+N(BN230)+N(BN231)+N(BN232)+N(BN233)+BN234,"")</f>
        <v>600</v>
      </c>
      <c r="BO235" s="275">
        <f>IF(ISNUMBER(BO234),BO229+N(BO230)+N(BO231)+N(BO232)+N(BO233)+BO234,"")</f>
        <v>585</v>
      </c>
      <c r="BP235" s="275">
        <f>IF(ISNUMBER(BP234),BP229+N(BP230)+N(BP231)+N(BP232)+N(BP233)+BP234,"")</f>
        <v>476</v>
      </c>
      <c r="BQ235" s="275">
        <f>IF(ISNUMBER(BQ234),BQ229+N(BQ230)+N(BQ231)+N(BQ232)+N(BQ233)+BQ234,"")</f>
        <v>2279</v>
      </c>
      <c r="BR235" s="275">
        <f>IF(ISNUMBER(BR234),BR229+N(BR230)+N(BR231)+N(BR232)+N(BR233)+BR234,"")</f>
        <v>692</v>
      </c>
      <c r="BS235" s="275">
        <f>IF(ISNUMBER(BS234),BS229+N(BS230)+N(BS231)+N(BS232)+N(BS233)+BS234,"")</f>
        <v>640</v>
      </c>
      <c r="BT235" s="275">
        <f>IF(ISNUMBER(BT234),BT229+N(BT230)+N(BT231)+N(BT232)+N(BT233)+BT234,"")</f>
        <v>704</v>
      </c>
      <c r="BU235" s="275">
        <f>IF(ISNUMBER(BU234),BU229+N(BU230)+N(BU231)+N(BU232)+N(BU233)+BU234,"")</f>
        <v>651</v>
      </c>
      <c r="BV235" s="275">
        <f>IF(ISNUMBER(BV234),BV229+N(BV230)+N(BV231)+N(BV232)+N(BV233)+BV234,"")</f>
        <v>2687</v>
      </c>
      <c r="BW235" s="275">
        <f>IF(ISNUMBER(BW234),BW229+N(BW230)+N(BW231)+N(BW232)+N(BW233)+BW234,"")</f>
        <v>767</v>
      </c>
      <c r="BX235" s="275">
        <f>IF(ISNUMBER(BX234),BX229+N(BX230)+N(BX231)+N(BX232)+N(BX233)+BX234,"")</f>
        <v>816</v>
      </c>
      <c r="BY235" s="275">
        <f>IF(ISNUMBER(BY234),BY229+N(BY230)+N(BY231)+N(BY232)+N(BY233)+BY234,"")</f>
        <v>724.315524743827</v>
      </c>
      <c r="BZ235" s="275">
        <f>IF(ISNUMBER(BZ234),BZ229+N(BZ230)+N(BZ231)+N(BZ232)+N(BZ233)+BZ234,"")</f>
        <v>614.690791745535</v>
      </c>
      <c r="CA235" s="275">
        <f>IF(ISNUMBER(CA234),CA229+N(CA230)+N(CA231)+N(CA232)+N(CA233)+CA234,"")</f>
        <v>2922.00631648936</v>
      </c>
      <c r="CB235" s="275">
        <f>IF(ISNUMBER(CB234),CB229+N(CB230)+N(CB231)+N(CB232)+N(CB233)+CB234,"")</f>
        <v>3136.11086019993</v>
      </c>
      <c r="CC235" s="275">
        <f>IF(ISNUMBER(CC234),CC229+N(CC230)+N(CC231)+N(CC232)+N(CC233)+CC234,"")</f>
        <v>3361.58540650399</v>
      </c>
      <c r="CD235" s="275">
        <f>IF(ISNUMBER(CD234),CD229+N(CD230)+N(CD231)+N(CD232)+N(CD233)+CD234,"")</f>
        <v>3607.01496918596</v>
      </c>
      <c r="CE235" s="275">
        <f>IF(ISNUMBER(CE234),CE229+N(CE230)+N(CE231)+N(CE232)+N(CE233)+CE234,"")</f>
        <v>3854.06864175824</v>
      </c>
      <c r="CF235" s="153" t="n"/>
      <c r="CH235" s="20">
        <f>IFERROR((CE235/BV235)^(1/5)-1,"n/m")</f>
        <v>0.07480667709276</v>
      </c>
      <c r="CI235" s="20">
        <f>IFERROR((BV235/AW235)^(1/5)-1,"n/m")</f>
        <v>0.0694194051201518</v>
      </c>
      <c r="CJ235" s="20">
        <f>IFERROR((BV235/X235)^(1/10)-1,"n/m")</f>
        <v>0.111260528370885</v>
      </c>
      <c r="CK235" s="20">
        <f>IFERROR((BV235/C235)^(1/19)-1,"n/m")</f>
        <v>0.0729749104286941</v>
      </c>
    </row>
    <row r="236" ht="15" customHeight="1" s="251">
      <c r="B236" s="156" t="inlineStr">
        <is>
          <t xml:space="preserve">  Company-published adjusted (non-GAAP) net income</t>
        </is>
      </c>
      <c r="C236" s="253" t="n">
        <v>704.8</v>
      </c>
      <c r="D236" s="253" t="n">
        <v>679.2</v>
      </c>
      <c r="E236" s="253" t="n">
        <v>445.3</v>
      </c>
      <c r="F236" s="253" t="n">
        <v>404.7</v>
      </c>
      <c r="G236" s="253" t="n">
        <v>503.3</v>
      </c>
      <c r="H236" s="253" t="n">
        <v>564.4</v>
      </c>
      <c r="I236" s="253" t="n">
        <v>677.534</v>
      </c>
      <c r="J236" s="34" t="n"/>
      <c r="K236" s="34" t="n"/>
      <c r="L236" s="253" t="n">
        <v>184.26</v>
      </c>
      <c r="M236" s="253" t="n">
        <v>186.15</v>
      </c>
      <c r="N236" s="253" t="n">
        <v>815.775</v>
      </c>
      <c r="O236" s="253" t="n">
        <v>218.5</v>
      </c>
      <c r="P236" s="253" t="n">
        <v>241.584</v>
      </c>
      <c r="Q236" s="253" t="n">
        <v>207.774</v>
      </c>
      <c r="R236" s="253" t="n">
        <v>235.76</v>
      </c>
      <c r="S236" s="253" t="n">
        <v>903.8869999999999</v>
      </c>
      <c r="T236" s="34" t="n"/>
      <c r="U236" s="253" t="n">
        <v>261.632</v>
      </c>
      <c r="V236" s="253" t="n">
        <v>224.775</v>
      </c>
      <c r="W236" s="34" t="n"/>
      <c r="X236" s="253" t="n">
        <v>935.64</v>
      </c>
      <c r="Y236" s="34" t="n"/>
      <c r="Z236" s="34" t="n"/>
      <c r="AA236" s="253" t="n">
        <v>260.362</v>
      </c>
      <c r="AB236" s="253" t="n">
        <v>237.3</v>
      </c>
      <c r="AC236" s="253" t="n">
        <v>940.6</v>
      </c>
      <c r="AD236" s="253" t="n">
        <v>285.9</v>
      </c>
      <c r="AE236" s="253" t="n">
        <v>293.5</v>
      </c>
      <c r="AF236" s="253" t="n">
        <v>295.2</v>
      </c>
      <c r="AG236" s="253" t="n">
        <v>294.1</v>
      </c>
      <c r="AH236" s="253" t="n">
        <v>1178.3</v>
      </c>
      <c r="AI236" s="253" t="n">
        <v>393.3</v>
      </c>
      <c r="AJ236" s="253" t="n">
        <v>397.3</v>
      </c>
      <c r="AK236" s="253" t="n">
        <v>329.4</v>
      </c>
      <c r="AL236" s="253" t="n">
        <v>316.2</v>
      </c>
      <c r="AM236" s="253" t="n">
        <v>1436.2</v>
      </c>
      <c r="AN236" s="253" t="n">
        <v>398.4</v>
      </c>
      <c r="AO236" s="253" t="n">
        <v>396.2</v>
      </c>
      <c r="AP236" s="253" t="n">
        <v>411.3</v>
      </c>
      <c r="AQ236" s="253" t="n">
        <v>381</v>
      </c>
      <c r="AR236" s="253" t="n">
        <v>1588</v>
      </c>
      <c r="AS236" s="253" t="n">
        <v>518</v>
      </c>
      <c r="AT236" s="253" t="n">
        <v>532</v>
      </c>
      <c r="AU236" s="253" t="n">
        <v>509</v>
      </c>
      <c r="AV236" s="253" t="n">
        <v>362</v>
      </c>
      <c r="AW236" s="253" t="n">
        <v>1921</v>
      </c>
      <c r="AX236" s="253" t="n">
        <v>765</v>
      </c>
      <c r="AY236" s="253" t="n">
        <v>605</v>
      </c>
      <c r="AZ236" s="253" t="n">
        <v>503</v>
      </c>
      <c r="BA236" s="253" t="n">
        <v>436</v>
      </c>
      <c r="BB236" s="253" t="n">
        <v>2309</v>
      </c>
      <c r="BC236" s="253" t="n">
        <v>537</v>
      </c>
      <c r="BD236" s="253" t="n">
        <v>410</v>
      </c>
      <c r="BE236" s="253" t="n">
        <v>340</v>
      </c>
      <c r="BF236" s="253" t="n">
        <v>295</v>
      </c>
      <c r="BG236" s="253" t="n">
        <v>1582</v>
      </c>
      <c r="BH236" s="253" t="n">
        <v>550</v>
      </c>
      <c r="BI236" s="253" t="n">
        <v>423</v>
      </c>
      <c r="BJ236" s="253" t="n">
        <v>447</v>
      </c>
      <c r="BK236" s="253" t="n">
        <v>402</v>
      </c>
      <c r="BL236" s="253" t="n">
        <v>1822</v>
      </c>
      <c r="BM236" s="253" t="n">
        <v>618</v>
      </c>
      <c r="BN236" s="253" t="n">
        <v>600</v>
      </c>
      <c r="BO236" s="253" t="n">
        <v>585</v>
      </c>
      <c r="BP236" s="253" t="n">
        <v>476</v>
      </c>
      <c r="BQ236" s="253" t="n">
        <v>2279</v>
      </c>
      <c r="BR236" s="253" t="n">
        <v>692</v>
      </c>
      <c r="BS236" s="253" t="n">
        <v>640</v>
      </c>
      <c r="BT236" s="253" t="n">
        <v>704</v>
      </c>
      <c r="BU236" s="253" t="n">
        <v>651</v>
      </c>
      <c r="BV236" s="253" t="n">
        <v>2687</v>
      </c>
      <c r="BW236" s="253" t="n">
        <v>767</v>
      </c>
      <c r="BX236" s="253" t="n">
        <v>816</v>
      </c>
      <c r="BY236" s="153" t="n"/>
      <c r="BZ236" s="153" t="n"/>
      <c r="CA236" s="153" t="n"/>
      <c r="CB236" s="153" t="n"/>
      <c r="CC236" s="153" t="n"/>
      <c r="CD236" s="153" t="n"/>
      <c r="CE236" s="153" t="n"/>
      <c r="CF236" s="153" t="n"/>
    </row>
    <row r="237" ht="15" customHeight="1" s="251">
      <c r="B237" s="25" t="inlineStr">
        <is>
          <t xml:space="preserve">  Weighted-average diluted shares (m)</t>
        </is>
      </c>
      <c r="C237" s="261">
        <f>IF(ISNUMBER(C189),C189,"")</f>
        <v>291.9</v>
      </c>
      <c r="D237" s="261">
        <f>IF(ISNUMBER(D189),D189,"")</f>
        <v>272.2</v>
      </c>
      <c r="E237" s="261">
        <f>IF(ISNUMBER(E189),E189,"")</f>
        <v>245.3</v>
      </c>
      <c r="F237" s="261">
        <f>IF(ISNUMBER(F189),F189,"")</f>
        <v>237.8</v>
      </c>
      <c r="G237" s="261">
        <f>IF(ISNUMBER(G189),G189,"")</f>
        <v>236.6</v>
      </c>
      <c r="H237" s="261">
        <f>IF(ISNUMBER(H189),H189,"")</f>
        <v>229.4</v>
      </c>
      <c r="I237" s="261">
        <f>IF(ISNUMBER(I189),I189,"")</f>
        <v>226.6</v>
      </c>
      <c r="J237" s="261">
        <f>IF(ISNUMBER(J189),J189,"")</f>
        <v>227.2</v>
      </c>
      <c r="K237" s="261">
        <f>IF(ISNUMBER(K189),K189,"")</f>
        <v>226.2</v>
      </c>
      <c r="L237" s="261">
        <f>IF(ISNUMBER(L189),L189,"")</f>
        <v>222</v>
      </c>
      <c r="M237" s="261">
        <f>IF(ISNUMBER(M189),M189,"")</f>
        <v>219</v>
      </c>
      <c r="N237" s="261">
        <f>IF(ISNUMBER(N189),N189,"")</f>
        <v>223.5</v>
      </c>
      <c r="O237" s="261">
        <f>IF(ISNUMBER(O189),O189,"")</f>
        <v>218.5</v>
      </c>
      <c r="P237" s="261">
        <f>IF(ISNUMBER(P189),P189,"")</f>
        <v>215.7</v>
      </c>
      <c r="Q237" s="261">
        <f>IF(ISNUMBER(Q189),Q189,"")</f>
        <v>214.2</v>
      </c>
      <c r="R237" s="261">
        <f>IF(ISNUMBER(R189),R189,"")</f>
        <v>210.5</v>
      </c>
      <c r="S237" s="261">
        <f>IF(ISNUMBER(S189),S189,"")</f>
        <v>214.7</v>
      </c>
      <c r="T237" s="261">
        <f>IF(ISNUMBER(T189),T189,"")</f>
        <v>206.5</v>
      </c>
      <c r="U237" s="261">
        <f>IF(ISNUMBER(U189),U189,"")</f>
        <v>204.4</v>
      </c>
      <c r="V237" s="261">
        <f>IF(ISNUMBER(V189),V189,"")</f>
        <v>202.5</v>
      </c>
      <c r="W237" s="261">
        <f>IF(ISNUMBER(W189),W189,"")</f>
        <v>200.2</v>
      </c>
      <c r="X237" s="261">
        <f>IF(ISNUMBER(X189),X189,"")</f>
        <v>203.4</v>
      </c>
      <c r="Y237" s="261">
        <f>IF(ISNUMBER(Y189),Y189,"")</f>
        <v>197.9</v>
      </c>
      <c r="Z237" s="261">
        <f>IF(ISNUMBER(Z189),Z189,"")</f>
        <v>195.8</v>
      </c>
      <c r="AA237" s="261">
        <f>IF(ISNUMBER(AA189),AA189,"")</f>
        <v>194.3</v>
      </c>
      <c r="AB237" s="261">
        <f>IF(ISNUMBER(AB189),AB189,"")</f>
        <v>193.4</v>
      </c>
      <c r="AC237" s="261">
        <f>IF(ISNUMBER(AC189),AC189,"")</f>
        <v>195.4</v>
      </c>
      <c r="AD237" s="261">
        <f>IF(ISNUMBER(AD189),AD189,"")</f>
        <v>194.3</v>
      </c>
      <c r="AE237" s="261">
        <f>IF(ISNUMBER(AE189),AE189,"")</f>
        <v>193.8</v>
      </c>
      <c r="AF237" s="261">
        <f>IF(ISNUMBER(AF189),AF189,"")</f>
        <v>194.1</v>
      </c>
      <c r="AG237" s="261">
        <f>IF(ISNUMBER(AG189),AG189,"")</f>
        <v>194.4</v>
      </c>
      <c r="AH237" s="261">
        <f>IF(ISNUMBER(AH189),AH189,"")</f>
        <v>194.2</v>
      </c>
      <c r="AI237" s="261">
        <f>IF(ISNUMBER(AI189),AI189,"")</f>
        <v>194.5</v>
      </c>
      <c r="AJ237" s="261">
        <f>IF(ISNUMBER(AJ189),AJ189,"")</f>
        <v>194.4</v>
      </c>
      <c r="AK237" s="261">
        <f>IF(ISNUMBER(AK189),AK189,"")</f>
        <v>194.5</v>
      </c>
      <c r="AL237" s="261">
        <f>IF(ISNUMBER(AL189),AL189,"")</f>
        <v>194</v>
      </c>
      <c r="AM237" s="261">
        <f>IF(ISNUMBER(AM189),AM189,"")</f>
        <v>194.4</v>
      </c>
      <c r="AN237" s="261">
        <f>IF(ISNUMBER(AN189),AN189,"")</f>
        <v>192.8</v>
      </c>
      <c r="AO237" s="261">
        <f>IF(ISNUMBER(AO189),AO189,"")</f>
        <v>191.3</v>
      </c>
      <c r="AP237" s="261">
        <f>IF(ISNUMBER(AP189),AP189,"")</f>
        <v>191.1</v>
      </c>
      <c r="AQ237" s="261">
        <f>IF(ISNUMBER(AQ189),AQ189,"")</f>
        <v>190.6</v>
      </c>
      <c r="AR237" s="261">
        <f>IF(ISNUMBER(AR189),AR189,"")</f>
        <v>191.6</v>
      </c>
      <c r="AS237" s="261">
        <f>IF(ISNUMBER(AS189),AS189,"")</f>
        <v>189.6</v>
      </c>
      <c r="AT237" s="261">
        <f>IF(ISNUMBER(AT189),AT189,"")</f>
        <v>189</v>
      </c>
      <c r="AU237" s="261">
        <f>IF(ISNUMBER(AU189),AU189,"")</f>
        <v>189.3</v>
      </c>
      <c r="AV237" s="261">
        <f>IF(ISNUMBER(AV189),AV189,"")</f>
        <v>189.2</v>
      </c>
      <c r="AW237" s="261">
        <f>IF(ISNUMBER(AW189),AW189,"")</f>
        <v>189.3</v>
      </c>
      <c r="AX237" s="261">
        <f>IF(ISNUMBER(AX189),AX189,"")</f>
        <v>188.6</v>
      </c>
      <c r="AY237" s="261">
        <f>IF(ISNUMBER(AY189),AY189,"")</f>
        <v>187.9</v>
      </c>
      <c r="AZ237" s="261">
        <f>IF(ISNUMBER(AZ189),AZ189,"")</f>
        <v>187.3</v>
      </c>
      <c r="BA237" s="261">
        <f>IF(ISNUMBER(BA189),BA189,"")</f>
        <v>187.4</v>
      </c>
      <c r="BB237" s="261">
        <f>IF(ISNUMBER(BB189),BB189,"")</f>
        <v>187.9</v>
      </c>
      <c r="BC237" s="261">
        <f>IF(ISNUMBER(BC189),BC189,"")</f>
        <v>186.1</v>
      </c>
      <c r="BD237" s="261">
        <f>IF(ISNUMBER(BD189),BD189,"")</f>
        <v>184.9</v>
      </c>
      <c r="BE237" s="261">
        <f>IF(ISNUMBER(BE189),BE189,"")</f>
        <v>183.9</v>
      </c>
      <c r="BF237" s="261">
        <f>IF(ISNUMBER(BF189),BF189,"")</f>
        <v>183.9</v>
      </c>
      <c r="BG237" s="261">
        <f>IF(ISNUMBER(BG189),BG189,"")</f>
        <v>184.7</v>
      </c>
      <c r="BH237" s="261">
        <f>IF(ISNUMBER(BH189),BH189,"")</f>
        <v>184.1</v>
      </c>
      <c r="BI237" s="261">
        <f>IF(ISNUMBER(BI189),BI189,"")</f>
        <v>184.1</v>
      </c>
      <c r="BJ237" s="261">
        <f>IF(ISNUMBER(BJ189),BJ189,"")</f>
        <v>184</v>
      </c>
      <c r="BK237" s="261">
        <f>IF(ISNUMBER(BK189),BK189,"")</f>
        <v>183.6</v>
      </c>
      <c r="BL237" s="261">
        <f>IF(ISNUMBER(BL189),BL189,"")</f>
        <v>184</v>
      </c>
      <c r="BM237" s="261">
        <f>IF(ISNUMBER(BM189),BM189,"")</f>
        <v>183.4</v>
      </c>
      <c r="BN237" s="261">
        <f>IF(ISNUMBER(BN189),BN189,"")</f>
        <v>183</v>
      </c>
      <c r="BO237" s="261">
        <f>IF(ISNUMBER(BO189),BO189,"")</f>
        <v>182.5</v>
      </c>
      <c r="BP237" s="261">
        <f>IF(ISNUMBER(BP189),BP189,"")</f>
        <v>181.7</v>
      </c>
      <c r="BQ237" s="261">
        <f>IF(ISNUMBER(BQ189),BQ189,"")</f>
        <v>182.7</v>
      </c>
      <c r="BR237" s="261">
        <f>IF(ISNUMBER(BR189),BR189,"")</f>
        <v>180.7</v>
      </c>
      <c r="BS237" s="261">
        <f>IF(ISNUMBER(BS189),BS189,"")</f>
        <v>180.2</v>
      </c>
      <c r="BT237" s="261">
        <f>IF(ISNUMBER(BT189),BT189,"")</f>
        <v>179.6</v>
      </c>
      <c r="BU237" s="261">
        <f>IF(ISNUMBER(BU189),BU189,"")</f>
        <v>178.7</v>
      </c>
      <c r="BV237" s="261">
        <f>IF(ISNUMBER(BV189),BV189,"")</f>
        <v>179.9</v>
      </c>
      <c r="BW237" s="261">
        <f>IF(ISNUMBER(BW189),BW189,"")</f>
        <v>177.3</v>
      </c>
      <c r="BX237" s="261">
        <f>IF(ISNUMBER(BX189),BX189,"")</f>
        <v>174.5</v>
      </c>
      <c r="BY237" s="254">
        <f>IF(ISNUMBER(BY189),BY189,"")</f>
        <v>173.298138297872</v>
      </c>
      <c r="BZ237" s="254">
        <f>IF(ISNUMBER(BZ189),BZ189,"")</f>
        <v>172.694414893617</v>
      </c>
      <c r="CA237" s="254">
        <f>IF(ISNUMBER(CA189),CA189,"")</f>
        <v>174.448138297872</v>
      </c>
      <c r="CB237" s="254">
        <f>IF(ISNUMBER(CB189),CB189,"")</f>
        <v>169.756454291422</v>
      </c>
      <c r="CC237" s="254">
        <f>IF(ISNUMBER(CC189),CC189,"")</f>
        <v>164.601905568436</v>
      </c>
      <c r="CD237" s="254">
        <f>IF(ISNUMBER(CD189),CD189,"")</f>
        <v>159.771571528836</v>
      </c>
      <c r="CE237" s="254">
        <f>IF(ISNUMBER(CE189),CE189,"")</f>
        <v>154.987519652474</v>
      </c>
      <c r="CF237" s="19" t="n"/>
    </row>
    <row r="238" ht="15" customHeight="1" s="251">
      <c r="B238" s="55" t="inlineStr">
        <is>
          <t>Adjusted diluted EPS ($) (model bridge)</t>
        </is>
      </c>
      <c r="C238" s="281">
        <f>IF(AND(ISNUMBER(C235),ISNUMBER(C237)),IFERROR(C235/C237,""),"")</f>
        <v>2.41452552243919</v>
      </c>
      <c r="D238" s="281">
        <f>IF(AND(ISNUMBER(D235),ISNUMBER(D237)),IFERROR(D235/D237,""),"")</f>
        <v>2.49522409992652</v>
      </c>
      <c r="E238" s="281">
        <f>IF(AND(ISNUMBER(E235),ISNUMBER(E237)),IFERROR(E235/E237,""),"")</f>
        <v>1.81532816958826</v>
      </c>
      <c r="F238" s="281">
        <f>IF(AND(ISNUMBER(F235),ISNUMBER(F237)),IFERROR(F235/F237,""),"")</f>
        <v>1.70185029436501</v>
      </c>
      <c r="G238" s="281">
        <f>IF(AND(ISNUMBER(G235),ISNUMBER(G237)),IFERROR(G235/G237,""),"")</f>
        <v>2.12721893491124</v>
      </c>
      <c r="H238" s="281">
        <f>IF(AND(ISNUMBER(H235),ISNUMBER(H237)),IFERROR(H235/H237,""),"")</f>
        <v>2.46033129904098</v>
      </c>
      <c r="I238" s="281">
        <f>IF(AND(ISNUMBER(I235),ISNUMBER(I237)),IFERROR(I235/I237,""),"")</f>
        <v>2.99</v>
      </c>
      <c r="J238" s="281">
        <f>IF(AND(ISNUMBER(J235),ISNUMBER(J237)),IFERROR(J235/J237,""),"")</f>
        <v>0.829225352112676</v>
      </c>
      <c r="K238" s="281">
        <f>IF(AND(ISNUMBER(K235),ISNUMBER(K237)),IFERROR(K235/K237,""),"")</f>
        <v>0.996905393457117</v>
      </c>
      <c r="L238" s="281">
        <f>IF(AND(ISNUMBER(L235),ISNUMBER(L237)),IFERROR(L235/L237,""),"")</f>
        <v>0.83</v>
      </c>
      <c r="M238" s="281">
        <f>IF(AND(ISNUMBER(M235),ISNUMBER(M237)),IFERROR(M235/M237,""),"")</f>
        <v>0.85</v>
      </c>
      <c r="N238" s="281">
        <f>IF(AND(ISNUMBER(N235),ISNUMBER(N237)),IFERROR(N235/N237,""),"")</f>
        <v>3.65</v>
      </c>
      <c r="O238" s="281">
        <f>IF(AND(ISNUMBER(O235),ISNUMBER(O237)),IFERROR(O235/O237,""),"")</f>
        <v>1</v>
      </c>
      <c r="P238" s="281">
        <f>IF(AND(ISNUMBER(P235),ISNUMBER(P237)),IFERROR(P235/P237,""),"")</f>
        <v>1.12</v>
      </c>
      <c r="Q238" s="281">
        <f>IF(AND(ISNUMBER(Q235),ISNUMBER(Q237)),IFERROR(Q235/Q237,""),"")</f>
        <v>0.97</v>
      </c>
      <c r="R238" s="281">
        <f>IF(AND(ISNUMBER(R235),ISNUMBER(R237)),IFERROR(R235/R237,""),"")</f>
        <v>1.12</v>
      </c>
      <c r="S238" s="281">
        <f>IF(AND(ISNUMBER(S235),ISNUMBER(S237)),IFERROR(S235/S237,""),"")</f>
        <v>4.21</v>
      </c>
      <c r="T238" s="281">
        <f>IF(AND(ISNUMBER(T235),ISNUMBER(T237)),IFERROR(T235/T237,""),"")</f>
        <v>1.11428571428571</v>
      </c>
      <c r="U238" s="281">
        <f>IF(AND(ISNUMBER(U235),ISNUMBER(U237)),IFERROR(U235/U237,""),"")</f>
        <v>1.28</v>
      </c>
      <c r="V238" s="281">
        <f>IF(AND(ISNUMBER(V235),ISNUMBER(V237)),IFERROR(V235/V237,""),"")</f>
        <v>1.11</v>
      </c>
      <c r="W238" s="281">
        <f>IF(AND(ISNUMBER(W235),ISNUMBER(W237)),IFERROR(W235/W237,""),"")</f>
        <v>1.08841158841159</v>
      </c>
      <c r="X238" s="281">
        <f>IF(AND(ISNUMBER(X235),ISNUMBER(X237)),IFERROR(X235/X237,""),"")</f>
        <v>4.6</v>
      </c>
      <c r="Y238" s="281">
        <f>IF(AND(ISNUMBER(Y235),ISNUMBER(Y237)),IFERROR(Y235/Y237,""),"")</f>
        <v>0.93178372915614</v>
      </c>
      <c r="Z238" s="281">
        <f>IF(AND(ISNUMBER(Z235),ISNUMBER(Z237)),IFERROR(Z235/Z237,""),"")</f>
        <v>1.30490296220633</v>
      </c>
      <c r="AA238" s="281">
        <f>IF(AND(ISNUMBER(AA235),ISNUMBER(AA237)),IFERROR(AA235/AA237,""),"")</f>
        <v>1.34</v>
      </c>
      <c r="AB238" s="281">
        <f>IF(AND(ISNUMBER(AB235),ISNUMBER(AB237)),IFERROR(AB235/AB237,""),"")</f>
        <v>1.22699069286453</v>
      </c>
      <c r="AC238" s="281">
        <f>IF(AND(ISNUMBER(AC235),ISNUMBER(AC237)),IFERROR(AC235/AC237,""),"")</f>
        <v>4.81371545547595</v>
      </c>
      <c r="AD238" s="281">
        <f>IF(AND(ISNUMBER(AD235),ISNUMBER(AD237)),IFERROR(AD235/AD237,""),"")</f>
        <v>1.47143592382913</v>
      </c>
      <c r="AE238" s="281">
        <f>IF(AND(ISNUMBER(AE235),ISNUMBER(AE237)),IFERROR(AE235/AE237,""),"")</f>
        <v>1.51444788441692</v>
      </c>
      <c r="AF238" s="281">
        <f>IF(AND(ISNUMBER(AF235),ISNUMBER(AF237)),IFERROR(AF235/AF237,""),"")</f>
        <v>1.52086553323029</v>
      </c>
      <c r="AG238" s="281">
        <f>IF(AND(ISNUMBER(AG235),ISNUMBER(AG237)),IFERROR(AG235/AG237,""),"")</f>
        <v>1.51286008230453</v>
      </c>
      <c r="AH238" s="281">
        <f>IF(AND(ISNUMBER(AH235),ISNUMBER(AH237)),IFERROR(AH235/AH237,""),"")</f>
        <v>6.06745623069001</v>
      </c>
      <c r="AI238" s="281">
        <f>IF(AND(ISNUMBER(AI235),ISNUMBER(AI237)),IFERROR(AI235/AI237,""),"")</f>
        <v>2.02210796915167</v>
      </c>
      <c r="AJ238" s="281">
        <f>IF(AND(ISNUMBER(AJ235),ISNUMBER(AJ237)),IFERROR(AJ235/AJ237,""),"")</f>
        <v>2.04372427983539</v>
      </c>
      <c r="AK238" s="281">
        <f>IF(AND(ISNUMBER(AK235),ISNUMBER(AK237)),IFERROR(AK235/AK237,""),"")</f>
        <v>1.69357326478149</v>
      </c>
      <c r="AL238" s="281">
        <f>IF(AND(ISNUMBER(AL235),ISNUMBER(AL237)),IFERROR(AL235/AL237,""),"")</f>
        <v>1.62989690721649</v>
      </c>
      <c r="AM238" s="281">
        <f>IF(AND(ISNUMBER(AM235),ISNUMBER(AM237)),IFERROR(AM235/AM237,""),"")</f>
        <v>7.38786008230453</v>
      </c>
      <c r="AN238" s="281">
        <f>IF(AND(ISNUMBER(AN235),ISNUMBER(AN237)),IFERROR(AN235/AN237,""),"")</f>
        <v>2.06639004149378</v>
      </c>
      <c r="AO238" s="281">
        <f>IF(AND(ISNUMBER(AO235),ISNUMBER(AO237)),IFERROR(AO235/AO237,""),"")</f>
        <v>2.07109252483011</v>
      </c>
      <c r="AP238" s="281">
        <f>IF(AND(ISNUMBER(AP235),ISNUMBER(AP237)),IFERROR(AP235/AP237,""),"")</f>
        <v>2.15227629513344</v>
      </c>
      <c r="AQ238" s="281">
        <f>IF(AND(ISNUMBER(AQ235),ISNUMBER(AQ237)),IFERROR(AQ235/AQ237,""),"")</f>
        <v>1.99895068205666</v>
      </c>
      <c r="AR238" s="281">
        <f>IF(AND(ISNUMBER(AR235),ISNUMBER(AR237)),IFERROR(AR235/AR237,""),"")</f>
        <v>8.28810020876827</v>
      </c>
      <c r="AS238" s="281">
        <f>IF(AND(ISNUMBER(AS235),ISNUMBER(AS237)),IFERROR(AS235/AS237,""),"")</f>
        <v>2.73206751054852</v>
      </c>
      <c r="AT238" s="281">
        <f>IF(AND(ISNUMBER(AT235),ISNUMBER(AT237)),IFERROR(AT235/AT237,""),"")</f>
        <v>2.81481481481482</v>
      </c>
      <c r="AU238" s="281">
        <f>IF(AND(ISNUMBER(AU235),ISNUMBER(AU237)),IFERROR(AU235/AU237,""),"")</f>
        <v>2.68885367142102</v>
      </c>
      <c r="AV238" s="281">
        <f>IF(AND(ISNUMBER(AV235),ISNUMBER(AV237)),IFERROR(AV235/AV237,""),"")</f>
        <v>1.91331923890063</v>
      </c>
      <c r="AW238" s="281">
        <f>IF(AND(ISNUMBER(AW235),ISNUMBER(AW237)),IFERROR(AW235/AW237,""),"")</f>
        <v>10.1479133650291</v>
      </c>
      <c r="AX238" s="281">
        <f>IF(AND(ISNUMBER(AX235),ISNUMBER(AX237)),IFERROR(AX235/AX237,""),"")</f>
        <v>4.05620360551432</v>
      </c>
      <c r="AY238" s="281">
        <f>IF(AND(ISNUMBER(AY235),ISNUMBER(AY237)),IFERROR(AY235/AY237,""),"")</f>
        <v>3.21979776476849</v>
      </c>
      <c r="AZ238" s="281">
        <f>IF(AND(ISNUMBER(AZ235),ISNUMBER(AZ237)),IFERROR(AZ235/AZ237,""),"")</f>
        <v>2.68553123331554</v>
      </c>
      <c r="BA238" s="281">
        <f>IF(AND(ISNUMBER(BA235),ISNUMBER(BA237)),IFERROR(BA235/BA237,""),"")</f>
        <v>2.32657417289221</v>
      </c>
      <c r="BB238" s="281">
        <f>IF(AND(ISNUMBER(BB235),ISNUMBER(BB237)),IFERROR(BB235/BB237,""),"")</f>
        <v>12.288451303885</v>
      </c>
      <c r="BC238" s="281">
        <f>IF(AND(ISNUMBER(BC235),ISNUMBER(BC237)),IFERROR(BC235/BC237,""),"")</f>
        <v>2.88554540569586</v>
      </c>
      <c r="BD238" s="281">
        <f>IF(AND(ISNUMBER(BD235),ISNUMBER(BD237)),IFERROR(BD235/BD237,""),"")</f>
        <v>2.21741481882098</v>
      </c>
      <c r="BE238" s="281">
        <f>IF(AND(ISNUMBER(BE235),ISNUMBER(BE237)),IFERROR(BE235/BE237,""),"")</f>
        <v>1.84883088635128</v>
      </c>
      <c r="BF238" s="281">
        <f>IF(AND(ISNUMBER(BF235),ISNUMBER(BF237)),IFERROR(BF235/BF237,""),"")</f>
        <v>1.60413268080479</v>
      </c>
      <c r="BG238" s="281">
        <f>IF(AND(ISNUMBER(BG235),ISNUMBER(BG237)),IFERROR(BG235/BG237,""),"")</f>
        <v>8.56524093123985</v>
      </c>
      <c r="BH238" s="281">
        <f>IF(AND(ISNUMBER(BH235),ISNUMBER(BH237)),IFERROR(BH235/BH237,""),"")</f>
        <v>2.98750678978816</v>
      </c>
      <c r="BI238" s="281">
        <f>IF(AND(ISNUMBER(BI235),ISNUMBER(BI237)),IFERROR(BI235/BI237,""),"")</f>
        <v>2.29766431287344</v>
      </c>
      <c r="BJ238" s="281">
        <f>IF(AND(ISNUMBER(BJ235),ISNUMBER(BJ237)),IFERROR(BJ235/BJ237,""),"")</f>
        <v>2.42934782608696</v>
      </c>
      <c r="BK238" s="281">
        <f>IF(AND(ISNUMBER(BK235),ISNUMBER(BK237)),IFERROR(BK235/BK237,""),"")</f>
        <v>2.18954248366013</v>
      </c>
      <c r="BL238" s="281">
        <f>IF(AND(ISNUMBER(BL235),ISNUMBER(BL237)),IFERROR(BL235/BL237,""),"")</f>
        <v>9.90217391304348</v>
      </c>
      <c r="BM238" s="281">
        <f>IF(AND(ISNUMBER(BM235),ISNUMBER(BM237)),IFERROR(BM235/BM237,""),"")</f>
        <v>3.36968375136314</v>
      </c>
      <c r="BN238" s="281">
        <f>IF(AND(ISNUMBER(BN235),ISNUMBER(BN237)),IFERROR(BN235/BN237,""),"")</f>
        <v>3.27868852459016</v>
      </c>
      <c r="BO238" s="281">
        <f>IF(AND(ISNUMBER(BO235),ISNUMBER(BO237)),IFERROR(BO235/BO237,""),"")</f>
        <v>3.20547945205479</v>
      </c>
      <c r="BP238" s="281">
        <f>IF(AND(ISNUMBER(BP235),ISNUMBER(BP237)),IFERROR(BP235/BP237,""),"")</f>
        <v>2.61970280682444</v>
      </c>
      <c r="BQ238" s="281">
        <f>IF(AND(ISNUMBER(BQ235),ISNUMBER(BQ237)),IFERROR(BQ235/BQ237,""),"")</f>
        <v>12.4740010946908</v>
      </c>
      <c r="BR238" s="281">
        <f>IF(AND(ISNUMBER(BR235),ISNUMBER(BR237)),IFERROR(BR235/BR237,""),"")</f>
        <v>3.82955174322081</v>
      </c>
      <c r="BS238" s="281">
        <f>IF(AND(ISNUMBER(BS235),ISNUMBER(BS237)),IFERROR(BS235/BS237,""),"")</f>
        <v>3.55160932297447</v>
      </c>
      <c r="BT238" s="281">
        <f>IF(AND(ISNUMBER(BT235),ISNUMBER(BT237)),IFERROR(BT235/BT237,""),"")</f>
        <v>3.91982182628062</v>
      </c>
      <c r="BU238" s="281">
        <f>IF(AND(ISNUMBER(BU235),ISNUMBER(BU237)),IFERROR(BU235/BU237,""),"")</f>
        <v>3.64297705651931</v>
      </c>
      <c r="BV238" s="281">
        <f>IF(AND(ISNUMBER(BV235),ISNUMBER(BV237)),IFERROR(BV235/BV237,""),"")</f>
        <v>14.9360755975542</v>
      </c>
      <c r="BW238" s="281">
        <f>IF(AND(ISNUMBER(BW235),ISNUMBER(BW237)),IFERROR(BW235/BW237,""),"")</f>
        <v>4.32600112803158</v>
      </c>
      <c r="BX238" s="281">
        <f>IF(AND(ISNUMBER(BX235),ISNUMBER(BX237)),IFERROR(BX235/BX237,""),"")</f>
        <v>4.67621776504298</v>
      </c>
      <c r="BY238" s="281">
        <f>IF(AND(ISNUMBER(BY235),ISNUMBER(BY237)),IFERROR(BY235/BY237,""),"")</f>
        <v>4.17959207097102</v>
      </c>
      <c r="BZ238" s="281">
        <f>IF(AND(ISNUMBER(BZ235),ISNUMBER(BZ237)),IFERROR(BZ235/BZ237,""),"")</f>
        <v>3.55941326836885</v>
      </c>
      <c r="CA238" s="281">
        <f>IF(AND(ISNUMBER(CA235),ISNUMBER(CA237)),IFERROR(CA235/CA237,""),"")</f>
        <v>16.75</v>
      </c>
      <c r="CB238" s="281">
        <f>IF(AND(ISNUMBER(CB235),ISNUMBER(CB237)),IFERROR(CB235/CB237,""),"")</f>
        <v>18.4741774519875</v>
      </c>
      <c r="CC238" s="281">
        <f>IF(AND(ISNUMBER(CC235),ISNUMBER(CC237)),IFERROR(CC235/CC237,""),"")</f>
        <v>20.4225181652368</v>
      </c>
      <c r="CD238" s="281">
        <f>IF(AND(ISNUMBER(CD235),ISNUMBER(CD237)),IFERROR(CD235/CD237,""),"")</f>
        <v>22.5760749216576</v>
      </c>
      <c r="CE238" s="281">
        <f>IF(AND(ISNUMBER(CE235),ISNUMBER(CE237)),IFERROR(CE235/CE237,""),"")</f>
        <v>24.8669612262983</v>
      </c>
      <c r="CF238" s="19" t="n"/>
      <c r="CH238" s="20">
        <f>IFERROR((CE238/BV238)^(1/5)-1,"n/m")</f>
        <v>0.107330450673595</v>
      </c>
      <c r="CI238" s="20">
        <f>IFERROR((BV238/AW238)^(1/5)-1,"n/m")</f>
        <v>0.0803685928879907</v>
      </c>
      <c r="CJ238" s="20">
        <f>IFERROR((BV238/X238)^(1/10)-1,"n/m")</f>
        <v>0.124987940919646</v>
      </c>
      <c r="CK238" s="20">
        <f>IFERROR((BV238/C238)^(1/19)-1,"n/m")</f>
        <v>0.100659227988515</v>
      </c>
    </row>
    <row r="239" ht="15" customHeight="1" s="251">
      <c r="B239" s="156" t="inlineStr">
        <is>
          <t xml:space="preserve">  Company-published adjusted (non-GAAP) diluted EPS ($)</t>
        </is>
      </c>
      <c r="C239" s="282" t="n">
        <v>2.41</v>
      </c>
      <c r="D239" s="282" t="n">
        <v>2.5</v>
      </c>
      <c r="E239" s="282" t="n">
        <v>1.82</v>
      </c>
      <c r="F239" s="282" t="n">
        <v>1.7</v>
      </c>
      <c r="G239" s="282" t="n">
        <v>2.13</v>
      </c>
      <c r="H239" s="282" t="n">
        <v>2.46</v>
      </c>
      <c r="I239" s="282" t="n">
        <v>2.99</v>
      </c>
      <c r="J239" s="27" t="n"/>
      <c r="K239" s="27" t="n"/>
      <c r="L239" s="282" t="n">
        <v>0.83</v>
      </c>
      <c r="M239" s="282" t="n">
        <v>0.85</v>
      </c>
      <c r="N239" s="282" t="n">
        <v>3.65</v>
      </c>
      <c r="O239" s="282" t="n">
        <v>1</v>
      </c>
      <c r="P239" s="282" t="n">
        <v>1.12</v>
      </c>
      <c r="Q239" s="282" t="n">
        <v>0.97</v>
      </c>
      <c r="R239" s="282" t="n">
        <v>1.12</v>
      </c>
      <c r="S239" s="282" t="n">
        <v>4.21</v>
      </c>
      <c r="T239" s="27" t="n"/>
      <c r="U239" s="282" t="n">
        <v>1.28</v>
      </c>
      <c r="V239" s="282" t="n">
        <v>1.11</v>
      </c>
      <c r="W239" s="27" t="n"/>
      <c r="X239" s="282" t="n">
        <v>4.6</v>
      </c>
      <c r="Y239" s="27" t="n"/>
      <c r="Z239" s="27" t="n"/>
      <c r="AA239" s="282" t="n">
        <v>1.34</v>
      </c>
      <c r="AB239" s="282" t="n">
        <v>1.23</v>
      </c>
      <c r="AC239" s="282" t="n">
        <v>4.81</v>
      </c>
      <c r="AD239" s="282" t="n">
        <v>1.47</v>
      </c>
      <c r="AE239" s="282" t="n">
        <v>1.51</v>
      </c>
      <c r="AF239" s="282" t="n">
        <v>1.52</v>
      </c>
      <c r="AG239" s="282" t="n">
        <v>1.51</v>
      </c>
      <c r="AH239" s="282" t="n">
        <v>6.07</v>
      </c>
      <c r="AI239" s="282" t="n">
        <v>2.02</v>
      </c>
      <c r="AJ239" s="282" t="n">
        <v>2.04</v>
      </c>
      <c r="AK239" s="282" t="n">
        <v>1.69</v>
      </c>
      <c r="AL239" s="282" t="n">
        <v>1.63</v>
      </c>
      <c r="AM239" s="282" t="n">
        <v>7.39</v>
      </c>
      <c r="AN239" s="282" t="n">
        <v>2.07</v>
      </c>
      <c r="AO239" s="282" t="n">
        <v>2.07</v>
      </c>
      <c r="AP239" s="282" t="n">
        <v>2.15</v>
      </c>
      <c r="AQ239" s="282" t="n">
        <v>2</v>
      </c>
      <c r="AR239" s="282" t="n">
        <v>8.289999999999999</v>
      </c>
      <c r="AS239" s="282" t="n">
        <v>2.73</v>
      </c>
      <c r="AT239" s="282" t="n">
        <v>2.81</v>
      </c>
      <c r="AU239" s="282" t="n">
        <v>2.69</v>
      </c>
      <c r="AV239" s="282" t="n">
        <v>1.91</v>
      </c>
      <c r="AW239" s="282" t="n">
        <v>10.15</v>
      </c>
      <c r="AX239" s="282" t="n">
        <v>4.06</v>
      </c>
      <c r="AY239" s="282" t="n">
        <v>3.22</v>
      </c>
      <c r="AZ239" s="282" t="n">
        <v>2.69</v>
      </c>
      <c r="BA239" s="282" t="n">
        <v>2.33</v>
      </c>
      <c r="BB239" s="282" t="n">
        <v>12.29</v>
      </c>
      <c r="BC239" s="282" t="n">
        <v>2.89</v>
      </c>
      <c r="BD239" s="282" t="n">
        <v>2.22</v>
      </c>
      <c r="BE239" s="282" t="n">
        <v>1.85</v>
      </c>
      <c r="BF239" s="282" t="n">
        <v>1.6</v>
      </c>
      <c r="BG239" s="282" t="n">
        <v>8.57</v>
      </c>
      <c r="BH239" s="282" t="n">
        <v>2.99</v>
      </c>
      <c r="BI239" s="282" t="n">
        <v>2.3</v>
      </c>
      <c r="BJ239" s="282" t="n">
        <v>2.43</v>
      </c>
      <c r="BK239" s="282" t="n">
        <v>2.19</v>
      </c>
      <c r="BL239" s="282" t="n">
        <v>9.9</v>
      </c>
      <c r="BM239" s="282" t="n">
        <v>3.37</v>
      </c>
      <c r="BN239" s="282" t="n">
        <v>3.28</v>
      </c>
      <c r="BO239" s="282" t="n">
        <v>3.21</v>
      </c>
      <c r="BP239" s="282" t="n">
        <v>2.62</v>
      </c>
      <c r="BQ239" s="282" t="n">
        <v>12.47</v>
      </c>
      <c r="BR239" s="282" t="n">
        <v>3.83</v>
      </c>
      <c r="BS239" s="282" t="n">
        <v>3.56</v>
      </c>
      <c r="BT239" s="282" t="n">
        <v>3.92</v>
      </c>
      <c r="BU239" s="282" t="n">
        <v>3.64</v>
      </c>
      <c r="BV239" s="282" t="n">
        <v>14.94</v>
      </c>
      <c r="BW239" s="282" t="n">
        <v>4.33</v>
      </c>
      <c r="BX239" s="282" t="n">
        <v>4.68</v>
      </c>
      <c r="BY239" s="153" t="n"/>
      <c r="BZ239" s="153" t="n"/>
      <c r="CA239" s="153" t="n"/>
      <c r="CB239" s="153" t="n"/>
      <c r="CC239" s="153" t="n"/>
      <c r="CD239" s="153" t="n"/>
      <c r="CE239" s="153" t="n"/>
      <c r="CF239" s="153" t="n"/>
    </row>
    <row r="240" ht="15" customHeight="1" s="251">
      <c r="B240" s="57" t="inlineStr">
        <is>
          <t xml:space="preserve">  Check: model vs company-published (should be 0.00; ±0.02 per-share rounding)</t>
        </is>
      </c>
      <c r="C240" s="283">
        <f>IF(AND(ISNUMBER(C239),ISNUMBER(C238)),IF(ABS(C238-C239)&lt;=0.0201,0,ROUND(C238-C239,2)),"n/p")</f>
        <v>0</v>
      </c>
      <c r="D240" s="283">
        <f>IF(AND(ISNUMBER(D239),ISNUMBER(D238)),IF(ABS(D238-D239)&lt;=0.0201,0,ROUND(D238-D239,2)),"n/p")</f>
        <v>0</v>
      </c>
      <c r="E240" s="283">
        <f>IF(AND(ISNUMBER(E239),ISNUMBER(E238)),IF(ABS(E238-E239)&lt;=0.0201,0,ROUND(E238-E239,2)),"n/p")</f>
        <v>0</v>
      </c>
      <c r="F240" s="283">
        <f>IF(AND(ISNUMBER(F239),ISNUMBER(F238)),IF(ABS(F238-F239)&lt;=0.0201,0,ROUND(F238-F239,2)),"n/p")</f>
        <v>0</v>
      </c>
      <c r="G240" s="283">
        <f>IF(AND(ISNUMBER(G239),ISNUMBER(G238)),IF(ABS(G238-G239)&lt;=0.0201,0,ROUND(G238-G239,2)),"n/p")</f>
        <v>0</v>
      </c>
      <c r="H240" s="283">
        <f>IF(AND(ISNUMBER(H239),ISNUMBER(H238)),IF(ABS(H238-H239)&lt;=0.0201,0,ROUND(H238-H239,2)),"n/p")</f>
        <v>0</v>
      </c>
      <c r="I240" s="283">
        <f>IF(AND(ISNUMBER(I239),ISNUMBER(I238)),IF(ABS(I238-I239)&lt;=0.0201,0,ROUND(I238-I239,2)),"n/p")</f>
        <v>0</v>
      </c>
      <c r="J240" s="283" t="str">
        <f>IF(AND(ISNUMBER(J239),ISNUMBER(J238)),IF(ABS(J238-J239)&lt;=0.0201,0,ROUND(J238-J239,2)),"n/p")</f>
        <v>n/p</v>
      </c>
      <c r="K240" s="283" t="str">
        <f>IF(AND(ISNUMBER(K239),ISNUMBER(K238)),IF(ABS(K238-K239)&lt;=0.0201,0,ROUND(K238-K239,2)),"n/p")</f>
        <v>n/p</v>
      </c>
      <c r="L240" s="283">
        <f>IF(AND(ISNUMBER(L239),ISNUMBER(L238)),IF(ABS(L238-L239)&lt;=0.0201,0,ROUND(L238-L239,2)),"n/p")</f>
        <v>0</v>
      </c>
      <c r="M240" s="283">
        <f>IF(AND(ISNUMBER(M239),ISNUMBER(M238)),IF(ABS(M238-M239)&lt;=0.0201,0,ROUND(M238-M239,2)),"n/p")</f>
        <v>0</v>
      </c>
      <c r="N240" s="283">
        <f>IF(AND(ISNUMBER(N239),ISNUMBER(N238)),IF(ABS(N238-N239)&lt;=0.0201,0,ROUND(N238-N239,2)),"n/p")</f>
        <v>0</v>
      </c>
      <c r="O240" s="283">
        <f>IF(AND(ISNUMBER(O239),ISNUMBER(O238)),IF(ABS(O238-O239)&lt;=0.0201,0,ROUND(O238-O239,2)),"n/p")</f>
        <v>0</v>
      </c>
      <c r="P240" s="283">
        <f>IF(AND(ISNUMBER(P239),ISNUMBER(P238)),IF(ABS(P238-P239)&lt;=0.0201,0,ROUND(P238-P239,2)),"n/p")</f>
        <v>0</v>
      </c>
      <c r="Q240" s="283">
        <f>IF(AND(ISNUMBER(Q239),ISNUMBER(Q238)),IF(ABS(Q238-Q239)&lt;=0.0201,0,ROUND(Q238-Q239,2)),"n/p")</f>
        <v>0</v>
      </c>
      <c r="R240" s="283">
        <f>IF(AND(ISNUMBER(R239),ISNUMBER(R238)),IF(ABS(R238-R239)&lt;=0.0201,0,ROUND(R238-R239,2)),"n/p")</f>
        <v>0</v>
      </c>
      <c r="S240" s="283">
        <f>IF(AND(ISNUMBER(S239),ISNUMBER(S238)),IF(ABS(S238-S239)&lt;=0.0201,0,ROUND(S238-S239,2)),"n/p")</f>
        <v>0</v>
      </c>
      <c r="T240" s="283" t="str">
        <f>IF(AND(ISNUMBER(T239),ISNUMBER(T238)),IF(ABS(T238-T239)&lt;=0.0201,0,ROUND(T238-T239,2)),"n/p")</f>
        <v>n/p</v>
      </c>
      <c r="U240" s="283">
        <f>IF(AND(ISNUMBER(U239),ISNUMBER(U238)),IF(ABS(U238-U239)&lt;=0.0201,0,ROUND(U238-U239,2)),"n/p")</f>
        <v>0</v>
      </c>
      <c r="V240" s="283">
        <f>IF(AND(ISNUMBER(V239),ISNUMBER(V238)),IF(ABS(V238-V239)&lt;=0.0201,0,ROUND(V238-V239,2)),"n/p")</f>
        <v>0</v>
      </c>
      <c r="W240" s="283" t="str">
        <f>IF(AND(ISNUMBER(W239),ISNUMBER(W238)),IF(ABS(W238-W239)&lt;=0.0201,0,ROUND(W238-W239,2)),"n/p")</f>
        <v>n/p</v>
      </c>
      <c r="X240" s="283">
        <f>IF(AND(ISNUMBER(X239),ISNUMBER(X238)),IF(ABS(X238-X239)&lt;=0.0201,0,ROUND(X238-X239,2)),"n/p")</f>
        <v>0</v>
      </c>
      <c r="Y240" s="283" t="str">
        <f>IF(AND(ISNUMBER(Y239),ISNUMBER(Y238)),IF(ABS(Y238-Y239)&lt;=0.0201,0,ROUND(Y238-Y239,2)),"n/p")</f>
        <v>n/p</v>
      </c>
      <c r="Z240" s="283" t="str">
        <f>IF(AND(ISNUMBER(Z239),ISNUMBER(Z238)),IF(ABS(Z238-Z239)&lt;=0.0201,0,ROUND(Z238-Z239,2)),"n/p")</f>
        <v>n/p</v>
      </c>
      <c r="AA240" s="283">
        <f>IF(AND(ISNUMBER(AA239),ISNUMBER(AA238)),IF(ABS(AA238-AA239)&lt;=0.0201,0,ROUND(AA238-AA239,2)),"n/p")</f>
        <v>0</v>
      </c>
      <c r="AB240" s="283">
        <f>IF(AND(ISNUMBER(AB239),ISNUMBER(AB238)),IF(ABS(AB238-AB239)&lt;=0.0201,0,ROUND(AB238-AB239,2)),"n/p")</f>
        <v>0</v>
      </c>
      <c r="AC240" s="283">
        <f>IF(AND(ISNUMBER(AC239),ISNUMBER(AC238)),IF(ABS(AC238-AC239)&lt;=0.0201,0,ROUND(AC238-AC239,2)),"n/p")</f>
        <v>0</v>
      </c>
      <c r="AD240" s="283">
        <f>IF(AND(ISNUMBER(AD239),ISNUMBER(AD238)),IF(ABS(AD238-AD239)&lt;=0.0201,0,ROUND(AD238-AD239,2)),"n/p")</f>
        <v>0</v>
      </c>
      <c r="AE240" s="283">
        <f>IF(AND(ISNUMBER(AE239),ISNUMBER(AE238)),IF(ABS(AE238-AE239)&lt;=0.0201,0,ROUND(AE238-AE239,2)),"n/p")</f>
        <v>0</v>
      </c>
      <c r="AF240" s="283">
        <f>IF(AND(ISNUMBER(AF239),ISNUMBER(AF238)),IF(ABS(AF238-AF239)&lt;=0.0201,0,ROUND(AF238-AF239,2)),"n/p")</f>
        <v>0</v>
      </c>
      <c r="AG240" s="283">
        <f>IF(AND(ISNUMBER(AG239),ISNUMBER(AG238)),IF(ABS(AG238-AG239)&lt;=0.0201,0,ROUND(AG238-AG239,2)),"n/p")</f>
        <v>0</v>
      </c>
      <c r="AH240" s="283">
        <f>IF(AND(ISNUMBER(AH239),ISNUMBER(AH238)),IF(ABS(AH238-AH239)&lt;=0.0201,0,ROUND(AH238-AH239,2)),"n/p")</f>
        <v>0</v>
      </c>
      <c r="AI240" s="283">
        <f>IF(AND(ISNUMBER(AI239),ISNUMBER(AI238)),IF(ABS(AI238-AI239)&lt;=0.0201,0,ROUND(AI238-AI239,2)),"n/p")</f>
        <v>0</v>
      </c>
      <c r="AJ240" s="283">
        <f>IF(AND(ISNUMBER(AJ239),ISNUMBER(AJ238)),IF(ABS(AJ238-AJ239)&lt;=0.0201,0,ROUND(AJ238-AJ239,2)),"n/p")</f>
        <v>0</v>
      </c>
      <c r="AK240" s="283">
        <f>IF(AND(ISNUMBER(AK239),ISNUMBER(AK238)),IF(ABS(AK238-AK239)&lt;=0.0201,0,ROUND(AK238-AK239,2)),"n/p")</f>
        <v>0</v>
      </c>
      <c r="AL240" s="283">
        <f>IF(AND(ISNUMBER(AL239),ISNUMBER(AL238)),IF(ABS(AL238-AL239)&lt;=0.0201,0,ROUND(AL238-AL239,2)),"n/p")</f>
        <v>0</v>
      </c>
      <c r="AM240" s="283">
        <f>IF(AND(ISNUMBER(AM239),ISNUMBER(AM238)),IF(ABS(AM238-AM239)&lt;=0.0201,0,ROUND(AM238-AM239,2)),"n/p")</f>
        <v>0</v>
      </c>
      <c r="AN240" s="283">
        <f>IF(AND(ISNUMBER(AN239),ISNUMBER(AN238)),IF(ABS(AN238-AN239)&lt;=0.0201,0,ROUND(AN238-AN239,2)),"n/p")</f>
        <v>0</v>
      </c>
      <c r="AO240" s="283">
        <f>IF(AND(ISNUMBER(AO239),ISNUMBER(AO238)),IF(ABS(AO238-AO239)&lt;=0.0201,0,ROUND(AO238-AO239,2)),"n/p")</f>
        <v>0</v>
      </c>
      <c r="AP240" s="283">
        <f>IF(AND(ISNUMBER(AP239),ISNUMBER(AP238)),IF(ABS(AP238-AP239)&lt;=0.0201,0,ROUND(AP238-AP239,2)),"n/p")</f>
        <v>0</v>
      </c>
      <c r="AQ240" s="283">
        <f>IF(AND(ISNUMBER(AQ239),ISNUMBER(AQ238)),IF(ABS(AQ238-AQ239)&lt;=0.0201,0,ROUND(AQ238-AQ239,2)),"n/p")</f>
        <v>0</v>
      </c>
      <c r="AR240" s="283">
        <f>IF(AND(ISNUMBER(AR239),ISNUMBER(AR238)),IF(ABS(AR238-AR239)&lt;=0.0201,0,ROUND(AR238-AR239,2)),"n/p")</f>
        <v>0</v>
      </c>
      <c r="AS240" s="283">
        <f>IF(AND(ISNUMBER(AS239),ISNUMBER(AS238)),IF(ABS(AS238-AS239)&lt;=0.0201,0,ROUND(AS238-AS239,2)),"n/p")</f>
        <v>0</v>
      </c>
      <c r="AT240" s="283">
        <f>IF(AND(ISNUMBER(AT239),ISNUMBER(AT238)),IF(ABS(AT238-AT239)&lt;=0.0201,0,ROUND(AT238-AT239,2)),"n/p")</f>
        <v>0</v>
      </c>
      <c r="AU240" s="283">
        <f>IF(AND(ISNUMBER(AU239),ISNUMBER(AU238)),IF(ABS(AU238-AU239)&lt;=0.0201,0,ROUND(AU238-AU239,2)),"n/p")</f>
        <v>0</v>
      </c>
      <c r="AV240" s="283">
        <f>IF(AND(ISNUMBER(AV239),ISNUMBER(AV238)),IF(ABS(AV238-AV239)&lt;=0.0201,0,ROUND(AV238-AV239,2)),"n/p")</f>
        <v>0</v>
      </c>
      <c r="AW240" s="283">
        <f>IF(AND(ISNUMBER(AW239),ISNUMBER(AW238)),IF(ABS(AW238-AW239)&lt;=0.0201,0,ROUND(AW238-AW239,2)),"n/p")</f>
        <v>0</v>
      </c>
      <c r="AX240" s="283">
        <f>IF(AND(ISNUMBER(AX239),ISNUMBER(AX238)),IF(ABS(AX238-AX239)&lt;=0.0201,0,ROUND(AX238-AX239,2)),"n/p")</f>
        <v>0</v>
      </c>
      <c r="AY240" s="283">
        <f>IF(AND(ISNUMBER(AY239),ISNUMBER(AY238)),IF(ABS(AY238-AY239)&lt;=0.0201,0,ROUND(AY238-AY239,2)),"n/p")</f>
        <v>0</v>
      </c>
      <c r="AZ240" s="283">
        <f>IF(AND(ISNUMBER(AZ239),ISNUMBER(AZ238)),IF(ABS(AZ238-AZ239)&lt;=0.0201,0,ROUND(AZ238-AZ239,2)),"n/p")</f>
        <v>0</v>
      </c>
      <c r="BA240" s="283">
        <f>IF(AND(ISNUMBER(BA239),ISNUMBER(BA238)),IF(ABS(BA238-BA239)&lt;=0.0201,0,ROUND(BA238-BA239,2)),"n/p")</f>
        <v>0</v>
      </c>
      <c r="BB240" s="283">
        <f>IF(AND(ISNUMBER(BB239),ISNUMBER(BB238)),IF(ABS(BB238-BB239)&lt;=0.0201,0,ROUND(BB238-BB239,2)),"n/p")</f>
        <v>0</v>
      </c>
      <c r="BC240" s="283">
        <f>IF(AND(ISNUMBER(BC239),ISNUMBER(BC238)),IF(ABS(BC238-BC239)&lt;=0.0201,0,ROUND(BC238-BC239,2)),"n/p")</f>
        <v>0</v>
      </c>
      <c r="BD240" s="283">
        <f>IF(AND(ISNUMBER(BD239),ISNUMBER(BD238)),IF(ABS(BD238-BD239)&lt;=0.0201,0,ROUND(BD238-BD239,2)),"n/p")</f>
        <v>0</v>
      </c>
      <c r="BE240" s="283">
        <f>IF(AND(ISNUMBER(BE239),ISNUMBER(BE238)),IF(ABS(BE238-BE239)&lt;=0.0201,0,ROUND(BE238-BE239,2)),"n/p")</f>
        <v>0</v>
      </c>
      <c r="BF240" s="283">
        <f>IF(AND(ISNUMBER(BF239),ISNUMBER(BF238)),IF(ABS(BF238-BF239)&lt;=0.0201,0,ROUND(BF238-BF239,2)),"n/p")</f>
        <v>0</v>
      </c>
      <c r="BG240" s="283">
        <f>IF(AND(ISNUMBER(BG239),ISNUMBER(BG238)),IF(ABS(BG238-BG239)&lt;=0.0201,0,ROUND(BG238-BG239,2)),"n/p")</f>
        <v>0</v>
      </c>
      <c r="BH240" s="283">
        <f>IF(AND(ISNUMBER(BH239),ISNUMBER(BH238)),IF(ABS(BH238-BH239)&lt;=0.0201,0,ROUND(BH238-BH239,2)),"n/p")</f>
        <v>0</v>
      </c>
      <c r="BI240" s="283">
        <f>IF(AND(ISNUMBER(BI239),ISNUMBER(BI238)),IF(ABS(BI238-BI239)&lt;=0.0201,0,ROUND(BI238-BI239,2)),"n/p")</f>
        <v>0</v>
      </c>
      <c r="BJ240" s="283">
        <f>IF(AND(ISNUMBER(BJ239),ISNUMBER(BJ238)),IF(ABS(BJ238-BJ239)&lt;=0.0201,0,ROUND(BJ238-BJ239,2)),"n/p")</f>
        <v>0</v>
      </c>
      <c r="BK240" s="283">
        <f>IF(AND(ISNUMBER(BK239),ISNUMBER(BK238)),IF(ABS(BK238-BK239)&lt;=0.0201,0,ROUND(BK238-BK239,2)),"n/p")</f>
        <v>0</v>
      </c>
      <c r="BL240" s="283">
        <f>IF(AND(ISNUMBER(BL239),ISNUMBER(BL238)),IF(ABS(BL238-BL239)&lt;=0.0201,0,ROUND(BL238-BL239,2)),"n/p")</f>
        <v>0</v>
      </c>
      <c r="BM240" s="283">
        <f>IF(AND(ISNUMBER(BM239),ISNUMBER(BM238)),IF(ABS(BM238-BM239)&lt;=0.0201,0,ROUND(BM238-BM239,2)),"n/p")</f>
        <v>0</v>
      </c>
      <c r="BN240" s="283">
        <f>IF(AND(ISNUMBER(BN239),ISNUMBER(BN238)),IF(ABS(BN238-BN239)&lt;=0.0201,0,ROUND(BN238-BN239,2)),"n/p")</f>
        <v>0</v>
      </c>
      <c r="BO240" s="283">
        <f>IF(AND(ISNUMBER(BO239),ISNUMBER(BO238)),IF(ABS(BO238-BO239)&lt;=0.0201,0,ROUND(BO238-BO239,2)),"n/p")</f>
        <v>0</v>
      </c>
      <c r="BP240" s="283">
        <f>IF(AND(ISNUMBER(BP239),ISNUMBER(BP238)),IF(ABS(BP238-BP239)&lt;=0.0201,0,ROUND(BP238-BP239,2)),"n/p")</f>
        <v>0</v>
      </c>
      <c r="BQ240" s="283">
        <f>IF(AND(ISNUMBER(BQ239),ISNUMBER(BQ238)),IF(ABS(BQ238-BQ239)&lt;=0.0201,0,ROUND(BQ238-BQ239,2)),"n/p")</f>
        <v>0</v>
      </c>
      <c r="BR240" s="283">
        <f>IF(AND(ISNUMBER(BR239),ISNUMBER(BR238)),IF(ABS(BR238-BR239)&lt;=0.0201,0,ROUND(BR238-BR239,2)),"n/p")</f>
        <v>0</v>
      </c>
      <c r="BS240" s="283">
        <f>IF(AND(ISNUMBER(BS239),ISNUMBER(BS238)),IF(ABS(BS238-BS239)&lt;=0.0201,0,ROUND(BS238-BS239,2)),"n/p")</f>
        <v>0</v>
      </c>
      <c r="BT240" s="283">
        <f>IF(AND(ISNUMBER(BT239),ISNUMBER(BT238)),IF(ABS(BT238-BT239)&lt;=0.0201,0,ROUND(BT238-BT239,2)),"n/p")</f>
        <v>0</v>
      </c>
      <c r="BU240" s="283">
        <f>IF(AND(ISNUMBER(BU239),ISNUMBER(BU238)),IF(ABS(BU238-BU239)&lt;=0.0201,0,ROUND(BU238-BU239,2)),"n/p")</f>
        <v>0</v>
      </c>
      <c r="BV240" s="283">
        <f>IF(AND(ISNUMBER(BV239),ISNUMBER(BV238)),IF(ABS(BV238-BV239)&lt;=0.0201,0,ROUND(BV238-BV239,2)),"n/p")</f>
        <v>0</v>
      </c>
      <c r="BW240" s="283">
        <f>IF(AND(ISNUMBER(BW239),ISNUMBER(BW238)),IF(ABS(BW238-BW239)&lt;=0.0201,0,ROUND(BW238-BW239,2)),"n/p")</f>
        <v>0</v>
      </c>
      <c r="BX240" s="283">
        <f>IF(AND(ISNUMBER(BX239),ISNUMBER(BX238)),IF(ABS(BX238-BX239)&lt;=0.0201,0,ROUND(BX238-BX239,2)),"n/p")</f>
        <v>0</v>
      </c>
      <c r="BY240" s="153" t="n"/>
      <c r="BZ240" s="153" t="n"/>
      <c r="CA240" s="153" t="n"/>
      <c r="CB240" s="153" t="n"/>
      <c r="CC240" s="153" t="n"/>
      <c r="CD240" s="153" t="n"/>
      <c r="CE240" s="153" t="n"/>
      <c r="CF240" s="153" t="n"/>
    </row>
    <row r="241" ht="15" customHeight="1" s="251">
      <c r="B241" s="22" t="inlineStr">
        <is>
          <t xml:space="preserve">  Adjusted diluted EPS y/y %</t>
        </is>
      </c>
      <c r="D241" s="255">
        <f>IF(AND(ISNUMBER(D238),ISNUMBER(C238)),IFERROR(D238/C238-1,""),"")</f>
        <v>0.0334221265161074</v>
      </c>
      <c r="E241" s="255">
        <f>IF(AND(ISNUMBER(E238),ISNUMBER(D238)),IFERROR(E238/D238-1,""),"")</f>
        <v>-0.272478904944164</v>
      </c>
      <c r="F241" s="255">
        <f>IF(AND(ISNUMBER(F238),ISNUMBER(E238)),IFERROR(F238/E238-1,""),"")</f>
        <v>-0.0625109427178586</v>
      </c>
      <c r="G241" s="255">
        <f>IF(AND(ISNUMBER(G238),ISNUMBER(F238)),IFERROR(G238/F238-1,""),"")</f>
        <v>0.249944805341966</v>
      </c>
      <c r="H241" s="255">
        <f>IF(AND(ISNUMBER(H238),ISNUMBER(G238)),IFERROR(H238/G238-1,""),"")</f>
        <v>0.156595242108275</v>
      </c>
      <c r="I241" s="255">
        <f>IF(AND(ISNUMBER(I238),ISNUMBER(H238)),IFERROR(I238/H238-1,""),"")</f>
        <v>0.215283486888731</v>
      </c>
      <c r="N241" s="255">
        <f>IF(AND(ISNUMBER(N238),ISNUMBER(I238)),IFERROR(N238/I238-1,""),"")</f>
        <v>0.220735785953177</v>
      </c>
      <c r="O241" s="255">
        <f>IF(AND(ISNUMBER(O238),ISNUMBER(J238)),IFERROR(O238/J238-1,""),"")</f>
        <v>0.205944798301486</v>
      </c>
      <c r="P241" s="255">
        <f>IF(AND(ISNUMBER(P238),ISNUMBER(K238)),IFERROR(P238/K238-1,""),"")</f>
        <v>0.123476718403548</v>
      </c>
      <c r="Q241" s="255">
        <f>IF(AND(ISNUMBER(Q238),ISNUMBER(L238)),IFERROR(Q238/L238-1,""),"")</f>
        <v>0.168674698795181</v>
      </c>
      <c r="R241" s="255">
        <f>IF(AND(ISNUMBER(R238),ISNUMBER(M238)),IFERROR(R238/M238-1,""),"")</f>
        <v>0.317647058823529</v>
      </c>
      <c r="S241" s="255">
        <f>IF(AND(ISNUMBER(S238),ISNUMBER(N238)),IFERROR(S238/N238-1,""),"")</f>
        <v>0.153424657534247</v>
      </c>
      <c r="T241" s="255">
        <f>IF(AND(ISNUMBER(T238),ISNUMBER(O238)),IFERROR(T238/O238-1,""),"")</f>
        <v>0.114285714285714</v>
      </c>
      <c r="U241" s="255">
        <f>IF(AND(ISNUMBER(U238),ISNUMBER(P238)),IFERROR(U238/P238-1,""),"")</f>
        <v>0.142857142857143</v>
      </c>
      <c r="V241" s="255">
        <f>IF(AND(ISNUMBER(V238),ISNUMBER(Q238)),IFERROR(V238/Q238-1,""),"")</f>
        <v>0.144329896907216</v>
      </c>
      <c r="W241" s="255">
        <f>IF(AND(ISNUMBER(W238),ISNUMBER(R238)),IFERROR(W238/R238-1,""),"")</f>
        <v>-0.0282039389182249</v>
      </c>
      <c r="X241" s="255">
        <f>IF(AND(ISNUMBER(X238),ISNUMBER(S238)),IFERROR(X238/S238-1,""),"")</f>
        <v>0.0926365795724464</v>
      </c>
      <c r="Y241" s="255">
        <f>IF(AND(ISNUMBER(Y238),ISNUMBER(T238)),IFERROR(Y238/T238-1,""),"")</f>
        <v>-0.163783832808593</v>
      </c>
      <c r="Z241" s="255">
        <f>IF(AND(ISNUMBER(Z238),ISNUMBER(U238)),IFERROR(Z238/U238-1,""),"")</f>
        <v>0.0194554392236972</v>
      </c>
      <c r="AA241" s="255">
        <f>IF(AND(ISNUMBER(AA238),ISNUMBER(V238)),IFERROR(AA238/V238-1,""),"")</f>
        <v>0.207207207207207</v>
      </c>
      <c r="AB241" s="255">
        <f>IF(AND(ISNUMBER(AB238),ISNUMBER(W238)),IFERROR(AB238/W238-1,""),"")</f>
        <v>0.127322334609816</v>
      </c>
      <c r="AC241" s="255">
        <f>IF(AND(ISNUMBER(AC238),ISNUMBER(X238)),IFERROR(AC238/X238-1,""),"")</f>
        <v>0.0464598816252058</v>
      </c>
      <c r="AD241" s="255">
        <f>IF(AND(ISNUMBER(AD238),ISNUMBER(Y238)),IFERROR(AD238/Y238-1,""),"")</f>
        <v>0.579160354261306</v>
      </c>
      <c r="AE241" s="255">
        <f>IF(AND(ISNUMBER(AE238),ISNUMBER(Z238)),IFERROR(AE238/Z238-1,""),"")</f>
        <v>0.160582762304634</v>
      </c>
      <c r="AF241" s="255">
        <f>IF(AND(ISNUMBER(AF238),ISNUMBER(AA238)),IFERROR(AF238/AA238-1,""),"")</f>
        <v>0.13497427853007</v>
      </c>
      <c r="AG241" s="255">
        <f>IF(AND(ISNUMBER(AG238),ISNUMBER(AB238)),IFERROR(AG238/AB238-1,""),"")</f>
        <v>0.232984154731123</v>
      </c>
      <c r="AH241" s="255">
        <f>IF(AND(ISNUMBER(AH238),ISNUMBER(AC238)),IFERROR(AH238/AC238-1,""),"")</f>
        <v>0.260451783411469</v>
      </c>
      <c r="AI241" s="255">
        <f>IF(AND(ISNUMBER(AI238),ISNUMBER(AD238)),IFERROR(AI238/AD238-1,""),"")</f>
        <v>0.374241267597655</v>
      </c>
      <c r="AJ241" s="255">
        <f>IF(AND(ISNUMBER(AJ238),ISNUMBER(AE238)),IFERROR(AJ238/AE238-1,""),"")</f>
        <v>0.349484720381938</v>
      </c>
      <c r="AK241" s="255">
        <f>IF(AND(ISNUMBER(AK238),ISNUMBER(AF238)),IFERROR(AK238/AF238-1,""),"")</f>
        <v>0.113558843814659</v>
      </c>
      <c r="AL241" s="255">
        <f>IF(AND(ISNUMBER(AL238),ISNUMBER(AG238)),IFERROR(AL238/AG238-1,""),"")</f>
        <v>0.0773613014719026</v>
      </c>
      <c r="AM241" s="255">
        <f>IF(AND(ISNUMBER(AM238),ISNUMBER(AH238)),IFERROR(AM238/AH238-1,""),"")</f>
        <v>0.217620663654026</v>
      </c>
      <c r="AN241" s="255">
        <f>IF(AND(ISNUMBER(AN238),ISNUMBER(AI238)),IFERROR(AN238/AI238-1,""),"")</f>
        <v>0.0218989653458919</v>
      </c>
      <c r="AO241" s="255">
        <f>IF(AND(ISNUMBER(AO238),ISNUMBER(AJ238)),IFERROR(AO238/AJ238-1,""),"")</f>
        <v>0.0133913587389209</v>
      </c>
      <c r="AP241" s="255">
        <f>IF(AND(ISNUMBER(AP238),ISNUMBER(AK238)),IFERROR(AP238/AK238-1,""),"")</f>
        <v>0.270849239233314</v>
      </c>
      <c r="AQ241" s="255">
        <f>IF(AND(ISNUMBER(AQ238),ISNUMBER(AL238)),IFERROR(AQ238/AL238-1,""),"")</f>
        <v>0.226427679693209</v>
      </c>
      <c r="AR241" s="255">
        <f>IF(AND(ISNUMBER(AR238),ISNUMBER(AM238)),IFERROR(AR238/AM238-1,""),"")</f>
        <v>0.121853976176404</v>
      </c>
      <c r="AS241" s="255">
        <f>IF(AND(ISNUMBER(AS238),ISNUMBER(AN238)),IFERROR(AS238/AN238-1,""),"")</f>
        <v>0.322145120566655</v>
      </c>
      <c r="AT241" s="255">
        <f>IF(AND(ISNUMBER(AT238),ISNUMBER(AO238)),IFERROR(AT238/AO238-1,""),"")</f>
        <v>0.359096602912857</v>
      </c>
      <c r="AU241" s="255">
        <f>IF(AND(ISNUMBER(AU238),ISNUMBER(AP238)),IFERROR(AU238/AP238-1,""),"")</f>
        <v>0.249306921003058</v>
      </c>
      <c r="AV241" s="255">
        <f>IF(AND(ISNUMBER(AV238),ISNUMBER(AQ238)),IFERROR(AV238/AQ238-1,""),"")</f>
        <v>-0.0428381970224123</v>
      </c>
      <c r="AW241" s="255">
        <f>IF(AND(ISNUMBER(AW238),ISNUMBER(AR238)),IFERROR(AW238/AR238-1,""),"")</f>
        <v>0.224395592405269</v>
      </c>
      <c r="AX241" s="255">
        <f>IF(AND(ISNUMBER(AX238),ISNUMBER(AS238)),IFERROR(AX238/AS238-1,""),"")</f>
        <v>0.484664485724931</v>
      </c>
      <c r="AY241" s="255">
        <f>IF(AND(ISNUMBER(AY238),ISNUMBER(AT238)),IFERROR(AY238/AT238-1,""),"")</f>
        <v>0.14387552169407</v>
      </c>
      <c r="AZ241" s="255">
        <f>IF(AND(ISNUMBER(AZ238),ISNUMBER(AU238)),IFERROR(AZ238/AU238-1,""),"")</f>
        <v>-0.00123563366084267</v>
      </c>
      <c r="BA241" s="255">
        <f>IF(AND(ISNUMBER(BA238),ISNUMBER(AV238)),IFERROR(BA238/AV238-1,""),"")</f>
        <v>0.215988490362447</v>
      </c>
      <c r="BB241" s="255">
        <f>IF(AND(ISNUMBER(BB238),ISNUMBER(AW238)),IFERROR(BB238/AW238-1,""),"")</f>
        <v>0.210933801054367</v>
      </c>
      <c r="BC241" s="255">
        <f>IF(AND(ISNUMBER(BC238),ISNUMBER(AX238)),IFERROR(BC238/AX238-1,""),"")</f>
        <v>-0.288609328739556</v>
      </c>
      <c r="BD241" s="255">
        <f>IF(AND(ISNUMBER(BD238),ISNUMBER(AY238)),IFERROR(BD238/AY238-1,""),"")</f>
        <v>-0.311318604204193</v>
      </c>
      <c r="BE241" s="255">
        <f>IF(AND(ISNUMBER(BE238),ISNUMBER(AZ238)),IFERROR(BE238/AZ238-1,""),"")</f>
        <v>-0.311558598382516</v>
      </c>
      <c r="BF241" s="255">
        <f>IF(AND(ISNUMBER(BF238),ISNUMBER(BA238)),IFERROR(BF238/BA238-1,""),"")</f>
        <v>-0.31051728352565</v>
      </c>
      <c r="BG241" s="255">
        <f>IF(AND(ISNUMBER(BG238),ISNUMBER(BB238)),IFERROR(BG238/BB238-1,""),"")</f>
        <v>-0.302984508020802</v>
      </c>
      <c r="BH241" s="255">
        <f>IF(AND(ISNUMBER(BH238),ISNUMBER(BC238)),IFERROR(BH238/BC238-1,""),"")</f>
        <v>0.0353352208185778</v>
      </c>
      <c r="BI241" s="255">
        <f>IF(AND(ISNUMBER(BI238),ISNUMBER(BD238)),IFERROR(BI238/BD238-1,""),"")</f>
        <v>0.0361905645129239</v>
      </c>
      <c r="BJ241" s="255">
        <f>IF(AND(ISNUMBER(BJ238),ISNUMBER(BE238)),IFERROR(BJ238/BE238-1,""),"")</f>
        <v>0.313991368286445</v>
      </c>
      <c r="BK241" s="255">
        <f>IF(AND(ISNUMBER(BK238),ISNUMBER(BF238)),IFERROR(BK238/BF238-1,""),"")</f>
        <v>0.364938517779994</v>
      </c>
      <c r="BL241" s="255">
        <f>IF(AND(ISNUMBER(BL238),ISNUMBER(BG238)),IFERROR(BL238/BG238-1,""),"")</f>
        <v>0.156088193261144</v>
      </c>
      <c r="BM241" s="255">
        <f>IF(AND(ISNUMBER(BM238),ISNUMBER(BH238)),IFERROR(BM238/BH238-1,""),"")</f>
        <v>0.127925052047189</v>
      </c>
      <c r="BN241" s="255">
        <f>IF(AND(ISNUMBER(BN238),ISNUMBER(BI238)),IFERROR(BN238/BI238-1,""),"")</f>
        <v>0.426965856683331</v>
      </c>
      <c r="BO241" s="255">
        <f>IF(AND(ISNUMBER(BO238),ISNUMBER(BJ238)),IFERROR(BO238/BJ238-1,""),"")</f>
        <v>0.319481474671325</v>
      </c>
      <c r="BP241" s="255">
        <f>IF(AND(ISNUMBER(BP238),ISNUMBER(BK238)),IFERROR(BP238/BK238-1,""),"")</f>
        <v>0.196461281922802</v>
      </c>
      <c r="BQ241" s="255">
        <f>IF(AND(ISNUMBER(BQ238),ISNUMBER(BL238)),IFERROR(BQ238/BL238-1,""),"")</f>
        <v>0.259723491450658</v>
      </c>
      <c r="BR241" s="255">
        <f>IF(AND(ISNUMBER(BR238),ISNUMBER(BM238)),IFERROR(BR238/BM238-1,""),"")</f>
        <v>0.136472151628958</v>
      </c>
      <c r="BS241" s="255">
        <f>IF(AND(ISNUMBER(BS238),ISNUMBER(BN238)),IFERROR(BS238/BN238-1,""),"")</f>
        <v>0.0832408435072143</v>
      </c>
      <c r="BT241" s="255">
        <f>IF(AND(ISNUMBER(BT238),ISNUMBER(BO238)),IFERROR(BT238/BO238-1,""),"")</f>
        <v>0.222850398796947</v>
      </c>
      <c r="BU241" s="255">
        <f>IF(AND(ISNUMBER(BU238),ISNUMBER(BP238)),IFERROR(BU238/BP238-1,""),"")</f>
        <v>0.390606998255374</v>
      </c>
      <c r="BV241" s="255">
        <f>IF(AND(ISNUMBER(BV238),ISNUMBER(BQ238)),IFERROR(BV238/BQ238-1,""),"")</f>
        <v>0.197376486034731</v>
      </c>
      <c r="BW241" s="255">
        <f>IF(AND(ISNUMBER(BW238),ISNUMBER(BR238)),IFERROR(BW238/BR238-1,""),"")</f>
        <v>0.129636421727322</v>
      </c>
      <c r="BX241" s="255">
        <f>IF(AND(ISNUMBER(BX238),ISNUMBER(BS238)),IFERROR(BX238/BS238-1,""),"")</f>
        <v>0.316647564469914</v>
      </c>
      <c r="BY241" s="256">
        <f>IF(AND(ISNUMBER(BY238),ISNUMBER(BT238)),IFERROR(BY238/BT238-1,""),"")</f>
        <v>0.0662709317420394</v>
      </c>
      <c r="BZ241" s="256">
        <f>IF(AND(ISNUMBER(BZ238),ISNUMBER(BU238)),IFERROR(BZ238/BU238-1,""),"")</f>
        <v>-0.0229383240283981</v>
      </c>
      <c r="CA241" s="256">
        <f>IF(AND(ISNUMBER(CA238),ISNUMBER(BV238)),IFERROR(CA238/BV238-1,""),"")</f>
        <v>0.12144585039077</v>
      </c>
      <c r="CB241" s="256">
        <f>IF(AND(ISNUMBER(CB238),ISNUMBER(CA238)),IFERROR(CB238/CA238-1,""),"")</f>
        <v>0.102935967282834</v>
      </c>
      <c r="CC241" s="256">
        <f>IF(AND(ISNUMBER(CC238),ISNUMBER(CB238)),IFERROR(CC238/CB238-1,""),"")</f>
        <v>0.105462920788375</v>
      </c>
      <c r="CD241" s="256">
        <f>IF(AND(ISNUMBER(CD238),ISNUMBER(CC238)),IFERROR(CD238/CC238-1,""),"")</f>
        <v>0.105450108502611</v>
      </c>
      <c r="CE241" s="256">
        <f>IF(AND(ISNUMBER(CE238),ISNUMBER(CD238)),IFERROR(CE238/CD238-1,""),"")</f>
        <v>0.101474074328265</v>
      </c>
      <c r="CF241" s="153" t="n"/>
    </row>
    <row r="242" ht="15" customHeight="1" s="251">
      <c r="B242" s="25" t="inlineStr">
        <is>
          <t xml:space="preserve">  Adjusted effective tax rate (adjusted tax ÷ adjusted pre-tax income)</t>
        </is>
      </c>
      <c r="C242" s="215">
        <f>IFERROR((C178-C234)/(C177+N(C230)+N(C231)+N(C232)+N(C233)),"")</f>
        <v>0.401189464740867</v>
      </c>
      <c r="D242" s="215">
        <f>IFERROR((D178-D234)/(D177+N(D230)+N(D231)+N(D232)+N(D233)),"")</f>
        <v>0.417845204422731</v>
      </c>
      <c r="E242" s="215">
        <f>IFERROR((E178-E234)/(E177+N(E230)+N(E231)+N(E232)+N(E233)),"")</f>
        <v>0.384349509193972</v>
      </c>
      <c r="F242" s="215">
        <f>IFERROR((F178-F234)/(F177+N(F230)+N(F231)+N(F232)+N(F233)),"")</f>
        <v>0.382552357993069</v>
      </c>
      <c r="G242" s="215">
        <f>IFERROR((G178-G234)/(G177+N(G230)+N(G231)+N(G232)+N(G233)),"")</f>
        <v>0.287753673897831</v>
      </c>
      <c r="H242" s="215">
        <f>IFERROR((H178-H234)/(H177+N(H230)+N(H231)+N(H232)+N(H233)),"")</f>
        <v>0.3200762086211</v>
      </c>
      <c r="I242" s="215">
        <f>IFERROR((I178-I234)/(I177+N(I230)+N(I231)+N(I232)+N(I233)),"")</f>
        <v>0.328873046875</v>
      </c>
      <c r="J242" s="215">
        <f>IFERROR((J178-J234)/(J177+N(J230)+N(J231)+N(J232)+N(J233)),"")</f>
        <v>0.284805389221557</v>
      </c>
      <c r="K242" s="215">
        <f>IFERROR((K178-K234)/(K177+N(K230)+N(K231)+N(K232)+N(K233)),"")</f>
        <v>0.321852731591449</v>
      </c>
      <c r="L242" s="215">
        <f>IFERROR((L178-L234)/(L177+N(L230)+N(L231)+N(L232)+N(L233)),"")</f>
        <v>0.289715370018975</v>
      </c>
      <c r="M242" s="215">
        <f>IFERROR((M178-M234)/(M177+N(M230)+N(M231)+N(M232)+N(M233)),"")</f>
        <v>0.373591782637508</v>
      </c>
      <c r="N242" s="215">
        <f>IFERROR((N178-N234)/(N177+N(N230)+N(N231)+N(N232)+N(N233)),"")</f>
        <v>0.311026245429331</v>
      </c>
      <c r="O242" s="215">
        <f>IFERROR((O178-O234)/(O177+N(O230)+N(O231)+N(O232)+N(O233)),"")</f>
        <v>0.286906290115533</v>
      </c>
      <c r="P242" s="215">
        <f>IFERROR((P178-P234)/(P177+N(P230)+N(P231)+N(P232)+N(P233)),"")</f>
        <v>0.354644351464435</v>
      </c>
      <c r="Q242" s="215">
        <f>IFERROR((Q178-Q234)/(Q177+N(Q230)+N(Q231)+N(Q232)+N(Q233)),"")</f>
        <v>0.357265529841657</v>
      </c>
      <c r="R242" s="215">
        <f>IFERROR((R178-R234)/(R177+N(R230)+N(R231)+N(R232)+N(R233)),"")</f>
        <v>0.282727814175104</v>
      </c>
      <c r="S242" s="215">
        <f>IFERROR((S178-S234)/(S177+N(S230)+N(S231)+N(S232)+N(S233)),"")</f>
        <v>0.321758945663378</v>
      </c>
      <c r="T242" s="215">
        <f>IFERROR((T178-T234)/(T177+N(T230)+N(T231)+N(T232)+N(T233)),"")</f>
        <v>0.328592162554427</v>
      </c>
      <c r="U242" s="215">
        <f>IFERROR((U178-U234)/(U177+N(U230)+N(U231)+N(U232)+N(U233)),"")</f>
        <v>0.303713080168777</v>
      </c>
      <c r="V242" s="215">
        <f>IFERROR((V178-V234)/(V177+N(V230)+N(V231)+N(V232)+N(V233)),"")</f>
        <v>0.339420838183935</v>
      </c>
      <c r="W242" s="215">
        <f>IFERROR((W178-W234)/(W177+N(W230)+N(W231)+N(W232)+N(W233)),"")</f>
        <v>0.294268331732309</v>
      </c>
      <c r="X242" s="215">
        <f>IFERROR((X178-X234)/(X177+N(X230)+N(X231)+N(X232)+N(X233)),"")</f>
        <v>0.315787184691215</v>
      </c>
      <c r="Y242" s="215">
        <f>IFERROR((Y178-Y234)/(Y177+N(Y230)+N(Y231)+N(Y232)+N(Y233)),"")</f>
        <v>0.322931785195936</v>
      </c>
      <c r="Z242" s="215">
        <f>IFERROR((Z178-Z234)/(Z177+N(Z230)+N(Z231)+N(Z232)+N(Z233)),"")</f>
        <v>0.318817629981526</v>
      </c>
      <c r="AA242" s="215">
        <f>IFERROR((AA178-AA234)/(AA177+N(AA230)+N(AA231)+N(AA232)+N(AA233)),"")</f>
        <v>0.306671966083731</v>
      </c>
      <c r="AB242" s="215">
        <f>IFERROR((AB178-AB234)/(AB177+N(AB230)+N(AB231)+N(AB232)+N(AB233)),"")</f>
        <v>1.48051169298421</v>
      </c>
      <c r="AC242" s="215">
        <f>IFERROR((AC178-AC234)/(AC177+N(AC230)+N(AC231)+N(AC232)+N(AC233)),"")</f>
        <v>-0.815366972477065</v>
      </c>
      <c r="AD242" s="215">
        <f>IFERROR((AD178-AD234)/(AD177+N(AD230)+N(AD231)+N(AD232)+N(AD233)),"")</f>
        <v>0.269152196118488</v>
      </c>
      <c r="AE242" s="215">
        <f>IFERROR((AE178-AE234)/(AE177+N(AE230)+N(AE231)+N(AE232)+N(AE233)),"")</f>
        <v>0.37067861715749</v>
      </c>
      <c r="AF242" s="215">
        <f>IFERROR((AF178-AF234)/(AF177+N(AF230)+N(AF231)+N(AF232)+N(AF233)),"")</f>
        <v>0.374658541710443</v>
      </c>
      <c r="AG242" s="215">
        <f>IFERROR((AG178-AG234)/(AG177+N(AG230)+N(AG231)+N(AG232)+N(AG233)),"")</f>
        <v>0.310717633193203</v>
      </c>
      <c r="AH242" s="215">
        <f>IFERROR((AH178-AH234)/(AH177+N(AH230)+N(AH231)+N(AH232)+N(AH233)),"")</f>
        <v>0.313647154189103</v>
      </c>
      <c r="AI242" s="215">
        <f>IFERROR((AI178-AI234)/(AI177+N(AI230)+N(AI231)+N(AI232)+N(AI233)),"")</f>
        <v>0.150556030795552</v>
      </c>
      <c r="AJ242" s="215">
        <f>IFERROR((AJ178-AJ234)/(AJ177+N(AJ230)+N(AJ231)+N(AJ232)+N(AJ233)),"")</f>
        <v>0.236509758897818</v>
      </c>
      <c r="AK242" s="215">
        <f>IFERROR((AK178-AK234)/(AK177+N(AK230)+N(AK231)+N(AK232)+N(AK233)),"")</f>
        <v>0.245042170047869</v>
      </c>
      <c r="AL242" s="215">
        <f>IFERROR((AL178-AL234)/(AL177+N(AL230)+N(AL231)+N(AL232)+N(AL233)),"")</f>
        <v>0.205089820359281</v>
      </c>
      <c r="AM242" s="215">
        <f>IFERROR((AM178-AM234)/(AM177+N(AM230)+N(AM231)+N(AM232)+N(AM233)),"")</f>
        <v>0.209706509263814</v>
      </c>
      <c r="AN242" s="215">
        <f>IFERROR((AN178-AN234)/(AN177+N(AN230)+N(AN231)+N(AN232)+N(AN233)),"")</f>
        <v>0.102742805755396</v>
      </c>
      <c r="AO242" s="215">
        <f>IFERROR((AO178-AO234)/(AO177+N(AO230)+N(AO231)+N(AO232)+N(AO233)),"")</f>
        <v>0.240648854961832</v>
      </c>
      <c r="AP242" s="215">
        <f>IFERROR((AP178-AP234)/(AP177+N(AP230)+N(AP231)+N(AP232)+N(AP233)),"")</f>
        <v>0.25216606498195</v>
      </c>
      <c r="AQ242" s="215">
        <f>IFERROR((AQ178-AQ234)/(AQ177+N(AQ230)+N(AQ231)+N(AQ232)+N(AQ233)),"")</f>
        <v>0.20703933747412</v>
      </c>
      <c r="AR242" s="215">
        <f>IFERROR((AR178-AR234)/(AR177+N(AR230)+N(AR231)+N(AR232)+N(AR233)),"")</f>
        <v>0.204885343968096</v>
      </c>
      <c r="AS242" s="215">
        <f>IFERROR((AS178-AS234)/(AS177+N(AS230)+N(AS231)+N(AS232)+N(AS233)),"")</f>
        <v>0.138333333333333</v>
      </c>
      <c r="AT242" s="215">
        <f>IFERROR((AT178-AT234)/(AT177+N(AT230)+N(AT231)+N(AT232)+N(AT233)),"")</f>
        <v>0.234532374100719</v>
      </c>
      <c r="AU242" s="215">
        <f>IFERROR((AU178-AU234)/(AU177+N(AU230)+N(AU231)+N(AU232)+N(AU233)),"")</f>
        <v>0.22052067381317</v>
      </c>
      <c r="AV242" s="215">
        <f>IFERROR((AV178-AV234)/(AV177+N(AV230)+N(AV231)+N(AV232)+N(AV233)),"")</f>
        <v>0.219827586206897</v>
      </c>
      <c r="AW242" s="215">
        <f>IFERROR((AW178-AW234)/(AW177+N(AW230)+N(AW231)+N(AW232)+N(AW233)),"")</f>
        <v>0.203980099502488</v>
      </c>
      <c r="AX242" s="215">
        <f>IFERROR((AX178-AX234)/(AX177+N(AX230)+N(AX231)+N(AX232)+N(AX233)),"")</f>
        <v>0.149054505005562</v>
      </c>
      <c r="AY242" s="215">
        <f>IFERROR((AY178-AY234)/(AY177+N(AY230)+N(AY231)+N(AY232)+N(AY233)),"")</f>
        <v>0.238035264483627</v>
      </c>
      <c r="AZ242" s="215">
        <f>IFERROR((AZ178-AZ234)/(AZ177+N(AZ230)+N(AZ231)+N(AZ232)+N(AZ233)),"")</f>
        <v>0.233231707317073</v>
      </c>
      <c r="BA242" s="215">
        <f>IFERROR((BA178-BA234)/(BA177+N(BA230)+N(BA231)+N(BA232)+N(BA233)),"")</f>
        <v>0.174242424242424</v>
      </c>
      <c r="BB242" s="215">
        <f>IFERROR((BB178-BB234)/(BB177+N(BB230)+N(BB231)+N(BB232)+N(BB233)),"")</f>
        <v>0.197427876259993</v>
      </c>
      <c r="BC242" s="215">
        <f>IFERROR((BC178-BC234)/(BC177+N(BC230)+N(BC231)+N(BC232)+N(BC233)),"")</f>
        <v>0.186363636363636</v>
      </c>
      <c r="BD242" s="215">
        <f>IFERROR((BD178-BD234)/(BD177+N(BD230)+N(BD231)+N(BD232)+N(BD233)),"")</f>
        <v>0.247706422018349</v>
      </c>
      <c r="BE242" s="215">
        <f>IFERROR((BE178-BE234)/(BE177+N(BE230)+N(BE231)+N(BE232)+N(BE233)),"")</f>
        <v>0.209302325581395</v>
      </c>
      <c r="BF242" s="215">
        <f>IFERROR((BF178-BF234)/(BF177+N(BF230)+N(BF231)+N(BF232)+N(BF233)),"")</f>
        <v>0.241645244215938</v>
      </c>
      <c r="BG242" s="215">
        <f>IFERROR((BG178-BG234)/(BG177+N(BG230)+N(BG231)+N(BG232)+N(BG233)),"")</f>
        <v>0.218379446640316</v>
      </c>
      <c r="BH242" s="215">
        <f>IFERROR((BH178-BH234)/(BH177+N(BH230)+N(BH231)+N(BH232)+N(BH233)),"")</f>
        <v>0.0367775831873905</v>
      </c>
      <c r="BI242" s="215">
        <f>IFERROR((BI178-BI234)/(BI177+N(BI230)+N(BI231)+N(BI232)+N(BI233)),"")</f>
        <v>0.233695652173913</v>
      </c>
      <c r="BJ242" s="215">
        <f>IFERROR((BJ178-BJ234)/(BJ177+N(BJ230)+N(BJ231)+N(BJ232)+N(BJ233)),"")</f>
        <v>0.204262877442274</v>
      </c>
      <c r="BK242" s="215">
        <f>IFERROR((BK178-BK234)/(BK177+N(BK230)+N(BK231)+N(BK232)+N(BK233)),"")</f>
        <v>0.247191011235955</v>
      </c>
      <c r="BL242" s="215">
        <f>IFERROR((BL178-BL234)/(BL177+N(BL230)+N(BL231)+N(BL232)+N(BL233)),"")</f>
        <v>0.178828828828829</v>
      </c>
      <c r="BM242" s="215">
        <f>IFERROR((BM178-BM234)/(BM177+N(BM230)+N(BM231)+N(BM232)+N(BM233)),"")</f>
        <v>0.233250620347395</v>
      </c>
      <c r="BN242" s="215">
        <f>IFERROR((BN178-BN234)/(BN177+N(BN230)+N(BN231)+N(BN232)+N(BN233)),"")</f>
        <v>0.233418367346939</v>
      </c>
      <c r="BO242" s="215">
        <f>IFERROR((BO178-BO234)/(BO177+N(BO230)+N(BO231)+N(BO232)+N(BO233)),"")</f>
        <v>0.23828125</v>
      </c>
      <c r="BP242" s="215">
        <f>IFERROR((BP178-BP234)/(BP177+N(BP230)+N(BP231)+N(BP232)+N(BP233)),"")</f>
        <v>0.249211356466877</v>
      </c>
      <c r="BQ242" s="215">
        <f>IFERROR((BQ178-BQ234)/(BQ177+N(BQ230)+N(BQ231)+N(BQ232)+N(BQ233)),"")</f>
        <v>0.237967914438503</v>
      </c>
      <c r="BR242" s="215">
        <f>IFERROR((BR178-BR234)/(BR177+N(BR230)+N(BR231)+N(BR232)+N(BR233)),"")</f>
        <v>0.224215246636771</v>
      </c>
      <c r="BS242" s="215">
        <f>IFERROR((BS178-BS234)/(BS177+N(BS230)+N(BS231)+N(BS232)+N(BS233)),"")</f>
        <v>0.250292397660819</v>
      </c>
      <c r="BT242" s="215">
        <f>IFERROR((BT178-BT234)/(BT177+N(BT230)+N(BT231)+N(BT232)+N(BT233)),"")</f>
        <v>0.253177966101695</v>
      </c>
      <c r="BU242" s="215">
        <f>IFERROR((BU178-BU234)/(BU177+N(BU230)+N(BU231)+N(BU232)+N(BU233)),"")</f>
        <v>0.123655913978495</v>
      </c>
      <c r="BV242" s="215">
        <f>IFERROR((BV178-BV234)/(BV177+N(BV230)+N(BV231)+N(BV232)+N(BV233)),"")</f>
        <v>0.21688500727802</v>
      </c>
      <c r="BW242" s="215">
        <f>IFERROR((BW178-BW234)/(BW177+N(BW230)+N(BW231)+N(BW232)+N(BW233)),"")</f>
        <v>0.235294117647059</v>
      </c>
      <c r="BX242" s="215">
        <f>IFERROR((BX178-BX234)/(BX177+N(BX230)+N(BX231)+N(BX232)+N(BX233)),"")</f>
        <v>0.240706319702602</v>
      </c>
      <c r="BY242" s="256">
        <f>IFERROR((BY178-BY234)/(BY177+N(BY230)+N(BY231)+N(BY232)+N(BY233)),"")</f>
        <v>0.24</v>
      </c>
      <c r="BZ242" s="256">
        <f>IFERROR((BZ178-BZ234)/(BZ177+N(BZ230)+N(BZ231)+N(BZ232)+N(BZ233)),"")</f>
        <v>0.24</v>
      </c>
      <c r="CA242" s="256">
        <f>IFERROR((CA178-CA234)/(CA177+N(CA230)+N(CA231)+N(CA232)+N(CA233)),"")</f>
        <v>0.238969684259024</v>
      </c>
      <c r="CB242" s="256">
        <f>IFERROR((CB178-CB234)/(CB177+N(CB230)+N(CB231)+N(CB232)+N(CB233)),"")</f>
        <v>0.24</v>
      </c>
      <c r="CC242" s="256">
        <f>IFERROR((CC178-CC234)/(CC177+N(CC230)+N(CC231)+N(CC232)+N(CC233)),"")</f>
        <v>0.24</v>
      </c>
      <c r="CD242" s="256">
        <f>IFERROR((CD178-CD234)/(CD177+N(CD230)+N(CD231)+N(CD232)+N(CD233)),"")</f>
        <v>0.24</v>
      </c>
      <c r="CE242" s="256">
        <f>IFERROR((CE178-CE234)/(CE177+N(CE230)+N(CE231)+N(CE232)+N(CE233)),"")</f>
        <v>0.24</v>
      </c>
      <c r="CF242" s="153" t="n"/>
      <c r="CH242" s="37">
        <f>IFERROR(AVERAGE(CA242,CB242,CC242,CD242,CE242),"n/m")</f>
        <v>0.239793936851805</v>
      </c>
      <c r="CI242" s="37">
        <f>IFERROR(AVERAGE(BB242,BG242,BL242,BQ242,BV242),"n/m")</f>
        <v>0.209897814689132</v>
      </c>
      <c r="CJ242" s="37">
        <f>IFERROR(AVERAGE(AC242,AH242,AM242,AR242,AW242,BB242,BG242,BL242,BQ242,BV242),"n/m")</f>
        <v>0.11663412078921</v>
      </c>
      <c r="CK242" s="37">
        <f>IFERROR(AVERAGE(C242,D242,E242,F242,G242,H242,I242,N242,S242,X242,AC242,AH242,AM242,AR242,AW242,BB242,BG242,BL242,BQ242,BV242),"n/m")</f>
        <v>0.231877652471029</v>
      </c>
    </row>
    <row r="243" ht="15" customHeight="1" s="251">
      <c r="B243" s="158" t="inlineStr">
        <is>
          <t xml:space="preserve">  Definition / basis (company adjusted EPS definition)</t>
        </is>
      </c>
      <c r="C243" s="285" t="inlineStr">
        <is>
          <t>2006–15: non-GAAP EPS published when items existed (building-sale gain 2006; restructuring and legacy tax 2007–12; ICRA gain 2014; litigation Q4-13) — adjusted = GAAP where none published (flag)</t>
        </is>
      </c>
      <c r="J243" s="159" t="n"/>
      <c r="AA243" s="285" t="inlineStr">
        <is>
          <t>Q3-16+: adjusted EPS excludes restructuring; Q4-16 the settlement charge and an FX gain</t>
        </is>
      </c>
      <c r="AD243" s="285" t="inlineStr">
        <is>
          <t>2017: CCXI gain, purchase-price hedge gain and acquisition-related expenses excluded; acquired-intangible amortization excluded from Q3-17 (2016 recast later, not applied)</t>
        </is>
      </c>
      <c r="AG243" s="285" t="inlineStr">
        <is>
          <t>Q4-17 / 2018: US Tax Act items excluded</t>
        </is>
      </c>
      <c r="AJ243" s="159" t="n"/>
      <c r="AN243" s="159" t="n"/>
      <c r="BA243" s="159" t="n"/>
      <c r="BD243" s="285" t="inlineStr">
        <is>
          <t>2022: Russia exit (FX translation) and the Q4-22 debt-buyback gain excluded</t>
        </is>
      </c>
      <c r="BM243" s="159" t="n"/>
      <c r="BT243" s="159" t="n"/>
      <c r="BU243" s="285" t="inlineStr">
        <is>
          <t>Q4-25 / 2026: gains on business divestitures (Learning / Regulatory Solutions) and the international non-income tax reserve excluded</t>
        </is>
      </c>
      <c r="BY243" s="153" t="n"/>
      <c r="BZ243" s="153" t="n"/>
      <c r="CA243" s="153" t="n"/>
      <c r="CB243" s="153" t="n"/>
      <c r="CC243" s="153" t="n"/>
      <c r="CD243" s="153" t="n"/>
      <c r="CE243" s="153" t="n"/>
      <c r="CF243" s="19" t="n"/>
    </row>
    <row r="244" ht="15" customHeight="1" s="251">
      <c r="CN244" s="11" t="n"/>
      <c r="CO244" s="12" t="n"/>
      <c r="CP244" s="12" t="n"/>
      <c r="CQ244" s="12" t="n"/>
      <c r="CR244" s="13" t="n"/>
    </row>
    <row r="245" ht="15" customHeight="1" s="251">
      <c r="B245" s="10" t="inlineStr">
        <is>
          <t>GROWTH &amp; MARGINS</t>
        </is>
      </c>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c r="AF245" s="10" t="n"/>
      <c r="AG245" s="10" t="n"/>
      <c r="AH245" s="10" t="n"/>
      <c r="AI245" s="10" t="n"/>
      <c r="AJ245" s="10" t="n"/>
      <c r="AK245" s="10" t="n"/>
      <c r="AL245" s="10" t="n"/>
      <c r="AM245" s="10" t="n"/>
      <c r="AN245" s="10" t="n"/>
      <c r="AO245" s="10" t="n"/>
      <c r="AP245" s="10" t="n"/>
      <c r="AQ245" s="10" t="n"/>
      <c r="AR245" s="10" t="n"/>
      <c r="AS245" s="10" t="n"/>
      <c r="AT245" s="10" t="n"/>
      <c r="AU245" s="10" t="n"/>
      <c r="AV245" s="10" t="n"/>
      <c r="AW245" s="10" t="n"/>
      <c r="AX245" s="10" t="n"/>
      <c r="AY245" s="10" t="n"/>
      <c r="AZ245" s="10" t="n"/>
      <c r="BA245" s="10" t="n"/>
      <c r="BB245" s="10" t="n"/>
      <c r="BC245" s="10" t="n"/>
      <c r="BD245" s="10" t="n"/>
      <c r="BE245" s="10" t="n"/>
      <c r="BF245" s="10" t="n"/>
      <c r="BG245" s="10" t="n"/>
      <c r="BH245" s="10" t="n"/>
      <c r="BI245" s="10" t="n"/>
      <c r="BJ245" s="10" t="n"/>
      <c r="BK245" s="10" t="n"/>
      <c r="BL245" s="10" t="n"/>
      <c r="BM245" s="10" t="n"/>
      <c r="BN245" s="10" t="n"/>
      <c r="BO245" s="10" t="n"/>
      <c r="BP245" s="10" t="n"/>
      <c r="BQ245" s="10" t="n"/>
      <c r="BR245" s="10" t="n"/>
      <c r="BS245" s="10" t="n"/>
      <c r="BT245" s="10" t="n"/>
      <c r="BU245" s="10" t="n"/>
      <c r="BV245" s="10" t="n"/>
      <c r="BW245" s="10" t="n"/>
      <c r="BX245" s="10" t="n"/>
      <c r="BY245" s="10" t="n"/>
      <c r="BZ245" s="10" t="n"/>
      <c r="CA245" s="10" t="n"/>
      <c r="CB245" s="10" t="n"/>
      <c r="CC245" s="10" t="n"/>
      <c r="CD245" s="10" t="n"/>
      <c r="CE245" s="10" t="n"/>
      <c r="CF245" s="10" t="inlineStr">
        <is>
          <t>GROWTH &amp; MARGINS (consolidated) — forecast outputs</t>
        </is>
      </c>
    </row>
    <row r="246" ht="15" customHeight="1" s="251">
      <c r="B246" s="22" t="inlineStr">
        <is>
          <t xml:space="preserve">  Revenue y/y %</t>
        </is>
      </c>
      <c r="D246" s="255">
        <f>IF(AND(ISNUMBER(D163),ISNUMBER(C163)),IFERROR(D163/C163-1,""),"")</f>
        <v>0.108929360365225</v>
      </c>
      <c r="E246" s="255">
        <f>IF(AND(ISNUMBER(E163),ISNUMBER(D163)),IFERROR(E163/D163-1,""),"")</f>
        <v>-0.222930500221337</v>
      </c>
      <c r="F246" s="255">
        <f>IF(AND(ISNUMBER(F163),ISNUMBER(E163)),IFERROR(F163/E163-1,""),"")</f>
        <v>0.0238122365272873</v>
      </c>
      <c r="G246" s="255">
        <f>IF(AND(ISNUMBER(G163),ISNUMBER(F163)),IFERROR(G163/F163-1,""),"")</f>
        <v>0.130647674159804</v>
      </c>
      <c r="H246" s="255">
        <f>IF(AND(ISNUMBER(H163),ISNUMBER(G163)),IFERROR(H163/G163-1,""),"")</f>
        <v>0.122391732283464</v>
      </c>
      <c r="I246" s="255">
        <f>IF(AND(ISNUMBER(I163),ISNUMBER(H163)),IFERROR(I163/H163-1,""),"")</f>
        <v>0.197132459332661</v>
      </c>
      <c r="N246" s="255">
        <f>IF(AND(ISNUMBER(N163),ISNUMBER(I163)),IFERROR(N163/I163-1,""),"")</f>
        <v>0.0887082005640405</v>
      </c>
      <c r="O246" s="255">
        <f>IF(AND(ISNUMBER(O163),ISNUMBER(J163)),IFERROR(O163/J163-1,""),"")</f>
        <v>0.0483738726427987</v>
      </c>
      <c r="P246" s="255">
        <f>IF(AND(ISNUMBER(P163),ISNUMBER(K163)),IFERROR(P163/K163-1,""),"")</f>
        <v>0.15542328042328</v>
      </c>
      <c r="Q246" s="255">
        <f>IF(AND(ISNUMBER(Q163),ISNUMBER(L163)),IFERROR(Q163/L163-1,""),"")</f>
        <v>0.156768249468462</v>
      </c>
      <c r="R246" s="255">
        <f>IF(AND(ISNUMBER(R163),ISNUMBER(M163)),IFERROR(R163/M163-1,""),"")</f>
        <v>0.126155030800821</v>
      </c>
      <c r="S246" s="255">
        <f>IF(AND(ISNUMBER(S163),ISNUMBER(N163)),IFERROR(S163/N163-1,""),"")</f>
        <v>0.121715727502103</v>
      </c>
      <c r="T246" s="255">
        <f>IF(AND(ISNUMBER(T163),ISNUMBER(O163)),IFERROR(T163/O163-1,""),"")</f>
        <v>0.128258602711157</v>
      </c>
      <c r="U246" s="255">
        <f>IF(AND(ISNUMBER(U163),ISNUMBER(P163)),IFERROR(U163/P163-1,""),"")</f>
        <v>0.0510589582140812</v>
      </c>
      <c r="V246" s="255">
        <f>IF(AND(ISNUMBER(V163),ISNUMBER(Q163)),IFERROR(V163/Q163-1,""),"")</f>
        <v>0.0230363925989461</v>
      </c>
      <c r="W246" s="255">
        <f>IF(AND(ISNUMBER(W163),ISNUMBER(R163)),IFERROR(W163/R163-1,""),"")</f>
        <v>-0.0132193732193733</v>
      </c>
      <c r="X246" s="255">
        <f>IF(AND(ISNUMBER(X163),ISNUMBER(S163)),IFERROR(X163/S163-1,""),"")</f>
        <v>0.0450469363884474</v>
      </c>
      <c r="Y246" s="255">
        <f>IF(AND(ISNUMBER(Y163),ISNUMBER(T163)),IFERROR(Y163/T163-1,""),"")</f>
        <v>-0.0571857670979667</v>
      </c>
      <c r="Z246" s="255">
        <f>IF(AND(ISNUMBER(Z163),ISNUMBER(U163)),IFERROR(Z163/U163-1,""),"")</f>
        <v>0.011763424463566</v>
      </c>
      <c r="AA246" s="255">
        <f>IF(AND(ISNUMBER(AA163),ISNUMBER(V163)),IFERROR(AA163/V163-1,""),"")</f>
        <v>0.0984549047790155</v>
      </c>
      <c r="AB246" s="255">
        <f>IF(AND(ISNUMBER(AB163),ISNUMBER(W163)),IFERROR(AB163/W163-1,""),"")</f>
        <v>0.0880009238942141</v>
      </c>
      <c r="AC246" s="255">
        <f>IF(AND(ISNUMBER(AC163),ISNUMBER(X163)),IFERROR(AC163/X163-1,""),"")</f>
        <v>0.0343521308652603</v>
      </c>
      <c r="AD246" s="255">
        <f>IF(AND(ISNUMBER(AD163),ISNUMBER(Y163)),IFERROR(AD163/Y163-1,""),"")</f>
        <v>0.194951599068742</v>
      </c>
      <c r="AE246" s="255">
        <f>IF(AND(ISNUMBER(AE163),ISNUMBER(Z163)),IFERROR(AE163/Z163-1,""),"")</f>
        <v>0.0770804176983528</v>
      </c>
      <c r="AF246" s="255">
        <f>IF(AND(ISNUMBER(AF163),ISNUMBER(AA163)),IFERROR(AF163/AA163-1,""),"")</f>
        <v>0.158979391560353</v>
      </c>
      <c r="AG246" s="255">
        <f>IF(AND(ISNUMBER(AG163),ISNUMBER(AB163)),IFERROR(AG163/AB163-1,""),"")</f>
        <v>0.237129816367689</v>
      </c>
      <c r="AH246" s="255">
        <f>IF(AND(ISNUMBER(AH163),ISNUMBER(AC163)),IFERROR(AH163/AC163-1,""),"")</f>
        <v>0.166444703401587</v>
      </c>
      <c r="AI246" s="255">
        <f>IF(AND(ISNUMBER(AI163),ISNUMBER(AD163)),IFERROR(AI163/AD163-1,""),"")</f>
        <v>0.155352748154225</v>
      </c>
      <c r="AJ246" s="255">
        <f>IF(AND(ISNUMBER(AJ163),ISNUMBER(AE163)),IFERROR(AJ163/AE163-1,""),"")</f>
        <v>0.174512743628186</v>
      </c>
      <c r="AK246" s="255">
        <f>IF(AND(ISNUMBER(AK163),ISNUMBER(AF163)),IFERROR(AK163/AF163-1,""),"")</f>
        <v>0.0168407187882207</v>
      </c>
      <c r="AL246" s="255">
        <f>IF(AND(ISNUMBER(AL163),ISNUMBER(AG163)),IFERROR(AL163/AG163-1,""),"")</f>
        <v>-0.0904332904332905</v>
      </c>
      <c r="AM246" s="255">
        <f>IF(AND(ISNUMBER(AM163),ISNUMBER(AH163)),IFERROR(AM163/AH163-1,""),"")</f>
        <v>0.0567541209771412</v>
      </c>
      <c r="AN246" s="255">
        <f>IF(AND(ISNUMBER(AN163),ISNUMBER(AI163)),IFERROR(AN163/AI163-1,""),"")</f>
        <v>0.0136682346676134</v>
      </c>
      <c r="AO246" s="255">
        <f>IF(AND(ISNUMBER(AO163),ISNUMBER(AJ163)),IFERROR(AO163/AJ163-1,""),"")</f>
        <v>0.0327631690919923</v>
      </c>
      <c r="AP246" s="255">
        <f>IF(AND(ISNUMBER(AP163),ISNUMBER(AK163)),IFERROR(AP163/AK163-1,""),"")</f>
        <v>0.147760917838638</v>
      </c>
      <c r="AQ246" s="255">
        <f>IF(AND(ISNUMBER(AQ163),ISNUMBER(AL163)),IFERROR(AQ163/AL163-1,""),"")</f>
        <v>0.163097820960287</v>
      </c>
      <c r="AR246" s="255">
        <f>IF(AND(ISNUMBER(AR163),ISNUMBER(AM163)),IFERROR(AR163/AM163-1,""),"")</f>
        <v>0.0869516285141918</v>
      </c>
      <c r="AS246" s="255">
        <f>IF(AND(ISNUMBER(AS163),ISNUMBER(AN163)),IFERROR(AS163/AN163-1,""),"")</f>
        <v>0.12949829261886</v>
      </c>
      <c r="AT246" s="255">
        <f>IF(AND(ISNUMBER(AT163),ISNUMBER(AO163)),IFERROR(AT163/AO163-1,""),"")</f>
        <v>0.182432432432432</v>
      </c>
      <c r="AU246" s="255">
        <f>IF(AND(ISNUMBER(AU163),ISNUMBER(AP163)),IFERROR(AU163/AP163-1,""),"")</f>
        <v>0.0931076178960097</v>
      </c>
      <c r="AV246" s="255">
        <f>IF(AND(ISNUMBER(AV163),ISNUMBER(AQ163)),IFERROR(AV163/AQ163-1,""),"")</f>
        <v>0.0462287104622872</v>
      </c>
      <c r="AW246" s="255">
        <f>IF(AND(ISNUMBER(AW163),ISNUMBER(AR163)),IFERROR(AW163/AR163-1,""),"")</f>
        <v>0.112238558707807</v>
      </c>
      <c r="AX246" s="255">
        <f>IF(AND(ISNUMBER(AX163),ISNUMBER(AS163)),IFERROR(AX163/AS163-1,""),"")</f>
        <v>0.24031007751938</v>
      </c>
      <c r="AY246" s="255">
        <f>IF(AND(ISNUMBER(AY163),ISNUMBER(AT163)),IFERROR(AY163/AT163-1,""),"")</f>
        <v>0.0822299651567944</v>
      </c>
      <c r="AZ246" s="255">
        <f>IF(AND(ISNUMBER(AZ163),ISNUMBER(AU163)),IFERROR(AZ163/AU163-1,""),"")</f>
        <v>0.125368731563422</v>
      </c>
      <c r="BA246" s="255">
        <f>IF(AND(ISNUMBER(BA163),ISNUMBER(AV163)),IFERROR(BA163/AV163-1,""),"")</f>
        <v>0.193023255813954</v>
      </c>
      <c r="BB246" s="255">
        <f>IF(AND(ISNUMBER(BB163),ISNUMBER(AW163)),IFERROR(BB163/AW163-1,""),"")</f>
        <v>0.157698752560045</v>
      </c>
      <c r="BC246" s="255">
        <f>IF(AND(ISNUMBER(BC163),ISNUMBER(AX163)),IFERROR(BC163/AX163-1,""),"")</f>
        <v>-0.04875</v>
      </c>
      <c r="BD246" s="255">
        <f>IF(AND(ISNUMBER(BD163),ISNUMBER(AY163)),IFERROR(BD163/AY163-1,""),"")</f>
        <v>-0.110753380553767</v>
      </c>
      <c r="BE246" s="255">
        <f>IF(AND(ISNUMBER(BE163),ISNUMBER(AZ163)),IFERROR(BE163/AZ163-1,""),"")</f>
        <v>-0.164482306684142</v>
      </c>
      <c r="BF246" s="255">
        <f>IF(AND(ISNUMBER(BF163),ISNUMBER(BA163)),IFERROR(BF163/BA163-1,""),"")</f>
        <v>-0.161793372319688</v>
      </c>
      <c r="BG246" s="255">
        <f>IF(AND(ISNUMBER(BG163),ISNUMBER(BB163)),IFERROR(BG163/BB163-1,""),"")</f>
        <v>-0.120617561917015</v>
      </c>
      <c r="BH246" s="255">
        <f>IF(AND(ISNUMBER(BH163),ISNUMBER(BC163)),IFERROR(BH163/BC163-1,""),"")</f>
        <v>-0.0341655716162943</v>
      </c>
      <c r="BI246" s="255">
        <f>IF(AND(ISNUMBER(BI163),ISNUMBER(BD163)),IFERROR(BI163/BD163-1,""),"")</f>
        <v>0.0818247646632875</v>
      </c>
      <c r="BJ246" s="255">
        <f>IF(AND(ISNUMBER(BJ163),ISNUMBER(BE163)),IFERROR(BJ163/BE163-1,""),"")</f>
        <v>0.154509803921569</v>
      </c>
      <c r="BK246" s="255">
        <f>IF(AND(ISNUMBER(BK163),ISNUMBER(BF163)),IFERROR(BK163/BF163-1,""),"")</f>
        <v>0.147286821705426</v>
      </c>
      <c r="BL246" s="255">
        <f>IF(AND(ISNUMBER(BL163),ISNUMBER(BG163)),IFERROR(BL163/BG163-1,""),"")</f>
        <v>0.0819312362838331</v>
      </c>
      <c r="BM246" s="255">
        <f>IF(AND(ISNUMBER(BM163),ISNUMBER(BH163)),IFERROR(BM163/BH163-1,""),"")</f>
        <v>0.214965986394558</v>
      </c>
      <c r="BN246" s="255">
        <f>IF(AND(ISNUMBER(BN163),ISNUMBER(BI163)),IFERROR(BN163/BI163-1,""),"")</f>
        <v>0.21619812583668</v>
      </c>
      <c r="BO246" s="255">
        <f>IF(AND(ISNUMBER(BO163),ISNUMBER(BJ163)),IFERROR(BO163/BJ163-1,""),"")</f>
        <v>0.231657608695652</v>
      </c>
      <c r="BP246" s="255">
        <f>IF(AND(ISNUMBER(BP163),ISNUMBER(BK163)),IFERROR(BP163/BK163-1,""),"")</f>
        <v>0.12972972972973</v>
      </c>
      <c r="BQ246" s="255">
        <f>IF(AND(ISNUMBER(BQ163),ISNUMBER(BL163)),IFERROR(BQ163/BL163-1,""),"")</f>
        <v>0.198106828938472</v>
      </c>
      <c r="BR246" s="255">
        <f>IF(AND(ISNUMBER(BR163),ISNUMBER(BM163)),IFERROR(BR163/BM163-1,""),"")</f>
        <v>0.0772676371780514</v>
      </c>
      <c r="BS246" s="255">
        <f>IF(AND(ISNUMBER(BS163),ISNUMBER(BN163)),IFERROR(BS163/BN163-1,""),"")</f>
        <v>0.0445789763346176</v>
      </c>
      <c r="BT246" s="255">
        <f>IF(AND(ISNUMBER(BT163),ISNUMBER(BO163)),IFERROR(BT163/BO163-1,""),"")</f>
        <v>0.107004964147821</v>
      </c>
      <c r="BU246" s="255">
        <f>IF(AND(ISNUMBER(BU163),ISNUMBER(BP163)),IFERROR(BU163/BP163-1,""),"")</f>
        <v>0.129784688995215</v>
      </c>
      <c r="BV246" s="255">
        <f>IF(AND(ISNUMBER(BV163),ISNUMBER(BQ163)),IFERROR(BV163/BQ163-1,""),"")</f>
        <v>0.0888826185101581</v>
      </c>
      <c r="BW246" s="255">
        <f>IF(AND(ISNUMBER(BW163),ISNUMBER(BR163)),IFERROR(BW163/BR163-1,""),"")</f>
        <v>0.0805613305613306</v>
      </c>
      <c r="BX246" s="255">
        <f>IF(AND(ISNUMBER(BX163),ISNUMBER(BS163)),IFERROR(BX163/BS163-1,""),"")</f>
        <v>0.151211801896733</v>
      </c>
      <c r="BY246" s="256">
        <f>IF(AND(ISNUMBER(BY163),ISNUMBER(BT163)),IFERROR(BY163/BT163-1,""),"")</f>
        <v>0.0164889791846736</v>
      </c>
      <c r="BZ246" s="256">
        <f>IF(AND(ISNUMBER(BZ163),ISNUMBER(BU163)),IFERROR(BZ163/BU163-1,""),"")</f>
        <v>0.0181983159218424</v>
      </c>
      <c r="CA246" s="256">
        <f>IF(AND(ISNUMBER(CA163),ISNUMBER(BV163)),IFERROR(CA163/BV163-1,""),"")</f>
        <v>0.066010624514123</v>
      </c>
      <c r="CB246" s="256">
        <f>IF(AND(ISNUMBER(CB163),ISNUMBER(CA163)),IFERROR(CB163/CA163-1,""),"")</f>
        <v>0.0720722323226337</v>
      </c>
      <c r="CC246" s="256">
        <f>IF(AND(ISNUMBER(CC163),ISNUMBER(CB163)),IFERROR(CC163/CB163-1,""),"")</f>
        <v>0.0678860089184292</v>
      </c>
      <c r="CD246" s="256">
        <f>IF(AND(ISNUMBER(CD163),ISNUMBER(CC163)),IFERROR(CD163/CC163-1,""),"")</f>
        <v>0.0645494566905103</v>
      </c>
      <c r="CE246" s="256">
        <f>IF(AND(ISNUMBER(CE163),ISNUMBER(CD163)),IFERROR(CE163/CD163-1,""),"")</f>
        <v>0.060084175276836</v>
      </c>
      <c r="CF246" s="153" t="n"/>
      <c r="CH246" s="37">
        <f>IFERROR(AVERAGE(CA246,CB246,CC246,CD246,CE246),"n/m")</f>
        <v>0.0661204995445064</v>
      </c>
      <c r="CI246" s="37">
        <f>IFERROR(AVERAGE(BB246,BG246,BL246,BQ246,BV246),"n/m")</f>
        <v>0.0812003748750985</v>
      </c>
      <c r="CJ246" s="37">
        <f>IFERROR(AVERAGE(AC246,AH246,AM246,AR246,AW246,BB246,BG246,BL246,BQ246,BV246),"n/m")</f>
        <v>0.086274301684148</v>
      </c>
      <c r="CK246" s="37">
        <f>IFERROR(AVERAGE(C246,D246,E246,F246,G246,H246,I246,N246,S246,X246,AC246,AH246,AM246,AR246,AW246,BB246,BG246,BL246,BQ246,BV246),"n/m")</f>
        <v>0.0777998338812198</v>
      </c>
    </row>
    <row r="247" ht="15" customHeight="1" s="251">
      <c r="B247" s="22" t="inlineStr">
        <is>
          <t xml:space="preserve">  MIS revenue y/y %</t>
        </is>
      </c>
      <c r="D247" s="255">
        <f>IF(AND(ISNUMBER(D27),ISNUMBER(C27)),IFERROR(D27/C27-1,""),"")</f>
        <v>0.0854372484449322</v>
      </c>
      <c r="E247" s="255">
        <f>IF(AND(ISNUMBER(E27),ISNUMBER(D27)),IFERROR(E27/D27-1,""),"")</f>
        <v>-0.323164222709141</v>
      </c>
      <c r="F247" s="255">
        <f>IF(AND(ISNUMBER(F27),ISNUMBER(E27)),IFERROR(F27/E27-1,""),"")</f>
        <v>0.010791068315763</v>
      </c>
      <c r="G247" s="255">
        <f>IF(AND(ISNUMBER(G27),ISNUMBER(F27)),IFERROR(G27/F27-1,""),"")</f>
        <v>0.153814568448715</v>
      </c>
      <c r="H247" s="255">
        <f>IF(AND(ISNUMBER(H27),ISNUMBER(G27)),IFERROR(H27/G27-1,""),"")</f>
        <v>0.116654804270462</v>
      </c>
      <c r="I247" s="255">
        <f>IF(AND(ISNUMBER(I27),ISNUMBER(H27)),IFERROR(I27/H27-1,""),"")</f>
        <v>0.202626043724903</v>
      </c>
      <c r="N247" s="255">
        <f>IF(AND(ISNUMBER(N27),ISNUMBER(I27)),IFERROR(N27/I27-1,""),"")</f>
        <v>0.0914776340894636</v>
      </c>
      <c r="O247" s="255">
        <f>IF(AND(ISNUMBER(O27),ISNUMBER(J27)),IFERROR(O27/J27-1,""),"")</f>
        <v>0.00882578664620115</v>
      </c>
      <c r="P247" s="255">
        <f>IF(AND(ISNUMBER(P27),ISNUMBER(K27)),IFERROR(P27/K27-1,""),"")</f>
        <v>0.157081704820399</v>
      </c>
      <c r="Q247" s="255">
        <f>IF(AND(ISNUMBER(Q27),ISNUMBER(L27)),IFERROR(Q27/L27-1,""),"")</f>
        <v>0.13595482116712</v>
      </c>
      <c r="R247" s="255">
        <f>IF(AND(ISNUMBER(R27),ISNUMBER(M27)),IFERROR(R27/M27-1,""),"")</f>
        <v>0.0809104820198929</v>
      </c>
      <c r="S247" s="255">
        <f>IF(AND(ISNUMBER(S27),ISNUMBER(N27)),IFERROR(S27/N27-1,""),"")</f>
        <v>0.10022336602894</v>
      </c>
      <c r="T247" s="255">
        <f>IF(AND(ISNUMBER(T27),ISNUMBER(O27)),IFERROR(T27/O27-1,""),"")</f>
        <v>0.145492582731076</v>
      </c>
      <c r="U247" s="255">
        <f>IF(AND(ISNUMBER(U27),ISNUMBER(P27)),IFERROR(U27/P27-1,""),"")</f>
        <v>0.02814862473862</v>
      </c>
      <c r="V247" s="255">
        <f>IF(AND(ISNUMBER(V27),ISNUMBER(Q27)),IFERROR(V27/Q27-1,""),"")</f>
        <v>0.00920640765973135</v>
      </c>
      <c r="W247" s="255">
        <f>IF(AND(ISNUMBER(W27),ISNUMBER(R27)),IFERROR(W27/R27-1,""),"")</f>
        <v>-0.0362767651743055</v>
      </c>
      <c r="X247" s="255">
        <f>IF(AND(ISNUMBER(X27),ISNUMBER(S27)),IFERROR(X27/S27-1,""),"")</f>
        <v>0.0301880130638186</v>
      </c>
      <c r="Y247" s="255">
        <f>IF(AND(ISNUMBER(Y27),ISNUMBER(T27)),IFERROR(Y27/T27-1,""),"")</f>
        <v>-0.12817532790968</v>
      </c>
      <c r="Z247" s="255">
        <f>IF(AND(ISNUMBER(Z27),ISNUMBER(U27)),IFERROR(Z27/U27-1,""),"")</f>
        <v>-0.0212765957446811</v>
      </c>
      <c r="AA247" s="255">
        <f>IF(AND(ISNUMBER(AA27),ISNUMBER(V27)),IFERROR(AA27/V27-1,""),"")</f>
        <v>0.117131910235359</v>
      </c>
      <c r="AB247" s="255">
        <f>IF(AND(ISNUMBER(AB27),ISNUMBER(W27)),IFERROR(AB27/W27-1,""),"")</f>
        <v>0.116048475945648</v>
      </c>
      <c r="AC247" s="255">
        <f>IF(AND(ISNUMBER(AC27),ISNUMBER(X27)),IFERROR(AC27/X27-1,""),"")</f>
        <v>0.0156798903264499</v>
      </c>
      <c r="AD247" s="255">
        <f>IF(AND(ISNUMBER(AD27),ISNUMBER(Y27)),IFERROR(AD27/Y27-1,""),"")</f>
        <v>0.272519520091411</v>
      </c>
      <c r="AE247" s="255">
        <f>IF(AND(ISNUMBER(AE27),ISNUMBER(Z27)),IFERROR(AE27/Z27-1,""),"")</f>
        <v>0.0976662404092075</v>
      </c>
      <c r="AF247" s="255">
        <f>IF(AND(ISNUMBER(AF27),ISNUMBER(AA27)),IFERROR(AF27/AA27-1,""),"")</f>
        <v>0.133757961783439</v>
      </c>
      <c r="AG247" s="255">
        <f>IF(AND(ISNUMBER(AG27),ISNUMBER(AB27)),IFERROR(AG27/AB27-1,""),"")</f>
        <v>0.192333004277723</v>
      </c>
      <c r="AH247" s="255">
        <f>IF(AND(ISNUMBER(AH27),ISNUMBER(AC27)),IFERROR(AH27/AC27-1,""),"")</f>
        <v>0.169984815252236</v>
      </c>
      <c r="AI247" s="255">
        <f>IF(AND(ISNUMBER(AI27),ISNUMBER(AD27)),IFERROR(AI27/AD27-1,""),"")</f>
        <v>0.0773720442981145</v>
      </c>
      <c r="AJ247" s="255">
        <f>IF(AND(ISNUMBER(AJ27),ISNUMBER(AE27)),IFERROR(AJ27/AE27-1,""),"")</f>
        <v>0.0955293432357653</v>
      </c>
      <c r="AK247" s="255">
        <f>IF(AND(ISNUMBER(AK27),ISNUMBER(AF27)),IFERROR(AK27/AF27-1,""),"")</f>
        <v>-0.0711610486891388</v>
      </c>
      <c r="AL247" s="255">
        <f>IF(AND(ISNUMBER(AL27),ISNUMBER(AG27)),IFERROR(AL27/AG27-1,""),"")</f>
        <v>-0.178418655995584</v>
      </c>
      <c r="AM247" s="255">
        <f>IF(AND(ISNUMBER(AM27),ISNUMBER(AH27)),IFERROR(AM27/AH27-1,""),"")</f>
        <v>-0.0221356983199944</v>
      </c>
      <c r="AN247" s="255">
        <f>IF(AND(ISNUMBER(AN27),ISNUMBER(AI27)),IFERROR(AN27/AI27-1,""),"")</f>
        <v>-0.0691762744825669</v>
      </c>
      <c r="AO247" s="255">
        <f>IF(AND(ISNUMBER(AO27),ISNUMBER(AJ27)),IFERROR(AO27/AJ27-1,""),"")</f>
        <v>-0.0184766715406087</v>
      </c>
      <c r="AP247" s="255">
        <f>IF(AND(ISNUMBER(AP27),ISNUMBER(AK27)),IFERROR(AP27/AK27-1,""),"")</f>
        <v>0.15787841191067</v>
      </c>
      <c r="AQ247" s="255">
        <f>IF(AND(ISNUMBER(AQ27),ISNUMBER(AL27)),IFERROR(AQ27/AL27-1,""),"")</f>
        <v>0.209271078266712</v>
      </c>
      <c r="AR247" s="255">
        <f>IF(AND(ISNUMBER(AR27),ISNUMBER(AM27)),IFERROR(AR27/AM27-1,""),"")</f>
        <v>0.0599469104851793</v>
      </c>
      <c r="AS247" s="255">
        <f>IF(AND(ISNUMBER(AS27),ISNUMBER(AN27)),IFERROR(AS27/AN27-1,""),"")</f>
        <v>0.184897776451276</v>
      </c>
      <c r="AT247" s="255">
        <f>IF(AND(ISNUMBER(AT27),ISNUMBER(AO27)),IFERROR(AT27/AO27-1,""),"")</f>
        <v>0.270314192849404</v>
      </c>
      <c r="AU247" s="255">
        <f>IF(AND(ISNUMBER(AU27),ISNUMBER(AP27)),IFERROR(AU27/AP27-1,""),"")</f>
        <v>0.105009375837128</v>
      </c>
      <c r="AV247" s="255">
        <f>IF(AND(ISNUMBER(AV27),ISNUMBER(AQ27)),IFERROR(AV27/AQ27-1,""),"")</f>
        <v>0.0208333333333333</v>
      </c>
      <c r="AW247" s="255">
        <f>IF(AND(ISNUMBER(AW27),ISNUMBER(AR27)),IFERROR(AW27/AR27-1,""),"")</f>
        <v>0.14504347826087</v>
      </c>
      <c r="AX247" s="255">
        <f>IF(AND(ISNUMBER(AX27),ISNUMBER(AS27)),IFERROR(AX27/AS27-1,""),"")</f>
        <v>0.304785894206549</v>
      </c>
      <c r="AY247" s="255">
        <f>IF(AND(ISNUMBER(AY27),ISNUMBER(AT27)),IFERROR(AY27/AT27-1,""),"")</f>
        <v>0.044776119402985</v>
      </c>
      <c r="AZ247" s="255">
        <f>IF(AND(ISNUMBER(AZ27),ISNUMBER(AU27)),IFERROR(AZ27/AU27-1,""),"")</f>
        <v>0.121212121212121</v>
      </c>
      <c r="BA247" s="255">
        <f>IF(AND(ISNUMBER(BA27),ISNUMBER(AV27)),IFERROR(BA27/AV27-1,""),"")</f>
        <v>0.185034013605442</v>
      </c>
      <c r="BB247" s="255">
        <f>IF(AND(ISNUMBER(BB27),ISNUMBER(AW27)),IFERROR(BB27/AW27-1,""),"")</f>
        <v>0.157958687727825</v>
      </c>
      <c r="BC247" s="255">
        <f>IF(AND(ISNUMBER(BC27),ISNUMBER(AX27)),IFERROR(BC27/AX27-1,""),"")</f>
        <v>-0.201737451737452</v>
      </c>
      <c r="BD247" s="255">
        <f>IF(AND(ISNUMBER(BD27),ISNUMBER(AY27)),IFERROR(BD27/AY27-1,""),"")</f>
        <v>-0.279591836734694</v>
      </c>
      <c r="BE247" s="255">
        <f>IF(AND(ISNUMBER(BE27),ISNUMBER(AZ27)),IFERROR(BE27/AZ27-1,""),"")</f>
        <v>-0.362162162162162</v>
      </c>
      <c r="BF247" s="255">
        <f>IF(AND(ISNUMBER(BF27),ISNUMBER(BA27)),IFERROR(BF27/BA27-1,""),"")</f>
        <v>-0.338691159586682</v>
      </c>
      <c r="BG247" s="255">
        <f>IF(AND(ISNUMBER(BG27),ISNUMBER(BB27)),IFERROR(BG27/BB27-1,""),"")</f>
        <v>-0.291972717733473</v>
      </c>
      <c r="BH247" s="255">
        <f>IF(AND(ISNUMBER(BH27),ISNUMBER(BC27)),IFERROR(BH27/BC27-1,""),"")</f>
        <v>-0.1136638452237</v>
      </c>
      <c r="BI247" s="255">
        <f>IF(AND(ISNUMBER(BI27),ISNUMBER(BD27)),IFERROR(BI27/BD27-1,""),"")</f>
        <v>0.0580736543909348</v>
      </c>
      <c r="BJ247" s="255">
        <f>IF(AND(ISNUMBER(BJ27),ISNUMBER(BE27)),IFERROR(BJ27/BE27-1,""),"")</f>
        <v>0.179661016949153</v>
      </c>
      <c r="BK247" s="255">
        <f>IF(AND(ISNUMBER(BK27),ISNUMBER(BF27)),IFERROR(BK27/BF27-1,""),"")</f>
        <v>0.1875</v>
      </c>
      <c r="BL247" s="255">
        <f>IF(AND(ISNUMBER(BL27),ISNUMBER(BG27)),IFERROR(BL27/BG27-1,""),"")</f>
        <v>0.0596517228603186</v>
      </c>
      <c r="BM247" s="255">
        <f>IF(AND(ISNUMBER(BM27),ISNUMBER(BH27)),IFERROR(BM27/BH27-1,""),"")</f>
        <v>0.346521145975443</v>
      </c>
      <c r="BN247" s="255">
        <f>IF(AND(ISNUMBER(BN27),ISNUMBER(BI27)),IFERROR(BN27/BI27-1,""),"")</f>
        <v>0.358768406961178</v>
      </c>
      <c r="BO247" s="255">
        <f>IF(AND(ISNUMBER(BO27),ISNUMBER(BJ27)),IFERROR(BO27/BJ27-1,""),"")</f>
        <v>0.410919540229885</v>
      </c>
      <c r="BP247" s="255">
        <f>IF(AND(ISNUMBER(BP27),ISNUMBER(BK27)),IFERROR(BP27/BK27-1,""),"")</f>
        <v>0.182748538011696</v>
      </c>
      <c r="BQ247" s="255">
        <f>IF(AND(ISNUMBER(BQ27),ISNUMBER(BL27)),IFERROR(BQ27/BL27-1,""),"")</f>
        <v>0.326223776223776</v>
      </c>
      <c r="BR247" s="255">
        <f>IF(AND(ISNUMBER(BR27),ISNUMBER(BM27)),IFERROR(BR27/BM27-1,""),"")</f>
        <v>0.0790273556231003</v>
      </c>
      <c r="BS247" s="255">
        <f>IF(AND(ISNUMBER(BS27),ISNUMBER(BN27)),IFERROR(BS27/BN27-1,""),"")</f>
        <v>-0.00492610837438423</v>
      </c>
      <c r="BT247" s="255">
        <f>IF(AND(ISNUMBER(BT27),ISNUMBER(BO27)),IFERROR(BT27/BO27-1,""),"")</f>
        <v>0.118126272912424</v>
      </c>
      <c r="BU247" s="255">
        <f>IF(AND(ISNUMBER(BU27),ISNUMBER(BP27)),IFERROR(BU27/BP27-1,""),"")</f>
        <v>0.169344870210136</v>
      </c>
      <c r="BV247" s="255">
        <f>IF(AND(ISNUMBER(BV27),ISNUMBER(BQ27)),IFERROR(BV27/BQ27-1,""),"")</f>
        <v>0.0859477985763248</v>
      </c>
      <c r="BW247" s="255">
        <f>IF(AND(ISNUMBER(BW27),ISNUMBER(BR27)),IFERROR(BW27/BR27-1,""),"")</f>
        <v>0.0826291079812207</v>
      </c>
      <c r="BX247" s="255">
        <f>IF(AND(ISNUMBER(BX27),ISNUMBER(BS27)),IFERROR(BX27/BS27-1,""),"")</f>
        <v>0.247524752475248</v>
      </c>
      <c r="BY247" s="256">
        <f>IF(AND(ISNUMBER(BY27),ISNUMBER(BT27)),IFERROR(BY27/BT27-1,""),"")</f>
        <v>-0.00414167269957844</v>
      </c>
      <c r="BZ247" s="256">
        <f>IF(AND(ISNUMBER(BZ27),ISNUMBER(BU27)),IFERROR(BZ27/BU27-1,""),"")</f>
        <v>-0.00415691688780395</v>
      </c>
      <c r="CA247" s="256">
        <f>IF(AND(ISNUMBER(CA27),ISNUMBER(BV27)),IFERROR(CA27/BV27-1,""),"")</f>
        <v>0.0800000000000001</v>
      </c>
      <c r="CB247" s="256">
        <f>IF(AND(ISNUMBER(CB27),ISNUMBER(CA27)),IFERROR(CB27/CA27-1,""),"")</f>
        <v>0.0641088322014478</v>
      </c>
      <c r="CC247" s="256">
        <f>IF(AND(ISNUMBER(CC27),ISNUMBER(CB27)),IFERROR(CC27/CB27-1,""),"")</f>
        <v>0.0557895920394445</v>
      </c>
      <c r="CD247" s="256">
        <f>IF(AND(ISNUMBER(CD27),ISNUMBER(CC27)),IFERROR(CD27/CC27-1,""),"")</f>
        <v>0.0541937765315319</v>
      </c>
      <c r="CE247" s="256">
        <f>IF(AND(ISNUMBER(CE27),ISNUMBER(CD27)),IFERROR(CE27/CD27-1,""),"")</f>
        <v>0.048832832657385</v>
      </c>
      <c r="CF247" s="153" t="n"/>
      <c r="CH247" s="37">
        <f>IFERROR(AVERAGE(CA247,CB247,CC247,CD247,CE247),"n/m")</f>
        <v>0.0605850066859619</v>
      </c>
      <c r="CI247" s="37">
        <f>IFERROR(AVERAGE(BB247,BG247,BL247,BQ247,BV247),"n/m")</f>
        <v>0.0675618535309543</v>
      </c>
      <c r="CJ247" s="37">
        <f>IFERROR(AVERAGE(AC247,AH247,AM247,AR247,AW247,BB247,BG247,BL247,BQ247,BV247),"n/m")</f>
        <v>0.0706328663659512</v>
      </c>
      <c r="CK247" s="37">
        <f>IFERROR(AVERAGE(C247,D247,E247,F247,G247,H247,I247,N247,S247,X247,AC247,AH247,AM247,AR247,AW247,BB247,BG247,BL247,BQ247,BV247),"n/m")</f>
        <v>0.0618093256493352</v>
      </c>
    </row>
    <row r="248" ht="15" customHeight="1" s="251">
      <c r="B248" s="22" t="inlineStr">
        <is>
          <t xml:space="preserve">  MA revenue y/y %</t>
        </is>
      </c>
      <c r="D248" s="255">
        <f>IF(AND(ISNUMBER(D61),ISNUMBER(C61)),IFERROR(D61/C61-1,""),"")</f>
        <v>0.205889755852001</v>
      </c>
      <c r="E248" s="255">
        <f>IF(AND(ISNUMBER(E61),ISNUMBER(D61)),IFERROR(E61/D61-1,""),"")</f>
        <v>0.149446879565853</v>
      </c>
      <c r="F248" s="255">
        <f>IF(AND(ISNUMBER(F61),ISNUMBER(E61)),IFERROR(F61/E61-1,""),"")</f>
        <v>0.0522970764481567</v>
      </c>
      <c r="G248" s="255">
        <f>IF(AND(ISNUMBER(G61),ISNUMBER(F61)),IFERROR(G61/F61-1,""),"")</f>
        <v>0.0819672131147542</v>
      </c>
      <c r="H248" s="255">
        <f>IF(AND(ISNUMBER(H61),ISNUMBER(G61)),IFERROR(H61/G61-1,""),"")</f>
        <v>0.135247208931419</v>
      </c>
      <c r="I248" s="255">
        <f>IF(AND(ISNUMBER(I61),ISNUMBER(H61)),IFERROR(I61/H61-1,""),"")</f>
        <v>0.185023883113234</v>
      </c>
      <c r="N248" s="255">
        <f>IF(AND(ISNUMBER(N61),ISNUMBER(I61)),IFERROR(N61/I61-1,""),"")</f>
        <v>0.0825133372851215</v>
      </c>
      <c r="O248" s="255">
        <f>IF(AND(ISNUMBER(O61),ISNUMBER(J61)),IFERROR(O61/J61-1,""),"")</f>
        <v>0.14624881291548</v>
      </c>
      <c r="P248" s="255">
        <f>IF(AND(ISNUMBER(P61),ISNUMBER(K61)),IFERROR(P61/K61-1,""),"")</f>
        <v>0.151348879743942</v>
      </c>
      <c r="Q248" s="255">
        <f>IF(AND(ISNUMBER(Q61),ISNUMBER(L61)),IFERROR(Q61/L61-1,""),"")</f>
        <v>0.200527704485488</v>
      </c>
      <c r="R248" s="255">
        <f>IF(AND(ISNUMBER(R61),ISNUMBER(M61)),IFERROR(R61/M61-1,""),"")</f>
        <v>0.218408736349454</v>
      </c>
      <c r="S248" s="255">
        <f>IF(AND(ISNUMBER(S61),ISNUMBER(N61)),IFERROR(S61/N61-1,""),"")</f>
        <v>0.170189464461724</v>
      </c>
      <c r="T248" s="255">
        <f>IF(AND(ISNUMBER(T61),ISNUMBER(O61)),IFERROR(T61/O61-1,""),"")</f>
        <v>0.0907207953603977</v>
      </c>
      <c r="U248" s="255">
        <f>IF(AND(ISNUMBER(U61),ISNUMBER(P61)),IFERROR(U61/P61-1,""),"")</f>
        <v>0.107625099285147</v>
      </c>
      <c r="V248" s="255">
        <f>IF(AND(ISNUMBER(V61),ISNUMBER(Q61)),IFERROR(V61/Q61-1,""),"")</f>
        <v>0.0505494505494506</v>
      </c>
      <c r="W248" s="255">
        <f>IF(AND(ISNUMBER(W61),ISNUMBER(R61)),IFERROR(W61/R61-1,""),"")</f>
        <v>0.0284891165172856</v>
      </c>
      <c r="X248" s="255">
        <f>IF(AND(ISNUMBER(X61),ISNUMBER(S61)),IFERROR(X61/S61-1,""),"")</f>
        <v>0.0765559195133365</v>
      </c>
      <c r="Y248" s="255">
        <f>IF(AND(ISNUMBER(Y61),ISNUMBER(T61)),IFERROR(Y61/T61-1,""),"")</f>
        <v>0.10520319027725</v>
      </c>
      <c r="Z248" s="255">
        <f>IF(AND(ISNUMBER(Z61),ISNUMBER(U61)),IFERROR(Z61/U61-1,""),"")</f>
        <v>0.0874865543205452</v>
      </c>
      <c r="AA248" s="255">
        <f>IF(AND(ISNUMBER(AA61),ISNUMBER(V61)),IFERROR(AA61/V61-1,""),"")</f>
        <v>0.0627615062761506</v>
      </c>
      <c r="AB248" s="255">
        <f>IF(AND(ISNUMBER(AB61),ISNUMBER(W61)),IFERROR(AB61/W61-1,""),"")</f>
        <v>0.0404606286959228</v>
      </c>
      <c r="AC248" s="255">
        <f>IF(AND(ISNUMBER(AC61),ISNUMBER(X61)),IFERROR(AC61/X61-1,""),"")</f>
        <v>0.0722420238198731</v>
      </c>
      <c r="AD248" s="255">
        <f>IF(AND(ISNUMBER(AD61),ISNUMBER(Y61)),IFERROR(AD61/Y61-1,""),"")</f>
        <v>0.0549828178694158</v>
      </c>
      <c r="AE248" s="255">
        <f>IF(AND(ISNUMBER(AE61),ISNUMBER(Z61)),IFERROR(AE61/Z61-1,""),"")</f>
        <v>0.0346191889218594</v>
      </c>
      <c r="AF248" s="255">
        <f>IF(AND(ISNUMBER(AF61),ISNUMBER(AA61)),IFERROR(AF61/AA61-1,""),"")</f>
        <v>0.209645669291338</v>
      </c>
      <c r="AG248" s="255">
        <f>IF(AND(ISNUMBER(AG61),ISNUMBER(AB61)),IFERROR(AG61/AB61-1,""),"")</f>
        <v>0.318576129225247</v>
      </c>
      <c r="AH248" s="255">
        <f>IF(AND(ISNUMBER(AH61),ISNUMBER(AC61)),IFERROR(AH61/AC61-1,""),"")</f>
        <v>0.159640019458408</v>
      </c>
      <c r="AI248" s="255">
        <f>IF(AND(ISNUMBER(AI61),ISNUMBER(AD61)),IFERROR(AI61/AD61-1,""),"")</f>
        <v>0.325081433224756</v>
      </c>
      <c r="AJ248" s="255">
        <f>IF(AND(ISNUMBER(AJ61),ISNUMBER(AE61)),IFERROR(AJ61/AE61-1,""),"")</f>
        <v>0.347355003186743</v>
      </c>
      <c r="AK248" s="255">
        <f>IF(AND(ISNUMBER(AK61),ISNUMBER(AF61)),IFERROR(AK61/AF61-1,""),"")</f>
        <v>0.182533224844047</v>
      </c>
      <c r="AL248" s="255">
        <f>IF(AND(ISNUMBER(AL61),ISNUMBER(AG61)),IFERROR(AL61/AG61-1,""),"")</f>
        <v>0.0542196007259528</v>
      </c>
      <c r="AM248" s="255">
        <f>IF(AND(ISNUMBER(AM61),ISNUMBER(AH61)),IFERROR(AM61/AH61-1,""),"")</f>
        <v>0.209746207089422</v>
      </c>
      <c r="AN248" s="255">
        <f>IF(AND(ISNUMBER(AN61),ISNUMBER(AI61)),IFERROR(AN61/AI61-1,""),"")</f>
        <v>0.160275319567355</v>
      </c>
      <c r="AO248" s="255">
        <f>IF(AND(ISNUMBER(AO61),ISNUMBER(AJ61)),IFERROR(AO61/AJ61-1,""),"")</f>
        <v>0.123935666982025</v>
      </c>
      <c r="AP248" s="255">
        <f>IF(AND(ISNUMBER(AP61),ISNUMBER(AK61)),IFERROR(AP61/AK61-1,""),"")</f>
        <v>0.132798165137615</v>
      </c>
      <c r="AQ248" s="255">
        <f>IF(AND(ISNUMBER(AQ61),ISNUMBER(AL61)),IFERROR(AQ61/AL61-1,""),"")</f>
        <v>0.103938024531956</v>
      </c>
      <c r="AR248" s="255">
        <f>IF(AND(ISNUMBER(AR61),ISNUMBER(AM61)),IFERROR(AR61/AM61-1,""),"")</f>
        <v>0.129283939201295</v>
      </c>
      <c r="AS248" s="255">
        <f>IF(AND(ISNUMBER(AS61),ISNUMBER(AN61)),IFERROR(AS61/AN61-1,""),"")</f>
        <v>0.0508474576271187</v>
      </c>
      <c r="AT248" s="255">
        <f>IF(AND(ISNUMBER(AT61),ISNUMBER(AO61)),IFERROR(AT61/AO61-1,""),"")</f>
        <v>0.0458754208754209</v>
      </c>
      <c r="AU248" s="255">
        <f>IF(AND(ISNUMBER(AU61),ISNUMBER(AP61)),IFERROR(AU61/AP61-1,""),"")</f>
        <v>0.0751164203280017</v>
      </c>
      <c r="AV248" s="255">
        <f>IF(AND(ISNUMBER(AV61),ISNUMBER(AQ61)),IFERROR(AV61/AQ61-1,""),"")</f>
        <v>0.0818713450292399</v>
      </c>
      <c r="AW248" s="255">
        <f>IF(AND(ISNUMBER(AW61),ISNUMBER(AR61)),IFERROR(AW61/AR61-1,""),"")</f>
        <v>0.0639713408393039</v>
      </c>
      <c r="AX248" s="255">
        <f>IF(AND(ISNUMBER(AX61),ISNUMBER(AS61)),IFERROR(AX61/AS61-1,""),"")</f>
        <v>0.137096774193549</v>
      </c>
      <c r="AY248" s="255">
        <f>IF(AND(ISNUMBER(AY61),ISNUMBER(AT61)),IFERROR(AY61/AT61-1,""),"")</f>
        <v>0.152917505030181</v>
      </c>
      <c r="AZ248" s="255">
        <f>IF(AND(ISNUMBER(AZ61),ISNUMBER(AU61)),IFERROR(AZ61/AU61-1,""),"")</f>
        <v>0.131826741996234</v>
      </c>
      <c r="BA248" s="255">
        <f>IF(AND(ISNUMBER(BA61),ISNUMBER(AV61)),IFERROR(BA61/AV61-1,""),"")</f>
        <v>0.203603603603604</v>
      </c>
      <c r="BB248" s="255">
        <f>IF(AND(ISNUMBER(BB61),ISNUMBER(AW61)),IFERROR(BB61/AW61-1,""),"")</f>
        <v>0.157287157287157</v>
      </c>
      <c r="BC248" s="255">
        <f>IF(AND(ISNUMBER(BC61),ISNUMBER(AX61)),IFERROR(BC61/AX61-1,""),"")</f>
        <v>0.232269503546099</v>
      </c>
      <c r="BD248" s="255">
        <f>IF(AND(ISNUMBER(BD61),ISNUMBER(AY61)),IFERROR(BD61/AY61-1,""),"")</f>
        <v>0.178010471204189</v>
      </c>
      <c r="BE248" s="255">
        <f>IF(AND(ISNUMBER(BE61),ISNUMBER(AZ61)),IFERROR(BE61/AZ61-1,""),"")</f>
        <v>0.139767054908486</v>
      </c>
      <c r="BF248" s="255">
        <f>IF(AND(ISNUMBER(BF61),ISNUMBER(BA61)),IFERROR(BF61/BA61-1,""),"")</f>
        <v>0.0688622754491017</v>
      </c>
      <c r="BG248" s="255">
        <f>IF(AND(ISNUMBER(BG61),ISNUMBER(BB61)),IFERROR(BG61/BB61-1,""),"")</f>
        <v>0.150872817955112</v>
      </c>
      <c r="BH248" s="255">
        <f>IF(AND(ISNUMBER(BH61),ISNUMBER(BC61)),IFERROR(BH61/BC61-1,""),"")</f>
        <v>0.0604316546762589</v>
      </c>
      <c r="BI248" s="255">
        <f>IF(AND(ISNUMBER(BI61),ISNUMBER(BD61)),IFERROR(BI61/BD61-1,""),"")</f>
        <v>0.106666666666667</v>
      </c>
      <c r="BJ248" s="255">
        <f>IF(AND(ISNUMBER(BJ61),ISNUMBER(BE61)),IFERROR(BJ61/BE61-1,""),"")</f>
        <v>0.132846715328467</v>
      </c>
      <c r="BK248" s="255">
        <f>IF(AND(ISNUMBER(BK61),ISNUMBER(BF61)),IFERROR(BK61/BF61-1,""),"")</f>
        <v>0.11484593837535</v>
      </c>
      <c r="BL248" s="255">
        <f>IF(AND(ISNUMBER(BL61),ISNUMBER(BG61)),IFERROR(BL61/BG61-1,""),"")</f>
        <v>0.103647526182737</v>
      </c>
      <c r="BM248" s="255">
        <f>IF(AND(ISNUMBER(BM61),ISNUMBER(BH61)),IFERROR(BM61/BH61-1,""),"")</f>
        <v>0.0841248303934872</v>
      </c>
      <c r="BN248" s="255">
        <f>IF(AND(ISNUMBER(BN61),ISNUMBER(BI61)),IFERROR(BN61/BI61-1,""),"")</f>
        <v>0.0736278447121821</v>
      </c>
      <c r="BO248" s="255">
        <f>IF(AND(ISNUMBER(BO61),ISNUMBER(BJ61)),IFERROR(BO61/BJ61-1,""),"")</f>
        <v>0.0708762886597938</v>
      </c>
      <c r="BP248" s="255">
        <f>IF(AND(ISNUMBER(BP61),ISNUMBER(BK61)),IFERROR(BP61/BK61-1,""),"")</f>
        <v>0.0841708542713568</v>
      </c>
      <c r="BQ248" s="255">
        <f>IF(AND(ISNUMBER(BQ61),ISNUMBER(BL61)),IFERROR(BQ61/BL61-1,""),"")</f>
        <v>0.0782068062827226</v>
      </c>
      <c r="BR248" s="255">
        <f>IF(AND(ISNUMBER(BR61),ISNUMBER(BM61)),IFERROR(BR61/BM61-1,""),"")</f>
        <v>0.0750938673341677</v>
      </c>
      <c r="BS248" s="255">
        <f>IF(AND(ISNUMBER(BS61),ISNUMBER(BN61)),IFERROR(BS61/BN61-1,""),"")</f>
        <v>0.107231920199501</v>
      </c>
      <c r="BT248" s="255">
        <f>IF(AND(ISNUMBER(BT61),ISNUMBER(BO61)),IFERROR(BT61/BO61-1,""),"")</f>
        <v>0.0938628158844765</v>
      </c>
      <c r="BU248" s="255">
        <f>IF(AND(ISNUMBER(BU61),ISNUMBER(BP61)),IFERROR(BU61/BP61-1,""),"")</f>
        <v>0.0926998841251447</v>
      </c>
      <c r="BV248" s="255">
        <f>IF(AND(ISNUMBER(BV61),ISNUMBER(BQ61)),IFERROR(BV61/BQ61-1,""),"")</f>
        <v>0.0922610015174508</v>
      </c>
      <c r="BW248" s="255">
        <f>IF(AND(ISNUMBER(BW61),ISNUMBER(BR61)),IFERROR(BW61/BR61-1,""),"")</f>
        <v>0.0779976717112922</v>
      </c>
      <c r="BX248" s="255">
        <f>IF(AND(ISNUMBER(BX61),ISNUMBER(BS61)),IFERROR(BX61/BS61-1,""),"")</f>
        <v>0.0416666666666667</v>
      </c>
      <c r="BY248" s="256">
        <f>IF(AND(ISNUMBER(BY61),ISNUMBER(BT61)),IFERROR(BY61/BT61-1,""),"")</f>
        <v>0.0414091725498096</v>
      </c>
      <c r="BZ248" s="256">
        <f>IF(AND(ISNUMBER(BZ61),ISNUMBER(BU61)),IFERROR(BZ61/BU61-1,""),"")</f>
        <v>0.0406246682420182</v>
      </c>
      <c r="CA248" s="256">
        <f>IF(AND(ISNUMBER(CA61),ISNUMBER(BV61)),IFERROR(CA61/BV61-1,""),"")</f>
        <v>0.05</v>
      </c>
      <c r="CB248" s="256">
        <f>IF(AND(ISNUMBER(CB61),ISNUMBER(CA61)),IFERROR(CB61/CA61-1,""),"")</f>
        <v>0.0776662810455291</v>
      </c>
      <c r="CC248" s="256">
        <f>IF(AND(ISNUMBER(CC61),ISNUMBER(CB61)),IFERROR(CC61/CB61-1,""),"")</f>
        <v>0.0747479787480181</v>
      </c>
      <c r="CD248" s="256">
        <f>IF(AND(ISNUMBER(CD61),ISNUMBER(CC61)),IFERROR(CD61/CC61-1,""),"")</f>
        <v>0.0696969515717012</v>
      </c>
      <c r="CE248" s="256">
        <f>IF(AND(ISNUMBER(CE61),ISNUMBER(CD61)),IFERROR(CE61/CD61-1,""),"")</f>
        <v>0.0664613363302045</v>
      </c>
      <c r="CF248" s="153" t="n"/>
      <c r="CH248" s="37">
        <f>IFERROR(AVERAGE(CA248,CB248,CC248,CD248,CE248),"n/m")</f>
        <v>0.0677145095390906</v>
      </c>
      <c r="CI248" s="37">
        <f>IFERROR(AVERAGE(BB248,BG248,BL248,BQ248,BV248),"n/m")</f>
        <v>0.116455061845036</v>
      </c>
      <c r="CJ248" s="37">
        <f>IFERROR(AVERAGE(AC248,AH248,AM248,AR248,AW248,BB248,BG248,BL248,BQ248,BV248),"n/m")</f>
        <v>0.121715883963348</v>
      </c>
      <c r="CK248" s="37">
        <f>IFERROR(AVERAGE(C248,D248,E248,F248,G248,H248,I248,N248,S248,X248,AC248,AH248,AM248,AR248,AW248,BB248,BG248,BL248,BQ248,BV248),"n/m")</f>
        <v>0.12401524094311</v>
      </c>
    </row>
    <row r="249" ht="15" customHeight="1" s="251">
      <c r="B249" s="22" t="inlineStr">
        <is>
          <t xml:space="preserve">  Adjusted Operating Income y/y %</t>
        </is>
      </c>
      <c r="D249" s="255">
        <f>IF(AND(ISNUMBER(D202),ISNUMBER(C202)),IFERROR(D202/C202-1,""),"")</f>
        <v>0.0751054111033029</v>
      </c>
      <c r="E249" s="255">
        <f>IF(AND(ISNUMBER(E202),ISNUMBER(D202)),IFERROR(E202/D202-1,""),"")</f>
        <v>-0.329356973608955</v>
      </c>
      <c r="F249" s="255">
        <f>IF(AND(ISNUMBER(F202),ISNUMBER(E202)),IFERROR(F202/E202-1,""),"")</f>
        <v>-0.0629873294346977</v>
      </c>
      <c r="G249" s="255">
        <f>IF(AND(ISNUMBER(G202),ISNUMBER(F202)),IFERROR(G202/F202-1,""),"")</f>
        <v>0.0911454947341046</v>
      </c>
      <c r="H249" s="255">
        <f>IF(AND(ISNUMBER(H202),ISNUMBER(G202)),IFERROR(H202/G202-1,""),"")</f>
        <v>0.153002859866539</v>
      </c>
      <c r="I249" s="255">
        <f>IF(AND(ISNUMBER(I202),ISNUMBER(H202)),IFERROR(I202/H202-1,""),"")</f>
        <v>0.222715998346424</v>
      </c>
      <c r="N249" s="255">
        <f>IF(AND(ISNUMBER(N202),ISNUMBER(I202)),IFERROR(N202/I202-1,""),"")</f>
        <v>0.122474854196602</v>
      </c>
      <c r="O249" s="255">
        <f>IF(AND(ISNUMBER(O202),ISNUMBER(J202)),IFERROR(O202/J202-1,""),"")</f>
        <v>0.171381578947369</v>
      </c>
      <c r="P249" s="255">
        <f>IF(AND(ISNUMBER(P202),ISNUMBER(K202)),IFERROR(P202/K202-1,""),"")</f>
        <v>0.160738165284836</v>
      </c>
      <c r="Q249" s="255">
        <f>IF(AND(ISNUMBER(Q202),ISNUMBER(L202)),IFERROR(Q202/L202-1,""),"")</f>
        <v>0.184185455700223</v>
      </c>
      <c r="R249" s="255">
        <f>IF(AND(ISNUMBER(R202),ISNUMBER(M202)),IFERROR(R202/M202-1,""),"")</f>
        <v>0.108890214797136</v>
      </c>
      <c r="S249" s="255">
        <f>IF(AND(ISNUMBER(S202),ISNUMBER(N202)),IFERROR(S202/N202-1,""),"")</f>
        <v>0.155647590361446</v>
      </c>
      <c r="T249" s="255">
        <f>IF(AND(ISNUMBER(T202),ISNUMBER(O202)),IFERROR(T202/O202-1,""),"")</f>
        <v>0.122999157540017</v>
      </c>
      <c r="U249" s="255">
        <f>IF(AND(ISNUMBER(U202),ISNUMBER(P202)),IFERROR(U202/P202-1,""),"")</f>
        <v>0.030414746543779</v>
      </c>
      <c r="V249" s="255">
        <f>IF(AND(ISNUMBER(V202),ISNUMBER(Q202)),IFERROR(V202/Q202-1,""),"")</f>
        <v>0.0136765888978276</v>
      </c>
      <c r="W249" s="255">
        <f>IF(AND(ISNUMBER(W202),ISNUMBER(R202)),IFERROR(W202/R202-1,""),"")</f>
        <v>-0.0266343825665863</v>
      </c>
      <c r="X249" s="255">
        <f>IF(AND(ISNUMBER(X202),ISNUMBER(S202)),IFERROR(X202/S202-1,""),"")</f>
        <v>0.0340131621815338</v>
      </c>
      <c r="Y249" s="255">
        <f>IF(AND(ISNUMBER(Y202),ISNUMBER(T202)),IFERROR(Y202/T202-1,""),"")</f>
        <v>-0.16479119779945</v>
      </c>
      <c r="Z249" s="255">
        <f>IF(AND(ISNUMBER(Z202),ISNUMBER(U202)),IFERROR(Z202/U202-1,""),"")</f>
        <v>-0.0129695885509842</v>
      </c>
      <c r="AA249" s="255">
        <f>IF(AND(ISNUMBER(AA202),ISNUMBER(V202)),IFERROR(AA202/V202-1,""),"")</f>
        <v>0.16031746031746</v>
      </c>
      <c r="AB249" s="255">
        <f>IF(AND(ISNUMBER(AB202),ISNUMBER(W202)),IFERROR(AB202/W202-1,""),"")</f>
        <v>0.170812603648425</v>
      </c>
      <c r="AC249" s="255">
        <f>IF(AND(ISNUMBER(AC202),ISNUMBER(X202)),IFERROR(AC202/X202-1,""),"")</f>
        <v>0.0342176570672379</v>
      </c>
      <c r="AD249" s="255">
        <f>IF(AND(ISNUMBER(AD202),ISNUMBER(Y202)),IFERROR(AD202/Y202-1,""),"")</f>
        <v>0.424850299401198</v>
      </c>
      <c r="AE249" s="255">
        <f>IF(AND(ISNUMBER(AE202),ISNUMBER(Z202)),IFERROR(AE202/Z202-1,""),"")</f>
        <v>0.125962845491618</v>
      </c>
      <c r="AF249" s="255">
        <f>IF(AND(ISNUMBER(AF202),ISNUMBER(AA202)),IFERROR(AF202/AA202-1,""),"")</f>
        <v>0.136570907432741</v>
      </c>
      <c r="AG249" s="255">
        <f>IF(AND(ISNUMBER(AG202),ISNUMBER(AB202)),IFERROR(AG202/AB202-1,""),"")</f>
        <v>0.224032105760151</v>
      </c>
      <c r="AH249" s="255">
        <f>IF(AND(ISNUMBER(AH202),ISNUMBER(AC202)),IFERROR(AH202/AC202-1,""),"")</f>
        <v>0.212466487935657</v>
      </c>
      <c r="AI249" s="255">
        <f>IF(AND(ISNUMBER(AI202),ISNUMBER(AD202)),IFERROR(AI202/AD202-1,""),"")</f>
        <v>0.136163059466274</v>
      </c>
      <c r="AJ249" s="255">
        <f>IF(AND(ISNUMBER(AJ202),ISNUMBER(AE202)),IFERROR(AJ202/AE202-1,""),"")</f>
        <v>0.175855130784708</v>
      </c>
      <c r="AK249" s="255">
        <f>IF(AND(ISNUMBER(AK202),ISNUMBER(AF202)),IFERROR(AK202/AF202-1,""),"")</f>
        <v>0.0314944834503508</v>
      </c>
      <c r="AL249" s="255">
        <f>IF(AND(ISNUMBER(AL202),ISNUMBER(AG202)),IFERROR(AL202/AG202-1,""),"")</f>
        <v>-0.0784956605593059</v>
      </c>
      <c r="AM249" s="255">
        <f>IF(AND(ISNUMBER(AM202),ISNUMBER(AH202)),IFERROR(AM202/AH202-1,""),"")</f>
        <v>0.0639228101914666</v>
      </c>
      <c r="AN249" s="255">
        <f>IF(AND(ISNUMBER(AN202),ISNUMBER(AI202)),IFERROR(AN202/AI202-1,""),"")</f>
        <v>-0.0403181061586834</v>
      </c>
      <c r="AO249" s="255">
        <f>IF(AND(ISNUMBER(AO202),ISNUMBER(AJ202)),IFERROR(AO202/AJ202-1,""),"")</f>
        <v>0.0249828884325807</v>
      </c>
      <c r="AP249" s="255">
        <f>IF(AND(ISNUMBER(AP202),ISNUMBER(AK202)),IFERROR(AP202/AK202-1,""),"")</f>
        <v>0.193893426682225</v>
      </c>
      <c r="AQ249" s="255">
        <f>IF(AND(ISNUMBER(AQ202),ISNUMBER(AL202)),IFERROR(AQ202/AL202-1,""),"")</f>
        <v>0.169945583926329</v>
      </c>
      <c r="AR249" s="255">
        <f>IF(AND(ISNUMBER(AR202),ISNUMBER(AM202)),IFERROR(AR202/AM202-1,""),"")</f>
        <v>0.0821406641160078</v>
      </c>
      <c r="AS249" s="255">
        <f>IF(AND(ISNUMBER(AS202),ISNUMBER(AN202)),IFERROR(AS202/AN202-1,""),"")</f>
        <v>0.250722682597803</v>
      </c>
      <c r="AT249" s="255">
        <f>IF(AND(ISNUMBER(AT202),ISNUMBER(AO202)),IFERROR(AT202/AO202-1,""),"")</f>
        <v>0.278797996661102</v>
      </c>
      <c r="AU249" s="255">
        <f>IF(AND(ISNUMBER(AU202),ISNUMBER(AP202)),IFERROR(AU202/AP202-1,""),"")</f>
        <v>0.174458380843785</v>
      </c>
      <c r="AV249" s="255">
        <f>IF(AND(ISNUMBER(AV202),ISNUMBER(AQ202)),IFERROR(AV202/AQ202-1,""),"")</f>
        <v>-0.0500894454382826</v>
      </c>
      <c r="AW249" s="255">
        <f>IF(AND(ISNUMBER(AW202),ISNUMBER(AR202)),IFERROR(AW202/AR202-1,""),"")</f>
        <v>0.164120471409865</v>
      </c>
      <c r="AX249" s="255">
        <f>IF(AND(ISNUMBER(AX202),ISNUMBER(AS202)),IFERROR(AX202/AS202-1,""),"")</f>
        <v>0.408320493066256</v>
      </c>
      <c r="AY249" s="255">
        <f>IF(AND(ISNUMBER(AY202),ISNUMBER(AT202)),IFERROR(AY202/AT202-1,""),"")</f>
        <v>0.124020887728459</v>
      </c>
      <c r="AZ249" s="255">
        <f>IF(AND(ISNUMBER(AZ202),ISNUMBER(AU202)),IFERROR(AZ202/AU202-1,""),"")</f>
        <v>0.0221914008321775</v>
      </c>
      <c r="BA249" s="255">
        <f>IF(AND(ISNUMBER(BA202),ISNUMBER(AV202)),IFERROR(BA202/AV202-1,""),"")</f>
        <v>0.109227871939736</v>
      </c>
      <c r="BB249" s="255">
        <f>IF(AND(ISNUMBER(BB202),ISNUMBER(AW202)),IFERROR(BB202/AW202-1,""),"")</f>
        <v>0.162729658792651</v>
      </c>
      <c r="BC249" s="255">
        <f>IF(AND(ISNUMBER(BC202),ISNUMBER(AX202)),IFERROR(BC202/AX202-1,""),"")</f>
        <v>-0.196936542669584</v>
      </c>
      <c r="BD249" s="255">
        <f>IF(AND(ISNUMBER(BD202),ISNUMBER(AY202)),IFERROR(BD202/AY202-1,""),"")</f>
        <v>-0.279907084785134</v>
      </c>
      <c r="BE249" s="255">
        <f>IF(AND(ISNUMBER(BE202),ISNUMBER(AZ202)),IFERROR(BE202/AZ202-1,""),"")</f>
        <v>-0.325644504748982</v>
      </c>
      <c r="BF249" s="255">
        <f>IF(AND(ISNUMBER(BF202),ISNUMBER(BA202)),IFERROR(BF202/BA202-1,""),"")</f>
        <v>-0.190152801358234</v>
      </c>
      <c r="BG249" s="255">
        <f>IF(AND(ISNUMBER(BG202),ISNUMBER(BB202)),IFERROR(BG202/BB202-1,""),"")</f>
        <v>-0.249274427603999</v>
      </c>
      <c r="BH249" s="255">
        <f>IF(AND(ISNUMBER(BH202),ISNUMBER(BC202)),IFERROR(BH202/BC202-1,""),"")</f>
        <v>-0.106267029972752</v>
      </c>
      <c r="BI249" s="255">
        <f>IF(AND(ISNUMBER(BI202),ISNUMBER(BD202)),IFERROR(BI202/BD202-1,""),"")</f>
        <v>0.0532258064516129</v>
      </c>
      <c r="BJ249" s="255">
        <f>IF(AND(ISNUMBER(BJ202),ISNUMBER(BE202)),IFERROR(BJ202/BE202-1,""),"")</f>
        <v>0.321931589537223</v>
      </c>
      <c r="BK249" s="255">
        <f>IF(AND(ISNUMBER(BK202),ISNUMBER(BF202)),IFERROR(BK202/BF202-1,""),"")</f>
        <v>0.322851153039832</v>
      </c>
      <c r="BL249" s="255">
        <f>IF(AND(ISNUMBER(BL202),ISNUMBER(BG202)),IFERROR(BL202/BG202-1,""),"")</f>
        <v>0.115549828178694</v>
      </c>
      <c r="BM249" s="255">
        <f>IF(AND(ISNUMBER(BM202),ISNUMBER(BH202)),IFERROR(BM202/BH202-1,""),"")</f>
        <v>0.38109756097561</v>
      </c>
      <c r="BN249" s="255">
        <f>IF(AND(ISNUMBER(BN202),ISNUMBER(BI202)),IFERROR(BN202/BI202-1,""),"")</f>
        <v>0.381316998468606</v>
      </c>
      <c r="BO249" s="255">
        <f>IF(AND(ISNUMBER(BO202),ISNUMBER(BJ202)),IFERROR(BO202/BJ202-1,""),"")</f>
        <v>0.319634703196347</v>
      </c>
      <c r="BP249" s="255">
        <f>IF(AND(ISNUMBER(BP202),ISNUMBER(BK202)),IFERROR(BP202/BK202-1,""),"")</f>
        <v>0.161648177496038</v>
      </c>
      <c r="BQ249" s="255">
        <f>IF(AND(ISNUMBER(BQ202),ISNUMBER(BL202)),IFERROR(BQ202/BL202-1,""),"")</f>
        <v>0.312283403927609</v>
      </c>
      <c r="BR249" s="255">
        <f>IF(AND(ISNUMBER(BR202),ISNUMBER(BM202)),IFERROR(BR202/BM202-1,""),"")</f>
        <v>0.0971302428256071</v>
      </c>
      <c r="BS249" s="255">
        <f>IF(AND(ISNUMBER(BS202),ISNUMBER(BN202)),IFERROR(BS202/BN202-1,""),"")</f>
        <v>0.0709534368070954</v>
      </c>
      <c r="BT249" s="255">
        <f>IF(AND(ISNUMBER(BT202),ISNUMBER(BO202)),IFERROR(BT202/BO202-1,""),"")</f>
        <v>0.224913494809688</v>
      </c>
      <c r="BU249" s="255">
        <f>IF(AND(ISNUMBER(BU202),ISNUMBER(BP202)),IFERROR(BU202/BP202-1,""),"")</f>
        <v>0.255115961800819</v>
      </c>
      <c r="BV249" s="255">
        <f>IF(AND(ISNUMBER(BV202),ISNUMBER(BQ202)),IFERROR(BV202/BQ202-1,""),"")</f>
        <v>0.156690140845071</v>
      </c>
      <c r="BW249" s="255">
        <f>IF(AND(ISNUMBER(BW202),ISNUMBER(BR202)),IFERROR(BW202/BR202-1,""),"")</f>
        <v>0.111670020120724</v>
      </c>
      <c r="BX249" s="255">
        <f>IF(AND(ISNUMBER(BX202),ISNUMBER(BS202)),IFERROR(BX202/BS202-1,""),"")</f>
        <v>0.250517598343685</v>
      </c>
      <c r="BY249" s="256">
        <f>IF(AND(ISNUMBER(BY202),ISNUMBER(BT202)),IFERROR(BY202/BT202-1,""),"")</f>
        <v>0.0125824223706845</v>
      </c>
      <c r="BZ249" s="256">
        <f>IF(AND(ISNUMBER(BZ202),ISNUMBER(BU202)),IFERROR(BZ202/BU202-1,""),"")</f>
        <v>0.0120863726337741</v>
      </c>
      <c r="CA249" s="256">
        <f>IF(AND(ISNUMBER(CA202),ISNUMBER(BV202)),IFERROR(CA202/BV202-1,""),"")</f>
        <v>0.095759004409117</v>
      </c>
      <c r="CB249" s="256">
        <f>IF(AND(ISNUMBER(CB202),ISNUMBER(CA202)),IFERROR(CB202/CA202-1,""),"")</f>
        <v>0.0850619870831597</v>
      </c>
      <c r="CC249" s="256">
        <f>IF(AND(ISNUMBER(CC202),ISNUMBER(CB202)),IFERROR(CC202/CB202-1,""),"")</f>
        <v>0.0781573575596779</v>
      </c>
      <c r="CD249" s="256">
        <f>IF(AND(ISNUMBER(CD202),ISNUMBER(CC202)),IFERROR(CD202/CC202-1,""),"")</f>
        <v>0.0753105645498853</v>
      </c>
      <c r="CE249" s="256">
        <f>IF(AND(ISNUMBER(CE202),ISNUMBER(CD202)),IFERROR(CE202/CD202-1,""),"")</f>
        <v>0.0704611906045927</v>
      </c>
      <c r="CF249" s="153" t="n"/>
    </row>
    <row r="250" ht="15" customHeight="1" s="251">
      <c r="B250" s="22" t="inlineStr">
        <is>
          <t xml:space="preserve">  Operating income (GAAP) y/y %</t>
        </is>
      </c>
      <c r="D250" s="255">
        <f>IF(AND(ISNUMBER(D170),ISNUMBER(C170)),IFERROR(D170/C170-1,""),"")</f>
        <v>-0.102024612941644</v>
      </c>
      <c r="E250" s="255">
        <f>IF(AND(ISNUMBER(E170),ISNUMBER(D170)),IFERROR(E170/D170-1,""),"")</f>
        <v>-0.338461538461538</v>
      </c>
      <c r="F250" s="255">
        <f>IF(AND(ISNUMBER(F170),ISNUMBER(E170)),IFERROR(F170/E170-1,""),"")</f>
        <v>-0.0811280406308471</v>
      </c>
      <c r="G250" s="255">
        <f>IF(AND(ISNUMBER(G170),ISNUMBER(F170)),IFERROR(G170/F170-1,""),"")</f>
        <v>0.124072727272727</v>
      </c>
      <c r="H250" s="255">
        <f>IF(AND(ISNUMBER(H170),ISNUMBER(G170)),IFERROR(H170/G170-1,""),"")</f>
        <v>0.149585921325051</v>
      </c>
      <c r="I250" s="255">
        <f>IF(AND(ISNUMBER(I170),ISNUMBER(H170)),IFERROR(I170/H170-1,""),"")</f>
        <v>0.212742008104458</v>
      </c>
      <c r="N250" s="255">
        <f>IF(AND(ISNUMBER(N170),ISNUMBER(I170)),IFERROR(N170/I170-1,""),"")</f>
        <v>0.145906812697234</v>
      </c>
      <c r="O250" s="255">
        <f>IF(AND(ISNUMBER(O170),ISNUMBER(J170)),IFERROR(O170/J170-1,""),"")</f>
        <v>0.187589158345221</v>
      </c>
      <c r="P250" s="255">
        <f>IF(AND(ISNUMBER(P170),ISNUMBER(K170)),IFERROR(P170/K170-1,""),"")</f>
        <v>0.173603192702395</v>
      </c>
      <c r="Q250" s="255">
        <f>IF(AND(ISNUMBER(Q170),ISNUMBER(L170)),IFERROR(Q170/L170-1,""),"")</f>
        <v>0.199656946826758</v>
      </c>
      <c r="R250" s="255">
        <f>IF(AND(ISNUMBER(R170),ISNUMBER(M170)),IFERROR(R170/M170-1,""),"")</f>
        <v>0.105161910868868</v>
      </c>
      <c r="S250" s="255">
        <f>IF(AND(ISNUMBER(S170),ISNUMBER(N170)),IFERROR(S170/N170-1,""),"")</f>
        <v>0.165640693341973</v>
      </c>
      <c r="T250" s="255">
        <f>IF(AND(ISNUMBER(T170),ISNUMBER(O170)),IFERROR(T170/O170-1,""),"")</f>
        <v>0.115015015015015</v>
      </c>
      <c r="U250" s="255">
        <f>IF(AND(ISNUMBER(U170),ISNUMBER(P170)),IFERROR(U170/P170-1,""),"")</f>
        <v>0.0184600437211564</v>
      </c>
      <c r="V250" s="255">
        <f>IF(AND(ISNUMBER(V170),ISNUMBER(Q170)),IFERROR(V170/Q170-1,""),"")</f>
        <v>0</v>
      </c>
      <c r="W250" s="255">
        <f>IF(AND(ISNUMBER(W170),ISNUMBER(R170)),IFERROR(W170/R170-1,""),"")</f>
        <v>-0.033652451407021</v>
      </c>
      <c r="X250" s="255">
        <f>IF(AND(ISNUMBER(X170),ISNUMBER(S170)),IFERROR(X170/S170-1,""),"")</f>
        <v>0.0238343409075115</v>
      </c>
      <c r="Y250" s="255">
        <f>IF(AND(ISNUMBER(Y170),ISNUMBER(T170)),IFERROR(Y170/T170-1,""),"")</f>
        <v>-0.180985725828171</v>
      </c>
      <c r="Z250" s="255">
        <f>IF(AND(ISNUMBER(Z170),ISNUMBER(U170)),IFERROR(Z170/U170-1,""),"")</f>
        <v>-0.0217028380634394</v>
      </c>
      <c r="AA250" s="255">
        <f>IF(AND(ISNUMBER(AA170),ISNUMBER(V170)),IFERROR(AA170/V170-1,""),"")</f>
        <v>0.136688590220189</v>
      </c>
      <c r="AB250" s="255">
        <f>IF(AND(ISNUMBER(AB170),ISNUMBER(W170)),IFERROR(AB170/W170-1,""),"")</f>
        <v>-2.42029420594416</v>
      </c>
      <c r="AC250" s="255">
        <f>IF(AND(ISNUMBER(AC170),ISNUMBER(X170)),IFERROR(AC170/X170-1,""),"")</f>
        <v>-0.56651282747387</v>
      </c>
      <c r="AD250" s="255">
        <f>IF(AND(ISNUMBER(AD170),ISNUMBER(Y170)),IFERROR(AD170/Y170-1,""),"")</f>
        <v>0.458073002301875</v>
      </c>
      <c r="AE250" s="255">
        <f>IF(AND(ISNUMBER(AE170),ISNUMBER(Z170)),IFERROR(AE170/Z170-1,""),"")</f>
        <v>0.115309605070697</v>
      </c>
      <c r="AF250" s="255">
        <f>IF(AND(ISNUMBER(AF170),ISNUMBER(AA170)),IFERROR(AF170/AA170-1,""),"")</f>
        <v>0.120503144654088</v>
      </c>
      <c r="AG250" s="255">
        <f>IF(AND(ISNUMBER(AG170),ISNUMBER(AB170)),IFERROR(AG170/AB170-1,""),"")</f>
        <v>-1.97822870429085</v>
      </c>
      <c r="AH250" s="255">
        <f>IF(AND(ISNUMBER(AH170),ISNUMBER(AC170)),IFERROR(AH170/AC170-1,""),"")</f>
        <v>1.83247220917489</v>
      </c>
      <c r="AI250" s="255">
        <f>IF(AND(ISNUMBER(AI170),ISNUMBER(AD170)),IFERROR(AI170/AD170-1,""),"")</f>
        <v>0.106901217861975</v>
      </c>
      <c r="AJ250" s="255">
        <f>IF(AND(ISNUMBER(AJ170),ISNUMBER(AE170)),IFERROR(AJ170/AE170-1,""),"")</f>
        <v>0.167213114754098</v>
      </c>
      <c r="AK250" s="255">
        <f>IF(AND(ISNUMBER(AK170),ISNUMBER(AF170)),IFERROR(AK170/AF170-1,""),"")</f>
        <v>0.0480466995958686</v>
      </c>
      <c r="AL250" s="255">
        <f>IF(AND(ISNUMBER(AL170),ISNUMBER(AG170)),IFERROR(AL170/AG170-1,""),"")</f>
        <v>-0.186257562662057</v>
      </c>
      <c r="AM250" s="255">
        <f>IF(AND(ISNUMBER(AM170),ISNUMBER(AH170)),IFERROR(AM170/AH170-1,""),"")</f>
        <v>0.0326681775468463</v>
      </c>
      <c r="AN250" s="255">
        <f>IF(AND(ISNUMBER(AN170),ISNUMBER(AI170)),IFERROR(AN170/AI170-1,""),"")</f>
        <v>-0.0592909535452325</v>
      </c>
      <c r="AO250" s="255">
        <f>IF(AND(ISNUMBER(AO170),ISNUMBER(AJ170)),IFERROR(AO170/AJ170-1,""),"")</f>
        <v>-0.094569288389513</v>
      </c>
      <c r="AP250" s="255">
        <f>IF(AND(ISNUMBER(AP170),ISNUMBER(AK170)),IFERROR(AP170/AK170-1,""),"")</f>
        <v>0.175664095972579</v>
      </c>
      <c r="AQ250" s="255">
        <f>IF(AND(ISNUMBER(AQ170),ISNUMBER(AL170)),IFERROR(AQ170/AL170-1,""),"")</f>
        <v>0.338289962825279</v>
      </c>
      <c r="AR250" s="255">
        <f>IF(AND(ISNUMBER(AR170),ISNUMBER(AM170)),IFERROR(AR170/AM170-1,""),"")</f>
        <v>0.0694786425436249</v>
      </c>
      <c r="AS250" s="255">
        <f>IF(AND(ISNUMBER(AS170),ISNUMBER(AN170)),IFERROR(AS170/AN170-1,""),"")</f>
        <v>0.282217890405025</v>
      </c>
      <c r="AT250" s="255">
        <f>IF(AND(ISNUMBER(AT170),ISNUMBER(AO170)),IFERROR(AT170/AO170-1,""),"")</f>
        <v>0.468459152016546</v>
      </c>
      <c r="AU250" s="255">
        <f>IF(AND(ISNUMBER(AU170),ISNUMBER(AP170)),IFERROR(AU170/AP170-1,""),"")</f>
        <v>0.169825072886297</v>
      </c>
      <c r="AV250" s="255">
        <f>IF(AND(ISNUMBER(AV170),ISNUMBER(AQ170)),IFERROR(AV170/AQ170-1,""),"")</f>
        <v>-0.119047619047619</v>
      </c>
      <c r="AW250" s="255">
        <f>IF(AND(ISNUMBER(AW170),ISNUMBER(AR170)),IFERROR(AW170/AR170-1,""),"")</f>
        <v>0.195195195195195</v>
      </c>
      <c r="AX250" s="255">
        <f>IF(AND(ISNUMBER(AX170),ISNUMBER(AS170)),IFERROR(AX170/AS170-1,""),"")</f>
        <v>0.440878378378378</v>
      </c>
      <c r="AY250" s="255">
        <f>IF(AND(ISNUMBER(AY170),ISNUMBER(AT170)),IFERROR(AY170/AT170-1,""),"")</f>
        <v>0.128169014084507</v>
      </c>
      <c r="AZ250" s="255">
        <f>IF(AND(ISNUMBER(AZ170),ISNUMBER(AU170)),IFERROR(AZ170/AU170-1,""),"")</f>
        <v>0.0529595015576323</v>
      </c>
      <c r="BA250" s="255">
        <f>IF(AND(ISNUMBER(BA170),ISNUMBER(AV170)),IFERROR(BA170/AV170-1,""),"")</f>
        <v>0.157657657657658</v>
      </c>
      <c r="BB250" s="255">
        <f>IF(AND(ISNUMBER(BB170),ISNUMBER(AW170)),IFERROR(BB170/AW170-1,""),"")</f>
        <v>0.190954773869347</v>
      </c>
      <c r="BC250" s="255">
        <f>IF(AND(ISNUMBER(BC170),ISNUMBER(AX170)),IFERROR(BC170/AX170-1,""),"")</f>
        <v>-0.23094958968347</v>
      </c>
      <c r="BD250" s="255">
        <f>IF(AND(ISNUMBER(BD170),ISNUMBER(AY170)),IFERROR(BD170/AY170-1,""),"")</f>
        <v>-0.365792759051186</v>
      </c>
      <c r="BE250" s="255">
        <f>IF(AND(ISNUMBER(BE170),ISNUMBER(AZ170)),IFERROR(BE170/AZ170-1,""),"")</f>
        <v>-0.38905325443787</v>
      </c>
      <c r="BF250" s="255">
        <f>IF(AND(ISNUMBER(BF170),ISNUMBER(BA170)),IFERROR(BF170/BA170-1,""),"")</f>
        <v>-0.404669260700389</v>
      </c>
      <c r="BG250" s="255">
        <f>IF(AND(ISNUMBER(BG170),ISNUMBER(BB170)),IFERROR(BG170/BB170-1,""),"")</f>
        <v>-0.337904360056259</v>
      </c>
      <c r="BH250" s="255">
        <f>IF(AND(ISNUMBER(BH170),ISNUMBER(BC170)),IFERROR(BH170/BC170-1,""),"")</f>
        <v>-0.155487804878049</v>
      </c>
      <c r="BI250" s="255">
        <f>IF(AND(ISNUMBER(BI170),ISNUMBER(BD170)),IFERROR(BI170/BD170-1,""),"")</f>
        <v>0.0826771653543308</v>
      </c>
      <c r="BJ250" s="255">
        <f>IF(AND(ISNUMBER(BJ170),ISNUMBER(BE170)),IFERROR(BJ170/BE170-1,""),"")</f>
        <v>0.295399515738499</v>
      </c>
      <c r="BK250" s="255">
        <f>IF(AND(ISNUMBER(BK170),ISNUMBER(BF170)),IFERROR(BK170/BF170-1,""),"")</f>
        <v>0.627450980392157</v>
      </c>
      <c r="BL250" s="255">
        <f>IF(AND(ISNUMBER(BL170),ISNUMBER(BG170)),IFERROR(BL170/BG170-1,""),"")</f>
        <v>0.134891131173659</v>
      </c>
      <c r="BM250" s="255">
        <f>IF(AND(ISNUMBER(BM170),ISNUMBER(BH170)),IFERROR(BM170/BH170-1,""),"")</f>
        <v>0.445848375451263</v>
      </c>
      <c r="BN250" s="255">
        <f>IF(AND(ISNUMBER(BN170),ISNUMBER(BI170)),IFERROR(BN170/BI170-1,""),"")</f>
        <v>0.409090909090909</v>
      </c>
      <c r="BO250" s="255">
        <f>IF(AND(ISNUMBER(BO170),ISNUMBER(BJ170)),IFERROR(BO170/BJ170-1,""),"")</f>
        <v>0.379439252336449</v>
      </c>
      <c r="BP250" s="255">
        <f>IF(AND(ISNUMBER(BP170),ISNUMBER(BK170)),IFERROR(BP170/BK170-1,""),"")</f>
        <v>0.126506024096386</v>
      </c>
      <c r="BQ250" s="255">
        <f>IF(AND(ISNUMBER(BQ170),ISNUMBER(BL170)),IFERROR(BQ170/BL170-1,""),"")</f>
        <v>0.345343940102948</v>
      </c>
      <c r="BR250" s="255">
        <f>IF(AND(ISNUMBER(BR170),ISNUMBER(BM170)),IFERROR(BR170/BM170-1,""),"")</f>
        <v>0.0561797752808988</v>
      </c>
      <c r="BS250" s="255">
        <f>IF(AND(ISNUMBER(BS170),ISNUMBER(BN170)),IFERROR(BS170/BN170-1,""),"")</f>
        <v>0.0554838709677419</v>
      </c>
      <c r="BT250" s="255">
        <f>IF(AND(ISNUMBER(BT170),ISNUMBER(BO170)),IFERROR(BT170/BO170-1,""),"")</f>
        <v>0.242547425474255</v>
      </c>
      <c r="BU250" s="255">
        <f>IF(AND(ISNUMBER(BU170),ISNUMBER(BP170)),IFERROR(BU170/BP170-1,""),"")</f>
        <v>0.372549019607843</v>
      </c>
      <c r="BV250" s="255">
        <f>IF(AND(ISNUMBER(BV170),ISNUMBER(BQ170)),IFERROR(BV170/BQ170-1,""),"")</f>
        <v>0.165565217391304</v>
      </c>
      <c r="BW250" s="255">
        <f>IF(AND(ISNUMBER(BW170),ISNUMBER(BR170)),IFERROR(BW170/BR170-1,""),"")</f>
        <v>0.0898345153664302</v>
      </c>
      <c r="BX250" s="255">
        <f>IF(AND(ISNUMBER(BX170),ISNUMBER(BS170)),IFERROR(BX170/BS170-1,""),"")</f>
        <v>0.278728606356968</v>
      </c>
      <c r="BY250" s="256">
        <f>IF(AND(ISNUMBER(BY170),ISNUMBER(BT170)),IFERROR(BY170/BT170-1,""),"")</f>
        <v>-0.00178567878117009</v>
      </c>
      <c r="BZ250" s="256">
        <f>IF(AND(ISNUMBER(BZ170),ISNUMBER(BU170)),IFERROR(BZ170/BU170-1,""),"")</f>
        <v>0.00145384782217173</v>
      </c>
      <c r="CA250" s="256">
        <f>IF(AND(ISNUMBER(CA170),ISNUMBER(BV170)),IFERROR(CA170/BV170-1,""),"")</f>
        <v>0.0905646062013545</v>
      </c>
      <c r="CB250" s="256">
        <f>IF(AND(ISNUMBER(CB170),ISNUMBER(CA170)),IFERROR(CB170/CA170-1,""),"")</f>
        <v>0.119639702406351</v>
      </c>
      <c r="CC250" s="256">
        <f>IF(AND(ISNUMBER(CC170),ISNUMBER(CB170)),IFERROR(CC170/CB170-1,""),"")</f>
        <v>0.103381732741732</v>
      </c>
      <c r="CD250" s="256">
        <f>IF(AND(ISNUMBER(CD170),ISNUMBER(CC170)),IFERROR(CD170/CC170-1,""),"")</f>
        <v>0.0829962865738536</v>
      </c>
      <c r="CE250" s="256">
        <f>IF(AND(ISNUMBER(CE170),ISNUMBER(CD170)),IFERROR(CE170/CD170-1,""),"")</f>
        <v>0.0774414396328742</v>
      </c>
      <c r="CF250" s="153" t="n"/>
    </row>
    <row r="251" ht="15" customHeight="1" s="251">
      <c r="B251" s="22" t="inlineStr">
        <is>
          <t xml:space="preserve">  Net income attributable y/y %</t>
        </is>
      </c>
      <c r="D251" s="255">
        <f>IF(AND(ISNUMBER(D182),ISNUMBER(C182)),IFERROR(D182/C182-1,""),"")</f>
        <v>-0.069505239421674</v>
      </c>
      <c r="E251" s="255">
        <f>IF(AND(ISNUMBER(E182),ISNUMBER(D182)),IFERROR(E182/D182-1,""),"")</f>
        <v>-0.34768353528154</v>
      </c>
      <c r="F251" s="255">
        <f>IF(AND(ISNUMBER(F182),ISNUMBER(E182)),IFERROR(F182/E182-1,""),"")</f>
        <v>-0.121503496503496</v>
      </c>
      <c r="G251" s="255">
        <f>IF(AND(ISNUMBER(G182),ISNUMBER(F182)),IFERROR(G182/F182-1,""),"")</f>
        <v>0.26318407960199</v>
      </c>
      <c r="H251" s="255">
        <f>IF(AND(ISNUMBER(H182),ISNUMBER(G182)),IFERROR(H182/G182-1,""),"")</f>
        <v>0.125246159905474</v>
      </c>
      <c r="I251" s="255">
        <f>IF(AND(ISNUMBER(I182),ISNUMBER(H182)),IFERROR(I182/H182-1,""),"")</f>
        <v>0.207560378018902</v>
      </c>
      <c r="N251" s="255">
        <f>IF(AND(ISNUMBER(N182),ISNUMBER(I182)),IFERROR(N182/I182-1,""),"")</f>
        <v>0.165942028985507</v>
      </c>
      <c r="O251" s="255">
        <f>IF(AND(ISNUMBER(O182),ISNUMBER(J182)),IFERROR(O182/J182-1,""),"")</f>
        <v>0.157112526539278</v>
      </c>
      <c r="P251" s="255">
        <f>IF(AND(ISNUMBER(P182),ISNUMBER(K182)),IFERROR(P182/K182-1,""),"")</f>
        <v>0.415521064301552</v>
      </c>
      <c r="Q251" s="255">
        <f>IF(AND(ISNUMBER(Q182),ISNUMBER(L182)),IFERROR(Q182/L182-1,""),"")</f>
        <v>0.170201196302338</v>
      </c>
      <c r="R251" s="255">
        <f>IF(AND(ISNUMBER(R182),ISNUMBER(M182)),IFERROR(R182/M182-1,""),"")</f>
        <v>0.143202709240445</v>
      </c>
      <c r="S251" s="255">
        <f>IF(AND(ISNUMBER(S182),ISNUMBER(N182)),IFERROR(S182/N182-1,""),"")</f>
        <v>0.228962088253574</v>
      </c>
      <c r="T251" s="255">
        <f>IF(AND(ISNUMBER(T182),ISNUMBER(O182)),IFERROR(T182/O182-1,""),"")</f>
        <v>0.0555045871559632</v>
      </c>
      <c r="U251" s="255">
        <f>IF(AND(ISNUMBER(U182),ISNUMBER(P182)),IFERROR(U182/P182-1,""),"")</f>
        <v>-0.180137844611528</v>
      </c>
      <c r="V251" s="255">
        <f>IF(AND(ISNUMBER(V182),ISNUMBER(Q182)),IFERROR(V182/Q182-1,""),"")</f>
        <v>0.0762081784386615</v>
      </c>
      <c r="W251" s="255">
        <f>IF(AND(ISNUMBER(W182),ISNUMBER(R182)),IFERROR(W182/R182-1,""),"")</f>
        <v>-0.0778671180702502</v>
      </c>
      <c r="X251" s="255">
        <f>IF(AND(ISNUMBER(X182),ISNUMBER(S182)),IFERROR(X182/S182-1,""),"")</f>
        <v>-0.0479417416809955</v>
      </c>
      <c r="Y251" s="255">
        <f>IF(AND(ISNUMBER(Y182),ISNUMBER(T182)),IFERROR(Y182/T182-1,""),"")</f>
        <v>-0.198609300304215</v>
      </c>
      <c r="Z251" s="255">
        <f>IF(AND(ISNUMBER(Z182),ISNUMBER(U182)),IFERROR(Z182/U182-1,""),"")</f>
        <v>-0.0236912495223548</v>
      </c>
      <c r="AA251" s="255">
        <f>IF(AND(ISNUMBER(AA182),ISNUMBER(V182)),IFERROR(AA182/V182-1,""),"")</f>
        <v>0.102331606217617</v>
      </c>
      <c r="AB251" s="255">
        <f>IF(AND(ISNUMBER(AB182),ISNUMBER(W182)),IFERROR(AB182/W182-1,""),"")</f>
        <v>-2.9669573198715</v>
      </c>
      <c r="AC251" s="255">
        <f>IF(AND(ISNUMBER(AC182),ISNUMBER(X182)),IFERROR(AC182/X182-1,""),"")</f>
        <v>-0.716774673324127</v>
      </c>
      <c r="AD251" s="255">
        <f>IF(AND(ISNUMBER(AD182),ISNUMBER(Y182)),IFERROR(AD182/Y182-1,""),"")</f>
        <v>0.874186550976139</v>
      </c>
      <c r="AE251" s="255">
        <f>IF(AND(ISNUMBER(AE182),ISNUMBER(Z182)),IFERROR(AE182/Z182-1,""),"")</f>
        <v>0.221917808219179</v>
      </c>
      <c r="AF251" s="255">
        <f>IF(AND(ISNUMBER(AF182),ISNUMBER(AA182)),IFERROR(AF182/AA182-1,""),"")</f>
        <v>0.242851547199374</v>
      </c>
      <c r="AG251" s="255">
        <f>IF(AND(ISNUMBER(AG182),ISNUMBER(AB182)),IFERROR(AG182/AB182-1,""),"")</f>
        <v>-1.05949603359776</v>
      </c>
      <c r="AH251" s="255">
        <f>IF(AND(ISNUMBER(AH182),ISNUMBER(AC182)),IFERROR(AH182/AC182-1,""),"")</f>
        <v>2.75318829707427</v>
      </c>
      <c r="AI251" s="255">
        <f>IF(AND(ISNUMBER(AI182),ISNUMBER(AD182)),IFERROR(AI182/AD182-1,""),"")</f>
        <v>0.0789930555555556</v>
      </c>
      <c r="AJ251" s="255">
        <f>IF(AND(ISNUMBER(AJ182),ISNUMBER(AE182)),IFERROR(AJ182/AE182-1,""),"")</f>
        <v>0.204996796925047</v>
      </c>
      <c r="AK251" s="255">
        <f>IF(AND(ISNUMBER(AK182),ISNUMBER(AF182)),IFERROR(AK182/AF182-1,""),"")</f>
        <v>-0.0223763000315164</v>
      </c>
      <c r="AL251" s="255">
        <f>IF(AND(ISNUMBER(AL182),ISNUMBER(AG182)),IFERROR(AL182/AG182-1,""),"")</f>
        <v>8.81568627450976</v>
      </c>
      <c r="AM251" s="255">
        <f>IF(AND(ISNUMBER(AM182),ISNUMBER(AH182)),IFERROR(AM182/AH182-1,""),"")</f>
        <v>0.308814711173296</v>
      </c>
      <c r="AN251" s="255">
        <f>IF(AND(ISNUMBER(AN182),ISNUMBER(AI182)),IFERROR(AN182/AI182-1,""),"")</f>
        <v>0</v>
      </c>
      <c r="AO251" s="255">
        <f>IF(AND(ISNUMBER(AO182),ISNUMBER(AJ182)),IFERROR(AO182/AJ182-1,""),"")</f>
        <v>-0.175172780435938</v>
      </c>
      <c r="AP251" s="255">
        <f>IF(AND(ISNUMBER(AP182),ISNUMBER(AK182)),IFERROR(AP182/AK182-1,""),"")</f>
        <v>0.223081882656351</v>
      </c>
      <c r="AQ251" s="255">
        <f>IF(AND(ISNUMBER(AQ182),ISNUMBER(AL182)),IFERROR(AQ182/AL182-1,""),"")</f>
        <v>0.434278865361567</v>
      </c>
      <c r="AR251" s="255">
        <f>IF(AND(ISNUMBER(AR182),ISNUMBER(AM182)),IFERROR(AR182/AM182-1,""),"")</f>
        <v>0.0858277336591329</v>
      </c>
      <c r="AS251" s="255">
        <f>IF(AND(ISNUMBER(AS182),ISNUMBER(AN182)),IFERROR(AS182/AN182-1,""),"")</f>
        <v>0.308661839635291</v>
      </c>
      <c r="AT251" s="255">
        <f>IF(AND(ISNUMBER(AT182),ISNUMBER(AO182)),IFERROR(AT182/AO182-1,""),"")</f>
        <v>0.640348050273929</v>
      </c>
      <c r="AU251" s="255">
        <f>IF(AND(ISNUMBER(AU182),ISNUMBER(AP182)),IFERROR(AU182/AP182-1,""),"")</f>
        <v>0.230890880337375</v>
      </c>
      <c r="AV251" s="255">
        <f>IF(AND(ISNUMBER(AV182),ISNUMBER(AQ182)),IFERROR(AV182/AQ182-1,""),"")</f>
        <v>-0.125348189415042</v>
      </c>
      <c r="AW251" s="255">
        <f>IF(AND(ISNUMBER(AW182),ISNUMBER(AR182)),IFERROR(AW182/AR182-1,""),"")</f>
        <v>0.250351617440225</v>
      </c>
      <c r="AX251" s="255">
        <f>IF(AND(ISNUMBER(AX182),ISNUMBER(AS182)),IFERROR(AX182/AS182-1,""),"")</f>
        <v>0.508196721311475</v>
      </c>
      <c r="AY251" s="255">
        <f>IF(AND(ISNUMBER(AY182),ISNUMBER(AT182)),IFERROR(AY182/AT182-1,""),"")</f>
        <v>0.133595284872299</v>
      </c>
      <c r="AZ251" s="255">
        <f>IF(AND(ISNUMBER(AZ182),ISNUMBER(AU182)),IFERROR(AZ182/AU182-1,""),"")</f>
        <v>0.0149892933618843</v>
      </c>
      <c r="BA251" s="255">
        <f>IF(AND(ISNUMBER(BA182),ISNUMBER(AV182)),IFERROR(BA182/AV182-1,""),"")</f>
        <v>0.359872611464968</v>
      </c>
      <c r="BB251" s="255">
        <f>IF(AND(ISNUMBER(BB182),ISNUMBER(AW182)),IFERROR(BB182/AW182-1,""),"")</f>
        <v>0.245219347581552</v>
      </c>
      <c r="BC251" s="255">
        <f>IF(AND(ISNUMBER(BC182),ISNUMBER(AX182)),IFERROR(BC182/AX182-1,""),"")</f>
        <v>-0.323369565217391</v>
      </c>
      <c r="BD251" s="255">
        <f>IF(AND(ISNUMBER(BD182),ISNUMBER(AY182)),IFERROR(BD182/AY182-1,""),"")</f>
        <v>-0.433275563258232</v>
      </c>
      <c r="BE251" s="255">
        <f>IF(AND(ISNUMBER(BE182),ISNUMBER(AZ182)),IFERROR(BE182/AZ182-1,""),"")</f>
        <v>-0.360759493670886</v>
      </c>
      <c r="BF251" s="255">
        <f>IF(AND(ISNUMBER(BF182),ISNUMBER(BA182)),IFERROR(BF182/BA182-1,""),"")</f>
        <v>-0.423887587822014</v>
      </c>
      <c r="BG251" s="255">
        <f>IF(AND(ISNUMBER(BG182),ISNUMBER(BB182)),IFERROR(BG182/BB182-1,""),"")</f>
        <v>-0.37940379403794</v>
      </c>
      <c r="BH251" s="255">
        <f>IF(AND(ISNUMBER(BH182),ISNUMBER(BC182)),IFERROR(BH182/BC182-1,""),"")</f>
        <v>0.00602409638554224</v>
      </c>
      <c r="BI251" s="255">
        <f>IF(AND(ISNUMBER(BI182),ISNUMBER(BD182)),IFERROR(BI182/BD182-1,""),"")</f>
        <v>0.152905198776758</v>
      </c>
      <c r="BJ251" s="255">
        <f>IF(AND(ISNUMBER(BJ182),ISNUMBER(BE182)),IFERROR(BJ182/BE182-1,""),"")</f>
        <v>0.283828382838284</v>
      </c>
      <c r="BK251" s="255">
        <f>IF(AND(ISNUMBER(BK182),ISNUMBER(BF182)),IFERROR(BK182/BF182-1,""),"")</f>
        <v>0.382113821138211</v>
      </c>
      <c r="BL251" s="255">
        <f>IF(AND(ISNUMBER(BL182),ISNUMBER(BG182)),IFERROR(BL182/BG182-1,""),"")</f>
        <v>0.169577874818049</v>
      </c>
      <c r="BM251" s="255">
        <f>IF(AND(ISNUMBER(BM182),ISNUMBER(BH182)),IFERROR(BM182/BH182-1,""),"")</f>
        <v>0.151696606786427</v>
      </c>
      <c r="BN251" s="255">
        <f>IF(AND(ISNUMBER(BN182),ISNUMBER(BI182)),IFERROR(BN182/BI182-1,""),"")</f>
        <v>0.464190981432361</v>
      </c>
      <c r="BO251" s="255">
        <f>IF(AND(ISNUMBER(BO182),ISNUMBER(BJ182)),IFERROR(BO182/BJ182-1,""),"")</f>
        <v>0.372750642673522</v>
      </c>
      <c r="BP251" s="255">
        <f>IF(AND(ISNUMBER(BP182),ISNUMBER(BK182)),IFERROR(BP182/BK182-1,""),"")</f>
        <v>0.161764705882353</v>
      </c>
      <c r="BQ251" s="255">
        <f>IF(AND(ISNUMBER(BQ182),ISNUMBER(BL182)),IFERROR(BQ182/BL182-1,""),"")</f>
        <v>0.280647168637212</v>
      </c>
      <c r="BR251" s="255">
        <f>IF(AND(ISNUMBER(BR182),ISNUMBER(BM182)),IFERROR(BR182/BM182-1,""),"")</f>
        <v>0.0831889081455806</v>
      </c>
      <c r="BS251" s="255">
        <f>IF(AND(ISNUMBER(BS182),ISNUMBER(BN182)),IFERROR(BS182/BN182-1,""),"")</f>
        <v>0.0471014492753623</v>
      </c>
      <c r="BT251" s="255">
        <f>IF(AND(ISNUMBER(BT182),ISNUMBER(BO182)),IFERROR(BT182/BO182-1,""),"")</f>
        <v>0.209737827715356</v>
      </c>
      <c r="BU251" s="255">
        <f>IF(AND(ISNUMBER(BU182),ISNUMBER(BP182)),IFERROR(BU182/BP182-1,""),"")</f>
        <v>0.544303797468354</v>
      </c>
      <c r="BV251" s="255">
        <f>IF(AND(ISNUMBER(BV182),ISNUMBER(BQ182)),IFERROR(BV182/BQ182-1,""),"")</f>
        <v>0.194849368318756</v>
      </c>
      <c r="BW251" s="255">
        <f>IF(AND(ISNUMBER(BW182),ISNUMBER(BR182)),IFERROR(BW182/BR182-1,""),"")</f>
        <v>0.0576000000000001</v>
      </c>
      <c r="BX251" s="255">
        <f>IF(AND(ISNUMBER(BX182),ISNUMBER(BS182)),IFERROR(BX182/BS182-1,""),"")</f>
        <v>0.519031141868512</v>
      </c>
      <c r="BY251" s="256">
        <f>IF(AND(ISNUMBER(BY182),ISNUMBER(BT182)),IFERROR(BY182/BT182-1,""),"")</f>
        <v>0.0129961683340976</v>
      </c>
      <c r="BZ251" s="256">
        <f>IF(AND(ISNUMBER(BZ182),ISNUMBER(BU182)),IFERROR(BZ182/BU182-1,""),"")</f>
        <v>0.041329166795959</v>
      </c>
      <c r="CA251" s="256">
        <f>IF(AND(ISNUMBER(CA182),ISNUMBER(BV182)),IFERROR(CA182/BV182-1,""),"")</f>
        <v>0.150307570756145</v>
      </c>
      <c r="CB251" s="256">
        <f>IF(AND(ISNUMBER(CB182),ISNUMBER(CA182)),IFERROR(CB182/CA182-1,""),"")</f>
        <v>0.0341079196781422</v>
      </c>
      <c r="CC251" s="256">
        <f>IF(AND(ISNUMBER(CC182),ISNUMBER(CB182)),IFERROR(CC182/CB182-1,""),"")</f>
        <v>0.0998607881497879</v>
      </c>
      <c r="CD251" s="256">
        <f>IF(AND(ISNUMBER(CD182),ISNUMBER(CC182)),IFERROR(CD182/CC182-1,""),"")</f>
        <v>0.0825865456219912</v>
      </c>
      <c r="CE251" s="256">
        <f>IF(AND(ISNUMBER(CE182),ISNUMBER(CD182)),IFERROR(CE182/CD182-1,""),"")</f>
        <v>0.0750069530212401</v>
      </c>
      <c r="CF251" s="153" t="n"/>
    </row>
    <row r="252" ht="15" customHeight="1" s="251">
      <c r="B252" s="22" t="inlineStr">
        <is>
          <t xml:space="preserve">  Adjusted diluted EPS y/y %</t>
        </is>
      </c>
      <c r="D252" s="255">
        <f>IF(AND(ISNUMBER(D238),ISNUMBER(C238)),IFERROR(D238/C238-1,""),"")</f>
        <v>0.0334221265161074</v>
      </c>
      <c r="E252" s="255">
        <f>IF(AND(ISNUMBER(E238),ISNUMBER(D238)),IFERROR(E238/D238-1,""),"")</f>
        <v>-0.272478904944164</v>
      </c>
      <c r="F252" s="255">
        <f>IF(AND(ISNUMBER(F238),ISNUMBER(E238)),IFERROR(F238/E238-1,""),"")</f>
        <v>-0.0625109427178586</v>
      </c>
      <c r="G252" s="255">
        <f>IF(AND(ISNUMBER(G238),ISNUMBER(F238)),IFERROR(G238/F238-1,""),"")</f>
        <v>0.249944805341966</v>
      </c>
      <c r="H252" s="255">
        <f>IF(AND(ISNUMBER(H238),ISNUMBER(G238)),IFERROR(H238/G238-1,""),"")</f>
        <v>0.156595242108275</v>
      </c>
      <c r="I252" s="255">
        <f>IF(AND(ISNUMBER(I238),ISNUMBER(H238)),IFERROR(I238/H238-1,""),"")</f>
        <v>0.215283486888731</v>
      </c>
      <c r="N252" s="255">
        <f>IF(AND(ISNUMBER(N238),ISNUMBER(I238)),IFERROR(N238/I238-1,""),"")</f>
        <v>0.220735785953177</v>
      </c>
      <c r="O252" s="255">
        <f>IF(AND(ISNUMBER(O238),ISNUMBER(J238)),IFERROR(O238/J238-1,""),"")</f>
        <v>0.205944798301486</v>
      </c>
      <c r="P252" s="255">
        <f>IF(AND(ISNUMBER(P238),ISNUMBER(K238)),IFERROR(P238/K238-1,""),"")</f>
        <v>0.123476718403548</v>
      </c>
      <c r="Q252" s="255">
        <f>IF(AND(ISNUMBER(Q238),ISNUMBER(L238)),IFERROR(Q238/L238-1,""),"")</f>
        <v>0.168674698795181</v>
      </c>
      <c r="R252" s="255">
        <f>IF(AND(ISNUMBER(R238),ISNUMBER(M238)),IFERROR(R238/M238-1,""),"")</f>
        <v>0.317647058823529</v>
      </c>
      <c r="S252" s="255">
        <f>IF(AND(ISNUMBER(S238),ISNUMBER(N238)),IFERROR(S238/N238-1,""),"")</f>
        <v>0.153424657534247</v>
      </c>
      <c r="T252" s="255">
        <f>IF(AND(ISNUMBER(T238),ISNUMBER(O238)),IFERROR(T238/O238-1,""),"")</f>
        <v>0.114285714285714</v>
      </c>
      <c r="U252" s="255">
        <f>IF(AND(ISNUMBER(U238),ISNUMBER(P238)),IFERROR(U238/P238-1,""),"")</f>
        <v>0.142857142857143</v>
      </c>
      <c r="V252" s="255">
        <f>IF(AND(ISNUMBER(V238),ISNUMBER(Q238)),IFERROR(V238/Q238-1,""),"")</f>
        <v>0.144329896907216</v>
      </c>
      <c r="W252" s="255">
        <f>IF(AND(ISNUMBER(W238),ISNUMBER(R238)),IFERROR(W238/R238-1,""),"")</f>
        <v>-0.0282039389182249</v>
      </c>
      <c r="X252" s="255">
        <f>IF(AND(ISNUMBER(X238),ISNUMBER(S238)),IFERROR(X238/S238-1,""),"")</f>
        <v>0.0926365795724464</v>
      </c>
      <c r="Y252" s="255">
        <f>IF(AND(ISNUMBER(Y238),ISNUMBER(T238)),IFERROR(Y238/T238-1,""),"")</f>
        <v>-0.163783832808593</v>
      </c>
      <c r="Z252" s="255">
        <f>IF(AND(ISNUMBER(Z238),ISNUMBER(U238)),IFERROR(Z238/U238-1,""),"")</f>
        <v>0.0194554392236972</v>
      </c>
      <c r="AA252" s="255">
        <f>IF(AND(ISNUMBER(AA238),ISNUMBER(V238)),IFERROR(AA238/V238-1,""),"")</f>
        <v>0.207207207207207</v>
      </c>
      <c r="AB252" s="255">
        <f>IF(AND(ISNUMBER(AB238),ISNUMBER(W238)),IFERROR(AB238/W238-1,""),"")</f>
        <v>0.127322334609816</v>
      </c>
      <c r="AC252" s="255">
        <f>IF(AND(ISNUMBER(AC238),ISNUMBER(X238)),IFERROR(AC238/X238-1,""),"")</f>
        <v>0.0464598816252058</v>
      </c>
      <c r="AD252" s="255">
        <f>IF(AND(ISNUMBER(AD238),ISNUMBER(Y238)),IFERROR(AD238/Y238-1,""),"")</f>
        <v>0.579160354261306</v>
      </c>
      <c r="AE252" s="255">
        <f>IF(AND(ISNUMBER(AE238),ISNUMBER(Z238)),IFERROR(AE238/Z238-1,""),"")</f>
        <v>0.160582762304634</v>
      </c>
      <c r="AF252" s="255">
        <f>IF(AND(ISNUMBER(AF238),ISNUMBER(AA238)),IFERROR(AF238/AA238-1,""),"")</f>
        <v>0.13497427853007</v>
      </c>
      <c r="AG252" s="255">
        <f>IF(AND(ISNUMBER(AG238),ISNUMBER(AB238)),IFERROR(AG238/AB238-1,""),"")</f>
        <v>0.232984154731123</v>
      </c>
      <c r="AH252" s="255">
        <f>IF(AND(ISNUMBER(AH238),ISNUMBER(AC238)),IFERROR(AH238/AC238-1,""),"")</f>
        <v>0.260451783411469</v>
      </c>
      <c r="AI252" s="255">
        <f>IF(AND(ISNUMBER(AI238),ISNUMBER(AD238)),IFERROR(AI238/AD238-1,""),"")</f>
        <v>0.374241267597655</v>
      </c>
      <c r="AJ252" s="255">
        <f>IF(AND(ISNUMBER(AJ238),ISNUMBER(AE238)),IFERROR(AJ238/AE238-1,""),"")</f>
        <v>0.349484720381938</v>
      </c>
      <c r="AK252" s="255">
        <f>IF(AND(ISNUMBER(AK238),ISNUMBER(AF238)),IFERROR(AK238/AF238-1,""),"")</f>
        <v>0.113558843814659</v>
      </c>
      <c r="AL252" s="255">
        <f>IF(AND(ISNUMBER(AL238),ISNUMBER(AG238)),IFERROR(AL238/AG238-1,""),"")</f>
        <v>0.0773613014719026</v>
      </c>
      <c r="AM252" s="255">
        <f>IF(AND(ISNUMBER(AM238),ISNUMBER(AH238)),IFERROR(AM238/AH238-1,""),"")</f>
        <v>0.217620663654026</v>
      </c>
      <c r="AN252" s="255">
        <f>IF(AND(ISNUMBER(AN238),ISNUMBER(AI238)),IFERROR(AN238/AI238-1,""),"")</f>
        <v>0.0218989653458919</v>
      </c>
      <c r="AO252" s="255">
        <f>IF(AND(ISNUMBER(AO238),ISNUMBER(AJ238)),IFERROR(AO238/AJ238-1,""),"")</f>
        <v>0.0133913587389209</v>
      </c>
      <c r="AP252" s="255">
        <f>IF(AND(ISNUMBER(AP238),ISNUMBER(AK238)),IFERROR(AP238/AK238-1,""),"")</f>
        <v>0.270849239233314</v>
      </c>
      <c r="AQ252" s="255">
        <f>IF(AND(ISNUMBER(AQ238),ISNUMBER(AL238)),IFERROR(AQ238/AL238-1,""),"")</f>
        <v>0.226427679693209</v>
      </c>
      <c r="AR252" s="255">
        <f>IF(AND(ISNUMBER(AR238),ISNUMBER(AM238)),IFERROR(AR238/AM238-1,""),"")</f>
        <v>0.121853976176404</v>
      </c>
      <c r="AS252" s="255">
        <f>IF(AND(ISNUMBER(AS238),ISNUMBER(AN238)),IFERROR(AS238/AN238-1,""),"")</f>
        <v>0.322145120566655</v>
      </c>
      <c r="AT252" s="255">
        <f>IF(AND(ISNUMBER(AT238),ISNUMBER(AO238)),IFERROR(AT238/AO238-1,""),"")</f>
        <v>0.359096602912857</v>
      </c>
      <c r="AU252" s="255">
        <f>IF(AND(ISNUMBER(AU238),ISNUMBER(AP238)),IFERROR(AU238/AP238-1,""),"")</f>
        <v>0.249306921003058</v>
      </c>
      <c r="AV252" s="255">
        <f>IF(AND(ISNUMBER(AV238),ISNUMBER(AQ238)),IFERROR(AV238/AQ238-1,""),"")</f>
        <v>-0.0428381970224123</v>
      </c>
      <c r="AW252" s="255">
        <f>IF(AND(ISNUMBER(AW238),ISNUMBER(AR238)),IFERROR(AW238/AR238-1,""),"")</f>
        <v>0.224395592405269</v>
      </c>
      <c r="AX252" s="255">
        <f>IF(AND(ISNUMBER(AX238),ISNUMBER(AS238)),IFERROR(AX238/AS238-1,""),"")</f>
        <v>0.484664485724931</v>
      </c>
      <c r="AY252" s="255">
        <f>IF(AND(ISNUMBER(AY238),ISNUMBER(AT238)),IFERROR(AY238/AT238-1,""),"")</f>
        <v>0.14387552169407</v>
      </c>
      <c r="AZ252" s="255">
        <f>IF(AND(ISNUMBER(AZ238),ISNUMBER(AU238)),IFERROR(AZ238/AU238-1,""),"")</f>
        <v>-0.00123563366084267</v>
      </c>
      <c r="BA252" s="255">
        <f>IF(AND(ISNUMBER(BA238),ISNUMBER(AV238)),IFERROR(BA238/AV238-1,""),"")</f>
        <v>0.215988490362447</v>
      </c>
      <c r="BB252" s="255">
        <f>IF(AND(ISNUMBER(BB238),ISNUMBER(AW238)),IFERROR(BB238/AW238-1,""),"")</f>
        <v>0.210933801054367</v>
      </c>
      <c r="BC252" s="255">
        <f>IF(AND(ISNUMBER(BC238),ISNUMBER(AX238)),IFERROR(BC238/AX238-1,""),"")</f>
        <v>-0.288609328739556</v>
      </c>
      <c r="BD252" s="255">
        <f>IF(AND(ISNUMBER(BD238),ISNUMBER(AY238)),IFERROR(BD238/AY238-1,""),"")</f>
        <v>-0.311318604204193</v>
      </c>
      <c r="BE252" s="255">
        <f>IF(AND(ISNUMBER(BE238),ISNUMBER(AZ238)),IFERROR(BE238/AZ238-1,""),"")</f>
        <v>-0.311558598382516</v>
      </c>
      <c r="BF252" s="255">
        <f>IF(AND(ISNUMBER(BF238),ISNUMBER(BA238)),IFERROR(BF238/BA238-1,""),"")</f>
        <v>-0.31051728352565</v>
      </c>
      <c r="BG252" s="255">
        <f>IF(AND(ISNUMBER(BG238),ISNUMBER(BB238)),IFERROR(BG238/BB238-1,""),"")</f>
        <v>-0.302984508020802</v>
      </c>
      <c r="BH252" s="255">
        <f>IF(AND(ISNUMBER(BH238),ISNUMBER(BC238)),IFERROR(BH238/BC238-1,""),"")</f>
        <v>0.0353352208185778</v>
      </c>
      <c r="BI252" s="255">
        <f>IF(AND(ISNUMBER(BI238),ISNUMBER(BD238)),IFERROR(BI238/BD238-1,""),"")</f>
        <v>0.0361905645129239</v>
      </c>
      <c r="BJ252" s="255">
        <f>IF(AND(ISNUMBER(BJ238),ISNUMBER(BE238)),IFERROR(BJ238/BE238-1,""),"")</f>
        <v>0.313991368286445</v>
      </c>
      <c r="BK252" s="255">
        <f>IF(AND(ISNUMBER(BK238),ISNUMBER(BF238)),IFERROR(BK238/BF238-1,""),"")</f>
        <v>0.364938517779994</v>
      </c>
      <c r="BL252" s="255">
        <f>IF(AND(ISNUMBER(BL238),ISNUMBER(BG238)),IFERROR(BL238/BG238-1,""),"")</f>
        <v>0.156088193261144</v>
      </c>
      <c r="BM252" s="255">
        <f>IF(AND(ISNUMBER(BM238),ISNUMBER(BH238)),IFERROR(BM238/BH238-1,""),"")</f>
        <v>0.127925052047189</v>
      </c>
      <c r="BN252" s="255">
        <f>IF(AND(ISNUMBER(BN238),ISNUMBER(BI238)),IFERROR(BN238/BI238-1,""),"")</f>
        <v>0.426965856683331</v>
      </c>
      <c r="BO252" s="255">
        <f>IF(AND(ISNUMBER(BO238),ISNUMBER(BJ238)),IFERROR(BO238/BJ238-1,""),"")</f>
        <v>0.319481474671325</v>
      </c>
      <c r="BP252" s="255">
        <f>IF(AND(ISNUMBER(BP238),ISNUMBER(BK238)),IFERROR(BP238/BK238-1,""),"")</f>
        <v>0.196461281922802</v>
      </c>
      <c r="BQ252" s="255">
        <f>IF(AND(ISNUMBER(BQ238),ISNUMBER(BL238)),IFERROR(BQ238/BL238-1,""),"")</f>
        <v>0.259723491450658</v>
      </c>
      <c r="BR252" s="255">
        <f>IF(AND(ISNUMBER(BR238),ISNUMBER(BM238)),IFERROR(BR238/BM238-1,""),"")</f>
        <v>0.136472151628958</v>
      </c>
      <c r="BS252" s="255">
        <f>IF(AND(ISNUMBER(BS238),ISNUMBER(BN238)),IFERROR(BS238/BN238-1,""),"")</f>
        <v>0.0832408435072143</v>
      </c>
      <c r="BT252" s="255">
        <f>IF(AND(ISNUMBER(BT238),ISNUMBER(BO238)),IFERROR(BT238/BO238-1,""),"")</f>
        <v>0.222850398796947</v>
      </c>
      <c r="BU252" s="255">
        <f>IF(AND(ISNUMBER(BU238),ISNUMBER(BP238)),IFERROR(BU238/BP238-1,""),"")</f>
        <v>0.390606998255374</v>
      </c>
      <c r="BV252" s="255">
        <f>IF(AND(ISNUMBER(BV238),ISNUMBER(BQ238)),IFERROR(BV238/BQ238-1,""),"")</f>
        <v>0.197376486034731</v>
      </c>
      <c r="BW252" s="255">
        <f>IF(AND(ISNUMBER(BW238),ISNUMBER(BR238)),IFERROR(BW238/BR238-1,""),"")</f>
        <v>0.129636421727322</v>
      </c>
      <c r="BX252" s="255">
        <f>IF(AND(ISNUMBER(BX238),ISNUMBER(BS238)),IFERROR(BX238/BS238-1,""),"")</f>
        <v>0.316647564469914</v>
      </c>
      <c r="BY252" s="256">
        <f>IF(AND(ISNUMBER(BY238),ISNUMBER(BT238)),IFERROR(BY238/BT238-1,""),"")</f>
        <v>0.0662709317420394</v>
      </c>
      <c r="BZ252" s="256">
        <f>IF(AND(ISNUMBER(BZ238),ISNUMBER(BU238)),IFERROR(BZ238/BU238-1,""),"")</f>
        <v>-0.0229383240283981</v>
      </c>
      <c r="CA252" s="256">
        <f>IF(AND(ISNUMBER(CA238),ISNUMBER(BV238)),IFERROR(CA238/BV238-1,""),"")</f>
        <v>0.12144585039077</v>
      </c>
      <c r="CB252" s="256">
        <f>IF(AND(ISNUMBER(CB238),ISNUMBER(CA238)),IFERROR(CB238/CA238-1,""),"")</f>
        <v>0.102935967282834</v>
      </c>
      <c r="CC252" s="256">
        <f>IF(AND(ISNUMBER(CC238),ISNUMBER(CB238)),IFERROR(CC238/CB238-1,""),"")</f>
        <v>0.105462920788375</v>
      </c>
      <c r="CD252" s="256">
        <f>IF(AND(ISNUMBER(CD238),ISNUMBER(CC238)),IFERROR(CD238/CC238-1,""),"")</f>
        <v>0.105450108502611</v>
      </c>
      <c r="CE252" s="256">
        <f>IF(AND(ISNUMBER(CE238),ISNUMBER(CD238)),IFERROR(CE238/CD238-1,""),"")</f>
        <v>0.101474074328265</v>
      </c>
      <c r="CF252" s="153" t="n"/>
    </row>
    <row r="253" ht="15" customHeight="1" s="251">
      <c r="B253" s="25" t="inlineStr">
        <is>
          <t xml:space="preserve">  Adjusted Operating Margin %</t>
        </is>
      </c>
      <c r="C253" s="215">
        <f>IF(AND(ISNUMBER(C202),ISNUMBER(C163)),IFERROR(C202/C163,""),"")</f>
        <v>0.558833636051249</v>
      </c>
      <c r="D253" s="215">
        <f>IF(AND(ISNUMBER(D202),ISNUMBER(D163)),IFERROR(D202/D163,""),"")</f>
        <v>0.541788401947765</v>
      </c>
      <c r="E253" s="215">
        <f>IF(AND(ISNUMBER(E202),ISNUMBER(E163)),IFERROR(E202/E163,""),"")</f>
        <v>0.467585735444913</v>
      </c>
      <c r="F253" s="215">
        <f>IF(AND(ISNUMBER(F202),ISNUMBER(F163)),IFERROR(F202/F163,""),"")</f>
        <v>0.427943467616292</v>
      </c>
      <c r="G253" s="215">
        <f>IF(AND(ISNUMBER(G202),ISNUMBER(G163)),IFERROR(G202/G163,""),"")</f>
        <v>0.412992125984252</v>
      </c>
      <c r="H253" s="215">
        <f>IF(AND(ISNUMBER(H202),ISNUMBER(H163)),IFERROR(H202/H163,""),"")</f>
        <v>0.424255710965932</v>
      </c>
      <c r="I253" s="215">
        <f>IF(AND(ISNUMBER(I202),ISNUMBER(I163)),IFERROR(I202/I163,""),"")</f>
        <v>0.433322345529795</v>
      </c>
      <c r="J253" s="215">
        <f>IF(AND(ISNUMBER(J202),ISNUMBER(J163)),IFERROR(J202/J163,""),"")</f>
        <v>0.415414047553976</v>
      </c>
      <c r="K253" s="215">
        <f>IF(AND(ISNUMBER(K202),ISNUMBER(K163)),IFERROR(K202/K163,""),"")</f>
        <v>0.49457671957672</v>
      </c>
      <c r="L253" s="215">
        <f>IF(AND(ISNUMBER(L202),ISNUMBER(L163)),IFERROR(L202/L163,""),"")</f>
        <v>0.446350106307583</v>
      </c>
      <c r="M253" s="215">
        <f>IF(AND(ISNUMBER(M202),ISNUMBER(M163)),IFERROR(M202/M163,""),"")</f>
        <v>0.430184804928131</v>
      </c>
      <c r="N253" s="215">
        <f>IF(AND(ISNUMBER(N202),ISNUMBER(N163)),IFERROR(N202/N163,""),"")</f>
        <v>0.446761984861228</v>
      </c>
      <c r="O253" s="215">
        <f>IF(AND(ISNUMBER(O202),ISNUMBER(O163)),IFERROR(O202/O163,""),"")</f>
        <v>0.464155370177268</v>
      </c>
      <c r="P253" s="215">
        <f>IF(AND(ISNUMBER(P202),ISNUMBER(P163)),IFERROR(P202/P163,""),"")</f>
        <v>0.496851745850029</v>
      </c>
      <c r="Q253" s="215">
        <f>IF(AND(ISNUMBER(Q202),ISNUMBER(Q163)),IFERROR(Q202/Q163,""),"")</f>
        <v>0.456929297880162</v>
      </c>
      <c r="R253" s="215">
        <f>IF(AND(ISNUMBER(R202),ISNUMBER(R163)),IFERROR(R202/R163,""),"")</f>
        <v>0.423589743589744</v>
      </c>
      <c r="S253" s="215">
        <f>IF(AND(ISNUMBER(S202),ISNUMBER(S163)),IFERROR(S202/S163,""),"")</f>
        <v>0.460276519809255</v>
      </c>
      <c r="T253" s="215">
        <f>IF(AND(ISNUMBER(T202),ISNUMBER(T163)),IFERROR(T202/T163,""),"")</f>
        <v>0.46199168207024</v>
      </c>
      <c r="U253" s="215">
        <f>IF(AND(ISNUMBER(U202),ISNUMBER(U163)),IFERROR(U202/U163,""),"")</f>
        <v>0.487092909269143</v>
      </c>
      <c r="V253" s="215">
        <f>IF(AND(ISNUMBER(V202),ISNUMBER(V163)),IFERROR(V202/V163,""),"")</f>
        <v>0.452748832195473</v>
      </c>
      <c r="W253" s="215">
        <f>IF(AND(ISNUMBER(W202),ISNUMBER(W163)),IFERROR(W202/W163,""),"")</f>
        <v>0.417831158332371</v>
      </c>
      <c r="X253" s="215">
        <f>IF(AND(ISNUMBER(X202),ISNUMBER(X163)),IFERROR(X202/X163,""),"")</f>
        <v>0.455416846032429</v>
      </c>
      <c r="Y253" s="215">
        <f>IF(AND(ISNUMBER(Y202),ISNUMBER(Y163)),IFERROR(Y202/Y163,""),"")</f>
        <v>0.409263570640853</v>
      </c>
      <c r="Z253" s="215">
        <f>IF(AND(ISNUMBER(Z202),ISNUMBER(Z163)),IFERROR(Z202/Z163,""),"")</f>
        <v>0.475185703520293</v>
      </c>
      <c r="AA253" s="215">
        <f>IF(AND(ISNUMBER(AA202),ISNUMBER(AA163)),IFERROR(AA202/AA163,""),"")</f>
        <v>0.478246647039581</v>
      </c>
      <c r="AB253" s="215">
        <f>IF(AND(ISNUMBER(AB202),ISNUMBER(AB163)),IFERROR(AB202/AB163,""),"")</f>
        <v>0.449633796836854</v>
      </c>
      <c r="AC253" s="215">
        <f>IF(AND(ISNUMBER(AC202),ISNUMBER(AC163)),IFERROR(AC202/AC163,""),"")</f>
        <v>0.45535763831086</v>
      </c>
      <c r="AD253" s="215">
        <f>IF(AND(ISNUMBER(AD202),ISNUMBER(AD163)),IFERROR(AD202/AD163,""),"")</f>
        <v>0.488002461033634</v>
      </c>
      <c r="AE253" s="215">
        <f>IF(AND(ISNUMBER(AE202),ISNUMBER(AE163)),IFERROR(AE202/AE163,""),"")</f>
        <v>0.496751624187906</v>
      </c>
      <c r="AF253" s="215">
        <f>IF(AND(ISNUMBER(AF202),ISNUMBER(AF163)),IFERROR(AF202/AF163,""),"")</f>
        <v>0.468999905917772</v>
      </c>
      <c r="AG253" s="215">
        <f>IF(AND(ISNUMBER(AG202),ISNUMBER(AG163)),IFERROR(AG202/AG163,""),"")</f>
        <v>0.444873444873445</v>
      </c>
      <c r="AH253" s="215">
        <f>IF(AND(ISNUMBER(AH202),ISNUMBER(AH163)),IFERROR(AH202/AH163,""),"")</f>
        <v>0.473323660236436</v>
      </c>
      <c r="AI253" s="215">
        <f>IF(AND(ISNUMBER(AI202),ISNUMBER(AI163)),IFERROR(AI202/AI163,""),"")</f>
        <v>0.47989704446614</v>
      </c>
      <c r="AJ253" s="215">
        <f>IF(AND(ISNUMBER(AJ202),ISNUMBER(AJ163)),IFERROR(AJ202/AJ163,""),"")</f>
        <v>0.497319377074291</v>
      </c>
      <c r="AK253" s="215">
        <f>IF(AND(ISNUMBER(AK202),ISNUMBER(AK163)),IFERROR(AK202/AK163,""),"")</f>
        <v>0.475758697261288</v>
      </c>
      <c r="AL253" s="215">
        <f>IF(AND(ISNUMBER(AL202),ISNUMBER(AL163)),IFERROR(AL202/AL163,""),"")</f>
        <v>0.450712196962551</v>
      </c>
      <c r="AM253" s="215">
        <f>IF(AND(ISNUMBER(AM202),ISNUMBER(AM163)),IFERROR(AM202/AM163,""),"")</f>
        <v>0.476534539806874</v>
      </c>
      <c r="AN253" s="215">
        <f>IF(AND(ISNUMBER(AN202),ISNUMBER(AN163)),IFERROR(AN202/AN163,""),"")</f>
        <v>0.454338499255757</v>
      </c>
      <c r="AO253" s="215">
        <f>IF(AND(ISNUMBER(AO202),ISNUMBER(AO163)),IFERROR(AO202/AO163,""),"")</f>
        <v>0.493572841133817</v>
      </c>
      <c r="AP253" s="215">
        <f>IF(AND(ISNUMBER(AP202),ISNUMBER(AP163)),IFERROR(AP202/AP163,""),"")</f>
        <v>0.494881096332124</v>
      </c>
      <c r="AQ253" s="215">
        <f>IF(AND(ISNUMBER(AQ202),ISNUMBER(AQ163)),IFERROR(AQ202/AQ163,""),"")</f>
        <v>0.453365774533658</v>
      </c>
      <c r="AR253" s="215">
        <f>IF(AND(ISNUMBER(AR202),ISNUMBER(AR163)),IFERROR(AR202/AR163,""),"")</f>
        <v>0.474425346862705</v>
      </c>
      <c r="AS253" s="215">
        <f>IF(AND(ISNUMBER(AS202),ISNUMBER(AS163)),IFERROR(AS202/AS163,""),"")</f>
        <v>0.503100775193799</v>
      </c>
      <c r="AT253" s="215">
        <f>IF(AND(ISNUMBER(AT202),ISNUMBER(AT163)),IFERROR(AT202/AT163,""),"")</f>
        <v>0.533797909407666</v>
      </c>
      <c r="AU253" s="215">
        <f>IF(AND(ISNUMBER(AU202),ISNUMBER(AU163)),IFERROR(AU202/AU163,""),"")</f>
        <v>0.531710914454277</v>
      </c>
      <c r="AV253" s="215">
        <f>IF(AND(ISNUMBER(AV202),ISNUMBER(AV163)),IFERROR(AV202/AV163,""),"")</f>
        <v>0.411627906976744</v>
      </c>
      <c r="AW253" s="215">
        <f>IF(AND(ISNUMBER(AW202),ISNUMBER(AW163)),IFERROR(AW202/AW163,""),"")</f>
        <v>0.496555576242785</v>
      </c>
      <c r="AX253" s="215">
        <f>IF(AND(ISNUMBER(AX202),ISNUMBER(AX163)),IFERROR(AX202/AX163,""),"")</f>
        <v>0.57125</v>
      </c>
      <c r="AY253" s="215">
        <f>IF(AND(ISNUMBER(AY202),ISNUMBER(AY163)),IFERROR(AY202/AY163,""),"")</f>
        <v>0.554410817772054</v>
      </c>
      <c r="AZ253" s="215">
        <f>IF(AND(ISNUMBER(AZ202),ISNUMBER(AZ163)),IFERROR(AZ202/AZ163,""),"")</f>
        <v>0.482961992136304</v>
      </c>
      <c r="BA253" s="215">
        <f>IF(AND(ISNUMBER(BA202),ISNUMBER(BA163)),IFERROR(BA202/BA163,""),"")</f>
        <v>0.382716049382716</v>
      </c>
      <c r="BB253" s="215">
        <f>IF(AND(ISNUMBER(BB202),ISNUMBER(BB163)),IFERROR(BB202/BB163,""),"")</f>
        <v>0.498713412672885</v>
      </c>
      <c r="BC253" s="215">
        <f>IF(AND(ISNUMBER(BC202),ISNUMBER(BC163)),IFERROR(BC202/BC163,""),"")</f>
        <v>0.482260183968463</v>
      </c>
      <c r="BD253" s="215">
        <f>IF(AND(ISNUMBER(BD202),ISNUMBER(BD163)),IFERROR(BD202/BD163,""),"")</f>
        <v>0.448950036205648</v>
      </c>
      <c r="BE253" s="215">
        <f>IF(AND(ISNUMBER(BE202),ISNUMBER(BE163)),IFERROR(BE202/BE163,""),"")</f>
        <v>0.389803921568628</v>
      </c>
      <c r="BF253" s="215">
        <f>IF(AND(ISNUMBER(BF202),ISNUMBER(BF163)),IFERROR(BF202/BF163,""),"")</f>
        <v>0.369767441860465</v>
      </c>
      <c r="BG253" s="215">
        <f>IF(AND(ISNUMBER(BG202),ISNUMBER(BG163)),IFERROR(BG202/BG163,""),"")</f>
        <v>0.425749817117776</v>
      </c>
      <c r="BH253" s="215">
        <f>IF(AND(ISNUMBER(BH202),ISNUMBER(BH163)),IFERROR(BH202/BH163,""),"")</f>
        <v>0.446258503401361</v>
      </c>
      <c r="BI253" s="215">
        <f>IF(AND(ISNUMBER(BI202),ISNUMBER(BI163)),IFERROR(BI202/BI163,""),"")</f>
        <v>0.437081659973226</v>
      </c>
      <c r="BJ253" s="215">
        <f>IF(AND(ISNUMBER(BJ202),ISNUMBER(BJ163)),IFERROR(BJ202/BJ163,""),"")</f>
        <v>0.44633152173913</v>
      </c>
      <c r="BK253" s="215">
        <f>IF(AND(ISNUMBER(BK202),ISNUMBER(BK163)),IFERROR(BK202/BK163,""),"")</f>
        <v>0.426351351351351</v>
      </c>
      <c r="BL253" s="215">
        <f>IF(AND(ISNUMBER(BL202),ISNUMBER(BL163)),IFERROR(BL202/BL163,""),"")</f>
        <v>0.438979039891819</v>
      </c>
      <c r="BM253" s="215">
        <f>IF(AND(ISNUMBER(BM202),ISNUMBER(BM163)),IFERROR(BM202/BM163,""),"")</f>
        <v>0.507278835386338</v>
      </c>
      <c r="BN253" s="215">
        <f>IF(AND(ISNUMBER(BN202),ISNUMBER(BN163)),IFERROR(BN202/BN163,""),"")</f>
        <v>0.49642267473858</v>
      </c>
      <c r="BO253" s="215">
        <f>IF(AND(ISNUMBER(BO202),ISNUMBER(BO163)),IFERROR(BO202/BO163,""),"")</f>
        <v>0.478212906784335</v>
      </c>
      <c r="BP253" s="215">
        <f>IF(AND(ISNUMBER(BP202),ISNUMBER(BP163)),IFERROR(BP202/BP163,""),"")</f>
        <v>0.438397129186603</v>
      </c>
      <c r="BQ253" s="215">
        <f>IF(AND(ISNUMBER(BQ202),ISNUMBER(BQ163)),IFERROR(BQ202/BQ163,""),"")</f>
        <v>0.480812641083521</v>
      </c>
      <c r="BR253" s="215">
        <f>IF(AND(ISNUMBER(BR202),ISNUMBER(BR163)),IFERROR(BR202/BR163,""),"")</f>
        <v>0.516632016632017</v>
      </c>
      <c r="BS253" s="215">
        <f>IF(AND(ISNUMBER(BS202),ISNUMBER(BS163)),IFERROR(BS202/BS163,""),"")</f>
        <v>0.50895679662803</v>
      </c>
      <c r="BT253" s="215">
        <f>IF(AND(ISNUMBER(BT202),ISNUMBER(BT163)),IFERROR(BT202/BT163,""),"")</f>
        <v>0.52914798206278</v>
      </c>
      <c r="BU253" s="215">
        <f>IF(AND(ISNUMBER(BU202),ISNUMBER(BU163)),IFERROR(BU202/BU163,""),"")</f>
        <v>0.487030174695606</v>
      </c>
      <c r="BV253" s="215">
        <f>IF(AND(ISNUMBER(BV202),ISNUMBER(BV163)),IFERROR(BV202/BV163,""),"")</f>
        <v>0.51075408136823</v>
      </c>
      <c r="BW253" s="215">
        <f>IF(AND(ISNUMBER(BW202),ISNUMBER(BW163)),IFERROR(BW202/BW163,""),"")</f>
        <v>0.531505531505532</v>
      </c>
      <c r="BX253" s="215">
        <f>IF(AND(ISNUMBER(BX202),ISNUMBER(BX163)),IFERROR(BX202/BX163,""),"")</f>
        <v>0.552860411899314</v>
      </c>
      <c r="BY253" s="256">
        <f>IF(AND(ISNUMBER(BY202),ISNUMBER(BY163)),IFERROR(BY202/BY163,""),"")</f>
        <v>0.527114367633833</v>
      </c>
      <c r="BZ253" s="256">
        <f>IF(AND(ISNUMBER(BZ202),ISNUMBER(BZ163)),IFERROR(BZ202/BZ163,""),"")</f>
        <v>0.484106676629689</v>
      </c>
      <c r="CA253" s="256">
        <f>IF(AND(ISNUMBER(CA202),ISNUMBER(CA163)),IFERROR(CA202/CA163,""),"")</f>
        <v>0.525007322467385</v>
      </c>
      <c r="CB253" s="256">
        <f>IF(AND(ISNUMBER(CB202),ISNUMBER(CB163)),IFERROR(CB202/CB163,""),"")</f>
        <v>0.531368569555706</v>
      </c>
      <c r="CC253" s="256">
        <f>IF(AND(ISNUMBER(CC202),ISNUMBER(CC163)),IFERROR(CC202/CC163,""),"")</f>
        <v>0.536479481946473</v>
      </c>
      <c r="CD253" s="256">
        <f>IF(AND(ISNUMBER(CD202),ISNUMBER(CD163)),IFERROR(CD202/CD163,""),"")</f>
        <v>0.541902540061138</v>
      </c>
      <c r="CE253" s="256">
        <f>IF(AND(ISNUMBER(CE202),ISNUMBER(CE163)),IFERROR(CE202/CE163,""),"")</f>
        <v>0.547207148030497</v>
      </c>
      <c r="CF253" s="153" t="n"/>
      <c r="CH253" s="37">
        <f>IFERROR(AVERAGE(CA253,CB253,CC253,CD253,CE253),"n/m")</f>
        <v>0.53639301241224</v>
      </c>
      <c r="CI253" s="37">
        <f>IFERROR(AVERAGE(BB253,BG253,BL253,BQ253,BV253),"n/m")</f>
        <v>0.471001798426846</v>
      </c>
      <c r="CJ253" s="37">
        <f>IFERROR(AVERAGE(AC253,AH253,AM253,AR253,AW253,BB253,BG253,BL253,BQ253,BV253),"n/m")</f>
        <v>0.473120575359389</v>
      </c>
      <c r="CK253" s="37">
        <f>IFERROR(AVERAGE(C253,D253,E253,F253,G253,H253,I253,N253,S253,X253,AC253,AH253,AM253,AR253,AW253,BB253,BG253,BL253,BQ253,BV253),"n/m")</f>
        <v>0.46801912639185</v>
      </c>
    </row>
    <row r="254" ht="15" customHeight="1" s="251">
      <c r="B254" s="25" t="inlineStr">
        <is>
          <t xml:space="preserve">  Incremental Adjusted Operating Margin (Δ AOI / Δ revenue)</t>
        </is>
      </c>
      <c r="C254" s="36" t="n"/>
      <c r="D254" s="215">
        <f>IFERROR((D202-C202)/(D163-C163),"")</f>
        <v>0.385308697611537</v>
      </c>
      <c r="E254" s="215">
        <f>IFERROR((E202-D202)/(E163-D163),"")</f>
        <v>0.800436854646545</v>
      </c>
      <c r="F254" s="215">
        <f>IFERROR((F202-E202)/(F163-E163),"")</f>
        <v>-1.23684210526315</v>
      </c>
      <c r="G254" s="215">
        <f>IFERROR((G202-F202)/(G163-F163),"")</f>
        <v>0.298551959114139</v>
      </c>
      <c r="H254" s="215">
        <f>IFERROR((H202-G202)/(H163-G163),"")</f>
        <v>0.516284680337756</v>
      </c>
      <c r="I254" s="215">
        <f>IFERROR((I202-H202)/(I163-H163),"")</f>
        <v>0.479314946619217</v>
      </c>
      <c r="J254" s="36" t="n"/>
      <c r="K254" s="36" t="n"/>
      <c r="L254" s="36" t="n"/>
      <c r="M254" s="36" t="n"/>
      <c r="N254" s="215">
        <f>IFERROR((N202-I202)/(N163-I163),"")</f>
        <v>0.598265895953757</v>
      </c>
      <c r="O254" s="215">
        <f>IFERROR((O202-J202)/(O163-J163),"")</f>
        <v>1.47175141242938</v>
      </c>
      <c r="P254" s="215">
        <f>IFERROR((P202-K202)/(P163-K163),"")</f>
        <v>0.511489361702128</v>
      </c>
      <c r="Q254" s="215">
        <f>IFERROR((Q202-L202)/(Q163-L163),"")</f>
        <v>0.524412296564196</v>
      </c>
      <c r="R254" s="215">
        <f>IFERROR((R202-M202)/(R163-M163),"")</f>
        <v>0.371312309257376</v>
      </c>
      <c r="S254" s="215">
        <f>IFERROR((S202-N202)/(S163-N163),"")</f>
        <v>0.571310116086236</v>
      </c>
      <c r="T254" s="215">
        <f>IFERROR((T202-O202)/(T163-O163),"")</f>
        <v>0.445121951219512</v>
      </c>
      <c r="U254" s="215">
        <f>IFERROR((U202-P202)/(U163-P163),"")</f>
        <v>0.295964125560539</v>
      </c>
      <c r="V254" s="215">
        <f>IFERROR((V202-Q202)/(V163-Q163),"")</f>
        <v>0.27127659574468</v>
      </c>
      <c r="W254" s="215">
        <f>IFERROR((W202-R202)/(W163-R163),"")</f>
        <v>0.85344827586208</v>
      </c>
      <c r="X254" s="215">
        <f>IFERROR((X202-S202)/(X163-S163),"")</f>
        <v>0.347536617842875</v>
      </c>
      <c r="Y254" s="215">
        <f>IFERROR((Y202-T202)/(Y163-T163),"")</f>
        <v>1.33131313131313</v>
      </c>
      <c r="Z254" s="215">
        <f>IFERROR((Z202-U202)/(Z163-U163),"")</f>
        <v>-0.537037037037051</v>
      </c>
      <c r="AA254" s="215">
        <f>IFERROR((AA202-V202)/(AA163-V163),"")</f>
        <v>0.737226277372262</v>
      </c>
      <c r="AB254" s="215">
        <f>IFERROR((AB202-W202)/(AB163-W163),"")</f>
        <v>0.811023622047247</v>
      </c>
      <c r="AC254" s="215">
        <f>IFERROR((AC202-X202)/(AC163-X163),"")</f>
        <v>0.453634085213031</v>
      </c>
      <c r="AD254" s="215">
        <f>IFERROR((AD202-Y202)/(AD163-Y163),"")</f>
        <v>0.891891891891892</v>
      </c>
      <c r="AE254" s="215">
        <f>IFERROR((AE202-Z202)/(AE163-Z163),"")</f>
        <v>0.776536312849163</v>
      </c>
      <c r="AF254" s="215">
        <f>IFERROR((AF202-AA202)/(AF163-AA163),"")</f>
        <v>0.410836762688615</v>
      </c>
      <c r="AG254" s="215">
        <f>IFERROR((AG202-AB202)/(AG163-AB163),"")</f>
        <v>0.424798567591763</v>
      </c>
      <c r="AH254" s="215">
        <f>IFERROR((AH202-AC202)/(AH163-AC163),"")</f>
        <v>0.581263543923988</v>
      </c>
      <c r="AI254" s="215">
        <f>IFERROR((AI202-AD202)/(AI163-AD163),"")</f>
        <v>0.427722772277227</v>
      </c>
      <c r="AJ254" s="215">
        <f>IFERROR((AJ202-AE202)/(AJ163-AE163),"")</f>
        <v>0.500572737686139</v>
      </c>
      <c r="AK254" s="215">
        <f>IFERROR((AK202-AF202)/(AK163-AF163),"")</f>
        <v>0.877094972067036</v>
      </c>
      <c r="AL254" s="215">
        <f>IFERROR((AL202-AG202)/(AL163-AG163),"")</f>
        <v>0.386148007590133</v>
      </c>
      <c r="AM254" s="215">
        <f>IFERROR((AM202-AH202)/(AM163-AH163),"")</f>
        <v>0.533109807208717</v>
      </c>
      <c r="AN254" s="215">
        <f>IFERROR((AN202-AI202)/(AN163-AI163),"")</f>
        <v>-1.41558441558443</v>
      </c>
      <c r="AO254" s="215">
        <f>IFERROR((AO202-AJ202)/(AO163-AJ163),"")</f>
        <v>0.379220779220783</v>
      </c>
      <c r="AP254" s="215">
        <f>IFERROR((AP202-AK202)/(AP163-AK163),"")</f>
        <v>0.624295554164059</v>
      </c>
      <c r="AQ254" s="215">
        <f>IFERROR((AQ202-AL202)/(AQ163-AL163),"")</f>
        <v>0.469635627530365</v>
      </c>
      <c r="AR254" s="215">
        <f>IFERROR((AR202-AM202)/(AR163-AM163),"")</f>
        <v>0.450168263008025</v>
      </c>
      <c r="AS254" s="215">
        <f>IFERROR((AS202-AN202)/(AS163-AN163),"")</f>
        <v>0.879648411088573</v>
      </c>
      <c r="AT254" s="215">
        <f>IFERROR((AT202-AO202)/(AT163-AO163),"")</f>
        <v>0.754290876242096</v>
      </c>
      <c r="AU254" s="215">
        <f>IFERROR((AU202-AP202)/(AU163-AP163),"")</f>
        <v>0.927272727272727</v>
      </c>
      <c r="AV254" s="215">
        <f>IFERROR((AV202-AQ202)/(AV163-AQ163),"")</f>
        <v>-0.491228070175439</v>
      </c>
      <c r="AW254" s="215">
        <f>IFERROR((AW202-AR202)/(AW163-AR163),"")</f>
        <v>0.693726937269373</v>
      </c>
      <c r="AX254" s="215">
        <f>IFERROR((AX202-AS202)/(AX163-AS163),"")</f>
        <v>0.854838709677419</v>
      </c>
      <c r="AY254" s="215">
        <f>IFERROR((AY202-AT202)/(AY163-AT163),"")</f>
        <v>0.805084745762712</v>
      </c>
      <c r="AZ254" s="215">
        <f>IFERROR((AZ202-AU202)/(AZ163-AU163),"")</f>
        <v>0.0941176470588235</v>
      </c>
      <c r="BA254" s="215">
        <f>IFERROR((BA202-AV202)/(BA163-AV163),"")</f>
        <v>0.232931726907631</v>
      </c>
      <c r="BB254" s="215">
        <f>IFERROR((BB202-AW202)/(BB163-AW163),"")</f>
        <v>0.512396694214876</v>
      </c>
      <c r="BC254" s="215">
        <f>IFERROR((BC202-AX202)/(BC163-AX163),"")</f>
        <v>2.30769230769231</v>
      </c>
      <c r="BD254" s="215">
        <f>IFERROR((BD202-AY202)/(BD163-AY163),"")</f>
        <v>1.40116279069767</v>
      </c>
      <c r="BE254" s="215">
        <f>IFERROR((BE202-AZ202)/(BE163-AZ163),"")</f>
        <v>0.956175298804781</v>
      </c>
      <c r="BF254" s="215">
        <f>IFERROR((BF202-BA202)/(BF163-BA163),"")</f>
        <v>0.449799196787149</v>
      </c>
      <c r="BG254" s="215">
        <f>IFERROR((BG202-BB202)/(BG163-BB163),"")</f>
        <v>1.03066666666667</v>
      </c>
      <c r="BH254" s="215">
        <f>IFERROR((BH202-BC202)/(BH163-BC163),"")</f>
        <v>1.5</v>
      </c>
      <c r="BI254" s="215">
        <f>IFERROR((BI202-BD202)/(BI163-BD163),"")</f>
        <v>0.292035398230089</v>
      </c>
      <c r="BJ254" s="215">
        <f>IFERROR((BJ202-BE202)/(BJ163-BE163),"")</f>
        <v>0.812182741116751</v>
      </c>
      <c r="BK254" s="215">
        <f>IFERROR((BK202-BF202)/(BK163-BF163),"")</f>
        <v>0.810526315789474</v>
      </c>
      <c r="BL254" s="215">
        <f>IFERROR((BL202-BG202)/(BL163-BG163),"")</f>
        <v>0.600446428571429</v>
      </c>
      <c r="BM254" s="215">
        <f>IFERROR((BM202-BH202)/(BM163-BH163),"")</f>
        <v>0.791139240506329</v>
      </c>
      <c r="BN254" s="215">
        <f>IFERROR((BN202-BI202)/(BN163-BI163),"")</f>
        <v>0.770897832817338</v>
      </c>
      <c r="BO254" s="215">
        <f>IFERROR((BO202-BJ202)/(BO163-BJ163),"")</f>
        <v>0.6158357771261</v>
      </c>
      <c r="BP254" s="215">
        <f>IFERROR((BP202-BK202)/(BP163-BK163),"")</f>
        <v>0.53125</v>
      </c>
      <c r="BQ254" s="215">
        <f>IFERROR((BQ202-BL202)/(BQ163-BL163),"")</f>
        <v>0.6919795221843</v>
      </c>
      <c r="BR254" s="215">
        <f>IFERROR((BR202-BM202)/(BR163-BM163),"")</f>
        <v>0.63768115942029</v>
      </c>
      <c r="BS254" s="215">
        <f>IFERROR((BS202-BN202)/(BS163-BN163),"")</f>
        <v>0.790123456790123</v>
      </c>
      <c r="BT254" s="215">
        <f>IFERROR((BT202-BO202)/(BT163-BO163),"")</f>
        <v>1.00515463917526</v>
      </c>
      <c r="BU254" s="215">
        <f>IFERROR((BU202-BP202)/(BU163-BP163),"")</f>
        <v>0.861751152073733</v>
      </c>
      <c r="BV254" s="215">
        <f>IFERROR((BV202-BQ202)/(BV163-BQ163),"")</f>
        <v>0.847619047619048</v>
      </c>
      <c r="BW254" s="215">
        <f>IFERROR((BW202-BR202)/(BW163-BR163),"")</f>
        <v>0.716129032258065</v>
      </c>
      <c r="BX254" s="215">
        <f>IFERROR((BX202-BS202)/(BX163-BS163),"")</f>
        <v>0.843205574912892</v>
      </c>
      <c r="BY254" s="256">
        <f>IFERROR((BY202-BT202)/(BY163-BT163),"")</f>
        <v>0.403782631559015</v>
      </c>
      <c r="BZ254" s="256">
        <f>IFERROR((BZ202-BU202)/(BZ163-BU163),"")</f>
        <v>0.323460049849891</v>
      </c>
      <c r="CA254" s="256">
        <f>IFERROR((CA202-BV202)/(CA163-BV163),"")</f>
        <v>0.740930762126795</v>
      </c>
      <c r="CB254" s="256">
        <f>IFERROR((CB202-CA202)/(CB163-CA163),"")</f>
        <v>0.619630676657431</v>
      </c>
      <c r="CC254" s="256">
        <f>IFERROR((CC202-CB202)/(CC163-CB163),"")</f>
        <v>0.611766164315862</v>
      </c>
      <c r="CD254" s="256">
        <f>IFERROR((CD202-CC202)/(CD163-CC163),"")</f>
        <v>0.625916540994817</v>
      </c>
      <c r="CE254" s="256">
        <f>IFERROR((CE202-CD202)/(CE163-CD163),"")</f>
        <v>0.635493422160383</v>
      </c>
      <c r="CF254" s="153" t="n"/>
    </row>
    <row r="255" ht="15" customHeight="1" s="251">
      <c r="B255" s="25" t="inlineStr">
        <is>
          <t xml:space="preserve">  Adjusted EBITDA (= Adjusted Operating Income) margin %</t>
        </is>
      </c>
      <c r="C255" s="215">
        <f>IF(AND(ISNUMBER(C219),ISNUMBER(C163)),IFERROR(C219/C163,""),"")</f>
        <v>0.558833636051249</v>
      </c>
      <c r="D255" s="215">
        <f>IF(AND(ISNUMBER(D219),ISNUMBER(D163)),IFERROR(D219/D163,""),"")</f>
        <v>0.541788401947765</v>
      </c>
      <c r="E255" s="215">
        <f>IF(AND(ISNUMBER(E219),ISNUMBER(E163)),IFERROR(E219/E163,""),"")</f>
        <v>0.467585735444913</v>
      </c>
      <c r="F255" s="215">
        <f>IF(AND(ISNUMBER(F219),ISNUMBER(F163)),IFERROR(F219/F163,""),"")</f>
        <v>0.427943467616292</v>
      </c>
      <c r="G255" s="215">
        <f>IF(AND(ISNUMBER(G219),ISNUMBER(G163)),IFERROR(G219/G163,""),"")</f>
        <v>0.412992125984252</v>
      </c>
      <c r="H255" s="215">
        <f>IF(AND(ISNUMBER(H219),ISNUMBER(H163)),IFERROR(H219/H163,""),"")</f>
        <v>0.424255710965931</v>
      </c>
      <c r="I255" s="215">
        <f>IF(AND(ISNUMBER(I219),ISNUMBER(I163)),IFERROR(I219/I163,""),"")</f>
        <v>0.433322345529795</v>
      </c>
      <c r="J255" s="215">
        <f>IF(AND(ISNUMBER(J219),ISNUMBER(J163)),IFERROR(J219/J163,""),"")</f>
        <v>0.415414047553976</v>
      </c>
      <c r="K255" s="215">
        <f>IF(AND(ISNUMBER(K219),ISNUMBER(K163)),IFERROR(K219/K163,""),"")</f>
        <v>0.49457671957672</v>
      </c>
      <c r="L255" s="215">
        <f>IF(AND(ISNUMBER(L219),ISNUMBER(L163)),IFERROR(L219/L163,""),"")</f>
        <v>0.446350106307583</v>
      </c>
      <c r="M255" s="215">
        <f>IF(AND(ISNUMBER(M219),ISNUMBER(M163)),IFERROR(M219/M163,""),"")</f>
        <v>0.430184804928132</v>
      </c>
      <c r="N255" s="215">
        <f>IF(AND(ISNUMBER(N219),ISNUMBER(N163)),IFERROR(N219/N163,""),"")</f>
        <v>0.446761984861228</v>
      </c>
      <c r="O255" s="215">
        <f>IF(AND(ISNUMBER(O219),ISNUMBER(O163)),IFERROR(O219/O163,""),"")</f>
        <v>0.464155370177268</v>
      </c>
      <c r="P255" s="215">
        <f>IF(AND(ISNUMBER(P219),ISNUMBER(P163)),IFERROR(P219/P163,""),"")</f>
        <v>0.496851745850029</v>
      </c>
      <c r="Q255" s="215">
        <f>IF(AND(ISNUMBER(Q219),ISNUMBER(Q163)),IFERROR(Q219/Q163,""),"")</f>
        <v>0.456929297880162</v>
      </c>
      <c r="R255" s="215">
        <f>IF(AND(ISNUMBER(R219),ISNUMBER(R163)),IFERROR(R219/R163,""),"")</f>
        <v>0.423589743589744</v>
      </c>
      <c r="S255" s="215">
        <f>IF(AND(ISNUMBER(S219),ISNUMBER(S163)),IFERROR(S219/S163,""),"")</f>
        <v>0.460276519809255</v>
      </c>
      <c r="T255" s="215">
        <f>IF(AND(ISNUMBER(T219),ISNUMBER(T163)),IFERROR(T219/T163,""),"")</f>
        <v>0.46199168207024</v>
      </c>
      <c r="U255" s="215">
        <f>IF(AND(ISNUMBER(U219),ISNUMBER(U163)),IFERROR(U219/U163,""),"")</f>
        <v>0.487092909269143</v>
      </c>
      <c r="V255" s="215">
        <f>IF(AND(ISNUMBER(V219),ISNUMBER(V163)),IFERROR(V219/V163,""),"")</f>
        <v>0.452748832195473</v>
      </c>
      <c r="W255" s="215">
        <f>IF(AND(ISNUMBER(W219),ISNUMBER(W163)),IFERROR(W219/W163,""),"")</f>
        <v>0.417831158332371</v>
      </c>
      <c r="X255" s="215">
        <f>IF(AND(ISNUMBER(X219),ISNUMBER(X163)),IFERROR(X219/X163,""),"")</f>
        <v>0.455416846032429</v>
      </c>
      <c r="Y255" s="215">
        <f>IF(AND(ISNUMBER(Y219),ISNUMBER(Y163)),IFERROR(Y219/Y163,""),"")</f>
        <v>0.409263570640853</v>
      </c>
      <c r="Z255" s="215">
        <f>IF(AND(ISNUMBER(Z219),ISNUMBER(Z163)),IFERROR(Z219/Z163,""),"")</f>
        <v>0.475185703520293</v>
      </c>
      <c r="AA255" s="215">
        <f>IF(AND(ISNUMBER(AA219),ISNUMBER(AA163)),IFERROR(AA219/AA163,""),"")</f>
        <v>0.478246647039581</v>
      </c>
      <c r="AB255" s="215">
        <f>IF(AND(ISNUMBER(AB219),ISNUMBER(AB163)),IFERROR(AB219/AB163,""),"")</f>
        <v>0.449633796836854</v>
      </c>
      <c r="AC255" s="215">
        <f>IF(AND(ISNUMBER(AC219),ISNUMBER(AC163)),IFERROR(AC219/AC163,""),"")</f>
        <v>0.45535763831086</v>
      </c>
      <c r="AD255" s="215">
        <f>IF(AND(ISNUMBER(AD219),ISNUMBER(AD163)),IFERROR(AD219/AD163,""),"")</f>
        <v>0.488002461033634</v>
      </c>
      <c r="AE255" s="215">
        <f>IF(AND(ISNUMBER(AE219),ISNUMBER(AE163)),IFERROR(AE219/AE163,""),"")</f>
        <v>0.496751624187906</v>
      </c>
      <c r="AF255" s="215">
        <f>IF(AND(ISNUMBER(AF219),ISNUMBER(AF163)),IFERROR(AF219/AF163,""),"")</f>
        <v>0.468999905917772</v>
      </c>
      <c r="AG255" s="215">
        <f>IF(AND(ISNUMBER(AG219),ISNUMBER(AG163)),IFERROR(AG219/AG163,""),"")</f>
        <v>0.444873444873445</v>
      </c>
      <c r="AH255" s="215">
        <f>IF(AND(ISNUMBER(AH219),ISNUMBER(AH163)),IFERROR(AH219/AH163,""),"")</f>
        <v>0.473323660236436</v>
      </c>
      <c r="AI255" s="215">
        <f>IF(AND(ISNUMBER(AI219),ISNUMBER(AI163)),IFERROR(AI219/AI163,""),"")</f>
        <v>0.47989704446614</v>
      </c>
      <c r="AJ255" s="215">
        <f>IF(AND(ISNUMBER(AJ219),ISNUMBER(AJ163)),IFERROR(AJ219/AJ163,""),"")</f>
        <v>0.497319377074291</v>
      </c>
      <c r="AK255" s="215">
        <f>IF(AND(ISNUMBER(AK219),ISNUMBER(AK163)),IFERROR(AK219/AK163,""),"")</f>
        <v>0.475758697261288</v>
      </c>
      <c r="AL255" s="215">
        <f>IF(AND(ISNUMBER(AL219),ISNUMBER(AL163)),IFERROR(AL219/AL163,""),"")</f>
        <v>0.450712196962551</v>
      </c>
      <c r="AM255" s="215">
        <f>IF(AND(ISNUMBER(AM219),ISNUMBER(AM163)),IFERROR(AM219/AM163,""),"")</f>
        <v>0.476534539806874</v>
      </c>
      <c r="AN255" s="215">
        <f>IF(AND(ISNUMBER(AN219),ISNUMBER(AN163)),IFERROR(AN219/AN163,""),"")</f>
        <v>0.454338499255757</v>
      </c>
      <c r="AO255" s="215">
        <f>IF(AND(ISNUMBER(AO219),ISNUMBER(AO163)),IFERROR(AO219/AO163,""),"")</f>
        <v>0.493572841133817</v>
      </c>
      <c r="AP255" s="215">
        <f>IF(AND(ISNUMBER(AP219),ISNUMBER(AP163)),IFERROR(AP219/AP163,""),"")</f>
        <v>0.494881096332124</v>
      </c>
      <c r="AQ255" s="215">
        <f>IF(AND(ISNUMBER(AQ219),ISNUMBER(AQ163)),IFERROR(AQ219/AQ163,""),"")</f>
        <v>0.453365774533658</v>
      </c>
      <c r="AR255" s="215">
        <f>IF(AND(ISNUMBER(AR219),ISNUMBER(AR163)),IFERROR(AR219/AR163,""),"")</f>
        <v>0.474425346862705</v>
      </c>
      <c r="AS255" s="215">
        <f>IF(AND(ISNUMBER(AS219),ISNUMBER(AS163)),IFERROR(AS219/AS163,""),"")</f>
        <v>0.503100775193799</v>
      </c>
      <c r="AT255" s="215">
        <f>IF(AND(ISNUMBER(AT219),ISNUMBER(AT163)),IFERROR(AT219/AT163,""),"")</f>
        <v>0.533797909407666</v>
      </c>
      <c r="AU255" s="215">
        <f>IF(AND(ISNUMBER(AU219),ISNUMBER(AU163)),IFERROR(AU219/AU163,""),"")</f>
        <v>0.531710914454277</v>
      </c>
      <c r="AV255" s="215">
        <f>IF(AND(ISNUMBER(AV219),ISNUMBER(AV163)),IFERROR(AV219/AV163,""),"")</f>
        <v>0.411627906976744</v>
      </c>
      <c r="AW255" s="215">
        <f>IF(AND(ISNUMBER(AW219),ISNUMBER(AW163)),IFERROR(AW219/AW163,""),"")</f>
        <v>0.496555576242785</v>
      </c>
      <c r="AX255" s="215">
        <f>IF(AND(ISNUMBER(AX219),ISNUMBER(AX163)),IFERROR(AX219/AX163,""),"")</f>
        <v>0.57125</v>
      </c>
      <c r="AY255" s="215">
        <f>IF(AND(ISNUMBER(AY219),ISNUMBER(AY163)),IFERROR(AY219/AY163,""),"")</f>
        <v>0.554410817772054</v>
      </c>
      <c r="AZ255" s="215">
        <f>IF(AND(ISNUMBER(AZ219),ISNUMBER(AZ163)),IFERROR(AZ219/AZ163,""),"")</f>
        <v>0.482961992136304</v>
      </c>
      <c r="BA255" s="215">
        <f>IF(AND(ISNUMBER(BA219),ISNUMBER(BA163)),IFERROR(BA219/BA163,""),"")</f>
        <v>0.382716049382716</v>
      </c>
      <c r="BB255" s="215">
        <f>IF(AND(ISNUMBER(BB219),ISNUMBER(BB163)),IFERROR(BB219/BB163,""),"")</f>
        <v>0.498713412672885</v>
      </c>
      <c r="BC255" s="215">
        <f>IF(AND(ISNUMBER(BC219),ISNUMBER(BC163)),IFERROR(BC219/BC163,""),"")</f>
        <v>0.482260183968463</v>
      </c>
      <c r="BD255" s="215">
        <f>IF(AND(ISNUMBER(BD219),ISNUMBER(BD163)),IFERROR(BD219/BD163,""),"")</f>
        <v>0.448950036205648</v>
      </c>
      <c r="BE255" s="215">
        <f>IF(AND(ISNUMBER(BE219),ISNUMBER(BE163)),IFERROR(BE219/BE163,""),"")</f>
        <v>0.389803921568628</v>
      </c>
      <c r="BF255" s="215">
        <f>IF(AND(ISNUMBER(BF219),ISNUMBER(BF163)),IFERROR(BF219/BF163,""),"")</f>
        <v>0.369767441860465</v>
      </c>
      <c r="BG255" s="215">
        <f>IF(AND(ISNUMBER(BG219),ISNUMBER(BG163)),IFERROR(BG219/BG163,""),"")</f>
        <v>0.425749817117776</v>
      </c>
      <c r="BH255" s="215">
        <f>IF(AND(ISNUMBER(BH219),ISNUMBER(BH163)),IFERROR(BH219/BH163,""),"")</f>
        <v>0.446258503401361</v>
      </c>
      <c r="BI255" s="215">
        <f>IF(AND(ISNUMBER(BI219),ISNUMBER(BI163)),IFERROR(BI219/BI163,""),"")</f>
        <v>0.437081659973226</v>
      </c>
      <c r="BJ255" s="215">
        <f>IF(AND(ISNUMBER(BJ219),ISNUMBER(BJ163)),IFERROR(BJ219/BJ163,""),"")</f>
        <v>0.44633152173913</v>
      </c>
      <c r="BK255" s="215">
        <f>IF(AND(ISNUMBER(BK219),ISNUMBER(BK163)),IFERROR(BK219/BK163,""),"")</f>
        <v>0.426351351351351</v>
      </c>
      <c r="BL255" s="215">
        <f>IF(AND(ISNUMBER(BL219),ISNUMBER(BL163)),IFERROR(BL219/BL163,""),"")</f>
        <v>0.438979039891819</v>
      </c>
      <c r="BM255" s="215">
        <f>IF(AND(ISNUMBER(BM219),ISNUMBER(BM163)),IFERROR(BM219/BM163,""),"")</f>
        <v>0.507278835386338</v>
      </c>
      <c r="BN255" s="215">
        <f>IF(AND(ISNUMBER(BN219),ISNUMBER(BN163)),IFERROR(BN219/BN163,""),"")</f>
        <v>0.49642267473858</v>
      </c>
      <c r="BO255" s="215">
        <f>IF(AND(ISNUMBER(BO219),ISNUMBER(BO163)),IFERROR(BO219/BO163,""),"")</f>
        <v>0.478212906784335</v>
      </c>
      <c r="BP255" s="215">
        <f>IF(AND(ISNUMBER(BP219),ISNUMBER(BP163)),IFERROR(BP219/BP163,""),"")</f>
        <v>0.438397129186603</v>
      </c>
      <c r="BQ255" s="215">
        <f>IF(AND(ISNUMBER(BQ219),ISNUMBER(BQ163)),IFERROR(BQ219/BQ163,""),"")</f>
        <v>0.480812641083521</v>
      </c>
      <c r="BR255" s="215">
        <f>IF(AND(ISNUMBER(BR219),ISNUMBER(BR163)),IFERROR(BR219/BR163,""),"")</f>
        <v>0.516632016632017</v>
      </c>
      <c r="BS255" s="215">
        <f>IF(AND(ISNUMBER(BS219),ISNUMBER(BS163)),IFERROR(BS219/BS163,""),"")</f>
        <v>0.50895679662803</v>
      </c>
      <c r="BT255" s="215">
        <f>IF(AND(ISNUMBER(BT219),ISNUMBER(BT163)),IFERROR(BT219/BT163,""),"")</f>
        <v>0.52914798206278</v>
      </c>
      <c r="BU255" s="215">
        <f>IF(AND(ISNUMBER(BU219),ISNUMBER(BU163)),IFERROR(BU219/BU163,""),"")</f>
        <v>0.487030174695606</v>
      </c>
      <c r="BV255" s="215">
        <f>IF(AND(ISNUMBER(BV219),ISNUMBER(BV163)),IFERROR(BV219/BV163,""),"")</f>
        <v>0.51075408136823</v>
      </c>
      <c r="BW255" s="215">
        <f>IF(AND(ISNUMBER(BW219),ISNUMBER(BW163)),IFERROR(BW219/BW163,""),"")</f>
        <v>0.531505531505532</v>
      </c>
      <c r="BX255" s="215">
        <f>IF(AND(ISNUMBER(BX219),ISNUMBER(BX163)),IFERROR(BX219/BX163,""),"")</f>
        <v>0.552860411899314</v>
      </c>
      <c r="BY255" s="256">
        <f>IF(AND(ISNUMBER(BY219),ISNUMBER(BY163)),IFERROR(BY219/BY163,""),"")</f>
        <v>0.527114367633833</v>
      </c>
      <c r="BZ255" s="256">
        <f>IF(AND(ISNUMBER(BZ219),ISNUMBER(BZ163)),IFERROR(BZ219/BZ163,""),"")</f>
        <v>0.484106676629689</v>
      </c>
      <c r="CA255" s="256">
        <f>IF(AND(ISNUMBER(CA219),ISNUMBER(CA163)),IFERROR(CA219/CA163,""),"")</f>
        <v>0.525007322467385</v>
      </c>
      <c r="CB255" s="256">
        <f>IF(AND(ISNUMBER(CB219),ISNUMBER(CB163)),IFERROR(CB219/CB163,""),"")</f>
        <v>0.531368569555706</v>
      </c>
      <c r="CC255" s="256">
        <f>IF(AND(ISNUMBER(CC219),ISNUMBER(CC163)),IFERROR(CC219/CC163,""),"")</f>
        <v>0.536479481946473</v>
      </c>
      <c r="CD255" s="256">
        <f>IF(AND(ISNUMBER(CD219),ISNUMBER(CD163)),IFERROR(CD219/CD163,""),"")</f>
        <v>0.541902540061138</v>
      </c>
      <c r="CE255" s="256">
        <f>IF(AND(ISNUMBER(CE219),ISNUMBER(CE163)),IFERROR(CE219/CE163,""),"")</f>
        <v>0.547207148030497</v>
      </c>
      <c r="CF255" s="153" t="n"/>
      <c r="CH255" s="37">
        <f>IFERROR(AVERAGE(CA255,CB255,CC255,CD255,CE255),"n/m")</f>
        <v>0.53639301241224</v>
      </c>
      <c r="CI255" s="37">
        <f>IFERROR(AVERAGE(BB255,BG255,BL255,BQ255,BV255),"n/m")</f>
        <v>0.471001798426846</v>
      </c>
      <c r="CJ255" s="37">
        <f>IFERROR(AVERAGE(AC255,AH255,AM255,AR255,AW255,BB255,BG255,BL255,BQ255,BV255),"n/m")</f>
        <v>0.473120575359389</v>
      </c>
      <c r="CK255" s="37">
        <f>IFERROR(AVERAGE(C255,D255,E255,F255,G255,H255,I255,N255,S255,X255,AC255,AH255,AM255,AR255,AW255,BB255,BG255,BL255,BQ255,BV255),"n/m")</f>
        <v>0.46801912639185</v>
      </c>
    </row>
    <row r="256" ht="15" customHeight="1" s="251">
      <c r="B256" s="25" t="inlineStr">
        <is>
          <t xml:space="preserve">  Operating margin (GAAP) %</t>
        </is>
      </c>
      <c r="C256" s="215">
        <f>IF(AND(ISNUMBER(C170),ISNUMBER(C163)),IFERROR(C170/C163,""),"")</f>
        <v>0.618280889499779</v>
      </c>
      <c r="D256" s="215">
        <f>IF(AND(ISNUMBER(D170),ISNUMBER(D163)),IFERROR(D170/D163,""),"")</f>
        <v>0.50066401062417</v>
      </c>
      <c r="E256" s="215">
        <f>IF(AND(ISNUMBER(E170),ISNUMBER(E163)),IFERROR(E170/E163,""),"")</f>
        <v>0.426227640423835</v>
      </c>
      <c r="F256" s="215">
        <f>IF(AND(ISNUMBER(F170),ISNUMBER(F163)),IFERROR(F170/F163,""),"")</f>
        <v>0.382539505898064</v>
      </c>
      <c r="G256" s="215">
        <f>IF(AND(ISNUMBER(G170),ISNUMBER(G163)),IFERROR(G170/G163,""),"")</f>
        <v>0.380314960629921</v>
      </c>
      <c r="H256" s="215">
        <f>IF(AND(ISNUMBER(H170),ISNUMBER(H163)),IFERROR(H170/H163,""),"")</f>
        <v>0.389529530407331</v>
      </c>
      <c r="I256" s="215">
        <f>IF(AND(ISNUMBER(I170),ISNUMBER(I163)),IFERROR(I170/I163,""),"")</f>
        <v>0.394608651063986</v>
      </c>
      <c r="J256" s="215">
        <f>IF(AND(ISNUMBER(J170),ISNUMBER(J163)),IFERROR(J170/J163,""),"")</f>
        <v>0.383164799125444</v>
      </c>
      <c r="K256" s="215">
        <f>IF(AND(ISNUMBER(K170),ISNUMBER(K163)),IFERROR(K170/K163,""),"")</f>
        <v>0.464021164021164</v>
      </c>
      <c r="L256" s="215">
        <f>IF(AND(ISNUMBER(L170),ISNUMBER(L163)),IFERROR(L170/L163,""),"")</f>
        <v>0.41318214032601</v>
      </c>
      <c r="M256" s="215">
        <f>IF(AND(ISNUMBER(M170),ISNUMBER(M163)),IFERROR(M170/M163,""),"")</f>
        <v>0.400282340862423</v>
      </c>
      <c r="N256" s="215">
        <f>IF(AND(ISNUMBER(N170),ISNUMBER(N163)),IFERROR(N170/N163,""),"")</f>
        <v>0.415340622371741</v>
      </c>
      <c r="O256" s="215">
        <f>IF(AND(ISNUMBER(O170),ISNUMBER(O163)),IFERROR(O170/O163,""),"")</f>
        <v>0.434045881126173</v>
      </c>
      <c r="P256" s="215">
        <f>IF(AND(ISNUMBER(P170),ISNUMBER(P163)),IFERROR(P170/P163,""),"")</f>
        <v>0.471322266742988</v>
      </c>
      <c r="Q256" s="215">
        <f>IF(AND(ISNUMBER(Q170),ISNUMBER(Q163)),IFERROR(Q170/Q163,""),"")</f>
        <v>0.428501409141037</v>
      </c>
      <c r="R256" s="215">
        <f>IF(AND(ISNUMBER(R170),ISNUMBER(R163)),IFERROR(R170/R163,""),"")</f>
        <v>0.392820512820513</v>
      </c>
      <c r="S256" s="215">
        <f>IF(AND(ISNUMBER(S170),ISNUMBER(S163)),IFERROR(S170/S163,""),"")</f>
        <v>0.431604834597967</v>
      </c>
      <c r="T256" s="215">
        <f>IF(AND(ISNUMBER(T170),ISNUMBER(T163)),IFERROR(T170/T163,""),"")</f>
        <v>0.428951016635859</v>
      </c>
      <c r="U256" s="215">
        <f>IF(AND(ISNUMBER(U170),ISNUMBER(U163)),IFERROR(U170/U163,""),"")</f>
        <v>0.456704062738264</v>
      </c>
      <c r="V256" s="215">
        <f>IF(AND(ISNUMBER(V170),ISNUMBER(V163)),IFERROR(V170/V163,""),"")</f>
        <v>0.418852557192478</v>
      </c>
      <c r="W256" s="215">
        <f>IF(AND(ISNUMBER(W170),ISNUMBER(W163)),IFERROR(W170/W163,""),"")</f>
        <v>0.384686453401086</v>
      </c>
      <c r="X256" s="215">
        <f>IF(AND(ISNUMBER(X170),ISNUMBER(X163)),IFERROR(X170/X163,""),"")</f>
        <v>0.422844023532788</v>
      </c>
      <c r="Y256" s="215">
        <f>IF(AND(ISNUMBER(Y170),ISNUMBER(Y163)),IFERROR(Y170/Y163,""),"")</f>
        <v>0.372625903688274</v>
      </c>
      <c r="Z256" s="215">
        <f>IF(AND(ISNUMBER(Z170),ISNUMBER(Z163)),IFERROR(Z170/Z163,""),"")</f>
        <v>0.441597588545592</v>
      </c>
      <c r="AA256" s="215">
        <f>IF(AND(ISNUMBER(AA170),ISNUMBER(AA163)),IFERROR(AA170/AA163,""),"")</f>
        <v>0.433431468760222</v>
      </c>
      <c r="AB256" s="215">
        <f>IF(AND(ISNUMBER(AB170),ISNUMBER(AB163)),IFERROR(AB170/AB163,""),"")</f>
        <v>-0.502175989809999</v>
      </c>
      <c r="AC256" s="215">
        <f>IF(AND(ISNUMBER(AC170),ISNUMBER(AC163)),IFERROR(AC170/AC163,""),"")</f>
        <v>0.177209921757949</v>
      </c>
      <c r="AD256" s="215">
        <f>IF(AND(ISNUMBER(AD170),ISNUMBER(AD163)),IFERROR(AD170/AD163,""),"")</f>
        <v>0.45467596390484</v>
      </c>
      <c r="AE256" s="215">
        <f>IF(AND(ISNUMBER(AE170),ISNUMBER(AE163)),IFERROR(AE170/AE163,""),"")</f>
        <v>0.457271364317841</v>
      </c>
      <c r="AF256" s="215">
        <f>IF(AND(ISNUMBER(AF170),ISNUMBER(AF163)),IFERROR(AF170/AF163,""),"")</f>
        <v>0.419042242920312</v>
      </c>
      <c r="AG256" s="215">
        <f>IF(AND(ISNUMBER(AG170),ISNUMBER(AG163)),IFERROR(AG170/AG163,""),"")</f>
        <v>0.397082797082797</v>
      </c>
      <c r="AH256" s="215">
        <f>IF(AND(ISNUMBER(AH170),ISNUMBER(AH163)),IFERROR(AH170/AH163,""),"")</f>
        <v>0.430318022882424</v>
      </c>
      <c r="AI256" s="215">
        <f>IF(AND(ISNUMBER(AI170),ISNUMBER(AI163)),IFERROR(AI170/AI163,""),"")</f>
        <v>0.43560841395225</v>
      </c>
      <c r="AJ256" s="215">
        <f>IF(AND(ISNUMBER(AJ170),ISNUMBER(AJ163)),IFERROR(AJ170/AJ163,""),"")</f>
        <v>0.454429410262956</v>
      </c>
      <c r="AK256" s="215">
        <f>IF(AND(ISNUMBER(AK170),ISNUMBER(AK163)),IFERROR(AK170/AK163,""),"")</f>
        <v>0.431902294596595</v>
      </c>
      <c r="AL256" s="215">
        <f>IF(AND(ISNUMBER(AL170),ISNUMBER(AL163)),IFERROR(AL170/AL163,""),"")</f>
        <v>0.355249504763702</v>
      </c>
      <c r="AM256" s="215">
        <f>IF(AND(ISNUMBER(AM170),ISNUMBER(AM163)),IFERROR(AM170/AM163,""),"")</f>
        <v>0.420510050194701</v>
      </c>
      <c r="AN256" s="215">
        <f>IF(AND(ISNUMBER(AN170),ISNUMBER(AN163)),IFERROR(AN170/AN163,""),"")</f>
        <v>0.404255319148936</v>
      </c>
      <c r="AO256" s="215">
        <f>IF(AND(ISNUMBER(AO170),ISNUMBER(AO163)),IFERROR(AO170/AO163,""),"")</f>
        <v>0.398401450230719</v>
      </c>
      <c r="AP256" s="215">
        <f>IF(AND(ISNUMBER(AP170),ISNUMBER(AP163)),IFERROR(AP170/AP163,""),"")</f>
        <v>0.442402257154373</v>
      </c>
      <c r="AQ256" s="215">
        <f>IF(AND(ISNUMBER(AQ170),ISNUMBER(AQ163)),IFERROR(AQ170/AQ163,""),"")</f>
        <v>0.408759124087591</v>
      </c>
      <c r="AR256" s="215">
        <f>IF(AND(ISNUMBER(AR170),ISNUMBER(AR163)),IFERROR(AR170/AR163,""),"")</f>
        <v>0.413750258852765</v>
      </c>
      <c r="AS256" s="215">
        <f>IF(AND(ISNUMBER(AS170),ISNUMBER(AS163)),IFERROR(AS170/AS163,""),"")</f>
        <v>0.458914728682171</v>
      </c>
      <c r="AT256" s="215">
        <f>IF(AND(ISNUMBER(AT170),ISNUMBER(AT163)),IFERROR(AT170/AT163,""),"")</f>
        <v>0.494773519163763</v>
      </c>
      <c r="AU256" s="215">
        <f>IF(AND(ISNUMBER(AU170),ISNUMBER(AU163)),IFERROR(AU170/AU163,""),"")</f>
        <v>0.473451327433628</v>
      </c>
      <c r="AV256" s="215">
        <f>IF(AND(ISNUMBER(AV170),ISNUMBER(AV163)),IFERROR(AV170/AV163,""),"")</f>
        <v>0.344186046511628</v>
      </c>
      <c r="AW256" s="215">
        <f>IF(AND(ISNUMBER(AW170),ISNUMBER(AW163)),IFERROR(AW170/AW163,""),"")</f>
        <v>0.444609942282629</v>
      </c>
      <c r="AX256" s="215">
        <f>IF(AND(ISNUMBER(AX170),ISNUMBER(AX163)),IFERROR(AX170/AX163,""),"")</f>
        <v>0.533125</v>
      </c>
      <c r="AY256" s="215">
        <f>IF(AND(ISNUMBER(AY170),ISNUMBER(AY163)),IFERROR(AY170/AY163,""),"")</f>
        <v>0.51577591757888</v>
      </c>
      <c r="AZ256" s="215">
        <f>IF(AND(ISNUMBER(AZ170),ISNUMBER(AZ163)),IFERROR(AZ170/AZ163,""),"")</f>
        <v>0.442988204456094</v>
      </c>
      <c r="BA256" s="215">
        <f>IF(AND(ISNUMBER(BA170),ISNUMBER(BA163)),IFERROR(BA170/BA163,""),"")</f>
        <v>0.33398310591293</v>
      </c>
      <c r="BB256" s="215">
        <f>IF(AND(ISNUMBER(BB170),ISNUMBER(BB163)),IFERROR(BB170/BB163,""),"")</f>
        <v>0.457381794789321</v>
      </c>
      <c r="BC256" s="215">
        <f>IF(AND(ISNUMBER(BC170),ISNUMBER(BC163)),IFERROR(BC170/BC163,""),"")</f>
        <v>0.431011826544021</v>
      </c>
      <c r="BD256" s="215">
        <f>IF(AND(ISNUMBER(BD170),ISNUMBER(BD163)),IFERROR(BD170/BD163,""),"")</f>
        <v>0.367849384503983</v>
      </c>
      <c r="BE256" s="215">
        <f>IF(AND(ISNUMBER(BE170),ISNUMBER(BE163)),IFERROR(BE170/BE163,""),"")</f>
        <v>0.323921568627451</v>
      </c>
      <c r="BF256" s="215">
        <f>IF(AND(ISNUMBER(BF170),ISNUMBER(BF163)),IFERROR(BF170/BF163,""),"")</f>
        <v>0.237209302325581</v>
      </c>
      <c r="BG256" s="215">
        <f>IF(AND(ISNUMBER(BG170),ISNUMBER(BG163)),IFERROR(BG170/BG163,""),"")</f>
        <v>0.344367227505487</v>
      </c>
      <c r="BH256" s="215">
        <f>IF(AND(ISNUMBER(BH170),ISNUMBER(BH163)),IFERROR(BH170/BH163,""),"")</f>
        <v>0.37687074829932</v>
      </c>
      <c r="BI256" s="215">
        <f>IF(AND(ISNUMBER(BI170),ISNUMBER(BI163)),IFERROR(BI170/BI163,""),"")</f>
        <v>0.36813922356091</v>
      </c>
      <c r="BJ256" s="215">
        <f>IF(AND(ISNUMBER(BJ170),ISNUMBER(BJ163)),IFERROR(BJ170/BJ163,""),"")</f>
        <v>0.363451086956522</v>
      </c>
      <c r="BK256" s="215">
        <f>IF(AND(ISNUMBER(BK170),ISNUMBER(BK163)),IFERROR(BK170/BK163,""),"")</f>
        <v>0.336486486486487</v>
      </c>
      <c r="BL256" s="215">
        <f>IF(AND(ISNUMBER(BL170),ISNUMBER(BL163)),IFERROR(BL170/BL163,""),"")</f>
        <v>0.361223799864774</v>
      </c>
      <c r="BM256" s="215">
        <f>IF(AND(ISNUMBER(BM170),ISNUMBER(BM163)),IFERROR(BM170/BM163,""),"")</f>
        <v>0.448488241881299</v>
      </c>
      <c r="BN256" s="215">
        <f>IF(AND(ISNUMBER(BN170),ISNUMBER(BN163)),IFERROR(BN170/BN163,""),"")</f>
        <v>0.42652724270776</v>
      </c>
      <c r="BO256" s="215">
        <f>IF(AND(ISNUMBER(BO170),ISNUMBER(BO163)),IFERROR(BO170/BO163,""),"")</f>
        <v>0.407060121345836</v>
      </c>
      <c r="BP256" s="215">
        <f>IF(AND(ISNUMBER(BP170),ISNUMBER(BP163)),IFERROR(BP170/BP163,""),"")</f>
        <v>0.335526315789474</v>
      </c>
      <c r="BQ256" s="215">
        <f>IF(AND(ISNUMBER(BQ170),ISNUMBER(BQ163)),IFERROR(BQ170/BQ163,""),"")</f>
        <v>0.405615124153499</v>
      </c>
      <c r="BR256" s="215">
        <f>IF(AND(ISNUMBER(BR170),ISNUMBER(BR163)),IFERROR(BR170/BR163,""),"")</f>
        <v>0.43970893970894</v>
      </c>
      <c r="BS256" s="215">
        <f>IF(AND(ISNUMBER(BS170),ISNUMBER(BS163)),IFERROR(BS170/BS163,""),"")</f>
        <v>0.430979978925184</v>
      </c>
      <c r="BT256" s="215">
        <f>IF(AND(ISNUMBER(BT170),ISNUMBER(BT163)),IFERROR(BT170/BT163,""),"")</f>
        <v>0.456900847035376</v>
      </c>
      <c r="BU256" s="215">
        <f>IF(AND(ISNUMBER(BU170),ISNUMBER(BU163)),IFERROR(BU170/BU163,""),"")</f>
        <v>0.407623080995236</v>
      </c>
      <c r="BV256" s="215">
        <f>IF(AND(ISNUMBER(BV170),ISNUMBER(BV163)),IFERROR(BV170/BV163,""),"")</f>
        <v>0.434179839336616</v>
      </c>
      <c r="BW256" s="215">
        <f>IF(AND(ISNUMBER(BW170),ISNUMBER(BW163)),IFERROR(BW170/BW163,""),"")</f>
        <v>0.443482443482444</v>
      </c>
      <c r="BX256" s="215">
        <f>IF(AND(ISNUMBER(BX170),ISNUMBER(BX163)),IFERROR(BX170/BX163,""),"")</f>
        <v>0.478718535469108</v>
      </c>
      <c r="BY256" s="256">
        <f>IF(AND(ISNUMBER(BY170),ISNUMBER(BY163)),IFERROR(BY170/BY163,""),"")</f>
        <v>0.448686585125156</v>
      </c>
      <c r="BZ256" s="256">
        <f>IF(AND(ISNUMBER(BZ170),ISNUMBER(BZ163)),IFERROR(BZ170/BZ163,""),"")</f>
        <v>0.400919640644095</v>
      </c>
      <c r="CA256" s="256">
        <f>IF(AND(ISNUMBER(CA170),ISNUMBER(CA163)),IFERROR(CA170/CA163,""),"")</f>
        <v>0.444180531242379</v>
      </c>
      <c r="CB256" s="256">
        <f>IF(AND(ISNUMBER(CB170),ISNUMBER(CB163)),IFERROR(CB170/CB163,""),"")</f>
        <v>0.463888666099922</v>
      </c>
      <c r="CC256" s="256">
        <f>IF(AND(ISNUMBER(CC170),ISNUMBER(CC163)),IFERROR(CC170/CC163,""),"")</f>
        <v>0.479307974751901</v>
      </c>
      <c r="CD256" s="256">
        <f>IF(AND(ISNUMBER(CD170),ISNUMBER(CD163)),IFERROR(CD170/CD163,""),"")</f>
        <v>0.487613566020029</v>
      </c>
      <c r="CE256" s="256">
        <f>IF(AND(ISNUMBER(CE170),ISNUMBER(CE163)),IFERROR(CE170/CE163,""),"")</f>
        <v>0.49559749575541</v>
      </c>
      <c r="CF256" s="153" t="n"/>
      <c r="CH256" s="37">
        <f>IFERROR(AVERAGE(CA256,CB256,CC256,CD256,CE256),"n/m")</f>
        <v>0.474117646773928</v>
      </c>
      <c r="CI256" s="37">
        <f>IFERROR(AVERAGE(BB256,BG256,BL256,BQ256,BV256),"n/m")</f>
        <v>0.400553557129939</v>
      </c>
      <c r="CJ256" s="37">
        <f>IFERROR(AVERAGE(AC256,AH256,AM256,AR256,AW256,BB256,BG256,BL256,BQ256,BV256),"n/m")</f>
        <v>0.388916598162016</v>
      </c>
      <c r="CK256" s="37">
        <f>IFERROR(AVERAGE(C256,D256,E256,F256,G256,H256,I256,N256,S256,X256,AC256,AH256,AM256,AR256,AW256,BB256,BG256,BL256,BQ256,BV256),"n/m")</f>
        <v>0.412556032533487</v>
      </c>
    </row>
    <row r="257" ht="15" customHeight="1" s="251">
      <c r="B257" s="25" t="inlineStr">
        <is>
          <t xml:space="preserve">  Net margin %</t>
        </is>
      </c>
      <c r="C257" s="215">
        <f>IF(AND(ISNUMBER(C182),ISNUMBER(C163)),IFERROR(C182/C163,""),"")</f>
        <v>0.370084924647784</v>
      </c>
      <c r="D257" s="215">
        <f>IF(AND(ISNUMBER(D182),ISNUMBER(D163)),IFERROR(D182/D163,""),"")</f>
        <v>0.310535635236831</v>
      </c>
      <c r="E257" s="215">
        <f>IF(AND(ISNUMBER(E182),ISNUMBER(E163)),IFERROR(E182/E163,""),"")</f>
        <v>0.26068132619346</v>
      </c>
      <c r="F257" s="215">
        <f>IF(AND(ISNUMBER(F182),ISNUMBER(F163)),IFERROR(F182/F163,""),"")</f>
        <v>0.223681281994213</v>
      </c>
      <c r="G257" s="215">
        <f>IF(AND(ISNUMBER(G182),ISNUMBER(G163)),IFERROR(G182/G163,""),"")</f>
        <v>0.24990157480315</v>
      </c>
      <c r="H257" s="215">
        <f>IF(AND(ISNUMBER(H182),ISNUMBER(H163)),IFERROR(H182/H163,""),"")</f>
        <v>0.250537115797781</v>
      </c>
      <c r="I257" s="215">
        <f>IF(AND(ISNUMBER(I182),ISNUMBER(I163)),IFERROR(I182/I163,""),"")</f>
        <v>0.252719481375673</v>
      </c>
      <c r="J257" s="215">
        <f>IF(AND(ISNUMBER(J182),ISNUMBER(J163)),IFERROR(J182/J163,""),"")</f>
        <v>0.257447389997267</v>
      </c>
      <c r="K257" s="215">
        <f>IF(AND(ISNUMBER(K182),ISNUMBER(K163)),IFERROR(K182/K163,""),"")</f>
        <v>0.298280423280423</v>
      </c>
      <c r="L257" s="215">
        <f>IF(AND(ISNUMBER(L182),ISNUMBER(L163)),IFERROR(L182/L163,""),"")</f>
        <v>0.260666194188519</v>
      </c>
      <c r="M257" s="215">
        <f>IF(AND(ISNUMBER(M182),ISNUMBER(M163)),IFERROR(M182/M163,""),"")</f>
        <v>0.265272073921971</v>
      </c>
      <c r="N257" s="215">
        <f>IF(AND(ISNUMBER(N182),ISNUMBER(N163)),IFERROR(N182/N163,""),"")</f>
        <v>0.270647603027754</v>
      </c>
      <c r="O257" s="215">
        <f>IF(AND(ISNUMBER(O182),ISNUMBER(O163)),IFERROR(O182/O163,""),"")</f>
        <v>0.28415015641293</v>
      </c>
      <c r="P257" s="215">
        <f>IF(AND(ISNUMBER(P182),ISNUMBER(P163)),IFERROR(P182/P163,""),"")</f>
        <v>0.36542644533486</v>
      </c>
      <c r="Q257" s="215">
        <f>IF(AND(ISNUMBER(Q182),ISNUMBER(Q163)),IFERROR(Q182/Q163,""),"")</f>
        <v>0.263693174856023</v>
      </c>
      <c r="R257" s="215">
        <f>IF(AND(ISNUMBER(R182),ISNUMBER(R163)),IFERROR(R182/R163,""),"")</f>
        <v>0.269287749287749</v>
      </c>
      <c r="S257" s="215">
        <f>IF(AND(ISNUMBER(S182),ISNUMBER(S163)),IFERROR(S182/S163,""),"")</f>
        <v>0.296524008037669</v>
      </c>
      <c r="T257" s="215">
        <f>IF(AND(ISNUMBER(T182),ISNUMBER(T163)),IFERROR(T182/T163,""),"")</f>
        <v>0.265827171903882</v>
      </c>
      <c r="U257" s="215">
        <f>IF(AND(ISNUMBER(U182),ISNUMBER(U163)),IFERROR(U182/U163,""),"")</f>
        <v>0.285045202047707</v>
      </c>
      <c r="V257" s="215">
        <f>IF(AND(ISNUMBER(V182),ISNUMBER(V163)),IFERROR(V182/V163,""),"")</f>
        <v>0.277398490837226</v>
      </c>
      <c r="W257" s="215">
        <f>IF(AND(ISNUMBER(W182),ISNUMBER(W163)),IFERROR(W182/W163,""),"")</f>
        <v>0.251645686568888</v>
      </c>
      <c r="X257" s="215">
        <f>IF(AND(ISNUMBER(X182),ISNUMBER(X163)),IFERROR(X182/X163,""),"")</f>
        <v>0.270139187831827</v>
      </c>
      <c r="Y257" s="215">
        <f>IF(AND(ISNUMBER(Y182),ISNUMBER(Y163)),IFERROR(Y182/Y163,""),"")</f>
        <v>0.22595270187477</v>
      </c>
      <c r="Z257" s="215">
        <f>IF(AND(ISNUMBER(Z182),ISNUMBER(Z163)),IFERROR(Z182/Z163,""),"")</f>
        <v>0.275056518462698</v>
      </c>
      <c r="AA257" s="215">
        <f>IF(AND(ISNUMBER(AA182),ISNUMBER(AA163)),IFERROR(AA182/AA163,""),"")</f>
        <v>0.278377494275433</v>
      </c>
      <c r="AB257" s="215">
        <f>IF(AND(ISNUMBER(AB182),ISNUMBER(AB163)),IFERROR(AB182/AB163,""),"")</f>
        <v>-0.454941089056363</v>
      </c>
      <c r="AC257" s="215">
        <f>IF(AND(ISNUMBER(AC182),ISNUMBER(AC163)),IFERROR(AC182/AC163,""),"")</f>
        <v>0.0739692580877864</v>
      </c>
      <c r="AD257" s="215">
        <f>IF(AND(ISNUMBER(AD182),ISNUMBER(AD163)),IFERROR(AD182/AD163,""),"")</f>
        <v>0.354388843314192</v>
      </c>
      <c r="AE257" s="215">
        <f>IF(AND(ISNUMBER(AE182),ISNUMBER(AE163)),IFERROR(AE182/AE163,""),"")</f>
        <v>0.312043978010995</v>
      </c>
      <c r="AF257" s="215">
        <f>IF(AND(ISNUMBER(AF182),ISNUMBER(AF163)),IFERROR(AF182/AF163,""),"")</f>
        <v>0.298522909022486</v>
      </c>
      <c r="AG257" s="215">
        <f>IF(AND(ISNUMBER(AG182),ISNUMBER(AG163)),IFERROR(AG182/AG163,""),"")</f>
        <v>0.021879021879022</v>
      </c>
      <c r="AH257" s="215">
        <f>IF(AND(ISNUMBER(AH182),ISNUMBER(AH163)),IFERROR(AH182/AH163,""),"")</f>
        <v>0.238005756285531</v>
      </c>
      <c r="AI257" s="215">
        <f>IF(AND(ISNUMBER(AI182),ISNUMBER(AI163)),IFERROR(AI182/AI163,""),"")</f>
        <v>0.330966539451496</v>
      </c>
      <c r="AJ257" s="215">
        <f>IF(AND(ISNUMBER(AJ182),ISNUMBER(AJ163)),IFERROR(AJ182/AJ163,""),"")</f>
        <v>0.320142966556038</v>
      </c>
      <c r="AK257" s="215">
        <f>IF(AND(ISNUMBER(AK182),ISNUMBER(AK163)),IFERROR(AK182/AK163,""),"")</f>
        <v>0.28700962250185</v>
      </c>
      <c r="AL257" s="215">
        <f>IF(AND(ISNUMBER(AL182),ISNUMBER(AL163)),IFERROR(AL182/AL163,""),"")</f>
        <v>0.236109800962173</v>
      </c>
      <c r="AM257" s="215">
        <f>IF(AND(ISNUMBER(AM182),ISNUMBER(AM163)),IFERROR(AM182/AM163,""),"")</f>
        <v>0.294775699462039</v>
      </c>
      <c r="AN257" s="215">
        <f>IF(AND(ISNUMBER(AN182),ISNUMBER(AN163)),IFERROR(AN182/AN163,""),"")</f>
        <v>0.326503808773312</v>
      </c>
      <c r="AO257" s="215">
        <f>IF(AND(ISNUMBER(AO182),ISNUMBER(AO163)),IFERROR(AO182/AO163,""),"")</f>
        <v>0.255685563612393</v>
      </c>
      <c r="AP257" s="215">
        <f>IF(AND(ISNUMBER(AP182),ISNUMBER(AP163)),IFERROR(AP182/AP163,""),"")</f>
        <v>0.305844417573559</v>
      </c>
      <c r="AQ257" s="215">
        <f>IF(AND(ISNUMBER(AQ182),ISNUMBER(AQ163)),IFERROR(AQ182/AQ163,""),"")</f>
        <v>0.291159772911598</v>
      </c>
      <c r="AR257" s="215">
        <f>IF(AND(ISNUMBER(AR182),ISNUMBER(AR163)),IFERROR(AR182/AR163,""),"")</f>
        <v>0.294470904949265</v>
      </c>
      <c r="AS257" s="215">
        <f>IF(AND(ISNUMBER(AS182),ISNUMBER(AS163)),IFERROR(AS182/AS163,""),"")</f>
        <v>0.378294573643411</v>
      </c>
      <c r="AT257" s="215">
        <f>IF(AND(ISNUMBER(AT182),ISNUMBER(AT163)),IFERROR(AT182/AT163,""),"")</f>
        <v>0.354703832752613</v>
      </c>
      <c r="AU257" s="215">
        <f>IF(AND(ISNUMBER(AU182),ISNUMBER(AU163)),IFERROR(AU182/AU163,""),"")</f>
        <v>0.344395280235988</v>
      </c>
      <c r="AV257" s="215">
        <f>IF(AND(ISNUMBER(AV182),ISNUMBER(AV163)),IFERROR(AV182/AV163,""),"")</f>
        <v>0.243410852713178</v>
      </c>
      <c r="AW257" s="215">
        <f>IF(AND(ISNUMBER(AW182),ISNUMBER(AW163)),IFERROR(AW182/AW163,""),"")</f>
        <v>0.331037050828524</v>
      </c>
      <c r="AX257" s="215">
        <f>IF(AND(ISNUMBER(AX182),ISNUMBER(AX163)),IFERROR(AX182/AX163,""),"")</f>
        <v>0.46</v>
      </c>
      <c r="AY257" s="215">
        <f>IF(AND(ISNUMBER(AY182),ISNUMBER(AY163)),IFERROR(AY182/AY163,""),"")</f>
        <v>0.371538956857695</v>
      </c>
      <c r="AZ257" s="215">
        <f>IF(AND(ISNUMBER(AZ182),ISNUMBER(AZ163)),IFERROR(AZ182/AZ163,""),"")</f>
        <v>0.310615989515072</v>
      </c>
      <c r="BA257" s="215">
        <f>IF(AND(ISNUMBER(BA182),ISNUMBER(BA163)),IFERROR(BA182/BA163,""),"")</f>
        <v>0.277452891487979</v>
      </c>
      <c r="BB257" s="215">
        <f>IF(AND(ISNUMBER(BB182),ISNUMBER(BB163)),IFERROR(BB182/BB163,""),"")</f>
        <v>0.356063042779029</v>
      </c>
      <c r="BC257" s="215">
        <f>IF(AND(ISNUMBER(BC182),ISNUMBER(BC163)),IFERROR(BC182/BC163,""),"")</f>
        <v>0.327201051248357</v>
      </c>
      <c r="BD257" s="215">
        <f>IF(AND(ISNUMBER(BD182),ISNUMBER(BD163)),IFERROR(BD182/BD163,""),"")</f>
        <v>0.236784938450398</v>
      </c>
      <c r="BE257" s="215">
        <f>IF(AND(ISNUMBER(BE182),ISNUMBER(BE163)),IFERROR(BE182/BE163,""),"")</f>
        <v>0.237647058823529</v>
      </c>
      <c r="BF257" s="215">
        <f>IF(AND(ISNUMBER(BF182),ISNUMBER(BF163)),IFERROR(BF182/BF163,""),"")</f>
        <v>0.190697674418605</v>
      </c>
      <c r="BG257" s="215">
        <f>IF(AND(ISNUMBER(BG182),ISNUMBER(BG163)),IFERROR(BG182/BG163,""),"")</f>
        <v>0.251280175566935</v>
      </c>
      <c r="BH257" s="215">
        <f>IF(AND(ISNUMBER(BH182),ISNUMBER(BH163)),IFERROR(BH182/BH163,""),"")</f>
        <v>0.340816326530612</v>
      </c>
      <c r="BI257" s="215">
        <f>IF(AND(ISNUMBER(BI182),ISNUMBER(BI163)),IFERROR(BI182/BI163,""),"")</f>
        <v>0.252342704149933</v>
      </c>
      <c r="BJ257" s="215">
        <f>IF(AND(ISNUMBER(BJ182),ISNUMBER(BJ163)),IFERROR(BJ182/BJ163,""),"")</f>
        <v>0.264266304347826</v>
      </c>
      <c r="BK257" s="215">
        <f>IF(AND(ISNUMBER(BK182),ISNUMBER(BK163)),IFERROR(BK182/BK163,""),"")</f>
        <v>0.22972972972973</v>
      </c>
      <c r="BL257" s="215">
        <f>IF(AND(ISNUMBER(BL182),ISNUMBER(BL163)),IFERROR(BL182/BL163,""),"")</f>
        <v>0.271636240703178</v>
      </c>
      <c r="BM257" s="215">
        <f>IF(AND(ISNUMBER(BM182),ISNUMBER(BM163)),IFERROR(BM182/BM163,""),"")</f>
        <v>0.323068309070549</v>
      </c>
      <c r="BN257" s="215">
        <f>IF(AND(ISNUMBER(BN182),ISNUMBER(BN163)),IFERROR(BN182/BN163,""),"")</f>
        <v>0.30379746835443</v>
      </c>
      <c r="BO257" s="215">
        <f>IF(AND(ISNUMBER(BO182),ISNUMBER(BO163)),IFERROR(BO182/BO163,""),"")</f>
        <v>0.29453943739658</v>
      </c>
      <c r="BP257" s="215">
        <f>IF(AND(ISNUMBER(BP182),ISNUMBER(BP163)),IFERROR(BP182/BP163,""),"")</f>
        <v>0.236244019138756</v>
      </c>
      <c r="BQ257" s="215">
        <f>IF(AND(ISNUMBER(BQ182),ISNUMBER(BQ163)),IFERROR(BQ182/BQ163,""),"")</f>
        <v>0.290349887133183</v>
      </c>
      <c r="BR257" s="215">
        <f>IF(AND(ISNUMBER(BR182),ISNUMBER(BR163)),IFERROR(BR182/BR163,""),"")</f>
        <v>0.324844074844075</v>
      </c>
      <c r="BS257" s="215">
        <f>IF(AND(ISNUMBER(BS182),ISNUMBER(BS163)),IFERROR(BS182/BS163,""),"")</f>
        <v>0.304531085353003</v>
      </c>
      <c r="BT257" s="215">
        <f>IF(AND(ISNUMBER(BT182),ISNUMBER(BT163)),IFERROR(BT182/BT163,""),"")</f>
        <v>0.321873442949676</v>
      </c>
      <c r="BU257" s="215">
        <f>IF(AND(ISNUMBER(BU182),ISNUMBER(BU163)),IFERROR(BU182/BU163,""),"")</f>
        <v>0.322922181048174</v>
      </c>
      <c r="BV257" s="215">
        <f>IF(AND(ISNUMBER(BV182),ISNUMBER(BV163)),IFERROR(BV182/BV163,""),"")</f>
        <v>0.318605856439492</v>
      </c>
      <c r="BW257" s="215">
        <f>IF(AND(ISNUMBER(BW182),ISNUMBER(BW163)),IFERROR(BW182/BW163,""),"")</f>
        <v>0.317941317941318</v>
      </c>
      <c r="BX257" s="215">
        <f>IF(AND(ISNUMBER(BX182),ISNUMBER(BX163)),IFERROR(BX182/BX163,""),"")</f>
        <v>0.401830663615561</v>
      </c>
      <c r="BY257" s="256">
        <f>IF(AND(ISNUMBER(BY182),ISNUMBER(BY163)),IFERROR(BY182/BY163,""),"")</f>
        <v>0.320767436807879</v>
      </c>
      <c r="BZ257" s="256">
        <f>IF(AND(ISNUMBER(BZ182),ISNUMBER(BZ163)),IFERROR(BZ182/BZ163,""),"")</f>
        <v>0.330258143696086</v>
      </c>
      <c r="CA257" s="256">
        <f>IF(AND(ISNUMBER(CA182),ISNUMBER(CA163)),IFERROR(CA182/CA163,""),"")</f>
        <v>0.343800258948299</v>
      </c>
      <c r="CB257" s="256">
        <f>IF(AND(ISNUMBER(CB182),ISNUMBER(CB163)),IFERROR(CB182/CB163,""),"")</f>
        <v>0.331625575074906</v>
      </c>
      <c r="CC257" s="256">
        <f>IF(AND(ISNUMBER(CC182),ISNUMBER(CC163)),IFERROR(CC182/CC163,""),"")</f>
        <v>0.341555150387193</v>
      </c>
      <c r="CD257" s="256">
        <f>IF(AND(ISNUMBER(CD182),ISNUMBER(CD163)),IFERROR(CD182/CD163,""),"")</f>
        <v>0.347342256457109</v>
      </c>
      <c r="CE257" s="256">
        <f>IF(AND(ISNUMBER(CE182),ISNUMBER(CE163)),IFERROR(CE182/CE163,""),"")</f>
        <v>0.352231784491989</v>
      </c>
      <c r="CF257" s="153" t="n"/>
      <c r="CH257" s="37">
        <f>IFERROR(AVERAGE(CA257,CB257,CC257,CD257,CE257),"n/m")</f>
        <v>0.343311005071899</v>
      </c>
      <c r="CI257" s="37">
        <f>IFERROR(AVERAGE(BB257,BG257,BL257,BQ257,BV257),"n/m")</f>
        <v>0.297587040524363</v>
      </c>
      <c r="CJ257" s="37">
        <f>IFERROR(AVERAGE(AC257,AH257,AM257,AR257,AW257,BB257,BG257,BL257,BQ257,BV257),"n/m")</f>
        <v>0.272019387223496</v>
      </c>
      <c r="CK257" s="37">
        <f>IFERROR(AVERAGE(C257,D257,E257,F257,G257,H257,I257,N257,S257,X257,AC257,AH257,AM257,AR257,AW257,BB257,BG257,BL257,BQ257,BV257),"n/m")</f>
        <v>0.273782300559055</v>
      </c>
    </row>
    <row r="258" ht="15" customHeight="1" s="251">
      <c r="B258" s="25" t="inlineStr">
        <is>
          <t xml:space="preserve">  Operating expense % of revenue</t>
        </is>
      </c>
      <c r="C258" s="215">
        <f>IF(AND(ISNUMBER(C164),ISNUMBER(C163)),IFERROR(C164/C163,""),"")</f>
        <v>0.264788179274459</v>
      </c>
      <c r="D258" s="215">
        <f>IF(AND(ISNUMBER(D164),ISNUMBER(D163)),IFERROR(D164/D163,""),"")</f>
        <v>0.258521469676848</v>
      </c>
      <c r="E258" s="215">
        <f>IF(AND(ISNUMBER(E164),ISNUMBER(E163)),IFERROR(E164/E163,""),"")</f>
        <v>0.281018571265808</v>
      </c>
      <c r="F258" s="215">
        <f>IF(AND(ISNUMBER(F164),ISNUMBER(F163)),IFERROR(F164/F163,""),"")</f>
        <v>0.296238593367461</v>
      </c>
      <c r="G258" s="215">
        <f>IF(AND(ISNUMBER(G164),ISNUMBER(G163)),IFERROR(G164/G163,""),"")</f>
        <v>0.297637795275591</v>
      </c>
      <c r="H258" s="215">
        <f>IF(AND(ISNUMBER(H164),ISNUMBER(H163)),IFERROR(H164/H163,""),"")</f>
        <v>0.299688692068225</v>
      </c>
      <c r="I258" s="215">
        <f>IF(AND(ISNUMBER(I164),ISNUMBER(I163)),IFERROR(I164/I163,""),"")</f>
        <v>0.291176793758928</v>
      </c>
      <c r="J258" s="215">
        <f>IF(AND(ISNUMBER(J164),ISNUMBER(J163)),IFERROR(J164/J163,""),"")</f>
        <v>0.274391910358021</v>
      </c>
      <c r="K258" s="215">
        <f>IF(AND(ISNUMBER(K164),ISNUMBER(K163)),IFERROR(K164/K163,""),"")</f>
        <v>0.260714285714286</v>
      </c>
      <c r="L258" s="215">
        <f>IF(AND(ISNUMBER(L164),ISNUMBER(L163)),IFERROR(L164/L163,""),"")</f>
        <v>0.288447909284196</v>
      </c>
      <c r="M258" s="215">
        <f>IF(AND(ISNUMBER(M164),ISNUMBER(M163)),IFERROR(M164/M163,""),"")</f>
        <v>0.283624229979466</v>
      </c>
      <c r="N258" s="215">
        <f>IF(AND(ISNUMBER(N164),ISNUMBER(N163)),IFERROR(N164/N163,""),"")</f>
        <v>0.276669470142977</v>
      </c>
      <c r="O258" s="215">
        <f>IF(AND(ISNUMBER(O164),ISNUMBER(O163)),IFERROR(O164/O163,""),"")</f>
        <v>0.281543274244004</v>
      </c>
      <c r="P258" s="215">
        <f>IF(AND(ISNUMBER(P164),ISNUMBER(P163)),IFERROR(P164/P163,""),"")</f>
        <v>0.254264453348598</v>
      </c>
      <c r="Q258" s="215">
        <f>IF(AND(ISNUMBER(Q164),ISNUMBER(Q163)),IFERROR(Q164/Q163,""),"")</f>
        <v>0.290037985540988</v>
      </c>
      <c r="R258" s="215">
        <f>IF(AND(ISNUMBER(R164),ISNUMBER(R163)),IFERROR(R164/R163,""),"")</f>
        <v>0.291168091168091</v>
      </c>
      <c r="S258" s="215">
        <f>IF(AND(ISNUMBER(S164),ISNUMBER(S163)),IFERROR(S164/S163,""),"")</f>
        <v>0.279009087364664</v>
      </c>
      <c r="T258" s="215">
        <f>IF(AND(ISNUMBER(T164),ISNUMBER(T163)),IFERROR(T164/T163,""),"")</f>
        <v>0.282347504621072</v>
      </c>
      <c r="U258" s="215">
        <f>IF(AND(ISNUMBER(U164),ISNUMBER(U163)),IFERROR(U164/U163,""),"")</f>
        <v>0.2656573358022</v>
      </c>
      <c r="V258" s="215">
        <f>IF(AND(ISNUMBER(V164),ISNUMBER(V163)),IFERROR(V164/V163,""),"")</f>
        <v>0.282788357887172</v>
      </c>
      <c r="W258" s="215">
        <f>IF(AND(ISNUMBER(W164),ISNUMBER(W163)),IFERROR(W164/W163,""),"")</f>
        <v>0.290911190668668</v>
      </c>
      <c r="X258" s="215">
        <f>IF(AND(ISNUMBER(X164),ISNUMBER(X163)),IFERROR(X164/X163,""),"")</f>
        <v>0.280183670540967</v>
      </c>
      <c r="Y258" s="215">
        <f>IF(AND(ISNUMBER(Y164),ISNUMBER(Y163)),IFERROR(Y164/Y163,""),"")</f>
        <v>0.305354735939223</v>
      </c>
      <c r="Z258" s="215">
        <f>IF(AND(ISNUMBER(Z164),ISNUMBER(Z163)),IFERROR(Z164/Z163,""),"")</f>
        <v>0.278716761761223</v>
      </c>
      <c r="AA258" s="215">
        <f>IF(AND(ISNUMBER(AA164),ISNUMBER(AA163)),IFERROR(AA164/AA163,""),"")</f>
        <v>0.276087667648021</v>
      </c>
      <c r="AB258" s="215">
        <f>IF(AND(ISNUMBER(AB164),ISNUMBER(AB163)),IFERROR(AB164/AB163,""),"")</f>
        <v>0.28160492516718</v>
      </c>
      <c r="AC258" s="215">
        <f>IF(AND(ISNUMBER(AC164),ISNUMBER(AC163)),IFERROR(AC164/AC163,""),"")</f>
        <v>0.284834359913434</v>
      </c>
      <c r="AD258" s="215">
        <f>IF(AND(ISNUMBER(AD164),ISNUMBER(AD163)),IFERROR(AD164/AD163,""),"")</f>
        <v>0.284454470877769</v>
      </c>
      <c r="AE258" s="215">
        <f>IF(AND(ISNUMBER(AE164),ISNUMBER(AE163)),IFERROR(AE164/AE163,""),"")</f>
        <v>0.285657171414293</v>
      </c>
      <c r="AF258" s="215">
        <f>IF(AND(ISNUMBER(AF164),ISNUMBER(AF163)),IFERROR(AF164/AF163,""),"")</f>
        <v>0.298428826794618</v>
      </c>
      <c r="AG258" s="215">
        <f>IF(AND(ISNUMBER(AG164),ISNUMBER(AG163)),IFERROR(AG164/AG163,""),"")</f>
        <v>0.293779493779494</v>
      </c>
      <c r="AH258" s="215">
        <f>IF(AND(ISNUMBER(AH164),ISNUMBER(AH163)),IFERROR(AH164/AH163,""),"")</f>
        <v>0.290858923431888</v>
      </c>
      <c r="AI258" s="215">
        <f>IF(AND(ISNUMBER(AI164),ISNUMBER(AI163)),IFERROR(AI164/AI163,""),"")</f>
        <v>0.279488772521523</v>
      </c>
      <c r="AJ258" s="215">
        <f>IF(AND(ISNUMBER(AJ164),ISNUMBER(AJ163)),IFERROR(AJ164/AJ163,""),"")</f>
        <v>0.272487447876777</v>
      </c>
      <c r="AK258" s="215">
        <f>IF(AND(ISNUMBER(AK164),ISNUMBER(AK163)),IFERROR(AK164/AK163,""),"")</f>
        <v>0.28340118430792</v>
      </c>
      <c r="AL258" s="215">
        <f>IF(AND(ISNUMBER(AL164),ISNUMBER(AL163)),IFERROR(AL164/AL163,""),"")</f>
        <v>0.286859730214131</v>
      </c>
      <c r="AM258" s="215">
        <f>IF(AND(ISNUMBER(AM164),ISNUMBER(AM163)),IFERROR(AM164/AM163,""),"")</f>
        <v>0.28034753640804</v>
      </c>
      <c r="AN258" s="215">
        <f>IF(AND(ISNUMBER(AN164),ISNUMBER(AN163)),IFERROR(AN164/AN163,""),"")</f>
        <v>0.299185710533228</v>
      </c>
      <c r="AO258" s="215">
        <f>IF(AND(ISNUMBER(AO164),ISNUMBER(AO163)),IFERROR(AO164/AO163,""),"")</f>
        <v>0.280075807514832</v>
      </c>
      <c r="AP258" s="215">
        <f>IF(AND(ISNUMBER(AP164),ISNUMBER(AP163)),IFERROR(AP164/AP163,""),"")</f>
        <v>0.282305521966949</v>
      </c>
      <c r="AQ258" s="215">
        <f>IF(AND(ISNUMBER(AQ164),ISNUMBER(AQ163)),IFERROR(AQ164/AQ163,""),"")</f>
        <v>0.287915652879157</v>
      </c>
      <c r="AR258" s="215">
        <f>IF(AND(ISNUMBER(AR164),ISNUMBER(AR163)),IFERROR(AR164/AR163,""),"")</f>
        <v>0.287223027541934</v>
      </c>
      <c r="AS258" s="215">
        <f>IF(AND(ISNUMBER(AS164),ISNUMBER(AS163)),IFERROR(AS164/AS163,""),"")</f>
        <v>0.263565891472868</v>
      </c>
      <c r="AT258" s="215">
        <f>IF(AND(ISNUMBER(AT164),ISNUMBER(AT163)),IFERROR(AT164/AT163,""),"")</f>
        <v>0.252264808362369</v>
      </c>
      <c r="AU258" s="215">
        <f>IF(AND(ISNUMBER(AU164),ISNUMBER(AU163)),IFERROR(AU164/AU163,""),"")</f>
        <v>0.268436578171091</v>
      </c>
      <c r="AV258" s="215">
        <f>IF(AND(ISNUMBER(AV164),ISNUMBER(AV163)),IFERROR(AV164/AV163,""),"")</f>
        <v>0.317054263565891</v>
      </c>
      <c r="AW258" s="215">
        <f>IF(AND(ISNUMBER(AW164),ISNUMBER(AW163)),IFERROR(AW164/AW163,""),"")</f>
        <v>0.274622975237386</v>
      </c>
      <c r="AX258" s="215">
        <f>IF(AND(ISNUMBER(AX164),ISNUMBER(AX163)),IFERROR(AX164/AX163,""),"")</f>
        <v>0.245625</v>
      </c>
      <c r="AY258" s="215">
        <f>IF(AND(ISNUMBER(AY164),ISNUMBER(AY163)),IFERROR(AY164/AY163,""),"")</f>
        <v>0.235028976175145</v>
      </c>
      <c r="AZ258" s="215">
        <f>IF(AND(ISNUMBER(AZ164),ISNUMBER(AZ163)),IFERROR(AZ164/AZ163,""),"")</f>
        <v>0.258191349934469</v>
      </c>
      <c r="BA258" s="215">
        <f>IF(AND(ISNUMBER(BA164),ISNUMBER(BA163)),IFERROR(BA164/BA163,""),"")</f>
        <v>0.315139701104613</v>
      </c>
      <c r="BB258" s="215">
        <f>IF(AND(ISNUMBER(BB164),ISNUMBER(BB163)),IFERROR(BB164/BB163,""),"")</f>
        <v>0.263267931810872</v>
      </c>
      <c r="BC258" s="215">
        <f>IF(AND(ISNUMBER(BC164),ISNUMBER(BC163)),IFERROR(BC164/BC163,""),"")</f>
        <v>0.273981603153745</v>
      </c>
      <c r="BD258" s="215">
        <f>IF(AND(ISNUMBER(BD164),ISNUMBER(BD163)),IFERROR(BD164/BD163,""),"")</f>
        <v>0.284576393917451</v>
      </c>
      <c r="BE258" s="215">
        <f>IF(AND(ISNUMBER(BE164),ISNUMBER(BE163)),IFERROR(BE164/BE163,""),"")</f>
        <v>0.308235294117647</v>
      </c>
      <c r="BF258" s="215">
        <f>IF(AND(ISNUMBER(BF164),ISNUMBER(BF163)),IFERROR(BF164/BF163,""),"")</f>
        <v>0.317829457364341</v>
      </c>
      <c r="BG258" s="215">
        <f>IF(AND(ISNUMBER(BG164),ISNUMBER(BG163)),IFERROR(BG164/BG163,""),"")</f>
        <v>0.294989027066569</v>
      </c>
      <c r="BH258" s="215">
        <f>IF(AND(ISNUMBER(BH164),ISNUMBER(BH163)),IFERROR(BH164/BH163,""),"")</f>
        <v>0.291156462585034</v>
      </c>
      <c r="BI258" s="215">
        <f>IF(AND(ISNUMBER(BI164),ISNUMBER(BI163)),IFERROR(BI164/BI163,""),"")</f>
        <v>0.285140562248996</v>
      </c>
      <c r="BJ258" s="215">
        <f>IF(AND(ISNUMBER(BJ164),ISNUMBER(BJ163)),IFERROR(BJ164/BJ163,""),"")</f>
        <v>0.279891304347826</v>
      </c>
      <c r="BK258" s="215">
        <f>IF(AND(ISNUMBER(BK164),ISNUMBER(BK163)),IFERROR(BK164/BK163,""),"")</f>
        <v>0.284459459459459</v>
      </c>
      <c r="BL258" s="215">
        <f>IF(AND(ISNUMBER(BL164),ISNUMBER(BL163)),IFERROR(BL164/BL163,""),"")</f>
        <v>0.285158891142664</v>
      </c>
      <c r="BM258" s="215">
        <f>IF(AND(ISNUMBER(BM164),ISNUMBER(BM163)),IFERROR(BM164/BM163,""),"")</f>
        <v>0.261478163493841</v>
      </c>
      <c r="BN258" s="215">
        <f>IF(AND(ISNUMBER(BN164),ISNUMBER(BN163)),IFERROR(BN164/BN163,""),"")</f>
        <v>0.258117776554761</v>
      </c>
      <c r="BO258" s="215">
        <f>IF(AND(ISNUMBER(BO164),ISNUMBER(BO163)),IFERROR(BO164/BO163,""),"")</f>
        <v>0.282404853833425</v>
      </c>
      <c r="BP258" s="215">
        <f>IF(AND(ISNUMBER(BP164),ISNUMBER(BP163)),IFERROR(BP164/BP163,""),"")</f>
        <v>0.297248803827751</v>
      </c>
      <c r="BQ258" s="215">
        <f>IF(AND(ISNUMBER(BQ164),ISNUMBER(BQ163)),IFERROR(BQ164/BQ163,""),"")</f>
        <v>0.274407449209932</v>
      </c>
      <c r="BR258" s="215">
        <f>IF(AND(ISNUMBER(BR164),ISNUMBER(BR163)),IFERROR(BR164/BR163,""),"")</f>
        <v>0.255197505197505</v>
      </c>
      <c r="BS258" s="215">
        <f>IF(AND(ISNUMBER(BS164),ISNUMBER(BS163)),IFERROR(BS164/BS163,""),"")</f>
        <v>0.257639620653319</v>
      </c>
      <c r="BT258" s="215">
        <f>IF(AND(ISNUMBER(BT164),ISNUMBER(BT163)),IFERROR(BT164/BT163,""),"")</f>
        <v>0.245142002989537</v>
      </c>
      <c r="BU258" s="215">
        <f>IF(AND(ISNUMBER(BU164),ISNUMBER(BU163)),IFERROR(BU164/BU163,""),"")</f>
        <v>0.265749073583907</v>
      </c>
      <c r="BV258" s="215">
        <f>IF(AND(ISNUMBER(BV164),ISNUMBER(BV163)),IFERROR(BV164/BV163,""),"")</f>
        <v>0.255636175174916</v>
      </c>
      <c r="BW258" s="215">
        <f>IF(AND(ISNUMBER(BW164),ISNUMBER(BW163)),IFERROR(BW164/BW163,""),"")</f>
        <v>0.255411255411255</v>
      </c>
      <c r="BX258" s="215">
        <f>IF(AND(ISNUMBER(BX164),ISNUMBER(BX163)),IFERROR(BX164/BX163,""),"")</f>
        <v>0.237070938215103</v>
      </c>
      <c r="BY258" s="256">
        <f>IF(AND(ISNUMBER(BY164),ISNUMBER(BY163)),IFERROR(BY164/BY163,""),"")</f>
        <v>0.234744879787535</v>
      </c>
      <c r="BZ258" s="256">
        <f>IF(AND(ISNUMBER(BZ164),ISNUMBER(BZ163)),IFERROR(BZ164/BZ163,""),"")</f>
        <v>0.255351950381906</v>
      </c>
      <c r="CA258" s="256">
        <f>IF(AND(ISNUMBER(CA164),ISNUMBER(CA163)),IFERROR(CA164/CA163,""),"")</f>
        <v>0.245402225283616</v>
      </c>
      <c r="CB258" s="256">
        <f>IF(AND(ISNUMBER(CB164),ISNUMBER(CB163)),IFERROR(CB164/CB163,""),"")</f>
        <v>0.235</v>
      </c>
      <c r="CC258" s="256">
        <f>IF(AND(ISNUMBER(CC164),ISNUMBER(CC163)),IFERROR(CC164/CC163,""),"")</f>
        <v>0.235</v>
      </c>
      <c r="CD258" s="256">
        <f>IF(AND(ISNUMBER(CD164),ISNUMBER(CD163)),IFERROR(CD164/CD163,""),"")</f>
        <v>0.235</v>
      </c>
      <c r="CE258" s="256">
        <f>IF(AND(ISNUMBER(CE164),ISNUMBER(CE163)),IFERROR(CE164/CE163,""),"")</f>
        <v>0.235</v>
      </c>
      <c r="CF258" s="153" t="n"/>
      <c r="CH258" s="37">
        <f>IFERROR(AVERAGE(CA258,CB258,CC258,CD258,CE258),"n/m")</f>
        <v>0.237080445056723</v>
      </c>
      <c r="CI258" s="37">
        <f>IFERROR(AVERAGE(BB258,BG258,BL258,BQ258,BV258),"n/m")</f>
        <v>0.274691894880991</v>
      </c>
      <c r="CJ258" s="37">
        <f>IFERROR(AVERAGE(AC258,AH258,AM258,AR258,AW258,BB258,BG258,BL258,BQ258,BV258),"n/m")</f>
        <v>0.279134629693764</v>
      </c>
      <c r="CK258" s="37">
        <f>IFERROR(AVERAGE(C258,D258,E258,F258,G258,H258,I258,N258,S258,X258,AC258,AH258,AM258,AR258,AW258,BB258,BG258,BL258,BQ258,BV258),"n/m")</f>
        <v>0.280813930983678</v>
      </c>
    </row>
    <row r="259" ht="15" customHeight="1" s="251">
      <c r="B259" s="25" t="inlineStr">
        <is>
          <t xml:space="preserve">  SG&amp;A % of revenue</t>
        </is>
      </c>
      <c r="C259" s="215">
        <f>IF(AND(ISNUMBER(C165),ISNUMBER(C163)),IFERROR(C165/C163,""),"")</f>
        <v>0.176378184674292</v>
      </c>
      <c r="D259" s="215">
        <f>IF(AND(ISNUMBER(D165),ISNUMBER(D163)),IFERROR(D165/D163,""),"")</f>
        <v>0.199690128375387</v>
      </c>
      <c r="E259" s="215">
        <f>IF(AND(ISNUMBER(E165),ISNUMBER(E163)),IFERROR(E165/E163,""),"")</f>
        <v>0.251395693289279</v>
      </c>
      <c r="F259" s="215">
        <f>IF(AND(ISNUMBER(F165),ISNUMBER(F163)),IFERROR(F165/F163,""),"")</f>
        <v>0.275817939016247</v>
      </c>
      <c r="G259" s="215">
        <f>IF(AND(ISNUMBER(G165),ISNUMBER(G163)),IFERROR(G165/G163,""),"")</f>
        <v>0.289370078740157</v>
      </c>
      <c r="H259" s="215">
        <f>IF(AND(ISNUMBER(H165),ISNUMBER(H163)),IFERROR(H165/H163,""),"")</f>
        <v>0.276055596965844</v>
      </c>
      <c r="I259" s="215">
        <f>IF(AND(ISNUMBER(I165),ISNUMBER(I163)),IFERROR(I165/I163,""),"")</f>
        <v>0.275500860711277</v>
      </c>
      <c r="J259" s="215">
        <f>IF(AND(ISNUMBER(J165),ISNUMBER(J163)),IFERROR(J165/J163,""),"")</f>
        <v>0.310194042088002</v>
      </c>
      <c r="K259" s="215">
        <f>IF(AND(ISNUMBER(K165),ISNUMBER(K163)),IFERROR(K165/K163,""),"")</f>
        <v>0.244708994708995</v>
      </c>
      <c r="L259" s="215">
        <f>IF(AND(ISNUMBER(L165),ISNUMBER(L163)),IFERROR(L165/L163,""),"")</f>
        <v>0.265201984408221</v>
      </c>
      <c r="M259" s="215">
        <f>IF(AND(ISNUMBER(M165),ISNUMBER(M163)),IFERROR(M165/M163,""),"")</f>
        <v>0.286190965092402</v>
      </c>
      <c r="N259" s="215">
        <f>IF(AND(ISNUMBER(N165),ISNUMBER(N163)),IFERROR(N165/N163,""),"")</f>
        <v>0.276568544995795</v>
      </c>
      <c r="O259" s="215">
        <f>IF(AND(ISNUMBER(O165),ISNUMBER(O163)),IFERROR(O165/O163,""),"")</f>
        <v>0.254301355578728</v>
      </c>
      <c r="P259" s="215">
        <f>IF(AND(ISNUMBER(P165),ISNUMBER(P163)),IFERROR(P165/P163,""),"")</f>
        <v>0.248883800801374</v>
      </c>
      <c r="Q259" s="215">
        <f>IF(AND(ISNUMBER(Q165),ISNUMBER(Q163)),IFERROR(Q165/Q163,""),"")</f>
        <v>0.253032716578851</v>
      </c>
      <c r="R259" s="215">
        <f>IF(AND(ISNUMBER(R165),ISNUMBER(R163)),IFERROR(R165/R163,""),"")</f>
        <v>0.285242165242165</v>
      </c>
      <c r="S259" s="215">
        <f>IF(AND(ISNUMBER(S165),ISNUMBER(S163)),IFERROR(S165/S163,""),"")</f>
        <v>0.26071439282608</v>
      </c>
      <c r="T259" s="215">
        <f>IF(AND(ISNUMBER(T165),ISNUMBER(T163)),IFERROR(T165/T163,""),"")</f>
        <v>0.255660813308688</v>
      </c>
      <c r="U259" s="215">
        <f>IF(AND(ISNUMBER(U165),ISNUMBER(U163)),IFERROR(U165/U163,""),"")</f>
        <v>0.247249754928657</v>
      </c>
      <c r="V259" s="215">
        <f>IF(AND(ISNUMBER(V165),ISNUMBER(V163)),IFERROR(V165/V163,""),"")</f>
        <v>0.264462809917355</v>
      </c>
      <c r="W259" s="215">
        <f>IF(AND(ISNUMBER(W165),ISNUMBER(W163)),IFERROR(W165/W163,""),"")</f>
        <v>0.291257650998961</v>
      </c>
      <c r="X259" s="215">
        <f>IF(AND(ISNUMBER(X165),ISNUMBER(X163)),IFERROR(X165/X163,""),"")</f>
        <v>0.264399483426604</v>
      </c>
      <c r="Y259" s="215">
        <f>IF(AND(ISNUMBER(Y165),ISNUMBER(Y163)),IFERROR(Y165/Y163,""),"")</f>
        <v>0.285381693419924</v>
      </c>
      <c r="Z259" s="215">
        <f>IF(AND(ISNUMBER(Z165),ISNUMBER(Z163)),IFERROR(Z165/Z163,""),"")</f>
        <v>0.246097534718484</v>
      </c>
      <c r="AA259" s="215">
        <f>IF(AND(ISNUMBER(AA165),ISNUMBER(AA163)),IFERROR(AA165/AA163,""),"")</f>
        <v>0.245665685312398</v>
      </c>
      <c r="AB259" s="215">
        <f>IF(AND(ISNUMBER(AB165),ISNUMBER(AB163)),IFERROR(AB165/AB163,""),"")</f>
        <v>0.268761277995966</v>
      </c>
      <c r="AC259" s="215">
        <f>IF(AND(ISNUMBER(AC165),ISNUMBER(AC163)),IFERROR(AC165/AC163,""),"")</f>
        <v>0.259808001775706</v>
      </c>
      <c r="AD259" s="215">
        <f>IF(AND(ISNUMBER(AD165),ISNUMBER(AD163)),IFERROR(AD165/AD163,""),"")</f>
        <v>0.227543068088597</v>
      </c>
      <c r="AE259" s="215">
        <f>IF(AND(ISNUMBER(AE165),ISNUMBER(AE163)),IFERROR(AE165/AE163,""),"")</f>
        <v>0.217591204397801</v>
      </c>
      <c r="AF259" s="215">
        <f>IF(AND(ISNUMBER(AF165),ISNUMBER(AF163)),IFERROR(AF165/AF163,""),"")</f>
        <v>0.232571267287609</v>
      </c>
      <c r="AG259" s="215">
        <f>IF(AND(ISNUMBER(AG165),ISNUMBER(AG163)),IFERROR(AG165/AG163,""),"")</f>
        <v>0.261347061347061</v>
      </c>
      <c r="AH259" s="215">
        <f>IF(AND(ISNUMBER(AH165),ISNUMBER(AH163)),IFERROR(AH165/AH163,""),"")</f>
        <v>0.235817416331676</v>
      </c>
      <c r="AI259" s="215">
        <f>IF(AND(ISNUMBER(AI165),ISNUMBER(AI163)),IFERROR(AI165/AI163,""),"")</f>
        <v>0.240614183012337</v>
      </c>
      <c r="AJ259" s="215">
        <f>IF(AND(ISNUMBER(AJ165),ISNUMBER(AJ163)),IFERROR(AJ165/AJ163,""),"")</f>
        <v>0.230193175048932</v>
      </c>
      <c r="AK259" s="215">
        <f>IF(AND(ISNUMBER(AK165),ISNUMBER(AK163)),IFERROR(AK165/AK163,""),"")</f>
        <v>0.240840118430792</v>
      </c>
      <c r="AL259" s="215">
        <f>IF(AND(ISNUMBER(AL165),ISNUMBER(AL163)),IFERROR(AL165/AL163,""),"")</f>
        <v>0.262428072823319</v>
      </c>
      <c r="AM259" s="215">
        <f>IF(AND(ISNUMBER(AM165),ISNUMBER(AM163)),IFERROR(AM165/AM163,""),"")</f>
        <v>0.243117923785086</v>
      </c>
      <c r="AN259" s="215">
        <f>IF(AND(ISNUMBER(AN165),ISNUMBER(AN163)),IFERROR(AN165/AN163,""),"")</f>
        <v>0.246475790211015</v>
      </c>
      <c r="AO259" s="215">
        <f>IF(AND(ISNUMBER(AO165),ISNUMBER(AO163)),IFERROR(AO165/AO163,""),"")</f>
        <v>0.226351351351351</v>
      </c>
      <c r="AP259" s="215">
        <f>IF(AND(ISNUMBER(AP165),ISNUMBER(AP163)),IFERROR(AP165/AP163,""),"")</f>
        <v>0.235308343409915</v>
      </c>
      <c r="AQ259" s="215">
        <f>IF(AND(ISNUMBER(AQ165),ISNUMBER(AQ163)),IFERROR(AQ165/AQ163,""),"")</f>
        <v>0.258718572587186</v>
      </c>
      <c r="AR259" s="215">
        <f>IF(AND(ISNUMBER(AR165),ISNUMBER(AR163)),IFERROR(AR165/AR163,""),"")</f>
        <v>0.24166494098157</v>
      </c>
      <c r="AS259" s="215">
        <f>IF(AND(ISNUMBER(AS165),ISNUMBER(AS163)),IFERROR(AS165/AS163,""),"")</f>
        <v>0.233333333333333</v>
      </c>
      <c r="AT259" s="215">
        <f>IF(AND(ISNUMBER(AT165),ISNUMBER(AT163)),IFERROR(AT165/AT163,""),"")</f>
        <v>0.213937282229965</v>
      </c>
      <c r="AU259" s="215">
        <f>IF(AND(ISNUMBER(AU165),ISNUMBER(AU163)),IFERROR(AU165/AU163,""),"")</f>
        <v>0.199852507374631</v>
      </c>
      <c r="AV259" s="215">
        <f>IF(AND(ISNUMBER(AV165),ISNUMBER(AV163)),IFERROR(AV165/AV163,""),"")</f>
        <v>0.271317829457364</v>
      </c>
      <c r="AW259" s="215">
        <f>IF(AND(ISNUMBER(AW165),ISNUMBER(AW163)),IFERROR(AW165/AW163,""),"")</f>
        <v>0.228821448519829</v>
      </c>
      <c r="AX259" s="215">
        <f>IF(AND(ISNUMBER(AX165),ISNUMBER(AX163)),IFERROR(AX165/AX163,""),"")</f>
        <v>0.183125</v>
      </c>
      <c r="AY259" s="215">
        <f>IF(AND(ISNUMBER(AY165),ISNUMBER(AY163)),IFERROR(AY165/AY163,""),"")</f>
        <v>0.210560206052801</v>
      </c>
      <c r="AZ259" s="215">
        <f>IF(AND(ISNUMBER(AZ165),ISNUMBER(AZ163)),IFERROR(AZ165/AZ163,""),"")</f>
        <v>0.258846657929227</v>
      </c>
      <c r="BA259" s="215">
        <f>IF(AND(ISNUMBER(BA165),ISNUMBER(BA163)),IFERROR(BA165/BA163,""),"")</f>
        <v>0.302144249512671</v>
      </c>
      <c r="BB259" s="215">
        <f>IF(AND(ISNUMBER(BB165),ISNUMBER(BB163)),IFERROR(BB165/BB163,""),"")</f>
        <v>0.238018655516243</v>
      </c>
      <c r="BC259" s="215">
        <f>IF(AND(ISNUMBER(BC165),ISNUMBER(BC163)),IFERROR(BC165/BC163,""),"")</f>
        <v>0.243758212877792</v>
      </c>
      <c r="BD259" s="215">
        <f>IF(AND(ISNUMBER(BD165),ISNUMBER(BD163)),IFERROR(BD165/BD163,""),"")</f>
        <v>0.266473569876901</v>
      </c>
      <c r="BE259" s="215">
        <f>IF(AND(ISNUMBER(BE165),ISNUMBER(BE163)),IFERROR(BE165/BE163,""),"")</f>
        <v>0.301960784313725</v>
      </c>
      <c r="BF259" s="215">
        <f>IF(AND(ISNUMBER(BF165),ISNUMBER(BF163)),IFERROR(BF165/BF163,""),"")</f>
        <v>0.312403100775194</v>
      </c>
      <c r="BG259" s="215">
        <f>IF(AND(ISNUMBER(BG165),ISNUMBER(BG163)),IFERROR(BG165/BG163,""),"")</f>
        <v>0.279261155815655</v>
      </c>
      <c r="BH259" s="215">
        <f>IF(AND(ISNUMBER(BH165),ISNUMBER(BH163)),IFERROR(BH165/BH163,""),"")</f>
        <v>0.262585034013605</v>
      </c>
      <c r="BI259" s="215">
        <f>IF(AND(ISNUMBER(BI165),ISNUMBER(BI163)),IFERROR(BI165/BI163,""),"")</f>
        <v>0.277777777777778</v>
      </c>
      <c r="BJ259" s="215">
        <f>IF(AND(ISNUMBER(BJ165),ISNUMBER(BJ163)),IFERROR(BJ165/BJ163,""),"")</f>
        <v>0.273777173913043</v>
      </c>
      <c r="BK259" s="215">
        <f>IF(AND(ISNUMBER(BK165),ISNUMBER(BK163)),IFERROR(BK165/BK163,""),"")</f>
        <v>0.289189189189189</v>
      </c>
      <c r="BL259" s="215">
        <f>IF(AND(ISNUMBER(BL165),ISNUMBER(BL163)),IFERROR(BL165/BL163,""),"")</f>
        <v>0.275862068965517</v>
      </c>
      <c r="BM259" s="215">
        <f>IF(AND(ISNUMBER(BM165),ISNUMBER(BM163)),IFERROR(BM165/BM163,""),"")</f>
        <v>0.231243001119821</v>
      </c>
      <c r="BN259" s="215">
        <f>IF(AND(ISNUMBER(BN165),ISNUMBER(BN163)),IFERROR(BN165/BN163,""),"")</f>
        <v>0.245459548706659</v>
      </c>
      <c r="BO259" s="215">
        <f>IF(AND(ISNUMBER(BO165),ISNUMBER(BO163)),IFERROR(BO165/BO163,""),"")</f>
        <v>0.239382239382239</v>
      </c>
      <c r="BP259" s="215">
        <f>IF(AND(ISNUMBER(BP165),ISNUMBER(BP163)),IFERROR(BP165/BP163,""),"")</f>
        <v>0.264354066985646</v>
      </c>
      <c r="BQ259" s="215">
        <f>IF(AND(ISNUMBER(BQ165),ISNUMBER(BQ163)),IFERROR(BQ165/BQ163,""),"")</f>
        <v>0.244779909706546</v>
      </c>
      <c r="BR259" s="215">
        <f>IF(AND(ISNUMBER(BR165),ISNUMBER(BR163)),IFERROR(BR165/BR163,""),"")</f>
        <v>0.228170478170478</v>
      </c>
      <c r="BS259" s="215">
        <f>IF(AND(ISNUMBER(BS165),ISNUMBER(BS163)),IFERROR(BS165/BS163,""),"")</f>
        <v>0.233403582718651</v>
      </c>
      <c r="BT259" s="215">
        <f>IF(AND(ISNUMBER(BT165),ISNUMBER(BT163)),IFERROR(BT165/BT163,""),"")</f>
        <v>0.225710014947683</v>
      </c>
      <c r="BU259" s="215">
        <f>IF(AND(ISNUMBER(BU165),ISNUMBER(BU163)),IFERROR(BU165/BU163,""),"")</f>
        <v>0.247220751720487</v>
      </c>
      <c r="BV259" s="215">
        <f>IF(AND(ISNUMBER(BV165),ISNUMBER(BV163)),IFERROR(BV165/BV163,""),"")</f>
        <v>0.233609743456854</v>
      </c>
      <c r="BW259" s="215">
        <f>IF(AND(ISNUMBER(BW165),ISNUMBER(BW163)),IFERROR(BW165/BW163,""),"")</f>
        <v>0.229437229437229</v>
      </c>
      <c r="BX259" s="215">
        <f>IF(AND(ISNUMBER(BX165),ISNUMBER(BX163)),IFERROR(BX165/BX163,""),"")</f>
        <v>0.211899313501144</v>
      </c>
      <c r="BY259" s="256">
        <f>IF(AND(ISNUMBER(BY165),ISNUMBER(BY163)),IFERROR(BY165/BY163,""),"")</f>
        <v>0.243777749446443</v>
      </c>
      <c r="BZ259" s="256">
        <f>IF(AND(ISNUMBER(BZ165),ISNUMBER(BZ163)),IFERROR(BZ165/BZ163,""),"")</f>
        <v>0.26652044119987</v>
      </c>
      <c r="CA259" s="256">
        <f>IF(AND(ISNUMBER(CA165),ISNUMBER(CA163)),IFERROR(CA165/CA163,""),"")</f>
        <v>0.237004639113248</v>
      </c>
      <c r="CB259" s="256">
        <f>IF(AND(ISNUMBER(CB165),ISNUMBER(CB163)),IFERROR(CB165/CB163,""),"")</f>
        <v>0.235898890477124</v>
      </c>
      <c r="CC259" s="256">
        <f>IF(AND(ISNUMBER(CC165),ISNUMBER(CC163)),IFERROR(CC165/CC163,""),"")</f>
        <v>0.228520518053527</v>
      </c>
      <c r="CD259" s="256">
        <f>IF(AND(ISNUMBER(CD165),ISNUMBER(CD163)),IFERROR(CD165/CD163,""),"")</f>
        <v>0.223097459938862</v>
      </c>
      <c r="CE259" s="256">
        <f>IF(AND(ISNUMBER(CE165),ISNUMBER(CE163)),IFERROR(CE165/CE163,""),"")</f>
        <v>0.217792851969503</v>
      </c>
      <c r="CF259" s="153" t="n"/>
      <c r="CH259" s="37">
        <f>IFERROR(AVERAGE(CA259,CB259,CC259,CD259,CE259),"n/m")</f>
        <v>0.228462871910453</v>
      </c>
      <c r="CI259" s="37">
        <f>IFERROR(AVERAGE(BB259,BG259,BL259,BQ259,BV259),"n/m")</f>
        <v>0.254306306692163</v>
      </c>
      <c r="CJ259" s="37">
        <f>IFERROR(AVERAGE(AC259,AH259,AM259,AR259,AW259,BB259,BG259,BL259,BQ259,BV259),"n/m")</f>
        <v>0.248076126485468</v>
      </c>
      <c r="CK259" s="37">
        <f>IFERROR(AVERAGE(C259,D259,E259,F259,G259,H259,I259,N259,S259,X259,AC259,AH259,AM259,AR259,AW259,BB259,BG259,BL259,BQ259,BV259),"n/m")</f>
        <v>0.251332608393782</v>
      </c>
    </row>
    <row r="260" ht="15" customHeight="1" s="251">
      <c r="CN260" s="11" t="n"/>
      <c r="CO260" s="12" t="n"/>
      <c r="CP260" s="12" t="n"/>
      <c r="CQ260" s="12" t="n"/>
      <c r="CR260" s="13" t="n"/>
    </row>
    <row r="261" ht="15" customHeight="1" s="251">
      <c r="B261" s="10" t="inlineStr">
        <is>
          <t>CONSOLIDATED STATEMENT OF CASH FLOWS</t>
        </is>
      </c>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c r="AA261" s="10" t="n"/>
      <c r="AB261" s="10" t="n"/>
      <c r="AC261" s="10" t="n"/>
      <c r="AD261" s="10" t="n"/>
      <c r="AE261" s="10" t="n"/>
      <c r="AF261" s="10" t="n"/>
      <c r="AG261" s="10" t="n"/>
      <c r="AH261" s="10" t="n"/>
      <c r="AI261" s="10" t="n"/>
      <c r="AJ261" s="10" t="n"/>
      <c r="AK261" s="10" t="n"/>
      <c r="AL261" s="10" t="n"/>
      <c r="AM261" s="10" t="n"/>
      <c r="AN261" s="10" t="n"/>
      <c r="AO261" s="10" t="n"/>
      <c r="AP261" s="10" t="n"/>
      <c r="AQ261" s="10" t="n"/>
      <c r="AR261" s="10" t="n"/>
      <c r="AS261" s="10" t="n"/>
      <c r="AT261" s="10" t="n"/>
      <c r="AU261" s="10" t="n"/>
      <c r="AV261" s="10" t="n"/>
      <c r="AW261" s="10" t="n"/>
      <c r="AX261" s="10" t="n"/>
      <c r="AY261" s="10" t="n"/>
      <c r="AZ261" s="10" t="n"/>
      <c r="BA261" s="10" t="n"/>
      <c r="BB261" s="10" t="n"/>
      <c r="BC261" s="10" t="n"/>
      <c r="BD261" s="10" t="n"/>
      <c r="BE261" s="10" t="n"/>
      <c r="BF261" s="10" t="n"/>
      <c r="BG261" s="10" t="n"/>
      <c r="BH261" s="10" t="n"/>
      <c r="BI261" s="10" t="n"/>
      <c r="BJ261" s="10" t="n"/>
      <c r="BK261" s="10" t="n"/>
      <c r="BL261" s="10" t="n"/>
      <c r="BM261" s="10" t="n"/>
      <c r="BN261" s="10" t="n"/>
      <c r="BO261" s="10" t="n"/>
      <c r="BP261" s="10" t="n"/>
      <c r="BQ261" s="10" t="n"/>
      <c r="BR261" s="10" t="n"/>
      <c r="BS261" s="10" t="n"/>
      <c r="BT261" s="10" t="n"/>
      <c r="BU261" s="10" t="n"/>
      <c r="BV261" s="10" t="n"/>
      <c r="BW261" s="10" t="n"/>
      <c r="BX261" s="10" t="n"/>
      <c r="BY261" s="10" t="n"/>
      <c r="BZ261" s="10" t="n"/>
      <c r="CA261" s="10" t="n"/>
      <c r="CB261" s="10" t="n"/>
      <c r="CC261" s="10" t="n"/>
      <c r="CD261" s="10" t="n"/>
      <c r="CE261" s="10" t="n"/>
      <c r="CF261" s="10" t="inlineStr">
        <is>
          <t>CASH FLOW — forecast logic (annual; 2026E = 1H26 actual + 2H estimate; quarters = discrete, derived from year-to-date statements)</t>
        </is>
      </c>
    </row>
    <row r="262" ht="15" customHeight="1" s="251">
      <c r="B262" s="25" t="inlineStr">
        <is>
          <t>Net income (incl. noncontrolling interests)</t>
        </is>
      </c>
      <c r="C262" s="253" t="n">
        <v>753.9</v>
      </c>
      <c r="D262" s="253" t="n">
        <v>701.5</v>
      </c>
      <c r="E262" s="253" t="n">
        <v>457.6</v>
      </c>
      <c r="F262" s="253" t="n">
        <v>407.1</v>
      </c>
      <c r="G262" s="253" t="n">
        <v>513.4</v>
      </c>
      <c r="H262" s="253" t="n">
        <v>578</v>
      </c>
      <c r="I262" s="253" t="n">
        <v>699.7</v>
      </c>
      <c r="J262" s="253" t="n">
        <v>191.1</v>
      </c>
      <c r="K262" s="253" t="n">
        <v>228.4</v>
      </c>
      <c r="L262" s="253" t="n">
        <v>186.8</v>
      </c>
      <c r="M262" s="253" t="n">
        <v>209.6</v>
      </c>
      <c r="N262" s="253" t="n">
        <v>815.9</v>
      </c>
      <c r="O262" s="253" t="n">
        <v>221.7</v>
      </c>
      <c r="P262" s="253" t="n">
        <v>324.4</v>
      </c>
      <c r="Q262" s="253" t="n">
        <v>218.5</v>
      </c>
      <c r="R262" s="253" t="n">
        <v>241.4</v>
      </c>
      <c r="S262" s="253" t="n">
        <v>1006</v>
      </c>
      <c r="T262" s="253" t="n">
        <v>231.3</v>
      </c>
      <c r="U262" s="253" t="n">
        <v>264.1</v>
      </c>
      <c r="V262" s="253" t="n">
        <v>233.8</v>
      </c>
      <c r="W262" s="253" t="n">
        <v>220.4</v>
      </c>
      <c r="X262" s="253" t="n">
        <v>949.6</v>
      </c>
      <c r="Y262" s="253" t="n">
        <v>186.6</v>
      </c>
      <c r="Z262" s="253" t="n">
        <v>258.1</v>
      </c>
      <c r="AA262" s="253" t="n">
        <v>256.6</v>
      </c>
      <c r="AB262" s="253" t="n">
        <v>-425.5</v>
      </c>
      <c r="AC262" s="253" t="n">
        <v>275.8</v>
      </c>
      <c r="AD262" s="253" t="n">
        <v>345.9</v>
      </c>
      <c r="AE262" s="253" t="n">
        <v>313.6</v>
      </c>
      <c r="AF262" s="253" t="n">
        <v>319.7</v>
      </c>
      <c r="AG262" s="253" t="n">
        <v>28.5</v>
      </c>
      <c r="AH262" s="253" t="n">
        <v>1007.7</v>
      </c>
      <c r="AI262" s="253" t="n">
        <v>376.8</v>
      </c>
      <c r="AJ262" s="253" t="n">
        <v>377.9</v>
      </c>
      <c r="AK262" s="253" t="n">
        <v>312</v>
      </c>
      <c r="AL262" s="253" t="n">
        <v>252.7</v>
      </c>
      <c r="AM262" s="253" t="n">
        <v>1319.4</v>
      </c>
      <c r="AN262" s="253" t="n">
        <v>373.6</v>
      </c>
      <c r="AO262" s="253" t="n">
        <v>312</v>
      </c>
      <c r="AP262" s="253" t="n">
        <v>382.4</v>
      </c>
      <c r="AQ262" s="253" t="n">
        <v>361</v>
      </c>
      <c r="AR262" s="253" t="n">
        <v>1429</v>
      </c>
      <c r="AS262" s="253" t="n">
        <v>487</v>
      </c>
      <c r="AT262" s="253" t="n">
        <v>509</v>
      </c>
      <c r="AU262" s="253" t="n">
        <v>467</v>
      </c>
      <c r="AV262" s="253" t="n">
        <v>314</v>
      </c>
      <c r="AW262" s="253" t="n">
        <v>1777</v>
      </c>
      <c r="AX262" s="253" t="n">
        <v>736</v>
      </c>
      <c r="AY262" s="253" t="n">
        <v>577</v>
      </c>
      <c r="AZ262" s="253" t="n">
        <v>474</v>
      </c>
      <c r="BA262" s="253" t="n">
        <v>427</v>
      </c>
      <c r="BB262" s="253" t="n">
        <v>2214</v>
      </c>
      <c r="BC262" s="253" t="n">
        <v>498</v>
      </c>
      <c r="BD262" s="253" t="n">
        <v>327</v>
      </c>
      <c r="BE262" s="253" t="n">
        <v>303</v>
      </c>
      <c r="BF262" s="253" t="n">
        <v>246</v>
      </c>
      <c r="BG262" s="253" t="n">
        <v>1374</v>
      </c>
      <c r="BH262" s="253" t="n">
        <v>501</v>
      </c>
      <c r="BI262" s="253" t="n">
        <v>377</v>
      </c>
      <c r="BJ262" s="253" t="n">
        <v>390</v>
      </c>
      <c r="BK262" s="253" t="n">
        <v>340</v>
      </c>
      <c r="BL262" s="253" t="n">
        <v>1608</v>
      </c>
      <c r="BM262" s="253" t="n">
        <v>577</v>
      </c>
      <c r="BN262" s="253" t="n">
        <v>553</v>
      </c>
      <c r="BO262" s="253" t="n">
        <v>534</v>
      </c>
      <c r="BP262" s="253" t="n">
        <v>395</v>
      </c>
      <c r="BQ262" s="253" t="n">
        <v>2059</v>
      </c>
      <c r="BR262" s="253" t="n">
        <v>625</v>
      </c>
      <c r="BS262" s="253" t="n">
        <v>579</v>
      </c>
      <c r="BT262" s="253" t="n">
        <v>647</v>
      </c>
      <c r="BU262" s="253" t="n">
        <v>611</v>
      </c>
      <c r="BV262" s="253" t="n">
        <v>2462</v>
      </c>
      <c r="BW262" s="253" t="n">
        <v>661</v>
      </c>
      <c r="BX262" s="253" t="n">
        <v>879</v>
      </c>
      <c r="BY262" s="35" t="n"/>
      <c r="BZ262" s="35" t="n"/>
      <c r="CA262" s="254">
        <f>SUM(BW262:BX262)+SUM(BY180:BZ180)</f>
        <v>2831.60631648936</v>
      </c>
      <c r="CB262" s="254">
        <f>CB180</f>
        <v>2929.08419353327</v>
      </c>
      <c r="CC262" s="254">
        <f>CC180</f>
        <v>3221.18540650399</v>
      </c>
      <c r="CD262" s="254">
        <f>CD180</f>
        <v>3486.88163585263</v>
      </c>
      <c r="CE262" s="254">
        <f>CE180</f>
        <v>3748.12197509157</v>
      </c>
      <c r="CF262" s="19" t="n"/>
    </row>
    <row r="263" ht="15" customHeight="1" s="251">
      <c r="B263" s="25" t="inlineStr">
        <is>
          <t>Non-cash items:</t>
        </is>
      </c>
      <c r="CF263" s="153" t="n"/>
    </row>
    <row r="264" ht="15" customHeight="1" s="251">
      <c r="B264" s="25" t="inlineStr">
        <is>
          <t xml:space="preserve">  Depreciation &amp; amortization</t>
        </is>
      </c>
      <c r="C264" s="253" t="n">
        <v>39.5</v>
      </c>
      <c r="D264" s="253" t="n">
        <v>42.9</v>
      </c>
      <c r="E264" s="253" t="n">
        <v>75.09999999999999</v>
      </c>
      <c r="F264" s="253" t="n">
        <v>64.09999999999999</v>
      </c>
      <c r="G264" s="253" t="n">
        <v>66.3</v>
      </c>
      <c r="H264" s="253" t="n">
        <v>79.2</v>
      </c>
      <c r="I264" s="253" t="n">
        <v>93.5</v>
      </c>
      <c r="J264" s="253" t="n">
        <v>23.6</v>
      </c>
      <c r="K264" s="253" t="n">
        <v>23.1</v>
      </c>
      <c r="L264" s="253" t="n">
        <v>23.4</v>
      </c>
      <c r="M264" s="253" t="n">
        <v>23.3</v>
      </c>
      <c r="N264" s="253" t="n">
        <v>93.40000000000001</v>
      </c>
      <c r="O264" s="253" t="n">
        <v>23.1</v>
      </c>
      <c r="P264" s="253" t="n">
        <v>22.3</v>
      </c>
      <c r="Q264" s="253" t="n">
        <v>23.2</v>
      </c>
      <c r="R264" s="253" t="n">
        <v>27</v>
      </c>
      <c r="S264" s="253" t="n">
        <v>95.59999999999999</v>
      </c>
      <c r="T264" s="253" t="n">
        <v>28.6</v>
      </c>
      <c r="U264" s="253" t="n">
        <v>27.9</v>
      </c>
      <c r="V264" s="253" t="n">
        <v>28.3</v>
      </c>
      <c r="W264" s="253" t="n">
        <v>28.7</v>
      </c>
      <c r="X264" s="253" t="n">
        <v>113.5</v>
      </c>
      <c r="Y264" s="253" t="n">
        <v>29.9</v>
      </c>
      <c r="Z264" s="253" t="n">
        <v>31.2</v>
      </c>
      <c r="AA264" s="253" t="n">
        <v>32.7</v>
      </c>
      <c r="AB264" s="253" t="n">
        <v>32.9</v>
      </c>
      <c r="AC264" s="253" t="n">
        <v>126.7</v>
      </c>
      <c r="AD264" s="253" t="n">
        <v>32.5</v>
      </c>
      <c r="AE264" s="253" t="n">
        <v>32.9</v>
      </c>
      <c r="AF264" s="253" t="n">
        <v>43</v>
      </c>
      <c r="AG264" s="253" t="n">
        <v>49.9</v>
      </c>
      <c r="AH264" s="253" t="n">
        <v>158.3</v>
      </c>
      <c r="AI264" s="253" t="n">
        <v>49.1</v>
      </c>
      <c r="AJ264" s="253" t="n">
        <v>48.4</v>
      </c>
      <c r="AK264" s="253" t="n">
        <v>46.1</v>
      </c>
      <c r="AL264" s="253" t="n">
        <v>48.3</v>
      </c>
      <c r="AM264" s="253" t="n">
        <v>191.9</v>
      </c>
      <c r="AN264" s="253" t="n">
        <v>50.3</v>
      </c>
      <c r="AO264" s="253" t="n">
        <v>51</v>
      </c>
      <c r="AP264" s="253" t="n">
        <v>48.6</v>
      </c>
      <c r="AQ264" s="253" t="n">
        <v>50.1</v>
      </c>
      <c r="AR264" s="253" t="n">
        <v>200</v>
      </c>
      <c r="AS264" s="253" t="n">
        <v>49</v>
      </c>
      <c r="AT264" s="253" t="n">
        <v>58</v>
      </c>
      <c r="AU264" s="253" t="n">
        <v>56</v>
      </c>
      <c r="AV264" s="253" t="n">
        <v>57</v>
      </c>
      <c r="AW264" s="253" t="n">
        <v>220</v>
      </c>
      <c r="AX264" s="253" t="n">
        <v>59</v>
      </c>
      <c r="AY264" s="253" t="n">
        <v>60</v>
      </c>
      <c r="AZ264" s="253" t="n">
        <v>61</v>
      </c>
      <c r="BA264" s="253" t="n">
        <v>77</v>
      </c>
      <c r="BB264" s="253" t="n">
        <v>257</v>
      </c>
      <c r="BC264" s="253" t="n">
        <v>78</v>
      </c>
      <c r="BD264" s="253" t="n">
        <v>81</v>
      </c>
      <c r="BE264" s="253" t="n">
        <v>83</v>
      </c>
      <c r="BF264" s="253" t="n">
        <v>89</v>
      </c>
      <c r="BG264" s="253" t="n">
        <v>331</v>
      </c>
      <c r="BH264" s="253" t="n">
        <v>88</v>
      </c>
      <c r="BI264" s="253" t="n">
        <v>93</v>
      </c>
      <c r="BJ264" s="253" t="n">
        <v>95</v>
      </c>
      <c r="BK264" s="253" t="n">
        <v>97</v>
      </c>
      <c r="BL264" s="253" t="n">
        <v>373</v>
      </c>
      <c r="BM264" s="253" t="n">
        <v>100</v>
      </c>
      <c r="BN264" s="253" t="n">
        <v>110</v>
      </c>
      <c r="BO264" s="253" t="n">
        <v>108</v>
      </c>
      <c r="BP264" s="253" t="n">
        <v>113</v>
      </c>
      <c r="BQ264" s="253" t="n">
        <v>431</v>
      </c>
      <c r="BR264" s="253" t="n">
        <v>113</v>
      </c>
      <c r="BS264" s="253" t="n">
        <v>120</v>
      </c>
      <c r="BT264" s="253" t="n">
        <v>123</v>
      </c>
      <c r="BU264" s="253" t="n">
        <v>124</v>
      </c>
      <c r="BV264" s="253" t="n">
        <v>480</v>
      </c>
      <c r="BW264" s="253" t="n">
        <v>122</v>
      </c>
      <c r="BX264" s="253" t="n">
        <v>126</v>
      </c>
      <c r="BY264" s="35" t="n"/>
      <c r="BZ264" s="35" t="n"/>
      <c r="CA264" s="254">
        <f>SUM(BW264:BX264)+SUM(BY185:BZ185)</f>
        <v>485</v>
      </c>
      <c r="CB264" s="254">
        <f>CB185</f>
        <v>515.202583320297</v>
      </c>
      <c r="CC264" s="254">
        <f>CC185</f>
        <v>538.511389465819</v>
      </c>
      <c r="CD264" s="254">
        <f>CD185</f>
        <v>544.368176350607</v>
      </c>
      <c r="CE264" s="254">
        <f>CE185</f>
        <v>548.595673978372</v>
      </c>
      <c r="CF264" s="19" t="n"/>
    </row>
    <row r="265" ht="15" customHeight="1" s="251">
      <c r="B265" s="25" t="inlineStr">
        <is>
          <t xml:space="preserve">  Stock-based compensation</t>
        </is>
      </c>
      <c r="C265" s="253" t="n">
        <v>77.09999999999999</v>
      </c>
      <c r="D265" s="253" t="n">
        <v>90.2</v>
      </c>
      <c r="E265" s="253" t="n">
        <v>63.2</v>
      </c>
      <c r="F265" s="253" t="n">
        <v>57.4</v>
      </c>
      <c r="G265" s="253" t="n">
        <v>56.6</v>
      </c>
      <c r="H265" s="253" t="n">
        <v>56.7</v>
      </c>
      <c r="I265" s="253" t="n">
        <v>64.5</v>
      </c>
      <c r="J265" s="253" t="n">
        <v>17.2</v>
      </c>
      <c r="K265" s="253" t="n">
        <v>16.1</v>
      </c>
      <c r="L265" s="253" t="n">
        <v>16</v>
      </c>
      <c r="M265" s="253" t="n">
        <v>17.8</v>
      </c>
      <c r="N265" s="253" t="n">
        <v>67.09999999999999</v>
      </c>
      <c r="O265" s="253" t="n">
        <v>20.3</v>
      </c>
      <c r="P265" s="253" t="n">
        <v>20.3</v>
      </c>
      <c r="Q265" s="253" t="n">
        <v>19.3</v>
      </c>
      <c r="R265" s="253" t="n">
        <v>20.5</v>
      </c>
      <c r="S265" s="253" t="n">
        <v>80.40000000000001</v>
      </c>
      <c r="T265" s="253" t="n">
        <v>22.7</v>
      </c>
      <c r="U265" s="253" t="n">
        <v>21.7</v>
      </c>
      <c r="V265" s="253" t="n">
        <v>22.1</v>
      </c>
      <c r="W265" s="253" t="n">
        <v>20.7</v>
      </c>
      <c r="X265" s="253" t="n">
        <v>87.2</v>
      </c>
      <c r="Y265" s="253" t="n">
        <v>25.4</v>
      </c>
      <c r="Z265" s="253" t="n">
        <v>23.5</v>
      </c>
      <c r="AA265" s="253" t="n">
        <v>23.9</v>
      </c>
      <c r="AB265" s="253" t="n">
        <v>25.3</v>
      </c>
      <c r="AC265" s="253" t="n">
        <v>98.09999999999999</v>
      </c>
      <c r="AD265" s="253" t="n">
        <v>28.4</v>
      </c>
      <c r="AE265" s="253" t="n">
        <v>28.7</v>
      </c>
      <c r="AF265" s="253" t="n">
        <v>31.8</v>
      </c>
      <c r="AG265" s="253" t="n">
        <v>34</v>
      </c>
      <c r="AH265" s="253" t="n">
        <v>122.9</v>
      </c>
      <c r="AI265" s="253" t="n">
        <v>35.1</v>
      </c>
      <c r="AJ265" s="253" t="n">
        <v>34.4</v>
      </c>
      <c r="AK265" s="253" t="n">
        <v>30.5</v>
      </c>
      <c r="AL265" s="253" t="n">
        <v>30.3</v>
      </c>
      <c r="AM265" s="253" t="n">
        <v>130.3</v>
      </c>
      <c r="AN265" s="253" t="n">
        <v>35.7</v>
      </c>
      <c r="AO265" s="253" t="n">
        <v>34.2</v>
      </c>
      <c r="AP265" s="253" t="n">
        <v>33.3</v>
      </c>
      <c r="AQ265" s="253" t="n">
        <v>32.8</v>
      </c>
      <c r="AR265" s="253" t="n">
        <v>136</v>
      </c>
      <c r="AS265" s="253" t="n">
        <v>37</v>
      </c>
      <c r="AT265" s="253" t="n">
        <v>35</v>
      </c>
      <c r="AU265" s="253" t="n">
        <v>38</v>
      </c>
      <c r="AV265" s="253" t="n">
        <v>44</v>
      </c>
      <c r="AW265" s="253" t="n">
        <v>154</v>
      </c>
      <c r="AX265" s="253" t="n">
        <v>45</v>
      </c>
      <c r="AY265" s="253" t="n">
        <v>41</v>
      </c>
      <c r="AZ265" s="253" t="n">
        <v>41</v>
      </c>
      <c r="BA265" s="253" t="n">
        <v>48</v>
      </c>
      <c r="BB265" s="253" t="n">
        <v>175</v>
      </c>
      <c r="BC265" s="253" t="n">
        <v>46</v>
      </c>
      <c r="BD265" s="253" t="n">
        <v>38</v>
      </c>
      <c r="BE265" s="253" t="n">
        <v>46</v>
      </c>
      <c r="BF265" s="253" t="n">
        <v>39</v>
      </c>
      <c r="BG265" s="253" t="n">
        <v>169</v>
      </c>
      <c r="BH265" s="253" t="n">
        <v>47</v>
      </c>
      <c r="BI265" s="253" t="n">
        <v>50</v>
      </c>
      <c r="BJ265" s="253" t="n">
        <v>46</v>
      </c>
      <c r="BK265" s="253" t="n">
        <v>50</v>
      </c>
      <c r="BL265" s="253" t="n">
        <v>193</v>
      </c>
      <c r="BM265" s="253" t="n">
        <v>53</v>
      </c>
      <c r="BN265" s="253" t="n">
        <v>56</v>
      </c>
      <c r="BO265" s="253" t="n">
        <v>57</v>
      </c>
      <c r="BP265" s="253" t="n">
        <v>54</v>
      </c>
      <c r="BQ265" s="253" t="n">
        <v>220</v>
      </c>
      <c r="BR265" s="253" t="n">
        <v>56</v>
      </c>
      <c r="BS265" s="253" t="n">
        <v>61</v>
      </c>
      <c r="BT265" s="253" t="n">
        <v>57</v>
      </c>
      <c r="BU265" s="253" t="n">
        <v>58</v>
      </c>
      <c r="BV265" s="253" t="n">
        <v>232</v>
      </c>
      <c r="BW265" s="253" t="n">
        <v>58</v>
      </c>
      <c r="BX265" s="253" t="n">
        <v>59</v>
      </c>
      <c r="BY265" s="35" t="n"/>
      <c r="BZ265" s="35" t="n"/>
      <c r="CA265" s="254">
        <f>SUM(BW265:BX265)+SUM(BY186:BZ186)</f>
        <v>232</v>
      </c>
      <c r="CB265" s="254">
        <f>CB186</f>
        <v>264.613263878025</v>
      </c>
      <c r="CC265" s="254">
        <f>CC186</f>
        <v>282.576802269583</v>
      </c>
      <c r="CD265" s="254">
        <f>CD186</f>
        <v>300.816981329427</v>
      </c>
      <c r="CE265" s="254">
        <f>CE186</f>
        <v>318.891321561873</v>
      </c>
      <c r="CF265" s="19" t="n"/>
    </row>
    <row r="266" ht="15" customHeight="1" s="251">
      <c r="B266" s="25" t="inlineStr">
        <is>
          <t xml:space="preserve">  Deferred income taxes</t>
        </is>
      </c>
      <c r="C266" s="253" t="n">
        <v>-27.2</v>
      </c>
      <c r="D266" s="253" t="n">
        <v>-76.40000000000001</v>
      </c>
      <c r="E266" s="253" t="n">
        <v>-17.3</v>
      </c>
      <c r="F266" s="253" t="n">
        <v>16.5</v>
      </c>
      <c r="G266" s="253" t="n">
        <v>-10.6</v>
      </c>
      <c r="H266" s="253" t="n">
        <v>10.3</v>
      </c>
      <c r="I266" s="253" t="n">
        <v>36.1</v>
      </c>
      <c r="J266" s="253" t="n">
        <v>13.1</v>
      </c>
      <c r="K266" s="253" t="n">
        <v>-2.3</v>
      </c>
      <c r="L266" s="253" t="n">
        <v>-23.8</v>
      </c>
      <c r="M266" s="253" t="n">
        <v>-14.2</v>
      </c>
      <c r="N266" s="253" t="n">
        <v>-27.2</v>
      </c>
      <c r="O266" s="253" t="n">
        <v>27.9</v>
      </c>
      <c r="P266" s="253" t="n">
        <v>18.3</v>
      </c>
      <c r="Q266" s="253" t="n">
        <v>-2.5</v>
      </c>
      <c r="R266" s="253" t="n">
        <v>-13.8</v>
      </c>
      <c r="S266" s="253" t="n">
        <v>29.9</v>
      </c>
      <c r="T266" s="253" t="n">
        <v>7.6</v>
      </c>
      <c r="U266" s="253" t="n">
        <v>3</v>
      </c>
      <c r="V266" s="253" t="n">
        <v>9.1</v>
      </c>
      <c r="W266" s="253" t="n">
        <v>-1.6</v>
      </c>
      <c r="X266" s="253" t="n">
        <v>18.1</v>
      </c>
      <c r="Y266" s="253" t="n">
        <v>11.3</v>
      </c>
      <c r="Z266" s="253" t="n">
        <v>2.4</v>
      </c>
      <c r="AA266" s="253" t="n">
        <v>-6.6</v>
      </c>
      <c r="AB266" s="253" t="n">
        <v>-160.2</v>
      </c>
      <c r="AC266" s="253" t="n">
        <v>-153.1</v>
      </c>
      <c r="AD266" s="253" t="n">
        <v>185</v>
      </c>
      <c r="AE266" s="253" t="n">
        <v>8.5</v>
      </c>
      <c r="AF266" s="253" t="n">
        <v>-32.1</v>
      </c>
      <c r="AG266" s="253" t="n">
        <v>-73.09999999999999</v>
      </c>
      <c r="AH266" s="253" t="n">
        <v>88.3</v>
      </c>
      <c r="AI266" s="253" t="n">
        <v>-4.2</v>
      </c>
      <c r="AJ266" s="253" t="n">
        <v>-7.9</v>
      </c>
      <c r="AK266" s="253" t="n">
        <v>-63.2</v>
      </c>
      <c r="AL266" s="253" t="n">
        <v>-23.6</v>
      </c>
      <c r="AM266" s="253" t="n">
        <v>-98.90000000000001</v>
      </c>
      <c r="AN266" s="253" t="n">
        <v>13.8</v>
      </c>
      <c r="AO266" s="253" t="n">
        <v>-16.8</v>
      </c>
      <c r="AP266" s="253" t="n">
        <v>-19.2</v>
      </c>
      <c r="AQ266" s="253" t="n">
        <v>-15.8</v>
      </c>
      <c r="AR266" s="253" t="n">
        <v>-38</v>
      </c>
      <c r="AS266" s="253" t="n">
        <v>57</v>
      </c>
      <c r="AT266" s="253" t="n">
        <v>-11</v>
      </c>
      <c r="AU266" s="253" t="n">
        <v>-47</v>
      </c>
      <c r="AV266" s="253" t="n">
        <v>-43</v>
      </c>
      <c r="AW266" s="253" t="n">
        <v>-44</v>
      </c>
      <c r="AX266" s="253" t="n">
        <v>44</v>
      </c>
      <c r="AY266" s="253" t="n">
        <v>15</v>
      </c>
      <c r="AZ266" s="253" t="n">
        <v>-138</v>
      </c>
      <c r="BA266" s="253" t="n">
        <v>-139</v>
      </c>
      <c r="BB266" s="253" t="n">
        <v>-218</v>
      </c>
      <c r="BC266" s="253" t="n">
        <v>30</v>
      </c>
      <c r="BD266" s="253" t="n">
        <v>35</v>
      </c>
      <c r="BE266" s="253" t="n">
        <v>-7</v>
      </c>
      <c r="BF266" s="253" t="n">
        <v>-10</v>
      </c>
      <c r="BG266" s="253" t="n">
        <v>48</v>
      </c>
      <c r="BH266" s="253" t="n">
        <v>0</v>
      </c>
      <c r="BI266" s="253" t="n">
        <v>21</v>
      </c>
      <c r="BJ266" s="253" t="n">
        <v>-31</v>
      </c>
      <c r="BK266" s="253" t="n">
        <v>-28</v>
      </c>
      <c r="BL266" s="253" t="n">
        <v>-38</v>
      </c>
      <c r="BM266" s="253" t="n">
        <v>25</v>
      </c>
      <c r="BN266" s="253" t="n">
        <v>0</v>
      </c>
      <c r="BO266" s="253" t="n">
        <v>-16</v>
      </c>
      <c r="BP266" s="253" t="n">
        <v>-71</v>
      </c>
      <c r="BQ266" s="253" t="n">
        <v>-62</v>
      </c>
      <c r="BR266" s="253" t="n">
        <v>18</v>
      </c>
      <c r="BS266" s="253" t="n">
        <v>-1</v>
      </c>
      <c r="BT266" s="253" t="n">
        <v>23</v>
      </c>
      <c r="BU266" s="253" t="n">
        <v>-57</v>
      </c>
      <c r="BV266" s="253" t="n">
        <v>-17</v>
      </c>
      <c r="BW266" s="253" t="n">
        <v>23</v>
      </c>
      <c r="BX266" s="253" t="n">
        <v>-51</v>
      </c>
      <c r="BY266" s="35" t="n"/>
      <c r="BZ266" s="35" t="n"/>
      <c r="CA266" s="254">
        <f>SUM(BW266:BX266)+-10.0</f>
        <v>-38</v>
      </c>
      <c r="CB266" s="279" t="n">
        <v>-20</v>
      </c>
      <c r="CC266" s="279" t="n">
        <v>-20</v>
      </c>
      <c r="CD266" s="279" t="n">
        <v>-20</v>
      </c>
      <c r="CE266" s="279" t="n">
        <v>-20</v>
      </c>
      <c r="CF266" s="19" t="inlineStr">
        <is>
          <t>Cash-flow statement. Forecast input.</t>
        </is>
      </c>
    </row>
    <row r="267" ht="15" customHeight="1" s="251">
      <c r="B267" s="25" t="inlineStr">
        <is>
          <t xml:space="preserve">  Gains on divestitures / remeasurement (non-cash reversal; proceeds in investing)</t>
        </is>
      </c>
      <c r="C267" s="34" t="n"/>
      <c r="D267" s="34" t="n"/>
      <c r="E267" s="34" t="n"/>
      <c r="F267" s="34" t="n"/>
      <c r="G267" s="34" t="n"/>
      <c r="H267" s="34" t="n"/>
      <c r="I267" s="34" t="n"/>
      <c r="J267" s="34" t="n"/>
      <c r="K267" s="34" t="n"/>
      <c r="L267" s="34" t="n"/>
      <c r="M267" s="34" t="n"/>
      <c r="N267" s="34" t="n"/>
      <c r="O267" s="34" t="n"/>
      <c r="P267" s="34" t="n"/>
      <c r="Q267" s="34" t="n"/>
      <c r="R267" s="34" t="n"/>
      <c r="S267" s="34" t="n"/>
      <c r="T267" s="34" t="n"/>
      <c r="U267" s="34" t="n"/>
      <c r="V267" s="34" t="n"/>
      <c r="W267" s="34" t="n"/>
      <c r="X267" s="34" t="n"/>
      <c r="Y267" s="34" t="n"/>
      <c r="Z267" s="34" t="n"/>
      <c r="AA267" s="34" t="n"/>
      <c r="AB267" s="34" t="n"/>
      <c r="AC267" s="34" t="n"/>
      <c r="AD267" s="34" t="n"/>
      <c r="AE267" s="34" t="n"/>
      <c r="AF267" s="34" t="n"/>
      <c r="AG267" s="34" t="n"/>
      <c r="AH267" s="34" t="n"/>
      <c r="AI267" s="34" t="n"/>
      <c r="AJ267" s="34" t="n"/>
      <c r="AK267" s="34" t="n"/>
      <c r="AL267" s="34" t="n"/>
      <c r="AM267" s="34" t="n"/>
      <c r="AN267" s="34" t="n"/>
      <c r="AO267" s="34" t="n"/>
      <c r="AP267" s="34" t="n"/>
      <c r="AQ267" s="34" t="n"/>
      <c r="AR267" s="34" t="n"/>
      <c r="AS267" s="34" t="n"/>
      <c r="AT267" s="34" t="n"/>
      <c r="AU267" s="34" t="n"/>
      <c r="AV267" s="34" t="n"/>
      <c r="AW267" s="34" t="n"/>
      <c r="AX267" s="34" t="n"/>
      <c r="AY267" s="34" t="n"/>
      <c r="AZ267" s="34" t="n"/>
      <c r="BA267" s="34" t="n"/>
      <c r="BB267" s="34" t="n"/>
      <c r="BC267" s="34" t="n"/>
      <c r="BD267" s="34" t="n"/>
      <c r="BE267" s="34" t="n"/>
      <c r="BF267" s="34" t="n"/>
      <c r="BG267" s="34" t="n"/>
      <c r="BH267" s="34" t="n"/>
      <c r="BI267" s="34" t="n"/>
      <c r="BJ267" s="34" t="n"/>
      <c r="BK267" s="34" t="n"/>
      <c r="BL267" s="34" t="n"/>
      <c r="BM267" s="34" t="n"/>
      <c r="BN267" s="34" t="n"/>
      <c r="BO267" s="34" t="n"/>
      <c r="BP267" s="34" t="n"/>
      <c r="BQ267" s="34" t="n"/>
      <c r="BR267" s="34" t="n"/>
      <c r="BS267" s="34" t="n"/>
      <c r="BT267" s="34" t="n"/>
      <c r="BU267" s="34" t="n"/>
      <c r="BV267" s="34" t="n"/>
      <c r="BW267" s="34" t="n"/>
      <c r="BX267" s="34" t="n"/>
      <c r="BY267" s="35" t="n"/>
      <c r="BZ267" s="35" t="n"/>
      <c r="CA267" s="254">
        <f>SUM(BW267:BX267)-SUM(BY176:BZ176)</f>
        <v>-119</v>
      </c>
      <c r="CB267" s="254">
        <f>-CB176</f>
        <v>0</v>
      </c>
      <c r="CC267" s="254">
        <f>-CC176</f>
        <v>0</v>
      </c>
      <c r="CD267" s="254">
        <f>-CD176</f>
        <v>0</v>
      </c>
      <c r="CE267" s="254">
        <f>-CE176</f>
        <v>0</v>
      </c>
      <c r="CF267" s="19" t="n"/>
    </row>
    <row r="268" ht="15" customHeight="1" s="251">
      <c r="B268" s="25" t="inlineStr">
        <is>
          <t xml:space="preserve">  Working capital &amp; other operating items, net (derived)</t>
        </is>
      </c>
      <c r="C268" s="253" t="n">
        <v>-90.8</v>
      </c>
      <c r="D268" s="253" t="n">
        <v>225.8</v>
      </c>
      <c r="E268" s="253" t="n">
        <v>-43.9</v>
      </c>
      <c r="F268" s="253" t="n">
        <v>98.7</v>
      </c>
      <c r="G268" s="253" t="n">
        <v>27.6</v>
      </c>
      <c r="H268" s="253" t="n">
        <v>79.09999999999999</v>
      </c>
      <c r="I268" s="253" t="n">
        <v>-70.7</v>
      </c>
      <c r="J268" s="253" t="n">
        <v>-42.4</v>
      </c>
      <c r="K268" s="253" t="n">
        <v>-98.8</v>
      </c>
      <c r="L268" s="253" t="n">
        <v>82</v>
      </c>
      <c r="M268" s="253" t="n">
        <v>36.8</v>
      </c>
      <c r="N268" s="253" t="n">
        <v>-22.4</v>
      </c>
      <c r="O268" s="253" t="n">
        <v>-115.8</v>
      </c>
      <c r="P268" s="253" t="n">
        <v>-104.5</v>
      </c>
      <c r="Q268" s="253" t="n">
        <v>-6.7</v>
      </c>
      <c r="R268" s="253" t="n">
        <v>33.7</v>
      </c>
      <c r="S268" s="253" t="n">
        <v>-193.3</v>
      </c>
      <c r="T268" s="253" t="n">
        <v>-28.4</v>
      </c>
      <c r="U268" s="253" t="n">
        <v>15.9</v>
      </c>
      <c r="V268" s="253" t="n">
        <v>5.8</v>
      </c>
      <c r="W268" s="253" t="n">
        <v>-8.1</v>
      </c>
      <c r="X268" s="253" t="n">
        <v>-14.8</v>
      </c>
      <c r="Y268" s="253" t="n">
        <v>-15.9</v>
      </c>
      <c r="Z268" s="253" t="n">
        <v>-23.7</v>
      </c>
      <c r="AA268" s="253" t="n">
        <v>21.2</v>
      </c>
      <c r="AB268" s="253" t="n">
        <v>897</v>
      </c>
      <c r="AC268" s="253" t="n">
        <v>878.6</v>
      </c>
      <c r="AD268" s="253" t="n">
        <v>-1104.2</v>
      </c>
      <c r="AE268" s="253" t="n">
        <v>81</v>
      </c>
      <c r="AF268" s="253" t="n">
        <v>28</v>
      </c>
      <c r="AG268" s="253" t="n">
        <v>365.5</v>
      </c>
      <c r="AH268" s="253" t="n">
        <v>-629.7</v>
      </c>
      <c r="AI268" s="253" t="n">
        <v>-65.3</v>
      </c>
      <c r="AJ268" s="253" t="n">
        <v>-67</v>
      </c>
      <c r="AK268" s="253" t="n">
        <v>-18.1</v>
      </c>
      <c r="AL268" s="253" t="n">
        <v>68.8</v>
      </c>
      <c r="AM268" s="253" t="n">
        <v>-81.59999999999999</v>
      </c>
      <c r="AN268" s="253" t="n">
        <v>-106.3</v>
      </c>
      <c r="AO268" s="253" t="n">
        <v>7</v>
      </c>
      <c r="AP268" s="253" t="n">
        <v>-4.1</v>
      </c>
      <c r="AQ268" s="253" t="n">
        <v>51.4</v>
      </c>
      <c r="AR268" s="253" t="n">
        <v>-52</v>
      </c>
      <c r="AS268" s="253" t="n">
        <v>-285</v>
      </c>
      <c r="AT268" s="253" t="n">
        <v>41</v>
      </c>
      <c r="AU268" s="253" t="n">
        <v>-3</v>
      </c>
      <c r="AV268" s="253" t="n">
        <v>286</v>
      </c>
      <c r="AW268" s="253" t="n">
        <v>39</v>
      </c>
      <c r="AX268" s="253" t="n">
        <v>-208</v>
      </c>
      <c r="AY268" s="253" t="n">
        <v>-99</v>
      </c>
      <c r="AZ268" s="253" t="n">
        <v>-2</v>
      </c>
      <c r="BA268" s="253" t="n">
        <v>-114</v>
      </c>
      <c r="BB268" s="253" t="n">
        <v>-423</v>
      </c>
      <c r="BC268" s="253" t="n">
        <v>-182</v>
      </c>
      <c r="BD268" s="253" t="n">
        <v>-190</v>
      </c>
      <c r="BE268" s="253" t="n">
        <v>-89</v>
      </c>
      <c r="BF268" s="253" t="n">
        <v>13</v>
      </c>
      <c r="BG268" s="253" t="n">
        <v>-448</v>
      </c>
      <c r="BH268" s="253" t="n">
        <v>-28</v>
      </c>
      <c r="BI268" s="253" t="n">
        <v>63</v>
      </c>
      <c r="BJ268" s="253" t="n">
        <v>-38</v>
      </c>
      <c r="BK268" s="253" t="n">
        <v>18</v>
      </c>
      <c r="BL268" s="253" t="n">
        <v>15</v>
      </c>
      <c r="BM268" s="253" t="n">
        <v>20</v>
      </c>
      <c r="BN268" s="253" t="n">
        <v>-33</v>
      </c>
      <c r="BO268" s="253" t="n">
        <v>20</v>
      </c>
      <c r="BP268" s="253" t="n">
        <v>183</v>
      </c>
      <c r="BQ268" s="253" t="n">
        <v>190</v>
      </c>
      <c r="BR268" s="253" t="n">
        <v>-55</v>
      </c>
      <c r="BS268" s="253" t="n">
        <v>-216</v>
      </c>
      <c r="BT268" s="253" t="n">
        <v>-107</v>
      </c>
      <c r="BU268" s="253" t="n">
        <v>122</v>
      </c>
      <c r="BV268" s="253" t="n">
        <v>-256</v>
      </c>
      <c r="BW268" s="253" t="n">
        <v>75</v>
      </c>
      <c r="BX268" s="253" t="n">
        <v>-234</v>
      </c>
      <c r="BY268" s="35" t="n"/>
      <c r="BZ268" s="35" t="n"/>
      <c r="CA268" s="254">
        <f>SUM(BW268:BX268)-(CA314-BX314)-(CA315-BX315)+(CA323-BX323)+(CA325-BX325)+(CA326-BX326)</f>
        <v>-7.86353506849287</v>
      </c>
      <c r="CB268" s="254">
        <f>-(CB314-CA314)-(CB315-CA315)+(CB323-CA323)+(CB325-CA325)+(CB326-CA326)</f>
        <v>65.8117834428122</v>
      </c>
      <c r="CC268" s="254">
        <f>-(CC314-CB314)-(CC315-CB315)+(CC323-CB323)+(CC325-CB325)+(CC326-CB326)</f>
        <v>66.4568895198192</v>
      </c>
      <c r="CD268" s="254">
        <f>-(CD314-CC314)-(CD315-CC315)+(CD323-CC323)+(CD325-CC325)+(CD326-CC326)</f>
        <v>67.4803336725345</v>
      </c>
      <c r="CE268" s="254">
        <f>-(CE314-CD314)-(CE315-CD315)+(CE323-CD323)+(CE325-CD325)+(CE326-CD326)</f>
        <v>66.8668057366565</v>
      </c>
      <c r="CF268" s="19" t="inlineStr">
        <is>
          <t>History: net cash from operating activities − net income − D&amp;A − stock-based compensation − deferred taxes − gains (all other non-cash items and working-capital changes). Forecast linked to the balance sheet: −Δ(receivables, other current assets) + Δ(payables &amp; accrued, deferred revenue, other current liabilities).</t>
        </is>
      </c>
    </row>
    <row r="269" ht="15" customHeight="1" s="251">
      <c r="B269" s="16" t="inlineStr">
        <is>
          <t>Net cash provided by operating activities</t>
        </is>
      </c>
      <c r="C269" s="265" t="n">
        <v>752.5</v>
      </c>
      <c r="D269" s="265" t="n">
        <v>984</v>
      </c>
      <c r="E269" s="265" t="n">
        <v>534.7</v>
      </c>
      <c r="F269" s="265" t="n">
        <v>643.8</v>
      </c>
      <c r="G269" s="265" t="n">
        <v>653.3</v>
      </c>
      <c r="H269" s="265" t="n">
        <v>803.3</v>
      </c>
      <c r="I269" s="265" t="n">
        <v>823.1</v>
      </c>
      <c r="J269" s="265" t="n">
        <v>202.6</v>
      </c>
      <c r="K269" s="265" t="n">
        <v>166.5</v>
      </c>
      <c r="L269" s="265" t="n">
        <v>284.4</v>
      </c>
      <c r="M269" s="265" t="n">
        <v>273.3</v>
      </c>
      <c r="N269" s="265" t="n">
        <v>926.8</v>
      </c>
      <c r="O269" s="265" t="n">
        <v>177.2</v>
      </c>
      <c r="P269" s="265" t="n">
        <v>280.8</v>
      </c>
      <c r="Q269" s="265" t="n">
        <v>251.8</v>
      </c>
      <c r="R269" s="265" t="n">
        <v>308.8</v>
      </c>
      <c r="S269" s="265" t="n">
        <v>1018.6</v>
      </c>
      <c r="T269" s="265" t="n">
        <v>261.8</v>
      </c>
      <c r="U269" s="265" t="n">
        <v>332.6</v>
      </c>
      <c r="V269" s="265" t="n">
        <v>299.1</v>
      </c>
      <c r="W269" s="265" t="n">
        <v>260.1</v>
      </c>
      <c r="X269" s="265" t="n">
        <v>1153.6</v>
      </c>
      <c r="Y269" s="265" t="n">
        <v>237.3</v>
      </c>
      <c r="Z269" s="265" t="n">
        <v>291.5</v>
      </c>
      <c r="AA269" s="265" t="n">
        <v>327.8</v>
      </c>
      <c r="AB269" s="265" t="n">
        <v>369.5</v>
      </c>
      <c r="AC269" s="265" t="n">
        <v>1226.1</v>
      </c>
      <c r="AD269" s="265" t="n">
        <v>-512.4</v>
      </c>
      <c r="AE269" s="265" t="n">
        <v>464.7</v>
      </c>
      <c r="AF269" s="265" t="n">
        <v>390.4</v>
      </c>
      <c r="AG269" s="265" t="n">
        <v>404.8</v>
      </c>
      <c r="AH269" s="265" t="n">
        <v>747.5</v>
      </c>
      <c r="AI269" s="265" t="n">
        <v>391.5</v>
      </c>
      <c r="AJ269" s="265" t="n">
        <v>385.8</v>
      </c>
      <c r="AK269" s="265" t="n">
        <v>307.3</v>
      </c>
      <c r="AL269" s="265" t="n">
        <v>376.5</v>
      </c>
      <c r="AM269" s="265" t="n">
        <v>1461.1</v>
      </c>
      <c r="AN269" s="265" t="n">
        <v>367.1</v>
      </c>
      <c r="AO269" s="265" t="n">
        <v>387.4</v>
      </c>
      <c r="AP269" s="265" t="n">
        <v>441</v>
      </c>
      <c r="AQ269" s="265" t="n">
        <v>479.5</v>
      </c>
      <c r="AR269" s="265" t="n">
        <v>1675</v>
      </c>
      <c r="AS269" s="265" t="n">
        <v>345</v>
      </c>
      <c r="AT269" s="265" t="n">
        <v>632</v>
      </c>
      <c r="AU269" s="265" t="n">
        <v>511</v>
      </c>
      <c r="AV269" s="265" t="n">
        <v>658</v>
      </c>
      <c r="AW269" s="265" t="n">
        <v>2146</v>
      </c>
      <c r="AX269" s="265" t="n">
        <v>676</v>
      </c>
      <c r="AY269" s="265" t="n">
        <v>594</v>
      </c>
      <c r="AZ269" s="265" t="n">
        <v>436</v>
      </c>
      <c r="BA269" s="265" t="n">
        <v>299</v>
      </c>
      <c r="BB269" s="265" t="n">
        <v>2005</v>
      </c>
      <c r="BC269" s="265" t="n">
        <v>470</v>
      </c>
      <c r="BD269" s="265" t="n">
        <v>291</v>
      </c>
      <c r="BE269" s="265" t="n">
        <v>336</v>
      </c>
      <c r="BF269" s="265" t="n">
        <v>377</v>
      </c>
      <c r="BG269" s="265" t="n">
        <v>1474</v>
      </c>
      <c r="BH269" s="265" t="n">
        <v>608</v>
      </c>
      <c r="BI269" s="265" t="n">
        <v>604</v>
      </c>
      <c r="BJ269" s="265" t="n">
        <v>462</v>
      </c>
      <c r="BK269" s="265" t="n">
        <v>477</v>
      </c>
      <c r="BL269" s="265" t="n">
        <v>2151</v>
      </c>
      <c r="BM269" s="265" t="n">
        <v>775</v>
      </c>
      <c r="BN269" s="265" t="n">
        <v>686</v>
      </c>
      <c r="BO269" s="265" t="n">
        <v>703</v>
      </c>
      <c r="BP269" s="265" t="n">
        <v>674</v>
      </c>
      <c r="BQ269" s="265" t="n">
        <v>2838</v>
      </c>
      <c r="BR269" s="265" t="n">
        <v>757</v>
      </c>
      <c r="BS269" s="265" t="n">
        <v>543</v>
      </c>
      <c r="BT269" s="265" t="n">
        <v>743</v>
      </c>
      <c r="BU269" s="265" t="n">
        <v>858</v>
      </c>
      <c r="BV269" s="265" t="n">
        <v>2901</v>
      </c>
      <c r="BW269" s="265" t="n">
        <v>939</v>
      </c>
      <c r="BX269" s="265" t="n">
        <v>779</v>
      </c>
      <c r="BY269" s="32" t="n"/>
      <c r="BZ269" s="32" t="n"/>
      <c r="CA269" s="263">
        <f>SUM(CA262:CA268)</f>
        <v>3383.74278142087</v>
      </c>
      <c r="CB269" s="263">
        <f>SUM(CB262:CB268)</f>
        <v>3754.7118241744</v>
      </c>
      <c r="CC269" s="263">
        <f>SUM(CC262:CC268)</f>
        <v>4088.73048775921</v>
      </c>
      <c r="CD269" s="263">
        <f>SUM(CD262:CD268)</f>
        <v>4379.5471272052</v>
      </c>
      <c r="CE269" s="263">
        <f>SUM(CE262:CE268)</f>
        <v>4662.47577636847</v>
      </c>
      <c r="CF269" s="153" t="n"/>
      <c r="CH269" s="20">
        <f>IFERROR((CE269/BV269)^(1/5)-1,"n/m")</f>
        <v>0.0995469341128727</v>
      </c>
      <c r="CI269" s="20">
        <f>IFERROR((BV269/AW269)^(1/5)-1,"n/m")</f>
        <v>0.0621444942560752</v>
      </c>
      <c r="CJ269" s="20">
        <f>IFERROR((BV269/X269)^(1/10)-1,"n/m")</f>
        <v>0.0966025416709102</v>
      </c>
      <c r="CK269" s="20">
        <f>IFERROR((BV269/C269)^(1/19)-1,"n/m")</f>
        <v>0.0736043808635756</v>
      </c>
    </row>
    <row r="270" ht="15" customHeight="1" s="251">
      <c r="B270" s="25" t="inlineStr">
        <is>
          <t>Capital additions</t>
        </is>
      </c>
      <c r="C270" s="253" t="n">
        <v>-31.1</v>
      </c>
      <c r="D270" s="253" t="n">
        <v>-181.8</v>
      </c>
      <c r="E270" s="253" t="n">
        <v>-84.40000000000001</v>
      </c>
      <c r="F270" s="253" t="n">
        <v>-90.7</v>
      </c>
      <c r="G270" s="253" t="n">
        <v>-79</v>
      </c>
      <c r="H270" s="253" t="n">
        <v>-67.7</v>
      </c>
      <c r="I270" s="253" t="n">
        <v>-45</v>
      </c>
      <c r="J270" s="253" t="n">
        <v>-8.6</v>
      </c>
      <c r="K270" s="253" t="n">
        <v>-9.5</v>
      </c>
      <c r="L270" s="253" t="n">
        <v>-12.9</v>
      </c>
      <c r="M270" s="253" t="n">
        <v>-11.3</v>
      </c>
      <c r="N270" s="253" t="n">
        <v>-42.3</v>
      </c>
      <c r="O270" s="253" t="n">
        <v>-19.1</v>
      </c>
      <c r="P270" s="253" t="n">
        <v>-19.7</v>
      </c>
      <c r="Q270" s="253" t="n">
        <v>-18</v>
      </c>
      <c r="R270" s="253" t="n">
        <v>-17.8</v>
      </c>
      <c r="S270" s="253" t="n">
        <v>-74.59999999999999</v>
      </c>
      <c r="T270" s="253" t="n">
        <v>-19</v>
      </c>
      <c r="U270" s="253" t="n">
        <v>-21.7</v>
      </c>
      <c r="V270" s="253" t="n">
        <v>-25.2</v>
      </c>
      <c r="W270" s="253" t="n">
        <v>-23.1</v>
      </c>
      <c r="X270" s="253" t="n">
        <v>-89</v>
      </c>
      <c r="Y270" s="253" t="n">
        <v>-26.3</v>
      </c>
      <c r="Z270" s="253" t="n">
        <v>-28</v>
      </c>
      <c r="AA270" s="253" t="n">
        <v>-30.5</v>
      </c>
      <c r="AB270" s="253" t="n">
        <v>-30.4</v>
      </c>
      <c r="AC270" s="253" t="n">
        <v>-115.2</v>
      </c>
      <c r="AD270" s="253" t="n">
        <v>-18.7</v>
      </c>
      <c r="AE270" s="253" t="n">
        <v>-24.1</v>
      </c>
      <c r="AF270" s="253" t="n">
        <v>-26.6</v>
      </c>
      <c r="AG270" s="253" t="n">
        <v>-21.2</v>
      </c>
      <c r="AH270" s="253" t="n">
        <v>-90.59999999999999</v>
      </c>
      <c r="AI270" s="253" t="n">
        <v>-15</v>
      </c>
      <c r="AJ270" s="253" t="n">
        <v>-22.9</v>
      </c>
      <c r="AK270" s="253" t="n">
        <v>-25</v>
      </c>
      <c r="AL270" s="253" t="n">
        <v>-27.5</v>
      </c>
      <c r="AM270" s="253" t="n">
        <v>-90.40000000000001</v>
      </c>
      <c r="AN270" s="253" t="n">
        <v>-20</v>
      </c>
      <c r="AO270" s="253" t="n">
        <v>-18.7</v>
      </c>
      <c r="AP270" s="253" t="n">
        <v>-22.2</v>
      </c>
      <c r="AQ270" s="253" t="n">
        <v>-8.1</v>
      </c>
      <c r="AR270" s="253" t="n">
        <v>-69</v>
      </c>
      <c r="AS270" s="253" t="n">
        <v>-21</v>
      </c>
      <c r="AT270" s="253" t="n">
        <v>-41</v>
      </c>
      <c r="AU270" s="253" t="n">
        <v>-21</v>
      </c>
      <c r="AV270" s="253" t="n">
        <v>-20</v>
      </c>
      <c r="AW270" s="253" t="n">
        <v>-103</v>
      </c>
      <c r="AX270" s="253" t="n">
        <v>-14</v>
      </c>
      <c r="AY270" s="253" t="n">
        <v>-30</v>
      </c>
      <c r="AZ270" s="253" t="n">
        <v>-33</v>
      </c>
      <c r="BA270" s="253" t="n">
        <v>-62</v>
      </c>
      <c r="BB270" s="253" t="n">
        <v>-139</v>
      </c>
      <c r="BC270" s="253" t="n">
        <v>-59</v>
      </c>
      <c r="BD270" s="253" t="n">
        <v>-74</v>
      </c>
      <c r="BE270" s="253" t="n">
        <v>-71</v>
      </c>
      <c r="BF270" s="253" t="n">
        <v>-79</v>
      </c>
      <c r="BG270" s="253" t="n">
        <v>-283</v>
      </c>
      <c r="BH270" s="253" t="n">
        <v>-73</v>
      </c>
      <c r="BI270" s="253" t="n">
        <v>-54</v>
      </c>
      <c r="BJ270" s="253" t="n">
        <v>-71</v>
      </c>
      <c r="BK270" s="253" t="n">
        <v>-73</v>
      </c>
      <c r="BL270" s="253" t="n">
        <v>-271</v>
      </c>
      <c r="BM270" s="253" t="n">
        <v>-78</v>
      </c>
      <c r="BN270" s="253" t="n">
        <v>-93</v>
      </c>
      <c r="BO270" s="253" t="n">
        <v>-72</v>
      </c>
      <c r="BP270" s="253" t="n">
        <v>-74</v>
      </c>
      <c r="BQ270" s="253" t="n">
        <v>-317</v>
      </c>
      <c r="BR270" s="253" t="n">
        <v>-85</v>
      </c>
      <c r="BS270" s="253" t="n">
        <v>-75</v>
      </c>
      <c r="BT270" s="253" t="n">
        <v>-85</v>
      </c>
      <c r="BU270" s="253" t="n">
        <v>-81</v>
      </c>
      <c r="BV270" s="253" t="n">
        <v>-326</v>
      </c>
      <c r="BW270" s="253" t="n">
        <v>-95</v>
      </c>
      <c r="BX270" s="253" t="n">
        <v>-91</v>
      </c>
      <c r="BY270" s="35" t="n"/>
      <c r="BZ270" s="35" t="n"/>
      <c r="CA270" s="254">
        <f>-$CP$33</f>
        <v>-450</v>
      </c>
      <c r="CB270" s="254">
        <f>-CB163*CB297</f>
        <v>-458.66299072191</v>
      </c>
      <c r="CC270" s="254">
        <f>-CC163*CC297</f>
        <v>-470.961337115972</v>
      </c>
      <c r="CD270" s="254">
        <f>-CD163*CD297</f>
        <v>-501.361635549044</v>
      </c>
      <c r="CE270" s="254">
        <f>-CE163*CE297</f>
        <v>-531.485535936454</v>
      </c>
      <c r="CF270" s="19" t="inlineStr">
        <is>
          <t>2026E: FY26 guidance ~$450m (incl. ~$100m office relocations). 2027E+: revenue × capex % (FY2022–25 4.2–5.2%).</t>
        </is>
      </c>
    </row>
    <row r="271" ht="15" customHeight="1" s="251">
      <c r="B271" s="25" t="inlineStr">
        <is>
          <t>Cash paid for acquisitions, net of cash acquired</t>
        </is>
      </c>
      <c r="C271" s="253" t="n">
        <v>-39.2</v>
      </c>
      <c r="D271" s="253" t="n">
        <v>-4.4</v>
      </c>
      <c r="E271" s="253" t="n">
        <v>-241.4</v>
      </c>
      <c r="F271" s="253" t="n">
        <v>-0.9</v>
      </c>
      <c r="G271" s="253" t="n">
        <v>-148.6</v>
      </c>
      <c r="H271" s="253" t="n">
        <v>-197.5</v>
      </c>
      <c r="I271" s="253" t="n">
        <v>-3.5</v>
      </c>
      <c r="J271" s="253" t="n">
        <v>0</v>
      </c>
      <c r="K271" s="253" t="n">
        <v>0</v>
      </c>
      <c r="L271" s="253" t="n">
        <v>0</v>
      </c>
      <c r="M271" s="253" t="n">
        <v>-50.7</v>
      </c>
      <c r="N271" s="253" t="n">
        <v>-50.7</v>
      </c>
      <c r="O271" s="253" t="n">
        <v>0</v>
      </c>
      <c r="P271" s="253" t="n">
        <v>-80.5</v>
      </c>
      <c r="Q271" s="253" t="n">
        <v>-130</v>
      </c>
      <c r="R271" s="253" t="n">
        <v>-29.2</v>
      </c>
      <c r="S271" s="253" t="n">
        <v>-239.7</v>
      </c>
      <c r="T271" s="253" t="n">
        <v>0</v>
      </c>
      <c r="U271" s="253" t="n">
        <v>-4.6</v>
      </c>
      <c r="V271" s="253" t="n">
        <v>0</v>
      </c>
      <c r="W271" s="253" t="n">
        <v>-3</v>
      </c>
      <c r="X271" s="253" t="n">
        <v>-7.6</v>
      </c>
      <c r="Y271" s="253" t="n">
        <v>-75.90000000000001</v>
      </c>
      <c r="Z271" s="253" t="n">
        <v>0</v>
      </c>
      <c r="AA271" s="253" t="n">
        <v>-3.2</v>
      </c>
      <c r="AB271" s="253" t="n">
        <v>-1.7</v>
      </c>
      <c r="AC271" s="253" t="n">
        <v>-80.8</v>
      </c>
      <c r="AD271" s="253" t="n">
        <v>-5</v>
      </c>
      <c r="AE271" s="253" t="n">
        <v>0</v>
      </c>
      <c r="AF271" s="253" t="n">
        <v>-3506</v>
      </c>
      <c r="AG271" s="253" t="n">
        <v>0</v>
      </c>
      <c r="AH271" s="253" t="n">
        <v>-3511</v>
      </c>
      <c r="AI271" s="253" t="n">
        <v>0</v>
      </c>
      <c r="AJ271" s="253" t="n">
        <v>0</v>
      </c>
      <c r="AK271" s="253" t="n">
        <v>-35</v>
      </c>
      <c r="AL271" s="253" t="n">
        <v>-254.3</v>
      </c>
      <c r="AM271" s="253" t="n">
        <v>-289.3</v>
      </c>
      <c r="AN271" s="253" t="n">
        <v>0</v>
      </c>
      <c r="AO271" s="253" t="n">
        <v>-36.7</v>
      </c>
      <c r="AP271" s="253" t="n">
        <v>-84.3</v>
      </c>
      <c r="AQ271" s="253" t="n">
        <v>-41</v>
      </c>
      <c r="AR271" s="253" t="n">
        <v>-162</v>
      </c>
      <c r="AS271" s="253" t="n">
        <v>-696</v>
      </c>
      <c r="AT271" s="253" t="n">
        <v>-2</v>
      </c>
      <c r="AU271" s="253" t="n">
        <v>-1</v>
      </c>
      <c r="AV271" s="253" t="n">
        <v>-198</v>
      </c>
      <c r="AW271" s="253" t="n">
        <v>-897</v>
      </c>
      <c r="AX271" s="253" t="n">
        <v>-138</v>
      </c>
      <c r="AY271" s="253" t="n">
        <v>0</v>
      </c>
      <c r="AZ271" s="253" t="n">
        <v>-1888</v>
      </c>
      <c r="BA271" s="253" t="n">
        <v>-153</v>
      </c>
      <c r="BB271" s="253" t="n">
        <v>-2179</v>
      </c>
      <c r="BC271" s="253" t="n">
        <v>-83</v>
      </c>
      <c r="BD271" s="253" t="n">
        <v>-9</v>
      </c>
      <c r="BE271" s="253" t="n">
        <v>-5</v>
      </c>
      <c r="BF271" s="253" t="n">
        <v>0</v>
      </c>
      <c r="BG271" s="253" t="n">
        <v>-97</v>
      </c>
      <c r="BH271" s="253" t="n">
        <v>0</v>
      </c>
      <c r="BI271" s="253" t="n">
        <v>-3</v>
      </c>
      <c r="BJ271" s="253" t="n">
        <v>0</v>
      </c>
      <c r="BK271" s="253" t="n">
        <v>0</v>
      </c>
      <c r="BL271" s="253" t="n">
        <v>-3</v>
      </c>
      <c r="BM271" s="253" t="n">
        <v>-12</v>
      </c>
      <c r="BN271" s="253" t="n">
        <v>0</v>
      </c>
      <c r="BO271" s="253" t="n">
        <v>-98</v>
      </c>
      <c r="BP271" s="253" t="n">
        <v>-111</v>
      </c>
      <c r="BQ271" s="253" t="n">
        <v>-221</v>
      </c>
      <c r="BR271" s="253" t="n">
        <v>-223</v>
      </c>
      <c r="BS271" s="253" t="n">
        <v>0</v>
      </c>
      <c r="BT271" s="253" t="n">
        <v>-4</v>
      </c>
      <c r="BU271" s="253" t="n">
        <v>0</v>
      </c>
      <c r="BV271" s="253" t="n">
        <v>-227</v>
      </c>
      <c r="BW271" s="253" t="n">
        <v>-23</v>
      </c>
      <c r="BX271" s="253" t="n">
        <v>0</v>
      </c>
      <c r="BY271" s="35" t="n"/>
      <c r="BZ271" s="35" t="n"/>
      <c r="CA271" s="254">
        <f>SUM(BW271:BX271)</f>
        <v>-23</v>
      </c>
      <c r="CB271" s="254">
        <f>-CB95</f>
        <v>-200</v>
      </c>
      <c r="CC271" s="254">
        <f>-CC95</f>
        <v>-200</v>
      </c>
      <c r="CD271" s="254">
        <f>-CD95</f>
        <v>-200</v>
      </c>
      <c r="CE271" s="254">
        <f>-CE95</f>
        <v>-200</v>
      </c>
      <c r="CF271" s="19" t="inlineStr">
        <is>
          <t>2026E = 1H actual. 2027E+: M&amp;A lever.</t>
        </is>
      </c>
    </row>
    <row r="272" ht="15" customHeight="1" s="251">
      <c r="B272" s="25" t="inlineStr">
        <is>
          <t>Cash received upon business divestitures</t>
        </is>
      </c>
      <c r="C272" s="253" t="n">
        <v>0</v>
      </c>
      <c r="D272" s="253" t="n">
        <v>0</v>
      </c>
      <c r="E272" s="253" t="n">
        <v>0</v>
      </c>
      <c r="F272" s="253" t="n">
        <v>0</v>
      </c>
      <c r="G272" s="253" t="n">
        <v>0</v>
      </c>
      <c r="H272" s="253" t="n">
        <v>0</v>
      </c>
      <c r="I272" s="253" t="n">
        <v>0</v>
      </c>
      <c r="J272" s="253" t="n">
        <v>0</v>
      </c>
      <c r="K272" s="253" t="n">
        <v>0</v>
      </c>
      <c r="L272" s="253" t="n">
        <v>0</v>
      </c>
      <c r="M272" s="253" t="n">
        <v>0</v>
      </c>
      <c r="N272" s="253" t="n">
        <v>0</v>
      </c>
      <c r="O272" s="253" t="n">
        <v>0</v>
      </c>
      <c r="P272" s="253" t="n">
        <v>0</v>
      </c>
      <c r="Q272" s="253" t="n">
        <v>0</v>
      </c>
      <c r="R272" s="253" t="n">
        <v>0</v>
      </c>
      <c r="S272" s="253" t="n">
        <v>0</v>
      </c>
      <c r="T272" s="253" t="n">
        <v>0</v>
      </c>
      <c r="U272" s="253" t="n">
        <v>0</v>
      </c>
      <c r="V272" s="253" t="n">
        <v>0</v>
      </c>
      <c r="W272" s="253" t="n">
        <v>0</v>
      </c>
      <c r="X272" s="253" t="n">
        <v>0</v>
      </c>
      <c r="Y272" s="253" t="n">
        <v>0</v>
      </c>
      <c r="Z272" s="253" t="n">
        <v>0</v>
      </c>
      <c r="AA272" s="253" t="n">
        <v>0</v>
      </c>
      <c r="AB272" s="253" t="n">
        <v>1.5</v>
      </c>
      <c r="AC272" s="253" t="n">
        <v>1.5</v>
      </c>
      <c r="AD272" s="253" t="n">
        <v>0</v>
      </c>
      <c r="AE272" s="253" t="n">
        <v>0</v>
      </c>
      <c r="AF272" s="253" t="n">
        <v>0</v>
      </c>
      <c r="AG272" s="253" t="n">
        <v>0</v>
      </c>
      <c r="AH272" s="253" t="n">
        <v>0</v>
      </c>
      <c r="AI272" s="253" t="n">
        <v>5.7</v>
      </c>
      <c r="AJ272" s="253" t="n">
        <v>0</v>
      </c>
      <c r="AK272" s="253" t="n">
        <v>0</v>
      </c>
      <c r="AL272" s="253" t="n">
        <v>0</v>
      </c>
      <c r="AM272" s="253" t="n">
        <v>5.7</v>
      </c>
      <c r="AN272" s="253" t="n">
        <v>0</v>
      </c>
      <c r="AO272" s="253" t="n">
        <v>0</v>
      </c>
      <c r="AP272" s="253" t="n">
        <v>0</v>
      </c>
      <c r="AQ272" s="253" t="n">
        <v>226</v>
      </c>
      <c r="AR272" s="253" t="n">
        <v>226</v>
      </c>
      <c r="AS272" s="253" t="n">
        <v>0</v>
      </c>
      <c r="AT272" s="253" t="n">
        <v>0</v>
      </c>
      <c r="AU272" s="253" t="n">
        <v>0</v>
      </c>
      <c r="AV272" s="253" t="n">
        <v>0</v>
      </c>
      <c r="AW272" s="253" t="n">
        <v>0</v>
      </c>
      <c r="AX272" s="253" t="n">
        <v>0</v>
      </c>
      <c r="AY272" s="253" t="n">
        <v>0</v>
      </c>
      <c r="AZ272" s="253" t="n">
        <v>0</v>
      </c>
      <c r="BA272" s="253" t="n">
        <v>0</v>
      </c>
      <c r="BB272" s="253" t="n">
        <v>0</v>
      </c>
      <c r="BC272" s="253" t="n">
        <v>0</v>
      </c>
      <c r="BD272" s="253" t="n">
        <v>0</v>
      </c>
      <c r="BE272" s="253" t="n">
        <v>0</v>
      </c>
      <c r="BF272" s="253" t="n">
        <v>0</v>
      </c>
      <c r="BG272" s="253" t="n">
        <v>0</v>
      </c>
      <c r="BH272" s="253" t="n">
        <v>0</v>
      </c>
      <c r="BI272" s="253" t="n">
        <v>0</v>
      </c>
      <c r="BJ272" s="253" t="n">
        <v>0</v>
      </c>
      <c r="BK272" s="253" t="n">
        <v>0</v>
      </c>
      <c r="BL272" s="253" t="n">
        <v>0</v>
      </c>
      <c r="BM272" s="253" t="n">
        <v>0</v>
      </c>
      <c r="BN272" s="253" t="n">
        <v>0</v>
      </c>
      <c r="BO272" s="253" t="n">
        <v>0</v>
      </c>
      <c r="BP272" s="253" t="n">
        <v>0</v>
      </c>
      <c r="BQ272" s="253" t="n">
        <v>0</v>
      </c>
      <c r="BR272" s="253" t="n">
        <v>0</v>
      </c>
      <c r="BS272" s="253" t="n">
        <v>0</v>
      </c>
      <c r="BT272" s="253" t="n">
        <v>0</v>
      </c>
      <c r="BU272" s="253" t="n">
        <v>40</v>
      </c>
      <c r="BV272" s="253" t="n">
        <v>40</v>
      </c>
      <c r="BW272" s="253" t="n">
        <v>0</v>
      </c>
      <c r="BX272" s="253" t="n">
        <v>200</v>
      </c>
      <c r="BY272" s="35" t="n"/>
      <c r="BZ272" s="35" t="n"/>
      <c r="CA272" s="254">
        <f>SUM(BW272:BX272)+SUM(BY176:BZ176)</f>
        <v>319</v>
      </c>
      <c r="CB272" s="254">
        <f>CB176</f>
        <v>0</v>
      </c>
      <c r="CC272" s="254">
        <f>CC176</f>
        <v>0</v>
      </c>
      <c r="CD272" s="254">
        <f>CD176</f>
        <v>0</v>
      </c>
      <c r="CE272" s="254">
        <f>CE176</f>
        <v>0</v>
      </c>
      <c r="CF272" s="19" t="inlineStr">
        <is>
          <t>2026E: 1H actual (MA Regulatory Solutions / Learning Solutions) + 2H contingent consideration (assumed received in cash = the 2H gain).</t>
        </is>
      </c>
    </row>
    <row r="273" ht="15" customHeight="1" s="251">
      <c r="B273" s="25" t="inlineStr">
        <is>
          <t>Other investing activities, net (investments, hedges, affiliates; derived)</t>
        </is>
      </c>
      <c r="C273" s="253" t="n">
        <v>186.4</v>
      </c>
      <c r="D273" s="253" t="n">
        <v>61.5</v>
      </c>
      <c r="E273" s="253" t="n">
        <v>6.5</v>
      </c>
      <c r="F273" s="253" t="n">
        <v>-2.2</v>
      </c>
      <c r="G273" s="253" t="n">
        <v>-1.2</v>
      </c>
      <c r="H273" s="253" t="n">
        <v>-2.4</v>
      </c>
      <c r="I273" s="253" t="n">
        <v>-1.7</v>
      </c>
      <c r="J273" s="253" t="n">
        <v>5.8</v>
      </c>
      <c r="K273" s="253" t="n">
        <v>-6.7</v>
      </c>
      <c r="L273" s="253" t="n">
        <v>-190.9</v>
      </c>
      <c r="M273" s="253" t="n">
        <v>22.9</v>
      </c>
      <c r="N273" s="253" t="n">
        <v>-168.9</v>
      </c>
      <c r="O273" s="253" t="n">
        <v>-63.1</v>
      </c>
      <c r="P273" s="253" t="n">
        <v>69</v>
      </c>
      <c r="Q273" s="253" t="n">
        <v>16.8</v>
      </c>
      <c r="R273" s="253" t="n">
        <v>-273.3</v>
      </c>
      <c r="S273" s="253" t="n">
        <v>-250.6</v>
      </c>
      <c r="T273" s="253" t="n">
        <v>-30.3</v>
      </c>
      <c r="U273" s="253" t="n">
        <v>-16.2</v>
      </c>
      <c r="V273" s="253" t="n">
        <v>35.5</v>
      </c>
      <c r="W273" s="253" t="n">
        <v>15.6</v>
      </c>
      <c r="X273" s="253" t="n">
        <v>4.6</v>
      </c>
      <c r="Y273" s="253" t="n">
        <v>-6.2</v>
      </c>
      <c r="Z273" s="253" t="n">
        <v>129.1</v>
      </c>
      <c r="AA273" s="253" t="n">
        <v>38.6</v>
      </c>
      <c r="AB273" s="253" t="n">
        <v>135</v>
      </c>
      <c r="AC273" s="253" t="n">
        <v>296.5</v>
      </c>
      <c r="AD273" s="253" t="n">
        <v>42.3</v>
      </c>
      <c r="AE273" s="253" t="n">
        <v>45.4</v>
      </c>
      <c r="AF273" s="253" t="n">
        <v>85.3</v>
      </c>
      <c r="AG273" s="253" t="n">
        <v>8.6</v>
      </c>
      <c r="AH273" s="253" t="n">
        <v>181.6</v>
      </c>
      <c r="AI273" s="253" t="n">
        <v>-9.199999999999999</v>
      </c>
      <c r="AJ273" s="253" t="n">
        <v>-3.9</v>
      </c>
      <c r="AK273" s="253" t="n">
        <v>-8.5</v>
      </c>
      <c r="AL273" s="253" t="n">
        <v>-10.8</v>
      </c>
      <c r="AM273" s="253" t="n">
        <v>-32.4</v>
      </c>
      <c r="AN273" s="253" t="n">
        <v>12.8</v>
      </c>
      <c r="AO273" s="253" t="n">
        <v>9.800000000000001</v>
      </c>
      <c r="AP273" s="253" t="n">
        <v>9.800000000000001</v>
      </c>
      <c r="AQ273" s="253" t="n">
        <v>8.6</v>
      </c>
      <c r="AR273" s="253" t="n">
        <v>41</v>
      </c>
      <c r="AS273" s="253" t="n">
        <v>-55</v>
      </c>
      <c r="AT273" s="253" t="n">
        <v>-8</v>
      </c>
      <c r="AU273" s="253" t="n">
        <v>-8</v>
      </c>
      <c r="AV273" s="253" t="n">
        <v>-6</v>
      </c>
      <c r="AW273" s="253" t="n">
        <v>-77</v>
      </c>
      <c r="AX273" s="253" t="n">
        <v>-42</v>
      </c>
      <c r="AY273" s="253" t="n">
        <v>-27</v>
      </c>
      <c r="AZ273" s="253" t="n">
        <v>11</v>
      </c>
      <c r="BA273" s="253" t="n">
        <v>-243</v>
      </c>
      <c r="BB273" s="253" t="n">
        <v>-301</v>
      </c>
      <c r="BC273" s="253" t="n">
        <v>-19</v>
      </c>
      <c r="BD273" s="253" t="n">
        <v>72</v>
      </c>
      <c r="BE273" s="253" t="n">
        <v>76</v>
      </c>
      <c r="BF273" s="253" t="n">
        <v>-11</v>
      </c>
      <c r="BG273" s="253" t="n">
        <v>118</v>
      </c>
      <c r="BH273" s="253" t="n">
        <v>10</v>
      </c>
      <c r="BI273" s="253" t="n">
        <v>17</v>
      </c>
      <c r="BJ273" s="253" t="n">
        <v>-19</v>
      </c>
      <c r="BK273" s="253" t="n">
        <v>19</v>
      </c>
      <c r="BL273" s="253" t="n">
        <v>27</v>
      </c>
      <c r="BM273" s="253" t="n">
        <v>-6</v>
      </c>
      <c r="BN273" s="253" t="n">
        <v>-2</v>
      </c>
      <c r="BO273" s="253" t="n">
        <v>-514</v>
      </c>
      <c r="BP273" s="253" t="n">
        <v>4</v>
      </c>
      <c r="BQ273" s="253" t="n">
        <v>-518</v>
      </c>
      <c r="BR273" s="253" t="n">
        <v>532</v>
      </c>
      <c r="BS273" s="253" t="n">
        <v>-51</v>
      </c>
      <c r="BT273" s="253" t="n">
        <v>35</v>
      </c>
      <c r="BU273" s="253" t="n">
        <v>-1</v>
      </c>
      <c r="BV273" s="253" t="n">
        <v>515</v>
      </c>
      <c r="BW273" s="253" t="n">
        <v>27</v>
      </c>
      <c r="BX273" s="253" t="n">
        <v>3</v>
      </c>
      <c r="BY273" s="35" t="n"/>
      <c r="BZ273" s="35" t="n"/>
      <c r="CA273" s="254">
        <f>SUM(BW273:BX273)</f>
        <v>30</v>
      </c>
      <c r="CB273" s="279" t="n">
        <v>0</v>
      </c>
      <c r="CC273" s="279" t="n">
        <v>0</v>
      </c>
      <c r="CD273" s="279" t="n">
        <v>0</v>
      </c>
      <c r="CE273" s="279" t="n">
        <v>0</v>
      </c>
      <c r="CF273" s="19" t="n"/>
    </row>
    <row r="274" ht="15" customHeight="1" s="251">
      <c r="B274" s="16" t="inlineStr">
        <is>
          <t>Net cash provided by (used in) investing activities</t>
        </is>
      </c>
      <c r="C274" s="265" t="n">
        <v>116.1</v>
      </c>
      <c r="D274" s="265" t="n">
        <v>-124.7</v>
      </c>
      <c r="E274" s="265" t="n">
        <v>-319.3</v>
      </c>
      <c r="F274" s="265" t="n">
        <v>-93.8</v>
      </c>
      <c r="G274" s="265" t="n">
        <v>-228.8</v>
      </c>
      <c r="H274" s="265" t="n">
        <v>-267.6</v>
      </c>
      <c r="I274" s="265" t="n">
        <v>-50.2</v>
      </c>
      <c r="J274" s="265" t="n">
        <v>-2.8</v>
      </c>
      <c r="K274" s="265" t="n">
        <v>-16.2</v>
      </c>
      <c r="L274" s="265" t="n">
        <v>-203.8</v>
      </c>
      <c r="M274" s="265" t="n">
        <v>-39.1</v>
      </c>
      <c r="N274" s="265" t="n">
        <v>-261.9</v>
      </c>
      <c r="O274" s="265" t="n">
        <v>-82.2</v>
      </c>
      <c r="P274" s="265" t="n">
        <v>-31.2</v>
      </c>
      <c r="Q274" s="265" t="n">
        <v>-131.2</v>
      </c>
      <c r="R274" s="265" t="n">
        <v>-320.3</v>
      </c>
      <c r="S274" s="265" t="n">
        <v>-564.9</v>
      </c>
      <c r="T274" s="265" t="n">
        <v>-49.3</v>
      </c>
      <c r="U274" s="265" t="n">
        <v>-42.5</v>
      </c>
      <c r="V274" s="265" t="n">
        <v>10.3</v>
      </c>
      <c r="W274" s="265" t="n">
        <v>-10.5</v>
      </c>
      <c r="X274" s="265" t="n">
        <v>-92</v>
      </c>
      <c r="Y274" s="265" t="n">
        <v>-108.4</v>
      </c>
      <c r="Z274" s="265" t="n">
        <v>101.1</v>
      </c>
      <c r="AA274" s="265" t="n">
        <v>4.9</v>
      </c>
      <c r="AB274" s="265" t="n">
        <v>104.4</v>
      </c>
      <c r="AC274" s="265" t="n">
        <v>102</v>
      </c>
      <c r="AD274" s="265" t="n">
        <v>18.6</v>
      </c>
      <c r="AE274" s="265" t="n">
        <v>21.3</v>
      </c>
      <c r="AF274" s="265" t="n">
        <v>-3447.3</v>
      </c>
      <c r="AG274" s="265" t="n">
        <v>-12.6</v>
      </c>
      <c r="AH274" s="265" t="n">
        <v>-3420</v>
      </c>
      <c r="AI274" s="265" t="n">
        <v>-18.5</v>
      </c>
      <c r="AJ274" s="265" t="n">
        <v>-26.8</v>
      </c>
      <c r="AK274" s="265" t="n">
        <v>-68.5</v>
      </c>
      <c r="AL274" s="265" t="n">
        <v>-292.6</v>
      </c>
      <c r="AM274" s="265" t="n">
        <v>-406.4</v>
      </c>
      <c r="AN274" s="265" t="n">
        <v>-7.2</v>
      </c>
      <c r="AO274" s="265" t="n">
        <v>-45.6</v>
      </c>
      <c r="AP274" s="265" t="n">
        <v>-96.7</v>
      </c>
      <c r="AQ274" s="265" t="n">
        <v>185.5</v>
      </c>
      <c r="AR274" s="265" t="n">
        <v>36</v>
      </c>
      <c r="AS274" s="265" t="n">
        <v>-772</v>
      </c>
      <c r="AT274" s="265" t="n">
        <v>-51</v>
      </c>
      <c r="AU274" s="265" t="n">
        <v>-30</v>
      </c>
      <c r="AV274" s="265" t="n">
        <v>-224</v>
      </c>
      <c r="AW274" s="265" t="n">
        <v>-1077</v>
      </c>
      <c r="AX274" s="265" t="n">
        <v>-194</v>
      </c>
      <c r="AY274" s="265" t="n">
        <v>-57</v>
      </c>
      <c r="AZ274" s="265" t="n">
        <v>-1910</v>
      </c>
      <c r="BA274" s="265" t="n">
        <v>-458</v>
      </c>
      <c r="BB274" s="265" t="n">
        <v>-2619</v>
      </c>
      <c r="BC274" s="265" t="n">
        <v>-161</v>
      </c>
      <c r="BD274" s="265" t="n">
        <v>-11</v>
      </c>
      <c r="BE274" s="265" t="n">
        <v>0</v>
      </c>
      <c r="BF274" s="265" t="n">
        <v>-90</v>
      </c>
      <c r="BG274" s="265" t="n">
        <v>-262</v>
      </c>
      <c r="BH274" s="265" t="n">
        <v>-63</v>
      </c>
      <c r="BI274" s="265" t="n">
        <v>-40</v>
      </c>
      <c r="BJ274" s="265" t="n">
        <v>-90</v>
      </c>
      <c r="BK274" s="265" t="n">
        <v>-54</v>
      </c>
      <c r="BL274" s="265" t="n">
        <v>-247</v>
      </c>
      <c r="BM274" s="265" t="n">
        <v>-96</v>
      </c>
      <c r="BN274" s="265" t="n">
        <v>-95</v>
      </c>
      <c r="BO274" s="265" t="n">
        <v>-684</v>
      </c>
      <c r="BP274" s="265" t="n">
        <v>-181</v>
      </c>
      <c r="BQ274" s="265" t="n">
        <v>-1056</v>
      </c>
      <c r="BR274" s="265" t="n">
        <v>224</v>
      </c>
      <c r="BS274" s="265" t="n">
        <v>-126</v>
      </c>
      <c r="BT274" s="265" t="n">
        <v>-54</v>
      </c>
      <c r="BU274" s="265" t="n">
        <v>-42</v>
      </c>
      <c r="BV274" s="265" t="n">
        <v>2</v>
      </c>
      <c r="BW274" s="265" t="n">
        <v>-91</v>
      </c>
      <c r="BX274" s="265" t="n">
        <v>112</v>
      </c>
      <c r="BY274" s="32" t="n"/>
      <c r="BZ274" s="32" t="n"/>
      <c r="CA274" s="263">
        <f>SUM(CA270:CA273)</f>
        <v>-124</v>
      </c>
      <c r="CB274" s="263">
        <f>SUM(CB270:CB273)</f>
        <v>-658.66299072191</v>
      </c>
      <c r="CC274" s="263">
        <f>SUM(CC270:CC273)</f>
        <v>-670.961337115972</v>
      </c>
      <c r="CD274" s="263">
        <f>SUM(CD270:CD273)</f>
        <v>-701.361635549044</v>
      </c>
      <c r="CE274" s="263">
        <f>SUM(CE270:CE273)</f>
        <v>-731.485535936454</v>
      </c>
      <c r="CF274" s="153" t="n"/>
    </row>
    <row r="275" ht="15" customHeight="1" s="251">
      <c r="B275" s="25" t="inlineStr">
        <is>
          <t>Treasury shares (share repurchases)</t>
        </is>
      </c>
      <c r="C275" s="253" t="n">
        <v>-1093.6</v>
      </c>
      <c r="D275" s="253" t="n">
        <v>-1738.4</v>
      </c>
      <c r="E275" s="253" t="n">
        <v>-592.9</v>
      </c>
      <c r="F275" s="253" t="n">
        <v>0</v>
      </c>
      <c r="G275" s="253" t="n">
        <v>-223.6</v>
      </c>
      <c r="H275" s="253" t="n">
        <v>-333.8</v>
      </c>
      <c r="I275" s="253" t="n">
        <v>-196.5</v>
      </c>
      <c r="J275" s="253" t="n">
        <v>-91.3</v>
      </c>
      <c r="K275" s="253" t="n">
        <v>-259.1</v>
      </c>
      <c r="L275" s="253" t="n">
        <v>-397.2</v>
      </c>
      <c r="M275" s="253" t="n">
        <v>-145.5</v>
      </c>
      <c r="N275" s="253" t="n">
        <v>-893.1</v>
      </c>
      <c r="O275" s="253" t="n">
        <v>-201.6</v>
      </c>
      <c r="P275" s="253" t="n">
        <v>-258.1</v>
      </c>
      <c r="Q275" s="253" t="n">
        <v>-320.5</v>
      </c>
      <c r="R275" s="253" t="n">
        <v>-440.3</v>
      </c>
      <c r="S275" s="253" t="n">
        <v>-1220.5</v>
      </c>
      <c r="T275" s="253" t="n">
        <v>-365.8</v>
      </c>
      <c r="U275" s="253" t="n">
        <v>-234.9</v>
      </c>
      <c r="V275" s="253" t="n">
        <v>-304.9</v>
      </c>
      <c r="W275" s="253" t="n">
        <v>-192.5</v>
      </c>
      <c r="X275" s="253" t="n">
        <v>-1098.1</v>
      </c>
      <c r="Y275" s="253" t="n">
        <v>-262.1</v>
      </c>
      <c r="Z275" s="253" t="n">
        <v>-223.8</v>
      </c>
      <c r="AA275" s="253" t="n">
        <v>-193</v>
      </c>
      <c r="AB275" s="253" t="n">
        <v>-59.9</v>
      </c>
      <c r="AC275" s="253" t="n">
        <v>-738.8</v>
      </c>
      <c r="AD275" s="253" t="n">
        <v>-55</v>
      </c>
      <c r="AE275" s="253" t="n">
        <v>-79.5</v>
      </c>
      <c r="AF275" s="253" t="n">
        <v>-29.1</v>
      </c>
      <c r="AG275" s="253" t="n">
        <v>-36.1</v>
      </c>
      <c r="AH275" s="253" t="n">
        <v>-199.7</v>
      </c>
      <c r="AI275" s="253" t="n">
        <v>-43.4</v>
      </c>
      <c r="AJ275" s="253" t="n">
        <v>-37.6</v>
      </c>
      <c r="AK275" s="253" t="n">
        <v>-66.2</v>
      </c>
      <c r="AL275" s="253" t="n">
        <v>-55.4</v>
      </c>
      <c r="AM275" s="253" t="n">
        <v>-202.6</v>
      </c>
      <c r="AN275" s="253" t="n">
        <v>-448.2</v>
      </c>
      <c r="AO275" s="253" t="n">
        <v>-167</v>
      </c>
      <c r="AP275" s="253" t="n">
        <v>-112.8</v>
      </c>
      <c r="AQ275" s="253" t="n">
        <v>-263</v>
      </c>
      <c r="AR275" s="253" t="n">
        <v>-991</v>
      </c>
      <c r="AS275" s="253" t="n">
        <v>-253</v>
      </c>
      <c r="AT275" s="253" t="n">
        <v>0</v>
      </c>
      <c r="AU275" s="253" t="n">
        <v>0</v>
      </c>
      <c r="AV275" s="253" t="n">
        <v>-250</v>
      </c>
      <c r="AW275" s="253" t="n">
        <v>-503</v>
      </c>
      <c r="AX275" s="253" t="n">
        <v>-132</v>
      </c>
      <c r="AY275" s="253" t="n">
        <v>-371</v>
      </c>
      <c r="AZ275" s="253" t="n">
        <v>-125</v>
      </c>
      <c r="BA275" s="253" t="n">
        <v>-122</v>
      </c>
      <c r="BB275" s="253" t="n">
        <v>-750</v>
      </c>
      <c r="BC275" s="253" t="n">
        <v>-560</v>
      </c>
      <c r="BD275" s="253" t="n">
        <v>-311</v>
      </c>
      <c r="BE275" s="253" t="n">
        <v>-112</v>
      </c>
      <c r="BF275" s="253" t="n">
        <v>0</v>
      </c>
      <c r="BG275" s="253" t="n">
        <v>-983</v>
      </c>
      <c r="BH275" s="253" t="n">
        <v>-41</v>
      </c>
      <c r="BI275" s="253" t="n">
        <v>-67</v>
      </c>
      <c r="BJ275" s="253" t="n">
        <v>-170</v>
      </c>
      <c r="BK275" s="253" t="n">
        <v>-212</v>
      </c>
      <c r="BL275" s="253" t="n">
        <v>-490</v>
      </c>
      <c r="BM275" s="253" t="n">
        <v>-120</v>
      </c>
      <c r="BN275" s="253" t="n">
        <v>-264</v>
      </c>
      <c r="BO275" s="253" t="n">
        <v>-428</v>
      </c>
      <c r="BP275" s="253" t="n">
        <v>-480</v>
      </c>
      <c r="BQ275" s="253" t="n">
        <v>-1292</v>
      </c>
      <c r="BR275" s="253" t="n">
        <v>-373</v>
      </c>
      <c r="BS275" s="253" t="n">
        <v>-284</v>
      </c>
      <c r="BT275" s="253" t="n">
        <v>-513</v>
      </c>
      <c r="BU275" s="253" t="n">
        <v>-437</v>
      </c>
      <c r="BV275" s="253" t="n">
        <v>-1607</v>
      </c>
      <c r="BW275" s="253" t="n">
        <v>-1471</v>
      </c>
      <c r="BX275" s="253" t="n">
        <v>-694</v>
      </c>
      <c r="BY275" s="35" t="n"/>
      <c r="BZ275" s="35" t="n"/>
      <c r="CA275" s="254">
        <f>SUM(BW275:BX275)-CHOOSE(MATCH($CF$2,{"Bull","Base","Bear"},0),$CO$21,$CP$21,$CQ$21)</f>
        <v>-2850</v>
      </c>
      <c r="CB275" s="254">
        <f>-CB386</f>
        <v>-3082.24760334822</v>
      </c>
      <c r="CC275" s="254">
        <f>-CC386</f>
        <v>-2980.55188104518</v>
      </c>
      <c r="CD275" s="254">
        <f>-CD386</f>
        <v>-3211.22150494319</v>
      </c>
      <c r="CE275" s="254">
        <f>-CE386</f>
        <v>-3417.32732424639</v>
      </c>
      <c r="CF275" s="19" t="inlineStr">
        <is>
          <t>2026E: 1H actual + 2H scenario input (FY26 guidance "up to $3.0bn"). 2027E+ = leverage plug (surplus cash returned until net debt / Adjusted Operating Income reaches the target).</t>
        </is>
      </c>
    </row>
    <row r="276" ht="15" customHeight="1" s="251">
      <c r="B276" s="25" t="inlineStr">
        <is>
          <t>Dividends (to Moody's shareholders)</t>
        </is>
      </c>
      <c r="C276" s="253" t="n">
        <v>-79.5</v>
      </c>
      <c r="D276" s="253" t="n">
        <v>-85.2</v>
      </c>
      <c r="E276" s="253" t="n">
        <v>-96.8</v>
      </c>
      <c r="F276" s="253" t="n">
        <v>-94.5</v>
      </c>
      <c r="G276" s="253" t="n">
        <v>-98.59999999999999</v>
      </c>
      <c r="H276" s="253" t="n">
        <v>-121</v>
      </c>
      <c r="I276" s="253" t="n">
        <v>-143</v>
      </c>
      <c r="J276" s="253" t="n">
        <v>-44.5</v>
      </c>
      <c r="K276" s="253" t="n">
        <v>-44.6</v>
      </c>
      <c r="L276" s="253" t="n">
        <v>-54.6</v>
      </c>
      <c r="M276" s="253" t="n">
        <v>-53.6</v>
      </c>
      <c r="N276" s="253" t="n">
        <v>-197.3</v>
      </c>
      <c r="O276" s="253" t="n">
        <v>-59.9</v>
      </c>
      <c r="P276" s="253" t="n">
        <v>-59.3</v>
      </c>
      <c r="Q276" s="253" t="n">
        <v>-59</v>
      </c>
      <c r="R276" s="253" t="n">
        <v>-57.8</v>
      </c>
      <c r="S276" s="253" t="n">
        <v>-236</v>
      </c>
      <c r="T276" s="253" t="n">
        <v>-68.7</v>
      </c>
      <c r="U276" s="253" t="n">
        <v>-68.5</v>
      </c>
      <c r="V276" s="253" t="n">
        <v>-67.8</v>
      </c>
      <c r="W276" s="253" t="n">
        <v>-67.09999999999999</v>
      </c>
      <c r="X276" s="253" t="n">
        <v>-272.1</v>
      </c>
      <c r="Y276" s="253" t="n">
        <v>-72.09999999999999</v>
      </c>
      <c r="Z276" s="253" t="n">
        <v>-71.5</v>
      </c>
      <c r="AA276" s="253" t="n">
        <v>-70.90000000000001</v>
      </c>
      <c r="AB276" s="253" t="n">
        <v>-70.59999999999999</v>
      </c>
      <c r="AC276" s="253" t="n">
        <v>-285.1</v>
      </c>
      <c r="AD276" s="253" t="n">
        <v>-72.59999999999999</v>
      </c>
      <c r="AE276" s="253" t="n">
        <v>-72.59999999999999</v>
      </c>
      <c r="AF276" s="253" t="n">
        <v>-72.59999999999999</v>
      </c>
      <c r="AG276" s="253" t="n">
        <v>-72.59999999999999</v>
      </c>
      <c r="AH276" s="253" t="n">
        <v>-290.4</v>
      </c>
      <c r="AI276" s="253" t="n">
        <v>-84.09999999999999</v>
      </c>
      <c r="AJ276" s="253" t="n">
        <v>-84.5</v>
      </c>
      <c r="AK276" s="253" t="n">
        <v>-84.3</v>
      </c>
      <c r="AL276" s="253" t="n">
        <v>-84.3</v>
      </c>
      <c r="AM276" s="253" t="n">
        <v>-337.2</v>
      </c>
      <c r="AN276" s="253" t="n">
        <v>-94.40000000000001</v>
      </c>
      <c r="AO276" s="253" t="n">
        <v>-94.59999999999999</v>
      </c>
      <c r="AP276" s="253" t="n">
        <v>-94.59999999999999</v>
      </c>
      <c r="AQ276" s="253" t="n">
        <v>-94.40000000000001</v>
      </c>
      <c r="AR276" s="253" t="n">
        <v>-378</v>
      </c>
      <c r="AS276" s="253" t="n">
        <v>-105</v>
      </c>
      <c r="AT276" s="253" t="n">
        <v>-105</v>
      </c>
      <c r="AU276" s="253" t="n">
        <v>-105</v>
      </c>
      <c r="AV276" s="253" t="n">
        <v>-105</v>
      </c>
      <c r="AW276" s="253" t="n">
        <v>-420</v>
      </c>
      <c r="AX276" s="253" t="n">
        <v>-116</v>
      </c>
      <c r="AY276" s="253" t="n">
        <v>-116</v>
      </c>
      <c r="AZ276" s="253" t="n">
        <v>-115</v>
      </c>
      <c r="BA276" s="253" t="n">
        <v>-116</v>
      </c>
      <c r="BB276" s="253" t="n">
        <v>-463</v>
      </c>
      <c r="BC276" s="253" t="n">
        <v>-130</v>
      </c>
      <c r="BD276" s="253" t="n">
        <v>-129</v>
      </c>
      <c r="BE276" s="253" t="n">
        <v>-128</v>
      </c>
      <c r="BF276" s="253" t="n">
        <v>-128</v>
      </c>
      <c r="BG276" s="253" t="n">
        <v>-515</v>
      </c>
      <c r="BH276" s="253" t="n">
        <v>-141</v>
      </c>
      <c r="BI276" s="253" t="n">
        <v>-142</v>
      </c>
      <c r="BJ276" s="253" t="n">
        <v>-141</v>
      </c>
      <c r="BK276" s="253" t="n">
        <v>-140</v>
      </c>
      <c r="BL276" s="253" t="n">
        <v>-564</v>
      </c>
      <c r="BM276" s="253" t="n">
        <v>-155</v>
      </c>
      <c r="BN276" s="253" t="n">
        <v>-154</v>
      </c>
      <c r="BO276" s="253" t="n">
        <v>-156</v>
      </c>
      <c r="BP276" s="253" t="n">
        <v>-155</v>
      </c>
      <c r="BQ276" s="253" t="n">
        <v>-620</v>
      </c>
      <c r="BR276" s="253" t="n">
        <v>-195</v>
      </c>
      <c r="BS276" s="253" t="n">
        <v>-171</v>
      </c>
      <c r="BT276" s="253" t="n">
        <v>-168</v>
      </c>
      <c r="BU276" s="253" t="n">
        <v>-167</v>
      </c>
      <c r="BV276" s="253" t="n">
        <v>-701</v>
      </c>
      <c r="BW276" s="253" t="n">
        <v>-185</v>
      </c>
      <c r="BX276" s="253" t="n">
        <v>-180</v>
      </c>
      <c r="BY276" s="35" t="n"/>
      <c r="BZ276" s="35" t="n"/>
      <c r="CA276" s="254">
        <f>SUM(BW276:BX276)-SUM(BY194:BZ194)*$CA$305</f>
        <v>-721.792</v>
      </c>
      <c r="CB276" s="254">
        <f>-CB194*CB305</f>
        <v>-772.38415787234</v>
      </c>
      <c r="CC276" s="254">
        <f>-CC194*CC305</f>
        <v>-815.112477070732</v>
      </c>
      <c r="CD276" s="254">
        <f>-CD194*CD305</f>
        <v>-862.665227723927</v>
      </c>
      <c r="CE276" s="254">
        <f>-CE194*CE305</f>
        <v>-912.251429835966</v>
      </c>
      <c r="CF276" s="19" t="inlineStr">
        <is>
          <t>Forecast = DPS × beginning shares (no circularity with plug-driven buybacks).</t>
        </is>
      </c>
    </row>
    <row r="277" ht="15" customHeight="1" s="251">
      <c r="B277" s="25" t="inlineStr">
        <is>
          <t>Stock-based compensation plans, net (proceeds − shares withheld for taxes)</t>
        </is>
      </c>
      <c r="C277" s="253" t="n">
        <v>105.3</v>
      </c>
      <c r="D277" s="253" t="n">
        <v>65.90000000000001</v>
      </c>
      <c r="E277" s="253" t="n">
        <v>23.5</v>
      </c>
      <c r="F277" s="253" t="n">
        <v>19.8</v>
      </c>
      <c r="G277" s="253" t="n">
        <v>34.7</v>
      </c>
      <c r="H277" s="253" t="n">
        <v>46.4</v>
      </c>
      <c r="I277" s="253" t="n">
        <v>116.7</v>
      </c>
      <c r="J277" s="253" t="n">
        <v>1.7</v>
      </c>
      <c r="K277" s="253" t="n">
        <v>59.1</v>
      </c>
      <c r="L277" s="253" t="n">
        <v>35.8</v>
      </c>
      <c r="M277" s="253" t="n">
        <v>39.4</v>
      </c>
      <c r="N277" s="253" t="n">
        <v>136</v>
      </c>
      <c r="O277" s="253" t="n">
        <v>6</v>
      </c>
      <c r="P277" s="253" t="n">
        <v>34.2</v>
      </c>
      <c r="Q277" s="253" t="n">
        <v>43.1</v>
      </c>
      <c r="R277" s="253" t="n">
        <v>14.7</v>
      </c>
      <c r="S277" s="253" t="n">
        <v>98</v>
      </c>
      <c r="T277" s="253" t="n">
        <v>-23.9</v>
      </c>
      <c r="U277" s="253" t="n">
        <v>19.8</v>
      </c>
      <c r="V277" s="253" t="n">
        <v>16.9</v>
      </c>
      <c r="W277" s="253" t="n">
        <v>16.9</v>
      </c>
      <c r="X277" s="253" t="n">
        <v>29.7</v>
      </c>
      <c r="Y277" s="253" t="n">
        <v>-18.4</v>
      </c>
      <c r="Z277" s="253" t="n">
        <v>12.1</v>
      </c>
      <c r="AA277" s="253" t="n">
        <v>34.8</v>
      </c>
      <c r="AB277" s="253" t="n">
        <v>4.9</v>
      </c>
      <c r="AC277" s="253" t="n">
        <v>33.4</v>
      </c>
      <c r="AD277" s="253" t="n">
        <v>-25.4</v>
      </c>
      <c r="AE277" s="253" t="n">
        <v>16.6</v>
      </c>
      <c r="AF277" s="253" t="n">
        <v>9.800000000000001</v>
      </c>
      <c r="AG277" s="253" t="n">
        <v>5.8</v>
      </c>
      <c r="AH277" s="253" t="n">
        <v>6.8</v>
      </c>
      <c r="AI277" s="253" t="n">
        <v>-13.5</v>
      </c>
      <c r="AJ277" s="253" t="n">
        <v>-11.1</v>
      </c>
      <c r="AK277" s="253" t="n">
        <v>5.5</v>
      </c>
      <c r="AL277" s="253" t="n">
        <v>3.8</v>
      </c>
      <c r="AM277" s="253" t="n">
        <v>-15.3</v>
      </c>
      <c r="AN277" s="253" t="n">
        <v>-36.4</v>
      </c>
      <c r="AO277" s="253" t="n">
        <v>-9.699999999999999</v>
      </c>
      <c r="AP277" s="253" t="n">
        <v>6.6</v>
      </c>
      <c r="AQ277" s="253" t="n">
        <v>7.5</v>
      </c>
      <c r="AR277" s="253" t="n">
        <v>-32</v>
      </c>
      <c r="AS277" s="253" t="n">
        <v>-55</v>
      </c>
      <c r="AT277" s="253" t="n">
        <v>-16</v>
      </c>
      <c r="AU277" s="253" t="n">
        <v>11</v>
      </c>
      <c r="AV277" s="253" t="n">
        <v>7</v>
      </c>
      <c r="AW277" s="253" t="n">
        <v>-53</v>
      </c>
      <c r="AX277" s="253" t="n">
        <v>-42</v>
      </c>
      <c r="AY277" s="253" t="n">
        <v>-14</v>
      </c>
      <c r="AZ277" s="253" t="n">
        <v>4</v>
      </c>
      <c r="BA277" s="253" t="n">
        <v>7</v>
      </c>
      <c r="BB277" s="253" t="n">
        <v>-45</v>
      </c>
      <c r="BC277" s="253" t="n">
        <v>-50</v>
      </c>
      <c r="BD277" s="253" t="n">
        <v>-17</v>
      </c>
      <c r="BE277" s="253" t="n">
        <v>3</v>
      </c>
      <c r="BF277" s="253" t="n">
        <v>3</v>
      </c>
      <c r="BG277" s="253" t="n">
        <v>-61</v>
      </c>
      <c r="BH277" s="253" t="n">
        <v>-34</v>
      </c>
      <c r="BI277" s="253" t="n">
        <v>1</v>
      </c>
      <c r="BJ277" s="253" t="n">
        <v>6</v>
      </c>
      <c r="BK277" s="253" t="n">
        <v>6</v>
      </c>
      <c r="BL277" s="253" t="n">
        <v>-21</v>
      </c>
      <c r="BM277" s="253" t="n">
        <v>-33</v>
      </c>
      <c r="BN277" s="253" t="n">
        <v>-4</v>
      </c>
      <c r="BO277" s="253" t="n">
        <v>12</v>
      </c>
      <c r="BP277" s="253" t="n">
        <v>7</v>
      </c>
      <c r="BQ277" s="253" t="n">
        <v>-18</v>
      </c>
      <c r="BR277" s="253" t="n">
        <v>-30</v>
      </c>
      <c r="BS277" s="253" t="n">
        <v>-26</v>
      </c>
      <c r="BT277" s="253" t="n">
        <v>8</v>
      </c>
      <c r="BU277" s="253" t="n">
        <v>-2</v>
      </c>
      <c r="BV277" s="253" t="n">
        <v>-50</v>
      </c>
      <c r="BW277" s="253" t="n">
        <v>-63</v>
      </c>
      <c r="BX277" s="253" t="n">
        <v>-33</v>
      </c>
      <c r="BY277" s="35" t="n"/>
      <c r="BZ277" s="35" t="n"/>
      <c r="CA277" s="254">
        <f>SUM(BW277:BX277)+-20.0</f>
        <v>-116</v>
      </c>
      <c r="CB277" s="279" t="n">
        <v>-80</v>
      </c>
      <c r="CC277" s="279" t="n">
        <v>-80</v>
      </c>
      <c r="CD277" s="279" t="n">
        <v>-80</v>
      </c>
      <c r="CE277" s="279" t="n">
        <v>-80</v>
      </c>
      <c r="CF277" s="19" t="n"/>
    </row>
    <row r="278" ht="15" customHeight="1" s="251">
      <c r="B278" s="25" t="inlineStr">
        <is>
          <t>Net debt issuance / (repayment) (notes, term loans, commercial paper)</t>
        </is>
      </c>
      <c r="C278" s="253" t="n">
        <v>0</v>
      </c>
      <c r="D278" s="253" t="n">
        <v>847.4</v>
      </c>
      <c r="E278" s="253" t="n">
        <v>316.3</v>
      </c>
      <c r="F278" s="253" t="n">
        <v>-274</v>
      </c>
      <c r="G278" s="253" t="n">
        <v>49.5</v>
      </c>
      <c r="H278" s="253" t="n">
        <v>-11.3</v>
      </c>
      <c r="I278" s="253" t="n">
        <v>424.8</v>
      </c>
      <c r="J278" s="253" t="n">
        <v>-31.9</v>
      </c>
      <c r="K278" s="253" t="n">
        <v>-31.9</v>
      </c>
      <c r="L278" s="253" t="n">
        <v>497.2</v>
      </c>
      <c r="M278" s="253" t="n">
        <v>0</v>
      </c>
      <c r="N278" s="253" t="n">
        <v>433.4</v>
      </c>
      <c r="O278" s="253" t="n">
        <v>0</v>
      </c>
      <c r="P278" s="253" t="n">
        <v>0</v>
      </c>
      <c r="Q278" s="253" t="n">
        <v>447.7</v>
      </c>
      <c r="R278" s="253" t="n">
        <v>0</v>
      </c>
      <c r="S278" s="253" t="n">
        <v>447.7</v>
      </c>
      <c r="T278" s="253" t="n">
        <v>552.8</v>
      </c>
      <c r="U278" s="253" t="n">
        <v>0</v>
      </c>
      <c r="V278" s="253" t="n">
        <v>0</v>
      </c>
      <c r="W278" s="253" t="n">
        <v>300</v>
      </c>
      <c r="X278" s="253" t="n">
        <v>852.8</v>
      </c>
      <c r="Y278" s="253" t="n">
        <v>0</v>
      </c>
      <c r="Z278" s="253" t="n">
        <v>0</v>
      </c>
      <c r="AA278" s="253" t="n">
        <v>0</v>
      </c>
      <c r="AB278" s="253" t="n">
        <v>0</v>
      </c>
      <c r="AC278" s="253" t="n">
        <v>0</v>
      </c>
      <c r="AD278" s="253" t="n">
        <v>711.8</v>
      </c>
      <c r="AE278" s="253" t="n">
        <v>780.1</v>
      </c>
      <c r="AF278" s="253" t="n">
        <v>814.3</v>
      </c>
      <c r="AG278" s="253" t="n">
        <v>-184.4</v>
      </c>
      <c r="AH278" s="253" t="n">
        <v>2121.8</v>
      </c>
      <c r="AI278" s="253" t="n">
        <v>-40</v>
      </c>
      <c r="AJ278" s="253" t="n">
        <v>-150.4</v>
      </c>
      <c r="AK278" s="253" t="n">
        <v>-364.8</v>
      </c>
      <c r="AL278" s="253" t="n">
        <v>713.8</v>
      </c>
      <c r="AM278" s="253" t="n">
        <v>158.6</v>
      </c>
      <c r="AN278" s="253" t="n">
        <v>-132.2</v>
      </c>
      <c r="AO278" s="253" t="n">
        <v>-190.4</v>
      </c>
      <c r="AP278" s="253" t="n">
        <v>-130.2</v>
      </c>
      <c r="AQ278" s="253" t="n">
        <v>323.8</v>
      </c>
      <c r="AR278" s="253" t="n">
        <v>-129</v>
      </c>
      <c r="AS278" s="253" t="n">
        <v>1184</v>
      </c>
      <c r="AT278" s="253" t="n">
        <v>-492</v>
      </c>
      <c r="AU278" s="253" t="n">
        <v>-4</v>
      </c>
      <c r="AV278" s="253" t="n">
        <v>0</v>
      </c>
      <c r="AW278" s="253" t="n">
        <v>688</v>
      </c>
      <c r="AX278" s="253" t="n">
        <v>0</v>
      </c>
      <c r="AY278" s="253" t="n">
        <v>0</v>
      </c>
      <c r="AZ278" s="253" t="n">
        <v>1178</v>
      </c>
      <c r="BA278" s="253" t="n">
        <v>-6</v>
      </c>
      <c r="BB278" s="253" t="n">
        <v>1172</v>
      </c>
      <c r="BC278" s="253" t="n">
        <v>491</v>
      </c>
      <c r="BD278" s="253" t="n">
        <v>0</v>
      </c>
      <c r="BE278" s="253" t="n">
        <v>-3</v>
      </c>
      <c r="BF278" s="253" t="n">
        <v>-126</v>
      </c>
      <c r="BG278" s="253" t="n">
        <v>362</v>
      </c>
      <c r="BH278" s="253" t="n">
        <v>0</v>
      </c>
      <c r="BI278" s="253" t="n">
        <v>-200</v>
      </c>
      <c r="BJ278" s="253" t="n">
        <v>-300</v>
      </c>
      <c r="BK278" s="253" t="n">
        <v>0</v>
      </c>
      <c r="BL278" s="253" t="n">
        <v>-500</v>
      </c>
      <c r="BM278" s="253" t="n">
        <v>0</v>
      </c>
      <c r="BN278" s="253" t="n">
        <v>0</v>
      </c>
      <c r="BO278" s="253" t="n">
        <v>496</v>
      </c>
      <c r="BP278" s="253" t="n">
        <v>0</v>
      </c>
      <c r="BQ278" s="253" t="n">
        <v>496</v>
      </c>
      <c r="BR278" s="253" t="n">
        <v>-700</v>
      </c>
      <c r="BS278" s="253" t="n">
        <v>0</v>
      </c>
      <c r="BT278" s="253" t="n">
        <v>0</v>
      </c>
      <c r="BU278" s="253" t="n">
        <v>0</v>
      </c>
      <c r="BV278" s="253" t="n">
        <v>-700</v>
      </c>
      <c r="BW278" s="253" t="n">
        <v>0</v>
      </c>
      <c r="BX278" s="253" t="n">
        <v>0</v>
      </c>
      <c r="BY278" s="35" t="n"/>
      <c r="BZ278" s="35" t="n"/>
      <c r="CA278" s="254">
        <f>CA368-BX368+SUM(BW278:BX278)</f>
        <v>0</v>
      </c>
      <c r="CB278" s="254">
        <f>CB377</f>
        <v>500</v>
      </c>
      <c r="CC278" s="254">
        <f>CC377</f>
        <v>500</v>
      </c>
      <c r="CD278" s="254">
        <f>CD377</f>
        <v>500</v>
      </c>
      <c r="CE278" s="254">
        <f>CE377</f>
        <v>500</v>
      </c>
      <c r="CF278" s="19" t="inlineStr">
        <is>
          <t>History: issuance − repayment of notes / loans ± net commercial paper. Forecast per the debt schedule: notes repaid at maturity and refinanced (input); commercial paper to the minimum cash balance.</t>
        </is>
      </c>
    </row>
    <row r="279" ht="15" customHeight="1" s="251">
      <c r="B279" s="25" t="inlineStr">
        <is>
          <t>Other financing, net (NCI dividends, debt costs, other; derived)</t>
        </is>
      </c>
      <c r="C279" s="253" t="n">
        <v>102.6</v>
      </c>
      <c r="D279" s="253" t="n">
        <v>48.8</v>
      </c>
      <c r="E279" s="253" t="n">
        <v>5.1</v>
      </c>
      <c r="F279" s="253" t="n">
        <v>-0.1</v>
      </c>
      <c r="G279" s="253" t="n">
        <v>-3.3</v>
      </c>
      <c r="H279" s="253" t="n">
        <v>2</v>
      </c>
      <c r="I279" s="253" t="n">
        <v>0.6</v>
      </c>
      <c r="J279" s="253" t="n">
        <v>10</v>
      </c>
      <c r="K279" s="253" t="n">
        <v>6.3</v>
      </c>
      <c r="L279" s="253" t="n">
        <v>1.8</v>
      </c>
      <c r="M279" s="253" t="n">
        <v>4.1</v>
      </c>
      <c r="N279" s="253" t="n">
        <v>22.2</v>
      </c>
      <c r="O279" s="253" t="n">
        <v>33.4</v>
      </c>
      <c r="P279" s="253" t="n">
        <v>4.1</v>
      </c>
      <c r="Q279" s="253" t="n">
        <v>-3.5</v>
      </c>
      <c r="R279" s="253" t="n">
        <v>-187.7</v>
      </c>
      <c r="S279" s="253" t="n">
        <v>-153.7</v>
      </c>
      <c r="T279" s="253" t="n">
        <v>29.5</v>
      </c>
      <c r="U279" s="253" t="n">
        <v>2.1</v>
      </c>
      <c r="V279" s="253" t="n">
        <v>0.9</v>
      </c>
      <c r="W279" s="253" t="n">
        <v>-5.8</v>
      </c>
      <c r="X279" s="253" t="n">
        <v>26.7</v>
      </c>
      <c r="Y279" s="253" t="n">
        <v>13.4</v>
      </c>
      <c r="Z279" s="253" t="n">
        <v>-0.4</v>
      </c>
      <c r="AA279" s="253" t="n">
        <v>-30.7</v>
      </c>
      <c r="AB279" s="253" t="n">
        <v>-1.6</v>
      </c>
      <c r="AC279" s="253" t="n">
        <v>-19.3</v>
      </c>
      <c r="AD279" s="253" t="n">
        <v>-5.1</v>
      </c>
      <c r="AE279" s="253" t="n">
        <v>-20.7</v>
      </c>
      <c r="AF279" s="253" t="n">
        <v>-3.3</v>
      </c>
      <c r="AG279" s="253" t="n">
        <v>-2.2</v>
      </c>
      <c r="AH279" s="253" t="n">
        <v>-31.3</v>
      </c>
      <c r="AI279" s="253" t="n">
        <v>-1.3</v>
      </c>
      <c r="AJ279" s="253" t="n">
        <v>-1.7</v>
      </c>
      <c r="AK279" s="253" t="n">
        <v>-2.8</v>
      </c>
      <c r="AL279" s="253" t="n">
        <v>-9.199999999999999</v>
      </c>
      <c r="AM279" s="253" t="n">
        <v>-15</v>
      </c>
      <c r="AN279" s="253" t="n">
        <v>-137.6</v>
      </c>
      <c r="AO279" s="253" t="n">
        <v>124.5</v>
      </c>
      <c r="AP279" s="253" t="n">
        <v>0</v>
      </c>
      <c r="AQ279" s="253" t="n">
        <v>-19.9</v>
      </c>
      <c r="AR279" s="253" t="n">
        <v>-33</v>
      </c>
      <c r="AS279" s="253" t="n">
        <v>-6</v>
      </c>
      <c r="AT279" s="253" t="n">
        <v>-29</v>
      </c>
      <c r="AU279" s="253" t="n">
        <v>-22</v>
      </c>
      <c r="AV279" s="253" t="n">
        <v>-6</v>
      </c>
      <c r="AW279" s="253" t="n">
        <v>-63</v>
      </c>
      <c r="AX279" s="253" t="n">
        <v>0</v>
      </c>
      <c r="AY279" s="253" t="n">
        <v>-1</v>
      </c>
      <c r="AZ279" s="253" t="n">
        <v>-15</v>
      </c>
      <c r="BA279" s="253" t="n">
        <v>-20</v>
      </c>
      <c r="BB279" s="253" t="n">
        <v>-36</v>
      </c>
      <c r="BC279" s="253" t="n">
        <v>-103</v>
      </c>
      <c r="BD279" s="253" t="n">
        <v>97</v>
      </c>
      <c r="BE279" s="253" t="n">
        <v>-5</v>
      </c>
      <c r="BF279" s="253" t="n">
        <v>0</v>
      </c>
      <c r="BG279" s="253" t="n">
        <v>-11</v>
      </c>
      <c r="BH279" s="253" t="n">
        <v>0</v>
      </c>
      <c r="BI279" s="253" t="n">
        <v>0</v>
      </c>
      <c r="BJ279" s="253" t="n">
        <v>-2</v>
      </c>
      <c r="BK279" s="253" t="n">
        <v>-7</v>
      </c>
      <c r="BL279" s="253" t="n">
        <v>-9</v>
      </c>
      <c r="BM279" s="253" t="n">
        <v>0</v>
      </c>
      <c r="BN279" s="253" t="n">
        <v>-1</v>
      </c>
      <c r="BO279" s="253" t="n">
        <v>-5</v>
      </c>
      <c r="BP279" s="253" t="n">
        <v>-6</v>
      </c>
      <c r="BQ279" s="253" t="n">
        <v>-12</v>
      </c>
      <c r="BR279" s="253" t="n">
        <v>0</v>
      </c>
      <c r="BS279" s="253" t="n">
        <v>-1</v>
      </c>
      <c r="BT279" s="253" t="n">
        <v>-1</v>
      </c>
      <c r="BU279" s="253" t="n">
        <v>-3</v>
      </c>
      <c r="BV279" s="253" t="n">
        <v>-5</v>
      </c>
      <c r="BW279" s="253" t="n">
        <v>0</v>
      </c>
      <c r="BX279" s="253" t="n">
        <v>-3</v>
      </c>
      <c r="BY279" s="35" t="n"/>
      <c r="BZ279" s="35" t="n"/>
      <c r="CA279" s="254">
        <f>SUM(BW279:BX279)</f>
        <v>-3</v>
      </c>
      <c r="CB279" s="279" t="n">
        <v>0</v>
      </c>
      <c r="CC279" s="279" t="n">
        <v>0</v>
      </c>
      <c r="CD279" s="279" t="n">
        <v>0</v>
      </c>
      <c r="CE279" s="279" t="n">
        <v>0</v>
      </c>
      <c r="CF279" s="19" t="n"/>
    </row>
    <row r="280" ht="15" customHeight="1" s="251">
      <c r="B280" s="16" t="inlineStr">
        <is>
          <t>Net cash provided by (used in) financing activities</t>
        </is>
      </c>
      <c r="C280" s="265" t="n">
        <v>-965.2</v>
      </c>
      <c r="D280" s="265" t="n">
        <v>-861.5</v>
      </c>
      <c r="E280" s="265" t="n">
        <v>-344.8</v>
      </c>
      <c r="F280" s="265" t="n">
        <v>-348.8</v>
      </c>
      <c r="G280" s="265" t="n">
        <v>-241.3</v>
      </c>
      <c r="H280" s="265" t="n">
        <v>-417.7</v>
      </c>
      <c r="I280" s="265" t="n">
        <v>202.6</v>
      </c>
      <c r="J280" s="265" t="n">
        <v>-156</v>
      </c>
      <c r="K280" s="265" t="n">
        <v>-270.2</v>
      </c>
      <c r="L280" s="265" t="n">
        <v>83</v>
      </c>
      <c r="M280" s="265" t="n">
        <v>-155.6</v>
      </c>
      <c r="N280" s="265" t="n">
        <v>-498.8</v>
      </c>
      <c r="O280" s="265" t="n">
        <v>-222.1</v>
      </c>
      <c r="P280" s="265" t="n">
        <v>-279.1</v>
      </c>
      <c r="Q280" s="265" t="n">
        <v>107.8</v>
      </c>
      <c r="R280" s="265" t="n">
        <v>-671.1</v>
      </c>
      <c r="S280" s="265" t="n">
        <v>-1064.5</v>
      </c>
      <c r="T280" s="265" t="n">
        <v>123.9</v>
      </c>
      <c r="U280" s="265" t="n">
        <v>-281.5</v>
      </c>
      <c r="V280" s="265" t="n">
        <v>-354.9</v>
      </c>
      <c r="W280" s="265" t="n">
        <v>51.5</v>
      </c>
      <c r="X280" s="265" t="n">
        <v>-461</v>
      </c>
      <c r="Y280" s="265" t="n">
        <v>-339.2</v>
      </c>
      <c r="Z280" s="265" t="n">
        <v>-283.6</v>
      </c>
      <c r="AA280" s="265" t="n">
        <v>-259.8</v>
      </c>
      <c r="AB280" s="265" t="n">
        <v>-127.2</v>
      </c>
      <c r="AC280" s="265" t="n">
        <v>-1009.8</v>
      </c>
      <c r="AD280" s="265" t="n">
        <v>553.7</v>
      </c>
      <c r="AE280" s="265" t="n">
        <v>623.9</v>
      </c>
      <c r="AF280" s="265" t="n">
        <v>719.1</v>
      </c>
      <c r="AG280" s="265" t="n">
        <v>-289.5</v>
      </c>
      <c r="AH280" s="265" t="n">
        <v>1607.2</v>
      </c>
      <c r="AI280" s="265" t="n">
        <v>-182.3</v>
      </c>
      <c r="AJ280" s="265" t="n">
        <v>-285.3</v>
      </c>
      <c r="AK280" s="265" t="n">
        <v>-512.6</v>
      </c>
      <c r="AL280" s="265" t="n">
        <v>568.7</v>
      </c>
      <c r="AM280" s="265" t="n">
        <v>-411.5</v>
      </c>
      <c r="AN280" s="265" t="n">
        <v>-848.8</v>
      </c>
      <c r="AO280" s="265" t="n">
        <v>-337.2</v>
      </c>
      <c r="AP280" s="265" t="n">
        <v>-331</v>
      </c>
      <c r="AQ280" s="265" t="n">
        <v>-46</v>
      </c>
      <c r="AR280" s="265" t="n">
        <v>-1563</v>
      </c>
      <c r="AS280" s="265" t="n">
        <v>765</v>
      </c>
      <c r="AT280" s="265" t="n">
        <v>-642</v>
      </c>
      <c r="AU280" s="265" t="n">
        <v>-120</v>
      </c>
      <c r="AV280" s="265" t="n">
        <v>-354</v>
      </c>
      <c r="AW280" s="265" t="n">
        <v>-351</v>
      </c>
      <c r="AX280" s="265" t="n">
        <v>-290</v>
      </c>
      <c r="AY280" s="265" t="n">
        <v>-502</v>
      </c>
      <c r="AZ280" s="265" t="n">
        <v>927</v>
      </c>
      <c r="BA280" s="265" t="n">
        <v>-257</v>
      </c>
      <c r="BB280" s="265" t="n">
        <v>-122</v>
      </c>
      <c r="BC280" s="265" t="n">
        <v>-352</v>
      </c>
      <c r="BD280" s="265" t="n">
        <v>-360</v>
      </c>
      <c r="BE280" s="265" t="n">
        <v>-245</v>
      </c>
      <c r="BF280" s="265" t="n">
        <v>-251</v>
      </c>
      <c r="BG280" s="265" t="n">
        <v>-1208</v>
      </c>
      <c r="BH280" s="265" t="n">
        <v>-216</v>
      </c>
      <c r="BI280" s="265" t="n">
        <v>-408</v>
      </c>
      <c r="BJ280" s="265" t="n">
        <v>-607</v>
      </c>
      <c r="BK280" s="265" t="n">
        <v>-353</v>
      </c>
      <c r="BL280" s="265" t="n">
        <v>-1584</v>
      </c>
      <c r="BM280" s="265" t="n">
        <v>-308</v>
      </c>
      <c r="BN280" s="265" t="n">
        <v>-423</v>
      </c>
      <c r="BO280" s="265" t="n">
        <v>-81</v>
      </c>
      <c r="BP280" s="265" t="n">
        <v>-634</v>
      </c>
      <c r="BQ280" s="265" t="n">
        <v>-1446</v>
      </c>
      <c r="BR280" s="265" t="n">
        <v>-1298</v>
      </c>
      <c r="BS280" s="265" t="n">
        <v>-482</v>
      </c>
      <c r="BT280" s="265" t="n">
        <v>-674</v>
      </c>
      <c r="BU280" s="265" t="n">
        <v>-609</v>
      </c>
      <c r="BV280" s="265" t="n">
        <v>-3063</v>
      </c>
      <c r="BW280" s="265" t="n">
        <v>-1719</v>
      </c>
      <c r="BX280" s="265" t="n">
        <v>-910</v>
      </c>
      <c r="BY280" s="32" t="n"/>
      <c r="BZ280" s="32" t="n"/>
      <c r="CA280" s="263">
        <f>SUM(CA275:CA279)</f>
        <v>-3690.792</v>
      </c>
      <c r="CB280" s="263">
        <f>SUM(CB275:CB279)</f>
        <v>-3434.63176122056</v>
      </c>
      <c r="CC280" s="263">
        <f>SUM(CC275:CC279)</f>
        <v>-3375.66435811592</v>
      </c>
      <c r="CD280" s="263">
        <f>SUM(CD275:CD279)</f>
        <v>-3653.88673266712</v>
      </c>
      <c r="CE280" s="263">
        <f>SUM(CE275:CE279)</f>
        <v>-3909.57875408236</v>
      </c>
      <c r="CF280" s="153" t="n"/>
    </row>
    <row r="281" ht="15" customHeight="1" s="251">
      <c r="B281" s="25" t="inlineStr">
        <is>
          <t>Effect of exchange rate changes on cash (and other cash movements, e.g. 2019 held-for-sale reclassification)</t>
        </is>
      </c>
      <c r="C281" s="253" t="n">
        <v>18.7</v>
      </c>
      <c r="D281" s="253" t="n">
        <v>20.4</v>
      </c>
      <c r="E281" s="253" t="n">
        <v>-51</v>
      </c>
      <c r="F281" s="253" t="n">
        <v>26.8</v>
      </c>
      <c r="G281" s="253" t="n">
        <v>2.5</v>
      </c>
      <c r="H281" s="253" t="n">
        <v>-17.6</v>
      </c>
      <c r="I281" s="253" t="n">
        <v>19.9</v>
      </c>
      <c r="J281" s="253" t="n">
        <v>-41.2</v>
      </c>
      <c r="K281" s="253" t="n">
        <v>-5.1</v>
      </c>
      <c r="L281" s="253" t="n">
        <v>38.5</v>
      </c>
      <c r="M281" s="253" t="n">
        <v>5.8</v>
      </c>
      <c r="N281" s="253" t="n">
        <v>-2</v>
      </c>
      <c r="O281" s="253" t="n">
        <v>-0.2</v>
      </c>
      <c r="P281" s="253" t="n">
        <v>14.6</v>
      </c>
      <c r="Q281" s="253" t="n">
        <v>-64.90000000000001</v>
      </c>
      <c r="R281" s="253" t="n">
        <v>-38.7</v>
      </c>
      <c r="S281" s="253" t="n">
        <v>-89.2</v>
      </c>
      <c r="T281" s="253" t="n">
        <v>-46</v>
      </c>
      <c r="U281" s="253" t="n">
        <v>20.1</v>
      </c>
      <c r="V281" s="253" t="n">
        <v>-22</v>
      </c>
      <c r="W281" s="253" t="n">
        <v>-14.8</v>
      </c>
      <c r="X281" s="253" t="n">
        <v>-62.7</v>
      </c>
      <c r="Y281" s="253" t="n">
        <v>29</v>
      </c>
      <c r="Z281" s="253" t="n">
        <v>-10.8</v>
      </c>
      <c r="AA281" s="253" t="n">
        <v>-1.1</v>
      </c>
      <c r="AB281" s="253" t="n">
        <v>-41.3</v>
      </c>
      <c r="AC281" s="253" t="n">
        <v>-24.2</v>
      </c>
      <c r="AD281" s="253" t="n">
        <v>18.2</v>
      </c>
      <c r="AE281" s="253" t="n">
        <v>41.4</v>
      </c>
      <c r="AF281" s="253" t="n">
        <v>19.7</v>
      </c>
      <c r="AG281" s="253" t="n">
        <v>6</v>
      </c>
      <c r="AH281" s="253" t="n">
        <v>85.3</v>
      </c>
      <c r="AI281" s="253" t="n">
        <v>15.1</v>
      </c>
      <c r="AJ281" s="253" t="n">
        <v>-36.5</v>
      </c>
      <c r="AK281" s="253" t="n">
        <v>-5.9</v>
      </c>
      <c r="AL281" s="253" t="n">
        <v>-2.4</v>
      </c>
      <c r="AM281" s="253" t="n">
        <v>-29.7</v>
      </c>
      <c r="AN281" s="253" t="n">
        <v>0.5</v>
      </c>
      <c r="AO281" s="253" t="n">
        <v>-5.3</v>
      </c>
      <c r="AP281" s="253" t="n">
        <v>-31.2</v>
      </c>
      <c r="AQ281" s="253" t="n">
        <v>35</v>
      </c>
      <c r="AR281" s="253" t="n">
        <v>-1</v>
      </c>
      <c r="AS281" s="253" t="n">
        <v>-29</v>
      </c>
      <c r="AT281" s="253" t="n">
        <v>19</v>
      </c>
      <c r="AU281" s="253" t="n">
        <v>32</v>
      </c>
      <c r="AV281" s="253" t="n">
        <v>25</v>
      </c>
      <c r="AW281" s="253" t="n">
        <v>47</v>
      </c>
      <c r="AX281" s="253" t="n">
        <v>-20</v>
      </c>
      <c r="AY281" s="253" t="n">
        <v>5</v>
      </c>
      <c r="AZ281" s="253" t="n">
        <v>-23</v>
      </c>
      <c r="BA281" s="253" t="n">
        <v>-12</v>
      </c>
      <c r="BB281" s="253" t="n">
        <v>-50</v>
      </c>
      <c r="BC281" s="253" t="n">
        <v>-18</v>
      </c>
      <c r="BD281" s="253" t="n">
        <v>-53</v>
      </c>
      <c r="BE281" s="253" t="n">
        <v>-52</v>
      </c>
      <c r="BF281" s="253" t="n">
        <v>77</v>
      </c>
      <c r="BG281" s="253" t="n">
        <v>-46</v>
      </c>
      <c r="BH281" s="253" t="n">
        <v>21</v>
      </c>
      <c r="BI281" s="253" t="n">
        <v>3</v>
      </c>
      <c r="BJ281" s="253" t="n">
        <v>-37</v>
      </c>
      <c r="BK281" s="253" t="n">
        <v>54</v>
      </c>
      <c r="BL281" s="253" t="n">
        <v>41</v>
      </c>
      <c r="BM281" s="253" t="n">
        <v>-25</v>
      </c>
      <c r="BN281" s="253" t="n">
        <v>-9</v>
      </c>
      <c r="BO281" s="253" t="n">
        <v>69</v>
      </c>
      <c r="BP281" s="253" t="n">
        <v>-93</v>
      </c>
      <c r="BQ281" s="253" t="n">
        <v>-58</v>
      </c>
      <c r="BR281" s="253" t="n">
        <v>48</v>
      </c>
      <c r="BS281" s="253" t="n">
        <v>100</v>
      </c>
      <c r="BT281" s="253" t="n">
        <v>-8</v>
      </c>
      <c r="BU281" s="253" t="n">
        <v>-4</v>
      </c>
      <c r="BV281" s="253" t="n">
        <v>136</v>
      </c>
      <c r="BW281" s="253" t="n">
        <v>-44</v>
      </c>
      <c r="BX281" s="253" t="n">
        <v>17</v>
      </c>
      <c r="BY281" s="35" t="n"/>
      <c r="BZ281" s="35" t="n"/>
      <c r="CA281" s="254">
        <f>SUM(BW281:BX281)</f>
        <v>-27</v>
      </c>
      <c r="CB281" s="279" t="n">
        <v>0</v>
      </c>
      <c r="CC281" s="279" t="n">
        <v>0</v>
      </c>
      <c r="CD281" s="279" t="n">
        <v>0</v>
      </c>
      <c r="CE281" s="279" t="n">
        <v>0</v>
      </c>
      <c r="CF281" s="19" t="n"/>
    </row>
    <row r="282" ht="15" customHeight="1" s="251">
      <c r="B282" s="25" t="inlineStr">
        <is>
          <t>Net change in cash and cash equivalents</t>
        </is>
      </c>
      <c r="C282" s="253" t="n">
        <v>-77.90000000000001</v>
      </c>
      <c r="D282" s="253" t="n">
        <v>18.2</v>
      </c>
      <c r="E282" s="253" t="n">
        <v>-180.4</v>
      </c>
      <c r="F282" s="253" t="n">
        <v>228</v>
      </c>
      <c r="G282" s="253" t="n">
        <v>185.7</v>
      </c>
      <c r="H282" s="253" t="n">
        <v>100.4</v>
      </c>
      <c r="I282" s="253" t="n">
        <v>995.4</v>
      </c>
      <c r="J282" s="253" t="n">
        <v>2.6</v>
      </c>
      <c r="K282" s="253" t="n">
        <v>-125</v>
      </c>
      <c r="L282" s="253" t="n">
        <v>202.1</v>
      </c>
      <c r="M282" s="253" t="n">
        <v>84.40000000000001</v>
      </c>
      <c r="N282" s="253" t="n">
        <v>164.1</v>
      </c>
      <c r="O282" s="253" t="n">
        <v>-127.3</v>
      </c>
      <c r="P282" s="253" t="n">
        <v>-14.9</v>
      </c>
      <c r="Q282" s="253" t="n">
        <v>163.5</v>
      </c>
      <c r="R282" s="253" t="n">
        <v>-721.3</v>
      </c>
      <c r="S282" s="253" t="n">
        <v>-700</v>
      </c>
      <c r="T282" s="253" t="n">
        <v>290.4</v>
      </c>
      <c r="U282" s="253" t="n">
        <v>28.7</v>
      </c>
      <c r="V282" s="253" t="n">
        <v>-67.5</v>
      </c>
      <c r="W282" s="253" t="n">
        <v>286.3</v>
      </c>
      <c r="X282" s="253" t="n">
        <v>537.9</v>
      </c>
      <c r="Y282" s="253" t="n">
        <v>-181.3</v>
      </c>
      <c r="Z282" s="253" t="n">
        <v>98.2</v>
      </c>
      <c r="AA282" s="253" t="n">
        <v>71.8</v>
      </c>
      <c r="AB282" s="253" t="n">
        <v>305.4</v>
      </c>
      <c r="AC282" s="253" t="n">
        <v>294.1</v>
      </c>
      <c r="AD282" s="253" t="n">
        <v>78.09999999999999</v>
      </c>
      <c r="AE282" s="253" t="n">
        <v>1151.3</v>
      </c>
      <c r="AF282" s="253" t="n">
        <v>-2318.1</v>
      </c>
      <c r="AG282" s="253" t="n">
        <v>108.7</v>
      </c>
      <c r="AH282" s="253" t="n">
        <v>-980</v>
      </c>
      <c r="AI282" s="253" t="n">
        <v>205.8</v>
      </c>
      <c r="AJ282" s="253" t="n">
        <v>37.2</v>
      </c>
      <c r="AK282" s="253" t="n">
        <v>-279.7</v>
      </c>
      <c r="AL282" s="253" t="n">
        <v>650.2</v>
      </c>
      <c r="AM282" s="253" t="n">
        <v>613.5</v>
      </c>
      <c r="AN282" s="253" t="n">
        <v>-488.4</v>
      </c>
      <c r="AO282" s="253" t="n">
        <v>-0.7</v>
      </c>
      <c r="AP282" s="253" t="n">
        <v>-17.9</v>
      </c>
      <c r="AQ282" s="253" t="n">
        <v>654</v>
      </c>
      <c r="AR282" s="253" t="n">
        <v>147</v>
      </c>
      <c r="AS282" s="253" t="n">
        <v>309</v>
      </c>
      <c r="AT282" s="253" t="n">
        <v>-42</v>
      </c>
      <c r="AU282" s="253" t="n">
        <v>393</v>
      </c>
      <c r="AV282" s="253" t="n">
        <v>105</v>
      </c>
      <c r="AW282" s="253" t="n">
        <v>765</v>
      </c>
      <c r="AX282" s="253" t="n">
        <v>172</v>
      </c>
      <c r="AY282" s="253" t="n">
        <v>40</v>
      </c>
      <c r="AZ282" s="253" t="n">
        <v>-570</v>
      </c>
      <c r="BA282" s="253" t="n">
        <v>-428</v>
      </c>
      <c r="BB282" s="253" t="n">
        <v>-786</v>
      </c>
      <c r="BC282" s="253" t="n">
        <v>-61</v>
      </c>
      <c r="BD282" s="253" t="n">
        <v>-133</v>
      </c>
      <c r="BE282" s="253" t="n">
        <v>39</v>
      </c>
      <c r="BF282" s="253" t="n">
        <v>113</v>
      </c>
      <c r="BG282" s="253" t="n">
        <v>-42</v>
      </c>
      <c r="BH282" s="253" t="n">
        <v>350</v>
      </c>
      <c r="BI282" s="253" t="n">
        <v>159</v>
      </c>
      <c r="BJ282" s="253" t="n">
        <v>-272</v>
      </c>
      <c r="BK282" s="253" t="n">
        <v>124</v>
      </c>
      <c r="BL282" s="253" t="n">
        <v>361</v>
      </c>
      <c r="BM282" s="253" t="n">
        <v>346</v>
      </c>
      <c r="BN282" s="253" t="n">
        <v>159</v>
      </c>
      <c r="BO282" s="253" t="n">
        <v>7</v>
      </c>
      <c r="BP282" s="253" t="n">
        <v>-234</v>
      </c>
      <c r="BQ282" s="253" t="n">
        <v>278</v>
      </c>
      <c r="BR282" s="253" t="n">
        <v>-269</v>
      </c>
      <c r="BS282" s="253" t="n">
        <v>35</v>
      </c>
      <c r="BT282" s="253" t="n">
        <v>7</v>
      </c>
      <c r="BU282" s="253" t="n">
        <v>203</v>
      </c>
      <c r="BV282" s="253" t="n">
        <v>-24</v>
      </c>
      <c r="BW282" s="253" t="n">
        <v>-915</v>
      </c>
      <c r="BX282" s="253" t="n">
        <v>-2</v>
      </c>
      <c r="BY282" s="35" t="n"/>
      <c r="BZ282" s="35" t="n"/>
      <c r="CA282" s="254">
        <f>CA269+CA274+CA280+CA281</f>
        <v>-458.04921857913</v>
      </c>
      <c r="CB282" s="254">
        <f>CB269+CB274+CB280+CB281</f>
        <v>-338.582927768066</v>
      </c>
      <c r="CC282" s="254">
        <f>CC269+CC274+CC280+CC281</f>
        <v>42.1047925273197</v>
      </c>
      <c r="CD282" s="254">
        <f>CD269+CD274+CD280+CD281</f>
        <v>24.2987589890313</v>
      </c>
      <c r="CE282" s="254">
        <f>CE269+CE274+CE280+CE281</f>
        <v>21.4114863496602</v>
      </c>
      <c r="CF282" s="19" t="n"/>
    </row>
    <row r="283" ht="15" customHeight="1" s="251">
      <c r="B283" s="25" t="inlineStr">
        <is>
          <t>Cash — beginning of period</t>
        </is>
      </c>
      <c r="C283" s="253" t="n">
        <v>486</v>
      </c>
      <c r="D283" s="253" t="n">
        <v>408.1</v>
      </c>
      <c r="E283" s="253" t="n">
        <v>426.3</v>
      </c>
      <c r="F283" s="253" t="n">
        <v>245.9</v>
      </c>
      <c r="G283" s="253" t="n">
        <v>473.9</v>
      </c>
      <c r="H283" s="253" t="n">
        <v>659.6</v>
      </c>
      <c r="I283" s="253" t="n">
        <v>760</v>
      </c>
      <c r="J283" s="253" t="n">
        <v>1755.4</v>
      </c>
      <c r="K283" s="253" t="n">
        <v>1758</v>
      </c>
      <c r="L283" s="253" t="n">
        <v>1633</v>
      </c>
      <c r="M283" s="253" t="n">
        <v>1835.1</v>
      </c>
      <c r="N283" s="253" t="n">
        <v>1755.4</v>
      </c>
      <c r="O283" s="253" t="n">
        <v>1919.5</v>
      </c>
      <c r="P283" s="253" t="n">
        <v>1792.2</v>
      </c>
      <c r="Q283" s="253" t="n">
        <v>1777.3</v>
      </c>
      <c r="R283" s="253" t="n">
        <v>1940.8</v>
      </c>
      <c r="S283" s="253" t="n">
        <v>1919.5</v>
      </c>
      <c r="T283" s="253" t="n">
        <v>1219.5</v>
      </c>
      <c r="U283" s="253" t="n">
        <v>1509.9</v>
      </c>
      <c r="V283" s="253" t="n">
        <v>1538.6</v>
      </c>
      <c r="W283" s="253" t="n">
        <v>1471.1</v>
      </c>
      <c r="X283" s="253" t="n">
        <v>1219.5</v>
      </c>
      <c r="Y283" s="253" t="n">
        <v>1757.4</v>
      </c>
      <c r="Z283" s="253" t="n">
        <v>1576.1</v>
      </c>
      <c r="AA283" s="253" t="n">
        <v>1674.3</v>
      </c>
      <c r="AB283" s="253" t="n">
        <v>1746.1</v>
      </c>
      <c r="AC283" s="253" t="n">
        <v>1757.4</v>
      </c>
      <c r="AD283" s="253" t="n">
        <v>2051.5</v>
      </c>
      <c r="AE283" s="253" t="n">
        <v>2129.6</v>
      </c>
      <c r="AF283" s="253" t="n">
        <v>3280.9</v>
      </c>
      <c r="AG283" s="253" t="n">
        <v>962.8</v>
      </c>
      <c r="AH283" s="253" t="n">
        <v>2051.5</v>
      </c>
      <c r="AI283" s="253" t="n">
        <v>1071.5</v>
      </c>
      <c r="AJ283" s="253" t="n">
        <v>1277.3</v>
      </c>
      <c r="AK283" s="253" t="n">
        <v>1314.5</v>
      </c>
      <c r="AL283" s="253" t="n">
        <v>1034.8</v>
      </c>
      <c r="AM283" s="253" t="n">
        <v>1071.5</v>
      </c>
      <c r="AN283" s="253" t="n">
        <v>1685</v>
      </c>
      <c r="AO283" s="253" t="n">
        <v>1196.6</v>
      </c>
      <c r="AP283" s="253" t="n">
        <v>1195.9</v>
      </c>
      <c r="AQ283" s="253" t="n">
        <v>1178</v>
      </c>
      <c r="AR283" s="253" t="n">
        <v>1685</v>
      </c>
      <c r="AS283" s="253" t="n">
        <v>1832</v>
      </c>
      <c r="AT283" s="253" t="n">
        <v>2141</v>
      </c>
      <c r="AU283" s="253" t="n">
        <v>2099</v>
      </c>
      <c r="AV283" s="253" t="n">
        <v>2492</v>
      </c>
      <c r="AW283" s="253" t="n">
        <v>1832</v>
      </c>
      <c r="AX283" s="253" t="n">
        <v>2597</v>
      </c>
      <c r="AY283" s="253" t="n">
        <v>2769</v>
      </c>
      <c r="AZ283" s="253" t="n">
        <v>2809</v>
      </c>
      <c r="BA283" s="253" t="n">
        <v>2239</v>
      </c>
      <c r="BB283" s="253" t="n">
        <v>2597</v>
      </c>
      <c r="BC283" s="253" t="n">
        <v>1811</v>
      </c>
      <c r="BD283" s="253" t="n">
        <v>1750</v>
      </c>
      <c r="BE283" s="253" t="n">
        <v>1617</v>
      </c>
      <c r="BF283" s="253" t="n">
        <v>1656</v>
      </c>
      <c r="BG283" s="253" t="n">
        <v>1811</v>
      </c>
      <c r="BH283" s="253" t="n">
        <v>1769</v>
      </c>
      <c r="BI283" s="253" t="n">
        <v>2119</v>
      </c>
      <c r="BJ283" s="253" t="n">
        <v>2278</v>
      </c>
      <c r="BK283" s="253" t="n">
        <v>2006</v>
      </c>
      <c r="BL283" s="253" t="n">
        <v>1769</v>
      </c>
      <c r="BM283" s="253" t="n">
        <v>2130</v>
      </c>
      <c r="BN283" s="253" t="n">
        <v>2476</v>
      </c>
      <c r="BO283" s="253" t="n">
        <v>2635</v>
      </c>
      <c r="BP283" s="253" t="n">
        <v>2642</v>
      </c>
      <c r="BQ283" s="253" t="n">
        <v>2130</v>
      </c>
      <c r="BR283" s="253" t="n">
        <v>2408</v>
      </c>
      <c r="BS283" s="253" t="n">
        <v>2139</v>
      </c>
      <c r="BT283" s="253" t="n">
        <v>2174</v>
      </c>
      <c r="BU283" s="253" t="n">
        <v>2181</v>
      </c>
      <c r="BV283" s="253" t="n">
        <v>2408</v>
      </c>
      <c r="BW283" s="253" t="n">
        <v>2384</v>
      </c>
      <c r="BX283" s="253" t="n">
        <v>1469</v>
      </c>
      <c r="BY283" s="35" t="n"/>
      <c r="BZ283" s="35" t="n"/>
      <c r="CA283" s="254">
        <f>BV284</f>
        <v>2384</v>
      </c>
      <c r="CB283" s="254">
        <f>CA284</f>
        <v>1925.95078142087</v>
      </c>
      <c r="CC283" s="254">
        <f>CB284</f>
        <v>1587.3678536528</v>
      </c>
      <c r="CD283" s="254">
        <f>CC284</f>
        <v>1629.47264618012</v>
      </c>
      <c r="CE283" s="254">
        <f>CD284</f>
        <v>1653.77140516915</v>
      </c>
      <c r="CF283" s="19" t="n"/>
    </row>
    <row r="284" ht="15" customHeight="1" s="251">
      <c r="B284" s="16" t="inlineStr">
        <is>
          <t>Cash — end of period</t>
        </is>
      </c>
      <c r="C284" s="265" t="n">
        <v>408.1</v>
      </c>
      <c r="D284" s="265" t="n">
        <v>426.3</v>
      </c>
      <c r="E284" s="265" t="n">
        <v>245.9</v>
      </c>
      <c r="F284" s="265" t="n">
        <v>473.9</v>
      </c>
      <c r="G284" s="265" t="n">
        <v>659.6</v>
      </c>
      <c r="H284" s="265" t="n">
        <v>760</v>
      </c>
      <c r="I284" s="265" t="n">
        <v>1755.4</v>
      </c>
      <c r="J284" s="265" t="n">
        <v>1758</v>
      </c>
      <c r="K284" s="265" t="n">
        <v>1633</v>
      </c>
      <c r="L284" s="265" t="n">
        <v>1835.1</v>
      </c>
      <c r="M284" s="265" t="n">
        <v>1919.5</v>
      </c>
      <c r="N284" s="265" t="n">
        <v>1919.5</v>
      </c>
      <c r="O284" s="265" t="n">
        <v>1792.2</v>
      </c>
      <c r="P284" s="265" t="n">
        <v>1777.3</v>
      </c>
      <c r="Q284" s="265" t="n">
        <v>1940.8</v>
      </c>
      <c r="R284" s="265" t="n">
        <v>1219.5</v>
      </c>
      <c r="S284" s="265" t="n">
        <v>1219.5</v>
      </c>
      <c r="T284" s="265" t="n">
        <v>1509.9</v>
      </c>
      <c r="U284" s="265" t="n">
        <v>1538.6</v>
      </c>
      <c r="V284" s="265" t="n">
        <v>1471.1</v>
      </c>
      <c r="W284" s="265" t="n">
        <v>1757.4</v>
      </c>
      <c r="X284" s="265" t="n">
        <v>1757.4</v>
      </c>
      <c r="Y284" s="265" t="n">
        <v>1576.1</v>
      </c>
      <c r="Z284" s="265" t="n">
        <v>1674.3</v>
      </c>
      <c r="AA284" s="265" t="n">
        <v>1746.1</v>
      </c>
      <c r="AB284" s="265" t="n">
        <v>2051.5</v>
      </c>
      <c r="AC284" s="265" t="n">
        <v>2051.5</v>
      </c>
      <c r="AD284" s="265" t="n">
        <v>2129.6</v>
      </c>
      <c r="AE284" s="265" t="n">
        <v>3280.9</v>
      </c>
      <c r="AF284" s="265" t="n">
        <v>962.8</v>
      </c>
      <c r="AG284" s="265" t="n">
        <v>1071.5</v>
      </c>
      <c r="AH284" s="265" t="n">
        <v>1071.5</v>
      </c>
      <c r="AI284" s="265" t="n">
        <v>1277.3</v>
      </c>
      <c r="AJ284" s="265" t="n">
        <v>1314.5</v>
      </c>
      <c r="AK284" s="265" t="n">
        <v>1034.8</v>
      </c>
      <c r="AL284" s="265" t="n">
        <v>1685</v>
      </c>
      <c r="AM284" s="265" t="n">
        <v>1685</v>
      </c>
      <c r="AN284" s="265" t="n">
        <v>1196.6</v>
      </c>
      <c r="AO284" s="265" t="n">
        <v>1195.9</v>
      </c>
      <c r="AP284" s="265" t="n">
        <v>1178</v>
      </c>
      <c r="AQ284" s="265" t="n">
        <v>1832</v>
      </c>
      <c r="AR284" s="265" t="n">
        <v>1832</v>
      </c>
      <c r="AS284" s="265" t="n">
        <v>2141</v>
      </c>
      <c r="AT284" s="265" t="n">
        <v>2099</v>
      </c>
      <c r="AU284" s="265" t="n">
        <v>2492</v>
      </c>
      <c r="AV284" s="265" t="n">
        <v>2597</v>
      </c>
      <c r="AW284" s="265" t="n">
        <v>2597</v>
      </c>
      <c r="AX284" s="265" t="n">
        <v>2769</v>
      </c>
      <c r="AY284" s="265" t="n">
        <v>2809</v>
      </c>
      <c r="AZ284" s="265" t="n">
        <v>2239</v>
      </c>
      <c r="BA284" s="265" t="n">
        <v>1811</v>
      </c>
      <c r="BB284" s="265" t="n">
        <v>1811</v>
      </c>
      <c r="BC284" s="265" t="n">
        <v>1750</v>
      </c>
      <c r="BD284" s="265" t="n">
        <v>1617</v>
      </c>
      <c r="BE284" s="265" t="n">
        <v>1656</v>
      </c>
      <c r="BF284" s="265" t="n">
        <v>1769</v>
      </c>
      <c r="BG284" s="265" t="n">
        <v>1769</v>
      </c>
      <c r="BH284" s="265" t="n">
        <v>2119</v>
      </c>
      <c r="BI284" s="265" t="n">
        <v>2278</v>
      </c>
      <c r="BJ284" s="265" t="n">
        <v>2006</v>
      </c>
      <c r="BK284" s="265" t="n">
        <v>2130</v>
      </c>
      <c r="BL284" s="265" t="n">
        <v>2130</v>
      </c>
      <c r="BM284" s="265" t="n">
        <v>2476</v>
      </c>
      <c r="BN284" s="265" t="n">
        <v>2635</v>
      </c>
      <c r="BO284" s="265" t="n">
        <v>2642</v>
      </c>
      <c r="BP284" s="265" t="n">
        <v>2408</v>
      </c>
      <c r="BQ284" s="265" t="n">
        <v>2408</v>
      </c>
      <c r="BR284" s="265" t="n">
        <v>2139</v>
      </c>
      <c r="BS284" s="265" t="n">
        <v>2174</v>
      </c>
      <c r="BT284" s="265" t="n">
        <v>2181</v>
      </c>
      <c r="BU284" s="265" t="n">
        <v>2384</v>
      </c>
      <c r="BV284" s="265" t="n">
        <v>2384</v>
      </c>
      <c r="BW284" s="265" t="n">
        <v>1469</v>
      </c>
      <c r="BX284" s="265" t="n">
        <v>1467</v>
      </c>
      <c r="BY284" s="32" t="n"/>
      <c r="BZ284" s="32" t="n"/>
      <c r="CA284" s="263">
        <f>CA283+CA282</f>
        <v>1925.95078142087</v>
      </c>
      <c r="CB284" s="263">
        <f>CB283+CB282</f>
        <v>1587.3678536528</v>
      </c>
      <c r="CC284" s="263">
        <f>CC283+CC282</f>
        <v>1629.47264618012</v>
      </c>
      <c r="CD284" s="263">
        <f>CD283+CD282</f>
        <v>1653.77140516915</v>
      </c>
      <c r="CE284" s="263">
        <f>CE283+CE282</f>
        <v>1675.18289151881</v>
      </c>
      <c r="CF284" s="153" t="n"/>
    </row>
    <row r="285" ht="15" customHeight="1" s="251">
      <c r="B285" s="57" t="inlineStr">
        <is>
          <t xml:space="preserve">  Check: CFO + CFI + CFF + FX = change in cash (should be 0)</t>
        </is>
      </c>
      <c r="C285" s="261">
        <f>IF(AND(ISNUMBER(C283),ISNUMBER(C269)),IF(ABS(C283+C282-C284)&lt;=1.5,0,ROUND(C283+C282-C284,1)),"")</f>
        <v>0</v>
      </c>
      <c r="D285" s="261">
        <f>IF(AND(ISNUMBER(D283),ISNUMBER(D269)),IF(ABS(D283+D282-D284)&lt;=1.5,0,ROUND(D283+D282-D284,1)),"")</f>
        <v>0</v>
      </c>
      <c r="E285" s="261">
        <f>IF(AND(ISNUMBER(E283),ISNUMBER(E269)),IF(ABS(E283+E282-E284)&lt;=1.5,0,ROUND(E283+E282-E284,1)),"")</f>
        <v>0</v>
      </c>
      <c r="F285" s="261">
        <f>IF(AND(ISNUMBER(F283),ISNUMBER(F269)),IF(ABS(F283+F282-F284)&lt;=1.5,0,ROUND(F283+F282-F284,1)),"")</f>
        <v>0</v>
      </c>
      <c r="G285" s="261">
        <f>IF(AND(ISNUMBER(G283),ISNUMBER(G269)),IF(ABS(G283+G282-G284)&lt;=1.5,0,ROUND(G283+G282-G284,1)),"")</f>
        <v>0</v>
      </c>
      <c r="H285" s="261">
        <f>IF(AND(ISNUMBER(H283),ISNUMBER(H269)),IF(ABS(H283+H282-H284)&lt;=1.5,0,ROUND(H283+H282-H284,1)),"")</f>
        <v>0</v>
      </c>
      <c r="I285" s="261">
        <f>IF(AND(ISNUMBER(I283),ISNUMBER(I269)),IF(ABS(I283+I282-I284)&lt;=1.5,0,ROUND(I283+I282-I284,1)),"")</f>
        <v>0</v>
      </c>
      <c r="J285" s="261">
        <f>IF(AND(ISNUMBER(J283),ISNUMBER(J269)),IF(ABS(J283+J282-J284)&lt;=1.5,0,ROUND(J283+J282-J284,1)),"")</f>
        <v>0</v>
      </c>
      <c r="K285" s="261">
        <f>IF(AND(ISNUMBER(K283),ISNUMBER(K269)),IF(ABS(K283+K282-K284)&lt;=1.5,0,ROUND(K283+K282-K284,1)),"")</f>
        <v>0</v>
      </c>
      <c r="L285" s="261">
        <f>IF(AND(ISNUMBER(L283),ISNUMBER(L269)),IF(ABS(L283+L282-L284)&lt;=1.5,0,ROUND(L283+L282-L284,1)),"")</f>
        <v>0</v>
      </c>
      <c r="M285" s="261">
        <f>IF(AND(ISNUMBER(M283),ISNUMBER(M269)),IF(ABS(M283+M282-M284)&lt;=1.5,0,ROUND(M283+M282-M284,1)),"")</f>
        <v>0</v>
      </c>
      <c r="N285" s="261">
        <f>IF(AND(ISNUMBER(N283),ISNUMBER(N269)),IF(ABS(N283+N282-N284)&lt;=1.5,0,ROUND(N283+N282-N284,1)),"")</f>
        <v>0</v>
      </c>
      <c r="O285" s="261">
        <f>IF(AND(ISNUMBER(O283),ISNUMBER(O269)),IF(ABS(O283+O282-O284)&lt;=1.5,0,ROUND(O283+O282-O284,1)),"")</f>
        <v>0</v>
      </c>
      <c r="P285" s="261">
        <f>IF(AND(ISNUMBER(P283),ISNUMBER(P269)),IF(ABS(P283+P282-P284)&lt;=1.5,0,ROUND(P283+P282-P284,1)),"")</f>
        <v>0</v>
      </c>
      <c r="Q285" s="261">
        <f>IF(AND(ISNUMBER(Q283),ISNUMBER(Q269)),IF(ABS(Q283+Q282-Q284)&lt;=1.5,0,ROUND(Q283+Q282-Q284,1)),"")</f>
        <v>0</v>
      </c>
      <c r="R285" s="261">
        <f>IF(AND(ISNUMBER(R283),ISNUMBER(R269)),IF(ABS(R283+R282-R284)&lt;=1.5,0,ROUND(R283+R282-R284,1)),"")</f>
        <v>0</v>
      </c>
      <c r="S285" s="261">
        <f>IF(AND(ISNUMBER(S283),ISNUMBER(S269)),IF(ABS(S283+S282-S284)&lt;=1.5,0,ROUND(S283+S282-S284,1)),"")</f>
        <v>0</v>
      </c>
      <c r="T285" s="261">
        <f>IF(AND(ISNUMBER(T283),ISNUMBER(T269)),IF(ABS(T283+T282-T284)&lt;=1.5,0,ROUND(T283+T282-T284,1)),"")</f>
        <v>0</v>
      </c>
      <c r="U285" s="261">
        <f>IF(AND(ISNUMBER(U283),ISNUMBER(U269)),IF(ABS(U283+U282-U284)&lt;=1.5,0,ROUND(U283+U282-U284,1)),"")</f>
        <v>0</v>
      </c>
      <c r="V285" s="261">
        <f>IF(AND(ISNUMBER(V283),ISNUMBER(V269)),IF(ABS(V283+V282-V284)&lt;=1.5,0,ROUND(V283+V282-V284,1)),"")</f>
        <v>0</v>
      </c>
      <c r="W285" s="261">
        <f>IF(AND(ISNUMBER(W283),ISNUMBER(W269)),IF(ABS(W283+W282-W284)&lt;=1.5,0,ROUND(W283+W282-W284,1)),"")</f>
        <v>0</v>
      </c>
      <c r="X285" s="261">
        <f>IF(AND(ISNUMBER(X283),ISNUMBER(X269)),IF(ABS(X283+X282-X284)&lt;=1.5,0,ROUND(X283+X282-X284,1)),"")</f>
        <v>0</v>
      </c>
      <c r="Y285" s="261">
        <f>IF(AND(ISNUMBER(Y283),ISNUMBER(Y269)),IF(ABS(Y283+Y282-Y284)&lt;=1.5,0,ROUND(Y283+Y282-Y284,1)),"")</f>
        <v>0</v>
      </c>
      <c r="Z285" s="261">
        <f>IF(AND(ISNUMBER(Z283),ISNUMBER(Z269)),IF(ABS(Z283+Z282-Z284)&lt;=1.5,0,ROUND(Z283+Z282-Z284,1)),"")</f>
        <v>0</v>
      </c>
      <c r="AA285" s="261">
        <f>IF(AND(ISNUMBER(AA283),ISNUMBER(AA269)),IF(ABS(AA283+AA282-AA284)&lt;=1.5,0,ROUND(AA283+AA282-AA284,1)),"")</f>
        <v>0</v>
      </c>
      <c r="AB285" s="261">
        <f>IF(AND(ISNUMBER(AB283),ISNUMBER(AB269)),IF(ABS(AB283+AB282-AB284)&lt;=1.5,0,ROUND(AB283+AB282-AB284,1)),"")</f>
        <v>0</v>
      </c>
      <c r="AC285" s="261">
        <f>IF(AND(ISNUMBER(AC283),ISNUMBER(AC269)),IF(ABS(AC283+AC282-AC284)&lt;=1.5,0,ROUND(AC283+AC282-AC284,1)),"")</f>
        <v>0</v>
      </c>
      <c r="AD285" s="261">
        <f>IF(AND(ISNUMBER(AD283),ISNUMBER(AD269)),IF(ABS(AD283+AD282-AD284)&lt;=1.5,0,ROUND(AD283+AD282-AD284,1)),"")</f>
        <v>0</v>
      </c>
      <c r="AE285" s="261">
        <f>IF(AND(ISNUMBER(AE283),ISNUMBER(AE269)),IF(ABS(AE283+AE282-AE284)&lt;=1.5,0,ROUND(AE283+AE282-AE284,1)),"")</f>
        <v>0</v>
      </c>
      <c r="AF285" s="261">
        <f>IF(AND(ISNUMBER(AF283),ISNUMBER(AF269)),IF(ABS(AF283+AF282-AF284)&lt;=1.5,0,ROUND(AF283+AF282-AF284,1)),"")</f>
        <v>0</v>
      </c>
      <c r="AG285" s="261">
        <f>IF(AND(ISNUMBER(AG283),ISNUMBER(AG269)),IF(ABS(AG283+AG282-AG284)&lt;=1.5,0,ROUND(AG283+AG282-AG284,1)),"")</f>
        <v>0</v>
      </c>
      <c r="AH285" s="261">
        <f>IF(AND(ISNUMBER(AH283),ISNUMBER(AH269)),IF(ABS(AH283+AH282-AH284)&lt;=1.5,0,ROUND(AH283+AH282-AH284,1)),"")</f>
        <v>0</v>
      </c>
      <c r="AI285" s="261">
        <f>IF(AND(ISNUMBER(AI283),ISNUMBER(AI269)),IF(ABS(AI283+AI282-AI284)&lt;=1.5,0,ROUND(AI283+AI282-AI284,1)),"")</f>
        <v>0</v>
      </c>
      <c r="AJ285" s="261">
        <f>IF(AND(ISNUMBER(AJ283),ISNUMBER(AJ269)),IF(ABS(AJ283+AJ282-AJ284)&lt;=1.5,0,ROUND(AJ283+AJ282-AJ284,1)),"")</f>
        <v>0</v>
      </c>
      <c r="AK285" s="261">
        <f>IF(AND(ISNUMBER(AK283),ISNUMBER(AK269)),IF(ABS(AK283+AK282-AK284)&lt;=1.5,0,ROUND(AK283+AK282-AK284,1)),"")</f>
        <v>0</v>
      </c>
      <c r="AL285" s="261">
        <f>IF(AND(ISNUMBER(AL283),ISNUMBER(AL269)),IF(ABS(AL283+AL282-AL284)&lt;=1.5,0,ROUND(AL283+AL282-AL284,1)),"")</f>
        <v>0</v>
      </c>
      <c r="AM285" s="261">
        <f>IF(AND(ISNUMBER(AM283),ISNUMBER(AM269)),IF(ABS(AM283+AM282-AM284)&lt;=1.5,0,ROUND(AM283+AM282-AM284,1)),"")</f>
        <v>0</v>
      </c>
      <c r="AN285" s="261">
        <f>IF(AND(ISNUMBER(AN283),ISNUMBER(AN269)),IF(ABS(AN283+AN282-AN284)&lt;=1.5,0,ROUND(AN283+AN282-AN284,1)),"")</f>
        <v>0</v>
      </c>
      <c r="AO285" s="261">
        <f>IF(AND(ISNUMBER(AO283),ISNUMBER(AO269)),IF(ABS(AO283+AO282-AO284)&lt;=1.5,0,ROUND(AO283+AO282-AO284,1)),"")</f>
        <v>0</v>
      </c>
      <c r="AP285" s="261">
        <f>IF(AND(ISNUMBER(AP283),ISNUMBER(AP269)),IF(ABS(AP283+AP282-AP284)&lt;=1.5,0,ROUND(AP283+AP282-AP284,1)),"")</f>
        <v>0</v>
      </c>
      <c r="AQ285" s="261">
        <f>IF(AND(ISNUMBER(AQ283),ISNUMBER(AQ269)),IF(ABS(AQ283+AQ282-AQ284)&lt;=1.5,0,ROUND(AQ283+AQ282-AQ284,1)),"")</f>
        <v>0</v>
      </c>
      <c r="AR285" s="261">
        <f>IF(AND(ISNUMBER(AR283),ISNUMBER(AR269)),IF(ABS(AR283+AR282-AR284)&lt;=1.5,0,ROUND(AR283+AR282-AR284,1)),"")</f>
        <v>0</v>
      </c>
      <c r="AS285" s="261">
        <f>IF(AND(ISNUMBER(AS283),ISNUMBER(AS269)),IF(ABS(AS283+AS282-AS284)&lt;=1.5,0,ROUND(AS283+AS282-AS284,1)),"")</f>
        <v>0</v>
      </c>
      <c r="AT285" s="261">
        <f>IF(AND(ISNUMBER(AT283),ISNUMBER(AT269)),IF(ABS(AT283+AT282-AT284)&lt;=1.5,0,ROUND(AT283+AT282-AT284,1)),"")</f>
        <v>0</v>
      </c>
      <c r="AU285" s="261">
        <f>IF(AND(ISNUMBER(AU283),ISNUMBER(AU269)),IF(ABS(AU283+AU282-AU284)&lt;=1.5,0,ROUND(AU283+AU282-AU284,1)),"")</f>
        <v>0</v>
      </c>
      <c r="AV285" s="261">
        <f>IF(AND(ISNUMBER(AV283),ISNUMBER(AV269)),IF(ABS(AV283+AV282-AV284)&lt;=1.5,0,ROUND(AV283+AV282-AV284,1)),"")</f>
        <v>0</v>
      </c>
      <c r="AW285" s="261">
        <f>IF(AND(ISNUMBER(AW283),ISNUMBER(AW269)),IF(ABS(AW283+AW282-AW284)&lt;=1.5,0,ROUND(AW283+AW282-AW284,1)),"")</f>
        <v>0</v>
      </c>
      <c r="AX285" s="261">
        <f>IF(AND(ISNUMBER(AX283),ISNUMBER(AX269)),IF(ABS(AX283+AX282-AX284)&lt;=1.5,0,ROUND(AX283+AX282-AX284,1)),"")</f>
        <v>0</v>
      </c>
      <c r="AY285" s="261">
        <f>IF(AND(ISNUMBER(AY283),ISNUMBER(AY269)),IF(ABS(AY283+AY282-AY284)&lt;=1.5,0,ROUND(AY283+AY282-AY284,1)),"")</f>
        <v>0</v>
      </c>
      <c r="AZ285" s="261">
        <f>IF(AND(ISNUMBER(AZ283),ISNUMBER(AZ269)),IF(ABS(AZ283+AZ282-AZ284)&lt;=1.5,0,ROUND(AZ283+AZ282-AZ284,1)),"")</f>
        <v>0</v>
      </c>
      <c r="BA285" s="261">
        <f>IF(AND(ISNUMBER(BA283),ISNUMBER(BA269)),IF(ABS(BA283+BA282-BA284)&lt;=1.5,0,ROUND(BA283+BA282-BA284,1)),"")</f>
        <v>0</v>
      </c>
      <c r="BB285" s="261">
        <f>IF(AND(ISNUMBER(BB283),ISNUMBER(BB269)),IF(ABS(BB283+BB282-BB284)&lt;=1.5,0,ROUND(BB283+BB282-BB284,1)),"")</f>
        <v>0</v>
      </c>
      <c r="BC285" s="261">
        <f>IF(AND(ISNUMBER(BC283),ISNUMBER(BC269)),IF(ABS(BC283+BC282-BC284)&lt;=1.5,0,ROUND(BC283+BC282-BC284,1)),"")</f>
        <v>0</v>
      </c>
      <c r="BD285" s="261">
        <f>IF(AND(ISNUMBER(BD283),ISNUMBER(BD269)),IF(ABS(BD283+BD282-BD284)&lt;=1.5,0,ROUND(BD283+BD282-BD284,1)),"")</f>
        <v>0</v>
      </c>
      <c r="BE285" s="261">
        <f>IF(AND(ISNUMBER(BE283),ISNUMBER(BE269)),IF(ABS(BE283+BE282-BE284)&lt;=1.5,0,ROUND(BE283+BE282-BE284,1)),"")</f>
        <v>0</v>
      </c>
      <c r="BF285" s="261">
        <f>IF(AND(ISNUMBER(BF283),ISNUMBER(BF269)),IF(ABS(BF283+BF282-BF284)&lt;=1.5,0,ROUND(BF283+BF282-BF284,1)),"")</f>
        <v>0</v>
      </c>
      <c r="BG285" s="261">
        <f>IF(AND(ISNUMBER(BG283),ISNUMBER(BG269)),IF(ABS(BG283+BG282-BG284)&lt;=1.5,0,ROUND(BG283+BG282-BG284,1)),"")</f>
        <v>0</v>
      </c>
      <c r="BH285" s="261">
        <f>IF(AND(ISNUMBER(BH283),ISNUMBER(BH269)),IF(ABS(BH283+BH282-BH284)&lt;=1.5,0,ROUND(BH283+BH282-BH284,1)),"")</f>
        <v>0</v>
      </c>
      <c r="BI285" s="261">
        <f>IF(AND(ISNUMBER(BI283),ISNUMBER(BI269)),IF(ABS(BI283+BI282-BI284)&lt;=1.5,0,ROUND(BI283+BI282-BI284,1)),"")</f>
        <v>0</v>
      </c>
      <c r="BJ285" s="261">
        <f>IF(AND(ISNUMBER(BJ283),ISNUMBER(BJ269)),IF(ABS(BJ283+BJ282-BJ284)&lt;=1.5,0,ROUND(BJ283+BJ282-BJ284,1)),"")</f>
        <v>0</v>
      </c>
      <c r="BK285" s="261">
        <f>IF(AND(ISNUMBER(BK283),ISNUMBER(BK269)),IF(ABS(BK283+BK282-BK284)&lt;=1.5,0,ROUND(BK283+BK282-BK284,1)),"")</f>
        <v>0</v>
      </c>
      <c r="BL285" s="261">
        <f>IF(AND(ISNUMBER(BL283),ISNUMBER(BL269)),IF(ABS(BL283+BL282-BL284)&lt;=1.5,0,ROUND(BL283+BL282-BL284,1)),"")</f>
        <v>0</v>
      </c>
      <c r="BM285" s="261">
        <f>IF(AND(ISNUMBER(BM283),ISNUMBER(BM269)),IF(ABS(BM283+BM282-BM284)&lt;=1.5,0,ROUND(BM283+BM282-BM284,1)),"")</f>
        <v>0</v>
      </c>
      <c r="BN285" s="261">
        <f>IF(AND(ISNUMBER(BN283),ISNUMBER(BN269)),IF(ABS(BN283+BN282-BN284)&lt;=1.5,0,ROUND(BN283+BN282-BN284,1)),"")</f>
        <v>0</v>
      </c>
      <c r="BO285" s="261">
        <f>IF(AND(ISNUMBER(BO283),ISNUMBER(BO269)),IF(ABS(BO283+BO282-BO284)&lt;=1.5,0,ROUND(BO283+BO282-BO284,1)),"")</f>
        <v>0</v>
      </c>
      <c r="BP285" s="261">
        <f>IF(AND(ISNUMBER(BP283),ISNUMBER(BP269)),IF(ABS(BP283+BP282-BP284)&lt;=1.5,0,ROUND(BP283+BP282-BP284,1)),"")</f>
        <v>0</v>
      </c>
      <c r="BQ285" s="261">
        <f>IF(AND(ISNUMBER(BQ283),ISNUMBER(BQ269)),IF(ABS(BQ283+BQ282-BQ284)&lt;=1.5,0,ROUND(BQ283+BQ282-BQ284,1)),"")</f>
        <v>0</v>
      </c>
      <c r="BR285" s="261">
        <f>IF(AND(ISNUMBER(BR283),ISNUMBER(BR269)),IF(ABS(BR283+BR282-BR284)&lt;=1.5,0,ROUND(BR283+BR282-BR284,1)),"")</f>
        <v>0</v>
      </c>
      <c r="BS285" s="261">
        <f>IF(AND(ISNUMBER(BS283),ISNUMBER(BS269)),IF(ABS(BS283+BS282-BS284)&lt;=1.5,0,ROUND(BS283+BS282-BS284,1)),"")</f>
        <v>0</v>
      </c>
      <c r="BT285" s="261">
        <f>IF(AND(ISNUMBER(BT283),ISNUMBER(BT269)),IF(ABS(BT283+BT282-BT284)&lt;=1.5,0,ROUND(BT283+BT282-BT284,1)),"")</f>
        <v>0</v>
      </c>
      <c r="BU285" s="261">
        <f>IF(AND(ISNUMBER(BU283),ISNUMBER(BU269)),IF(ABS(BU283+BU282-BU284)&lt;=1.5,0,ROUND(BU283+BU282-BU284,1)),"")</f>
        <v>0</v>
      </c>
      <c r="BV285" s="261">
        <f>IF(AND(ISNUMBER(BV283),ISNUMBER(BV269)),IF(ABS(BV283+BV282-BV284)&lt;=1.5,0,ROUND(BV283+BV282-BV284,1)),"")</f>
        <v>0</v>
      </c>
      <c r="BW285" s="261">
        <f>IF(AND(ISNUMBER(BW283),ISNUMBER(BW269)),IF(ABS(BW283+BW282-BW284)&lt;=1.5,0,ROUND(BW283+BW282-BW284,1)),"")</f>
        <v>0</v>
      </c>
      <c r="BX285" s="261">
        <f>IF(AND(ISNUMBER(BX283),ISNUMBER(BX269)),IF(ABS(BX283+BX282-BX284)&lt;=1.5,0,ROUND(BX283+BX282-BX284,1)),"")</f>
        <v>0</v>
      </c>
      <c r="BY285" s="153" t="n"/>
      <c r="BZ285" s="153" t="n"/>
      <c r="CA285" s="267">
        <f>IF(AND(ISNUMBER(CA283),ISNUMBER(CA269)),IF(ABS(CA283+CA282-CA284)&lt;=1.5,0,ROUND(CA283+CA282-CA284,1)),"")</f>
        <v>0</v>
      </c>
      <c r="CB285" s="267">
        <f>IF(AND(ISNUMBER(CB283),ISNUMBER(CB269)),IF(ABS(CB283+CB282-CB284)&lt;=1.5,0,ROUND(CB283+CB282-CB284,1)),"")</f>
        <v>0</v>
      </c>
      <c r="CC285" s="267">
        <f>IF(AND(ISNUMBER(CC283),ISNUMBER(CC269)),IF(ABS(CC283+CC282-CC284)&lt;=1.5,0,ROUND(CC283+CC282-CC284,1)),"")</f>
        <v>0</v>
      </c>
      <c r="CD285" s="267">
        <f>IF(AND(ISNUMBER(CD283),ISNUMBER(CD269)),IF(ABS(CD283+CD282-CD284)&lt;=1.5,0,ROUND(CD283+CD282-CD284,1)),"")</f>
        <v>0</v>
      </c>
      <c r="CE285" s="267">
        <f>IF(AND(ISNUMBER(CE283),ISNUMBER(CE269)),IF(ABS(CE283+CE282-CE284)&lt;=1.5,0,ROUND(CE283+CE282-CE284,1)),"")</f>
        <v>0</v>
      </c>
      <c r="CF285" s="153" t="n"/>
    </row>
    <row r="286" ht="15" customHeight="1" s="251">
      <c r="B286" s="57" t="inlineStr">
        <is>
          <t xml:space="preserve">  Check: CFO = sum of operating lines (should be 0)</t>
        </is>
      </c>
      <c r="C286" s="261">
        <f>IF(ISNUMBER(C262),IF(ABS(SUM(C262:C268)-C269)&lt;=0.6,0,ROUND(SUM(C262:C268)-C269,1)),"")</f>
        <v>0</v>
      </c>
      <c r="D286" s="261">
        <f>IF(ISNUMBER(D262),IF(ABS(SUM(D262:D268)-D269)&lt;=0.6,0,ROUND(SUM(D262:D268)-D269,1)),"")</f>
        <v>0</v>
      </c>
      <c r="E286" s="261">
        <f>IF(ISNUMBER(E262),IF(ABS(SUM(E262:E268)-E269)&lt;=0.6,0,ROUND(SUM(E262:E268)-E269,1)),"")</f>
        <v>0</v>
      </c>
      <c r="F286" s="261">
        <f>IF(ISNUMBER(F262),IF(ABS(SUM(F262:F268)-F269)&lt;=0.6,0,ROUND(SUM(F262:F268)-F269,1)),"")</f>
        <v>0</v>
      </c>
      <c r="G286" s="261">
        <f>IF(ISNUMBER(G262),IF(ABS(SUM(G262:G268)-G269)&lt;=0.6,0,ROUND(SUM(G262:G268)-G269,1)),"")</f>
        <v>0</v>
      </c>
      <c r="H286" s="261">
        <f>IF(ISNUMBER(H262),IF(ABS(SUM(H262:H268)-H269)&lt;=0.6,0,ROUND(SUM(H262:H268)-H269,1)),"")</f>
        <v>0</v>
      </c>
      <c r="I286" s="261">
        <f>IF(ISNUMBER(I262),IF(ABS(SUM(I262:I268)-I269)&lt;=0.6,0,ROUND(SUM(I262:I268)-I269,1)),"")</f>
        <v>0</v>
      </c>
      <c r="J286" s="261">
        <f>IF(ISNUMBER(J262),IF(ABS(SUM(J262:J268)-J269)&lt;=0.6,0,ROUND(SUM(J262:J268)-J269,1)),"")</f>
        <v>0</v>
      </c>
      <c r="K286" s="261">
        <f>IF(ISNUMBER(K262),IF(ABS(SUM(K262:K268)-K269)&lt;=0.6,0,ROUND(SUM(K262:K268)-K269,1)),"")</f>
        <v>0</v>
      </c>
      <c r="L286" s="261">
        <f>IF(ISNUMBER(L262),IF(ABS(SUM(L262:L268)-L269)&lt;=0.6,0,ROUND(SUM(L262:L268)-L269,1)),"")</f>
        <v>0</v>
      </c>
      <c r="M286" s="261">
        <f>IF(ISNUMBER(M262),IF(ABS(SUM(M262:M268)-M269)&lt;=0.6,0,ROUND(SUM(M262:M268)-M269,1)),"")</f>
        <v>0</v>
      </c>
      <c r="N286" s="261">
        <f>IF(ISNUMBER(N262),IF(ABS(SUM(N262:N268)-N269)&lt;=0.6,0,ROUND(SUM(N262:N268)-N269,1)),"")</f>
        <v>0</v>
      </c>
      <c r="O286" s="261">
        <f>IF(ISNUMBER(O262),IF(ABS(SUM(O262:O268)-O269)&lt;=0.6,0,ROUND(SUM(O262:O268)-O269,1)),"")</f>
        <v>0</v>
      </c>
      <c r="P286" s="261">
        <f>IF(ISNUMBER(P262),IF(ABS(SUM(P262:P268)-P269)&lt;=0.6,0,ROUND(SUM(P262:P268)-P269,1)),"")</f>
        <v>0</v>
      </c>
      <c r="Q286" s="261">
        <f>IF(ISNUMBER(Q262),IF(ABS(SUM(Q262:Q268)-Q269)&lt;=0.6,0,ROUND(SUM(Q262:Q268)-Q269,1)),"")</f>
        <v>0</v>
      </c>
      <c r="R286" s="261">
        <f>IF(ISNUMBER(R262),IF(ABS(SUM(R262:R268)-R269)&lt;=0.6,0,ROUND(SUM(R262:R268)-R269,1)),"")</f>
        <v>0</v>
      </c>
      <c r="S286" s="261">
        <f>IF(ISNUMBER(S262),IF(ABS(SUM(S262:S268)-S269)&lt;=0.6,0,ROUND(SUM(S262:S268)-S269,1)),"")</f>
        <v>0</v>
      </c>
      <c r="T286" s="261">
        <f>IF(ISNUMBER(T262),IF(ABS(SUM(T262:T268)-T269)&lt;=0.6,0,ROUND(SUM(T262:T268)-T269,1)),"")</f>
        <v>0</v>
      </c>
      <c r="U286" s="261">
        <f>IF(ISNUMBER(U262),IF(ABS(SUM(U262:U268)-U269)&lt;=0.6,0,ROUND(SUM(U262:U268)-U269,1)),"")</f>
        <v>0</v>
      </c>
      <c r="V286" s="261">
        <f>IF(ISNUMBER(V262),IF(ABS(SUM(V262:V268)-V269)&lt;=0.6,0,ROUND(SUM(V262:V268)-V269,1)),"")</f>
        <v>0</v>
      </c>
      <c r="W286" s="261">
        <f>IF(ISNUMBER(W262),IF(ABS(SUM(W262:W268)-W269)&lt;=0.6,0,ROUND(SUM(W262:W268)-W269,1)),"")</f>
        <v>0</v>
      </c>
      <c r="X286" s="261">
        <f>IF(ISNUMBER(X262),IF(ABS(SUM(X262:X268)-X269)&lt;=0.6,0,ROUND(SUM(X262:X268)-X269,1)),"")</f>
        <v>0</v>
      </c>
      <c r="Y286" s="261">
        <f>IF(ISNUMBER(Y262),IF(ABS(SUM(Y262:Y268)-Y269)&lt;=0.6,0,ROUND(SUM(Y262:Y268)-Y269,1)),"")</f>
        <v>0</v>
      </c>
      <c r="Z286" s="261">
        <f>IF(ISNUMBER(Z262),IF(ABS(SUM(Z262:Z268)-Z269)&lt;=0.6,0,ROUND(SUM(Z262:Z268)-Z269,1)),"")</f>
        <v>0</v>
      </c>
      <c r="AA286" s="261">
        <f>IF(ISNUMBER(AA262),IF(ABS(SUM(AA262:AA268)-AA269)&lt;=0.6,0,ROUND(SUM(AA262:AA268)-AA269,1)),"")</f>
        <v>0</v>
      </c>
      <c r="AB286" s="261">
        <f>IF(ISNUMBER(AB262),IF(ABS(SUM(AB262:AB268)-AB269)&lt;=0.6,0,ROUND(SUM(AB262:AB268)-AB269,1)),"")</f>
        <v>0</v>
      </c>
      <c r="AC286" s="261">
        <f>IF(ISNUMBER(AC262),IF(ABS(SUM(AC262:AC268)-AC269)&lt;=0.6,0,ROUND(SUM(AC262:AC268)-AC269,1)),"")</f>
        <v>0</v>
      </c>
      <c r="AD286" s="261">
        <f>IF(ISNUMBER(AD262),IF(ABS(SUM(AD262:AD268)-AD269)&lt;=0.6,0,ROUND(SUM(AD262:AD268)-AD269,1)),"")</f>
        <v>0</v>
      </c>
      <c r="AE286" s="261">
        <f>IF(ISNUMBER(AE262),IF(ABS(SUM(AE262:AE268)-AE269)&lt;=0.6,0,ROUND(SUM(AE262:AE268)-AE269,1)),"")</f>
        <v>0</v>
      </c>
      <c r="AF286" s="261">
        <f>IF(ISNUMBER(AF262),IF(ABS(SUM(AF262:AF268)-AF269)&lt;=0.6,0,ROUND(SUM(AF262:AF268)-AF269,1)),"")</f>
        <v>0</v>
      </c>
      <c r="AG286" s="261">
        <f>IF(ISNUMBER(AG262),IF(ABS(SUM(AG262:AG268)-AG269)&lt;=0.6,0,ROUND(SUM(AG262:AG268)-AG269,1)),"")</f>
        <v>0</v>
      </c>
      <c r="AH286" s="261">
        <f>IF(ISNUMBER(AH262),IF(ABS(SUM(AH262:AH268)-AH269)&lt;=0.6,0,ROUND(SUM(AH262:AH268)-AH269,1)),"")</f>
        <v>0</v>
      </c>
      <c r="AI286" s="261">
        <f>IF(ISNUMBER(AI262),IF(ABS(SUM(AI262:AI268)-AI269)&lt;=0.6,0,ROUND(SUM(AI262:AI268)-AI269,1)),"")</f>
        <v>0</v>
      </c>
      <c r="AJ286" s="261">
        <f>IF(ISNUMBER(AJ262),IF(ABS(SUM(AJ262:AJ268)-AJ269)&lt;=0.6,0,ROUND(SUM(AJ262:AJ268)-AJ269,1)),"")</f>
        <v>0</v>
      </c>
      <c r="AK286" s="261">
        <f>IF(ISNUMBER(AK262),IF(ABS(SUM(AK262:AK268)-AK269)&lt;=0.6,0,ROUND(SUM(AK262:AK268)-AK269,1)),"")</f>
        <v>0</v>
      </c>
      <c r="AL286" s="261">
        <f>IF(ISNUMBER(AL262),IF(ABS(SUM(AL262:AL268)-AL269)&lt;=0.6,0,ROUND(SUM(AL262:AL268)-AL269,1)),"")</f>
        <v>0</v>
      </c>
      <c r="AM286" s="261">
        <f>IF(ISNUMBER(AM262),IF(ABS(SUM(AM262:AM268)-AM269)&lt;=0.6,0,ROUND(SUM(AM262:AM268)-AM269,1)),"")</f>
        <v>0</v>
      </c>
      <c r="AN286" s="261">
        <f>IF(ISNUMBER(AN262),IF(ABS(SUM(AN262:AN268)-AN269)&lt;=0.6,0,ROUND(SUM(AN262:AN268)-AN269,1)),"")</f>
        <v>0</v>
      </c>
      <c r="AO286" s="261">
        <f>IF(ISNUMBER(AO262),IF(ABS(SUM(AO262:AO268)-AO269)&lt;=0.6,0,ROUND(SUM(AO262:AO268)-AO269,1)),"")</f>
        <v>0</v>
      </c>
      <c r="AP286" s="261">
        <f>IF(ISNUMBER(AP262),IF(ABS(SUM(AP262:AP268)-AP269)&lt;=0.6,0,ROUND(SUM(AP262:AP268)-AP269,1)),"")</f>
        <v>0</v>
      </c>
      <c r="AQ286" s="261">
        <f>IF(ISNUMBER(AQ262),IF(ABS(SUM(AQ262:AQ268)-AQ269)&lt;=0.6,0,ROUND(SUM(AQ262:AQ268)-AQ269,1)),"")</f>
        <v>0</v>
      </c>
      <c r="AR286" s="261">
        <f>IF(ISNUMBER(AR262),IF(ABS(SUM(AR262:AR268)-AR269)&lt;=0.6,0,ROUND(SUM(AR262:AR268)-AR269,1)),"")</f>
        <v>0</v>
      </c>
      <c r="AS286" s="261">
        <f>IF(ISNUMBER(AS262),IF(ABS(SUM(AS262:AS268)-AS269)&lt;=0.6,0,ROUND(SUM(AS262:AS268)-AS269,1)),"")</f>
        <v>0</v>
      </c>
      <c r="AT286" s="261">
        <f>IF(ISNUMBER(AT262),IF(ABS(SUM(AT262:AT268)-AT269)&lt;=0.6,0,ROUND(SUM(AT262:AT268)-AT269,1)),"")</f>
        <v>0</v>
      </c>
      <c r="AU286" s="261">
        <f>IF(ISNUMBER(AU262),IF(ABS(SUM(AU262:AU268)-AU269)&lt;=0.6,0,ROUND(SUM(AU262:AU268)-AU269,1)),"")</f>
        <v>0</v>
      </c>
      <c r="AV286" s="261">
        <f>IF(ISNUMBER(AV262),IF(ABS(SUM(AV262:AV268)-AV269)&lt;=0.6,0,ROUND(SUM(AV262:AV268)-AV269,1)),"")</f>
        <v>0</v>
      </c>
      <c r="AW286" s="261">
        <f>IF(ISNUMBER(AW262),IF(ABS(SUM(AW262:AW268)-AW269)&lt;=0.6,0,ROUND(SUM(AW262:AW268)-AW269,1)),"")</f>
        <v>0</v>
      </c>
      <c r="AX286" s="261">
        <f>IF(ISNUMBER(AX262),IF(ABS(SUM(AX262:AX268)-AX269)&lt;=0.6,0,ROUND(SUM(AX262:AX268)-AX269,1)),"")</f>
        <v>0</v>
      </c>
      <c r="AY286" s="261">
        <f>IF(ISNUMBER(AY262),IF(ABS(SUM(AY262:AY268)-AY269)&lt;=0.6,0,ROUND(SUM(AY262:AY268)-AY269,1)),"")</f>
        <v>0</v>
      </c>
      <c r="AZ286" s="261">
        <f>IF(ISNUMBER(AZ262),IF(ABS(SUM(AZ262:AZ268)-AZ269)&lt;=0.6,0,ROUND(SUM(AZ262:AZ268)-AZ269,1)),"")</f>
        <v>0</v>
      </c>
      <c r="BA286" s="261">
        <f>IF(ISNUMBER(BA262),IF(ABS(SUM(BA262:BA268)-BA269)&lt;=0.6,0,ROUND(SUM(BA262:BA268)-BA269,1)),"")</f>
        <v>0</v>
      </c>
      <c r="BB286" s="261">
        <f>IF(ISNUMBER(BB262),IF(ABS(SUM(BB262:BB268)-BB269)&lt;=0.6,0,ROUND(SUM(BB262:BB268)-BB269,1)),"")</f>
        <v>0</v>
      </c>
      <c r="BC286" s="261">
        <f>IF(ISNUMBER(BC262),IF(ABS(SUM(BC262:BC268)-BC269)&lt;=0.6,0,ROUND(SUM(BC262:BC268)-BC269,1)),"")</f>
        <v>0</v>
      </c>
      <c r="BD286" s="261">
        <f>IF(ISNUMBER(BD262),IF(ABS(SUM(BD262:BD268)-BD269)&lt;=0.6,0,ROUND(SUM(BD262:BD268)-BD269,1)),"")</f>
        <v>0</v>
      </c>
      <c r="BE286" s="261">
        <f>IF(ISNUMBER(BE262),IF(ABS(SUM(BE262:BE268)-BE269)&lt;=0.6,0,ROUND(SUM(BE262:BE268)-BE269,1)),"")</f>
        <v>0</v>
      </c>
      <c r="BF286" s="261">
        <f>IF(ISNUMBER(BF262),IF(ABS(SUM(BF262:BF268)-BF269)&lt;=0.6,0,ROUND(SUM(BF262:BF268)-BF269,1)),"")</f>
        <v>0</v>
      </c>
      <c r="BG286" s="261">
        <f>IF(ISNUMBER(BG262),IF(ABS(SUM(BG262:BG268)-BG269)&lt;=0.6,0,ROUND(SUM(BG262:BG268)-BG269,1)),"")</f>
        <v>0</v>
      </c>
      <c r="BH286" s="261">
        <f>IF(ISNUMBER(BH262),IF(ABS(SUM(BH262:BH268)-BH269)&lt;=0.6,0,ROUND(SUM(BH262:BH268)-BH269,1)),"")</f>
        <v>0</v>
      </c>
      <c r="BI286" s="261">
        <f>IF(ISNUMBER(BI262),IF(ABS(SUM(BI262:BI268)-BI269)&lt;=0.6,0,ROUND(SUM(BI262:BI268)-BI269,1)),"")</f>
        <v>0</v>
      </c>
      <c r="BJ286" s="261">
        <f>IF(ISNUMBER(BJ262),IF(ABS(SUM(BJ262:BJ268)-BJ269)&lt;=0.6,0,ROUND(SUM(BJ262:BJ268)-BJ269,1)),"")</f>
        <v>0</v>
      </c>
      <c r="BK286" s="261">
        <f>IF(ISNUMBER(BK262),IF(ABS(SUM(BK262:BK268)-BK269)&lt;=0.6,0,ROUND(SUM(BK262:BK268)-BK269,1)),"")</f>
        <v>0</v>
      </c>
      <c r="BL286" s="261">
        <f>IF(ISNUMBER(BL262),IF(ABS(SUM(BL262:BL268)-BL269)&lt;=0.6,0,ROUND(SUM(BL262:BL268)-BL269,1)),"")</f>
        <v>0</v>
      </c>
      <c r="BM286" s="261">
        <f>IF(ISNUMBER(BM262),IF(ABS(SUM(BM262:BM268)-BM269)&lt;=0.6,0,ROUND(SUM(BM262:BM268)-BM269,1)),"")</f>
        <v>0</v>
      </c>
      <c r="BN286" s="261">
        <f>IF(ISNUMBER(BN262),IF(ABS(SUM(BN262:BN268)-BN269)&lt;=0.6,0,ROUND(SUM(BN262:BN268)-BN269,1)),"")</f>
        <v>0</v>
      </c>
      <c r="BO286" s="261">
        <f>IF(ISNUMBER(BO262),IF(ABS(SUM(BO262:BO268)-BO269)&lt;=0.6,0,ROUND(SUM(BO262:BO268)-BO269,1)),"")</f>
        <v>0</v>
      </c>
      <c r="BP286" s="261">
        <f>IF(ISNUMBER(BP262),IF(ABS(SUM(BP262:BP268)-BP269)&lt;=0.6,0,ROUND(SUM(BP262:BP268)-BP269,1)),"")</f>
        <v>0</v>
      </c>
      <c r="BQ286" s="261">
        <f>IF(ISNUMBER(BQ262),IF(ABS(SUM(BQ262:BQ268)-BQ269)&lt;=0.6,0,ROUND(SUM(BQ262:BQ268)-BQ269,1)),"")</f>
        <v>0</v>
      </c>
      <c r="BR286" s="261">
        <f>IF(ISNUMBER(BR262),IF(ABS(SUM(BR262:BR268)-BR269)&lt;=0.6,0,ROUND(SUM(BR262:BR268)-BR269,1)),"")</f>
        <v>0</v>
      </c>
      <c r="BS286" s="261">
        <f>IF(ISNUMBER(BS262),IF(ABS(SUM(BS262:BS268)-BS269)&lt;=0.6,0,ROUND(SUM(BS262:BS268)-BS269,1)),"")</f>
        <v>0</v>
      </c>
      <c r="BT286" s="261">
        <f>IF(ISNUMBER(BT262),IF(ABS(SUM(BT262:BT268)-BT269)&lt;=0.6,0,ROUND(SUM(BT262:BT268)-BT269,1)),"")</f>
        <v>0</v>
      </c>
      <c r="BU286" s="261">
        <f>IF(ISNUMBER(BU262),IF(ABS(SUM(BU262:BU268)-BU269)&lt;=0.6,0,ROUND(SUM(BU262:BU268)-BU269,1)),"")</f>
        <v>0</v>
      </c>
      <c r="BV286" s="261">
        <f>IF(ISNUMBER(BV262),IF(ABS(SUM(BV262:BV268)-BV269)&lt;=0.6,0,ROUND(SUM(BV262:BV268)-BV269,1)),"")</f>
        <v>0</v>
      </c>
      <c r="BW286" s="261">
        <f>IF(ISNUMBER(BW262),IF(ABS(SUM(BW262:BW268)-BW269)&lt;=0.6,0,ROUND(SUM(BW262:BW268)-BW269,1)),"")</f>
        <v>0</v>
      </c>
      <c r="BX286" s="261">
        <f>IF(ISNUMBER(BX262),IF(ABS(SUM(BX262:BX268)-BX269)&lt;=0.6,0,ROUND(SUM(BX262:BX268)-BX269,1)),"")</f>
        <v>0</v>
      </c>
      <c r="BY286" s="153" t="n"/>
      <c r="BZ286" s="153" t="n"/>
      <c r="CA286" s="267">
        <f>IF(ISNUMBER(CA262),IF(ABS(SUM(CA262:CA268)-CA269)&lt;=0.6,0,ROUND(SUM(CA262:CA268)-CA269,1)),"")</f>
        <v>0</v>
      </c>
      <c r="CB286" s="267">
        <f>IF(ISNUMBER(CB262),IF(ABS(SUM(CB262:CB268)-CB269)&lt;=0.6,0,ROUND(SUM(CB262:CB268)-CB269,1)),"")</f>
        <v>0</v>
      </c>
      <c r="CC286" s="267">
        <f>IF(ISNUMBER(CC262),IF(ABS(SUM(CC262:CC268)-CC269)&lt;=0.6,0,ROUND(SUM(CC262:CC268)-CC269,1)),"")</f>
        <v>0</v>
      </c>
      <c r="CD286" s="267">
        <f>IF(ISNUMBER(CD262),IF(ABS(SUM(CD262:CD268)-CD269)&lt;=0.6,0,ROUND(SUM(CD262:CD268)-CD269,1)),"")</f>
        <v>0</v>
      </c>
      <c r="CE286" s="267">
        <f>IF(ISNUMBER(CE262),IF(ABS(SUM(CE262:CE268)-CE269)&lt;=0.6,0,ROUND(SUM(CE262:CE268)-CE269,1)),"")</f>
        <v>0</v>
      </c>
      <c r="CF286" s="153" t="n"/>
    </row>
    <row r="287" ht="15" customHeight="1" s="251">
      <c r="B287" s="25" t="inlineStr">
        <is>
          <t>(Memo)</t>
        </is>
      </c>
      <c r="CF287" s="153" t="n"/>
    </row>
    <row r="288" ht="15" customHeight="1" s="251">
      <c r="B288" s="55" t="inlineStr">
        <is>
          <t>Free Cash Flow (company definition: CFO − capital additions)</t>
        </is>
      </c>
      <c r="C288" s="275">
        <f>IF(AND(ISNUMBER(C269),ISNUMBER(C270)),C269+C270,"")</f>
        <v>721.4</v>
      </c>
      <c r="D288" s="275">
        <f>IF(AND(ISNUMBER(D269),ISNUMBER(D270)),D269+D270,"")</f>
        <v>802.2</v>
      </c>
      <c r="E288" s="275">
        <f>IF(AND(ISNUMBER(E269),ISNUMBER(E270)),E269+E270,"")</f>
        <v>450.3</v>
      </c>
      <c r="F288" s="275">
        <f>IF(AND(ISNUMBER(F269),ISNUMBER(F270)),F269+F270,"")</f>
        <v>553.1</v>
      </c>
      <c r="G288" s="275">
        <f>IF(AND(ISNUMBER(G269),ISNUMBER(G270)),G269+G270,"")</f>
        <v>574.3</v>
      </c>
      <c r="H288" s="275">
        <f>IF(AND(ISNUMBER(H269),ISNUMBER(H270)),H269+H270,"")</f>
        <v>735.6</v>
      </c>
      <c r="I288" s="275">
        <f>IF(AND(ISNUMBER(I269),ISNUMBER(I270)),I269+I270,"")</f>
        <v>778.1</v>
      </c>
      <c r="J288" s="275">
        <f>IF(AND(ISNUMBER(J269),ISNUMBER(J270)),J269+J270,"")</f>
        <v>194</v>
      </c>
      <c r="K288" s="275">
        <f>IF(AND(ISNUMBER(K269),ISNUMBER(K270)),K269+K270,"")</f>
        <v>157</v>
      </c>
      <c r="L288" s="275">
        <f>IF(AND(ISNUMBER(L269),ISNUMBER(L270)),L269+L270,"")</f>
        <v>271.5</v>
      </c>
      <c r="M288" s="275">
        <f>IF(AND(ISNUMBER(M269),ISNUMBER(M270)),M269+M270,"")</f>
        <v>262</v>
      </c>
      <c r="N288" s="275">
        <f>IF(AND(ISNUMBER(N269),ISNUMBER(N270)),N269+N270,"")</f>
        <v>884.5</v>
      </c>
      <c r="O288" s="275">
        <f>IF(AND(ISNUMBER(O269),ISNUMBER(O270)),O269+O270,"")</f>
        <v>158.1</v>
      </c>
      <c r="P288" s="275">
        <f>IF(AND(ISNUMBER(P269),ISNUMBER(P270)),P269+P270,"")</f>
        <v>261.1</v>
      </c>
      <c r="Q288" s="275">
        <f>IF(AND(ISNUMBER(Q269),ISNUMBER(Q270)),Q269+Q270,"")</f>
        <v>233.8</v>
      </c>
      <c r="R288" s="275">
        <f>IF(AND(ISNUMBER(R269),ISNUMBER(R270)),R269+R270,"")</f>
        <v>291</v>
      </c>
      <c r="S288" s="275">
        <f>IF(AND(ISNUMBER(S269),ISNUMBER(S270)),S269+S270,"")</f>
        <v>944</v>
      </c>
      <c r="T288" s="275">
        <f>IF(AND(ISNUMBER(T269),ISNUMBER(T270)),T269+T270,"")</f>
        <v>242.8</v>
      </c>
      <c r="U288" s="275">
        <f>IF(AND(ISNUMBER(U269),ISNUMBER(U270)),U269+U270,"")</f>
        <v>310.9</v>
      </c>
      <c r="V288" s="275">
        <f>IF(AND(ISNUMBER(V269),ISNUMBER(V270)),V269+V270,"")</f>
        <v>273.9</v>
      </c>
      <c r="W288" s="275">
        <f>IF(AND(ISNUMBER(W269),ISNUMBER(W270)),W269+W270,"")</f>
        <v>237</v>
      </c>
      <c r="X288" s="275">
        <f>IF(AND(ISNUMBER(X269),ISNUMBER(X270)),X269+X270,"")</f>
        <v>1064.6</v>
      </c>
      <c r="Y288" s="275">
        <f>IF(AND(ISNUMBER(Y269),ISNUMBER(Y270)),Y269+Y270,"")</f>
        <v>211</v>
      </c>
      <c r="Z288" s="275">
        <f>IF(AND(ISNUMBER(Z269),ISNUMBER(Z270)),Z269+Z270,"")</f>
        <v>263.5</v>
      </c>
      <c r="AA288" s="275">
        <f>IF(AND(ISNUMBER(AA269),ISNUMBER(AA270)),AA269+AA270,"")</f>
        <v>297.3</v>
      </c>
      <c r="AB288" s="275">
        <f>IF(AND(ISNUMBER(AB269),ISNUMBER(AB270)),AB269+AB270,"")</f>
        <v>339.1</v>
      </c>
      <c r="AC288" s="275">
        <f>IF(AND(ISNUMBER(AC269),ISNUMBER(AC270)),AC269+AC270,"")</f>
        <v>1110.9</v>
      </c>
      <c r="AD288" s="275">
        <f>IF(AND(ISNUMBER(AD269),ISNUMBER(AD270)),AD269+AD270,"")</f>
        <v>-531.1</v>
      </c>
      <c r="AE288" s="275">
        <f>IF(AND(ISNUMBER(AE269),ISNUMBER(AE270)),AE269+AE270,"")</f>
        <v>440.6</v>
      </c>
      <c r="AF288" s="275">
        <f>IF(AND(ISNUMBER(AF269),ISNUMBER(AF270)),AF269+AF270,"")</f>
        <v>363.8</v>
      </c>
      <c r="AG288" s="275">
        <f>IF(AND(ISNUMBER(AG269),ISNUMBER(AG270)),AG269+AG270,"")</f>
        <v>383.6</v>
      </c>
      <c r="AH288" s="275">
        <f>IF(AND(ISNUMBER(AH269),ISNUMBER(AH270)),AH269+AH270,"")</f>
        <v>656.9</v>
      </c>
      <c r="AI288" s="275">
        <f>IF(AND(ISNUMBER(AI269),ISNUMBER(AI270)),AI269+AI270,"")</f>
        <v>376.5</v>
      </c>
      <c r="AJ288" s="275">
        <f>IF(AND(ISNUMBER(AJ269),ISNUMBER(AJ270)),AJ269+AJ270,"")</f>
        <v>362.9</v>
      </c>
      <c r="AK288" s="275">
        <f>IF(AND(ISNUMBER(AK269),ISNUMBER(AK270)),AK269+AK270,"")</f>
        <v>282.3</v>
      </c>
      <c r="AL288" s="275">
        <f>IF(AND(ISNUMBER(AL269),ISNUMBER(AL270)),AL269+AL270,"")</f>
        <v>349</v>
      </c>
      <c r="AM288" s="275">
        <f>IF(AND(ISNUMBER(AM269),ISNUMBER(AM270)),AM269+AM270,"")</f>
        <v>1370.7</v>
      </c>
      <c r="AN288" s="275">
        <f>IF(AND(ISNUMBER(AN269),ISNUMBER(AN270)),AN269+AN270,"")</f>
        <v>347.1</v>
      </c>
      <c r="AO288" s="275">
        <f>IF(AND(ISNUMBER(AO269),ISNUMBER(AO270)),AO269+AO270,"")</f>
        <v>368.7</v>
      </c>
      <c r="AP288" s="275">
        <f>IF(AND(ISNUMBER(AP269),ISNUMBER(AP270)),AP269+AP270,"")</f>
        <v>418.8</v>
      </c>
      <c r="AQ288" s="275">
        <f>IF(AND(ISNUMBER(AQ269),ISNUMBER(AQ270)),AQ269+AQ270,"")</f>
        <v>471.4</v>
      </c>
      <c r="AR288" s="275">
        <f>IF(AND(ISNUMBER(AR269),ISNUMBER(AR270)),AR269+AR270,"")</f>
        <v>1606</v>
      </c>
      <c r="AS288" s="275">
        <f>IF(AND(ISNUMBER(AS269),ISNUMBER(AS270)),AS269+AS270,"")</f>
        <v>324</v>
      </c>
      <c r="AT288" s="275">
        <f>IF(AND(ISNUMBER(AT269),ISNUMBER(AT270)),AT269+AT270,"")</f>
        <v>591</v>
      </c>
      <c r="AU288" s="275">
        <f>IF(AND(ISNUMBER(AU269),ISNUMBER(AU270)),AU269+AU270,"")</f>
        <v>490</v>
      </c>
      <c r="AV288" s="275">
        <f>IF(AND(ISNUMBER(AV269),ISNUMBER(AV270)),AV269+AV270,"")</f>
        <v>638</v>
      </c>
      <c r="AW288" s="275">
        <f>IF(AND(ISNUMBER(AW269),ISNUMBER(AW270)),AW269+AW270,"")</f>
        <v>2043</v>
      </c>
      <c r="AX288" s="275">
        <f>IF(AND(ISNUMBER(AX269),ISNUMBER(AX270)),AX269+AX270,"")</f>
        <v>662</v>
      </c>
      <c r="AY288" s="275">
        <f>IF(AND(ISNUMBER(AY269),ISNUMBER(AY270)),AY269+AY270,"")</f>
        <v>564</v>
      </c>
      <c r="AZ288" s="275">
        <f>IF(AND(ISNUMBER(AZ269),ISNUMBER(AZ270)),AZ269+AZ270,"")</f>
        <v>403</v>
      </c>
      <c r="BA288" s="275">
        <f>IF(AND(ISNUMBER(BA269),ISNUMBER(BA270)),BA269+BA270,"")</f>
        <v>237</v>
      </c>
      <c r="BB288" s="275">
        <f>IF(AND(ISNUMBER(BB269),ISNUMBER(BB270)),BB269+BB270,"")</f>
        <v>1866</v>
      </c>
      <c r="BC288" s="275">
        <f>IF(AND(ISNUMBER(BC269),ISNUMBER(BC270)),BC269+BC270,"")</f>
        <v>411</v>
      </c>
      <c r="BD288" s="275">
        <f>IF(AND(ISNUMBER(BD269),ISNUMBER(BD270)),BD269+BD270,"")</f>
        <v>217</v>
      </c>
      <c r="BE288" s="275">
        <f>IF(AND(ISNUMBER(BE269),ISNUMBER(BE270)),BE269+BE270,"")</f>
        <v>265</v>
      </c>
      <c r="BF288" s="275">
        <f>IF(AND(ISNUMBER(BF269),ISNUMBER(BF270)),BF269+BF270,"")</f>
        <v>298</v>
      </c>
      <c r="BG288" s="275">
        <f>IF(AND(ISNUMBER(BG269),ISNUMBER(BG270)),BG269+BG270,"")</f>
        <v>1191</v>
      </c>
      <c r="BH288" s="275">
        <f>IF(AND(ISNUMBER(BH269),ISNUMBER(BH270)),BH269+BH270,"")</f>
        <v>535</v>
      </c>
      <c r="BI288" s="275">
        <f>IF(AND(ISNUMBER(BI269),ISNUMBER(BI270)),BI269+BI270,"")</f>
        <v>550</v>
      </c>
      <c r="BJ288" s="275">
        <f>IF(AND(ISNUMBER(BJ269),ISNUMBER(BJ270)),BJ269+BJ270,"")</f>
        <v>391</v>
      </c>
      <c r="BK288" s="275">
        <f>IF(AND(ISNUMBER(BK269),ISNUMBER(BK270)),BK269+BK270,"")</f>
        <v>404</v>
      </c>
      <c r="BL288" s="275">
        <f>IF(AND(ISNUMBER(BL269),ISNUMBER(BL270)),BL269+BL270,"")</f>
        <v>1880</v>
      </c>
      <c r="BM288" s="275">
        <f>IF(AND(ISNUMBER(BM269),ISNUMBER(BM270)),BM269+BM270,"")</f>
        <v>697</v>
      </c>
      <c r="BN288" s="275">
        <f>IF(AND(ISNUMBER(BN269),ISNUMBER(BN270)),BN269+BN270,"")</f>
        <v>593</v>
      </c>
      <c r="BO288" s="275">
        <f>IF(AND(ISNUMBER(BO269),ISNUMBER(BO270)),BO269+BO270,"")</f>
        <v>631</v>
      </c>
      <c r="BP288" s="275">
        <f>IF(AND(ISNUMBER(BP269),ISNUMBER(BP270)),BP269+BP270,"")</f>
        <v>600</v>
      </c>
      <c r="BQ288" s="275">
        <f>IF(AND(ISNUMBER(BQ269),ISNUMBER(BQ270)),BQ269+BQ270,"")</f>
        <v>2521</v>
      </c>
      <c r="BR288" s="275">
        <f>IF(AND(ISNUMBER(BR269),ISNUMBER(BR270)),BR269+BR270,"")</f>
        <v>672</v>
      </c>
      <c r="BS288" s="275">
        <f>IF(AND(ISNUMBER(BS269),ISNUMBER(BS270)),BS269+BS270,"")</f>
        <v>468</v>
      </c>
      <c r="BT288" s="275">
        <f>IF(AND(ISNUMBER(BT269),ISNUMBER(BT270)),BT269+BT270,"")</f>
        <v>658</v>
      </c>
      <c r="BU288" s="275">
        <f>IF(AND(ISNUMBER(BU269),ISNUMBER(BU270)),BU269+BU270,"")</f>
        <v>777</v>
      </c>
      <c r="BV288" s="275">
        <f>IF(AND(ISNUMBER(BV269),ISNUMBER(BV270)),BV269+BV270,"")</f>
        <v>2575</v>
      </c>
      <c r="BW288" s="275">
        <f>IF(AND(ISNUMBER(BW269),ISNUMBER(BW270)),BW269+BW270,"")</f>
        <v>844</v>
      </c>
      <c r="BX288" s="275">
        <f>IF(AND(ISNUMBER(BX269),ISNUMBER(BX270)),BX269+BX270,"")</f>
        <v>688</v>
      </c>
      <c r="BY288" s="56" t="n"/>
      <c r="BZ288" s="56" t="n"/>
      <c r="CA288" s="275">
        <f>IF(AND(ISNUMBER(CA269),ISNUMBER(CA270)),CA269+CA270,"")</f>
        <v>2933.74278142087</v>
      </c>
      <c r="CB288" s="275">
        <f>IF(AND(ISNUMBER(CB269),ISNUMBER(CB270)),CB269+CB270,"")</f>
        <v>3296.04883345249</v>
      </c>
      <c r="CC288" s="275">
        <f>IF(AND(ISNUMBER(CC269),ISNUMBER(CC270)),CC269+CC270,"")</f>
        <v>3617.76915064323</v>
      </c>
      <c r="CD288" s="275">
        <f>IF(AND(ISNUMBER(CD269),ISNUMBER(CD270)),CD269+CD270,"")</f>
        <v>3878.18549165615</v>
      </c>
      <c r="CE288" s="275">
        <f>IF(AND(ISNUMBER(CE269),ISNUMBER(CE270)),CE269+CE270,"")</f>
        <v>4130.99024043202</v>
      </c>
      <c r="CF288" s="153" t="n"/>
      <c r="CH288" s="20">
        <f>IFERROR((CE288/BV288)^(1/5)-1,"n/m")</f>
        <v>0.0991460084784719</v>
      </c>
      <c r="CI288" s="20">
        <f>IFERROR((BV288/AW288)^(1/5)-1,"n/m")</f>
        <v>0.0473739627900045</v>
      </c>
      <c r="CJ288" s="20">
        <f>IFERROR((BV288/X288)^(1/10)-1,"n/m")</f>
        <v>0.0923431187038117</v>
      </c>
      <c r="CK288" s="20">
        <f>IFERROR((BV288/C288)^(1/19)-1,"n/m")</f>
        <v>0.0692623330401188</v>
      </c>
    </row>
    <row r="289" ht="15" customHeight="1" s="251">
      <c r="B289" s="156" t="inlineStr">
        <is>
          <t xml:space="preserve">  Company-published Free Cash Flow</t>
        </is>
      </c>
      <c r="C289" s="34" t="n"/>
      <c r="D289" s="34" t="n"/>
      <c r="E289" s="34" t="n"/>
      <c r="F289" s="34" t="n"/>
      <c r="G289" s="34" t="n"/>
      <c r="H289" s="34" t="n"/>
      <c r="I289" s="253" t="n">
        <v>778.1</v>
      </c>
      <c r="J289" s="253" t="n">
        <v>194</v>
      </c>
      <c r="K289" s="253" t="n">
        <v>157</v>
      </c>
      <c r="L289" s="253" t="n">
        <v>271.5</v>
      </c>
      <c r="M289" s="253" t="n">
        <v>262</v>
      </c>
      <c r="N289" s="253" t="n">
        <v>884.5</v>
      </c>
      <c r="O289" s="253" t="n">
        <v>158.1</v>
      </c>
      <c r="P289" s="253" t="n">
        <v>261.1</v>
      </c>
      <c r="Q289" s="253" t="n">
        <v>233.8</v>
      </c>
      <c r="R289" s="253" t="n">
        <v>291</v>
      </c>
      <c r="S289" s="253" t="n">
        <v>944</v>
      </c>
      <c r="T289" s="253" t="n">
        <v>242.8</v>
      </c>
      <c r="U289" s="253" t="n">
        <v>310.9</v>
      </c>
      <c r="V289" s="253" t="n">
        <v>273.9</v>
      </c>
      <c r="W289" s="253" t="n">
        <v>237.4</v>
      </c>
      <c r="X289" s="253" t="n">
        <v>1065</v>
      </c>
      <c r="Y289" s="253" t="n">
        <v>211</v>
      </c>
      <c r="Z289" s="253" t="n">
        <v>263.5</v>
      </c>
      <c r="AA289" s="253" t="n">
        <v>297.3</v>
      </c>
      <c r="AB289" s="253" t="n">
        <v>339.1</v>
      </c>
      <c r="AC289" s="253" t="n">
        <v>1110.9</v>
      </c>
      <c r="AD289" s="253" t="n">
        <v>-531.1</v>
      </c>
      <c r="AE289" s="253" t="n">
        <v>440.6</v>
      </c>
      <c r="AF289" s="253" t="n">
        <v>363.8</v>
      </c>
      <c r="AG289" s="253" t="n">
        <v>383.6</v>
      </c>
      <c r="AH289" s="253" t="n">
        <v>656.9</v>
      </c>
      <c r="AI289" s="253" t="n">
        <v>376.5</v>
      </c>
      <c r="AJ289" s="253" t="n">
        <v>362.9</v>
      </c>
      <c r="AK289" s="253" t="n">
        <v>282.3</v>
      </c>
      <c r="AL289" s="253" t="n">
        <v>349</v>
      </c>
      <c r="AM289" s="253" t="n">
        <v>1370.7</v>
      </c>
      <c r="AN289" s="253" t="n">
        <v>347.1</v>
      </c>
      <c r="AO289" s="253" t="n">
        <v>368.7</v>
      </c>
      <c r="AP289" s="253" t="n">
        <v>418.8</v>
      </c>
      <c r="AQ289" s="253" t="n">
        <v>471.4</v>
      </c>
      <c r="AR289" s="253" t="n">
        <v>1606</v>
      </c>
      <c r="AS289" s="253" t="n">
        <v>324</v>
      </c>
      <c r="AT289" s="253" t="n">
        <v>591</v>
      </c>
      <c r="AU289" s="253" t="n">
        <v>490</v>
      </c>
      <c r="AV289" s="253" t="n">
        <v>638</v>
      </c>
      <c r="AW289" s="253" t="n">
        <v>2043</v>
      </c>
      <c r="AX289" s="253" t="n">
        <v>662</v>
      </c>
      <c r="AY289" s="253" t="n">
        <v>564</v>
      </c>
      <c r="AZ289" s="253" t="n">
        <v>403</v>
      </c>
      <c r="BA289" s="253" t="n">
        <v>237</v>
      </c>
      <c r="BB289" s="253" t="n">
        <v>1866</v>
      </c>
      <c r="BC289" s="253" t="n">
        <v>411</v>
      </c>
      <c r="BD289" s="253" t="n">
        <v>217</v>
      </c>
      <c r="BE289" s="253" t="n">
        <v>265</v>
      </c>
      <c r="BF289" s="253" t="n">
        <v>298</v>
      </c>
      <c r="BG289" s="253" t="n">
        <v>1191</v>
      </c>
      <c r="BH289" s="253" t="n">
        <v>535</v>
      </c>
      <c r="BI289" s="253" t="n">
        <v>550</v>
      </c>
      <c r="BJ289" s="253" t="n">
        <v>391</v>
      </c>
      <c r="BK289" s="253" t="n">
        <v>404</v>
      </c>
      <c r="BL289" s="253" t="n">
        <v>1880</v>
      </c>
      <c r="BM289" s="253" t="n">
        <v>697</v>
      </c>
      <c r="BN289" s="253" t="n">
        <v>593</v>
      </c>
      <c r="BO289" s="253" t="n">
        <v>631</v>
      </c>
      <c r="BP289" s="253" t="n">
        <v>600</v>
      </c>
      <c r="BQ289" s="253" t="n">
        <v>2521</v>
      </c>
      <c r="BR289" s="253" t="n">
        <v>672</v>
      </c>
      <c r="BS289" s="253" t="n">
        <v>468</v>
      </c>
      <c r="BT289" s="253" t="n">
        <v>658</v>
      </c>
      <c r="BU289" s="253" t="n">
        <v>777</v>
      </c>
      <c r="BV289" s="253" t="n">
        <v>2575</v>
      </c>
      <c r="BW289" s="253" t="n">
        <v>844</v>
      </c>
      <c r="BX289" s="253" t="n">
        <v>688</v>
      </c>
      <c r="BY289" s="153" t="n"/>
      <c r="BZ289" s="153" t="n"/>
      <c r="CA289" s="153" t="n"/>
      <c r="CB289" s="153" t="n"/>
      <c r="CC289" s="153" t="n"/>
      <c r="CD289" s="153" t="n"/>
      <c r="CE289" s="153" t="n"/>
      <c r="CF289" s="153" t="n"/>
    </row>
    <row r="290" ht="15" customHeight="1" s="251">
      <c r="B290" s="57" t="inlineStr">
        <is>
          <t xml:space="preserve">  Check: model vs company-published Free Cash Flow (should be 0)</t>
        </is>
      </c>
      <c r="C290" s="261" t="str">
        <f>IF(ISNUMBER(C289),IF(ABS(C288-C289)&lt;=1.5,0,ROUND(C288-C289,1)),"n/p")</f>
        <v>n/p</v>
      </c>
      <c r="D290" s="261" t="str">
        <f>IF(ISNUMBER(D289),IF(ABS(D288-D289)&lt;=1.5,0,ROUND(D288-D289,1)),"n/p")</f>
        <v>n/p</v>
      </c>
      <c r="E290" s="261" t="str">
        <f>IF(ISNUMBER(E289),IF(ABS(E288-E289)&lt;=1.5,0,ROUND(E288-E289,1)),"n/p")</f>
        <v>n/p</v>
      </c>
      <c r="F290" s="261" t="str">
        <f>IF(ISNUMBER(F289),IF(ABS(F288-F289)&lt;=1.5,0,ROUND(F288-F289,1)),"n/p")</f>
        <v>n/p</v>
      </c>
      <c r="G290" s="261" t="str">
        <f>IF(ISNUMBER(G289),IF(ABS(G288-G289)&lt;=1.5,0,ROUND(G288-G289,1)),"n/p")</f>
        <v>n/p</v>
      </c>
      <c r="H290" s="261" t="str">
        <f>IF(ISNUMBER(H289),IF(ABS(H288-H289)&lt;=1.5,0,ROUND(H288-H289,1)),"n/p")</f>
        <v>n/p</v>
      </c>
      <c r="I290" s="261">
        <f>IF(ISNUMBER(I289),IF(ABS(I288-I289)&lt;=1.5,0,ROUND(I288-I289,1)),"n/p")</f>
        <v>0</v>
      </c>
      <c r="J290" s="261">
        <f>IF(ISNUMBER(J289),IF(ABS(J288-J289)&lt;=1.5,0,ROUND(J288-J289,1)),"n/p")</f>
        <v>0</v>
      </c>
      <c r="K290" s="261">
        <f>IF(ISNUMBER(K289),IF(ABS(K288-K289)&lt;=1.5,0,ROUND(K288-K289,1)),"n/p")</f>
        <v>0</v>
      </c>
      <c r="L290" s="261">
        <f>IF(ISNUMBER(L289),IF(ABS(L288-L289)&lt;=1.5,0,ROUND(L288-L289,1)),"n/p")</f>
        <v>0</v>
      </c>
      <c r="M290" s="261">
        <f>IF(ISNUMBER(M289),IF(ABS(M288-M289)&lt;=1.5,0,ROUND(M288-M289,1)),"n/p")</f>
        <v>0</v>
      </c>
      <c r="N290" s="261">
        <f>IF(ISNUMBER(N289),IF(ABS(N288-N289)&lt;=1.5,0,ROUND(N288-N289,1)),"n/p")</f>
        <v>0</v>
      </c>
      <c r="O290" s="261">
        <f>IF(ISNUMBER(O289),IF(ABS(O288-O289)&lt;=1.5,0,ROUND(O288-O289,1)),"n/p")</f>
        <v>0</v>
      </c>
      <c r="P290" s="261">
        <f>IF(ISNUMBER(P289),IF(ABS(P288-P289)&lt;=1.5,0,ROUND(P288-P289,1)),"n/p")</f>
        <v>0</v>
      </c>
      <c r="Q290" s="261">
        <f>IF(ISNUMBER(Q289),IF(ABS(Q288-Q289)&lt;=1.5,0,ROUND(Q288-Q289,1)),"n/p")</f>
        <v>0</v>
      </c>
      <c r="R290" s="261">
        <f>IF(ISNUMBER(R289),IF(ABS(R288-R289)&lt;=1.5,0,ROUND(R288-R289,1)),"n/p")</f>
        <v>0</v>
      </c>
      <c r="S290" s="261">
        <f>IF(ISNUMBER(S289),IF(ABS(S288-S289)&lt;=1.5,0,ROUND(S288-S289,1)),"n/p")</f>
        <v>0</v>
      </c>
      <c r="T290" s="261">
        <f>IF(ISNUMBER(T289),IF(ABS(T288-T289)&lt;=1.5,0,ROUND(T288-T289,1)),"n/p")</f>
        <v>0</v>
      </c>
      <c r="U290" s="261">
        <f>IF(ISNUMBER(U289),IF(ABS(U288-U289)&lt;=1.5,0,ROUND(U288-U289,1)),"n/p")</f>
        <v>0</v>
      </c>
      <c r="V290" s="261">
        <f>IF(ISNUMBER(V289),IF(ABS(V288-V289)&lt;=1.5,0,ROUND(V288-V289,1)),"n/p")</f>
        <v>0</v>
      </c>
      <c r="W290" s="261">
        <f>IF(ISNUMBER(W289),IF(ABS(W288-W289)&lt;=1.5,0,ROUND(W288-W289,1)),"n/p")</f>
        <v>0</v>
      </c>
      <c r="X290" s="261">
        <f>IF(ISNUMBER(X289),IF(ABS(X288-X289)&lt;=1.5,0,ROUND(X288-X289,1)),"n/p")</f>
        <v>0</v>
      </c>
      <c r="Y290" s="261">
        <f>IF(ISNUMBER(Y289),IF(ABS(Y288-Y289)&lt;=1.5,0,ROUND(Y288-Y289,1)),"n/p")</f>
        <v>0</v>
      </c>
      <c r="Z290" s="261">
        <f>IF(ISNUMBER(Z289),IF(ABS(Z288-Z289)&lt;=1.5,0,ROUND(Z288-Z289,1)),"n/p")</f>
        <v>0</v>
      </c>
      <c r="AA290" s="261">
        <f>IF(ISNUMBER(AA289),IF(ABS(AA288-AA289)&lt;=1.5,0,ROUND(AA288-AA289,1)),"n/p")</f>
        <v>0</v>
      </c>
      <c r="AB290" s="261">
        <f>IF(ISNUMBER(AB289),IF(ABS(AB288-AB289)&lt;=1.5,0,ROUND(AB288-AB289,1)),"n/p")</f>
        <v>0</v>
      </c>
      <c r="AC290" s="261">
        <f>IF(ISNUMBER(AC289),IF(ABS(AC288-AC289)&lt;=1.5,0,ROUND(AC288-AC289,1)),"n/p")</f>
        <v>0</v>
      </c>
      <c r="AD290" s="261">
        <f>IF(ISNUMBER(AD289),IF(ABS(AD288-AD289)&lt;=1.5,0,ROUND(AD288-AD289,1)),"n/p")</f>
        <v>0</v>
      </c>
      <c r="AE290" s="261">
        <f>IF(ISNUMBER(AE289),IF(ABS(AE288-AE289)&lt;=1.5,0,ROUND(AE288-AE289,1)),"n/p")</f>
        <v>0</v>
      </c>
      <c r="AF290" s="261">
        <f>IF(ISNUMBER(AF289),IF(ABS(AF288-AF289)&lt;=1.5,0,ROUND(AF288-AF289,1)),"n/p")</f>
        <v>0</v>
      </c>
      <c r="AG290" s="261">
        <f>IF(ISNUMBER(AG289),IF(ABS(AG288-AG289)&lt;=1.5,0,ROUND(AG288-AG289,1)),"n/p")</f>
        <v>0</v>
      </c>
      <c r="AH290" s="261">
        <f>IF(ISNUMBER(AH289),IF(ABS(AH288-AH289)&lt;=1.5,0,ROUND(AH288-AH289,1)),"n/p")</f>
        <v>0</v>
      </c>
      <c r="AI290" s="261">
        <f>IF(ISNUMBER(AI289),IF(ABS(AI288-AI289)&lt;=1.5,0,ROUND(AI288-AI289,1)),"n/p")</f>
        <v>0</v>
      </c>
      <c r="AJ290" s="261">
        <f>IF(ISNUMBER(AJ289),IF(ABS(AJ288-AJ289)&lt;=1.5,0,ROUND(AJ288-AJ289,1)),"n/p")</f>
        <v>0</v>
      </c>
      <c r="AK290" s="261">
        <f>IF(ISNUMBER(AK289),IF(ABS(AK288-AK289)&lt;=1.5,0,ROUND(AK288-AK289,1)),"n/p")</f>
        <v>0</v>
      </c>
      <c r="AL290" s="261">
        <f>IF(ISNUMBER(AL289),IF(ABS(AL288-AL289)&lt;=1.5,0,ROUND(AL288-AL289,1)),"n/p")</f>
        <v>0</v>
      </c>
      <c r="AM290" s="261">
        <f>IF(ISNUMBER(AM289),IF(ABS(AM288-AM289)&lt;=1.5,0,ROUND(AM288-AM289,1)),"n/p")</f>
        <v>0</v>
      </c>
      <c r="AN290" s="261">
        <f>IF(ISNUMBER(AN289),IF(ABS(AN288-AN289)&lt;=1.5,0,ROUND(AN288-AN289,1)),"n/p")</f>
        <v>0</v>
      </c>
      <c r="AO290" s="261">
        <f>IF(ISNUMBER(AO289),IF(ABS(AO288-AO289)&lt;=1.5,0,ROUND(AO288-AO289,1)),"n/p")</f>
        <v>0</v>
      </c>
      <c r="AP290" s="261">
        <f>IF(ISNUMBER(AP289),IF(ABS(AP288-AP289)&lt;=1.5,0,ROUND(AP288-AP289,1)),"n/p")</f>
        <v>0</v>
      </c>
      <c r="AQ290" s="261">
        <f>IF(ISNUMBER(AQ289),IF(ABS(AQ288-AQ289)&lt;=1.5,0,ROUND(AQ288-AQ289,1)),"n/p")</f>
        <v>0</v>
      </c>
      <c r="AR290" s="261">
        <f>IF(ISNUMBER(AR289),IF(ABS(AR288-AR289)&lt;=1.5,0,ROUND(AR288-AR289,1)),"n/p")</f>
        <v>0</v>
      </c>
      <c r="AS290" s="261">
        <f>IF(ISNUMBER(AS289),IF(ABS(AS288-AS289)&lt;=1.5,0,ROUND(AS288-AS289,1)),"n/p")</f>
        <v>0</v>
      </c>
      <c r="AT290" s="261">
        <f>IF(ISNUMBER(AT289),IF(ABS(AT288-AT289)&lt;=1.5,0,ROUND(AT288-AT289,1)),"n/p")</f>
        <v>0</v>
      </c>
      <c r="AU290" s="261">
        <f>IF(ISNUMBER(AU289),IF(ABS(AU288-AU289)&lt;=1.5,0,ROUND(AU288-AU289,1)),"n/p")</f>
        <v>0</v>
      </c>
      <c r="AV290" s="261">
        <f>IF(ISNUMBER(AV289),IF(ABS(AV288-AV289)&lt;=1.5,0,ROUND(AV288-AV289,1)),"n/p")</f>
        <v>0</v>
      </c>
      <c r="AW290" s="261">
        <f>IF(ISNUMBER(AW289),IF(ABS(AW288-AW289)&lt;=1.5,0,ROUND(AW288-AW289,1)),"n/p")</f>
        <v>0</v>
      </c>
      <c r="AX290" s="261">
        <f>IF(ISNUMBER(AX289),IF(ABS(AX288-AX289)&lt;=1.5,0,ROUND(AX288-AX289,1)),"n/p")</f>
        <v>0</v>
      </c>
      <c r="AY290" s="261">
        <f>IF(ISNUMBER(AY289),IF(ABS(AY288-AY289)&lt;=1.5,0,ROUND(AY288-AY289,1)),"n/p")</f>
        <v>0</v>
      </c>
      <c r="AZ290" s="261">
        <f>IF(ISNUMBER(AZ289),IF(ABS(AZ288-AZ289)&lt;=1.5,0,ROUND(AZ288-AZ289,1)),"n/p")</f>
        <v>0</v>
      </c>
      <c r="BA290" s="261">
        <f>IF(ISNUMBER(BA289),IF(ABS(BA288-BA289)&lt;=1.5,0,ROUND(BA288-BA289,1)),"n/p")</f>
        <v>0</v>
      </c>
      <c r="BB290" s="261">
        <f>IF(ISNUMBER(BB289),IF(ABS(BB288-BB289)&lt;=1.5,0,ROUND(BB288-BB289,1)),"n/p")</f>
        <v>0</v>
      </c>
      <c r="BC290" s="261">
        <f>IF(ISNUMBER(BC289),IF(ABS(BC288-BC289)&lt;=1.5,0,ROUND(BC288-BC289,1)),"n/p")</f>
        <v>0</v>
      </c>
      <c r="BD290" s="261">
        <f>IF(ISNUMBER(BD289),IF(ABS(BD288-BD289)&lt;=1.5,0,ROUND(BD288-BD289,1)),"n/p")</f>
        <v>0</v>
      </c>
      <c r="BE290" s="261">
        <f>IF(ISNUMBER(BE289),IF(ABS(BE288-BE289)&lt;=1.5,0,ROUND(BE288-BE289,1)),"n/p")</f>
        <v>0</v>
      </c>
      <c r="BF290" s="261">
        <f>IF(ISNUMBER(BF289),IF(ABS(BF288-BF289)&lt;=1.5,0,ROUND(BF288-BF289,1)),"n/p")</f>
        <v>0</v>
      </c>
      <c r="BG290" s="261">
        <f>IF(ISNUMBER(BG289),IF(ABS(BG288-BG289)&lt;=1.5,0,ROUND(BG288-BG289,1)),"n/p")</f>
        <v>0</v>
      </c>
      <c r="BH290" s="261">
        <f>IF(ISNUMBER(BH289),IF(ABS(BH288-BH289)&lt;=1.5,0,ROUND(BH288-BH289,1)),"n/p")</f>
        <v>0</v>
      </c>
      <c r="BI290" s="261">
        <f>IF(ISNUMBER(BI289),IF(ABS(BI288-BI289)&lt;=1.5,0,ROUND(BI288-BI289,1)),"n/p")</f>
        <v>0</v>
      </c>
      <c r="BJ290" s="261">
        <f>IF(ISNUMBER(BJ289),IF(ABS(BJ288-BJ289)&lt;=1.5,0,ROUND(BJ288-BJ289,1)),"n/p")</f>
        <v>0</v>
      </c>
      <c r="BK290" s="261">
        <f>IF(ISNUMBER(BK289),IF(ABS(BK288-BK289)&lt;=1.5,0,ROUND(BK288-BK289,1)),"n/p")</f>
        <v>0</v>
      </c>
      <c r="BL290" s="261">
        <f>IF(ISNUMBER(BL289),IF(ABS(BL288-BL289)&lt;=1.5,0,ROUND(BL288-BL289,1)),"n/p")</f>
        <v>0</v>
      </c>
      <c r="BM290" s="261">
        <f>IF(ISNUMBER(BM289),IF(ABS(BM288-BM289)&lt;=1.5,0,ROUND(BM288-BM289,1)),"n/p")</f>
        <v>0</v>
      </c>
      <c r="BN290" s="261">
        <f>IF(ISNUMBER(BN289),IF(ABS(BN288-BN289)&lt;=1.5,0,ROUND(BN288-BN289,1)),"n/p")</f>
        <v>0</v>
      </c>
      <c r="BO290" s="261">
        <f>IF(ISNUMBER(BO289),IF(ABS(BO288-BO289)&lt;=1.5,0,ROUND(BO288-BO289,1)),"n/p")</f>
        <v>0</v>
      </c>
      <c r="BP290" s="261">
        <f>IF(ISNUMBER(BP289),IF(ABS(BP288-BP289)&lt;=1.5,0,ROUND(BP288-BP289,1)),"n/p")</f>
        <v>0</v>
      </c>
      <c r="BQ290" s="261">
        <f>IF(ISNUMBER(BQ289),IF(ABS(BQ288-BQ289)&lt;=1.5,0,ROUND(BQ288-BQ289,1)),"n/p")</f>
        <v>0</v>
      </c>
      <c r="BR290" s="261">
        <f>IF(ISNUMBER(BR289),IF(ABS(BR288-BR289)&lt;=1.5,0,ROUND(BR288-BR289,1)),"n/p")</f>
        <v>0</v>
      </c>
      <c r="BS290" s="261">
        <f>IF(ISNUMBER(BS289),IF(ABS(BS288-BS289)&lt;=1.5,0,ROUND(BS288-BS289,1)),"n/p")</f>
        <v>0</v>
      </c>
      <c r="BT290" s="261">
        <f>IF(ISNUMBER(BT289),IF(ABS(BT288-BT289)&lt;=1.5,0,ROUND(BT288-BT289,1)),"n/p")</f>
        <v>0</v>
      </c>
      <c r="BU290" s="261">
        <f>IF(ISNUMBER(BU289),IF(ABS(BU288-BU289)&lt;=1.5,0,ROUND(BU288-BU289,1)),"n/p")</f>
        <v>0</v>
      </c>
      <c r="BV290" s="261">
        <f>IF(ISNUMBER(BV289),IF(ABS(BV288-BV289)&lt;=1.5,0,ROUND(BV288-BV289,1)),"n/p")</f>
        <v>0</v>
      </c>
      <c r="BW290" s="261">
        <f>IF(ISNUMBER(BW289),IF(ABS(BW288-BW289)&lt;=1.5,0,ROUND(BW288-BW289,1)),"n/p")</f>
        <v>0</v>
      </c>
      <c r="BX290" s="261">
        <f>IF(ISNUMBER(BX289),IF(ABS(BX288-BX289)&lt;=1.5,0,ROUND(BX288-BX289,1)),"n/p")</f>
        <v>0</v>
      </c>
      <c r="BY290" s="153" t="n"/>
      <c r="BZ290" s="153" t="n"/>
      <c r="CA290" s="153" t="n"/>
      <c r="CB290" s="153" t="n"/>
      <c r="CC290" s="153" t="n"/>
      <c r="CD290" s="153" t="n"/>
      <c r="CE290" s="153" t="n"/>
      <c r="CF290" s="153" t="n"/>
    </row>
    <row r="291" ht="15" customHeight="1" s="251">
      <c r="B291" s="22" t="inlineStr">
        <is>
          <t xml:space="preserve">  FCF y/y %</t>
        </is>
      </c>
      <c r="D291" s="255">
        <f>IF(AND(ISNUMBER(D288),ISNUMBER(C288)),IFERROR(D288/C288-1,""),"")</f>
        <v>0.11200443581924</v>
      </c>
      <c r="E291" s="255">
        <f>IF(AND(ISNUMBER(E288),ISNUMBER(D288)),IFERROR(E288/D288-1,""),"")</f>
        <v>-0.43866866118175</v>
      </c>
      <c r="F291" s="255">
        <f>IF(AND(ISNUMBER(F288),ISNUMBER(E288)),IFERROR(F288/E288-1,""),"")</f>
        <v>0.22829224961137</v>
      </c>
      <c r="G291" s="255">
        <f>IF(AND(ISNUMBER(G288),ISNUMBER(F288)),IFERROR(G288/F288-1,""),"")</f>
        <v>0.0383294160188032</v>
      </c>
      <c r="H291" s="255">
        <f>IF(AND(ISNUMBER(H288),ISNUMBER(G288)),IFERROR(H288/G288-1,""),"")</f>
        <v>0.280863660107958</v>
      </c>
      <c r="I291" s="255">
        <f>IF(AND(ISNUMBER(I288),ISNUMBER(H288)),IFERROR(I288/H288-1,""),"")</f>
        <v>0.0577759651984775</v>
      </c>
      <c r="N291" s="255">
        <f>IF(AND(ISNUMBER(N288),ISNUMBER(I288)),IFERROR(N288/I288-1,""),"")</f>
        <v>0.136743349183909</v>
      </c>
      <c r="O291" s="255">
        <f>IF(AND(ISNUMBER(O288),ISNUMBER(J288)),IFERROR(O288/J288-1,""),"")</f>
        <v>-0.185051546391753</v>
      </c>
      <c r="P291" s="255">
        <f>IF(AND(ISNUMBER(P288),ISNUMBER(K288)),IFERROR(P288/K288-1,""),"")</f>
        <v>0.663057324840765</v>
      </c>
      <c r="Q291" s="255">
        <f>IF(AND(ISNUMBER(Q288),ISNUMBER(L288)),IFERROR(Q288/L288-1,""),"")</f>
        <v>-0.138858195211786</v>
      </c>
      <c r="R291" s="255">
        <f>IF(AND(ISNUMBER(R288),ISNUMBER(M288)),IFERROR(R288/M288-1,""),"")</f>
        <v>0.110687022900763</v>
      </c>
      <c r="S291" s="255">
        <f>IF(AND(ISNUMBER(S288),ISNUMBER(N288)),IFERROR(S288/N288-1,""),"")</f>
        <v>0.0672696438665914</v>
      </c>
      <c r="T291" s="255">
        <f>IF(AND(ISNUMBER(T288),ISNUMBER(O288)),IFERROR(T288/O288-1,""),"")</f>
        <v>0.53573687539532</v>
      </c>
      <c r="U291" s="255">
        <f>IF(AND(ISNUMBER(U288),ISNUMBER(P288)),IFERROR(U288/P288-1,""),"")</f>
        <v>0.190731520490234</v>
      </c>
      <c r="V291" s="255">
        <f>IF(AND(ISNUMBER(V288),ISNUMBER(Q288)),IFERROR(V288/Q288-1,""),"")</f>
        <v>0.171514114627887</v>
      </c>
      <c r="W291" s="255">
        <f>IF(AND(ISNUMBER(W288),ISNUMBER(R288)),IFERROR(W288/R288-1,""),"")</f>
        <v>-0.185567010309278</v>
      </c>
      <c r="X291" s="255">
        <f>IF(AND(ISNUMBER(X288),ISNUMBER(S288)),IFERROR(X288/S288-1,""),"")</f>
        <v>0.127754237288136</v>
      </c>
      <c r="Y291" s="255">
        <f>IF(AND(ISNUMBER(Y288),ISNUMBER(T288)),IFERROR(Y288/T288-1,""),"")</f>
        <v>-0.130971993410214</v>
      </c>
      <c r="Z291" s="255">
        <f>IF(AND(ISNUMBER(Z288),ISNUMBER(U288)),IFERROR(Z288/U288-1,""),"")</f>
        <v>-0.152460598263107</v>
      </c>
      <c r="AA291" s="255">
        <f>IF(AND(ISNUMBER(AA288),ISNUMBER(V288)),IFERROR(AA288/V288-1,""),"")</f>
        <v>0.0854326396495071</v>
      </c>
      <c r="AB291" s="255">
        <f>IF(AND(ISNUMBER(AB288),ISNUMBER(W288)),IFERROR(AB288/W288-1,""),"")</f>
        <v>0.430801687763713</v>
      </c>
      <c r="AC291" s="255">
        <f>IF(AND(ISNUMBER(AC288),ISNUMBER(X288)),IFERROR(AC288/X288-1,""),"")</f>
        <v>0.0434905128686831</v>
      </c>
      <c r="AD291" s="255">
        <f>IF(AND(ISNUMBER(AD288),ISNUMBER(Y288)),IFERROR(AD288/Y288-1,""),"")</f>
        <v>-3.51706161137441</v>
      </c>
      <c r="AE291" s="255">
        <f>IF(AND(ISNUMBER(AE288),ISNUMBER(Z288)),IFERROR(AE288/Z288-1,""),"")</f>
        <v>0.672106261859582</v>
      </c>
      <c r="AF291" s="255">
        <f>IF(AND(ISNUMBER(AF288),ISNUMBER(AA288)),IFERROR(AF288/AA288-1,""),"")</f>
        <v>0.22367978472923</v>
      </c>
      <c r="AG291" s="255">
        <f>IF(AND(ISNUMBER(AG288),ISNUMBER(AB288)),IFERROR(AG288/AB288-1,""),"")</f>
        <v>0.131229725744618</v>
      </c>
      <c r="AH291" s="255">
        <f>IF(AND(ISNUMBER(AH288),ISNUMBER(AC288)),IFERROR(AH288/AC288-1,""),"")</f>
        <v>-0.408677648753263</v>
      </c>
      <c r="AI291" s="255">
        <f>IF(AND(ISNUMBER(AI288),ISNUMBER(AD288)),IFERROR(AI288/AD288-1,""),"")</f>
        <v>-1.7089060440595</v>
      </c>
      <c r="AJ291" s="255">
        <f>IF(AND(ISNUMBER(AJ288),ISNUMBER(AE288)),IFERROR(AJ288/AE288-1,""),"")</f>
        <v>-0.176350431230141</v>
      </c>
      <c r="AK291" s="255">
        <f>IF(AND(ISNUMBER(AK288),ISNUMBER(AF288)),IFERROR(AK288/AF288-1,""),"")</f>
        <v>-0.224024189114898</v>
      </c>
      <c r="AL291" s="255">
        <f>IF(AND(ISNUMBER(AL288),ISNUMBER(AG288)),IFERROR(AL288/AG288-1,""),"")</f>
        <v>-0.0901981230448384</v>
      </c>
      <c r="AM291" s="255">
        <f>IF(AND(ISNUMBER(AM288),ISNUMBER(AH288)),IFERROR(AM288/AH288-1,""),"")</f>
        <v>1.08661896787943</v>
      </c>
      <c r="AN291" s="255">
        <f>IF(AND(ISNUMBER(AN288),ISNUMBER(AI288)),IFERROR(AN288/AI288-1,""),"")</f>
        <v>-0.0780876494023903</v>
      </c>
      <c r="AO291" s="255">
        <f>IF(AND(ISNUMBER(AO288),ISNUMBER(AJ288)),IFERROR(AO288/AJ288-1,""),"")</f>
        <v>0.0159823642876824</v>
      </c>
      <c r="AP291" s="255">
        <f>IF(AND(ISNUMBER(AP288),ISNUMBER(AK288)),IFERROR(AP288/AK288-1,""),"")</f>
        <v>0.483528161530287</v>
      </c>
      <c r="AQ291" s="255">
        <f>IF(AND(ISNUMBER(AQ288),ISNUMBER(AL288)),IFERROR(AQ288/AL288-1,""),"")</f>
        <v>0.350716332378223</v>
      </c>
      <c r="AR291" s="255">
        <f>IF(AND(ISNUMBER(AR288),ISNUMBER(AM288)),IFERROR(AR288/AM288-1,""),"")</f>
        <v>0.171664113226819</v>
      </c>
      <c r="AS291" s="255">
        <f>IF(AND(ISNUMBER(AS288),ISNUMBER(AN288)),IFERROR(AS288/AN288-1,""),"")</f>
        <v>-0.0665514261019879</v>
      </c>
      <c r="AT291" s="255">
        <f>IF(AND(ISNUMBER(AT288),ISNUMBER(AO288)),IFERROR(AT288/AO288-1,""),"")</f>
        <v>0.602929210740439</v>
      </c>
      <c r="AU291" s="255">
        <f>IF(AND(ISNUMBER(AU288),ISNUMBER(AP288)),IFERROR(AU288/AP288-1,""),"")</f>
        <v>0.170009551098376</v>
      </c>
      <c r="AV291" s="255">
        <f>IF(AND(ISNUMBER(AV288),ISNUMBER(AQ288)),IFERROR(AV288/AQ288-1,""),"")</f>
        <v>0.353415358506576</v>
      </c>
      <c r="AW291" s="255">
        <f>IF(AND(ISNUMBER(AW288),ISNUMBER(AR288)),IFERROR(AW288/AR288-1,""),"")</f>
        <v>0.272104607721046</v>
      </c>
      <c r="AX291" s="255">
        <f>IF(AND(ISNUMBER(AX288),ISNUMBER(AS288)),IFERROR(AX288/AS288-1,""),"")</f>
        <v>1.04320987654321</v>
      </c>
      <c r="AY291" s="255">
        <f>IF(AND(ISNUMBER(AY288),ISNUMBER(AT288)),IFERROR(AY288/AT288-1,""),"")</f>
        <v>-0.0456852791878173</v>
      </c>
      <c r="AZ291" s="255">
        <f>IF(AND(ISNUMBER(AZ288),ISNUMBER(AU288)),IFERROR(AZ288/AU288-1,""),"")</f>
        <v>-0.177551020408163</v>
      </c>
      <c r="BA291" s="255">
        <f>IF(AND(ISNUMBER(BA288),ISNUMBER(AV288)),IFERROR(BA288/AV288-1,""),"")</f>
        <v>-0.628526645768025</v>
      </c>
      <c r="BB291" s="255">
        <f>IF(AND(ISNUMBER(BB288),ISNUMBER(AW288)),IFERROR(BB288/AW288-1,""),"")</f>
        <v>-0.0866372980910426</v>
      </c>
      <c r="BC291" s="255">
        <f>IF(AND(ISNUMBER(BC288),ISNUMBER(AX288)),IFERROR(BC288/AX288-1,""),"")</f>
        <v>-0.379154078549849</v>
      </c>
      <c r="BD291" s="255">
        <f>IF(AND(ISNUMBER(BD288),ISNUMBER(AY288)),IFERROR(BD288/AY288-1,""),"")</f>
        <v>-0.615248226950355</v>
      </c>
      <c r="BE291" s="255">
        <f>IF(AND(ISNUMBER(BE288),ISNUMBER(AZ288)),IFERROR(BE288/AZ288-1,""),"")</f>
        <v>-0.342431761786601</v>
      </c>
      <c r="BF291" s="255">
        <f>IF(AND(ISNUMBER(BF288),ISNUMBER(BA288)),IFERROR(BF288/BA288-1,""),"")</f>
        <v>0.257383966244726</v>
      </c>
      <c r="BG291" s="255">
        <f>IF(AND(ISNUMBER(BG288),ISNUMBER(BB288)),IFERROR(BG288/BB288-1,""),"")</f>
        <v>-0.361736334405145</v>
      </c>
      <c r="BH291" s="255">
        <f>IF(AND(ISNUMBER(BH288),ISNUMBER(BC288)),IFERROR(BH288/BC288-1,""),"")</f>
        <v>0.301703163017032</v>
      </c>
      <c r="BI291" s="255">
        <f>IF(AND(ISNUMBER(BI288),ISNUMBER(BD288)),IFERROR(BI288/BD288-1,""),"")</f>
        <v>1.53456221198157</v>
      </c>
      <c r="BJ291" s="255">
        <f>IF(AND(ISNUMBER(BJ288),ISNUMBER(BE288)),IFERROR(BJ288/BE288-1,""),"")</f>
        <v>0.475471698113207</v>
      </c>
      <c r="BK291" s="255">
        <f>IF(AND(ISNUMBER(BK288),ISNUMBER(BF288)),IFERROR(BK288/BF288-1,""),"")</f>
        <v>0.355704697986577</v>
      </c>
      <c r="BL291" s="255">
        <f>IF(AND(ISNUMBER(BL288),ISNUMBER(BG288)),IFERROR(BL288/BG288-1,""),"")</f>
        <v>0.578505457598657</v>
      </c>
      <c r="BM291" s="255">
        <f>IF(AND(ISNUMBER(BM288),ISNUMBER(BH288)),IFERROR(BM288/BH288-1,""),"")</f>
        <v>0.302803738317757</v>
      </c>
      <c r="BN291" s="255">
        <f>IF(AND(ISNUMBER(BN288),ISNUMBER(BI288)),IFERROR(BN288/BI288-1,""),"")</f>
        <v>0.0781818181818181</v>
      </c>
      <c r="BO291" s="255">
        <f>IF(AND(ISNUMBER(BO288),ISNUMBER(BJ288)),IFERROR(BO288/BJ288-1,""),"")</f>
        <v>0.613810741687979</v>
      </c>
      <c r="BP291" s="255">
        <f>IF(AND(ISNUMBER(BP288),ISNUMBER(BK288)),IFERROR(BP288/BK288-1,""),"")</f>
        <v>0.485148514851485</v>
      </c>
      <c r="BQ291" s="255">
        <f>IF(AND(ISNUMBER(BQ288),ISNUMBER(BL288)),IFERROR(BQ288/BL288-1,""),"")</f>
        <v>0.340957446808511</v>
      </c>
      <c r="BR291" s="255">
        <f>IF(AND(ISNUMBER(BR288),ISNUMBER(BM288)),IFERROR(BR288/BM288-1,""),"")</f>
        <v>-0.0358680057388809</v>
      </c>
      <c r="BS291" s="255">
        <f>IF(AND(ISNUMBER(BS288),ISNUMBER(BN288)),IFERROR(BS288/BN288-1,""),"")</f>
        <v>-0.21079258010118</v>
      </c>
      <c r="BT291" s="255">
        <f>IF(AND(ISNUMBER(BT288),ISNUMBER(BO288)),IFERROR(BT288/BO288-1,""),"")</f>
        <v>0.0427892234548335</v>
      </c>
      <c r="BU291" s="255">
        <f>IF(AND(ISNUMBER(BU288),ISNUMBER(BP288)),IFERROR(BU288/BP288-1,""),"")</f>
        <v>0.295</v>
      </c>
      <c r="BV291" s="255">
        <f>IF(AND(ISNUMBER(BV288),ISNUMBER(BQ288)),IFERROR(BV288/BQ288-1,""),"")</f>
        <v>0.0214200714002379</v>
      </c>
      <c r="BW291" s="255">
        <f>IF(AND(ISNUMBER(BW288),ISNUMBER(BR288)),IFERROR(BW288/BR288-1,""),"")</f>
        <v>0.255952380952381</v>
      </c>
      <c r="BX291" s="255">
        <f>IF(AND(ISNUMBER(BX288),ISNUMBER(BS288)),IFERROR(BX288/BS288-1,""),"")</f>
        <v>0.47008547008547</v>
      </c>
      <c r="BY291" s="24" t="n"/>
      <c r="BZ291" s="24" t="n"/>
      <c r="CA291" s="256">
        <f>IF(AND(ISNUMBER(CA288),ISNUMBER(BV288)),IFERROR(CA288/BV288-1,""),"")</f>
        <v>0.139317585017813</v>
      </c>
      <c r="CB291" s="256">
        <f>IF(AND(ISNUMBER(CB288),ISNUMBER(CA288)),IFERROR(CB288/CA288-1,""),"")</f>
        <v>0.123496188665916</v>
      </c>
      <c r="CC291" s="256">
        <f>IF(AND(ISNUMBER(CC288),ISNUMBER(CB288)),IFERROR(CC288/CB288-1,""),"")</f>
        <v>0.0976078733802479</v>
      </c>
      <c r="CD291" s="256">
        <f>IF(AND(ISNUMBER(CD288),ISNUMBER(CC288)),IFERROR(CD288/CC288-1,""),"")</f>
        <v>0.0719825754959012</v>
      </c>
      <c r="CE291" s="256">
        <f>IF(AND(ISNUMBER(CE288),ISNUMBER(CD288)),IFERROR(CE288/CD288-1,""),"")</f>
        <v>0.0651863479247619</v>
      </c>
      <c r="CF291" s="153" t="n"/>
    </row>
    <row r="292" ht="15" customHeight="1" s="251">
      <c r="B292" s="25" t="inlineStr">
        <is>
          <t xml:space="preserve">  FCF % of revenue</t>
        </is>
      </c>
      <c r="C292" s="215">
        <f>IF(AND(ISNUMBER(C288),ISNUMBER(C163)),IFERROR(C288/C163,""),"")</f>
        <v>0.354130872318492</v>
      </c>
      <c r="D292" s="215">
        <f>IF(AND(ISNUMBER(D288),ISNUMBER(D163)),IFERROR(D288/D163,""),"")</f>
        <v>0.355112881806109</v>
      </c>
      <c r="E292" s="215">
        <f>IF(AND(ISNUMBER(E288),ISNUMBER(E163)),IFERROR(E288/E163,""),"")</f>
        <v>0.25652272986214</v>
      </c>
      <c r="F292" s="215">
        <f>IF(AND(ISNUMBER(F288),ISNUMBER(F163)),IFERROR(F288/F163,""),"")</f>
        <v>0.307756510126864</v>
      </c>
      <c r="G292" s="215">
        <f>IF(AND(ISNUMBER(G288),ISNUMBER(G163)),IFERROR(G288/G163,""),"")</f>
        <v>0.282627952755905</v>
      </c>
      <c r="H292" s="215">
        <f>IF(AND(ISNUMBER(H288),ISNUMBER(H163)),IFERROR(H288/H163,""),"")</f>
        <v>0.322532555794274</v>
      </c>
      <c r="I292" s="215">
        <f>IF(AND(ISNUMBER(I288),ISNUMBER(I163)),IFERROR(I288/I163,""),"")</f>
        <v>0.284986997765813</v>
      </c>
      <c r="J292" s="215">
        <f>IF(AND(ISNUMBER(J288),ISNUMBER(J163)),IFERROR(J288/J163,""),"")</f>
        <v>0.265099754031156</v>
      </c>
      <c r="K292" s="215">
        <f>IF(AND(ISNUMBER(K288),ISNUMBER(K163)),IFERROR(K288/K163,""),"")</f>
        <v>0.207671957671958</v>
      </c>
      <c r="L292" s="215">
        <f>IF(AND(ISNUMBER(L288),ISNUMBER(L163)),IFERROR(L288/L163,""),"")</f>
        <v>0.38483345145287</v>
      </c>
      <c r="M292" s="215">
        <f>IF(AND(ISNUMBER(M288),ISNUMBER(M163)),IFERROR(M288/M163,""),"")</f>
        <v>0.336242299794661</v>
      </c>
      <c r="N292" s="215">
        <f>IF(AND(ISNUMBER(N288),ISNUMBER(N163)),IFERROR(N288/N163,""),"")</f>
        <v>0.297560975609756</v>
      </c>
      <c r="O292" s="215">
        <f>IF(AND(ISNUMBER(O288),ISNUMBER(O163)),IFERROR(O288/O163,""),"")</f>
        <v>0.206074035453597</v>
      </c>
      <c r="P292" s="215">
        <f>IF(AND(ISNUMBER(P288),ISNUMBER(P163)),IFERROR(P288/P163,""),"")</f>
        <v>0.298912421293646</v>
      </c>
      <c r="Q292" s="215">
        <f>IF(AND(ISNUMBER(Q288),ISNUMBER(Q163)),IFERROR(Q288/Q163,""),"")</f>
        <v>0.286484499448597</v>
      </c>
      <c r="R292" s="215">
        <f>IF(AND(ISNUMBER(R288),ISNUMBER(R163)),IFERROR(R288/R163,""),"")</f>
        <v>0.331623931623932</v>
      </c>
      <c r="S292" s="215">
        <f>IF(AND(ISNUMBER(S288),ISNUMBER(S163)),IFERROR(S288/S163,""),"")</f>
        <v>0.283117895810215</v>
      </c>
      <c r="T292" s="215">
        <f>IF(AND(ISNUMBER(T288),ISNUMBER(T163)),IFERROR(T288/T163,""),"")</f>
        <v>0.280499075785582</v>
      </c>
      <c r="U292" s="215">
        <f>IF(AND(ISNUMBER(U288),ISNUMBER(U163)),IFERROR(U288/U163,""),"")</f>
        <v>0.338634135715064</v>
      </c>
      <c r="V292" s="215">
        <f>IF(AND(ISNUMBER(V288),ISNUMBER(V163)),IFERROR(V288/V163,""),"")</f>
        <v>0.328063241106719</v>
      </c>
      <c r="W292" s="215">
        <f>IF(AND(ISNUMBER(W288),ISNUMBER(W163)),IFERROR(W288/W163,""),"")</f>
        <v>0.273703660930823</v>
      </c>
      <c r="X292" s="215">
        <f>IF(AND(ISNUMBER(X288),ISNUMBER(X163)),IFERROR(X288/X163,""),"")</f>
        <v>0.305524465490027</v>
      </c>
      <c r="Y292" s="215">
        <f>IF(AND(ISNUMBER(Y288),ISNUMBER(Y163)),IFERROR(Y288/Y163,""),"")</f>
        <v>0.258546746722215</v>
      </c>
      <c r="Z292" s="215">
        <f>IF(AND(ISNUMBER(Z288),ISNUMBER(Z163)),IFERROR(Z288/Z163,""),"")</f>
        <v>0.283668855635698</v>
      </c>
      <c r="AA292" s="215">
        <f>IF(AND(ISNUMBER(AA288),ISNUMBER(AA163)),IFERROR(AA288/AA163,""),"")</f>
        <v>0.324174026823683</v>
      </c>
      <c r="AB292" s="215">
        <f>IF(AND(ISNUMBER(AB288),ISNUMBER(AB163)),IFERROR(AB288/AB163,""),"")</f>
        <v>0.359940558327142</v>
      </c>
      <c r="AC292" s="215">
        <f>IF(AND(ISNUMBER(AC288),ISNUMBER(AC163)),IFERROR(AC288/AC163,""),"")</f>
        <v>0.3082237389712</v>
      </c>
      <c r="AD292" s="215">
        <f>IF(AND(ISNUMBER(AD288),ISNUMBER(AD163)),IFERROR(AD288/AD163,""),"")</f>
        <v>-0.54460623461854</v>
      </c>
      <c r="AE292" s="215">
        <f>IF(AND(ISNUMBER(AE288),ISNUMBER(AE163)),IFERROR(AE288/AE163,""),"")</f>
        <v>0.440379810094953</v>
      </c>
      <c r="AF292" s="215">
        <f>IF(AND(ISNUMBER(AF288),ISNUMBER(AF163)),IFERROR(AF288/AF163,""),"")</f>
        <v>0.342271144980713</v>
      </c>
      <c r="AG292" s="215">
        <f>IF(AND(ISNUMBER(AG288),ISNUMBER(AG163)),IFERROR(AG288/AG163,""),"")</f>
        <v>0.329129129129129</v>
      </c>
      <c r="AH292" s="215">
        <f>IF(AND(ISNUMBER(AH288),ISNUMBER(AH163)),IFERROR(AH288/AH163,""),"")</f>
        <v>0.156252229965986</v>
      </c>
      <c r="AI292" s="215">
        <f>IF(AND(ISNUMBER(AI288),ISNUMBER(AI163)),IFERROR(AI288/AI163,""),"")</f>
        <v>0.334161711191977</v>
      </c>
      <c r="AJ292" s="215">
        <f>IF(AND(ISNUMBER(AJ288),ISNUMBER(AJ163)),IFERROR(AJ288/AJ163,""),"")</f>
        <v>0.308824780869713</v>
      </c>
      <c r="AK292" s="215">
        <f>IF(AND(ISNUMBER(AK288),ISNUMBER(AK163)),IFERROR(AK288/AK163,""),"")</f>
        <v>0.26119541080681</v>
      </c>
      <c r="AL292" s="215">
        <f>IF(AND(ISNUMBER(AL288),ISNUMBER(AL163)),IFERROR(AL288/AL163,""),"")</f>
        <v>0.329214225073106</v>
      </c>
      <c r="AM292" s="215">
        <f>IF(AND(ISNUMBER(AM288),ISNUMBER(AM163)),IFERROR(AM288/AM163,""),"")</f>
        <v>0.308528597474509</v>
      </c>
      <c r="AN292" s="215">
        <f>IF(AND(ISNUMBER(AN288),ISNUMBER(AN163)),IFERROR(AN288/AN163,""),"")</f>
        <v>0.303913842920935</v>
      </c>
      <c r="AO292" s="215">
        <f>IF(AND(ISNUMBER(AO288),ISNUMBER(AO163)),IFERROR(AO288/AO163,""),"")</f>
        <v>0.303806855636124</v>
      </c>
      <c r="AP292" s="215">
        <f>IF(AND(ISNUMBER(AP288),ISNUMBER(AP163)),IFERROR(AP288/AP163,""),"")</f>
        <v>0.337605804111245</v>
      </c>
      <c r="AQ292" s="215">
        <f>IF(AND(ISNUMBER(AQ288),ISNUMBER(AQ163)),IFERROR(AQ288/AQ163,""),"")</f>
        <v>0.382319545823195</v>
      </c>
      <c r="AR292" s="215">
        <f>IF(AND(ISNUMBER(AR288),ISNUMBER(AR163)),IFERROR(AR288/AR163,""),"")</f>
        <v>0.332574031890661</v>
      </c>
      <c r="AS292" s="215">
        <f>IF(AND(ISNUMBER(AS288),ISNUMBER(AS163)),IFERROR(AS288/AS163,""),"")</f>
        <v>0.251162790697674</v>
      </c>
      <c r="AT292" s="215">
        <f>IF(AND(ISNUMBER(AT288),ISNUMBER(AT163)),IFERROR(AT288/AT163,""),"")</f>
        <v>0.41184668989547</v>
      </c>
      <c r="AU292" s="215">
        <f>IF(AND(ISNUMBER(AU288),ISNUMBER(AU163)),IFERROR(AU288/AU163,""),"")</f>
        <v>0.361356932153392</v>
      </c>
      <c r="AV292" s="215">
        <f>IF(AND(ISNUMBER(AV288),ISNUMBER(AV163)),IFERROR(AV288/AV163,""),"")</f>
        <v>0.494573643410853</v>
      </c>
      <c r="AW292" s="215">
        <f>IF(AND(ISNUMBER(AW288),ISNUMBER(AW163)),IFERROR(AW288/AW163,""),"")</f>
        <v>0.380376093837274</v>
      </c>
      <c r="AX292" s="215">
        <f>IF(AND(ISNUMBER(AX288),ISNUMBER(AX163)),IFERROR(AX288/AX163,""),"")</f>
        <v>0.41375</v>
      </c>
      <c r="AY292" s="215">
        <f>IF(AND(ISNUMBER(AY288),ISNUMBER(AY163)),IFERROR(AY288/AY163,""),"")</f>
        <v>0.36316806181584</v>
      </c>
      <c r="AZ292" s="215">
        <f>IF(AND(ISNUMBER(AZ288),ISNUMBER(AZ163)),IFERROR(AZ288/AZ163,""),"")</f>
        <v>0.264089121887287</v>
      </c>
      <c r="BA292" s="215">
        <f>IF(AND(ISNUMBER(BA288),ISNUMBER(BA163)),IFERROR(BA288/BA163,""),"")</f>
        <v>0.153996101364522</v>
      </c>
      <c r="BB292" s="215">
        <f>IF(AND(ISNUMBER(BB288),ISNUMBER(BB163)),IFERROR(BB288/BB163,""),"")</f>
        <v>0.300096494049534</v>
      </c>
      <c r="BC292" s="215">
        <f>IF(AND(ISNUMBER(BC288),ISNUMBER(BC163)),IFERROR(BC288/BC163,""),"")</f>
        <v>0.270039421813403</v>
      </c>
      <c r="BD292" s="215">
        <f>IF(AND(ISNUMBER(BD288),ISNUMBER(BD163)),IFERROR(BD288/BD163,""),"")</f>
        <v>0.157132512671977</v>
      </c>
      <c r="BE292" s="215">
        <f>IF(AND(ISNUMBER(BE288),ISNUMBER(BE163)),IFERROR(BE288/BE163,""),"")</f>
        <v>0.207843137254902</v>
      </c>
      <c r="BF292" s="215">
        <f>IF(AND(ISNUMBER(BF288),ISNUMBER(BF163)),IFERROR(BF288/BF163,""),"")</f>
        <v>0.231007751937985</v>
      </c>
      <c r="BG292" s="215">
        <f>IF(AND(ISNUMBER(BG288),ISNUMBER(BG163)),IFERROR(BG288/BG163,""),"")</f>
        <v>0.21781272860278</v>
      </c>
      <c r="BH292" s="215">
        <f>IF(AND(ISNUMBER(BH288),ISNUMBER(BH163)),IFERROR(BH288/BH163,""),"")</f>
        <v>0.363945578231293</v>
      </c>
      <c r="BI292" s="215">
        <f>IF(AND(ISNUMBER(BI288),ISNUMBER(BI163)),IFERROR(BI288/BI163,""),"")</f>
        <v>0.36813922356091</v>
      </c>
      <c r="BJ292" s="215">
        <f>IF(AND(ISNUMBER(BJ288),ISNUMBER(BJ163)),IFERROR(BJ288/BJ163,""),"")</f>
        <v>0.265625</v>
      </c>
      <c r="BK292" s="215">
        <f>IF(AND(ISNUMBER(BK288),ISNUMBER(BK163)),IFERROR(BK288/BK163,""),"")</f>
        <v>0.272972972972973</v>
      </c>
      <c r="BL292" s="215">
        <f>IF(AND(ISNUMBER(BL288),ISNUMBER(BL163)),IFERROR(BL288/BL163,""),"")</f>
        <v>0.317782285327924</v>
      </c>
      <c r="BM292" s="215">
        <f>IF(AND(ISNUMBER(BM288),ISNUMBER(BM163)),IFERROR(BM288/BM163,""),"")</f>
        <v>0.390257558790594</v>
      </c>
      <c r="BN292" s="215">
        <f>IF(AND(ISNUMBER(BN288),ISNUMBER(BN163)),IFERROR(BN288/BN163,""),"")</f>
        <v>0.326362135388002</v>
      </c>
      <c r="BO292" s="215">
        <f>IF(AND(ISNUMBER(BO288),ISNUMBER(BO163)),IFERROR(BO288/BO163,""),"")</f>
        <v>0.348041919470491</v>
      </c>
      <c r="BP292" s="215">
        <f>IF(AND(ISNUMBER(BP288),ISNUMBER(BP163)),IFERROR(BP288/BP163,""),"")</f>
        <v>0.358851674641148</v>
      </c>
      <c r="BQ292" s="215">
        <f>IF(AND(ISNUMBER(BQ288),ISNUMBER(BQ163)),IFERROR(BQ288/BQ163,""),"")</f>
        <v>0.355671557562077</v>
      </c>
      <c r="BR292" s="215">
        <f>IF(AND(ISNUMBER(BR288),ISNUMBER(BR163)),IFERROR(BR288/BR163,""),"")</f>
        <v>0.349272349272349</v>
      </c>
      <c r="BS292" s="215">
        <f>IF(AND(ISNUMBER(BS288),ISNUMBER(BS163)),IFERROR(BS288/BS163,""),"")</f>
        <v>0.246575342465753</v>
      </c>
      <c r="BT292" s="215">
        <f>IF(AND(ISNUMBER(BT288),ISNUMBER(BT163)),IFERROR(BT288/BT163,""),"")</f>
        <v>0.327852516193323</v>
      </c>
      <c r="BU292" s="215">
        <f>IF(AND(ISNUMBER(BU288),ISNUMBER(BU163)),IFERROR(BU288/BU163,""),"")</f>
        <v>0.41132874536792</v>
      </c>
      <c r="BV292" s="215">
        <f>IF(AND(ISNUMBER(BV288),ISNUMBER(BV163)),IFERROR(BV288/BV163,""),"")</f>
        <v>0.333635656905934</v>
      </c>
      <c r="BW292" s="215">
        <f>IF(AND(ISNUMBER(BW288),ISNUMBER(BW163)),IFERROR(BW288/BW163,""),"")</f>
        <v>0.405964405964406</v>
      </c>
      <c r="BX292" s="215">
        <f>IF(AND(ISNUMBER(BX288),ISNUMBER(BX163)),IFERROR(BX288/BX163,""),"")</f>
        <v>0.31487414187643</v>
      </c>
      <c r="BY292" s="24" t="n"/>
      <c r="BZ292" s="24" t="n"/>
      <c r="CA292" s="256">
        <f>IF(AND(ISNUMBER(CA288),ISNUMBER(CA163)),IFERROR(CA288/CA163,""),"")</f>
        <v>0.356578970378606</v>
      </c>
      <c r="CB292" s="256">
        <f>IF(AND(ISNUMBER(CB288),ISNUMBER(CB163)),IFERROR(CB288/CB163,""),"")</f>
        <v>0.373682949805399</v>
      </c>
      <c r="CC292" s="256">
        <f>IF(AND(ISNUMBER(CC288),ISNUMBER(CC163)),IFERROR(CC288/CC163,""),"")</f>
        <v>0.384083455002632</v>
      </c>
      <c r="CD292" s="256">
        <f>IF(AND(ISNUMBER(CD288),ISNUMBER(CD163)),IFERROR(CD288/CD163,""),"")</f>
        <v>0.386765282450175</v>
      </c>
      <c r="CE292" s="256">
        <f>IF(AND(ISNUMBER(CE288),ISNUMBER(CE163)),IFERROR(CE288/CE163,""),"")</f>
        <v>0.388626779198553</v>
      </c>
      <c r="CF292" s="153" t="n"/>
      <c r="CH292" s="37">
        <f>IFERROR(AVERAGE(CA292,CB292,CC292,CD292,CE292),"n/m")</f>
        <v>0.377947487367073</v>
      </c>
      <c r="CI292" s="37">
        <f>IFERROR(AVERAGE(BB292,BG292,BL292,BQ292,BV292),"n/m")</f>
        <v>0.30499974448965</v>
      </c>
      <c r="CJ292" s="37">
        <f>IFERROR(AVERAGE(AC292,AH292,AM292,AR292,AW292,BB292,BG292,BL292,BQ292,BV292),"n/m")</f>
        <v>0.301095341458788</v>
      </c>
      <c r="CK292" s="37">
        <f>IFERROR(AVERAGE(C292,D292,E292,F292,G292,H292,I292,N292,S292,X292,AC292,AH292,AM292,AR292,AW292,BB292,BG292,BL292,BQ292,BV292),"n/m")</f>
        <v>0.303041362596374</v>
      </c>
    </row>
    <row r="293" ht="15" customHeight="1" s="251">
      <c r="B293" s="25" t="inlineStr">
        <is>
          <t xml:space="preserve">  FCF / adjusted net income conversion %</t>
        </is>
      </c>
      <c r="C293" s="215">
        <f>IF(AND(ISNUMBER(C288),ISNUMBER(C235)),IFERROR(C288/C235,""),"")</f>
        <v>1.02355278093076</v>
      </c>
      <c r="D293" s="215">
        <f>IF(AND(ISNUMBER(D288),ISNUMBER(D235)),IFERROR(D288/D235,""),"")</f>
        <v>1.18109540636042</v>
      </c>
      <c r="E293" s="215">
        <f>IF(AND(ISNUMBER(E288),ISNUMBER(E235)),IFERROR(E288/E235,""),"")</f>
        <v>1.01122838535819</v>
      </c>
      <c r="F293" s="215">
        <f>IF(AND(ISNUMBER(F288),ISNUMBER(F235)),IFERROR(F288/F235,""),"")</f>
        <v>1.36669137632814</v>
      </c>
      <c r="G293" s="215">
        <f>IF(AND(ISNUMBER(G288),ISNUMBER(G235)),IFERROR(G288/G235,""),"")</f>
        <v>1.14106894496324</v>
      </c>
      <c r="H293" s="215">
        <f>IF(AND(ISNUMBER(H288),ISNUMBER(H235)),IFERROR(H288/H235,""),"")</f>
        <v>1.30333097094259</v>
      </c>
      <c r="I293" s="215">
        <f>IF(AND(ISNUMBER(I288),ISNUMBER(I235)),IFERROR(I288/I235,""),"")</f>
        <v>1.14842945151092</v>
      </c>
      <c r="J293" s="215">
        <f>IF(AND(ISNUMBER(J288),ISNUMBER(J235)),IFERROR(J288/J235,""),"")</f>
        <v>1.02972399150743</v>
      </c>
      <c r="K293" s="215">
        <f>IF(AND(ISNUMBER(K288),ISNUMBER(K235)),IFERROR(K288/K235,""),"")</f>
        <v>0.696230598669623</v>
      </c>
      <c r="L293" s="215">
        <f>IF(AND(ISNUMBER(L288),ISNUMBER(L235)),IFERROR(L288/L235,""),"")</f>
        <v>1.47346141322045</v>
      </c>
      <c r="M293" s="215">
        <f>IF(AND(ISNUMBER(M288),ISNUMBER(M235)),IFERROR(M288/M235,""),"")</f>
        <v>1.40746709642761</v>
      </c>
      <c r="N293" s="215">
        <f>IF(AND(ISNUMBER(N288),ISNUMBER(N235)),IFERROR(N288/N235,""),"")</f>
        <v>1.08424504305722</v>
      </c>
      <c r="O293" s="215">
        <f>IF(AND(ISNUMBER(O288),ISNUMBER(O235)),IFERROR(O288/O235,""),"")</f>
        <v>0.723569794050343</v>
      </c>
      <c r="P293" s="215">
        <f>IF(AND(ISNUMBER(P288),ISNUMBER(P235)),IFERROR(P288/P235,""),"")</f>
        <v>1.08078349559574</v>
      </c>
      <c r="Q293" s="215">
        <f>IF(AND(ISNUMBER(Q288),ISNUMBER(Q235)),IFERROR(Q288/Q235,""),"")</f>
        <v>1.12526110100398</v>
      </c>
      <c r="R293" s="215">
        <f>IF(AND(ISNUMBER(R288),ISNUMBER(R235)),IFERROR(R288/R235,""),"")</f>
        <v>1.23430607397353</v>
      </c>
      <c r="S293" s="215">
        <f>IF(AND(ISNUMBER(S288),ISNUMBER(S235)),IFERROR(S288/S235,""),"")</f>
        <v>1.04437833490248</v>
      </c>
      <c r="T293" s="215">
        <f>IF(AND(ISNUMBER(T288),ISNUMBER(T235)),IFERROR(T288/T235,""),"")</f>
        <v>1.05519339417645</v>
      </c>
      <c r="U293" s="215">
        <f>IF(AND(ISNUMBER(U288),ISNUMBER(U235)),IFERROR(U288/U235,""),"")</f>
        <v>1.18831029843444</v>
      </c>
      <c r="V293" s="215">
        <f>IF(AND(ISNUMBER(V288),ISNUMBER(V235)),IFERROR(V288/V235,""),"")</f>
        <v>1.21855188521855</v>
      </c>
      <c r="W293" s="215">
        <f>IF(AND(ISNUMBER(W288),ISNUMBER(W235)),IFERROR(W288/W235,""),"")</f>
        <v>1.0876548875631</v>
      </c>
      <c r="X293" s="215">
        <f>IF(AND(ISNUMBER(X288),ISNUMBER(X235)),IFERROR(X288/X235,""),"")</f>
        <v>1.13783078961994</v>
      </c>
      <c r="Y293" s="215">
        <f>IF(AND(ISNUMBER(Y288),ISNUMBER(Y235)),IFERROR(Y288/Y235,""),"")</f>
        <v>1.14425162689805</v>
      </c>
      <c r="Z293" s="215">
        <f>IF(AND(ISNUMBER(Z288),ISNUMBER(Z235)),IFERROR(Z288/Z235,""),"")</f>
        <v>1.03131115459883</v>
      </c>
      <c r="AA293" s="215">
        <f>IF(AND(ISNUMBER(AA288),ISNUMBER(AA235)),IFERROR(AA288/AA235,""),"")</f>
        <v>1.14187170170762</v>
      </c>
      <c r="AB293" s="215">
        <f>IF(AND(ISNUMBER(AB288),ISNUMBER(AB235)),IFERROR(AB288/AB235,""),"")</f>
        <v>1.42899283607248</v>
      </c>
      <c r="AC293" s="215">
        <f>IF(AND(ISNUMBER(AC288),ISNUMBER(AC235)),IFERROR(AC288/AC235,""),"")</f>
        <v>1.18105464597066</v>
      </c>
      <c r="AD293" s="215">
        <f>IF(AND(ISNUMBER(AD288),ISNUMBER(AD235)),IFERROR(AD288/AD235,""),"")</f>
        <v>-1.85764253235397</v>
      </c>
      <c r="AE293" s="215">
        <f>IF(AND(ISNUMBER(AE288),ISNUMBER(AE235)),IFERROR(AE288/AE235,""),"")</f>
        <v>1.50119250425894</v>
      </c>
      <c r="AF293" s="215">
        <f>IF(AND(ISNUMBER(AF288),ISNUMBER(AF235)),IFERROR(AF288/AF235,""),"")</f>
        <v>1.23238482384824</v>
      </c>
      <c r="AG293" s="215">
        <f>IF(AND(ISNUMBER(AG288),ISNUMBER(AG235)),IFERROR(AG288/AG235,""),"")</f>
        <v>1.30431825909555</v>
      </c>
      <c r="AH293" s="215">
        <f>IF(AND(ISNUMBER(AH288),ISNUMBER(AH235)),IFERROR(AH288/AH235,""),"")</f>
        <v>0.55749809046932</v>
      </c>
      <c r="AI293" s="215">
        <f>IF(AND(ISNUMBER(AI288),ISNUMBER(AI235)),IFERROR(AI288/AI235,""),"")</f>
        <v>0.957284515636918</v>
      </c>
      <c r="AJ293" s="215">
        <f>IF(AND(ISNUMBER(AJ288),ISNUMBER(AJ235)),IFERROR(AJ288/AJ235,""),"")</f>
        <v>0.913415554996225</v>
      </c>
      <c r="AK293" s="215">
        <f>IF(AND(ISNUMBER(AK288),ISNUMBER(AK235)),IFERROR(AK288/AK235,""),"")</f>
        <v>0.857012750455373</v>
      </c>
      <c r="AL293" s="215">
        <f>IF(AND(ISNUMBER(AL288),ISNUMBER(AL235)),IFERROR(AL288/AL235,""),"")</f>
        <v>1.10373181530677</v>
      </c>
      <c r="AM293" s="215">
        <f>IF(AND(ISNUMBER(AM288),ISNUMBER(AM235)),IFERROR(AM288/AM235,""),"")</f>
        <v>0.954393538504387</v>
      </c>
      <c r="AN293" s="215">
        <f>IF(AND(ISNUMBER(AN288),ISNUMBER(AN235)),IFERROR(AN288/AN235,""),"")</f>
        <v>0.871234939759036</v>
      </c>
      <c r="AO293" s="215">
        <f>IF(AND(ISNUMBER(AO288),ISNUMBER(AO235)),IFERROR(AO288/AO235,""),"")</f>
        <v>0.930590610802625</v>
      </c>
      <c r="AP293" s="215">
        <f>IF(AND(ISNUMBER(AP288),ISNUMBER(AP235)),IFERROR(AP288/AP235,""),"")</f>
        <v>1.018234865062</v>
      </c>
      <c r="AQ293" s="215">
        <f>IF(AND(ISNUMBER(AQ288),ISNUMBER(AQ235)),IFERROR(AQ288/AQ235,""),"")</f>
        <v>1.23727034120735</v>
      </c>
      <c r="AR293" s="215">
        <f>IF(AND(ISNUMBER(AR288),ISNUMBER(AR235)),IFERROR(AR288/AR235,""),"")</f>
        <v>1.01133501259446</v>
      </c>
      <c r="AS293" s="215">
        <f>IF(AND(ISNUMBER(AS288),ISNUMBER(AS235)),IFERROR(AS288/AS235,""),"")</f>
        <v>0.625482625482626</v>
      </c>
      <c r="AT293" s="215">
        <f>IF(AND(ISNUMBER(AT288),ISNUMBER(AT235)),IFERROR(AT288/AT235,""),"")</f>
        <v>1.1109022556391</v>
      </c>
      <c r="AU293" s="215">
        <f>IF(AND(ISNUMBER(AU288),ISNUMBER(AU235)),IFERROR(AU288/AU235,""),"")</f>
        <v>0.962671905697446</v>
      </c>
      <c r="AV293" s="215">
        <f>IF(AND(ISNUMBER(AV288),ISNUMBER(AV235)),IFERROR(AV288/AV235,""),"")</f>
        <v>1.76243093922652</v>
      </c>
      <c r="AW293" s="215">
        <f>IF(AND(ISNUMBER(AW288),ISNUMBER(AW235)),IFERROR(AW288/AW235,""),"")</f>
        <v>1.06350858927642</v>
      </c>
      <c r="AX293" s="215">
        <f>IF(AND(ISNUMBER(AX288),ISNUMBER(AX235)),IFERROR(AX288/AX235,""),"")</f>
        <v>0.865359477124183</v>
      </c>
      <c r="AY293" s="215">
        <f>IF(AND(ISNUMBER(AY288),ISNUMBER(AY235)),IFERROR(AY288/AY235,""),"")</f>
        <v>0.932231404958678</v>
      </c>
      <c r="AZ293" s="215">
        <f>IF(AND(ISNUMBER(AZ288),ISNUMBER(AZ235)),IFERROR(AZ288/AZ235,""),"")</f>
        <v>0.801192842942346</v>
      </c>
      <c r="BA293" s="215">
        <f>IF(AND(ISNUMBER(BA288),ISNUMBER(BA235)),IFERROR(BA288/BA235,""),"")</f>
        <v>0.543577981651376</v>
      </c>
      <c r="BB293" s="215">
        <f>IF(AND(ISNUMBER(BB288),ISNUMBER(BB235)),IFERROR(BB288/BB235,""),"")</f>
        <v>0.808142052836726</v>
      </c>
      <c r="BC293" s="215">
        <f>IF(AND(ISNUMBER(BC288),ISNUMBER(BC235)),IFERROR(BC288/BC235,""),"")</f>
        <v>0.76536312849162</v>
      </c>
      <c r="BD293" s="215">
        <f>IF(AND(ISNUMBER(BD288),ISNUMBER(BD235)),IFERROR(BD288/BD235,""),"")</f>
        <v>0.529268292682927</v>
      </c>
      <c r="BE293" s="215">
        <f>IF(AND(ISNUMBER(BE288),ISNUMBER(BE235)),IFERROR(BE288/BE235,""),"")</f>
        <v>0.779411764705882</v>
      </c>
      <c r="BF293" s="215">
        <f>IF(AND(ISNUMBER(BF288),ISNUMBER(BF235)),IFERROR(BF288/BF235,""),"")</f>
        <v>1.01016949152542</v>
      </c>
      <c r="BG293" s="215">
        <f>IF(AND(ISNUMBER(BG288),ISNUMBER(BG235)),IFERROR(BG288/BG235,""),"")</f>
        <v>0.752844500632111</v>
      </c>
      <c r="BH293" s="215">
        <f>IF(AND(ISNUMBER(BH288),ISNUMBER(BH235)),IFERROR(BH288/BH235,""),"")</f>
        <v>0.972727272727273</v>
      </c>
      <c r="BI293" s="215">
        <f>IF(AND(ISNUMBER(BI288),ISNUMBER(BI235)),IFERROR(BI288/BI235,""),"")</f>
        <v>1.30023640661939</v>
      </c>
      <c r="BJ293" s="215">
        <f>IF(AND(ISNUMBER(BJ288),ISNUMBER(BJ235)),IFERROR(BJ288/BJ235,""),"")</f>
        <v>0.874720357941834</v>
      </c>
      <c r="BK293" s="215">
        <f>IF(AND(ISNUMBER(BK288),ISNUMBER(BK235)),IFERROR(BK288/BK235,""),"")</f>
        <v>1.00497512437811</v>
      </c>
      <c r="BL293" s="215">
        <f>IF(AND(ISNUMBER(BL288),ISNUMBER(BL235)),IFERROR(BL288/BL235,""),"")</f>
        <v>1.03183315038419</v>
      </c>
      <c r="BM293" s="215">
        <f>IF(AND(ISNUMBER(BM288),ISNUMBER(BM235)),IFERROR(BM288/BM235,""),"")</f>
        <v>1.12783171521036</v>
      </c>
      <c r="BN293" s="215">
        <f>IF(AND(ISNUMBER(BN288),ISNUMBER(BN235)),IFERROR(BN288/BN235,""),"")</f>
        <v>0.988333333333333</v>
      </c>
      <c r="BO293" s="215">
        <f>IF(AND(ISNUMBER(BO288),ISNUMBER(BO235)),IFERROR(BO288/BO235,""),"")</f>
        <v>1.07863247863248</v>
      </c>
      <c r="BP293" s="215">
        <f>IF(AND(ISNUMBER(BP288),ISNUMBER(BP235)),IFERROR(BP288/BP235,""),"")</f>
        <v>1.26050420168067</v>
      </c>
      <c r="BQ293" s="215">
        <f>IF(AND(ISNUMBER(BQ288),ISNUMBER(BQ235)),IFERROR(BQ288/BQ235,""),"")</f>
        <v>1.10618692408951</v>
      </c>
      <c r="BR293" s="215">
        <f>IF(AND(ISNUMBER(BR288),ISNUMBER(BR235)),IFERROR(BR288/BR235,""),"")</f>
        <v>0.971098265895954</v>
      </c>
      <c r="BS293" s="215">
        <f>IF(AND(ISNUMBER(BS288),ISNUMBER(BS235)),IFERROR(BS288/BS235,""),"")</f>
        <v>0.73125</v>
      </c>
      <c r="BT293" s="215">
        <f>IF(AND(ISNUMBER(BT288),ISNUMBER(BT235)),IFERROR(BT288/BT235,""),"")</f>
        <v>0.934659090909091</v>
      </c>
      <c r="BU293" s="215">
        <f>IF(AND(ISNUMBER(BU288),ISNUMBER(BU235)),IFERROR(BU288/BU235,""),"")</f>
        <v>1.19354838709677</v>
      </c>
      <c r="BV293" s="215">
        <f>IF(AND(ISNUMBER(BV288),ISNUMBER(BV235)),IFERROR(BV288/BV235,""),"")</f>
        <v>0.958317826572386</v>
      </c>
      <c r="BW293" s="215">
        <f>IF(AND(ISNUMBER(BW288),ISNUMBER(BW235)),IFERROR(BW288/BW235,""),"")</f>
        <v>1.10039113428944</v>
      </c>
      <c r="BX293" s="215">
        <f>IF(AND(ISNUMBER(BX288),ISNUMBER(BX235)),IFERROR(BX288/BX235,""),"")</f>
        <v>0.843137254901961</v>
      </c>
      <c r="BY293" s="24" t="n"/>
      <c r="BZ293" s="24" t="n"/>
      <c r="CA293" s="256">
        <f>IF(AND(ISNUMBER(CA288),ISNUMBER(CA235)),IFERROR(CA288/CA235,""),"")</f>
        <v>1.00401657753622</v>
      </c>
      <c r="CB293" s="256">
        <f>IF(AND(ISNUMBER(CB288),ISNUMBER(CB235)),IFERROR(CB288/CB235,""),"")</f>
        <v>1.05099882637515</v>
      </c>
      <c r="CC293" s="256">
        <f>IF(AND(ISNUMBER(CC288),ISNUMBER(CC235)),IFERROR(CC288/CC235,""),"")</f>
        <v>1.07620920284922</v>
      </c>
      <c r="CD293" s="256">
        <f>IF(AND(ISNUMBER(CD288),ISNUMBER(CD235)),IFERROR(CD288/CD235,""),"")</f>
        <v>1.07517865181785</v>
      </c>
      <c r="CE293" s="256">
        <f>IF(AND(ISNUMBER(CE288),ISNUMBER(CE235)),IFERROR(CE288/CE235,""),"")</f>
        <v>1.07185175574544</v>
      </c>
      <c r="CF293" s="153" t="n"/>
      <c r="CH293" s="37">
        <f>IFERROR(AVERAGE(CA293,CB293,CC293,CD293,CE293),"n/m")</f>
        <v>1.05565100286478</v>
      </c>
      <c r="CI293" s="37">
        <f>IFERROR(AVERAGE(BB293,BG293,BL293,BQ293,BV293),"n/m")</f>
        <v>0.931464890902986</v>
      </c>
      <c r="CJ293" s="37">
        <f>IFERROR(AVERAGE(AC293,AH293,AM293,AR293,AW293,BB293,BG293,BL293,BQ293,BV293),"n/m")</f>
        <v>0.942511433133017</v>
      </c>
      <c r="CK293" s="37">
        <f>IFERROR(AVERAGE(C293,D293,E293,F293,G293,H293,I293,N293,S293,X293,AC293,AH293,AM293,AR293,AW293,BB293,BG293,BL293,BQ293,BV293),"n/m")</f>
        <v>1.0433482907652</v>
      </c>
    </row>
    <row r="294" ht="15" customHeight="1" s="251">
      <c r="B294" s="25" t="inlineStr">
        <is>
          <t xml:space="preserve">  FCF per diluted share ($)</t>
        </is>
      </c>
      <c r="C294" s="283">
        <f>IF(AND(ISNUMBER(C288),ISNUMBER(C189)),IFERROR(C288/C189,""),"")</f>
        <v>2.47139431312093</v>
      </c>
      <c r="D294" s="283">
        <f>IF(AND(ISNUMBER(D288),ISNUMBER(D189)),IFERROR(D288/D189,""),"")</f>
        <v>2.94709772226304</v>
      </c>
      <c r="E294" s="283">
        <f>IF(AND(ISNUMBER(E288),ISNUMBER(E189)),IFERROR(E288/E189,""),"")</f>
        <v>1.83571137382797</v>
      </c>
      <c r="F294" s="283">
        <f>IF(AND(ISNUMBER(F288),ISNUMBER(F189)),IFERROR(F288/F189,""),"")</f>
        <v>2.32590412111018</v>
      </c>
      <c r="G294" s="283">
        <f>IF(AND(ISNUMBER(G288),ISNUMBER(G189)),IFERROR(G288/G189,""),"")</f>
        <v>2.427303465765</v>
      </c>
      <c r="H294" s="283">
        <f>IF(AND(ISNUMBER(H288),ISNUMBER(H189)),IFERROR(H288/H189,""),"")</f>
        <v>3.20662598081953</v>
      </c>
      <c r="I294" s="283">
        <f>IF(AND(ISNUMBER(I288),ISNUMBER(I189)),IFERROR(I288/I189,""),"")</f>
        <v>3.43380406001765</v>
      </c>
      <c r="J294" s="283">
        <f>IF(AND(ISNUMBER(J288),ISNUMBER(J189)),IFERROR(J288/J189,""),"")</f>
        <v>0.85387323943662</v>
      </c>
      <c r="K294" s="283">
        <f>IF(AND(ISNUMBER(K288),ISNUMBER(K189)),IFERROR(K288/K189,""),"")</f>
        <v>0.694076038903625</v>
      </c>
      <c r="L294" s="283">
        <f>IF(AND(ISNUMBER(L288),ISNUMBER(L189)),IFERROR(L288/L189,""),"")</f>
        <v>1.22297297297297</v>
      </c>
      <c r="M294" s="283">
        <f>IF(AND(ISNUMBER(M288),ISNUMBER(M189)),IFERROR(M288/M189,""),"")</f>
        <v>1.19634703196347</v>
      </c>
      <c r="N294" s="283">
        <f>IF(AND(ISNUMBER(N288),ISNUMBER(N189)),IFERROR(N288/N189,""),"")</f>
        <v>3.95749440715884</v>
      </c>
      <c r="O294" s="283">
        <f>IF(AND(ISNUMBER(O288),ISNUMBER(O189)),IFERROR(O288/O189,""),"")</f>
        <v>0.723569794050343</v>
      </c>
      <c r="P294" s="283">
        <f>IF(AND(ISNUMBER(P288),ISNUMBER(P189)),IFERROR(P288/P189,""),"")</f>
        <v>1.21047751506722</v>
      </c>
      <c r="Q294" s="283">
        <f>IF(AND(ISNUMBER(Q288),ISNUMBER(Q189)),IFERROR(Q288/Q189,""),"")</f>
        <v>1.09150326797386</v>
      </c>
      <c r="R294" s="283">
        <f>IF(AND(ISNUMBER(R288),ISNUMBER(R189)),IFERROR(R288/R189,""),"")</f>
        <v>1.38242280285036</v>
      </c>
      <c r="S294" s="283">
        <f>IF(AND(ISNUMBER(S288),ISNUMBER(S189)),IFERROR(S288/S189,""),"")</f>
        <v>4.39683278993945</v>
      </c>
      <c r="T294" s="283">
        <f>IF(AND(ISNUMBER(T288),ISNUMBER(T189)),IFERROR(T288/T189,""),"")</f>
        <v>1.17578692493947</v>
      </c>
      <c r="U294" s="283">
        <f>IF(AND(ISNUMBER(U288),ISNUMBER(U189)),IFERROR(U288/U189,""),"")</f>
        <v>1.52103718199609</v>
      </c>
      <c r="V294" s="283">
        <f>IF(AND(ISNUMBER(V288),ISNUMBER(V189)),IFERROR(V288/V189,""),"")</f>
        <v>1.35259259259259</v>
      </c>
      <c r="W294" s="283">
        <f>IF(AND(ISNUMBER(W288),ISNUMBER(W189)),IFERROR(W288/W189,""),"")</f>
        <v>1.18381618381618</v>
      </c>
      <c r="X294" s="283">
        <f>IF(AND(ISNUMBER(X288),ISNUMBER(X189)),IFERROR(X288/X189,""),"")</f>
        <v>5.23402163225172</v>
      </c>
      <c r="Y294" s="283">
        <f>IF(AND(ISNUMBER(Y288),ISNUMBER(Y189)),IFERROR(Y288/Y189,""),"")</f>
        <v>1.06619504800404</v>
      </c>
      <c r="Z294" s="283">
        <f>IF(AND(ISNUMBER(Z288),ISNUMBER(Z189)),IFERROR(Z288/Z189,""),"")</f>
        <v>1.34576098059244</v>
      </c>
      <c r="AA294" s="283">
        <f>IF(AND(ISNUMBER(AA288),ISNUMBER(AA189)),IFERROR(AA288/AA189,""),"")</f>
        <v>1.53010808028821</v>
      </c>
      <c r="AB294" s="283">
        <f>IF(AND(ISNUMBER(AB288),ISNUMBER(AB189)),IFERROR(AB288/AB189,""),"")</f>
        <v>1.75336091003102</v>
      </c>
      <c r="AC294" s="283">
        <f>IF(AND(ISNUMBER(AC288),ISNUMBER(AC189)),IFERROR(AC288/AC189,""),"")</f>
        <v>5.68526100307062</v>
      </c>
      <c r="AD294" s="283">
        <f>IF(AND(ISNUMBER(AD288),ISNUMBER(AD189)),IFERROR(AD288/AD189,""),"")</f>
        <v>-2.73340195573855</v>
      </c>
      <c r="AE294" s="283">
        <f>IF(AND(ISNUMBER(AE288),ISNUMBER(AE189)),IFERROR(AE288/AE189,""),"")</f>
        <v>2.2734778121775</v>
      </c>
      <c r="AF294" s="283">
        <f>IF(AND(ISNUMBER(AF288),ISNUMBER(AF189)),IFERROR(AF288/AF189,""),"")</f>
        <v>1.87429160226687</v>
      </c>
      <c r="AG294" s="283">
        <f>IF(AND(ISNUMBER(AG288),ISNUMBER(AG189)),IFERROR(AG288/AG189,""),"")</f>
        <v>1.97325102880658</v>
      </c>
      <c r="AH294" s="283">
        <f>IF(AND(ISNUMBER(AH288),ISNUMBER(AH189)),IFERROR(AH288/AH189,""),"")</f>
        <v>3.38259526261586</v>
      </c>
      <c r="AI294" s="283">
        <f>IF(AND(ISNUMBER(AI288),ISNUMBER(AI189)),IFERROR(AI288/AI189,""),"")</f>
        <v>1.93573264781491</v>
      </c>
      <c r="AJ294" s="283">
        <f>IF(AND(ISNUMBER(AJ288),ISNUMBER(AJ189)),IFERROR(AJ288/AJ189,""),"")</f>
        <v>1.8667695473251</v>
      </c>
      <c r="AK294" s="283">
        <f>IF(AND(ISNUMBER(AK288),ISNUMBER(AK189)),IFERROR(AK288/AK189,""),"")</f>
        <v>1.45141388174807</v>
      </c>
      <c r="AL294" s="283">
        <f>IF(AND(ISNUMBER(AL288),ISNUMBER(AL189)),IFERROR(AL288/AL189,""),"")</f>
        <v>1.79896907216495</v>
      </c>
      <c r="AM294" s="283">
        <f>IF(AND(ISNUMBER(AM288),ISNUMBER(AM189)),IFERROR(AM288/AM189,""),"")</f>
        <v>7.05092592592593</v>
      </c>
      <c r="AN294" s="283">
        <f>IF(AND(ISNUMBER(AN288),ISNUMBER(AN189)),IFERROR(AN288/AN189,""),"")</f>
        <v>1.8003112033195</v>
      </c>
      <c r="AO294" s="283">
        <f>IF(AND(ISNUMBER(AO288),ISNUMBER(AO189)),IFERROR(AO288/AO189,""),"")</f>
        <v>1.9273392577104</v>
      </c>
      <c r="AP294" s="283">
        <f>IF(AND(ISNUMBER(AP288),ISNUMBER(AP189)),IFERROR(AP288/AP189,""),"")</f>
        <v>2.19152276295133</v>
      </c>
      <c r="AQ294" s="283">
        <f>IF(AND(ISNUMBER(AQ288),ISNUMBER(AQ189)),IFERROR(AQ288/AQ189,""),"")</f>
        <v>2.47324239244491</v>
      </c>
      <c r="AR294" s="283">
        <f>IF(AND(ISNUMBER(AR288),ISNUMBER(AR189)),IFERROR(AR288/AR189,""),"")</f>
        <v>8.38204592901879</v>
      </c>
      <c r="AS294" s="283">
        <f>IF(AND(ISNUMBER(AS288),ISNUMBER(AS189)),IFERROR(AS288/AS189,""),"")</f>
        <v>1.70886075949367</v>
      </c>
      <c r="AT294" s="283">
        <f>IF(AND(ISNUMBER(AT288),ISNUMBER(AT189)),IFERROR(AT288/AT189,""),"")</f>
        <v>3.12698412698413</v>
      </c>
      <c r="AU294" s="283">
        <f>IF(AND(ISNUMBER(AU288),ISNUMBER(AU189)),IFERROR(AU288/AU189,""),"")</f>
        <v>2.58848388800845</v>
      </c>
      <c r="AV294" s="283">
        <f>IF(AND(ISNUMBER(AV288),ISNUMBER(AV189)),IFERROR(AV288/AV189,""),"")</f>
        <v>3.37209302325581</v>
      </c>
      <c r="AW294" s="283">
        <f>IF(AND(ISNUMBER(AW288),ISNUMBER(AW189)),IFERROR(AW288/AW189,""),"")</f>
        <v>10.7923930269414</v>
      </c>
      <c r="AX294" s="283">
        <f>IF(AND(ISNUMBER(AX288),ISNUMBER(AX189)),IFERROR(AX288/AX189,""),"")</f>
        <v>3.51007423117709</v>
      </c>
      <c r="AY294" s="283">
        <f>IF(AND(ISNUMBER(AY288),ISNUMBER(AY189)),IFERROR(AY288/AY189,""),"")</f>
        <v>3.00159659393294</v>
      </c>
      <c r="AZ294" s="283">
        <f>IF(AND(ISNUMBER(AZ288),ISNUMBER(AZ189)),IFERROR(AZ288/AZ189,""),"")</f>
        <v>2.15162840363054</v>
      </c>
      <c r="BA294" s="283">
        <f>IF(AND(ISNUMBER(BA288),ISNUMBER(BA189)),IFERROR(BA288/BA189,""),"")</f>
        <v>1.26467449306297</v>
      </c>
      <c r="BB294" s="283">
        <f>IF(AND(ISNUMBER(BB288),ISNUMBER(BB189)),IFERROR(BB288/BB189,""),"")</f>
        <v>9.9308142629058</v>
      </c>
      <c r="BC294" s="283">
        <f>IF(AND(ISNUMBER(BC288),ISNUMBER(BC189)),IFERROR(BC288/BC189,""),"")</f>
        <v>2.20849005910801</v>
      </c>
      <c r="BD294" s="283">
        <f>IF(AND(ISNUMBER(BD288),ISNUMBER(BD189)),IFERROR(BD288/BD189,""),"")</f>
        <v>1.1736073553272</v>
      </c>
      <c r="BE294" s="283">
        <f>IF(AND(ISNUMBER(BE288),ISNUMBER(BE189)),IFERROR(BE288/BE189,""),"")</f>
        <v>1.44100054377379</v>
      </c>
      <c r="BF294" s="283">
        <f>IF(AND(ISNUMBER(BF288),ISNUMBER(BF189)),IFERROR(BF288/BF189,""),"")</f>
        <v>1.62044589450788</v>
      </c>
      <c r="BG294" s="283">
        <f>IF(AND(ISNUMBER(BG288),ISNUMBER(BG189)),IFERROR(BG288/BG189,""),"")</f>
        <v>6.44829453167298</v>
      </c>
      <c r="BH294" s="283">
        <f>IF(AND(ISNUMBER(BH288),ISNUMBER(BH189)),IFERROR(BH288/BH189,""),"")</f>
        <v>2.90602933188485</v>
      </c>
      <c r="BI294" s="283">
        <f>IF(AND(ISNUMBER(BI288),ISNUMBER(BI189)),IFERROR(BI288/BI189,""),"")</f>
        <v>2.98750678978816</v>
      </c>
      <c r="BJ294" s="283">
        <f>IF(AND(ISNUMBER(BJ288),ISNUMBER(BJ189)),IFERROR(BJ288/BJ189,""),"")</f>
        <v>2.125</v>
      </c>
      <c r="BK294" s="283">
        <f>IF(AND(ISNUMBER(BK288),ISNUMBER(BK189)),IFERROR(BK288/BK189,""),"")</f>
        <v>2.20043572984749</v>
      </c>
      <c r="BL294" s="283">
        <f>IF(AND(ISNUMBER(BL288),ISNUMBER(BL189)),IFERROR(BL288/BL189,""),"")</f>
        <v>10.2173913043478</v>
      </c>
      <c r="BM294" s="283">
        <f>IF(AND(ISNUMBER(BM288),ISNUMBER(BM189)),IFERROR(BM288/BM189,""),"")</f>
        <v>3.80043620501636</v>
      </c>
      <c r="BN294" s="283">
        <f>IF(AND(ISNUMBER(BN288),ISNUMBER(BN189)),IFERROR(BN288/BN189,""),"")</f>
        <v>3.24043715846995</v>
      </c>
      <c r="BO294" s="283">
        <f>IF(AND(ISNUMBER(BO288),ISNUMBER(BO189)),IFERROR(BO288/BO189,""),"")</f>
        <v>3.45753424657534</v>
      </c>
      <c r="BP294" s="283">
        <f>IF(AND(ISNUMBER(BP288),ISNUMBER(BP189)),IFERROR(BP288/BP189,""),"")</f>
        <v>3.30214639515685</v>
      </c>
      <c r="BQ294" s="283">
        <f>IF(AND(ISNUMBER(BQ288),ISNUMBER(BQ189)),IFERROR(BQ288/BQ189,""),"")</f>
        <v>13.7985769020252</v>
      </c>
      <c r="BR294" s="283">
        <f>IF(AND(ISNUMBER(BR288),ISNUMBER(BR189)),IFERROR(BR288/BR189,""),"")</f>
        <v>3.71887105700055</v>
      </c>
      <c r="BS294" s="283">
        <f>IF(AND(ISNUMBER(BS288),ISNUMBER(BS189)),IFERROR(BS288/BS189,""),"")</f>
        <v>2.59711431742508</v>
      </c>
      <c r="BT294" s="283">
        <f>IF(AND(ISNUMBER(BT288),ISNUMBER(BT189)),IFERROR(BT288/BT189,""),"")</f>
        <v>3.66369710467706</v>
      </c>
      <c r="BU294" s="283">
        <f>IF(AND(ISNUMBER(BU288),ISNUMBER(BU189)),IFERROR(BU288/BU189,""),"")</f>
        <v>4.34806939003917</v>
      </c>
      <c r="BV294" s="283">
        <f>IF(AND(ISNUMBER(BV288),ISNUMBER(BV189)),IFERROR(BV288/BV189,""),"")</f>
        <v>14.313507504169</v>
      </c>
      <c r="BW294" s="283">
        <f>IF(AND(ISNUMBER(BW288),ISNUMBER(BW189)),IFERROR(BW288/BW189,""),"")</f>
        <v>4.76029328821207</v>
      </c>
      <c r="BX294" s="283">
        <f>IF(AND(ISNUMBER(BX288),ISNUMBER(BX189)),IFERROR(BX288/BX189,""),"")</f>
        <v>3.94269340974212</v>
      </c>
      <c r="BY294" s="35" t="n"/>
      <c r="BZ294" s="35" t="n"/>
      <c r="CA294" s="278">
        <f>IF(AND(ISNUMBER(CA288),ISNUMBER(CA189)),IFERROR(CA288/CA189,""),"")</f>
        <v>16.8172776737317</v>
      </c>
      <c r="CB294" s="278">
        <f>IF(AND(ISNUMBER(CB288),ISNUMBER(CB189)),IFERROR(CB288/CB189,""),"")</f>
        <v>19.4163388202851</v>
      </c>
      <c r="CC294" s="278">
        <f>IF(AND(ISNUMBER(CC288),ISNUMBER(CC189)),IFERROR(CC288/CC189,""),"")</f>
        <v>21.9789019947833</v>
      </c>
      <c r="CD294" s="278">
        <f>IF(AND(ISNUMBER(CD288),ISNUMBER(CD189)),IFERROR(CD288/CD189,""),"")</f>
        <v>24.2733137976065</v>
      </c>
      <c r="CE294" s="278">
        <f>IF(AND(ISNUMBER(CE288),ISNUMBER(CE189)),IFERROR(CE288/CE189,""),"")</f>
        <v>26.6536960504617</v>
      </c>
      <c r="CF294" s="19" t="n"/>
    </row>
    <row r="295" ht="15" customHeight="1" s="251">
      <c r="B295" s="25" t="inlineStr">
        <is>
          <t xml:space="preserve">  FCF / Adjusted Operating Income %</t>
        </is>
      </c>
      <c r="C295" s="215">
        <f>IF(AND(ISNUMBER(C288),ISNUMBER(C219)),IFERROR(C288/C219,""),"")</f>
        <v>0.633696416022488</v>
      </c>
      <c r="D295" s="215">
        <f>IF(AND(ISNUMBER(D288),ISNUMBER(D219)),IFERROR(D288/D219,""),"")</f>
        <v>0.655445706348558</v>
      </c>
      <c r="E295" s="215">
        <f>IF(AND(ISNUMBER(E288),ISNUMBER(E219)),IFERROR(E288/E219,""),"")</f>
        <v>0.548611111111111</v>
      </c>
      <c r="F295" s="215">
        <f>IF(AND(ISNUMBER(F288),ISNUMBER(F219)),IFERROR(F288/F219,""),"")</f>
        <v>0.7191522558835</v>
      </c>
      <c r="G295" s="215">
        <f>IF(AND(ISNUMBER(G288),ISNUMBER(G219)),IFERROR(G288/G219,""),"")</f>
        <v>0.684342230695901</v>
      </c>
      <c r="H295" s="215">
        <f>IF(AND(ISNUMBER(H288),ISNUMBER(H219)),IFERROR(H288/H219,""),"")</f>
        <v>0.760231500620091</v>
      </c>
      <c r="I295" s="215">
        <f>IF(AND(ISNUMBER(I288),ISNUMBER(I219)),IFERROR(I288/I219,""),"")</f>
        <v>0.657678978953596</v>
      </c>
      <c r="J295" s="215">
        <f>IF(AND(ISNUMBER(J288),ISNUMBER(J219)),IFERROR(J288/J219,""),"")</f>
        <v>0.638157894736842</v>
      </c>
      <c r="K295" s="215">
        <f>IF(AND(ISNUMBER(K288),ISNUMBER(K219)),IFERROR(K288/K219,""),"")</f>
        <v>0.41989836854774</v>
      </c>
      <c r="L295" s="215">
        <f>IF(AND(ISNUMBER(L288),ISNUMBER(L219)),IFERROR(L288/L219,""),"")</f>
        <v>0.862178469355351</v>
      </c>
      <c r="M295" s="215">
        <f>IF(AND(ISNUMBER(M288),ISNUMBER(M219)),IFERROR(M288/M219,""),"")</f>
        <v>0.781622911694511</v>
      </c>
      <c r="N295" s="215">
        <f>IF(AND(ISNUMBER(N288),ISNUMBER(N219)),IFERROR(N288/N219,""),"")</f>
        <v>0.666039156626506</v>
      </c>
      <c r="O295" s="215">
        <f>IF(AND(ISNUMBER(O288),ISNUMBER(O219)),IFERROR(O288/O219,""),"")</f>
        <v>0.443976411120472</v>
      </c>
      <c r="P295" s="215">
        <f>IF(AND(ISNUMBER(P288),ISNUMBER(P219)),IFERROR(P288/P219,""),"")</f>
        <v>0.601612903225807</v>
      </c>
      <c r="Q295" s="215">
        <f>IF(AND(ISNUMBER(Q288),ISNUMBER(Q219)),IFERROR(Q288/Q219,""),"")</f>
        <v>0.62697774202199</v>
      </c>
      <c r="R295" s="215">
        <f>IF(AND(ISNUMBER(R288),ISNUMBER(R219)),IFERROR(R288/R219,""),"")</f>
        <v>0.782889426957224</v>
      </c>
      <c r="S295" s="215">
        <f>IF(AND(ISNUMBER(S288),ISNUMBER(S219)),IFERROR(S288/S219,""),"")</f>
        <v>0.615103929106666</v>
      </c>
      <c r="T295" s="215">
        <f>IF(AND(ISNUMBER(T288),ISNUMBER(T219)),IFERROR(T288/T219,""),"")</f>
        <v>0.607151787946987</v>
      </c>
      <c r="U295" s="215">
        <f>IF(AND(ISNUMBER(U288),ISNUMBER(U219)),IFERROR(U288/U219,""),"")</f>
        <v>0.695214669051878</v>
      </c>
      <c r="V295" s="215">
        <f>IF(AND(ISNUMBER(V288),ISNUMBER(V219)),IFERROR(V288/V219,""),"")</f>
        <v>0.724603174603175</v>
      </c>
      <c r="W295" s="215">
        <f>IF(AND(ISNUMBER(W288),ISNUMBER(W219)),IFERROR(W288/W219,""),"")</f>
        <v>0.655058043117745</v>
      </c>
      <c r="X295" s="215">
        <f>IF(AND(ISNUMBER(X288),ISNUMBER(X219)),IFERROR(X288/X219,""),"")</f>
        <v>0.670867729535572</v>
      </c>
      <c r="Y295" s="215">
        <f>IF(AND(ISNUMBER(Y288),ISNUMBER(Y219)),IFERROR(Y288/Y219,""),"")</f>
        <v>0.631736526946108</v>
      </c>
      <c r="Z295" s="215">
        <f>IF(AND(ISNUMBER(Z288),ISNUMBER(Z219)),IFERROR(Z288/Z219,""),"")</f>
        <v>0.5969642048029</v>
      </c>
      <c r="AA295" s="215">
        <f>IF(AND(ISNUMBER(AA288),ISNUMBER(AA219)),IFERROR(AA288/AA219,""),"")</f>
        <v>0.677838577291382</v>
      </c>
      <c r="AB295" s="215">
        <f>IF(AND(ISNUMBER(AB288),ISNUMBER(AB219)),IFERROR(AB288/AB219,""),"")</f>
        <v>0.800519357884797</v>
      </c>
      <c r="AC295" s="215">
        <f>IF(AND(ISNUMBER(AC288),ISNUMBER(AC219)),IFERROR(AC288/AC219,""),"")</f>
        <v>0.676882768705825</v>
      </c>
      <c r="AD295" s="215">
        <f>IF(AND(ISNUMBER(AD288),ISNUMBER(AD219)),IFERROR(AD288/AD219,""),"")</f>
        <v>-1.11599075436016</v>
      </c>
      <c r="AE295" s="215">
        <f>IF(AND(ISNUMBER(AE288),ISNUMBER(AE219)),IFERROR(AE288/AE219,""),"")</f>
        <v>0.886519114688129</v>
      </c>
      <c r="AF295" s="215">
        <f>IF(AND(ISNUMBER(AF288),ISNUMBER(AF219)),IFERROR(AF288/AF219,""),"")</f>
        <v>0.729789368104313</v>
      </c>
      <c r="AG295" s="215">
        <f>IF(AND(ISNUMBER(AG288),ISNUMBER(AG219)),IFERROR(AG288/AG219,""),"")</f>
        <v>0.739826422372228</v>
      </c>
      <c r="AH295" s="215">
        <f>IF(AND(ISNUMBER(AH288),ISNUMBER(AH219)),IFERROR(AH288/AH219,""),"")</f>
        <v>0.330117091311121</v>
      </c>
      <c r="AI295" s="215">
        <f>IF(AND(ISNUMBER(AI288),ISNUMBER(AI219)),IFERROR(AI288/AI219,""),"")</f>
        <v>0.696319585722212</v>
      </c>
      <c r="AJ295" s="215">
        <f>IF(AND(ISNUMBER(AJ288),ISNUMBER(AJ219)),IFERROR(AJ288/AJ219,""),"")</f>
        <v>0.6209787816564</v>
      </c>
      <c r="AK295" s="215">
        <f>IF(AND(ISNUMBER(AK288),ISNUMBER(AK219)),IFERROR(AK288/AK219,""),"")</f>
        <v>0.549008168028005</v>
      </c>
      <c r="AL295" s="215">
        <f>IF(AND(ISNUMBER(AL288),ISNUMBER(AL219)),IFERROR(AL288/AL219,""),"")</f>
        <v>0.730431142737547</v>
      </c>
      <c r="AM295" s="215">
        <f>IF(AND(ISNUMBER(AM288),ISNUMBER(AM219)),IFERROR(AM288/AM219,""),"")</f>
        <v>0.647442255916112</v>
      </c>
      <c r="AN295" s="215">
        <f>IF(AND(ISNUMBER(AN288),ISNUMBER(AN219)),IFERROR(AN288/AN219,""),"")</f>
        <v>0.668915012526498</v>
      </c>
      <c r="AO295" s="215">
        <f>IF(AND(ISNUMBER(AO288),ISNUMBER(AO219)),IFERROR(AO288/AO219,""),"")</f>
        <v>0.615525876460768</v>
      </c>
      <c r="AP295" s="215">
        <f>IF(AND(ISNUMBER(AP288),ISNUMBER(AP219)),IFERROR(AP288/AP219,""),"")</f>
        <v>0.682195797361134</v>
      </c>
      <c r="AQ295" s="215">
        <f>IF(AND(ISNUMBER(AQ288),ISNUMBER(AQ219)),IFERROR(AQ288/AQ219,""),"")</f>
        <v>0.843291592128801</v>
      </c>
      <c r="AR295" s="215">
        <f>IF(AND(ISNUMBER(AR288),ISNUMBER(AR219)),IFERROR(AR288/AR219,""),"")</f>
        <v>0.701003928415539</v>
      </c>
      <c r="AS295" s="215">
        <f>IF(AND(ISNUMBER(AS288),ISNUMBER(AS219)),IFERROR(AS288/AS219,""),"")</f>
        <v>0.499229583975347</v>
      </c>
      <c r="AT295" s="215">
        <f>IF(AND(ISNUMBER(AT288),ISNUMBER(AT219)),IFERROR(AT288/AT219,""),"")</f>
        <v>0.77154046997389</v>
      </c>
      <c r="AU295" s="215">
        <f>IF(AND(ISNUMBER(AU288),ISNUMBER(AU219)),IFERROR(AU288/AU219,""),"")</f>
        <v>0.679611650485437</v>
      </c>
      <c r="AV295" s="215">
        <f>IF(AND(ISNUMBER(AV288),ISNUMBER(AV219)),IFERROR(AV288/AV219,""),"")</f>
        <v>1.2015065913371</v>
      </c>
      <c r="AW295" s="215">
        <f>IF(AND(ISNUMBER(AW288),ISNUMBER(AW219)),IFERROR(AW288/AW219,""),"")</f>
        <v>0.766029246344207</v>
      </c>
      <c r="AX295" s="215">
        <f>IF(AND(ISNUMBER(AX288),ISNUMBER(AX219)),IFERROR(AX288/AX219,""),"")</f>
        <v>0.724288840262582</v>
      </c>
      <c r="AY295" s="215">
        <f>IF(AND(ISNUMBER(AY288),ISNUMBER(AY219)),IFERROR(AY288/AY219,""),"")</f>
        <v>0.655052264808362</v>
      </c>
      <c r="AZ295" s="215">
        <f>IF(AND(ISNUMBER(AZ288),ISNUMBER(AZ219)),IFERROR(AZ288/AZ219,""),"")</f>
        <v>0.546811397557666</v>
      </c>
      <c r="BA295" s="215">
        <f>IF(AND(ISNUMBER(BA288),ISNUMBER(BA219)),IFERROR(BA288/BA219,""),"")</f>
        <v>0.402376910016978</v>
      </c>
      <c r="BB295" s="215">
        <f>IF(AND(ISNUMBER(BB288),ISNUMBER(BB219)),IFERROR(BB288/BB219,""),"")</f>
        <v>0.601741373750403</v>
      </c>
      <c r="BC295" s="215">
        <f>IF(AND(ISNUMBER(BC288),ISNUMBER(BC219)),IFERROR(BC288/BC219,""),"")</f>
        <v>0.559945504087194</v>
      </c>
      <c r="BD295" s="215">
        <f>IF(AND(ISNUMBER(BD288),ISNUMBER(BD219)),IFERROR(BD288/BD219,""),"")</f>
        <v>0.35</v>
      </c>
      <c r="BE295" s="215">
        <f>IF(AND(ISNUMBER(BE288),ISNUMBER(BE219)),IFERROR(BE288/BE219,""),"")</f>
        <v>0.533199195171026</v>
      </c>
      <c r="BF295" s="215">
        <f>IF(AND(ISNUMBER(BF288),ISNUMBER(BF219)),IFERROR(BF288/BF219,""),"")</f>
        <v>0.624737945492663</v>
      </c>
      <c r="BG295" s="215">
        <f>IF(AND(ISNUMBER(BG288),ISNUMBER(BG219)),IFERROR(BG288/BG219,""),"")</f>
        <v>0.51159793814433</v>
      </c>
      <c r="BH295" s="215">
        <f>IF(AND(ISNUMBER(BH288),ISNUMBER(BH219)),IFERROR(BH288/BH219,""),"")</f>
        <v>0.815548780487805</v>
      </c>
      <c r="BI295" s="215">
        <f>IF(AND(ISNUMBER(BI288),ISNUMBER(BI219)),IFERROR(BI288/BI219,""),"")</f>
        <v>0.842266462480858</v>
      </c>
      <c r="BJ295" s="215">
        <f>IF(AND(ISNUMBER(BJ288),ISNUMBER(BJ219)),IFERROR(BJ288/BJ219,""),"")</f>
        <v>0.595129375951294</v>
      </c>
      <c r="BK295" s="215">
        <f>IF(AND(ISNUMBER(BK288),ISNUMBER(BK219)),IFERROR(BK288/BK219,""),"")</f>
        <v>0.640253565768621</v>
      </c>
      <c r="BL295" s="215">
        <f>IF(AND(ISNUMBER(BL288),ISNUMBER(BL219)),IFERROR(BL288/BL219,""),"")</f>
        <v>0.723912206391991</v>
      </c>
      <c r="BM295" s="215">
        <f>IF(AND(ISNUMBER(BM288),ISNUMBER(BM219)),IFERROR(BM288/BM219,""),"")</f>
        <v>0.769315673289183</v>
      </c>
      <c r="BN295" s="215">
        <f>IF(AND(ISNUMBER(BN288),ISNUMBER(BN219)),IFERROR(BN288/BN219,""),"")</f>
        <v>0.657427937915743</v>
      </c>
      <c r="BO295" s="215">
        <f>IF(AND(ISNUMBER(BO288),ISNUMBER(BO219)),IFERROR(BO288/BO219,""),"")</f>
        <v>0.727797001153403</v>
      </c>
      <c r="BP295" s="215">
        <f>IF(AND(ISNUMBER(BP288),ISNUMBER(BP219)),IFERROR(BP288/BP219,""),"")</f>
        <v>0.818553888130969</v>
      </c>
      <c r="BQ295" s="215">
        <f>IF(AND(ISNUMBER(BQ288),ISNUMBER(BQ219)),IFERROR(BQ288/BQ219,""),"")</f>
        <v>0.739730046948357</v>
      </c>
      <c r="BR295" s="215">
        <f>IF(AND(ISNUMBER(BR288),ISNUMBER(BR219)),IFERROR(BR288/BR219,""),"")</f>
        <v>0.676056338028169</v>
      </c>
      <c r="BS295" s="215">
        <f>IF(AND(ISNUMBER(BS288),ISNUMBER(BS219)),IFERROR(BS288/BS219,""),"")</f>
        <v>0.484472049689441</v>
      </c>
      <c r="BT295" s="215">
        <f>IF(AND(ISNUMBER(BT288),ISNUMBER(BT219)),IFERROR(BT288/BT219,""),"")</f>
        <v>0.619585687382298</v>
      </c>
      <c r="BU295" s="215">
        <f>IF(AND(ISNUMBER(BU288),ISNUMBER(BU219)),IFERROR(BU288/BU219,""),"")</f>
        <v>0.844565217391304</v>
      </c>
      <c r="BV295" s="215">
        <f>IF(AND(ISNUMBER(BV288),ISNUMBER(BV219)),IFERROR(BV288/BV219,""),"")</f>
        <v>0.653221714865551</v>
      </c>
      <c r="BW295" s="215">
        <f>IF(AND(ISNUMBER(BW288),ISNUMBER(BW219)),IFERROR(BW288/BW219,""),"")</f>
        <v>0.763800904977376</v>
      </c>
      <c r="BX295" s="215">
        <f>IF(AND(ISNUMBER(BX288),ISNUMBER(BX219)),IFERROR(BX288/BX219,""),"")</f>
        <v>0.56953642384106</v>
      </c>
      <c r="BY295" s="24" t="n"/>
      <c r="BZ295" s="24" t="n"/>
      <c r="CA295" s="256">
        <f>IF(AND(ISNUMBER(CA288),ISNUMBER(CA219)),IFERROR(CA288/CA219,""),"")</f>
        <v>0.679188565795209</v>
      </c>
      <c r="CB295" s="256">
        <f>IF(AND(ISNUMBER(CB288),ISNUMBER(CB219)),IFERROR(CB288/CB219,""),"")</f>
        <v>0.703246242279341</v>
      </c>
      <c r="CC295" s="256">
        <f>IF(AND(ISNUMBER(CC288),ISNUMBER(CC219)),IFERROR(CC288/CC219,""),"")</f>
        <v>0.715933167861494</v>
      </c>
      <c r="CD295" s="256">
        <f>IF(AND(ISNUMBER(CD288),ISNUMBER(CD219)),IFERROR(CD288/CD219,""),"")</f>
        <v>0.713717419384193</v>
      </c>
      <c r="CE295" s="256">
        <f>IF(AND(ISNUMBER(CE288),ISNUMBER(CE219)),IFERROR(CE288/CE219,""),"")</f>
        <v>0.710200480014368</v>
      </c>
      <c r="CF295" s="153" t="n"/>
      <c r="CH295" s="37">
        <f>IFERROR(AVERAGE(CA295,CB295,CC295,CD295,CE295),"n/m")</f>
        <v>0.704457175066921</v>
      </c>
      <c r="CI295" s="37">
        <f>IFERROR(AVERAGE(BB295,BG295,BL295,BQ295,BV295),"n/m")</f>
        <v>0.646040656020126</v>
      </c>
      <c r="CJ295" s="37">
        <f>IFERROR(AVERAGE(AC295,AH295,AM295,AR295,AW295,BB295,BG295,BL295,BQ295,BV295),"n/m")</f>
        <v>0.635167857079343</v>
      </c>
      <c r="CK295" s="37">
        <f>IFERROR(AVERAGE(C295,D295,E295,F295,G295,H295,I295,N295,S295,X295,AC295,AH295,AM295,AR295,AW295,BB295,BG295,BL295,BQ295,BV295),"n/m")</f>
        <v>0.648142379284871</v>
      </c>
    </row>
    <row r="296" ht="15" customHeight="1" s="251">
      <c r="B296" s="25" t="inlineStr">
        <is>
          <t>Capex ratios</t>
        </is>
      </c>
      <c r="CF296" s="153" t="n"/>
    </row>
    <row r="297" ht="15" customHeight="1" s="251">
      <c r="B297" s="25" t="inlineStr">
        <is>
          <t xml:space="preserve">  Capex % of revenue</t>
        </is>
      </c>
      <c r="C297" s="215">
        <f>IF(ISNUMBER(C270),IFERROR(-C270/C163,""),"")</f>
        <v>0.0152668008443375</v>
      </c>
      <c r="D297" s="215">
        <f>IF(ISNUMBER(D270),IFERROR(-D270/D163,""),"")</f>
        <v>0.0804780876494024</v>
      </c>
      <c r="E297" s="215">
        <f>IF(ISNUMBER(E270),IFERROR(-E270/E163,""),"")</f>
        <v>0.0480802096388288</v>
      </c>
      <c r="F297" s="215">
        <f>IF(ISNUMBER(F270),IFERROR(-F270/F163,""),"")</f>
        <v>0.05046739372357</v>
      </c>
      <c r="G297" s="215">
        <f>IF(ISNUMBER(G270),IFERROR(-G270/G163,""),"")</f>
        <v>0.0388779527559055</v>
      </c>
      <c r="H297" s="215">
        <f>IF(ISNUMBER(H270),IFERROR(-H270/H163,""),"")</f>
        <v>0.0296838689875915</v>
      </c>
      <c r="I297" s="215">
        <f>IF(ISNUMBER(I270),IFERROR(-I270/I163,""),"")</f>
        <v>0.0164817053071091</v>
      </c>
      <c r="J297" s="215">
        <f>IF(ISNUMBER(J270),IFERROR(-J270/J163,""),"")</f>
        <v>0.0117518447663296</v>
      </c>
      <c r="K297" s="215">
        <f>IF(ISNUMBER(K270),IFERROR(-K270/K163,""),"")</f>
        <v>0.0125661375661376</v>
      </c>
      <c r="L297" s="215">
        <f>IF(ISNUMBER(L270),IFERROR(-L270/L163,""),"")</f>
        <v>0.0182849043231751</v>
      </c>
      <c r="M297" s="215">
        <f>IF(ISNUMBER(M270),IFERROR(-M270/M163,""),"")</f>
        <v>0.0145020533880903</v>
      </c>
      <c r="N297" s="215">
        <f>IF(ISNUMBER(N270),IFERROR(-N270/N163,""),"")</f>
        <v>0.0142304457527334</v>
      </c>
      <c r="O297" s="215">
        <f>IF(ISNUMBER(O270),IFERROR(-O270/O163,""),"")</f>
        <v>0.024895724713243</v>
      </c>
      <c r="P297" s="215">
        <f>IF(ISNUMBER(P270),IFERROR(-P270/P163,""),"")</f>
        <v>0.0225529479107041</v>
      </c>
      <c r="Q297" s="215">
        <f>IF(ISNUMBER(Q270),IFERROR(-Q270/Q163,""),"")</f>
        <v>0.0220561205734591</v>
      </c>
      <c r="R297" s="215">
        <f>IF(ISNUMBER(R270),IFERROR(-R270/R163,""),"")</f>
        <v>0.0202849002849003</v>
      </c>
      <c r="S297" s="215">
        <f>IF(ISNUMBER(S270),IFERROR(-S270/S163,""),"")</f>
        <v>0.0223735116816123</v>
      </c>
      <c r="T297" s="215">
        <f>IF(ISNUMBER(T270),IFERROR(-T270/T163,""),"")</f>
        <v>0.0219500924214418</v>
      </c>
      <c r="U297" s="215">
        <f>IF(ISNUMBER(U270),IFERROR(-U270/U163,""),"")</f>
        <v>0.023635769524017</v>
      </c>
      <c r="V297" s="215">
        <f>IF(ISNUMBER(V270),IFERROR(-V270/V163,""),"")</f>
        <v>0.0301832554796982</v>
      </c>
      <c r="W297" s="215">
        <f>IF(ISNUMBER(W270),IFERROR(-W270/W163,""),"")</f>
        <v>0.026677445432498</v>
      </c>
      <c r="X297" s="215">
        <f>IF(ISNUMBER(X270),IFERROR(-X270/X163,""),"")</f>
        <v>0.0255416846032429</v>
      </c>
      <c r="Y297" s="215">
        <f>IF(ISNUMBER(Y270),IFERROR(-Y270/Y163,""),"")</f>
        <v>0.0322264428378875</v>
      </c>
      <c r="Z297" s="215">
        <f>IF(ISNUMBER(Z270),IFERROR(-Z270/Z163,""),"")</f>
        <v>0.0301431801055011</v>
      </c>
      <c r="AA297" s="215">
        <f>IF(ISNUMBER(AA270),IFERROR(-AA270/AA163,""),"")</f>
        <v>0.0332570057790862</v>
      </c>
      <c r="AB297" s="215">
        <f>IF(ISNUMBER(AB270),IFERROR(-AB270/AB163,""),"")</f>
        <v>0.0322683366946184</v>
      </c>
      <c r="AC297" s="215">
        <f>IF(ISNUMBER(AC270),IFERROR(-AC270/AC163,""),"")</f>
        <v>0.0319627101714666</v>
      </c>
      <c r="AD297" s="215">
        <f>IF(ISNUMBER(AD270),IFERROR(-AD270/AD163,""),"")</f>
        <v>0.0191755537325677</v>
      </c>
      <c r="AE297" s="215">
        <f>IF(ISNUMBER(AE270),IFERROR(-AE270/AE163,""),"")</f>
        <v>0.024087956021989</v>
      </c>
      <c r="AF297" s="215">
        <f>IF(ISNUMBER(AF270),IFERROR(-AF270/AF163,""),"")</f>
        <v>0.0250258726126635</v>
      </c>
      <c r="AG297" s="215">
        <f>IF(ISNUMBER(AG270),IFERROR(-AG270/AG163,""),"")</f>
        <v>0.0181896181896182</v>
      </c>
      <c r="AH297" s="215">
        <f>IF(ISNUMBER(AH270),IFERROR(-AH270/AH163,""),"")</f>
        <v>0.0215503912846983</v>
      </c>
      <c r="AI297" s="215">
        <f>IF(ISNUMBER(AI270),IFERROR(-AI270/AI163,""),"")</f>
        <v>0.0133132155853377</v>
      </c>
      <c r="AJ297" s="215">
        <f>IF(ISNUMBER(AJ270),IFERROR(-AJ270/AJ163,""),"")</f>
        <v>0.0194877031741979</v>
      </c>
      <c r="AK297" s="215">
        <f>IF(ISNUMBER(AK270),IFERROR(-AK270/AK163,""),"")</f>
        <v>0.0231310140636566</v>
      </c>
      <c r="AL297" s="215">
        <f>IF(ISNUMBER(AL270),IFERROR(-AL270/AL163,""),"")</f>
        <v>0.0259409489670786</v>
      </c>
      <c r="AM297" s="215">
        <f>IF(ISNUMBER(AM270),IFERROR(-AM270/AM163,""),"")</f>
        <v>0.0203479865847345</v>
      </c>
      <c r="AN297" s="215">
        <f>IF(ISNUMBER(AN270),IFERROR(-AN270/AN163,""),"")</f>
        <v>0.0175116014359513</v>
      </c>
      <c r="AO297" s="215">
        <f>IF(ISNUMBER(AO270),IFERROR(-AO270/AO163,""),"")</f>
        <v>0.0154087013843111</v>
      </c>
      <c r="AP297" s="215">
        <f>IF(ISNUMBER(AP270),IFERROR(-AP270/AP163,""),"")</f>
        <v>0.0178960096735187</v>
      </c>
      <c r="AQ297" s="215">
        <f>IF(ISNUMBER(AQ270),IFERROR(-AQ270/AQ163,""),"")</f>
        <v>0.00656934306569343</v>
      </c>
      <c r="AR297" s="215">
        <f>IF(ISNUMBER(AR270),IFERROR(-AR270/AR163,""),"")</f>
        <v>0.0142886726030234</v>
      </c>
      <c r="AS297" s="215">
        <f>IF(ISNUMBER(AS270),IFERROR(-AS270/AS163,""),"")</f>
        <v>0.0162790697674419</v>
      </c>
      <c r="AT297" s="215">
        <f>IF(ISNUMBER(AT270),IFERROR(-AT270/AT163,""),"")</f>
        <v>0.0285714285714286</v>
      </c>
      <c r="AU297" s="215">
        <f>IF(ISNUMBER(AU270),IFERROR(-AU270/AU163,""),"")</f>
        <v>0.0154867256637168</v>
      </c>
      <c r="AV297" s="215">
        <f>IF(ISNUMBER(AV270),IFERROR(-AV270/AV163,""),"")</f>
        <v>0.0155038759689922</v>
      </c>
      <c r="AW297" s="215">
        <f>IF(ISNUMBER(AW270),IFERROR(-AW270/AW163,""),"")</f>
        <v>0.0191770619996276</v>
      </c>
      <c r="AX297" s="215">
        <f>IF(ISNUMBER(AX270),IFERROR(-AX270/AX163,""),"")</f>
        <v>0.00875</v>
      </c>
      <c r="AY297" s="215">
        <f>IF(ISNUMBER(AY270),IFERROR(-AY270/AY163,""),"")</f>
        <v>0.0193174500965873</v>
      </c>
      <c r="AZ297" s="215">
        <f>IF(ISNUMBER(AZ270),IFERROR(-AZ270/AZ163,""),"")</f>
        <v>0.0216251638269987</v>
      </c>
      <c r="BA297" s="215">
        <f>IF(ISNUMBER(BA270),IFERROR(-BA270/BA163,""),"")</f>
        <v>0.0402858999350227</v>
      </c>
      <c r="BB297" s="215">
        <f>IF(ISNUMBER(BB270),IFERROR(-BB270/BB163,""),"")</f>
        <v>0.0223544548086201</v>
      </c>
      <c r="BC297" s="215">
        <f>IF(ISNUMBER(BC270),IFERROR(-BC270/BC163,""),"")</f>
        <v>0.0387647831800263</v>
      </c>
      <c r="BD297" s="215">
        <f>IF(ISNUMBER(BD270),IFERROR(-BD270/BD163,""),"")</f>
        <v>0.053584359160029</v>
      </c>
      <c r="BE297" s="215">
        <f>IF(ISNUMBER(BE270),IFERROR(-BE270/BE163,""),"")</f>
        <v>0.0556862745098039</v>
      </c>
      <c r="BF297" s="215">
        <f>IF(ISNUMBER(BF270),IFERROR(-BF270/BF163,""),"")</f>
        <v>0.0612403100775194</v>
      </c>
      <c r="BG297" s="215">
        <f>IF(ISNUMBER(BG270),IFERROR(-BG270/BG163,""),"")</f>
        <v>0.0517556693489393</v>
      </c>
      <c r="BH297" s="215">
        <f>IF(ISNUMBER(BH270),IFERROR(-BH270/BH163,""),"")</f>
        <v>0.0496598639455782</v>
      </c>
      <c r="BI297" s="215">
        <f>IF(ISNUMBER(BI270),IFERROR(-BI270/BI163,""),"")</f>
        <v>0.036144578313253</v>
      </c>
      <c r="BJ297" s="215">
        <f>IF(ISNUMBER(BJ270),IFERROR(-BJ270/BJ163,""),"")</f>
        <v>0.0482336956521739</v>
      </c>
      <c r="BK297" s="215">
        <f>IF(ISNUMBER(BK270),IFERROR(-BK270/BK163,""),"")</f>
        <v>0.0493243243243243</v>
      </c>
      <c r="BL297" s="215">
        <f>IF(ISNUMBER(BL270),IFERROR(-BL270/BL163,""),"")</f>
        <v>0.0458079783637593</v>
      </c>
      <c r="BM297" s="215">
        <f>IF(ISNUMBER(BM270),IFERROR(-BM270/BM163,""),"")</f>
        <v>0.0436730123180291</v>
      </c>
      <c r="BN297" s="215">
        <f>IF(ISNUMBER(BN270),IFERROR(-BN270/BN163,""),"")</f>
        <v>0.0511832691249312</v>
      </c>
      <c r="BO297" s="215">
        <f>IF(ISNUMBER(BO270),IFERROR(-BO270/BO163,""),"")</f>
        <v>0.0397131825703254</v>
      </c>
      <c r="BP297" s="215">
        <f>IF(ISNUMBER(BP270),IFERROR(-BP270/BP163,""),"")</f>
        <v>0.0442583732057416</v>
      </c>
      <c r="BQ297" s="215">
        <f>IF(ISNUMBER(BQ270),IFERROR(-BQ270/BQ163,""),"")</f>
        <v>0.0447234762979684</v>
      </c>
      <c r="BR297" s="215">
        <f>IF(ISNUMBER(BR270),IFERROR(-BR270/BR163,""),"")</f>
        <v>0.0441787941787942</v>
      </c>
      <c r="BS297" s="215">
        <f>IF(ISNUMBER(BS270),IFERROR(-BS270/BS163,""),"")</f>
        <v>0.0395152792413066</v>
      </c>
      <c r="BT297" s="215">
        <f>IF(ISNUMBER(BT270),IFERROR(-BT270/BT163,""),"")</f>
        <v>0.0423517688091679</v>
      </c>
      <c r="BU297" s="215">
        <f>IF(ISNUMBER(BU270),IFERROR(-BU270/BU163,""),"")</f>
        <v>0.0428798305982001</v>
      </c>
      <c r="BV297" s="215">
        <f>IF(ISNUMBER(BV270),IFERROR(-BV270/BV163,""),"")</f>
        <v>0.0422389220005183</v>
      </c>
      <c r="BW297" s="215">
        <f>IF(ISNUMBER(BW270),IFERROR(-BW270/BW163,""),"")</f>
        <v>0.0456950456950457</v>
      </c>
      <c r="BX297" s="215">
        <f>IF(ISNUMBER(BX270),IFERROR(-BX270/BX163,""),"")</f>
        <v>0.0416475972540046</v>
      </c>
      <c r="BY297" s="24" t="n"/>
      <c r="BZ297" s="24" t="n"/>
      <c r="CA297" s="256">
        <f>IF(ISNUMBER(CA270),IFERROR(-CA270/CA163,""),"")</f>
        <v>0.0546948211297033</v>
      </c>
      <c r="CB297" s="271" t="n">
        <v>0.052</v>
      </c>
      <c r="CC297" s="271" t="n">
        <v>0.05</v>
      </c>
      <c r="CD297" s="271" t="n">
        <v>0.05</v>
      </c>
      <c r="CE297" s="271" t="n">
        <v>0.05</v>
      </c>
      <c r="CF297" s="153" t="inlineStr">
        <is>
          <t>2027E+ input (FY2022–25 4.2–5.2% of revenue; FY26 ~$450m incl. ~$100m of New York / London office relocations).</t>
        </is>
      </c>
      <c r="CH297" s="37">
        <f>IFERROR(AVERAGE(CA297,CB297,CC297,CD297,CE297),"n/m")</f>
        <v>0.0513389642259407</v>
      </c>
      <c r="CI297" s="37">
        <f>IFERROR(AVERAGE(BB297,BG297,BL297,BQ297,BV297),"n/m")</f>
        <v>0.0413761001639611</v>
      </c>
      <c r="CJ297" s="37">
        <f>IFERROR(AVERAGE(AC297,AH297,AM297,AR297,AW297,BB297,BG297,BL297,BQ297,BV297),"n/m")</f>
        <v>0.0314207323463356</v>
      </c>
      <c r="CK297" s="37">
        <f>IFERROR(AVERAGE(C297,D297,E297,F297,G297,H297,I297,N297,S297,X297,AC297,AH297,AM297,AR297,AW297,BB297,BG297,BL297,BQ297,BV297),"n/m")</f>
        <v>0.0327844492203845</v>
      </c>
    </row>
    <row r="298" ht="15" customHeight="1" s="251">
      <c r="B298" s="25" t="inlineStr">
        <is>
          <t xml:space="preserve">  Capex / depreciation excl. acquired intangibles (x)</t>
        </is>
      </c>
      <c r="C298" s="286">
        <f>IF(ISNUMBER(C270),IFERROR(-C270/C152,""),"")</f>
      </c>
      <c r="D298" s="286">
        <f>IF(ISNUMBER(D270),IFERROR(-D270/D152,""),"")</f>
      </c>
      <c r="E298" s="286">
        <f>IF(ISNUMBER(E270),IFERROR(-E270/E152,""),"")</f>
        <v>1.79957356076759</v>
      </c>
      <c r="F298" s="286">
        <f>IF(ISNUMBER(F270),IFERROR(-F270/F152,""),"")</f>
        <v>1.90146750524109</v>
      </c>
      <c r="G298" s="286">
        <f>IF(ISNUMBER(G270),IFERROR(-G270/G152,""),"")</f>
        <v>1.58316633266533</v>
      </c>
      <c r="H298" s="286">
        <f>IF(ISNUMBER(H270),IFERROR(-H270/H152,""),"")</f>
        <v>1.15332197614991</v>
      </c>
      <c r="I298" s="286">
        <f>IF(ISNUMBER(I270),IFERROR(-I270/I152,""),"")</f>
        <v>0.709779179810726</v>
      </c>
      <c r="J298" s="286">
        <f>IF(ISNUMBER(J270),IFERROR(-J270/J152,""),"")</f>
        <v>0.521212121212121</v>
      </c>
      <c r="K298" s="286">
        <f>IF(ISNUMBER(K270),IFERROR(-K270/K152,""),"")</f>
        <v>0.58641975308642</v>
      </c>
      <c r="L298" s="286">
        <f>IF(ISNUMBER(L270),IFERROR(-L270/L152,""),"")</f>
        <v>0.786585365853659</v>
      </c>
      <c r="M298" s="286">
        <f>IF(ISNUMBER(M270),IFERROR(-M270/M152,""),"")</f>
        <v>0.693251533742331</v>
      </c>
      <c r="N298" s="286">
        <f>IF(ISNUMBER(N270),IFERROR(-N270/N152,""),"")</f>
        <v>0.646788990825688</v>
      </c>
      <c r="O298" s="286">
        <f>IF(ISNUMBER(O270),IFERROR(-O270/O152,""),"")</f>
        <v>1.20886075949367</v>
      </c>
      <c r="P298" s="286">
        <f>IF(ISNUMBER(P270),IFERROR(-P270/P152,""),"")</f>
        <v>1.23125</v>
      </c>
      <c r="Q298" s="286">
        <f>IF(ISNUMBER(Q270),IFERROR(-Q270/Q152,""),"")</f>
        <v>1.10429447852761</v>
      </c>
      <c r="R298" s="286">
        <f>IF(ISNUMBER(R270),IFERROR(-R270/R152,""),"")</f>
        <v>0.931937172774869</v>
      </c>
      <c r="S298" s="286">
        <f>IF(ISNUMBER(S270),IFERROR(-S270/S152,""),"")</f>
        <v>1.11011904761905</v>
      </c>
      <c r="T298" s="286">
        <f>IF(ISNUMBER(T270),IFERROR(-T270/T152,""),"")</f>
        <v>0.945273631840796</v>
      </c>
      <c r="U298" s="286">
        <f>IF(ISNUMBER(U270),IFERROR(-U270/U152,""),"")</f>
        <v>1.09045226130653</v>
      </c>
      <c r="V298" s="286">
        <f>IF(ISNUMBER(V270),IFERROR(-V270/V152,""),"")</f>
        <v>1.21739130434783</v>
      </c>
      <c r="W298" s="286">
        <f>IF(ISNUMBER(W270),IFERROR(-W270/W152,""),"")</f>
        <v>1.10526315789474</v>
      </c>
      <c r="X298" s="286">
        <f>IF(ISNUMBER(X270),IFERROR(-X270/X152,""),"")</f>
        <v>1.0906862745098</v>
      </c>
      <c r="Y298" s="286">
        <f>IF(ISNUMBER(Y270),IFERROR(-Y270/Y152,""),"")</f>
        <v>1.19545454545455</v>
      </c>
      <c r="Z298" s="286">
        <f>IF(ISNUMBER(Z270),IFERROR(-Z270/Z152,""),"")</f>
        <v>1.24444444444444</v>
      </c>
      <c r="AA298" s="286">
        <f>IF(ISNUMBER(AA270),IFERROR(-AA270/AA152,""),"")</f>
        <v>1.28151260504202</v>
      </c>
      <c r="AB298" s="286">
        <f>IF(ISNUMBER(AB270),IFERROR(-AB270/AB152,""),"")</f>
        <v>1.25619834710744</v>
      </c>
      <c r="AC298" s="286">
        <f>IF(ISNUMBER(AC270),IFERROR(-AC270/AC152,""),"")</f>
        <v>1.24540540540541</v>
      </c>
      <c r="AD298" s="286">
        <f>IF(ISNUMBER(AD270),IFERROR(-AD270/AD152,""),"")</f>
        <v>0.779166666666667</v>
      </c>
      <c r="AE298" s="286">
        <f>IF(ISNUMBER(AE270),IFERROR(-AE270/AE152,""),"")</f>
        <v>0.991769547325103</v>
      </c>
      <c r="AF298" s="286">
        <f>IF(ISNUMBER(AF270),IFERROR(-AF270/AF152,""),"")</f>
        <v>1.09917355371901</v>
      </c>
      <c r="AG298" s="286">
        <f>IF(ISNUMBER(AG270),IFERROR(-AG270/AG152,""),"")</f>
        <v>0.868852459016394</v>
      </c>
      <c r="AH298" s="286">
        <f>IF(ISNUMBER(AH270),IFERROR(-AH270/AH152,""),"")</f>
        <v>0.934984520123839</v>
      </c>
      <c r="AI298" s="286">
        <f>IF(ISNUMBER(AI270),IFERROR(-AI270/AI152,""),"")</f>
        <v>0.641025641025641</v>
      </c>
      <c r="AJ298" s="286">
        <f>IF(ISNUMBER(AJ270),IFERROR(-AJ270/AJ152,""),"")</f>
        <v>0.982832618025751</v>
      </c>
      <c r="AK298" s="286">
        <f>IF(ISNUMBER(AK270),IFERROR(-AK270/AK152,""),"")</f>
        <v>1.16279069767442</v>
      </c>
      <c r="AL298" s="286">
        <f>IF(ISNUMBER(AL270),IFERROR(-AL270/AL152,""),"")</f>
        <v>1.25</v>
      </c>
      <c r="AM298" s="286">
        <f>IF(ISNUMBER(AM270),IFERROR(-AM270/AM152,""),"")</f>
        <v>1.00221729490022</v>
      </c>
      <c r="AN298" s="286">
        <f>IF(ISNUMBER(AN270),IFERROR(-AN270/AN152,""),"")</f>
        <v>0.836820083682008</v>
      </c>
      <c r="AO298" s="286">
        <f>IF(ISNUMBER(AO270),IFERROR(-AO270/AO152,""),"")</f>
        <v>0.754032258064516</v>
      </c>
      <c r="AP298" s="286">
        <f>IF(ISNUMBER(AP270),IFERROR(-AP270/AP152,""),"")</f>
        <v>0.928870292887029</v>
      </c>
      <c r="AQ298" s="286">
        <f>IF(ISNUMBER(AQ270),IFERROR(-AQ270/AQ152,""),"")</f>
        <v>0.333333333333333</v>
      </c>
      <c r="AR298" s="286">
        <f>IF(ISNUMBER(AR270),IFERROR(-AR270/AR152,""),"")</f>
        <v>0.711340206185567</v>
      </c>
      <c r="AS298" s="286">
        <f>IF(ISNUMBER(AS270),IFERROR(-AS270/AS152,""),"")</f>
        <v>1</v>
      </c>
      <c r="AT298" s="286">
        <f>IF(ISNUMBER(AT270),IFERROR(-AT270/AT152,""),"")</f>
        <v>1.51851851851852</v>
      </c>
      <c r="AU298" s="286">
        <f>IF(ISNUMBER(AU270),IFERROR(-AU270/AU152,""),"")</f>
        <v>0.84</v>
      </c>
      <c r="AV298" s="286">
        <f>IF(ISNUMBER(AV270),IFERROR(-AV270/AV152,""),"")</f>
        <v>0.869565217391304</v>
      </c>
      <c r="AW298" s="286">
        <f>IF(ISNUMBER(AW270),IFERROR(-AW270/AW152,""),"")</f>
        <v>1.07291666666667</v>
      </c>
      <c r="AX298" s="286">
        <f>IF(ISNUMBER(AX270),IFERROR(-AX270/AX152,""),"")</f>
        <v>0.583333333333333</v>
      </c>
      <c r="AY298" s="286">
        <f>IF(ISNUMBER(AY270),IFERROR(-AY270/AY152,""),"")</f>
        <v>1.25</v>
      </c>
      <c r="AZ298" s="286">
        <f>IF(ISNUMBER(AZ270),IFERROR(-AZ270/AZ152,""),"")</f>
        <v>1.375</v>
      </c>
      <c r="BA298" s="286">
        <f>IF(ISNUMBER(BA270),IFERROR(-BA270/BA152,""),"")</f>
        <v>2.2962962962963</v>
      </c>
      <c r="BB298" s="286">
        <f>IF(ISNUMBER(BB270),IFERROR(-BB270/BB152,""),"")</f>
        <v>1.4040404040404</v>
      </c>
      <c r="BC298" s="286">
        <f>IF(ISNUMBER(BC270),IFERROR(-BC270/BC152,""),"")</f>
        <v>2.18518518518519</v>
      </c>
      <c r="BD298" s="286">
        <f>IF(ISNUMBER(BD270),IFERROR(-BD270/BD152,""),"")</f>
        <v>2.46666666666667</v>
      </c>
      <c r="BE298" s="286">
        <f>IF(ISNUMBER(BE270),IFERROR(-BE270/BE152,""),"")</f>
        <v>2.02857142857143</v>
      </c>
      <c r="BF298" s="286">
        <f>IF(ISNUMBER(BF270),IFERROR(-BF270/BF152,""),"")</f>
        <v>2.02564102564103</v>
      </c>
      <c r="BG298" s="286">
        <f>IF(ISNUMBER(BG270),IFERROR(-BG270/BG152,""),"")</f>
        <v>2.16030534351145</v>
      </c>
      <c r="BH298" s="286">
        <f>IF(ISNUMBER(BH270),IFERROR(-BH270/BH152,""),"")</f>
        <v>1.97297297297297</v>
      </c>
      <c r="BI298" s="286">
        <f>IF(ISNUMBER(BI270),IFERROR(-BI270/BI152,""),"")</f>
        <v>1.25581395348837</v>
      </c>
      <c r="BJ298" s="286">
        <f>IF(ISNUMBER(BJ270),IFERROR(-BJ270/BJ152,""),"")</f>
        <v>1.54347826086957</v>
      </c>
      <c r="BK298" s="286">
        <f>IF(ISNUMBER(BK270),IFERROR(-BK270/BK152,""),"")</f>
        <v>1.48979591836735</v>
      </c>
      <c r="BL298" s="286">
        <f>IF(ISNUMBER(BL270),IFERROR(-BL270/BL152,""),"")</f>
        <v>1.54857142857143</v>
      </c>
      <c r="BM298" s="286">
        <f>IF(ISNUMBER(BM270),IFERROR(-BM270/BM152,""),"")</f>
        <v>1.52941176470588</v>
      </c>
      <c r="BN298" s="286">
        <f>IF(ISNUMBER(BN270),IFERROR(-BN270/BN152,""),"")</f>
        <v>1.5</v>
      </c>
      <c r="BO298" s="286">
        <f>IF(ISNUMBER(BO270),IFERROR(-BO270/BO152,""),"")</f>
        <v>1.26315789473684</v>
      </c>
      <c r="BP298" s="286">
        <f>IF(ISNUMBER(BP270),IFERROR(-BP270/BP152,""),"")</f>
        <v>1.17460317460317</v>
      </c>
      <c r="BQ298" s="286">
        <f>IF(ISNUMBER(BQ270),IFERROR(-BQ270/BQ152,""),"")</f>
        <v>1.36051502145923</v>
      </c>
      <c r="BR298" s="286">
        <f>IF(ISNUMBER(BR270),IFERROR(-BR270/BR152,""),"")</f>
        <v>1.41666666666667</v>
      </c>
      <c r="BS298" s="286">
        <f>IF(ISNUMBER(BS270),IFERROR(-BS270/BS152,""),"")</f>
        <v>1.15384615384615</v>
      </c>
      <c r="BT298" s="286">
        <f>IF(ISNUMBER(BT270),IFERROR(-BT270/BT152,""),"")</f>
        <v>1.25</v>
      </c>
      <c r="BU298" s="286">
        <f>IF(ISNUMBER(BU270),IFERROR(-BU270/BU152,""),"")</f>
        <v>1.125</v>
      </c>
      <c r="BV298" s="286">
        <f>IF(ISNUMBER(BV270),IFERROR(-BV270/BV152,""),"")</f>
        <v>1.23018867924528</v>
      </c>
      <c r="BW298" s="286">
        <f>IF(ISNUMBER(BW270),IFERROR(-BW270/BW152,""),"")</f>
        <v>1.3768115942029</v>
      </c>
      <c r="BX298" s="286">
        <f>IF(ISNUMBER(BX270),IFERROR(-BX270/BX152,""),"")</f>
        <v>1.24657534246575</v>
      </c>
      <c r="BY298" s="35" t="n"/>
      <c r="BZ298" s="35" t="n"/>
      <c r="CA298" s="287">
        <f>IF(ISNUMBER(CA270),IFERROR(-CA270/CA152,""),"")</f>
        <v>1.61870503597122</v>
      </c>
      <c r="CB298" s="287">
        <f>IF(ISNUMBER(CB270),IFERROR(-CB270/CB152,""),"")</f>
        <v>1.44444444444444</v>
      </c>
      <c r="CC298" s="287">
        <f>IF(ISNUMBER(CC270),IFERROR(-CC270/CC152,""),"")</f>
        <v>1.35135135135135</v>
      </c>
      <c r="CD298" s="287">
        <f>IF(ISNUMBER(CD270),IFERROR(-CD270/CD152,""),"")</f>
        <v>1.31578947368421</v>
      </c>
      <c r="CE298" s="287">
        <f>IF(ISNUMBER(CE270),IFERROR(-CE270/CE152,""),"")</f>
        <v>1.31578947368421</v>
      </c>
      <c r="CF298" s="19" t="n"/>
    </row>
    <row r="299" ht="15" customHeight="1" s="251">
      <c r="CN299" s="11" t="n"/>
      <c r="CO299" s="12" t="n"/>
      <c r="CP299" s="12" t="n"/>
      <c r="CQ299" s="12" t="n"/>
      <c r="CR299" s="13" t="n"/>
    </row>
    <row r="300" ht="15" customHeight="1" s="251">
      <c r="B300" s="10" t="inlineStr">
        <is>
          <t>SHARE BUYBACK SCHEDULE</t>
        </is>
      </c>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c r="AA300" s="10" t="n"/>
      <c r="AB300" s="10" t="n"/>
      <c r="AC300" s="10" t="n"/>
      <c r="AD300" s="10" t="n"/>
      <c r="AE300" s="10" t="n"/>
      <c r="AF300" s="10" t="n"/>
      <c r="AG300" s="10" t="n"/>
      <c r="AH300" s="10" t="n"/>
      <c r="AI300" s="10" t="n"/>
      <c r="AJ300" s="10" t="n"/>
      <c r="AK300" s="10" t="n"/>
      <c r="AL300" s="10" t="n"/>
      <c r="AM300" s="10" t="n"/>
      <c r="AN300" s="10" t="n"/>
      <c r="AO300" s="10" t="n"/>
      <c r="AP300" s="10" t="n"/>
      <c r="AQ300" s="10" t="n"/>
      <c r="AR300" s="10" t="n"/>
      <c r="AS300" s="10" t="n"/>
      <c r="AT300" s="10" t="n"/>
      <c r="AU300" s="10" t="n"/>
      <c r="AV300" s="10" t="n"/>
      <c r="AW300" s="10" t="n"/>
      <c r="AX300" s="10" t="n"/>
      <c r="AY300" s="10" t="n"/>
      <c r="AZ300" s="10" t="n"/>
      <c r="BA300" s="10" t="n"/>
      <c r="BB300" s="10" t="n"/>
      <c r="BC300" s="10" t="n"/>
      <c r="BD300" s="10" t="n"/>
      <c r="BE300" s="10" t="n"/>
      <c r="BF300" s="10" t="n"/>
      <c r="BG300" s="10" t="n"/>
      <c r="BH300" s="10" t="n"/>
      <c r="BI300" s="10" t="n"/>
      <c r="BJ300" s="10" t="n"/>
      <c r="BK300" s="10" t="n"/>
      <c r="BL300" s="10" t="n"/>
      <c r="BM300" s="10" t="n"/>
      <c r="BN300" s="10" t="n"/>
      <c r="BO300" s="10" t="n"/>
      <c r="BP300" s="10" t="n"/>
      <c r="BQ300" s="10" t="n"/>
      <c r="BR300" s="10" t="n"/>
      <c r="BS300" s="10" t="n"/>
      <c r="BT300" s="10" t="n"/>
      <c r="BU300" s="10" t="n"/>
      <c r="BV300" s="10" t="n"/>
      <c r="BW300" s="10" t="n"/>
      <c r="BX300" s="10" t="n"/>
      <c r="BY300" s="10" t="n"/>
      <c r="BZ300" s="10" t="n"/>
      <c r="CA300" s="10" t="n"/>
      <c r="CB300" s="10" t="n"/>
      <c r="CC300" s="10" t="n"/>
      <c r="CD300" s="10" t="n"/>
      <c r="CE300" s="10" t="n"/>
      <c r="CF300" s="10" t="inlineStr">
        <is>
          <t>SHARES — 2026E = 2H from shares outstanding at 30-Jun-2026; 2027E+ buybacks via the leverage plug</t>
        </is>
      </c>
    </row>
    <row r="301" ht="15" customHeight="1" s="251">
      <c r="B301" s="25" t="inlineStr">
        <is>
          <t xml:space="preserve">  Avg buyback price ($)</t>
        </is>
      </c>
      <c r="C301" s="34" t="n"/>
      <c r="D301" s="34" t="n"/>
      <c r="E301" s="34" t="n"/>
      <c r="F301" s="34" t="n"/>
      <c r="G301" s="34" t="n"/>
      <c r="H301" s="34" t="n"/>
      <c r="I301" s="34" t="n"/>
      <c r="J301" s="34" t="n"/>
      <c r="K301" s="34" t="n"/>
      <c r="L301" s="34" t="n"/>
      <c r="M301" s="34" t="n"/>
      <c r="N301" s="34" t="n"/>
      <c r="O301" s="34" t="n"/>
      <c r="P301" s="34" t="n"/>
      <c r="Q301" s="34" t="n"/>
      <c r="R301" s="34" t="n"/>
      <c r="S301" s="34" t="n"/>
      <c r="T301" s="34" t="n"/>
      <c r="U301" s="34" t="n"/>
      <c r="V301" s="34" t="n"/>
      <c r="W301" s="34" t="n"/>
      <c r="X301" s="34" t="n"/>
      <c r="Y301" s="34" t="n"/>
      <c r="Z301" s="34" t="n"/>
      <c r="AA301" s="34" t="n"/>
      <c r="AB301" s="34" t="n"/>
      <c r="AC301" s="34" t="n"/>
      <c r="AD301" s="34" t="n"/>
      <c r="AE301" s="34" t="n"/>
      <c r="AF301" s="34" t="n"/>
      <c r="AG301" s="34" t="n"/>
      <c r="AH301" s="34" t="n"/>
      <c r="AI301" s="34" t="n"/>
      <c r="AJ301" s="34" t="n"/>
      <c r="AK301" s="34" t="n"/>
      <c r="AL301" s="34" t="n"/>
      <c r="AM301" s="34" t="n"/>
      <c r="AN301" s="34" t="n"/>
      <c r="AO301" s="34" t="n"/>
      <c r="AP301" s="34" t="n"/>
      <c r="AQ301" s="34" t="n"/>
      <c r="AR301" s="34" t="n"/>
      <c r="AS301" s="34" t="n"/>
      <c r="AT301" s="34" t="n"/>
      <c r="AU301" s="34" t="n"/>
      <c r="AV301" s="34" t="n"/>
      <c r="AW301" s="34" t="n"/>
      <c r="AX301" s="34" t="n"/>
      <c r="AY301" s="34" t="n"/>
      <c r="AZ301" s="34" t="n"/>
      <c r="BA301" s="34" t="n"/>
      <c r="BB301" s="34" t="n"/>
      <c r="BC301" s="34" t="n"/>
      <c r="BD301" s="34" t="n"/>
      <c r="BE301" s="34" t="n"/>
      <c r="BF301" s="34" t="n"/>
      <c r="BG301" s="34" t="n"/>
      <c r="BH301" s="34" t="n"/>
      <c r="BI301" s="34" t="n"/>
      <c r="BJ301" s="34" t="n"/>
      <c r="BK301" s="34" t="n"/>
      <c r="BL301" s="34" t="n"/>
      <c r="BM301" s="34" t="n"/>
      <c r="BN301" s="34" t="n"/>
      <c r="BO301" s="34" t="n"/>
      <c r="BP301" s="34" t="n"/>
      <c r="BQ301" s="34" t="n"/>
      <c r="BR301" s="34" t="n"/>
      <c r="BS301" s="34" t="n"/>
      <c r="BT301" s="34" t="n"/>
      <c r="BU301" s="34" t="n"/>
      <c r="BV301" s="34" t="n"/>
      <c r="BW301" s="34" t="n"/>
      <c r="BX301" s="34" t="n"/>
      <c r="BY301" s="35" t="n"/>
      <c r="BZ301" s="35" t="n"/>
      <c r="CA301" s="288">
        <f>CA423</f>
        <v>470</v>
      </c>
      <c r="CB301" s="288">
        <f>CA301*(1+CB366)</f>
        <v>507.6</v>
      </c>
      <c r="CC301" s="288">
        <f>CB301*(1+CC366)</f>
        <v>548.208</v>
      </c>
      <c r="CD301" s="288">
        <f>CC301*(1+CD366)</f>
        <v>592.06464</v>
      </c>
      <c r="CE301" s="288">
        <f>CD301*(1+CE366)</f>
        <v>639.4298112</v>
      </c>
      <c r="CF301" s="19" t="n"/>
    </row>
    <row r="302" ht="15" customHeight="1" s="251">
      <c r="B302" s="25" t="inlineStr">
        <is>
          <t xml:space="preserve">  Buyback cash deployed (USDm; 2026E = 2H)</t>
        </is>
      </c>
      <c r="C302" s="34" t="n"/>
      <c r="D302" s="34" t="n"/>
      <c r="E302" s="34" t="n"/>
      <c r="F302" s="34" t="n"/>
      <c r="G302" s="34" t="n"/>
      <c r="H302" s="34" t="n"/>
      <c r="I302" s="34" t="n"/>
      <c r="J302" s="34" t="n"/>
      <c r="K302" s="34" t="n"/>
      <c r="L302" s="34" t="n"/>
      <c r="M302" s="34" t="n"/>
      <c r="N302" s="34" t="n"/>
      <c r="O302" s="34" t="n"/>
      <c r="P302" s="34" t="n"/>
      <c r="Q302" s="34" t="n"/>
      <c r="R302" s="34" t="n"/>
      <c r="S302" s="34" t="n"/>
      <c r="T302" s="34" t="n"/>
      <c r="U302" s="34" t="n"/>
      <c r="V302" s="34" t="n"/>
      <c r="W302" s="34" t="n"/>
      <c r="X302" s="34" t="n"/>
      <c r="Y302" s="34" t="n"/>
      <c r="Z302" s="34" t="n"/>
      <c r="AA302" s="34" t="n"/>
      <c r="AB302" s="34" t="n"/>
      <c r="AC302" s="34" t="n"/>
      <c r="AD302" s="34" t="n"/>
      <c r="AE302" s="34" t="n"/>
      <c r="AF302" s="34" t="n"/>
      <c r="AG302" s="34" t="n"/>
      <c r="AH302" s="34" t="n"/>
      <c r="AI302" s="34" t="n"/>
      <c r="AJ302" s="34" t="n"/>
      <c r="AK302" s="34" t="n"/>
      <c r="AL302" s="34" t="n"/>
      <c r="AM302" s="34" t="n"/>
      <c r="AN302" s="34" t="n"/>
      <c r="AO302" s="34" t="n"/>
      <c r="AP302" s="34" t="n"/>
      <c r="AQ302" s="34" t="n"/>
      <c r="AR302" s="34" t="n"/>
      <c r="AS302" s="34" t="n"/>
      <c r="AT302" s="34" t="n"/>
      <c r="AU302" s="34" t="n"/>
      <c r="AV302" s="34" t="n"/>
      <c r="AW302" s="34" t="n"/>
      <c r="AX302" s="34" t="n"/>
      <c r="AY302" s="34" t="n"/>
      <c r="AZ302" s="34" t="n"/>
      <c r="BA302" s="34" t="n"/>
      <c r="BB302" s="34" t="n"/>
      <c r="BC302" s="34" t="n"/>
      <c r="BD302" s="34" t="n"/>
      <c r="BE302" s="34" t="n"/>
      <c r="BF302" s="34" t="n"/>
      <c r="BG302" s="34" t="n"/>
      <c r="BH302" s="34" t="n"/>
      <c r="BI302" s="34" t="n"/>
      <c r="BJ302" s="34" t="n"/>
      <c r="BK302" s="34" t="n"/>
      <c r="BL302" s="34" t="n"/>
      <c r="BM302" s="34" t="n"/>
      <c r="BN302" s="34" t="n"/>
      <c r="BO302" s="34" t="n"/>
      <c r="BP302" s="34" t="n"/>
      <c r="BQ302" s="34" t="n"/>
      <c r="BR302" s="34" t="n"/>
      <c r="BS302" s="34" t="n"/>
      <c r="BT302" s="34" t="n"/>
      <c r="BU302" s="34" t="n"/>
      <c r="BV302" s="34" t="n"/>
      <c r="BW302" s="34" t="n"/>
      <c r="BX302" s="34" t="n"/>
      <c r="BY302" s="35" t="n"/>
      <c r="BZ302" s="35" t="n"/>
      <c r="CA302" s="269">
        <f>CHOOSE(MATCH($CF$2,{"Bull","Base","Bear"},0),$CO$21,$CP$21,$CQ$21)</f>
        <v>685</v>
      </c>
      <c r="CB302" s="269">
        <f>-CB275</f>
        <v>3082.24760334822</v>
      </c>
      <c r="CC302" s="269">
        <f>-CC275</f>
        <v>2980.55188104518</v>
      </c>
      <c r="CD302" s="269">
        <f>-CD275</f>
        <v>3211.22150494319</v>
      </c>
      <c r="CE302" s="269">
        <f>-CE275</f>
        <v>3417.32732424639</v>
      </c>
      <c r="CF302" s="19" t="n"/>
    </row>
    <row r="303" ht="15" customHeight="1" s="251">
      <c r="B303" s="25" t="inlineStr">
        <is>
          <t xml:space="preserve">  Implied shares repurchased (m)</t>
        </is>
      </c>
      <c r="C303" s="34" t="n"/>
      <c r="D303" s="34" t="n"/>
      <c r="E303" s="34" t="n"/>
      <c r="F303" s="34" t="n"/>
      <c r="G303" s="34" t="n"/>
      <c r="H303" s="34" t="n"/>
      <c r="I303" s="34" t="n"/>
      <c r="J303" s="34" t="n"/>
      <c r="K303" s="34" t="n"/>
      <c r="L303" s="34" t="n"/>
      <c r="M303" s="34" t="n"/>
      <c r="N303" s="34" t="n"/>
      <c r="O303" s="34" t="n"/>
      <c r="P303" s="34" t="n"/>
      <c r="Q303" s="34" t="n"/>
      <c r="R303" s="34" t="n"/>
      <c r="S303" s="34" t="n"/>
      <c r="T303" s="34" t="n"/>
      <c r="U303" s="34" t="n"/>
      <c r="V303" s="34" t="n"/>
      <c r="W303" s="34" t="n"/>
      <c r="X303" s="34" t="n"/>
      <c r="Y303" s="34" t="n"/>
      <c r="Z303" s="34" t="n"/>
      <c r="AA303" s="34" t="n"/>
      <c r="AB303" s="34" t="n"/>
      <c r="AC303" s="34" t="n"/>
      <c r="AD303" s="34" t="n"/>
      <c r="AE303" s="34" t="n"/>
      <c r="AF303" s="34" t="n"/>
      <c r="AG303" s="34" t="n"/>
      <c r="AH303" s="34" t="n"/>
      <c r="AI303" s="34" t="n"/>
      <c r="AJ303" s="34" t="n"/>
      <c r="AK303" s="34" t="n"/>
      <c r="AL303" s="34" t="n"/>
      <c r="AM303" s="34" t="n"/>
      <c r="AN303" s="34" t="n"/>
      <c r="AO303" s="34" t="n"/>
      <c r="AP303" s="34" t="n"/>
      <c r="AQ303" s="34" t="n"/>
      <c r="AR303" s="34" t="n"/>
      <c r="AS303" s="34" t="n"/>
      <c r="AT303" s="34" t="n"/>
      <c r="AU303" s="34" t="n"/>
      <c r="AV303" s="34" t="n"/>
      <c r="AW303" s="34" t="n"/>
      <c r="AX303" s="34" t="n"/>
      <c r="AY303" s="34" t="n"/>
      <c r="AZ303" s="34" t="n"/>
      <c r="BA303" s="34" t="n"/>
      <c r="BB303" s="34" t="n"/>
      <c r="BC303" s="34" t="n"/>
      <c r="BD303" s="34" t="n"/>
      <c r="BE303" s="34" t="n"/>
      <c r="BF303" s="34" t="n"/>
      <c r="BG303" s="34" t="n"/>
      <c r="BH303" s="34" t="n"/>
      <c r="BI303" s="34" t="n"/>
      <c r="BJ303" s="34" t="n"/>
      <c r="BK303" s="34" t="n"/>
      <c r="BL303" s="34" t="n"/>
      <c r="BM303" s="34" t="n"/>
      <c r="BN303" s="34" t="n"/>
      <c r="BO303" s="34" t="n"/>
      <c r="BP303" s="34" t="n"/>
      <c r="BQ303" s="34" t="n"/>
      <c r="BR303" s="34" t="n"/>
      <c r="BS303" s="34" t="n"/>
      <c r="BT303" s="34" t="n"/>
      <c r="BU303" s="34" t="n"/>
      <c r="BV303" s="34" t="n"/>
      <c r="BW303" s="34" t="n"/>
      <c r="BX303" s="34" t="n"/>
      <c r="BY303" s="35" t="n"/>
      <c r="BZ303" s="35" t="n"/>
      <c r="CA303" s="288">
        <f>IFERROR(CA302/CA301,0)</f>
        <v>1.45744680851064</v>
      </c>
      <c r="CB303" s="288">
        <f>IFERROR(CB302/CB301,0)</f>
        <v>6.07219780013439</v>
      </c>
      <c r="CC303" s="288">
        <f>IFERROR(CC302/CC301,0)</f>
        <v>5.43689964583732</v>
      </c>
      <c r="CD303" s="288">
        <f>IFERROR(CD302/CD301,0)</f>
        <v>5.42376843336429</v>
      </c>
      <c r="CE303" s="288">
        <f>IFERROR(CE302/CE301,0)</f>
        <v>5.3443353193577</v>
      </c>
      <c r="CF303" s="19" t="n"/>
    </row>
    <row r="304" ht="15" customHeight="1" s="251">
      <c r="B304" s="25" t="inlineStr">
        <is>
          <t xml:space="preserve">  Shares issued under equity plans (m)</t>
        </is>
      </c>
      <c r="C304" s="36"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c r="AA304" s="36" t="n"/>
      <c r="AB304" s="36" t="n"/>
      <c r="AC304" s="36" t="n"/>
      <c r="AD304" s="36" t="n"/>
      <c r="AE304" s="36" t="n"/>
      <c r="AF304" s="36" t="n"/>
      <c r="AG304" s="36" t="n"/>
      <c r="AH304" s="36" t="n"/>
      <c r="AI304" s="36" t="n"/>
      <c r="AJ304" s="36" t="n"/>
      <c r="AK304" s="36" t="n"/>
      <c r="AL304" s="36" t="n"/>
      <c r="AM304" s="36" t="n"/>
      <c r="AN304" s="36" t="n"/>
      <c r="AO304" s="36" t="n"/>
      <c r="AP304" s="36" t="n"/>
      <c r="AQ304" s="36" t="n"/>
      <c r="AR304" s="36" t="n"/>
      <c r="AS304" s="36" t="n"/>
      <c r="AT304" s="36" t="n"/>
      <c r="AU304" s="36" t="n"/>
      <c r="AV304" s="36" t="n"/>
      <c r="AW304" s="36" t="n"/>
      <c r="AX304" s="36" t="n"/>
      <c r="AY304" s="36" t="n"/>
      <c r="AZ304" s="36" t="n"/>
      <c r="BA304" s="36" t="n"/>
      <c r="BB304" s="36" t="n"/>
      <c r="BC304" s="36" t="n"/>
      <c r="BD304" s="36" t="n"/>
      <c r="BE304" s="36" t="n"/>
      <c r="BF304" s="36" t="n"/>
      <c r="BG304" s="36" t="n"/>
      <c r="BH304" s="36" t="n"/>
      <c r="BI304" s="36" t="n"/>
      <c r="BJ304" s="36" t="n"/>
      <c r="BK304" s="36" t="n"/>
      <c r="BL304" s="36" t="n"/>
      <c r="BM304" s="36" t="n"/>
      <c r="BN304" s="36" t="n"/>
      <c r="BO304" s="36" t="n"/>
      <c r="BP304" s="36" t="n"/>
      <c r="BQ304" s="36" t="n"/>
      <c r="BR304" s="36" t="n"/>
      <c r="BS304" s="36" t="n"/>
      <c r="BT304" s="36" t="n"/>
      <c r="BU304" s="36" t="n"/>
      <c r="BV304" s="36" t="n"/>
      <c r="BW304" s="36" t="n"/>
      <c r="BX304" s="36" t="n"/>
      <c r="BY304" s="24" t="n"/>
      <c r="BZ304" s="24" t="n"/>
      <c r="CA304" s="289" t="n">
        <v>0.25</v>
      </c>
      <c r="CB304" s="289" t="n">
        <v>0.6</v>
      </c>
      <c r="CC304" s="289" t="n">
        <v>0.6</v>
      </c>
      <c r="CD304" s="289" t="n">
        <v>0.6</v>
      </c>
      <c r="CE304" s="289" t="n">
        <v>0.6</v>
      </c>
      <c r="CF304" s="19" t="n"/>
    </row>
    <row r="305" ht="15" customHeight="1" s="251">
      <c r="B305" s="25" t="inlineStr">
        <is>
          <t xml:space="preserve">  Beginning shares outstanding (m)</t>
        </is>
      </c>
      <c r="C305" s="34" t="n"/>
      <c r="D305" s="34" t="n"/>
      <c r="E305" s="34" t="n"/>
      <c r="F305" s="34" t="n"/>
      <c r="G305" s="34" t="n"/>
      <c r="H305" s="34" t="n"/>
      <c r="I305" s="34" t="n"/>
      <c r="J305" s="34" t="n"/>
      <c r="K305" s="34" t="n"/>
      <c r="L305" s="34" t="n"/>
      <c r="M305" s="34" t="n"/>
      <c r="N305" s="34" t="n"/>
      <c r="O305" s="34" t="n"/>
      <c r="P305" s="34" t="n"/>
      <c r="Q305" s="34" t="n"/>
      <c r="R305" s="34" t="n"/>
      <c r="S305" s="34" t="n"/>
      <c r="T305" s="34" t="n"/>
      <c r="U305" s="34" t="n"/>
      <c r="V305" s="34" t="n"/>
      <c r="W305" s="34" t="n"/>
      <c r="X305" s="34" t="n"/>
      <c r="Y305" s="34" t="n"/>
      <c r="Z305" s="34" t="n"/>
      <c r="AA305" s="34" t="n"/>
      <c r="AB305" s="34" t="n"/>
      <c r="AC305" s="34" t="n"/>
      <c r="AD305" s="34" t="n"/>
      <c r="AE305" s="34" t="n"/>
      <c r="AF305" s="34" t="n"/>
      <c r="AG305" s="34" t="n"/>
      <c r="AH305" s="34" t="n"/>
      <c r="AI305" s="34" t="n"/>
      <c r="AJ305" s="34" t="n"/>
      <c r="AK305" s="34" t="n"/>
      <c r="AL305" s="34" t="n"/>
      <c r="AM305" s="34" t="n"/>
      <c r="AN305" s="34" t="n"/>
      <c r="AO305" s="34" t="n"/>
      <c r="AP305" s="34" t="n"/>
      <c r="AQ305" s="34" t="n"/>
      <c r="AR305" s="34" t="n"/>
      <c r="AS305" s="34" t="n"/>
      <c r="AT305" s="34" t="n"/>
      <c r="AU305" s="34" t="n"/>
      <c r="AV305" s="34" t="n"/>
      <c r="AW305" s="34" t="n"/>
      <c r="AX305" s="34" t="n"/>
      <c r="AY305" s="34" t="n"/>
      <c r="AZ305" s="34" t="n"/>
      <c r="BA305" s="34" t="n"/>
      <c r="BB305" s="34" t="n"/>
      <c r="BC305" s="34" t="n"/>
      <c r="BD305" s="34" t="n"/>
      <c r="BE305" s="34" t="n"/>
      <c r="BF305" s="34" t="n"/>
      <c r="BG305" s="34" t="n"/>
      <c r="BH305" s="34" t="n"/>
      <c r="BI305" s="34" t="n"/>
      <c r="BJ305" s="34" t="n"/>
      <c r="BK305" s="34" t="n"/>
      <c r="BL305" s="34" t="n"/>
      <c r="BM305" s="34" t="n"/>
      <c r="BN305" s="34" t="n"/>
      <c r="BO305" s="34" t="n"/>
      <c r="BP305" s="34" t="n"/>
      <c r="BQ305" s="34" t="n"/>
      <c r="BR305" s="34" t="n"/>
      <c r="BS305" s="34" t="n"/>
      <c r="BT305" s="34" t="n"/>
      <c r="BU305" s="34" t="n"/>
      <c r="BV305" s="34" t="n"/>
      <c r="BW305" s="34" t="n"/>
      <c r="BX305" s="34" t="n"/>
      <c r="BY305" s="35" t="n"/>
      <c r="BZ305" s="35" t="n"/>
      <c r="CA305" s="254">
        <f>BX340</f>
        <v>173.2</v>
      </c>
      <c r="CB305" s="254">
        <f>CA306</f>
        <v>171.992553191489</v>
      </c>
      <c r="CC305" s="254">
        <f>CB306</f>
        <v>166.520355391355</v>
      </c>
      <c r="CD305" s="254">
        <f>CC306</f>
        <v>161.683455745518</v>
      </c>
      <c r="CE305" s="254">
        <f>CD306</f>
        <v>156.859687312153</v>
      </c>
      <c r="CF305" s="19" t="inlineStr">
        <is>
          <t>2026E begins from shares outstanding at 30-Jun-2026 (Q2-26 10-Q).</t>
        </is>
      </c>
    </row>
    <row r="306" ht="15" customHeight="1" s="251">
      <c r="B306" s="25" t="inlineStr">
        <is>
          <t xml:space="preserve">  Ending shares outstanding (m)</t>
        </is>
      </c>
      <c r="C306" s="34" t="n"/>
      <c r="D306" s="34" t="n"/>
      <c r="E306" s="34" t="n"/>
      <c r="F306" s="34" t="n"/>
      <c r="G306" s="34" t="n"/>
      <c r="H306" s="34" t="n"/>
      <c r="I306" s="34" t="n"/>
      <c r="J306" s="34" t="n"/>
      <c r="K306" s="34" t="n"/>
      <c r="L306" s="34" t="n"/>
      <c r="M306" s="34" t="n"/>
      <c r="N306" s="34" t="n"/>
      <c r="O306" s="34" t="n"/>
      <c r="P306" s="34" t="n"/>
      <c r="Q306" s="34" t="n"/>
      <c r="R306" s="34" t="n"/>
      <c r="S306" s="34" t="n"/>
      <c r="T306" s="34" t="n"/>
      <c r="U306" s="34" t="n"/>
      <c r="V306" s="34" t="n"/>
      <c r="W306" s="34" t="n"/>
      <c r="X306" s="34" t="n"/>
      <c r="Y306" s="34" t="n"/>
      <c r="Z306" s="34" t="n"/>
      <c r="AA306" s="34" t="n"/>
      <c r="AB306" s="34" t="n"/>
      <c r="AC306" s="34" t="n"/>
      <c r="AD306" s="34" t="n"/>
      <c r="AE306" s="34" t="n"/>
      <c r="AF306" s="34" t="n"/>
      <c r="AG306" s="34" t="n"/>
      <c r="AH306" s="34" t="n"/>
      <c r="AI306" s="34" t="n"/>
      <c r="AJ306" s="34" t="n"/>
      <c r="AK306" s="34" t="n"/>
      <c r="AL306" s="34" t="n"/>
      <c r="AM306" s="34" t="n"/>
      <c r="AN306" s="34" t="n"/>
      <c r="AO306" s="34" t="n"/>
      <c r="AP306" s="34" t="n"/>
      <c r="AQ306" s="34" t="n"/>
      <c r="AR306" s="34" t="n"/>
      <c r="AS306" s="34" t="n"/>
      <c r="AT306" s="34" t="n"/>
      <c r="AU306" s="34" t="n"/>
      <c r="AV306" s="34" t="n"/>
      <c r="AW306" s="34" t="n"/>
      <c r="AX306" s="34" t="n"/>
      <c r="AY306" s="34" t="n"/>
      <c r="AZ306" s="34" t="n"/>
      <c r="BA306" s="34" t="n"/>
      <c r="BB306" s="34" t="n"/>
      <c r="BC306" s="34" t="n"/>
      <c r="BD306" s="34" t="n"/>
      <c r="BE306" s="34" t="n"/>
      <c r="BF306" s="34" t="n"/>
      <c r="BG306" s="34" t="n"/>
      <c r="BH306" s="34" t="n"/>
      <c r="BI306" s="34" t="n"/>
      <c r="BJ306" s="34" t="n"/>
      <c r="BK306" s="34" t="n"/>
      <c r="BL306" s="34" t="n"/>
      <c r="BM306" s="34" t="n"/>
      <c r="BN306" s="34" t="n"/>
      <c r="BO306" s="34" t="n"/>
      <c r="BP306" s="34" t="n"/>
      <c r="BQ306" s="34" t="n"/>
      <c r="BR306" s="34" t="n"/>
      <c r="BS306" s="34" t="n"/>
      <c r="BT306" s="34" t="n"/>
      <c r="BU306" s="34" t="n"/>
      <c r="BV306" s="34" t="n"/>
      <c r="BW306" s="34" t="n"/>
      <c r="BX306" s="34" t="n"/>
      <c r="BY306" s="35" t="n"/>
      <c r="BZ306" s="35" t="n"/>
      <c r="CA306" s="254">
        <f>CA305-CA303+CA304</f>
        <v>171.992553191489</v>
      </c>
      <c r="CB306" s="254">
        <f>CB305-CB303+CB304</f>
        <v>166.520355391355</v>
      </c>
      <c r="CC306" s="254">
        <f>CC305-CC303+CC304</f>
        <v>161.683455745518</v>
      </c>
      <c r="CD306" s="254">
        <f>CD305-CD303+CD304</f>
        <v>156.859687312153</v>
      </c>
      <c r="CE306" s="254">
        <f>CE305-CE303+CE304</f>
        <v>152.115351992796</v>
      </c>
      <c r="CF306" s="19" t="n"/>
    </row>
    <row r="307" ht="15" customHeight="1" s="251">
      <c r="B307" s="25" t="inlineStr">
        <is>
          <t xml:space="preserve">  % of shares repurchased</t>
        </is>
      </c>
      <c r="C307" s="36"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c r="AA307" s="36" t="n"/>
      <c r="AB307" s="36" t="n"/>
      <c r="AC307" s="36" t="n"/>
      <c r="AD307" s="36" t="n"/>
      <c r="AE307" s="36" t="n"/>
      <c r="AF307" s="36" t="n"/>
      <c r="AG307" s="36" t="n"/>
      <c r="AH307" s="36" t="n"/>
      <c r="AI307" s="36" t="n"/>
      <c r="AJ307" s="36" t="n"/>
      <c r="AK307" s="36" t="n"/>
      <c r="AL307" s="36" t="n"/>
      <c r="AM307" s="36" t="n"/>
      <c r="AN307" s="36" t="n"/>
      <c r="AO307" s="36" t="n"/>
      <c r="AP307" s="36" t="n"/>
      <c r="AQ307" s="36" t="n"/>
      <c r="AR307" s="36" t="n"/>
      <c r="AS307" s="36" t="n"/>
      <c r="AT307" s="36" t="n"/>
      <c r="AU307" s="36" t="n"/>
      <c r="AV307" s="36" t="n"/>
      <c r="AW307" s="36" t="n"/>
      <c r="AX307" s="36" t="n"/>
      <c r="AY307" s="36" t="n"/>
      <c r="AZ307" s="36" t="n"/>
      <c r="BA307" s="36" t="n"/>
      <c r="BB307" s="36" t="n"/>
      <c r="BC307" s="36" t="n"/>
      <c r="BD307" s="36" t="n"/>
      <c r="BE307" s="36" t="n"/>
      <c r="BF307" s="36" t="n"/>
      <c r="BG307" s="36" t="n"/>
      <c r="BH307" s="36" t="n"/>
      <c r="BI307" s="36" t="n"/>
      <c r="BJ307" s="36" t="n"/>
      <c r="BK307" s="36" t="n"/>
      <c r="BL307" s="36" t="n"/>
      <c r="BM307" s="36" t="n"/>
      <c r="BN307" s="36" t="n"/>
      <c r="BO307" s="36" t="n"/>
      <c r="BP307" s="36" t="n"/>
      <c r="BQ307" s="36" t="n"/>
      <c r="BR307" s="36" t="n"/>
      <c r="BS307" s="36" t="n"/>
      <c r="BT307" s="36" t="n"/>
      <c r="BU307" s="36" t="n"/>
      <c r="BV307" s="36" t="n"/>
      <c r="BW307" s="36" t="n"/>
      <c r="BX307" s="36" t="n"/>
      <c r="BY307" s="24" t="n"/>
      <c r="BZ307" s="24" t="n"/>
      <c r="CA307" s="256">
        <f>IF(AND(ISNUMBER(CA303),ISNUMBER(CA305)),IFERROR(CA303/CA305,""),"")</f>
        <v>0.00841481991056951</v>
      </c>
      <c r="CB307" s="256">
        <f>IF(AND(ISNUMBER(CB303),ISNUMBER(CB305)),IFERROR(CB303/CB305,""),"")</f>
        <v>0.0353050041263929</v>
      </c>
      <c r="CC307" s="256">
        <f>IF(AND(ISNUMBER(CC303),ISNUMBER(CC305)),IFERROR(CC303/CC305,""),"")</f>
        <v>0.0326500603067988</v>
      </c>
      <c r="CD307" s="256">
        <f>IF(AND(ISNUMBER(CD303),ISNUMBER(CD305)),IFERROR(CD303/CD305,""),"")</f>
        <v>0.0335455993834091</v>
      </c>
      <c r="CE307" s="256">
        <f>IF(AND(ISNUMBER(CE303),ISNUMBER(CE305)),IFERROR(CE303/CE305,""),"")</f>
        <v>0.0340708018161632</v>
      </c>
      <c r="CF307" s="153" t="n"/>
    </row>
    <row r="308" ht="15" customHeight="1" s="251">
      <c r="B308" s="156" t="inlineStr">
        <is>
          <t xml:space="preserve">  Memo: cumulative shares repurchased since 30-Jun-2026 (m)</t>
        </is>
      </c>
      <c r="C308" s="34" t="n"/>
      <c r="D308" s="34" t="n"/>
      <c r="E308" s="34" t="n"/>
      <c r="F308" s="34" t="n"/>
      <c r="G308" s="34" t="n"/>
      <c r="H308" s="34" t="n"/>
      <c r="I308" s="34" t="n"/>
      <c r="J308" s="34" t="n"/>
      <c r="K308" s="34" t="n"/>
      <c r="L308" s="34" t="n"/>
      <c r="M308" s="34" t="n"/>
      <c r="N308" s="34" t="n"/>
      <c r="O308" s="34" t="n"/>
      <c r="P308" s="34" t="n"/>
      <c r="Q308" s="34" t="n"/>
      <c r="R308" s="34" t="n"/>
      <c r="S308" s="34" t="n"/>
      <c r="T308" s="34" t="n"/>
      <c r="U308" s="34" t="n"/>
      <c r="V308" s="34" t="n"/>
      <c r="W308" s="34" t="n"/>
      <c r="X308" s="34" t="n"/>
      <c r="Y308" s="34" t="n"/>
      <c r="Z308" s="34" t="n"/>
      <c r="AA308" s="34" t="n"/>
      <c r="AB308" s="34" t="n"/>
      <c r="AC308" s="34" t="n"/>
      <c r="AD308" s="34" t="n"/>
      <c r="AE308" s="34" t="n"/>
      <c r="AF308" s="34" t="n"/>
      <c r="AG308" s="34" t="n"/>
      <c r="AH308" s="34" t="n"/>
      <c r="AI308" s="34" t="n"/>
      <c r="AJ308" s="34" t="n"/>
      <c r="AK308" s="34" t="n"/>
      <c r="AL308" s="34" t="n"/>
      <c r="AM308" s="34" t="n"/>
      <c r="AN308" s="34" t="n"/>
      <c r="AO308" s="34" t="n"/>
      <c r="AP308" s="34" t="n"/>
      <c r="AQ308" s="34" t="n"/>
      <c r="AR308" s="34" t="n"/>
      <c r="AS308" s="34" t="n"/>
      <c r="AT308" s="34" t="n"/>
      <c r="AU308" s="34" t="n"/>
      <c r="AV308" s="34" t="n"/>
      <c r="AW308" s="34" t="n"/>
      <c r="AX308" s="34" t="n"/>
      <c r="AY308" s="34" t="n"/>
      <c r="AZ308" s="34" t="n"/>
      <c r="BA308" s="34" t="n"/>
      <c r="BB308" s="34" t="n"/>
      <c r="BC308" s="34" t="n"/>
      <c r="BD308" s="34" t="n"/>
      <c r="BE308" s="34" t="n"/>
      <c r="BF308" s="34" t="n"/>
      <c r="BG308" s="34" t="n"/>
      <c r="BH308" s="34" t="n"/>
      <c r="BI308" s="34" t="n"/>
      <c r="BJ308" s="34" t="n"/>
      <c r="BK308" s="34" t="n"/>
      <c r="BL308" s="34" t="n"/>
      <c r="BM308" s="34" t="n"/>
      <c r="BN308" s="34" t="n"/>
      <c r="BO308" s="34" t="n"/>
      <c r="BP308" s="34" t="n"/>
      <c r="BQ308" s="34" t="n"/>
      <c r="BR308" s="34" t="n"/>
      <c r="BS308" s="34" t="n"/>
      <c r="BT308" s="34" t="n"/>
      <c r="BU308" s="34" t="n"/>
      <c r="BV308" s="34" t="n"/>
      <c r="BW308" s="34" t="n"/>
      <c r="BX308" s="34" t="n"/>
      <c r="BY308" s="153" t="n"/>
      <c r="BZ308" s="153" t="n"/>
      <c r="CA308" s="267">
        <f>CA303</f>
        <v>1.45744680851064</v>
      </c>
      <c r="CB308" s="267">
        <f>CA308+CB303</f>
        <v>7.52964460864503</v>
      </c>
      <c r="CC308" s="267">
        <f>CB308+CC303</f>
        <v>12.9665442544823</v>
      </c>
      <c r="CD308" s="267">
        <f>CC308+CD303</f>
        <v>18.3903126878466</v>
      </c>
      <c r="CE308" s="267">
        <f>CD308+CE303</f>
        <v>23.7346480072043</v>
      </c>
      <c r="CF308" s="153" t="n"/>
    </row>
    <row r="309" ht="15" customHeight="1" s="251">
      <c r="CN309" s="11" t="n"/>
      <c r="CO309" s="12" t="n"/>
      <c r="CP309" s="12" t="n"/>
      <c r="CQ309" s="12" t="n"/>
      <c r="CR309" s="13" t="n"/>
    </row>
    <row r="310" ht="15" customHeight="1" s="251">
      <c r="B310" s="10" t="inlineStr">
        <is>
          <t>CONSOLIDATED BALANCE SHEET (condensed)</t>
        </is>
      </c>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c r="AA310" s="10" t="n"/>
      <c r="AB310" s="10" t="n"/>
      <c r="AC310" s="10" t="n"/>
      <c r="AD310" s="10" t="n"/>
      <c r="AE310" s="10" t="n"/>
      <c r="AF310" s="10" t="n"/>
      <c r="AG310" s="10" t="n"/>
      <c r="AH310" s="10" t="n"/>
      <c r="AI310" s="10" t="n"/>
      <c r="AJ310" s="10" t="n"/>
      <c r="AK310" s="10" t="n"/>
      <c r="AL310" s="10" t="n"/>
      <c r="AM310" s="10" t="n"/>
      <c r="AN310" s="10" t="n"/>
      <c r="AO310" s="10" t="n"/>
      <c r="AP310" s="10" t="n"/>
      <c r="AQ310" s="10" t="n"/>
      <c r="AR310" s="10" t="n"/>
      <c r="AS310" s="10" t="n"/>
      <c r="AT310" s="10" t="n"/>
      <c r="AU310" s="10" t="n"/>
      <c r="AV310" s="10" t="n"/>
      <c r="AW310" s="10" t="n"/>
      <c r="AX310" s="10" t="n"/>
      <c r="AY310" s="10" t="n"/>
      <c r="AZ310" s="10" t="n"/>
      <c r="BA310" s="10" t="n"/>
      <c r="BB310" s="10" t="n"/>
      <c r="BC310" s="10" t="n"/>
      <c r="BD310" s="10" t="n"/>
      <c r="BE310" s="10" t="n"/>
      <c r="BF310" s="10" t="n"/>
      <c r="BG310" s="10" t="n"/>
      <c r="BH310" s="10" t="n"/>
      <c r="BI310" s="10" t="n"/>
      <c r="BJ310" s="10" t="n"/>
      <c r="BK310" s="10" t="n"/>
      <c r="BL310" s="10" t="n"/>
      <c r="BM310" s="10" t="n"/>
      <c r="BN310" s="10" t="n"/>
      <c r="BO310" s="10" t="n"/>
      <c r="BP310" s="10" t="n"/>
      <c r="BQ310" s="10" t="n"/>
      <c r="BR310" s="10" t="n"/>
      <c r="BS310" s="10" t="n"/>
      <c r="BT310" s="10" t="n"/>
      <c r="BU310" s="10" t="n"/>
      <c r="BV310" s="10" t="n"/>
      <c r="BW310" s="10" t="n"/>
      <c r="BX310" s="10" t="n"/>
      <c r="BY310" s="10" t="n"/>
      <c r="BZ310" s="10" t="n"/>
      <c r="CA310" s="10" t="n"/>
      <c r="CB310" s="10" t="n"/>
      <c r="CC310" s="10" t="n"/>
      <c r="CD310" s="10" t="n"/>
      <c r="CE310" s="10" t="n"/>
      <c r="CF310" s="10" t="inlineStr">
        <is>
          <t>BS FORECAST — 2026E rolled forward from the 30-Jun-2026 balance sheet + 2H flows; 2027E+ from prior year end</t>
        </is>
      </c>
    </row>
    <row r="311" ht="15" customHeight="1" s="251">
      <c r="B311" s="25" t="inlineStr">
        <is>
          <t>ASSETS</t>
        </is>
      </c>
      <c r="CF311" s="153" t="n"/>
    </row>
    <row r="312" ht="15" customHeight="1" s="251">
      <c r="B312" s="25" t="inlineStr">
        <is>
          <t xml:space="preserve">  Cash and cash equivalents</t>
        </is>
      </c>
      <c r="C312" s="253" t="n">
        <v>408.1</v>
      </c>
      <c r="D312" s="253" t="n">
        <v>426.3</v>
      </c>
      <c r="E312" s="253" t="n">
        <v>245.9</v>
      </c>
      <c r="F312" s="253" t="n">
        <v>473.9</v>
      </c>
      <c r="G312" s="253" t="n">
        <v>659.6</v>
      </c>
      <c r="H312" s="253" t="n">
        <v>760</v>
      </c>
      <c r="I312" s="253" t="n">
        <v>1755.4</v>
      </c>
      <c r="J312" s="253" t="n">
        <v>1758</v>
      </c>
      <c r="K312" s="253" t="n">
        <v>1633</v>
      </c>
      <c r="L312" s="253" t="n">
        <v>1835.1</v>
      </c>
      <c r="M312" s="253" t="n">
        <v>1919.5</v>
      </c>
      <c r="N312" s="253" t="n">
        <v>1919.5</v>
      </c>
      <c r="O312" s="253" t="n">
        <v>1792.2</v>
      </c>
      <c r="P312" s="253" t="n">
        <v>1777.3</v>
      </c>
      <c r="Q312" s="253" t="n">
        <v>1940.8</v>
      </c>
      <c r="R312" s="253" t="n">
        <v>1219.5</v>
      </c>
      <c r="S312" s="253" t="n">
        <v>1219.5</v>
      </c>
      <c r="T312" s="253" t="n">
        <v>1509.9</v>
      </c>
      <c r="U312" s="253" t="n">
        <v>1538.6</v>
      </c>
      <c r="V312" s="253" t="n">
        <v>1471.1</v>
      </c>
      <c r="W312" s="253" t="n">
        <v>1757.4</v>
      </c>
      <c r="X312" s="253" t="n">
        <v>1757.4</v>
      </c>
      <c r="Y312" s="253" t="n">
        <v>1576.1</v>
      </c>
      <c r="Z312" s="253" t="n">
        <v>1674.3</v>
      </c>
      <c r="AA312" s="253" t="n">
        <v>1746.1</v>
      </c>
      <c r="AB312" s="253" t="n">
        <v>2051.5</v>
      </c>
      <c r="AC312" s="253" t="n">
        <v>2051.5</v>
      </c>
      <c r="AD312" s="253" t="n">
        <v>2129.6</v>
      </c>
      <c r="AE312" s="253" t="n">
        <v>3280.9</v>
      </c>
      <c r="AF312" s="253" t="n">
        <v>962.8</v>
      </c>
      <c r="AG312" s="253" t="n">
        <v>1071.5</v>
      </c>
      <c r="AH312" s="253" t="n">
        <v>1071.5</v>
      </c>
      <c r="AI312" s="253" t="n">
        <v>1277.3</v>
      </c>
      <c r="AJ312" s="253" t="n">
        <v>1314.5</v>
      </c>
      <c r="AK312" s="253" t="n">
        <v>1034.8</v>
      </c>
      <c r="AL312" s="253" t="n">
        <v>1685</v>
      </c>
      <c r="AM312" s="253" t="n">
        <v>1685</v>
      </c>
      <c r="AN312" s="253" t="n">
        <v>1196.6</v>
      </c>
      <c r="AO312" s="253" t="n">
        <v>1195.9</v>
      </c>
      <c r="AP312" s="253" t="n">
        <v>1178</v>
      </c>
      <c r="AQ312" s="253" t="n">
        <v>1832</v>
      </c>
      <c r="AR312" s="253" t="n">
        <v>1832</v>
      </c>
      <c r="AS312" s="253" t="n">
        <v>2141</v>
      </c>
      <c r="AT312" s="253" t="n">
        <v>2099</v>
      </c>
      <c r="AU312" s="253" t="n">
        <v>2492</v>
      </c>
      <c r="AV312" s="253" t="n">
        <v>2597</v>
      </c>
      <c r="AW312" s="253" t="n">
        <v>2597</v>
      </c>
      <c r="AX312" s="253" t="n">
        <v>2769</v>
      </c>
      <c r="AY312" s="253" t="n">
        <v>2809</v>
      </c>
      <c r="AZ312" s="253" t="n">
        <v>2239</v>
      </c>
      <c r="BA312" s="253" t="n">
        <v>1811</v>
      </c>
      <c r="BB312" s="253" t="n">
        <v>1811</v>
      </c>
      <c r="BC312" s="253" t="n">
        <v>1750</v>
      </c>
      <c r="BD312" s="253" t="n">
        <v>1617</v>
      </c>
      <c r="BE312" s="253" t="n">
        <v>1656</v>
      </c>
      <c r="BF312" s="253" t="n">
        <v>1769</v>
      </c>
      <c r="BG312" s="253" t="n">
        <v>1769</v>
      </c>
      <c r="BH312" s="253" t="n">
        <v>2119</v>
      </c>
      <c r="BI312" s="253" t="n">
        <v>2278</v>
      </c>
      <c r="BJ312" s="253" t="n">
        <v>2006</v>
      </c>
      <c r="BK312" s="253" t="n">
        <v>2130</v>
      </c>
      <c r="BL312" s="253" t="n">
        <v>2130</v>
      </c>
      <c r="BM312" s="253" t="n">
        <v>2476</v>
      </c>
      <c r="BN312" s="253" t="n">
        <v>2635</v>
      </c>
      <c r="BO312" s="253" t="n">
        <v>2642</v>
      </c>
      <c r="BP312" s="253" t="n">
        <v>2408</v>
      </c>
      <c r="BQ312" s="253" t="n">
        <v>2408</v>
      </c>
      <c r="BR312" s="253" t="n">
        <v>2139</v>
      </c>
      <c r="BS312" s="253" t="n">
        <v>2174</v>
      </c>
      <c r="BT312" s="253" t="n">
        <v>2181</v>
      </c>
      <c r="BU312" s="253" t="n">
        <v>2384</v>
      </c>
      <c r="BV312" s="253" t="n">
        <v>2384</v>
      </c>
      <c r="BW312" s="253" t="n">
        <v>1469</v>
      </c>
      <c r="BX312" s="253" t="n">
        <v>1467</v>
      </c>
      <c r="BY312" s="35" t="n"/>
      <c r="BZ312" s="35" t="n"/>
      <c r="CA312" s="254">
        <f>CA284</f>
        <v>1925.95078142087</v>
      </c>
      <c r="CB312" s="254">
        <f>CB284</f>
        <v>1587.3678536528</v>
      </c>
      <c r="CC312" s="254">
        <f>CC284</f>
        <v>1629.47264618012</v>
      </c>
      <c r="CD312" s="254">
        <f>CD284</f>
        <v>1653.77140516915</v>
      </c>
      <c r="CE312" s="254">
        <f>CE284</f>
        <v>1675.18289151881</v>
      </c>
      <c r="CF312" s="19" t="n"/>
    </row>
    <row r="313" ht="15" customHeight="1" s="251">
      <c r="B313" s="25" t="inlineStr">
        <is>
          <t xml:space="preserve">  Short-term investments</t>
        </is>
      </c>
      <c r="C313" s="253" t="n">
        <v>75.40000000000001</v>
      </c>
      <c r="D313" s="253" t="n">
        <v>14.7</v>
      </c>
      <c r="E313" s="253" t="n">
        <v>7.1</v>
      </c>
      <c r="F313" s="253" t="n">
        <v>10</v>
      </c>
      <c r="G313" s="253" t="n">
        <v>12.7</v>
      </c>
      <c r="H313" s="253" t="n">
        <v>14.8</v>
      </c>
      <c r="I313" s="253" t="n">
        <v>17.9</v>
      </c>
      <c r="J313" s="253" t="n">
        <v>11.6</v>
      </c>
      <c r="K313" s="253" t="n">
        <v>17.9</v>
      </c>
      <c r="L313" s="253" t="n">
        <v>209.6</v>
      </c>
      <c r="M313" s="253" t="n">
        <v>186.8</v>
      </c>
      <c r="N313" s="253" t="n">
        <v>186.8</v>
      </c>
      <c r="O313" s="253" t="n">
        <v>177.3</v>
      </c>
      <c r="P313" s="253" t="n">
        <v>182</v>
      </c>
      <c r="Q313" s="253" t="n">
        <v>164.8</v>
      </c>
      <c r="R313" s="253" t="n">
        <v>458.1</v>
      </c>
      <c r="S313" s="253" t="n">
        <v>458.1</v>
      </c>
      <c r="T313" s="253" t="n">
        <v>485.5</v>
      </c>
      <c r="U313" s="253" t="n">
        <v>508.9</v>
      </c>
      <c r="V313" s="253" t="n">
        <v>470.2</v>
      </c>
      <c r="W313" s="253" t="n">
        <v>474.8</v>
      </c>
      <c r="X313" s="253" t="n">
        <v>474.8</v>
      </c>
      <c r="Y313" s="253" t="n">
        <v>490.6</v>
      </c>
      <c r="Z313" s="253" t="n">
        <v>352.5</v>
      </c>
      <c r="AA313" s="253" t="n">
        <v>311.8</v>
      </c>
      <c r="AB313" s="253" t="n">
        <v>173.4</v>
      </c>
      <c r="AC313" s="253" t="n">
        <v>173.4</v>
      </c>
      <c r="AD313" s="253" t="n">
        <v>132.8</v>
      </c>
      <c r="AE313" s="253" t="n">
        <v>86.3</v>
      </c>
      <c r="AF313" s="253" t="n">
        <v>108.3</v>
      </c>
      <c r="AG313" s="253" t="n">
        <v>111.8</v>
      </c>
      <c r="AH313" s="253" t="n">
        <v>111.8</v>
      </c>
      <c r="AI313" s="253" t="n">
        <v>100.5</v>
      </c>
      <c r="AJ313" s="253" t="n">
        <v>101.2</v>
      </c>
      <c r="AK313" s="253" t="n">
        <v>110.7</v>
      </c>
      <c r="AL313" s="253" t="n">
        <v>132.5</v>
      </c>
      <c r="AM313" s="253" t="n">
        <v>132.5</v>
      </c>
      <c r="AN313" s="253" t="n">
        <v>114</v>
      </c>
      <c r="AO313" s="253" t="n">
        <v>119.5</v>
      </c>
      <c r="AP313" s="253" t="n">
        <v>95.8</v>
      </c>
      <c r="AQ313" s="253" t="n">
        <v>98</v>
      </c>
      <c r="AR313" s="253" t="n">
        <v>98</v>
      </c>
      <c r="AS313" s="253" t="n">
        <v>90</v>
      </c>
      <c r="AT313" s="253" t="n">
        <v>100</v>
      </c>
      <c r="AU313" s="253" t="n">
        <v>96</v>
      </c>
      <c r="AV313" s="253" t="n">
        <v>99</v>
      </c>
      <c r="AW313" s="253" t="n">
        <v>99</v>
      </c>
      <c r="AX313" s="253" t="n">
        <v>96</v>
      </c>
      <c r="AY313" s="253" t="n">
        <v>88</v>
      </c>
      <c r="AZ313" s="253" t="n">
        <v>104</v>
      </c>
      <c r="BA313" s="253" t="n">
        <v>91</v>
      </c>
      <c r="BB313" s="253" t="n">
        <v>91</v>
      </c>
      <c r="BC313" s="253" t="n">
        <v>103</v>
      </c>
      <c r="BD313" s="253" t="n">
        <v>86</v>
      </c>
      <c r="BE313" s="253" t="n">
        <v>89</v>
      </c>
      <c r="BF313" s="253" t="n">
        <v>90</v>
      </c>
      <c r="BG313" s="253" t="n">
        <v>90</v>
      </c>
      <c r="BH313" s="253" t="n">
        <v>78</v>
      </c>
      <c r="BI313" s="253" t="n">
        <v>57</v>
      </c>
      <c r="BJ313" s="253" t="n">
        <v>73</v>
      </c>
      <c r="BK313" s="253" t="n">
        <v>63</v>
      </c>
      <c r="BL313" s="253" t="n">
        <v>63</v>
      </c>
      <c r="BM313" s="253" t="n">
        <v>58</v>
      </c>
      <c r="BN313" s="253" t="n">
        <v>63</v>
      </c>
      <c r="BO313" s="253" t="n">
        <v>573</v>
      </c>
      <c r="BP313" s="253" t="n">
        <v>566</v>
      </c>
      <c r="BQ313" s="253" t="n">
        <v>566</v>
      </c>
      <c r="BR313" s="253" t="n">
        <v>62</v>
      </c>
      <c r="BS313" s="253" t="n">
        <v>116</v>
      </c>
      <c r="BT313" s="253" t="n">
        <v>78</v>
      </c>
      <c r="BU313" s="253" t="n">
        <v>64</v>
      </c>
      <c r="BV313" s="253" t="n">
        <v>64</v>
      </c>
      <c r="BW313" s="253" t="n">
        <v>41</v>
      </c>
      <c r="BX313" s="253" t="n">
        <v>29</v>
      </c>
      <c r="BY313" s="35" t="n"/>
      <c r="BZ313" s="35" t="n"/>
      <c r="CA313" s="254">
        <f>BX313</f>
        <v>29</v>
      </c>
      <c r="CB313" s="254">
        <f>CA313</f>
        <v>29</v>
      </c>
      <c r="CC313" s="254">
        <f>CB313</f>
        <v>29</v>
      </c>
      <c r="CD313" s="254">
        <f>CC313</f>
        <v>29</v>
      </c>
      <c r="CE313" s="254">
        <f>CD313</f>
        <v>29</v>
      </c>
      <c r="CF313" s="19" t="n"/>
    </row>
    <row r="314" ht="15" customHeight="1" s="251">
      <c r="B314" s="25" t="inlineStr">
        <is>
          <t xml:space="preserve">  Accounts receivable, net</t>
        </is>
      </c>
      <c r="C314" s="253" t="n">
        <v>475.4</v>
      </c>
      <c r="D314" s="253" t="n">
        <v>443.6</v>
      </c>
      <c r="E314" s="253" t="n">
        <v>421.8</v>
      </c>
      <c r="F314" s="253" t="n">
        <v>444.9</v>
      </c>
      <c r="G314" s="253" t="n">
        <v>497.5</v>
      </c>
      <c r="H314" s="253" t="n">
        <v>489.8</v>
      </c>
      <c r="I314" s="253" t="n">
        <v>621.8</v>
      </c>
      <c r="J314" s="253" t="n">
        <v>637.2</v>
      </c>
      <c r="K314" s="253" t="n">
        <v>607.7</v>
      </c>
      <c r="L314" s="253" t="n">
        <v>592</v>
      </c>
      <c r="M314" s="253" t="n">
        <v>694.2</v>
      </c>
      <c r="N314" s="253" t="n">
        <v>694.2</v>
      </c>
      <c r="O314" s="253" t="n">
        <v>737.9</v>
      </c>
      <c r="P314" s="253" t="n">
        <v>758.3</v>
      </c>
      <c r="Q314" s="253" t="n">
        <v>712.2</v>
      </c>
      <c r="R314" s="253" t="n">
        <v>792.4</v>
      </c>
      <c r="S314" s="253" t="n">
        <v>792.4</v>
      </c>
      <c r="T314" s="253" t="n">
        <v>842.7</v>
      </c>
      <c r="U314" s="253" t="n">
        <v>801.3</v>
      </c>
      <c r="V314" s="253" t="n">
        <v>720.5</v>
      </c>
      <c r="W314" s="253" t="n">
        <v>802</v>
      </c>
      <c r="X314" s="253" t="n">
        <v>802</v>
      </c>
      <c r="Y314" s="253" t="n">
        <v>852.1</v>
      </c>
      <c r="Z314" s="253" t="n">
        <v>843.7</v>
      </c>
      <c r="AA314" s="253" t="n">
        <v>831.4</v>
      </c>
      <c r="AB314" s="253" t="n">
        <v>887.4</v>
      </c>
      <c r="AC314" s="253" t="n">
        <v>887.4</v>
      </c>
      <c r="AD314" s="253" t="n">
        <v>953.5</v>
      </c>
      <c r="AE314" s="253" t="n">
        <v>916.5</v>
      </c>
      <c r="AF314" s="253" t="n">
        <v>1007.3</v>
      </c>
      <c r="AG314" s="253" t="n">
        <v>1147.2</v>
      </c>
      <c r="AH314" s="253" t="n">
        <v>1147.2</v>
      </c>
      <c r="AI314" s="253" t="n">
        <v>1207.4</v>
      </c>
      <c r="AJ314" s="253" t="n">
        <v>1137.1</v>
      </c>
      <c r="AK314" s="253" t="n">
        <v>1131.8</v>
      </c>
      <c r="AL314" s="253" t="n">
        <v>1287.1</v>
      </c>
      <c r="AM314" s="253" t="n">
        <v>1287.1</v>
      </c>
      <c r="AN314" s="253" t="n">
        <v>1301.2</v>
      </c>
      <c r="AO314" s="253" t="n">
        <v>1245.3</v>
      </c>
      <c r="AP314" s="253" t="n">
        <v>1228.4</v>
      </c>
      <c r="AQ314" s="253" t="n">
        <v>1419</v>
      </c>
      <c r="AR314" s="253" t="n">
        <v>1419</v>
      </c>
      <c r="AS314" s="253" t="n">
        <v>1413</v>
      </c>
      <c r="AT314" s="253" t="n">
        <v>1401</v>
      </c>
      <c r="AU314" s="253" t="n">
        <v>1360</v>
      </c>
      <c r="AV314" s="253" t="n">
        <v>1430</v>
      </c>
      <c r="AW314" s="253" t="n">
        <v>1430</v>
      </c>
      <c r="AX314" s="253" t="n">
        <v>1497</v>
      </c>
      <c r="AY314" s="253" t="n">
        <v>1458</v>
      </c>
      <c r="AZ314" s="253" t="n">
        <v>1589</v>
      </c>
      <c r="BA314" s="253" t="n">
        <v>1720</v>
      </c>
      <c r="BB314" s="253" t="n">
        <v>1720</v>
      </c>
      <c r="BC314" s="253" t="n">
        <v>1824</v>
      </c>
      <c r="BD314" s="253" t="n">
        <v>1602</v>
      </c>
      <c r="BE314" s="253" t="n">
        <v>1518</v>
      </c>
      <c r="BF314" s="253" t="n">
        <v>1652</v>
      </c>
      <c r="BG314" s="253" t="n">
        <v>1652</v>
      </c>
      <c r="BH314" s="253" t="n">
        <v>1712</v>
      </c>
      <c r="BI314" s="253" t="n">
        <v>1542</v>
      </c>
      <c r="BJ314" s="253" t="n">
        <v>1513</v>
      </c>
      <c r="BK314" s="253" t="n">
        <v>1659</v>
      </c>
      <c r="BL314" s="253" t="n">
        <v>1659</v>
      </c>
      <c r="BM314" s="253" t="n">
        <v>1835</v>
      </c>
      <c r="BN314" s="253" t="n">
        <v>1694</v>
      </c>
      <c r="BO314" s="253" t="n">
        <v>1708</v>
      </c>
      <c r="BP314" s="253" t="n">
        <v>1801</v>
      </c>
      <c r="BQ314" s="253" t="n">
        <v>1801</v>
      </c>
      <c r="BR314" s="253" t="n">
        <v>1850</v>
      </c>
      <c r="BS314" s="253" t="n">
        <v>1776</v>
      </c>
      <c r="BT314" s="253" t="n">
        <v>1774</v>
      </c>
      <c r="BU314" s="253" t="n">
        <v>2024</v>
      </c>
      <c r="BV314" s="253" t="n">
        <v>2024</v>
      </c>
      <c r="BW314" s="253" t="n">
        <v>2044</v>
      </c>
      <c r="BX314" s="253" t="n">
        <v>1919</v>
      </c>
      <c r="BY314" s="35" t="n"/>
      <c r="BZ314" s="35" t="n"/>
      <c r="CA314" s="254">
        <f>CA343*CA344/365</f>
        <v>2163.93731506849</v>
      </c>
      <c r="CB314" s="254">
        <f>CB343*CB344/365</f>
        <v>2319.89710797173</v>
      </c>
      <c r="CC314" s="254">
        <f>CC343*CC344/365</f>
        <v>2477.38566373333</v>
      </c>
      <c r="CD314" s="254">
        <f>CD343*CD344/365</f>
        <v>2637.29956234018</v>
      </c>
      <c r="CE314" s="254">
        <f>CE343*CE344/365</f>
        <v>2795.75953150135</v>
      </c>
      <c r="CF314" s="19" t="n"/>
    </row>
    <row r="315" ht="15" customHeight="1" s="251">
      <c r="B315" s="25" t="inlineStr">
        <is>
          <t xml:space="preserve">  Other current assets (incl. assets held for sale)</t>
        </is>
      </c>
      <c r="C315" s="253" t="n">
        <v>43</v>
      </c>
      <c r="D315" s="253" t="n">
        <v>104.5</v>
      </c>
      <c r="E315" s="253" t="n">
        <v>134.3</v>
      </c>
      <c r="F315" s="253" t="n">
        <v>84.09999999999999</v>
      </c>
      <c r="G315" s="253" t="n">
        <v>173.2</v>
      </c>
      <c r="H315" s="253" t="n">
        <v>159.8</v>
      </c>
      <c r="I315" s="253" t="n">
        <v>130.6</v>
      </c>
      <c r="J315" s="253" t="n">
        <v>113.5</v>
      </c>
      <c r="K315" s="253" t="n">
        <v>184.1</v>
      </c>
      <c r="L315" s="253" t="n">
        <v>145.5</v>
      </c>
      <c r="M315" s="253" t="n">
        <v>168.3</v>
      </c>
      <c r="N315" s="253" t="n">
        <v>168.3</v>
      </c>
      <c r="O315" s="253" t="n">
        <v>238.4</v>
      </c>
      <c r="P315" s="253" t="n">
        <v>226.7</v>
      </c>
      <c r="Q315" s="253" t="n">
        <v>244.1</v>
      </c>
      <c r="R315" s="253" t="n">
        <v>216.4</v>
      </c>
      <c r="S315" s="253" t="n">
        <v>216.4</v>
      </c>
      <c r="T315" s="253" t="n">
        <v>201.2</v>
      </c>
      <c r="U315" s="253" t="n">
        <v>215.2</v>
      </c>
      <c r="V315" s="253" t="n">
        <v>200.3</v>
      </c>
      <c r="W315" s="253" t="n">
        <v>208.9</v>
      </c>
      <c r="X315" s="253" t="n">
        <v>208.9</v>
      </c>
      <c r="Y315" s="253" t="n">
        <v>166.5</v>
      </c>
      <c r="Z315" s="253" t="n">
        <v>159.6</v>
      </c>
      <c r="AA315" s="253" t="n">
        <v>127.6</v>
      </c>
      <c r="AB315" s="253" t="n">
        <v>140.8</v>
      </c>
      <c r="AC315" s="253" t="n">
        <v>140.8</v>
      </c>
      <c r="AD315" s="253" t="n">
        <v>269.6</v>
      </c>
      <c r="AE315" s="253" t="n">
        <v>275.4</v>
      </c>
      <c r="AF315" s="253" t="n">
        <v>200.5</v>
      </c>
      <c r="AG315" s="253" t="n">
        <v>250.1</v>
      </c>
      <c r="AH315" s="253" t="n">
        <v>250.1</v>
      </c>
      <c r="AI315" s="253" t="n">
        <v>233.6</v>
      </c>
      <c r="AJ315" s="253" t="n">
        <v>286.9</v>
      </c>
      <c r="AK315" s="253" t="n">
        <v>238.9</v>
      </c>
      <c r="AL315" s="253" t="n">
        <v>282.3</v>
      </c>
      <c r="AM315" s="253" t="n">
        <v>282.3</v>
      </c>
      <c r="AN315" s="253" t="n">
        <v>286.6</v>
      </c>
      <c r="AO315" s="253" t="n">
        <v>593.9</v>
      </c>
      <c r="AP315" s="253" t="n">
        <v>540.1</v>
      </c>
      <c r="AQ315" s="253" t="n">
        <v>330</v>
      </c>
      <c r="AR315" s="253" t="n">
        <v>330</v>
      </c>
      <c r="AS315" s="253" t="n">
        <v>350</v>
      </c>
      <c r="AT315" s="253" t="n">
        <v>363</v>
      </c>
      <c r="AU315" s="253" t="n">
        <v>333</v>
      </c>
      <c r="AV315" s="253" t="n">
        <v>383</v>
      </c>
      <c r="AW315" s="253" t="n">
        <v>383</v>
      </c>
      <c r="AX315" s="253" t="n">
        <v>333</v>
      </c>
      <c r="AY315" s="253" t="n">
        <v>379</v>
      </c>
      <c r="AZ315" s="253" t="n">
        <v>323</v>
      </c>
      <c r="BA315" s="253" t="n">
        <v>389</v>
      </c>
      <c r="BB315" s="253" t="n">
        <v>389</v>
      </c>
      <c r="BC315" s="253" t="n">
        <v>385</v>
      </c>
      <c r="BD315" s="253" t="n">
        <v>515</v>
      </c>
      <c r="BE315" s="253" t="n">
        <v>463</v>
      </c>
      <c r="BF315" s="253" t="n">
        <v>583</v>
      </c>
      <c r="BG315" s="253" t="n">
        <v>583</v>
      </c>
      <c r="BH315" s="253" t="n">
        <v>517</v>
      </c>
      <c r="BI315" s="253" t="n">
        <v>513</v>
      </c>
      <c r="BJ315" s="253" t="n">
        <v>445</v>
      </c>
      <c r="BK315" s="253" t="n">
        <v>489</v>
      </c>
      <c r="BL315" s="253" t="n">
        <v>489</v>
      </c>
      <c r="BM315" s="253" t="n">
        <v>437</v>
      </c>
      <c r="BN315" s="253" t="n">
        <v>489</v>
      </c>
      <c r="BO315" s="253" t="n">
        <v>470</v>
      </c>
      <c r="BP315" s="253" t="n">
        <v>515</v>
      </c>
      <c r="BQ315" s="253" t="n">
        <v>515</v>
      </c>
      <c r="BR315" s="253" t="n">
        <v>514</v>
      </c>
      <c r="BS315" s="253" t="n">
        <v>573</v>
      </c>
      <c r="BT315" s="253" t="n">
        <v>566</v>
      </c>
      <c r="BU315" s="253" t="n">
        <v>714</v>
      </c>
      <c r="BV315" s="253" t="n">
        <v>714</v>
      </c>
      <c r="BW315" s="253" t="n">
        <v>660</v>
      </c>
      <c r="BX315" s="253" t="n">
        <v>567</v>
      </c>
      <c r="BY315" s="35" t="n"/>
      <c r="BZ315" s="35" t="n"/>
      <c r="CA315" s="254">
        <f>BX315</f>
        <v>567</v>
      </c>
      <c r="CB315" s="254">
        <f>CA315</f>
        <v>567</v>
      </c>
      <c r="CC315" s="254">
        <f>CB315</f>
        <v>567</v>
      </c>
      <c r="CD315" s="254">
        <f>CC315</f>
        <v>567</v>
      </c>
      <c r="CE315" s="254">
        <f>CD315</f>
        <v>567</v>
      </c>
      <c r="CF315" s="19" t="n"/>
    </row>
    <row r="316" ht="15" customHeight="1" s="251">
      <c r="B316" s="16" t="inlineStr">
        <is>
          <t>Total current assets</t>
        </is>
      </c>
      <c r="C316" s="262">
        <f>IF(ISNUMBER(C312),SUM(C312:C315),"")</f>
        <v>1001.9</v>
      </c>
      <c r="D316" s="262">
        <f>IF(ISNUMBER(D312),SUM(D312:D315),"")</f>
        <v>989.1</v>
      </c>
      <c r="E316" s="262">
        <f>IF(ISNUMBER(E312),SUM(E312:E315),"")</f>
        <v>809.1</v>
      </c>
      <c r="F316" s="262">
        <f>IF(ISNUMBER(F312),SUM(F312:F315),"")</f>
        <v>1012.9</v>
      </c>
      <c r="G316" s="262">
        <f>IF(ISNUMBER(G312),SUM(G312:G315),"")</f>
        <v>1343</v>
      </c>
      <c r="H316" s="262">
        <f>IF(ISNUMBER(H312),SUM(H312:H315),"")</f>
        <v>1424.4</v>
      </c>
      <c r="I316" s="262">
        <f>IF(ISNUMBER(I312),SUM(I312:I315),"")</f>
        <v>2525.7</v>
      </c>
      <c r="J316" s="262">
        <f>IF(ISNUMBER(J312),SUM(J312:J315),"")</f>
        <v>2520.3</v>
      </c>
      <c r="K316" s="262">
        <f>IF(ISNUMBER(K312),SUM(K312:K315),"")</f>
        <v>2442.7</v>
      </c>
      <c r="L316" s="262">
        <f>IF(ISNUMBER(L312),SUM(L312:L315),"")</f>
        <v>2782.2</v>
      </c>
      <c r="M316" s="262">
        <f>IF(ISNUMBER(M312),SUM(M312:M315),"")</f>
        <v>2968.8</v>
      </c>
      <c r="N316" s="262">
        <f>IF(ISNUMBER(N312),SUM(N312:N315),"")</f>
        <v>2968.8</v>
      </c>
      <c r="O316" s="262">
        <f>IF(ISNUMBER(O312),SUM(O312:O315),"")</f>
        <v>2945.8</v>
      </c>
      <c r="P316" s="262">
        <f>IF(ISNUMBER(P312),SUM(P312:P315),"")</f>
        <v>2944.3</v>
      </c>
      <c r="Q316" s="262">
        <f>IF(ISNUMBER(Q312),SUM(Q312:Q315),"")</f>
        <v>3061.9</v>
      </c>
      <c r="R316" s="262">
        <f>IF(ISNUMBER(R312),SUM(R312:R315),"")</f>
        <v>2686.4</v>
      </c>
      <c r="S316" s="262">
        <f>IF(ISNUMBER(S312),SUM(S312:S315),"")</f>
        <v>2686.4</v>
      </c>
      <c r="T316" s="262">
        <f>IF(ISNUMBER(T312),SUM(T312:T315),"")</f>
        <v>3039.3</v>
      </c>
      <c r="U316" s="262">
        <f>IF(ISNUMBER(U312),SUM(U312:U315),"")</f>
        <v>3064</v>
      </c>
      <c r="V316" s="262">
        <f>IF(ISNUMBER(V312),SUM(V312:V315),"")</f>
        <v>2862.1</v>
      </c>
      <c r="W316" s="262">
        <f>IF(ISNUMBER(W312),SUM(W312:W315),"")</f>
        <v>3243.1</v>
      </c>
      <c r="X316" s="262">
        <f>IF(ISNUMBER(X312),SUM(X312:X315),"")</f>
        <v>3243.1</v>
      </c>
      <c r="Y316" s="262">
        <f>IF(ISNUMBER(Y312),SUM(Y312:Y315),"")</f>
        <v>3085.3</v>
      </c>
      <c r="Z316" s="262">
        <f>IF(ISNUMBER(Z312),SUM(Z312:Z315),"")</f>
        <v>3030.1</v>
      </c>
      <c r="AA316" s="262">
        <f>IF(ISNUMBER(AA312),SUM(AA312:AA315),"")</f>
        <v>3016.9</v>
      </c>
      <c r="AB316" s="262">
        <f>IF(ISNUMBER(AB312),SUM(AB312:AB315),"")</f>
        <v>3253.1</v>
      </c>
      <c r="AC316" s="262">
        <f>IF(ISNUMBER(AC312),SUM(AC312:AC315),"")</f>
        <v>3253.1</v>
      </c>
      <c r="AD316" s="262">
        <f>IF(ISNUMBER(AD312),SUM(AD312:AD315),"")</f>
        <v>3485.5</v>
      </c>
      <c r="AE316" s="262">
        <f>IF(ISNUMBER(AE312),SUM(AE312:AE315),"")</f>
        <v>4559.1</v>
      </c>
      <c r="AF316" s="262">
        <f>IF(ISNUMBER(AF312),SUM(AF312:AF315),"")</f>
        <v>2278.9</v>
      </c>
      <c r="AG316" s="262">
        <f>IF(ISNUMBER(AG312),SUM(AG312:AG315),"")</f>
        <v>2580.6</v>
      </c>
      <c r="AH316" s="262">
        <f>IF(ISNUMBER(AH312),SUM(AH312:AH315),"")</f>
        <v>2580.6</v>
      </c>
      <c r="AI316" s="262">
        <f>IF(ISNUMBER(AI312),SUM(AI312:AI315),"")</f>
        <v>2818.8</v>
      </c>
      <c r="AJ316" s="262">
        <f>IF(ISNUMBER(AJ312),SUM(AJ312:AJ315),"")</f>
        <v>2839.7</v>
      </c>
      <c r="AK316" s="262">
        <f>IF(ISNUMBER(AK312),SUM(AK312:AK315),"")</f>
        <v>2516.2</v>
      </c>
      <c r="AL316" s="262">
        <f>IF(ISNUMBER(AL312),SUM(AL312:AL315),"")</f>
        <v>3386.9</v>
      </c>
      <c r="AM316" s="262">
        <f>IF(ISNUMBER(AM312),SUM(AM312:AM315),"")</f>
        <v>3386.9</v>
      </c>
      <c r="AN316" s="262">
        <f>IF(ISNUMBER(AN312),SUM(AN312:AN315),"")</f>
        <v>2898.4</v>
      </c>
      <c r="AO316" s="262">
        <f>IF(ISNUMBER(AO312),SUM(AO312:AO315),"")</f>
        <v>3154.6</v>
      </c>
      <c r="AP316" s="262">
        <f>IF(ISNUMBER(AP312),SUM(AP312:AP315),"")</f>
        <v>3042.3</v>
      </c>
      <c r="AQ316" s="262">
        <f>IF(ISNUMBER(AQ312),SUM(AQ312:AQ315),"")</f>
        <v>3679</v>
      </c>
      <c r="AR316" s="262">
        <f>IF(ISNUMBER(AR312),SUM(AR312:AR315),"")</f>
        <v>3679</v>
      </c>
      <c r="AS316" s="262">
        <f>IF(ISNUMBER(AS312),SUM(AS312:AS315),"")</f>
        <v>3994</v>
      </c>
      <c r="AT316" s="262">
        <f>IF(ISNUMBER(AT312),SUM(AT312:AT315),"")</f>
        <v>3963</v>
      </c>
      <c r="AU316" s="262">
        <f>IF(ISNUMBER(AU312),SUM(AU312:AU315),"")</f>
        <v>4281</v>
      </c>
      <c r="AV316" s="262">
        <f>IF(ISNUMBER(AV312),SUM(AV312:AV315),"")</f>
        <v>4509</v>
      </c>
      <c r="AW316" s="262">
        <f>IF(ISNUMBER(AW312),SUM(AW312:AW315),"")</f>
        <v>4509</v>
      </c>
      <c r="AX316" s="262">
        <f>IF(ISNUMBER(AX312),SUM(AX312:AX315),"")</f>
        <v>4695</v>
      </c>
      <c r="AY316" s="262">
        <f>IF(ISNUMBER(AY312),SUM(AY312:AY315),"")</f>
        <v>4734</v>
      </c>
      <c r="AZ316" s="262">
        <f>IF(ISNUMBER(AZ312),SUM(AZ312:AZ315),"")</f>
        <v>4255</v>
      </c>
      <c r="BA316" s="262">
        <f>IF(ISNUMBER(BA312),SUM(BA312:BA315),"")</f>
        <v>4011</v>
      </c>
      <c r="BB316" s="262">
        <f>IF(ISNUMBER(BB312),SUM(BB312:BB315),"")</f>
        <v>4011</v>
      </c>
      <c r="BC316" s="262">
        <f>IF(ISNUMBER(BC312),SUM(BC312:BC315),"")</f>
        <v>4062</v>
      </c>
      <c r="BD316" s="262">
        <f>IF(ISNUMBER(BD312),SUM(BD312:BD315),"")</f>
        <v>3820</v>
      </c>
      <c r="BE316" s="262">
        <f>IF(ISNUMBER(BE312),SUM(BE312:BE315),"")</f>
        <v>3726</v>
      </c>
      <c r="BF316" s="262">
        <f>IF(ISNUMBER(BF312),SUM(BF312:BF315),"")</f>
        <v>4094</v>
      </c>
      <c r="BG316" s="262">
        <f>IF(ISNUMBER(BG312),SUM(BG312:BG315),"")</f>
        <v>4094</v>
      </c>
      <c r="BH316" s="262">
        <f>IF(ISNUMBER(BH312),SUM(BH312:BH315),"")</f>
        <v>4426</v>
      </c>
      <c r="BI316" s="262">
        <f>IF(ISNUMBER(BI312),SUM(BI312:BI315),"")</f>
        <v>4390</v>
      </c>
      <c r="BJ316" s="262">
        <f>IF(ISNUMBER(BJ312),SUM(BJ312:BJ315),"")</f>
        <v>4037</v>
      </c>
      <c r="BK316" s="262">
        <f>IF(ISNUMBER(BK312),SUM(BK312:BK315),"")</f>
        <v>4341</v>
      </c>
      <c r="BL316" s="262">
        <f>IF(ISNUMBER(BL312),SUM(BL312:BL315),"")</f>
        <v>4341</v>
      </c>
      <c r="BM316" s="262">
        <f>IF(ISNUMBER(BM312),SUM(BM312:BM315),"")</f>
        <v>4806</v>
      </c>
      <c r="BN316" s="262">
        <f>IF(ISNUMBER(BN312),SUM(BN312:BN315),"")</f>
        <v>4881</v>
      </c>
      <c r="BO316" s="262">
        <f>IF(ISNUMBER(BO312),SUM(BO312:BO315),"")</f>
        <v>5393</v>
      </c>
      <c r="BP316" s="262">
        <f>IF(ISNUMBER(BP312),SUM(BP312:BP315),"")</f>
        <v>5290</v>
      </c>
      <c r="BQ316" s="262">
        <f>IF(ISNUMBER(BQ312),SUM(BQ312:BQ315),"")</f>
        <v>5290</v>
      </c>
      <c r="BR316" s="262">
        <f>IF(ISNUMBER(BR312),SUM(BR312:BR315),"")</f>
        <v>4565</v>
      </c>
      <c r="BS316" s="262">
        <f>IF(ISNUMBER(BS312),SUM(BS312:BS315),"")</f>
        <v>4639</v>
      </c>
      <c r="BT316" s="262">
        <f>IF(ISNUMBER(BT312),SUM(BT312:BT315),"")</f>
        <v>4599</v>
      </c>
      <c r="BU316" s="262">
        <f>IF(ISNUMBER(BU312),SUM(BU312:BU315),"")</f>
        <v>5186</v>
      </c>
      <c r="BV316" s="262">
        <f>IF(ISNUMBER(BV312),SUM(BV312:BV315),"")</f>
        <v>5186</v>
      </c>
      <c r="BW316" s="262">
        <f>IF(ISNUMBER(BW312),SUM(BW312:BW315),"")</f>
        <v>4214</v>
      </c>
      <c r="BX316" s="262">
        <f>IF(ISNUMBER(BX312),SUM(BX312:BX315),"")</f>
        <v>3982</v>
      </c>
      <c r="BY316" s="32" t="n"/>
      <c r="BZ316" s="32" t="n"/>
      <c r="CA316" s="263">
        <f>IF(ISNUMBER(CA312),SUM(CA312:CA315),"")</f>
        <v>4685.88809648936</v>
      </c>
      <c r="CB316" s="263">
        <f>IF(ISNUMBER(CB312),SUM(CB312:CB315),"")</f>
        <v>4503.26496162453</v>
      </c>
      <c r="CC316" s="263">
        <f>IF(ISNUMBER(CC312),SUM(CC312:CC315),"")</f>
        <v>4702.85830991346</v>
      </c>
      <c r="CD316" s="263">
        <f>IF(ISNUMBER(CD312),SUM(CD312:CD315),"")</f>
        <v>4887.07096750933</v>
      </c>
      <c r="CE316" s="263">
        <f>IF(ISNUMBER(CE312),SUM(CE312:CE315),"")</f>
        <v>5066.94242302016</v>
      </c>
      <c r="CF316" s="153" t="n"/>
    </row>
    <row r="317" ht="15" customHeight="1" s="251">
      <c r="B317" s="25" t="inlineStr">
        <is>
          <t xml:space="preserve">  Property and equipment, net (incl. capitalised software)</t>
        </is>
      </c>
      <c r="C317" s="253" t="n">
        <v>62</v>
      </c>
      <c r="D317" s="253" t="n">
        <v>214.6</v>
      </c>
      <c r="E317" s="253" t="n">
        <v>247.7</v>
      </c>
      <c r="F317" s="253" t="n">
        <v>293</v>
      </c>
      <c r="G317" s="253" t="n">
        <v>319.3</v>
      </c>
      <c r="H317" s="253" t="n">
        <v>326.8</v>
      </c>
      <c r="I317" s="253" t="n">
        <v>307.1</v>
      </c>
      <c r="J317" s="253" t="n">
        <v>296.1</v>
      </c>
      <c r="K317" s="253" t="n">
        <v>287.4</v>
      </c>
      <c r="L317" s="253" t="n">
        <v>284.3</v>
      </c>
      <c r="M317" s="253" t="n">
        <v>278.7</v>
      </c>
      <c r="N317" s="253" t="n">
        <v>278.7</v>
      </c>
      <c r="O317" s="253" t="n">
        <v>282.3</v>
      </c>
      <c r="P317" s="253" t="n">
        <v>298.3</v>
      </c>
      <c r="Q317" s="253" t="n">
        <v>303.5</v>
      </c>
      <c r="R317" s="253" t="n">
        <v>302.3</v>
      </c>
      <c r="S317" s="253" t="n">
        <v>302.3</v>
      </c>
      <c r="T317" s="253" t="n">
        <v>299.3</v>
      </c>
      <c r="U317" s="253" t="n">
        <v>304.6</v>
      </c>
      <c r="V317" s="253" t="n">
        <v>306.1</v>
      </c>
      <c r="W317" s="253" t="n">
        <v>306.4</v>
      </c>
      <c r="X317" s="253" t="n">
        <v>306.4</v>
      </c>
      <c r="Y317" s="253" t="n">
        <v>310.5</v>
      </c>
      <c r="Z317" s="253" t="n">
        <v>323</v>
      </c>
      <c r="AA317" s="253" t="n">
        <v>329.6</v>
      </c>
      <c r="AB317" s="253" t="n">
        <v>325.9</v>
      </c>
      <c r="AC317" s="253" t="n">
        <v>325.9</v>
      </c>
      <c r="AD317" s="253" t="n">
        <v>329.1</v>
      </c>
      <c r="AE317" s="253" t="n">
        <v>329.7</v>
      </c>
      <c r="AF317" s="253" t="n">
        <v>332.1</v>
      </c>
      <c r="AG317" s="253" t="n">
        <v>325.1</v>
      </c>
      <c r="AH317" s="253" t="n">
        <v>325.1</v>
      </c>
      <c r="AI317" s="253" t="n">
        <v>321.6</v>
      </c>
      <c r="AJ317" s="253" t="n">
        <v>312.2</v>
      </c>
      <c r="AK317" s="253" t="n">
        <v>311.1</v>
      </c>
      <c r="AL317" s="253" t="n">
        <v>320.4</v>
      </c>
      <c r="AM317" s="253" t="n">
        <v>320.4</v>
      </c>
      <c r="AN317" s="253" t="n">
        <v>318.7</v>
      </c>
      <c r="AO317" s="253" t="n">
        <v>300.4</v>
      </c>
      <c r="AP317" s="253" t="n">
        <v>292.1</v>
      </c>
      <c r="AQ317" s="253" t="n">
        <v>292</v>
      </c>
      <c r="AR317" s="253" t="n">
        <v>292</v>
      </c>
      <c r="AS317" s="253" t="n">
        <v>285</v>
      </c>
      <c r="AT317" s="253" t="n">
        <v>298</v>
      </c>
      <c r="AU317" s="253" t="n">
        <v>282</v>
      </c>
      <c r="AV317" s="253" t="n">
        <v>278</v>
      </c>
      <c r="AW317" s="253" t="n">
        <v>278</v>
      </c>
      <c r="AX317" s="253" t="n">
        <v>269</v>
      </c>
      <c r="AY317" s="253" t="n">
        <v>282</v>
      </c>
      <c r="AZ317" s="253" t="n">
        <v>301</v>
      </c>
      <c r="BA317" s="253" t="n">
        <v>347</v>
      </c>
      <c r="BB317" s="253" t="n">
        <v>347</v>
      </c>
      <c r="BC317" s="253" t="n">
        <v>381</v>
      </c>
      <c r="BD317" s="253" t="n">
        <v>433</v>
      </c>
      <c r="BE317" s="253" t="n">
        <v>472</v>
      </c>
      <c r="BF317" s="253" t="n">
        <v>502</v>
      </c>
      <c r="BG317" s="253" t="n">
        <v>502</v>
      </c>
      <c r="BH317" s="253" t="n">
        <v>525</v>
      </c>
      <c r="BI317" s="253" t="n">
        <v>541</v>
      </c>
      <c r="BJ317" s="253" t="n">
        <v>573</v>
      </c>
      <c r="BK317" s="253" t="n">
        <v>603</v>
      </c>
      <c r="BL317" s="253" t="n">
        <v>603</v>
      </c>
      <c r="BM317" s="253" t="n">
        <v>613</v>
      </c>
      <c r="BN317" s="253" t="n">
        <v>652</v>
      </c>
      <c r="BO317" s="253" t="n">
        <v>662</v>
      </c>
      <c r="BP317" s="253" t="n">
        <v>656</v>
      </c>
      <c r="BQ317" s="253" t="n">
        <v>656</v>
      </c>
      <c r="BR317" s="253" t="n">
        <v>671</v>
      </c>
      <c r="BS317" s="253" t="n">
        <v>689</v>
      </c>
      <c r="BT317" s="253" t="n">
        <v>712</v>
      </c>
      <c r="BU317" s="253" t="n">
        <v>722</v>
      </c>
      <c r="BV317" s="253" t="n">
        <v>722</v>
      </c>
      <c r="BW317" s="253" t="n">
        <v>735</v>
      </c>
      <c r="BX317" s="253" t="n">
        <v>754</v>
      </c>
      <c r="BY317" s="35" t="n"/>
      <c r="BZ317" s="35" t="n"/>
      <c r="CA317" s="254">
        <f>BX317-(CA270-SUM(BW270:BX270))-SUM(BY152:BZ152)</f>
        <v>882</v>
      </c>
      <c r="CB317" s="254">
        <f>CA317-CB270-CB152+CB95*CB103</f>
        <v>1027.12707406828</v>
      </c>
      <c r="CC317" s="254">
        <f>CB317-CC270-CC152+CC95*CC103</f>
        <v>1153.57702171843</v>
      </c>
      <c r="CD317" s="254">
        <f>CC317-CD270-CD152+CD95*CD103</f>
        <v>1277.9038142502</v>
      </c>
      <c r="CE317" s="254">
        <f>CD317-CE270-CE152+CE95*CE103</f>
        <v>1409.46034287495</v>
      </c>
      <c r="CF317" s="19" t="inlineStr">
        <is>
          <t>Roll-forward: prior − capital additions (negative cash flow) − depreciation (excl. acquired intangibles) + acquired PP&amp;E.</t>
        </is>
      </c>
    </row>
    <row r="318" ht="15" customHeight="1" s="251">
      <c r="B318" s="25" t="inlineStr">
        <is>
          <t xml:space="preserve">  Goodwill</t>
        </is>
      </c>
      <c r="C318" s="253" t="n">
        <v>176.1</v>
      </c>
      <c r="D318" s="253" t="n">
        <v>179.9</v>
      </c>
      <c r="E318" s="253" t="n">
        <v>338</v>
      </c>
      <c r="F318" s="253" t="n">
        <v>349.2</v>
      </c>
      <c r="G318" s="253" t="n">
        <v>465.5</v>
      </c>
      <c r="H318" s="253" t="n">
        <v>642.9</v>
      </c>
      <c r="I318" s="253" t="n">
        <v>637.1</v>
      </c>
      <c r="J318" s="253" t="n">
        <v>623.8</v>
      </c>
      <c r="K318" s="253" t="n">
        <v>619.8</v>
      </c>
      <c r="L318" s="253" t="n">
        <v>630.8</v>
      </c>
      <c r="M318" s="253" t="n">
        <v>665.2</v>
      </c>
      <c r="N318" s="253" t="n">
        <v>665.2</v>
      </c>
      <c r="O318" s="253" t="n">
        <v>656.6</v>
      </c>
      <c r="P318" s="253" t="n">
        <v>955.2</v>
      </c>
      <c r="Q318" s="253" t="n">
        <v>1000.3</v>
      </c>
      <c r="R318" s="253" t="n">
        <v>1021.1</v>
      </c>
      <c r="S318" s="253" t="n">
        <v>1021.1</v>
      </c>
      <c r="T318" s="253" t="n">
        <v>988</v>
      </c>
      <c r="U318" s="253" t="n">
        <v>1006.8</v>
      </c>
      <c r="V318" s="253" t="n">
        <v>990</v>
      </c>
      <c r="W318" s="253" t="n">
        <v>976.3</v>
      </c>
      <c r="X318" s="253" t="n">
        <v>976.3</v>
      </c>
      <c r="Y318" s="253" t="n">
        <v>1050.9</v>
      </c>
      <c r="Z318" s="253" t="n">
        <v>1047.2</v>
      </c>
      <c r="AA318" s="253" t="n">
        <v>1040.8</v>
      </c>
      <c r="AB318" s="253" t="n">
        <v>1023.6</v>
      </c>
      <c r="AC318" s="253" t="n">
        <v>1023.6</v>
      </c>
      <c r="AD318" s="253" t="n">
        <v>1029.6</v>
      </c>
      <c r="AE318" s="253" t="n">
        <v>1054.5</v>
      </c>
      <c r="AF318" s="253" t="n">
        <v>3722.1</v>
      </c>
      <c r="AG318" s="253" t="n">
        <v>3753.2</v>
      </c>
      <c r="AH318" s="253" t="n">
        <v>3753.2</v>
      </c>
      <c r="AI318" s="253" t="n">
        <v>3831.5</v>
      </c>
      <c r="AJ318" s="253" t="n">
        <v>3662.7</v>
      </c>
      <c r="AK318" s="253" t="n">
        <v>3661.3</v>
      </c>
      <c r="AL318" s="253" t="n">
        <v>3781.3</v>
      </c>
      <c r="AM318" s="253" t="n">
        <v>3781.3</v>
      </c>
      <c r="AN318" s="253" t="n">
        <v>3762.5</v>
      </c>
      <c r="AO318" s="253" t="n">
        <v>3664.9</v>
      </c>
      <c r="AP318" s="253" t="n">
        <v>3610</v>
      </c>
      <c r="AQ318" s="253" t="n">
        <v>3722</v>
      </c>
      <c r="AR318" s="253" t="n">
        <v>3722</v>
      </c>
      <c r="AS318" s="253" t="n">
        <v>4122</v>
      </c>
      <c r="AT318" s="253" t="n">
        <v>4162</v>
      </c>
      <c r="AU318" s="253" t="n">
        <v>4282</v>
      </c>
      <c r="AV318" s="253" t="n">
        <v>4556</v>
      </c>
      <c r="AW318" s="253" t="n">
        <v>4556</v>
      </c>
      <c r="AX318" s="253" t="n">
        <v>4566</v>
      </c>
      <c r="AY318" s="253" t="n">
        <v>4590</v>
      </c>
      <c r="AZ318" s="253" t="n">
        <v>5898</v>
      </c>
      <c r="BA318" s="253" t="n">
        <v>5999</v>
      </c>
      <c r="BB318" s="253" t="n">
        <v>5999</v>
      </c>
      <c r="BC318" s="253" t="n">
        <v>6039</v>
      </c>
      <c r="BD318" s="253" t="n">
        <v>5841</v>
      </c>
      <c r="BE318" s="253" t="n">
        <v>5617</v>
      </c>
      <c r="BF318" s="253" t="n">
        <v>5839</v>
      </c>
      <c r="BG318" s="253" t="n">
        <v>5839</v>
      </c>
      <c r="BH318" s="253" t="n">
        <v>5892</v>
      </c>
      <c r="BI318" s="253" t="n">
        <v>5926</v>
      </c>
      <c r="BJ318" s="253" t="n">
        <v>5831</v>
      </c>
      <c r="BK318" s="253" t="n">
        <v>5956</v>
      </c>
      <c r="BL318" s="253" t="n">
        <v>5956</v>
      </c>
      <c r="BM318" s="253" t="n">
        <v>5909</v>
      </c>
      <c r="BN318" s="253" t="n">
        <v>5891</v>
      </c>
      <c r="BO318" s="253" t="n">
        <v>6148</v>
      </c>
      <c r="BP318" s="253" t="n">
        <v>5994</v>
      </c>
      <c r="BQ318" s="253" t="n">
        <v>5994</v>
      </c>
      <c r="BR318" s="253" t="n">
        <v>6237</v>
      </c>
      <c r="BS318" s="253" t="n">
        <v>6481</v>
      </c>
      <c r="BT318" s="253" t="n">
        <v>6465</v>
      </c>
      <c r="BU318" s="253" t="n">
        <v>6368</v>
      </c>
      <c r="BV318" s="253" t="n">
        <v>6368</v>
      </c>
      <c r="BW318" s="253" t="n">
        <v>6335</v>
      </c>
      <c r="BX318" s="253" t="n">
        <v>6318</v>
      </c>
      <c r="BY318" s="35" t="n"/>
      <c r="BZ318" s="35" t="n"/>
      <c r="CA318" s="254">
        <f>BX318</f>
        <v>6318</v>
      </c>
      <c r="CB318" s="254">
        <f>CA318+CB95*(1-CB103-CB104)</f>
        <v>6434</v>
      </c>
      <c r="CC318" s="254">
        <f>CB318+CC95*(1-CC103-CC104)</f>
        <v>6550</v>
      </c>
      <c r="CD318" s="254">
        <f>CC318+CD95*(1-CD103-CD104)</f>
        <v>6666</v>
      </c>
      <c r="CE318" s="254">
        <f>CD318+CE95*(1-CE103-CE104)</f>
        <v>6782</v>
      </c>
      <c r="CF318" s="19" t="n"/>
    </row>
    <row r="319" ht="15" customHeight="1" s="251">
      <c r="B319" s="25" t="inlineStr">
        <is>
          <t xml:space="preserve">  Intangible assets, net</t>
        </is>
      </c>
      <c r="C319" s="253" t="n">
        <v>65.7</v>
      </c>
      <c r="D319" s="253" t="n">
        <v>56.9</v>
      </c>
      <c r="E319" s="253" t="n">
        <v>114</v>
      </c>
      <c r="F319" s="253" t="n">
        <v>104.9</v>
      </c>
      <c r="G319" s="253" t="n">
        <v>168.8</v>
      </c>
      <c r="H319" s="253" t="n">
        <v>253.6</v>
      </c>
      <c r="I319" s="253" t="n">
        <v>226.5</v>
      </c>
      <c r="J319" s="253" t="n">
        <v>212.7</v>
      </c>
      <c r="K319" s="253" t="n">
        <v>202</v>
      </c>
      <c r="L319" s="253" t="n">
        <v>198.2</v>
      </c>
      <c r="M319" s="253" t="n">
        <v>221.6</v>
      </c>
      <c r="N319" s="253" t="n">
        <v>221.6</v>
      </c>
      <c r="O319" s="253" t="n">
        <v>212.8</v>
      </c>
      <c r="P319" s="253" t="n">
        <v>310.5</v>
      </c>
      <c r="Q319" s="253" t="n">
        <v>349.8</v>
      </c>
      <c r="R319" s="253" t="n">
        <v>345.5</v>
      </c>
      <c r="S319" s="253" t="n">
        <v>345.5</v>
      </c>
      <c r="T319" s="253" t="n">
        <v>328</v>
      </c>
      <c r="U319" s="253" t="n">
        <v>322.6</v>
      </c>
      <c r="V319" s="253" t="n">
        <v>308.8</v>
      </c>
      <c r="W319" s="253" t="n">
        <v>299.1</v>
      </c>
      <c r="X319" s="253" t="n">
        <v>299.1</v>
      </c>
      <c r="Y319" s="253" t="n">
        <v>329.2</v>
      </c>
      <c r="Z319" s="253" t="n">
        <v>319.2</v>
      </c>
      <c r="AA319" s="253" t="n">
        <v>307.8</v>
      </c>
      <c r="AB319" s="253" t="n">
        <v>296.4</v>
      </c>
      <c r="AC319" s="253" t="n">
        <v>296.4</v>
      </c>
      <c r="AD319" s="253" t="n">
        <v>289.8</v>
      </c>
      <c r="AE319" s="253" t="n">
        <v>287.1</v>
      </c>
      <c r="AF319" s="253" t="n">
        <v>1633.1</v>
      </c>
      <c r="AG319" s="253" t="n">
        <v>1631.6</v>
      </c>
      <c r="AH319" s="253" t="n">
        <v>1631.6</v>
      </c>
      <c r="AI319" s="253" t="n">
        <v>1641.6</v>
      </c>
      <c r="AJ319" s="253" t="n">
        <v>1541.4</v>
      </c>
      <c r="AK319" s="253" t="n">
        <v>1517.6</v>
      </c>
      <c r="AL319" s="253" t="n">
        <v>1566.1</v>
      </c>
      <c r="AM319" s="253" t="n">
        <v>1566.1</v>
      </c>
      <c r="AN319" s="253" t="n">
        <v>1530.4</v>
      </c>
      <c r="AO319" s="253" t="n">
        <v>1486</v>
      </c>
      <c r="AP319" s="253" t="n">
        <v>1454.1</v>
      </c>
      <c r="AQ319" s="253" t="n">
        <v>1498</v>
      </c>
      <c r="AR319" s="253" t="n">
        <v>1498</v>
      </c>
      <c r="AS319" s="253" t="n">
        <v>1709</v>
      </c>
      <c r="AT319" s="253" t="n">
        <v>1697</v>
      </c>
      <c r="AU319" s="253" t="n">
        <v>1717</v>
      </c>
      <c r="AV319" s="253" t="n">
        <v>1824</v>
      </c>
      <c r="AW319" s="253" t="n">
        <v>1824</v>
      </c>
      <c r="AX319" s="253" t="n">
        <v>1810</v>
      </c>
      <c r="AY319" s="253" t="n">
        <v>1784</v>
      </c>
      <c r="AZ319" s="253" t="n">
        <v>2510</v>
      </c>
      <c r="BA319" s="253" t="n">
        <v>2467</v>
      </c>
      <c r="BB319" s="253" t="n">
        <v>2467</v>
      </c>
      <c r="BC319" s="253" t="n">
        <v>2422</v>
      </c>
      <c r="BD319" s="253" t="n">
        <v>2300</v>
      </c>
      <c r="BE319" s="253" t="n">
        <v>2182</v>
      </c>
      <c r="BF319" s="253" t="n">
        <v>2210</v>
      </c>
      <c r="BG319" s="253" t="n">
        <v>2210</v>
      </c>
      <c r="BH319" s="253" t="n">
        <v>2177</v>
      </c>
      <c r="BI319" s="253" t="n">
        <v>2138</v>
      </c>
      <c r="BJ319" s="253" t="n">
        <v>2058</v>
      </c>
      <c r="BK319" s="253" t="n">
        <v>2049</v>
      </c>
      <c r="BL319" s="253" t="n">
        <v>2049</v>
      </c>
      <c r="BM319" s="253" t="n">
        <v>1983</v>
      </c>
      <c r="BN319" s="253" t="n">
        <v>1930</v>
      </c>
      <c r="BO319" s="253" t="n">
        <v>1970</v>
      </c>
      <c r="BP319" s="253" t="n">
        <v>1890</v>
      </c>
      <c r="BQ319" s="253" t="n">
        <v>1890</v>
      </c>
      <c r="BR319" s="253" t="n">
        <v>1978</v>
      </c>
      <c r="BS319" s="253" t="n">
        <v>1989</v>
      </c>
      <c r="BT319" s="253" t="n">
        <v>1916</v>
      </c>
      <c r="BU319" s="253" t="n">
        <v>1866</v>
      </c>
      <c r="BV319" s="253" t="n">
        <v>1866</v>
      </c>
      <c r="BW319" s="253" t="n">
        <v>1805</v>
      </c>
      <c r="BX319" s="253" t="n">
        <v>1749</v>
      </c>
      <c r="BY319" s="35" t="n"/>
      <c r="BZ319" s="35" t="n"/>
      <c r="CA319" s="254">
        <f>BX319-SUM(BY150:BZ150)</f>
        <v>1648</v>
      </c>
      <c r="CB319" s="254">
        <f>CA319-CB150+CB95*CB104</f>
        <v>1530.33333333333</v>
      </c>
      <c r="CC319" s="254">
        <f>CB319-CC150+CC95*CC104</f>
        <v>1420.33333333333</v>
      </c>
      <c r="CD319" s="254">
        <f>CC319-CD150+CD95*CD104</f>
        <v>1337</v>
      </c>
      <c r="CE319" s="254">
        <f>CD319-CE150+CE95*CE104</f>
        <v>1272.33333333333</v>
      </c>
      <c r="CF319" s="19" t="inlineStr">
        <is>
          <t>Roll-forward: prior − amortization + acquired intangibles (M&amp;A lever).</t>
        </is>
      </c>
    </row>
    <row r="320" ht="15" customHeight="1" s="251">
      <c r="B320" s="25" t="inlineStr">
        <is>
          <t xml:space="preserve">  Operating lease ROU assets, deferred tax assets &amp; other assets (derived)</t>
        </is>
      </c>
      <c r="C320" s="253" t="n">
        <v>192</v>
      </c>
      <c r="D320" s="253" t="n">
        <v>274.1</v>
      </c>
      <c r="E320" s="253" t="n">
        <v>264.6</v>
      </c>
      <c r="F320" s="253" t="n">
        <v>243.3</v>
      </c>
      <c r="G320" s="253" t="n">
        <v>243.7</v>
      </c>
      <c r="H320" s="253" t="n">
        <v>228.4</v>
      </c>
      <c r="I320" s="253" t="n">
        <v>264.5</v>
      </c>
      <c r="J320" s="253" t="n">
        <v>258.3</v>
      </c>
      <c r="K320" s="253" t="n">
        <v>242.4</v>
      </c>
      <c r="L320" s="253" t="n">
        <v>259</v>
      </c>
      <c r="M320" s="253" t="n">
        <v>260.8</v>
      </c>
      <c r="N320" s="253" t="n">
        <v>260.8</v>
      </c>
      <c r="O320" s="253" t="n">
        <v>255.9</v>
      </c>
      <c r="P320" s="253" t="n">
        <v>278.3</v>
      </c>
      <c r="Q320" s="253" t="n">
        <v>278.2</v>
      </c>
      <c r="R320" s="253" t="n">
        <v>313.7</v>
      </c>
      <c r="S320" s="253" t="n">
        <v>313.7</v>
      </c>
      <c r="T320" s="253" t="n">
        <v>321.4</v>
      </c>
      <c r="U320" s="253" t="n">
        <v>301.5</v>
      </c>
      <c r="V320" s="253" t="n">
        <v>305.9</v>
      </c>
      <c r="W320" s="253" t="n">
        <v>298.5</v>
      </c>
      <c r="X320" s="253" t="n">
        <v>298.5</v>
      </c>
      <c r="Y320" s="253" t="n">
        <v>339</v>
      </c>
      <c r="Z320" s="253" t="n">
        <v>325.4</v>
      </c>
      <c r="AA320" s="253" t="n">
        <v>324.2</v>
      </c>
      <c r="AB320" s="253" t="n">
        <v>428.3</v>
      </c>
      <c r="AC320" s="253" t="n">
        <v>428.3</v>
      </c>
      <c r="AD320" s="253" t="n">
        <v>301.9</v>
      </c>
      <c r="AE320" s="253" t="n">
        <v>305.9</v>
      </c>
      <c r="AF320" s="253" t="n">
        <v>338.7</v>
      </c>
      <c r="AG320" s="253" t="n">
        <v>303.7</v>
      </c>
      <c r="AH320" s="253" t="n">
        <v>303.7</v>
      </c>
      <c r="AI320" s="253" t="n">
        <v>400.5</v>
      </c>
      <c r="AJ320" s="253" t="n">
        <v>395.6</v>
      </c>
      <c r="AK320" s="253" t="n">
        <v>432.9</v>
      </c>
      <c r="AL320" s="253" t="n">
        <v>471.5</v>
      </c>
      <c r="AM320" s="253" t="n">
        <v>471.5</v>
      </c>
      <c r="AN320" s="253" t="n">
        <v>1008.1</v>
      </c>
      <c r="AO320" s="253" t="n">
        <v>985.7</v>
      </c>
      <c r="AP320" s="253" t="n">
        <v>1079.3</v>
      </c>
      <c r="AQ320" s="253" t="n">
        <v>1074</v>
      </c>
      <c r="AR320" s="253" t="n">
        <v>1074</v>
      </c>
      <c r="AS320" s="253" t="n">
        <v>1196</v>
      </c>
      <c r="AT320" s="253" t="n">
        <v>1178</v>
      </c>
      <c r="AU320" s="253" t="n">
        <v>1110</v>
      </c>
      <c r="AV320" s="253" t="n">
        <v>1242</v>
      </c>
      <c r="AW320" s="253" t="n">
        <v>1242</v>
      </c>
      <c r="AX320" s="253" t="n">
        <v>1160</v>
      </c>
      <c r="AY320" s="253" t="n">
        <v>1162</v>
      </c>
      <c r="AZ320" s="253" t="n">
        <v>1450</v>
      </c>
      <c r="BA320" s="253" t="n">
        <v>1856</v>
      </c>
      <c r="BB320" s="253" t="n">
        <v>1856</v>
      </c>
      <c r="BC320" s="253" t="n">
        <v>1835</v>
      </c>
      <c r="BD320" s="253" t="n">
        <v>1921</v>
      </c>
      <c r="BE320" s="253" t="n">
        <v>1942</v>
      </c>
      <c r="BF320" s="253" t="n">
        <v>1704</v>
      </c>
      <c r="BG320" s="253" t="n">
        <v>1704</v>
      </c>
      <c r="BH320" s="253" t="n">
        <v>1699</v>
      </c>
      <c r="BI320" s="253" t="n">
        <v>1696</v>
      </c>
      <c r="BJ320" s="253" t="n">
        <v>1692</v>
      </c>
      <c r="BK320" s="253" t="n">
        <v>1673</v>
      </c>
      <c r="BL320" s="253" t="n">
        <v>1673</v>
      </c>
      <c r="BM320" s="253" t="n">
        <v>1700</v>
      </c>
      <c r="BN320" s="253" t="n">
        <v>1659</v>
      </c>
      <c r="BO320" s="253" t="n">
        <v>1596</v>
      </c>
      <c r="BP320" s="253" t="n">
        <v>1675</v>
      </c>
      <c r="BQ320" s="253" t="n">
        <v>1675</v>
      </c>
      <c r="BR320" s="253" t="n">
        <v>1645</v>
      </c>
      <c r="BS320" s="253" t="n">
        <v>1689</v>
      </c>
      <c r="BT320" s="253" t="n">
        <v>1723</v>
      </c>
      <c r="BU320" s="253" t="n">
        <v>1688</v>
      </c>
      <c r="BV320" s="253" t="n">
        <v>1688</v>
      </c>
      <c r="BW320" s="253" t="n">
        <v>1643</v>
      </c>
      <c r="BX320" s="253" t="n">
        <v>1872</v>
      </c>
      <c r="BY320" s="35" t="n"/>
      <c r="BZ320" s="35" t="n"/>
      <c r="CA320" s="254">
        <f>BX320</f>
        <v>1872</v>
      </c>
      <c r="CB320" s="254">
        <f>CA320</f>
        <v>1872</v>
      </c>
      <c r="CC320" s="254">
        <f>CB320</f>
        <v>1872</v>
      </c>
      <c r="CD320" s="254">
        <f>CC320</f>
        <v>1872</v>
      </c>
      <c r="CE320" s="254">
        <f>CD320</f>
        <v>1872</v>
      </c>
      <c r="CF320" s="19" t="n"/>
    </row>
    <row r="321" ht="15" customHeight="1" s="251">
      <c r="B321" s="55" t="inlineStr">
        <is>
          <t>TOTAL ASSETS</t>
        </is>
      </c>
      <c r="C321" s="275">
        <f>IF(ISNUMBER(C312),C316+SUM(C317:C320),"")</f>
        <v>1497.7</v>
      </c>
      <c r="D321" s="275">
        <f>IF(ISNUMBER(D312),D316+SUM(D317:D320),"")</f>
        <v>1714.6</v>
      </c>
      <c r="E321" s="275">
        <f>IF(ISNUMBER(E312),E316+SUM(E317:E320),"")</f>
        <v>1773.4</v>
      </c>
      <c r="F321" s="275">
        <f>IF(ISNUMBER(F312),F316+SUM(F317:F320),"")</f>
        <v>2003.3</v>
      </c>
      <c r="G321" s="275">
        <f>IF(ISNUMBER(G312),G316+SUM(G317:G320),"")</f>
        <v>2540.3</v>
      </c>
      <c r="H321" s="275">
        <f>IF(ISNUMBER(H312),H316+SUM(H317:H320),"")</f>
        <v>2876.1</v>
      </c>
      <c r="I321" s="275">
        <f>IF(ISNUMBER(I312),I316+SUM(I317:I320),"")</f>
        <v>3960.9</v>
      </c>
      <c r="J321" s="275">
        <f>IF(ISNUMBER(J312),J316+SUM(J317:J320),"")</f>
        <v>3911.2</v>
      </c>
      <c r="K321" s="275">
        <f>IF(ISNUMBER(K312),K316+SUM(K317:K320),"")</f>
        <v>3794.3</v>
      </c>
      <c r="L321" s="275">
        <f>IF(ISNUMBER(L312),L316+SUM(L317:L320),"")</f>
        <v>4154.5</v>
      </c>
      <c r="M321" s="275">
        <f>IF(ISNUMBER(M312),M316+SUM(M317:M320),"")</f>
        <v>4395.1</v>
      </c>
      <c r="N321" s="275">
        <f>IF(ISNUMBER(N312),N316+SUM(N317:N320),"")</f>
        <v>4395.1</v>
      </c>
      <c r="O321" s="275">
        <f>IF(ISNUMBER(O312),O316+SUM(O317:O320),"")</f>
        <v>4353.4</v>
      </c>
      <c r="P321" s="275">
        <f>IF(ISNUMBER(P312),P316+SUM(P317:P320),"")</f>
        <v>4786.6</v>
      </c>
      <c r="Q321" s="275">
        <f>IF(ISNUMBER(Q312),Q316+SUM(Q317:Q320),"")</f>
        <v>4993.7</v>
      </c>
      <c r="R321" s="275">
        <f>IF(ISNUMBER(R312),R316+SUM(R317:R320),"")</f>
        <v>4669</v>
      </c>
      <c r="S321" s="275">
        <f>IF(ISNUMBER(S312),S316+SUM(S317:S320),"")</f>
        <v>4669</v>
      </c>
      <c r="T321" s="275">
        <f>IF(ISNUMBER(T312),T316+SUM(T317:T320),"")</f>
        <v>4976</v>
      </c>
      <c r="U321" s="275">
        <f>IF(ISNUMBER(U312),U316+SUM(U317:U320),"")</f>
        <v>4999.5</v>
      </c>
      <c r="V321" s="275">
        <f>IF(ISNUMBER(V312),V316+SUM(V317:V320),"")</f>
        <v>4772.9</v>
      </c>
      <c r="W321" s="275">
        <f>IF(ISNUMBER(W312),W316+SUM(W317:W320),"")</f>
        <v>5123.4</v>
      </c>
      <c r="X321" s="275">
        <f>IF(ISNUMBER(X312),X316+SUM(X317:X320),"")</f>
        <v>5123.4</v>
      </c>
      <c r="Y321" s="275">
        <f>IF(ISNUMBER(Y312),Y316+SUM(Y317:Y320),"")</f>
        <v>5114.9</v>
      </c>
      <c r="Z321" s="275">
        <f>IF(ISNUMBER(Z312),Z316+SUM(Z317:Z320),"")</f>
        <v>5044.9</v>
      </c>
      <c r="AA321" s="275">
        <f>IF(ISNUMBER(AA312),AA316+SUM(AA317:AA320),"")</f>
        <v>5019.3</v>
      </c>
      <c r="AB321" s="275">
        <f>IF(ISNUMBER(AB312),AB316+SUM(AB317:AB320),"")</f>
        <v>5327.3</v>
      </c>
      <c r="AC321" s="275">
        <f>IF(ISNUMBER(AC312),AC316+SUM(AC317:AC320),"")</f>
        <v>5327.3</v>
      </c>
      <c r="AD321" s="275">
        <f>IF(ISNUMBER(AD312),AD316+SUM(AD317:AD320),"")</f>
        <v>5435.9</v>
      </c>
      <c r="AE321" s="275">
        <f>IF(ISNUMBER(AE312),AE316+SUM(AE317:AE320),"")</f>
        <v>6536.3</v>
      </c>
      <c r="AF321" s="275">
        <f>IF(ISNUMBER(AF312),AF316+SUM(AF317:AF320),"")</f>
        <v>8304.9</v>
      </c>
      <c r="AG321" s="275">
        <f>IF(ISNUMBER(AG312),AG316+SUM(AG317:AG320),"")</f>
        <v>8594.2</v>
      </c>
      <c r="AH321" s="275">
        <f>IF(ISNUMBER(AH312),AH316+SUM(AH317:AH320),"")</f>
        <v>8594.2</v>
      </c>
      <c r="AI321" s="275">
        <f>IF(ISNUMBER(AI312),AI316+SUM(AI317:AI320),"")</f>
        <v>9014</v>
      </c>
      <c r="AJ321" s="275">
        <f>IF(ISNUMBER(AJ312),AJ316+SUM(AJ317:AJ320),"")</f>
        <v>8751.6</v>
      </c>
      <c r="AK321" s="275">
        <f>IF(ISNUMBER(AK312),AK316+SUM(AK317:AK320),"")</f>
        <v>8439.1</v>
      </c>
      <c r="AL321" s="275">
        <f>IF(ISNUMBER(AL312),AL316+SUM(AL317:AL320),"")</f>
        <v>9526.2</v>
      </c>
      <c r="AM321" s="275">
        <f>IF(ISNUMBER(AM312),AM316+SUM(AM317:AM320),"")</f>
        <v>9526.2</v>
      </c>
      <c r="AN321" s="275">
        <f>IF(ISNUMBER(AN312),AN316+SUM(AN317:AN320),"")</f>
        <v>9518.1</v>
      </c>
      <c r="AO321" s="275">
        <f>IF(ISNUMBER(AO312),AO316+SUM(AO317:AO320),"")</f>
        <v>9591.6</v>
      </c>
      <c r="AP321" s="275">
        <f>IF(ISNUMBER(AP312),AP316+SUM(AP317:AP320),"")</f>
        <v>9477.8</v>
      </c>
      <c r="AQ321" s="275">
        <f>IF(ISNUMBER(AQ312),AQ316+SUM(AQ317:AQ320),"")</f>
        <v>10265</v>
      </c>
      <c r="AR321" s="275">
        <f>IF(ISNUMBER(AR312),AR316+SUM(AR317:AR320),"")</f>
        <v>10265</v>
      </c>
      <c r="AS321" s="275">
        <f>IF(ISNUMBER(AS312),AS316+SUM(AS317:AS320),"")</f>
        <v>11306</v>
      </c>
      <c r="AT321" s="275">
        <f>IF(ISNUMBER(AT312),AT316+SUM(AT317:AT320),"")</f>
        <v>11298</v>
      </c>
      <c r="AU321" s="275">
        <f>IF(ISNUMBER(AU312),AU316+SUM(AU317:AU320),"")</f>
        <v>11672</v>
      </c>
      <c r="AV321" s="275">
        <f>IF(ISNUMBER(AV312),AV316+SUM(AV317:AV320),"")</f>
        <v>12409</v>
      </c>
      <c r="AW321" s="275">
        <f>IF(ISNUMBER(AW312),AW316+SUM(AW317:AW320),"")</f>
        <v>12409</v>
      </c>
      <c r="AX321" s="275">
        <f>IF(ISNUMBER(AX312),AX316+SUM(AX317:AX320),"")</f>
        <v>12500</v>
      </c>
      <c r="AY321" s="275">
        <f>IF(ISNUMBER(AY312),AY316+SUM(AY317:AY320),"")</f>
        <v>12552</v>
      </c>
      <c r="AZ321" s="275">
        <f>IF(ISNUMBER(AZ312),AZ316+SUM(AZ317:AZ320),"")</f>
        <v>14414</v>
      </c>
      <c r="BA321" s="275">
        <f>IF(ISNUMBER(BA312),BA316+SUM(BA317:BA320),"")</f>
        <v>14680</v>
      </c>
      <c r="BB321" s="275">
        <f>IF(ISNUMBER(BB312),BB316+SUM(BB317:BB320),"")</f>
        <v>14680</v>
      </c>
      <c r="BC321" s="275">
        <f>IF(ISNUMBER(BC312),BC316+SUM(BC317:BC320),"")</f>
        <v>14739</v>
      </c>
      <c r="BD321" s="275">
        <f>IF(ISNUMBER(BD312),BD316+SUM(BD317:BD320),"")</f>
        <v>14315</v>
      </c>
      <c r="BE321" s="275">
        <f>IF(ISNUMBER(BE312),BE316+SUM(BE317:BE320),"")</f>
        <v>13939</v>
      </c>
      <c r="BF321" s="275">
        <f>IF(ISNUMBER(BF312),BF316+SUM(BF317:BF320),"")</f>
        <v>14349</v>
      </c>
      <c r="BG321" s="275">
        <f>IF(ISNUMBER(BG312),BG316+SUM(BG317:BG320),"")</f>
        <v>14349</v>
      </c>
      <c r="BH321" s="275">
        <f>IF(ISNUMBER(BH312),BH316+SUM(BH317:BH320),"")</f>
        <v>14719</v>
      </c>
      <c r="BI321" s="275">
        <f>IF(ISNUMBER(BI312),BI316+SUM(BI317:BI320),"")</f>
        <v>14691</v>
      </c>
      <c r="BJ321" s="275">
        <f>IF(ISNUMBER(BJ312),BJ316+SUM(BJ317:BJ320),"")</f>
        <v>14191</v>
      </c>
      <c r="BK321" s="275">
        <f>IF(ISNUMBER(BK312),BK316+SUM(BK317:BK320),"")</f>
        <v>14622</v>
      </c>
      <c r="BL321" s="275">
        <f>IF(ISNUMBER(BL312),BL316+SUM(BL317:BL320),"")</f>
        <v>14622</v>
      </c>
      <c r="BM321" s="275">
        <f>IF(ISNUMBER(BM312),BM316+SUM(BM317:BM320),"")</f>
        <v>15011</v>
      </c>
      <c r="BN321" s="275">
        <f>IF(ISNUMBER(BN312),BN316+SUM(BN317:BN320),"")</f>
        <v>15013</v>
      </c>
      <c r="BO321" s="275">
        <f>IF(ISNUMBER(BO312),BO316+SUM(BO317:BO320),"")</f>
        <v>15769</v>
      </c>
      <c r="BP321" s="275">
        <f>IF(ISNUMBER(BP312),BP316+SUM(BP317:BP320),"")</f>
        <v>15505</v>
      </c>
      <c r="BQ321" s="275">
        <f>IF(ISNUMBER(BQ312),BQ316+SUM(BQ317:BQ320),"")</f>
        <v>15505</v>
      </c>
      <c r="BR321" s="275">
        <f>IF(ISNUMBER(BR312),BR316+SUM(BR317:BR320),"")</f>
        <v>15096</v>
      </c>
      <c r="BS321" s="275">
        <f>IF(ISNUMBER(BS312),BS316+SUM(BS317:BS320),"")</f>
        <v>15487</v>
      </c>
      <c r="BT321" s="275">
        <f>IF(ISNUMBER(BT312),BT316+SUM(BT317:BT320),"")</f>
        <v>15415</v>
      </c>
      <c r="BU321" s="275">
        <f>IF(ISNUMBER(BU312),BU316+SUM(BU317:BU320),"")</f>
        <v>15830</v>
      </c>
      <c r="BV321" s="275">
        <f>IF(ISNUMBER(BV312),BV316+SUM(BV317:BV320),"")</f>
        <v>15830</v>
      </c>
      <c r="BW321" s="275">
        <f>IF(ISNUMBER(BW312),BW316+SUM(BW317:BW320),"")</f>
        <v>14732</v>
      </c>
      <c r="BX321" s="275">
        <f>IF(ISNUMBER(BX312),BX316+SUM(BX317:BX320),"")</f>
        <v>14675</v>
      </c>
      <c r="BY321" s="56" t="n"/>
      <c r="BZ321" s="56" t="n"/>
      <c r="CA321" s="275">
        <f>IF(ISNUMBER(CA312),CA316+SUM(CA317:CA320),"")</f>
        <v>15405.8880964894</v>
      </c>
      <c r="CB321" s="275">
        <f>IF(ISNUMBER(CB312),CB316+SUM(CB317:CB320),"")</f>
        <v>15366.7253690261</v>
      </c>
      <c r="CC321" s="275">
        <f>IF(ISNUMBER(CC312),CC316+SUM(CC317:CC320),"")</f>
        <v>15698.7686649652</v>
      </c>
      <c r="CD321" s="275">
        <f>IF(ISNUMBER(CD312),CD316+SUM(CD317:CD320),"")</f>
        <v>16039.9747817595</v>
      </c>
      <c r="CE321" s="275">
        <f>IF(ISNUMBER(CE312),CE316+SUM(CE317:CE320),"")</f>
        <v>16402.7360992285</v>
      </c>
      <c r="CF321" s="153" t="n"/>
      <c r="CH321" s="20">
        <f>IFERROR((CE321/BV321)^(1/5)-1,"n/m")</f>
        <v>0.00713358008983001</v>
      </c>
      <c r="CI321" s="20">
        <f>IFERROR((BV321/AW321)^(1/5)-1,"n/m")</f>
        <v>0.0499021523825938</v>
      </c>
      <c r="CJ321" s="20">
        <f>IFERROR((BV321/X321)^(1/10)-1,"n/m")</f>
        <v>0.119417946138784</v>
      </c>
      <c r="CK321" s="20">
        <f>IFERROR((BV321/C321)^(1/19)-1,"n/m")</f>
        <v>0.132133623210297</v>
      </c>
    </row>
    <row r="322" ht="15" customHeight="1" s="251">
      <c r="B322" s="25" t="inlineStr">
        <is>
          <t>LIABILITIES AND SHAREHOLDERS' EQUITY</t>
        </is>
      </c>
      <c r="CF322" s="153" t="n"/>
    </row>
    <row r="323" ht="15" customHeight="1" s="251">
      <c r="B323" s="25" t="inlineStr">
        <is>
          <t xml:space="preserve">  Accounts payable and accrued liabilities</t>
        </is>
      </c>
      <c r="C323" s="253" t="n">
        <v>339.7</v>
      </c>
      <c r="D323" s="253" t="n">
        <v>371.3</v>
      </c>
      <c r="E323" s="253" t="n">
        <v>240.4</v>
      </c>
      <c r="F323" s="253" t="n">
        <v>317.2</v>
      </c>
      <c r="G323" s="253" t="n">
        <v>414.4</v>
      </c>
      <c r="H323" s="253" t="n">
        <v>452.3</v>
      </c>
      <c r="I323" s="253" t="n">
        <v>555.3</v>
      </c>
      <c r="J323" s="253" t="n">
        <v>355.1</v>
      </c>
      <c r="K323" s="253" t="n">
        <v>312.8</v>
      </c>
      <c r="L323" s="253" t="n">
        <v>337.9</v>
      </c>
      <c r="M323" s="253" t="n">
        <v>538.9</v>
      </c>
      <c r="N323" s="253" t="n">
        <v>538.9</v>
      </c>
      <c r="O323" s="253" t="n">
        <v>312.4</v>
      </c>
      <c r="P323" s="253" t="n">
        <v>430.8</v>
      </c>
      <c r="Q323" s="253" t="n">
        <v>420.2</v>
      </c>
      <c r="R323" s="253" t="n">
        <v>557.6</v>
      </c>
      <c r="S323" s="253" t="n">
        <v>557.6</v>
      </c>
      <c r="T323" s="253" t="n">
        <v>379.2</v>
      </c>
      <c r="U323" s="253" t="n">
        <v>422.1</v>
      </c>
      <c r="V323" s="253" t="n">
        <v>409.2</v>
      </c>
      <c r="W323" s="253" t="n">
        <v>566.6</v>
      </c>
      <c r="X323" s="253" t="n">
        <v>566.6</v>
      </c>
      <c r="Y323" s="253" t="n">
        <v>391.5</v>
      </c>
      <c r="Z323" s="253" t="n">
        <v>453.8</v>
      </c>
      <c r="AA323" s="253" t="n">
        <v>450.3</v>
      </c>
      <c r="AB323" s="253" t="n">
        <v>1444.3</v>
      </c>
      <c r="AC323" s="253" t="n">
        <v>1444.3</v>
      </c>
      <c r="AD323" s="253" t="n">
        <v>392.6</v>
      </c>
      <c r="AE323" s="253" t="n">
        <v>490.4</v>
      </c>
      <c r="AF323" s="253" t="n">
        <v>577.5</v>
      </c>
      <c r="AG323" s="253" t="n">
        <v>750.3</v>
      </c>
      <c r="AH323" s="253" t="n">
        <v>750.3</v>
      </c>
      <c r="AI323" s="253" t="n">
        <v>532.6</v>
      </c>
      <c r="AJ323" s="253" t="n">
        <v>593.6</v>
      </c>
      <c r="AK323" s="253" t="n">
        <v>581.6</v>
      </c>
      <c r="AL323" s="253" t="n">
        <v>695.2</v>
      </c>
      <c r="AM323" s="253" t="n">
        <v>695.2</v>
      </c>
      <c r="AN323" s="253" t="n">
        <v>537.1</v>
      </c>
      <c r="AO323" s="253" t="n">
        <v>588.7</v>
      </c>
      <c r="AP323" s="253" t="n">
        <v>607.2</v>
      </c>
      <c r="AQ323" s="253" t="n">
        <v>773</v>
      </c>
      <c r="AR323" s="253" t="n">
        <v>773</v>
      </c>
      <c r="AS323" s="253" t="n">
        <v>664</v>
      </c>
      <c r="AT323" s="253" t="n">
        <v>795</v>
      </c>
      <c r="AU323" s="253" t="n">
        <v>712</v>
      </c>
      <c r="AV323" s="253" t="n">
        <v>1039</v>
      </c>
      <c r="AW323" s="253" t="n">
        <v>1039</v>
      </c>
      <c r="AX323" s="253" t="n">
        <v>828</v>
      </c>
      <c r="AY323" s="253" t="n">
        <v>816</v>
      </c>
      <c r="AZ323" s="253" t="n">
        <v>1084</v>
      </c>
      <c r="BA323" s="253" t="n">
        <v>1142</v>
      </c>
      <c r="BB323" s="253" t="n">
        <v>1142</v>
      </c>
      <c r="BC323" s="253" t="n">
        <v>856</v>
      </c>
      <c r="BD323" s="253" t="n">
        <v>866</v>
      </c>
      <c r="BE323" s="253" t="n">
        <v>807</v>
      </c>
      <c r="BF323" s="253" t="n">
        <v>1011</v>
      </c>
      <c r="BG323" s="253" t="n">
        <v>1011</v>
      </c>
      <c r="BH323" s="253" t="n">
        <v>805</v>
      </c>
      <c r="BI323" s="253" t="n">
        <v>877</v>
      </c>
      <c r="BJ323" s="253" t="n">
        <v>938</v>
      </c>
      <c r="BK323" s="253" t="n">
        <v>1076</v>
      </c>
      <c r="BL323" s="253" t="n">
        <v>1076</v>
      </c>
      <c r="BM323" s="253" t="n">
        <v>976</v>
      </c>
      <c r="BN323" s="253" t="n">
        <v>1000</v>
      </c>
      <c r="BO323" s="253" t="n">
        <v>1133</v>
      </c>
      <c r="BP323" s="253" t="n">
        <v>1344</v>
      </c>
      <c r="BQ323" s="253" t="n">
        <v>1344</v>
      </c>
      <c r="BR323" s="253" t="n">
        <v>1049</v>
      </c>
      <c r="BS323" s="253" t="n">
        <v>968</v>
      </c>
      <c r="BT323" s="253" t="n">
        <v>1032</v>
      </c>
      <c r="BU323" s="253" t="n">
        <v>1304</v>
      </c>
      <c r="BV323" s="253" t="n">
        <v>1304</v>
      </c>
      <c r="BW323" s="253" t="n">
        <v>1153</v>
      </c>
      <c r="BX323" s="253" t="n">
        <v>1086</v>
      </c>
      <c r="BY323" s="35" t="n"/>
      <c r="BZ323" s="35" t="n"/>
      <c r="CA323" s="254">
        <f>CA343*CA346</f>
        <v>1390.44243</v>
      </c>
      <c r="CB323" s="254">
        <f>CB343*CB346</f>
        <v>1490.65471984621</v>
      </c>
      <c r="CC323" s="254">
        <f>CC343*CC346</f>
        <v>1591.84931945199</v>
      </c>
      <c r="CD323" s="254">
        <f>CD343*CD346</f>
        <v>1694.60232815577</v>
      </c>
      <c r="CE323" s="254">
        <f>CE343*CE346</f>
        <v>1796.42111146522</v>
      </c>
      <c r="CF323" s="19" t="n"/>
    </row>
    <row r="324" ht="15" customHeight="1" s="251">
      <c r="B324" s="25" t="inlineStr">
        <is>
          <t xml:space="preserve">  Commercial paper, short-term borrowings &amp; current portion of long-term debt</t>
        </is>
      </c>
      <c r="C324" s="253" t="n">
        <v>0</v>
      </c>
      <c r="D324" s="253" t="n">
        <v>551.9</v>
      </c>
      <c r="E324" s="253" t="n">
        <v>717.7</v>
      </c>
      <c r="F324" s="253" t="n">
        <v>447.5</v>
      </c>
      <c r="G324" s="253" t="n">
        <v>11.3</v>
      </c>
      <c r="H324" s="253" t="n">
        <v>71.3</v>
      </c>
      <c r="I324" s="253" t="n">
        <v>63.8</v>
      </c>
      <c r="J324" s="253" t="n">
        <v>31.9</v>
      </c>
      <c r="K324" s="253" t="n">
        <v>0</v>
      </c>
      <c r="L324" s="253" t="n">
        <v>0</v>
      </c>
      <c r="M324" s="253" t="n">
        <v>0</v>
      </c>
      <c r="N324" s="253" t="n">
        <v>0</v>
      </c>
      <c r="O324" s="253" t="n">
        <v>0</v>
      </c>
      <c r="P324" s="253" t="n">
        <v>0</v>
      </c>
      <c r="Q324" s="253" t="n">
        <v>0</v>
      </c>
      <c r="R324" s="253" t="n">
        <v>0</v>
      </c>
      <c r="S324" s="253" t="n">
        <v>0</v>
      </c>
      <c r="T324" s="253" t="n">
        <v>0</v>
      </c>
      <c r="U324" s="253" t="n">
        <v>0</v>
      </c>
      <c r="V324" s="253" t="n">
        <v>0</v>
      </c>
      <c r="W324" s="253" t="n">
        <v>0</v>
      </c>
      <c r="X324" s="253" t="n">
        <v>0</v>
      </c>
      <c r="Y324" s="253" t="n">
        <v>0</v>
      </c>
      <c r="Z324" s="253" t="n">
        <v>0</v>
      </c>
      <c r="AA324" s="253" t="n">
        <v>299.9</v>
      </c>
      <c r="AB324" s="253" t="n">
        <v>300</v>
      </c>
      <c r="AC324" s="253" t="n">
        <v>300</v>
      </c>
      <c r="AD324" s="253" t="n">
        <v>213.8</v>
      </c>
      <c r="AE324" s="253" t="n">
        <v>0</v>
      </c>
      <c r="AF324" s="253" t="n">
        <v>614.1</v>
      </c>
      <c r="AG324" s="253" t="n">
        <v>429.4</v>
      </c>
      <c r="AH324" s="253" t="n">
        <v>429.4</v>
      </c>
      <c r="AI324" s="253" t="n">
        <v>389.6</v>
      </c>
      <c r="AJ324" s="253" t="n">
        <v>389.8</v>
      </c>
      <c r="AK324" s="253" t="n">
        <v>470.5</v>
      </c>
      <c r="AL324" s="253" t="n">
        <v>449.9</v>
      </c>
      <c r="AM324" s="253" t="n">
        <v>449.9</v>
      </c>
      <c r="AN324" s="253" t="n">
        <v>318.8</v>
      </c>
      <c r="AO324" s="253" t="n">
        <v>129.9</v>
      </c>
      <c r="AP324" s="253" t="n">
        <v>501.5</v>
      </c>
      <c r="AQ324" s="253" t="n">
        <v>0</v>
      </c>
      <c r="AR324" s="253" t="n">
        <v>0</v>
      </c>
      <c r="AS324" s="253" t="n">
        <v>485</v>
      </c>
      <c r="AT324" s="253" t="n">
        <v>0</v>
      </c>
      <c r="AU324" s="253" t="n">
        <v>0</v>
      </c>
      <c r="AV324" s="253" t="n">
        <v>0</v>
      </c>
      <c r="AW324" s="253" t="n">
        <v>0</v>
      </c>
      <c r="AX324" s="253" t="n">
        <v>0</v>
      </c>
      <c r="AY324" s="253" t="n">
        <v>0</v>
      </c>
      <c r="AZ324" s="253" t="n">
        <v>507</v>
      </c>
      <c r="BA324" s="253" t="n">
        <v>0</v>
      </c>
      <c r="BB324" s="253" t="n">
        <v>0</v>
      </c>
      <c r="BC324" s="253" t="n">
        <v>501</v>
      </c>
      <c r="BD324" s="253" t="n">
        <v>499</v>
      </c>
      <c r="BE324" s="253" t="n">
        <v>0</v>
      </c>
      <c r="BF324" s="253" t="n">
        <v>0</v>
      </c>
      <c r="BG324" s="253" t="n">
        <v>0</v>
      </c>
      <c r="BH324" s="253" t="n">
        <v>499</v>
      </c>
      <c r="BI324" s="253" t="n">
        <v>300</v>
      </c>
      <c r="BJ324" s="253" t="n">
        <v>0</v>
      </c>
      <c r="BK324" s="253" t="n">
        <v>0</v>
      </c>
      <c r="BL324" s="253" t="n">
        <v>0</v>
      </c>
      <c r="BM324" s="253" t="n">
        <v>685</v>
      </c>
      <c r="BN324" s="253" t="n">
        <v>688</v>
      </c>
      <c r="BO324" s="253" t="n">
        <v>693</v>
      </c>
      <c r="BP324" s="253" t="n">
        <v>697</v>
      </c>
      <c r="BQ324" s="253" t="n">
        <v>697</v>
      </c>
      <c r="BR324" s="253" t="n">
        <v>0</v>
      </c>
      <c r="BS324" s="253" t="n">
        <v>0</v>
      </c>
      <c r="BT324" s="253" t="n">
        <v>0</v>
      </c>
      <c r="BU324" s="253" t="n">
        <v>0</v>
      </c>
      <c r="BV324" s="253" t="n">
        <v>0</v>
      </c>
      <c r="BW324" s="253" t="n">
        <v>576</v>
      </c>
      <c r="BX324" s="253" t="n">
        <v>571</v>
      </c>
      <c r="BY324" s="35" t="n"/>
      <c r="BZ324" s="35" t="n"/>
      <c r="CA324" s="254">
        <f>CA375+MIN(CA369,CA372)</f>
        <v>571</v>
      </c>
      <c r="CB324" s="254">
        <f>CB375+MIN(CB369,CB372)</f>
        <v>500</v>
      </c>
      <c r="CC324" s="254">
        <f>CC375+MIN(CC369,CC372)</f>
        <v>400</v>
      </c>
      <c r="CD324" s="254">
        <f>CD375+MIN(CD369,CD372)</f>
        <v>857</v>
      </c>
      <c r="CE324" s="254">
        <f>CE375+MIN(CE369,CE372)</f>
        <v>0</v>
      </c>
      <c r="CF324" s="19" t="n"/>
    </row>
    <row r="325" ht="15" customHeight="1" s="251">
      <c r="B325" s="25" t="inlineStr">
        <is>
          <t xml:space="preserve">  Deferred revenue (current)</t>
        </is>
      </c>
      <c r="C325" s="253" t="n">
        <v>360.3</v>
      </c>
      <c r="D325" s="253" t="n">
        <v>426</v>
      </c>
      <c r="E325" s="253" t="n">
        <v>435</v>
      </c>
      <c r="F325" s="253" t="n">
        <v>471.3</v>
      </c>
      <c r="G325" s="253" t="n">
        <v>508.1</v>
      </c>
      <c r="H325" s="253" t="n">
        <v>520.4</v>
      </c>
      <c r="I325" s="253" t="n">
        <v>545.8</v>
      </c>
      <c r="J325" s="253" t="n">
        <v>626.4</v>
      </c>
      <c r="K325" s="253" t="n">
        <v>584.3</v>
      </c>
      <c r="L325" s="253" t="n">
        <v>559.3</v>
      </c>
      <c r="M325" s="253" t="n">
        <v>598.4</v>
      </c>
      <c r="N325" s="253" t="n">
        <v>598.4</v>
      </c>
      <c r="O325" s="253" t="n">
        <v>712.5</v>
      </c>
      <c r="P325" s="253" t="n">
        <v>661</v>
      </c>
      <c r="Q325" s="253" t="n">
        <v>613.2</v>
      </c>
      <c r="R325" s="253" t="n">
        <v>624.6</v>
      </c>
      <c r="S325" s="253" t="n">
        <v>624.6</v>
      </c>
      <c r="T325" s="253" t="n">
        <v>737.7</v>
      </c>
      <c r="U325" s="253" t="n">
        <v>685.1</v>
      </c>
      <c r="V325" s="253" t="n">
        <v>625.5</v>
      </c>
      <c r="W325" s="253" t="n">
        <v>635.2</v>
      </c>
      <c r="X325" s="253" t="n">
        <v>635.2</v>
      </c>
      <c r="Y325" s="253" t="n">
        <v>760.4</v>
      </c>
      <c r="Z325" s="253" t="n">
        <v>692.6</v>
      </c>
      <c r="AA325" s="253" t="n">
        <v>652.3</v>
      </c>
      <c r="AB325" s="253" t="n">
        <v>683.9</v>
      </c>
      <c r="AC325" s="253" t="n">
        <v>683.9</v>
      </c>
      <c r="AD325" s="253" t="n">
        <v>817.4</v>
      </c>
      <c r="AE325" s="253" t="n">
        <v>746.8</v>
      </c>
      <c r="AF325" s="253" t="n">
        <v>791.1</v>
      </c>
      <c r="AG325" s="253" t="n">
        <v>883.6</v>
      </c>
      <c r="AH325" s="253" t="n">
        <v>883.6</v>
      </c>
      <c r="AI325" s="253" t="n">
        <v>998.7</v>
      </c>
      <c r="AJ325" s="253" t="n">
        <v>860.5</v>
      </c>
      <c r="AK325" s="253" t="n">
        <v>771.5</v>
      </c>
      <c r="AL325" s="253" t="n">
        <v>953.4</v>
      </c>
      <c r="AM325" s="253" t="n">
        <v>953.4</v>
      </c>
      <c r="AN325" s="253" t="n">
        <v>1062.3</v>
      </c>
      <c r="AO325" s="253" t="n">
        <v>952.3</v>
      </c>
      <c r="AP325" s="253" t="n">
        <v>855.7</v>
      </c>
      <c r="AQ325" s="253" t="n">
        <v>1050</v>
      </c>
      <c r="AR325" s="253" t="n">
        <v>1050</v>
      </c>
      <c r="AS325" s="253" t="n">
        <v>1113</v>
      </c>
      <c r="AT325" s="253" t="n">
        <v>1001</v>
      </c>
      <c r="AU325" s="253" t="n">
        <v>918</v>
      </c>
      <c r="AV325" s="253" t="n">
        <v>1089</v>
      </c>
      <c r="AW325" s="253" t="n">
        <v>1089</v>
      </c>
      <c r="AX325" s="253" t="n">
        <v>1232</v>
      </c>
      <c r="AY325" s="253" t="n">
        <v>1142</v>
      </c>
      <c r="AZ325" s="253" t="n">
        <v>1099</v>
      </c>
      <c r="BA325" s="253" t="n">
        <v>1249</v>
      </c>
      <c r="BB325" s="253" t="n">
        <v>1249</v>
      </c>
      <c r="BC325" s="253" t="n">
        <v>1525</v>
      </c>
      <c r="BD325" s="253" t="n">
        <v>1285</v>
      </c>
      <c r="BE325" s="253" t="n">
        <v>1155</v>
      </c>
      <c r="BF325" s="253" t="n">
        <v>1258</v>
      </c>
      <c r="BG325" s="253" t="n">
        <v>1258</v>
      </c>
      <c r="BH325" s="253" t="n">
        <v>1578</v>
      </c>
      <c r="BI325" s="253" t="n">
        <v>1385</v>
      </c>
      <c r="BJ325" s="253" t="n">
        <v>1226</v>
      </c>
      <c r="BK325" s="253" t="n">
        <v>1316</v>
      </c>
      <c r="BL325" s="253" t="n">
        <v>1316</v>
      </c>
      <c r="BM325" s="253" t="n">
        <v>1612</v>
      </c>
      <c r="BN325" s="253" t="n">
        <v>1423</v>
      </c>
      <c r="BO325" s="253" t="n">
        <v>1300</v>
      </c>
      <c r="BP325" s="253" t="n">
        <v>1454</v>
      </c>
      <c r="BQ325" s="253" t="n">
        <v>1454</v>
      </c>
      <c r="BR325" s="253" t="n">
        <v>1765</v>
      </c>
      <c r="BS325" s="253" t="n">
        <v>1578</v>
      </c>
      <c r="BT325" s="253" t="n">
        <v>1369</v>
      </c>
      <c r="BU325" s="253" t="n">
        <v>1582</v>
      </c>
      <c r="BV325" s="253" t="n">
        <v>1582</v>
      </c>
      <c r="BW325" s="253" t="n">
        <v>1820</v>
      </c>
      <c r="BX325" s="253" t="n">
        <v>1595</v>
      </c>
      <c r="BY325" s="35" t="n"/>
      <c r="BZ325" s="35" t="n"/>
      <c r="CA325" s="254">
        <f>CA343*CA345</f>
        <v>1686.63135</v>
      </c>
      <c r="CB325" s="254">
        <f>CB343*CB345</f>
        <v>1808.19063649984</v>
      </c>
      <c r="CC325" s="254">
        <f>CC343*CC345</f>
        <v>1930.94148217549</v>
      </c>
      <c r="CD325" s="254">
        <f>CD343*CD345</f>
        <v>2055.58270575108</v>
      </c>
      <c r="CE325" s="254">
        <f>CE343*CE345</f>
        <v>2179.09069733946</v>
      </c>
      <c r="CF325" s="19" t="n"/>
    </row>
    <row r="326" ht="15" customHeight="1" s="251">
      <c r="B326" s="25" t="inlineStr">
        <is>
          <t xml:space="preserve">  Other current liabilities (current operating lease liabilities, other)</t>
        </is>
      </c>
      <c r="C326" s="253" t="n">
        <v>0</v>
      </c>
      <c r="D326" s="253" t="n">
        <v>0</v>
      </c>
      <c r="E326" s="253" t="n">
        <v>0</v>
      </c>
      <c r="F326" s="253" t="n">
        <v>0</v>
      </c>
      <c r="G326" s="253" t="n">
        <v>0</v>
      </c>
      <c r="H326" s="253" t="n">
        <v>90</v>
      </c>
      <c r="I326" s="253" t="n">
        <v>0</v>
      </c>
      <c r="J326" s="253" t="n">
        <v>0</v>
      </c>
      <c r="K326" s="253" t="n">
        <v>0</v>
      </c>
      <c r="L326" s="253" t="n">
        <v>0</v>
      </c>
      <c r="M326" s="253" t="n">
        <v>4</v>
      </c>
      <c r="N326" s="253" t="n">
        <v>4</v>
      </c>
      <c r="O326" s="253" t="n">
        <v>2.4</v>
      </c>
      <c r="P326" s="253" t="n">
        <v>1.6</v>
      </c>
      <c r="Q326" s="253" t="n">
        <v>8.300000000000001</v>
      </c>
      <c r="R326" s="253" t="n">
        <v>17.5</v>
      </c>
      <c r="S326" s="253" t="n">
        <v>17.5</v>
      </c>
      <c r="T326" s="253" t="n">
        <v>21.3</v>
      </c>
      <c r="U326" s="253" t="n">
        <v>17.6</v>
      </c>
      <c r="V326" s="253" t="n">
        <v>15.5</v>
      </c>
      <c r="W326" s="253" t="n">
        <v>16.7</v>
      </c>
      <c r="X326" s="253" t="n">
        <v>16.7</v>
      </c>
      <c r="Y326" s="253" t="n">
        <v>0</v>
      </c>
      <c r="Z326" s="253" t="n">
        <v>0</v>
      </c>
      <c r="AA326" s="253" t="n">
        <v>0</v>
      </c>
      <c r="AB326" s="253" t="n">
        <v>0</v>
      </c>
      <c r="AC326" s="253" t="n">
        <v>0</v>
      </c>
      <c r="AD326" s="253" t="n">
        <v>0</v>
      </c>
      <c r="AE326" s="253" t="n">
        <v>0</v>
      </c>
      <c r="AF326" s="253" t="n">
        <v>0</v>
      </c>
      <c r="AG326" s="253" t="n">
        <v>0</v>
      </c>
      <c r="AH326" s="253" t="n">
        <v>0</v>
      </c>
      <c r="AI326" s="253" t="n">
        <v>0</v>
      </c>
      <c r="AJ326" s="253" t="n">
        <v>0</v>
      </c>
      <c r="AK326" s="253" t="n">
        <v>0</v>
      </c>
      <c r="AL326" s="253" t="n">
        <v>0</v>
      </c>
      <c r="AM326" s="253" t="n">
        <v>0</v>
      </c>
      <c r="AN326" s="253" t="n">
        <v>87.40000000000001</v>
      </c>
      <c r="AO326" s="253" t="n">
        <v>169</v>
      </c>
      <c r="AP326" s="253" t="n">
        <v>173.6</v>
      </c>
      <c r="AQ326" s="253" t="n">
        <v>89</v>
      </c>
      <c r="AR326" s="253" t="n">
        <v>89</v>
      </c>
      <c r="AS326" s="253" t="n">
        <v>89</v>
      </c>
      <c r="AT326" s="253" t="n">
        <v>90</v>
      </c>
      <c r="AU326" s="253" t="n">
        <v>91</v>
      </c>
      <c r="AV326" s="253" t="n">
        <v>94</v>
      </c>
      <c r="AW326" s="253" t="n">
        <v>94</v>
      </c>
      <c r="AX326" s="253" t="n">
        <v>94</v>
      </c>
      <c r="AY326" s="253" t="n">
        <v>92</v>
      </c>
      <c r="AZ326" s="253" t="n">
        <v>103</v>
      </c>
      <c r="BA326" s="253" t="n">
        <v>105</v>
      </c>
      <c r="BB326" s="253" t="n">
        <v>105</v>
      </c>
      <c r="BC326" s="253" t="n">
        <v>106</v>
      </c>
      <c r="BD326" s="253" t="n">
        <v>105</v>
      </c>
      <c r="BE326" s="253" t="n">
        <v>104</v>
      </c>
      <c r="BF326" s="253" t="n">
        <v>106</v>
      </c>
      <c r="BG326" s="253" t="n">
        <v>106</v>
      </c>
      <c r="BH326" s="253" t="n">
        <v>106</v>
      </c>
      <c r="BI326" s="253" t="n">
        <v>105</v>
      </c>
      <c r="BJ326" s="253" t="n">
        <v>105</v>
      </c>
      <c r="BK326" s="253" t="n">
        <v>108</v>
      </c>
      <c r="BL326" s="253" t="n">
        <v>108</v>
      </c>
      <c r="BM326" s="253" t="n">
        <v>109</v>
      </c>
      <c r="BN326" s="253" t="n">
        <v>108</v>
      </c>
      <c r="BO326" s="253" t="n">
        <v>109</v>
      </c>
      <c r="BP326" s="253" t="n">
        <v>102</v>
      </c>
      <c r="BQ326" s="253" t="n">
        <v>102</v>
      </c>
      <c r="BR326" s="253" t="n">
        <v>103</v>
      </c>
      <c r="BS326" s="253" t="n">
        <v>101</v>
      </c>
      <c r="BT326" s="253" t="n">
        <v>98</v>
      </c>
      <c r="BU326" s="253" t="n">
        <v>95</v>
      </c>
      <c r="BV326" s="253" t="n">
        <v>95</v>
      </c>
      <c r="BW326" s="253" t="n">
        <v>94</v>
      </c>
      <c r="BX326" s="253" t="n">
        <v>93</v>
      </c>
      <c r="BY326" s="35" t="n"/>
      <c r="BZ326" s="35" t="n"/>
      <c r="CA326" s="254">
        <f>BX326</f>
        <v>93</v>
      </c>
      <c r="CB326" s="254">
        <f>CA326</f>
        <v>93</v>
      </c>
      <c r="CC326" s="254">
        <f>CB326</f>
        <v>93</v>
      </c>
      <c r="CD326" s="254">
        <f>CC326</f>
        <v>93</v>
      </c>
      <c r="CE326" s="254">
        <f>CD326</f>
        <v>93</v>
      </c>
      <c r="CF326" s="19" t="n"/>
    </row>
    <row r="327" ht="15" customHeight="1" s="251">
      <c r="B327" s="16" t="inlineStr">
        <is>
          <t>Total current liabilities</t>
        </is>
      </c>
      <c r="C327" s="262">
        <f>IF(ISNUMBER(C323),SUM(C323:C326),"")</f>
        <v>700</v>
      </c>
      <c r="D327" s="262">
        <f>IF(ISNUMBER(D323),SUM(D323:D326),"")</f>
        <v>1349.2</v>
      </c>
      <c r="E327" s="262">
        <f>IF(ISNUMBER(E323),SUM(E323:E326),"")</f>
        <v>1393.1</v>
      </c>
      <c r="F327" s="262">
        <f>IF(ISNUMBER(F323),SUM(F323:F326),"")</f>
        <v>1236</v>
      </c>
      <c r="G327" s="262">
        <f>IF(ISNUMBER(G323),SUM(G323:G326),"")</f>
        <v>933.8</v>
      </c>
      <c r="H327" s="262">
        <f>IF(ISNUMBER(H323),SUM(H323:H326),"")</f>
        <v>1134</v>
      </c>
      <c r="I327" s="262">
        <f>IF(ISNUMBER(I323),SUM(I323:I326),"")</f>
        <v>1164.9</v>
      </c>
      <c r="J327" s="262">
        <f>IF(ISNUMBER(J323),SUM(J323:J326),"")</f>
        <v>1013.4</v>
      </c>
      <c r="K327" s="262">
        <f>IF(ISNUMBER(K323),SUM(K323:K326),"")</f>
        <v>897.1</v>
      </c>
      <c r="L327" s="262">
        <f>IF(ISNUMBER(L323),SUM(L323:L326),"")</f>
        <v>897.2</v>
      </c>
      <c r="M327" s="262">
        <f>IF(ISNUMBER(M323),SUM(M323:M326),"")</f>
        <v>1141.3</v>
      </c>
      <c r="N327" s="262">
        <f>IF(ISNUMBER(N323),SUM(N323:N326),"")</f>
        <v>1141.3</v>
      </c>
      <c r="O327" s="262">
        <f>IF(ISNUMBER(O323),SUM(O323:O326),"")</f>
        <v>1027.3</v>
      </c>
      <c r="P327" s="262">
        <f>IF(ISNUMBER(P323),SUM(P323:P326),"")</f>
        <v>1093.4</v>
      </c>
      <c r="Q327" s="262">
        <f>IF(ISNUMBER(Q323),SUM(Q323:Q326),"")</f>
        <v>1041.7</v>
      </c>
      <c r="R327" s="262">
        <f>IF(ISNUMBER(R323),SUM(R323:R326),"")</f>
        <v>1199.7</v>
      </c>
      <c r="S327" s="262">
        <f>IF(ISNUMBER(S323),SUM(S323:S326),"")</f>
        <v>1199.7</v>
      </c>
      <c r="T327" s="262">
        <f>IF(ISNUMBER(T323),SUM(T323:T326),"")</f>
        <v>1138.2</v>
      </c>
      <c r="U327" s="262">
        <f>IF(ISNUMBER(U323),SUM(U323:U326),"")</f>
        <v>1124.8</v>
      </c>
      <c r="V327" s="262">
        <f>IF(ISNUMBER(V323),SUM(V323:V326),"")</f>
        <v>1050.2</v>
      </c>
      <c r="W327" s="262">
        <f>IF(ISNUMBER(W323),SUM(W323:W326),"")</f>
        <v>1218.5</v>
      </c>
      <c r="X327" s="262">
        <f>IF(ISNUMBER(X323),SUM(X323:X326),"")</f>
        <v>1218.5</v>
      </c>
      <c r="Y327" s="262">
        <f>IF(ISNUMBER(Y323),SUM(Y323:Y326),"")</f>
        <v>1151.9</v>
      </c>
      <c r="Z327" s="262">
        <f>IF(ISNUMBER(Z323),SUM(Z323:Z326),"")</f>
        <v>1146.4</v>
      </c>
      <c r="AA327" s="262">
        <f>IF(ISNUMBER(AA323),SUM(AA323:AA326),"")</f>
        <v>1402.5</v>
      </c>
      <c r="AB327" s="262">
        <f>IF(ISNUMBER(AB323),SUM(AB323:AB326),"")</f>
        <v>2428.2</v>
      </c>
      <c r="AC327" s="262">
        <f>IF(ISNUMBER(AC323),SUM(AC323:AC326),"")</f>
        <v>2428.2</v>
      </c>
      <c r="AD327" s="262">
        <f>IF(ISNUMBER(AD323),SUM(AD323:AD326),"")</f>
        <v>1423.8</v>
      </c>
      <c r="AE327" s="262">
        <f>IF(ISNUMBER(AE323),SUM(AE323:AE326),"")</f>
        <v>1237.2</v>
      </c>
      <c r="AF327" s="262">
        <f>IF(ISNUMBER(AF323),SUM(AF323:AF326),"")</f>
        <v>1982.7</v>
      </c>
      <c r="AG327" s="262">
        <f>IF(ISNUMBER(AG323),SUM(AG323:AG326),"")</f>
        <v>2063.3</v>
      </c>
      <c r="AH327" s="262">
        <f>IF(ISNUMBER(AH323),SUM(AH323:AH326),"")</f>
        <v>2063.3</v>
      </c>
      <c r="AI327" s="262">
        <f>IF(ISNUMBER(AI323),SUM(AI323:AI326),"")</f>
        <v>1920.9</v>
      </c>
      <c r="AJ327" s="262">
        <f>IF(ISNUMBER(AJ323),SUM(AJ323:AJ326),"")</f>
        <v>1843.9</v>
      </c>
      <c r="AK327" s="262">
        <f>IF(ISNUMBER(AK323),SUM(AK323:AK326),"")</f>
        <v>1823.6</v>
      </c>
      <c r="AL327" s="262">
        <f>IF(ISNUMBER(AL323),SUM(AL323:AL326),"")</f>
        <v>2098.5</v>
      </c>
      <c r="AM327" s="262">
        <f>IF(ISNUMBER(AM323),SUM(AM323:AM326),"")</f>
        <v>2098.5</v>
      </c>
      <c r="AN327" s="262">
        <f>IF(ISNUMBER(AN323),SUM(AN323:AN326),"")</f>
        <v>2005.6</v>
      </c>
      <c r="AO327" s="262">
        <f>IF(ISNUMBER(AO323),SUM(AO323:AO326),"")</f>
        <v>1839.9</v>
      </c>
      <c r="AP327" s="262">
        <f>IF(ISNUMBER(AP323),SUM(AP323:AP326),"")</f>
        <v>2138</v>
      </c>
      <c r="AQ327" s="262">
        <f>IF(ISNUMBER(AQ323),SUM(AQ323:AQ326),"")</f>
        <v>1912</v>
      </c>
      <c r="AR327" s="262">
        <f>IF(ISNUMBER(AR323),SUM(AR323:AR326),"")</f>
        <v>1912</v>
      </c>
      <c r="AS327" s="262">
        <f>IF(ISNUMBER(AS323),SUM(AS323:AS326),"")</f>
        <v>2351</v>
      </c>
      <c r="AT327" s="262">
        <f>IF(ISNUMBER(AT323),SUM(AT323:AT326),"")</f>
        <v>1886</v>
      </c>
      <c r="AU327" s="262">
        <f>IF(ISNUMBER(AU323),SUM(AU323:AU326),"")</f>
        <v>1721</v>
      </c>
      <c r="AV327" s="262">
        <f>IF(ISNUMBER(AV323),SUM(AV323:AV326),"")</f>
        <v>2222</v>
      </c>
      <c r="AW327" s="262">
        <f>IF(ISNUMBER(AW323),SUM(AW323:AW326),"")</f>
        <v>2222</v>
      </c>
      <c r="AX327" s="262">
        <f>IF(ISNUMBER(AX323),SUM(AX323:AX326),"")</f>
        <v>2154</v>
      </c>
      <c r="AY327" s="262">
        <f>IF(ISNUMBER(AY323),SUM(AY323:AY326),"")</f>
        <v>2050</v>
      </c>
      <c r="AZ327" s="262">
        <f>IF(ISNUMBER(AZ323),SUM(AZ323:AZ326),"")</f>
        <v>2793</v>
      </c>
      <c r="BA327" s="262">
        <f>IF(ISNUMBER(BA323),SUM(BA323:BA326),"")</f>
        <v>2496</v>
      </c>
      <c r="BB327" s="262">
        <f>IF(ISNUMBER(BB323),SUM(BB323:BB326),"")</f>
        <v>2496</v>
      </c>
      <c r="BC327" s="262">
        <f>IF(ISNUMBER(BC323),SUM(BC323:BC326),"")</f>
        <v>2988</v>
      </c>
      <c r="BD327" s="262">
        <f>IF(ISNUMBER(BD323),SUM(BD323:BD326),"")</f>
        <v>2755</v>
      </c>
      <c r="BE327" s="262">
        <f>IF(ISNUMBER(BE323),SUM(BE323:BE326),"")</f>
        <v>2066</v>
      </c>
      <c r="BF327" s="262">
        <f>IF(ISNUMBER(BF323),SUM(BF323:BF326),"")</f>
        <v>2375</v>
      </c>
      <c r="BG327" s="262">
        <f>IF(ISNUMBER(BG323),SUM(BG323:BG326),"")</f>
        <v>2375</v>
      </c>
      <c r="BH327" s="262">
        <f>IF(ISNUMBER(BH323),SUM(BH323:BH326),"")</f>
        <v>2988</v>
      </c>
      <c r="BI327" s="262">
        <f>IF(ISNUMBER(BI323),SUM(BI323:BI326),"")</f>
        <v>2667</v>
      </c>
      <c r="BJ327" s="262">
        <f>IF(ISNUMBER(BJ323),SUM(BJ323:BJ326),"")</f>
        <v>2269</v>
      </c>
      <c r="BK327" s="262">
        <f>IF(ISNUMBER(BK323),SUM(BK323:BK326),"")</f>
        <v>2500</v>
      </c>
      <c r="BL327" s="262">
        <f>IF(ISNUMBER(BL323),SUM(BL323:BL326),"")</f>
        <v>2500</v>
      </c>
      <c r="BM327" s="262">
        <f>IF(ISNUMBER(BM323),SUM(BM323:BM326),"")</f>
        <v>3382</v>
      </c>
      <c r="BN327" s="262">
        <f>IF(ISNUMBER(BN323),SUM(BN323:BN326),"")</f>
        <v>3219</v>
      </c>
      <c r="BO327" s="262">
        <f>IF(ISNUMBER(BO323),SUM(BO323:BO326),"")</f>
        <v>3235</v>
      </c>
      <c r="BP327" s="262">
        <f>IF(ISNUMBER(BP323),SUM(BP323:BP326),"")</f>
        <v>3597</v>
      </c>
      <c r="BQ327" s="262">
        <f>IF(ISNUMBER(BQ323),SUM(BQ323:BQ326),"")</f>
        <v>3597</v>
      </c>
      <c r="BR327" s="262">
        <f>IF(ISNUMBER(BR323),SUM(BR323:BR326),"")</f>
        <v>2917</v>
      </c>
      <c r="BS327" s="262">
        <f>IF(ISNUMBER(BS323),SUM(BS323:BS326),"")</f>
        <v>2647</v>
      </c>
      <c r="BT327" s="262">
        <f>IF(ISNUMBER(BT323),SUM(BT323:BT326),"")</f>
        <v>2499</v>
      </c>
      <c r="BU327" s="262">
        <f>IF(ISNUMBER(BU323),SUM(BU323:BU326),"")</f>
        <v>2981</v>
      </c>
      <c r="BV327" s="262">
        <f>IF(ISNUMBER(BV323),SUM(BV323:BV326),"")</f>
        <v>2981</v>
      </c>
      <c r="BW327" s="262">
        <f>IF(ISNUMBER(BW323),SUM(BW323:BW326),"")</f>
        <v>3643</v>
      </c>
      <c r="BX327" s="262">
        <f>IF(ISNUMBER(BX323),SUM(BX323:BX326),"")</f>
        <v>3345</v>
      </c>
      <c r="BY327" s="32" t="n"/>
      <c r="BZ327" s="32" t="n"/>
      <c r="CA327" s="263">
        <f>IF(ISNUMBER(CA323),SUM(CA323:CA326),"")</f>
        <v>3741.07378</v>
      </c>
      <c r="CB327" s="263">
        <f>IF(ISNUMBER(CB323),SUM(CB323:CB326),"")</f>
        <v>3891.84535634605</v>
      </c>
      <c r="CC327" s="263">
        <f>IF(ISNUMBER(CC323),SUM(CC323:CC326),"")</f>
        <v>4015.79080162747</v>
      </c>
      <c r="CD327" s="263">
        <f>IF(ISNUMBER(CD323),SUM(CD323:CD326),"")</f>
        <v>4700.18503390685</v>
      </c>
      <c r="CE327" s="263">
        <f>IF(ISNUMBER(CE323),SUM(CE323:CE326),"")</f>
        <v>4068.51180880468</v>
      </c>
      <c r="CF327" s="153" t="n"/>
    </row>
    <row r="328" ht="15" customHeight="1" s="251">
      <c r="B328" s="25" t="inlineStr">
        <is>
          <t xml:space="preserve">  Long-term debt</t>
        </is>
      </c>
      <c r="C328" s="253" t="n">
        <v>300</v>
      </c>
      <c r="D328" s="253" t="n">
        <v>600</v>
      </c>
      <c r="E328" s="253" t="n">
        <v>750</v>
      </c>
      <c r="F328" s="253" t="n">
        <v>746.2</v>
      </c>
      <c r="G328" s="253" t="n">
        <v>1228.3</v>
      </c>
      <c r="H328" s="253" t="n">
        <v>1172.5</v>
      </c>
      <c r="I328" s="253" t="n">
        <v>1607.4</v>
      </c>
      <c r="J328" s="253" t="n">
        <v>1610.2</v>
      </c>
      <c r="K328" s="253" t="n">
        <v>1605</v>
      </c>
      <c r="L328" s="253" t="n">
        <v>2098.6</v>
      </c>
      <c r="M328" s="253" t="n">
        <v>2101.8</v>
      </c>
      <c r="N328" s="253" t="n">
        <v>2101.8</v>
      </c>
      <c r="O328" s="253" t="n">
        <v>2097.5</v>
      </c>
      <c r="P328" s="253" t="n">
        <v>2104.5</v>
      </c>
      <c r="Q328" s="253" t="n">
        <v>2536.5</v>
      </c>
      <c r="R328" s="253" t="n">
        <v>2547.3</v>
      </c>
      <c r="S328" s="253" t="n">
        <v>2547.3</v>
      </c>
      <c r="T328" s="253" t="n">
        <v>3095.1</v>
      </c>
      <c r="U328" s="253" t="n">
        <v>3106.1</v>
      </c>
      <c r="V328" s="253" t="n">
        <v>3124.5</v>
      </c>
      <c r="W328" s="253" t="n">
        <v>3401</v>
      </c>
      <c r="X328" s="253" t="n">
        <v>3401</v>
      </c>
      <c r="Y328" s="253" t="n">
        <v>3428.6</v>
      </c>
      <c r="Z328" s="253" t="n">
        <v>3420.4</v>
      </c>
      <c r="AA328" s="253" t="n">
        <v>3118.2</v>
      </c>
      <c r="AB328" s="253" t="n">
        <v>3063</v>
      </c>
      <c r="AC328" s="253" t="n">
        <v>3063</v>
      </c>
      <c r="AD328" s="253" t="n">
        <v>3861.9</v>
      </c>
      <c r="AE328" s="253" t="n">
        <v>4887.1</v>
      </c>
      <c r="AF328" s="253" t="n">
        <v>5107.3</v>
      </c>
      <c r="AG328" s="253" t="n">
        <v>5111.1</v>
      </c>
      <c r="AH328" s="253" t="n">
        <v>5111.1</v>
      </c>
      <c r="AI328" s="253" t="n">
        <v>5118</v>
      </c>
      <c r="AJ328" s="253" t="n">
        <v>4934.2</v>
      </c>
      <c r="AK328" s="253" t="n">
        <v>4484</v>
      </c>
      <c r="AL328" s="253" t="n">
        <v>5226.1</v>
      </c>
      <c r="AM328" s="253" t="n">
        <v>5226.1</v>
      </c>
      <c r="AN328" s="253" t="n">
        <v>5228.6</v>
      </c>
      <c r="AO328" s="253" t="n">
        <v>5258</v>
      </c>
      <c r="AP328" s="253" t="n">
        <v>4736.5</v>
      </c>
      <c r="AQ328" s="253" t="n">
        <v>5581</v>
      </c>
      <c r="AR328" s="253" t="n">
        <v>5581</v>
      </c>
      <c r="AS328" s="253" t="n">
        <v>6303</v>
      </c>
      <c r="AT328" s="253" t="n">
        <v>6333</v>
      </c>
      <c r="AU328" s="253" t="n">
        <v>6363</v>
      </c>
      <c r="AV328" s="253" t="n">
        <v>6422</v>
      </c>
      <c r="AW328" s="253" t="n">
        <v>6422</v>
      </c>
      <c r="AX328" s="253" t="n">
        <v>6340</v>
      </c>
      <c r="AY328" s="253" t="n">
        <v>6355</v>
      </c>
      <c r="AZ328" s="253" t="n">
        <v>6969</v>
      </c>
      <c r="BA328" s="253" t="n">
        <v>7413</v>
      </c>
      <c r="BB328" s="253" t="n">
        <v>7413</v>
      </c>
      <c r="BC328" s="253" t="n">
        <v>7285</v>
      </c>
      <c r="BD328" s="253" t="n">
        <v>7158</v>
      </c>
      <c r="BE328" s="253" t="n">
        <v>7476</v>
      </c>
      <c r="BF328" s="253" t="n">
        <v>7389</v>
      </c>
      <c r="BG328" s="253" t="n">
        <v>7389</v>
      </c>
      <c r="BH328" s="253" t="n">
        <v>6963</v>
      </c>
      <c r="BI328" s="253" t="n">
        <v>6923</v>
      </c>
      <c r="BJ328" s="253" t="n">
        <v>6851</v>
      </c>
      <c r="BK328" s="253" t="n">
        <v>7001</v>
      </c>
      <c r="BL328" s="253" t="n">
        <v>7001</v>
      </c>
      <c r="BM328" s="253" t="n">
        <v>6259</v>
      </c>
      <c r="BN328" s="253" t="n">
        <v>6253</v>
      </c>
      <c r="BO328" s="253" t="n">
        <v>6876</v>
      </c>
      <c r="BP328" s="253" t="n">
        <v>6731</v>
      </c>
      <c r="BQ328" s="253" t="n">
        <v>6731</v>
      </c>
      <c r="BR328" s="253" t="n">
        <v>6823</v>
      </c>
      <c r="BS328" s="253" t="n">
        <v>6967</v>
      </c>
      <c r="BT328" s="253" t="n">
        <v>6983</v>
      </c>
      <c r="BU328" s="253" t="n">
        <v>6994</v>
      </c>
      <c r="BV328" s="253" t="n">
        <v>6994</v>
      </c>
      <c r="BW328" s="253" t="n">
        <v>6387</v>
      </c>
      <c r="BX328" s="253" t="n">
        <v>6375</v>
      </c>
      <c r="BY328" s="35" t="n"/>
      <c r="BZ328" s="35" t="n"/>
      <c r="CA328" s="254">
        <f>CA368-CA324</f>
        <v>6375</v>
      </c>
      <c r="CB328" s="254">
        <f>CB368-CB324</f>
        <v>6946</v>
      </c>
      <c r="CC328" s="254">
        <f>CC368-CC324</f>
        <v>7546</v>
      </c>
      <c r="CD328" s="254">
        <f>CD368-CD324</f>
        <v>7589</v>
      </c>
      <c r="CE328" s="254">
        <f>CE368-CE324</f>
        <v>8946</v>
      </c>
      <c r="CF328" s="19" t="n"/>
    </row>
    <row r="329" ht="15" customHeight="1" s="251">
      <c r="B329" s="25" t="inlineStr">
        <is>
          <t xml:space="preserve">  Deferred revenue (non-current), deferred tax, uncertain tax positions, lease &amp; other liabilities (derived)</t>
        </is>
      </c>
      <c r="C329" s="253" t="n">
        <v>330.3</v>
      </c>
      <c r="D329" s="253" t="n">
        <v>549</v>
      </c>
      <c r="E329" s="253" t="n">
        <v>624.7</v>
      </c>
      <c r="F329" s="253" t="n">
        <v>617.2</v>
      </c>
      <c r="G329" s="253" t="n">
        <v>676.6</v>
      </c>
      <c r="H329" s="253" t="n">
        <v>728</v>
      </c>
      <c r="I329" s="253" t="n">
        <v>792</v>
      </c>
      <c r="J329" s="253" t="n">
        <v>822.7</v>
      </c>
      <c r="K329" s="253" t="n">
        <v>835.4</v>
      </c>
      <c r="L329" s="253" t="n">
        <v>866.8</v>
      </c>
      <c r="M329" s="253" t="n">
        <v>804.1</v>
      </c>
      <c r="N329" s="253" t="n">
        <v>804.1</v>
      </c>
      <c r="O329" s="253" t="n">
        <v>835.3</v>
      </c>
      <c r="P329" s="253" t="n">
        <v>914.8</v>
      </c>
      <c r="Q329" s="253" t="n">
        <v>935.2</v>
      </c>
      <c r="R329" s="253" t="n">
        <v>879.1</v>
      </c>
      <c r="S329" s="253" t="n">
        <v>879.1</v>
      </c>
      <c r="T329" s="253" t="n">
        <v>888.9</v>
      </c>
      <c r="U329" s="253" t="n">
        <v>872</v>
      </c>
      <c r="V329" s="253" t="n">
        <v>838.4</v>
      </c>
      <c r="W329" s="253" t="n">
        <v>836.9</v>
      </c>
      <c r="X329" s="253" t="n">
        <v>836.9</v>
      </c>
      <c r="Y329" s="253" t="n">
        <v>885.9</v>
      </c>
      <c r="Z329" s="253" t="n">
        <v>847.6</v>
      </c>
      <c r="AA329" s="253" t="n">
        <v>856.5</v>
      </c>
      <c r="AB329" s="253" t="n">
        <v>863.4</v>
      </c>
      <c r="AC329" s="253" t="n">
        <v>863.4</v>
      </c>
      <c r="AD329" s="253" t="n">
        <v>874.4</v>
      </c>
      <c r="AE329" s="253" t="n">
        <v>879.5</v>
      </c>
      <c r="AF329" s="253" t="n">
        <v>1371.7</v>
      </c>
      <c r="AG329" s="253" t="n">
        <v>1534.7</v>
      </c>
      <c r="AH329" s="253" t="n">
        <v>1534.7</v>
      </c>
      <c r="AI329" s="253" t="n">
        <v>1555.1</v>
      </c>
      <c r="AJ329" s="253" t="n">
        <v>1513.4</v>
      </c>
      <c r="AK329" s="253" t="n">
        <v>1525.4</v>
      </c>
      <c r="AL329" s="253" t="n">
        <v>1545.1</v>
      </c>
      <c r="AM329" s="253" t="n">
        <v>1545.1</v>
      </c>
      <c r="AN329" s="253" t="n">
        <v>1958.9</v>
      </c>
      <c r="AO329" s="253" t="n">
        <v>1919</v>
      </c>
      <c r="AP329" s="253" t="n">
        <v>1906</v>
      </c>
      <c r="AQ329" s="253" t="n">
        <v>1941</v>
      </c>
      <c r="AR329" s="253" t="n">
        <v>1941</v>
      </c>
      <c r="AS329" s="253" t="n">
        <v>1853</v>
      </c>
      <c r="AT329" s="253" t="n">
        <v>1847</v>
      </c>
      <c r="AU329" s="253" t="n">
        <v>1900</v>
      </c>
      <c r="AV329" s="253" t="n">
        <v>2002</v>
      </c>
      <c r="AW329" s="253" t="n">
        <v>2002</v>
      </c>
      <c r="AX329" s="253" t="n">
        <v>1781</v>
      </c>
      <c r="AY329" s="253" t="n">
        <v>1767</v>
      </c>
      <c r="AZ329" s="253" t="n">
        <v>2033</v>
      </c>
      <c r="BA329" s="253" t="n">
        <v>1855</v>
      </c>
      <c r="BB329" s="253" t="n">
        <v>1855</v>
      </c>
      <c r="BC329" s="253" t="n">
        <v>1884</v>
      </c>
      <c r="BD329" s="253" t="n">
        <v>1923</v>
      </c>
      <c r="BE329" s="253" t="n">
        <v>1967</v>
      </c>
      <c r="BF329" s="253" t="n">
        <v>1896</v>
      </c>
      <c r="BG329" s="253" t="n">
        <v>1896</v>
      </c>
      <c r="BH329" s="253" t="n">
        <v>1710</v>
      </c>
      <c r="BI329" s="253" t="n">
        <v>1789</v>
      </c>
      <c r="BJ329" s="253" t="n">
        <v>1719</v>
      </c>
      <c r="BK329" s="253" t="n">
        <v>1645</v>
      </c>
      <c r="BL329" s="253" t="n">
        <v>1645</v>
      </c>
      <c r="BM329" s="253" t="n">
        <v>1635</v>
      </c>
      <c r="BN329" s="253" t="n">
        <v>1603</v>
      </c>
      <c r="BO329" s="253" t="n">
        <v>1590</v>
      </c>
      <c r="BP329" s="253" t="n">
        <v>1450</v>
      </c>
      <c r="BQ329" s="253" t="n">
        <v>1450</v>
      </c>
      <c r="BR329" s="253" t="n">
        <v>1498</v>
      </c>
      <c r="BS329" s="253" t="n">
        <v>1765</v>
      </c>
      <c r="BT329" s="253" t="n">
        <v>1821</v>
      </c>
      <c r="BU329" s="253" t="n">
        <v>1650</v>
      </c>
      <c r="BV329" s="253" t="n">
        <v>1650</v>
      </c>
      <c r="BW329" s="253" t="n">
        <v>1559</v>
      </c>
      <c r="BX329" s="253" t="n">
        <v>1789</v>
      </c>
      <c r="BY329" s="35" t="n"/>
      <c r="BZ329" s="35" t="n"/>
      <c r="CA329" s="254">
        <f>BX329+(CA266-SUM(BW266:BX266))</f>
        <v>1779</v>
      </c>
      <c r="CB329" s="254">
        <f>CA329+CB266</f>
        <v>1759</v>
      </c>
      <c r="CC329" s="254">
        <f>CB329+CC266</f>
        <v>1739</v>
      </c>
      <c r="CD329" s="254">
        <f>CC329+CD266</f>
        <v>1719</v>
      </c>
      <c r="CE329" s="254">
        <f>CD329+CE266</f>
        <v>1699</v>
      </c>
      <c r="CF329" s="19" t="n"/>
    </row>
    <row r="330" ht="15" customHeight="1" s="251">
      <c r="B330" s="16" t="inlineStr">
        <is>
          <t>Total liabilities (incl. redeemable noncontrolling interest 2011–2014)</t>
        </is>
      </c>
      <c r="C330" s="262">
        <f>IF(ISNUMBER(C323),C327+SUM(C328:C329),"")</f>
        <v>1330.3</v>
      </c>
      <c r="D330" s="262">
        <f>IF(ISNUMBER(D323),D327+SUM(D328:D329),"")</f>
        <v>2498.2</v>
      </c>
      <c r="E330" s="262">
        <f>IF(ISNUMBER(E323),E327+SUM(E328:E329),"")</f>
        <v>2767.8</v>
      </c>
      <c r="F330" s="262">
        <f>IF(ISNUMBER(F323),F327+SUM(F328:F329),"")</f>
        <v>2599.4</v>
      </c>
      <c r="G330" s="262">
        <f>IF(ISNUMBER(G323),G327+SUM(G328:G329),"")</f>
        <v>2838.7</v>
      </c>
      <c r="H330" s="262">
        <f>IF(ISNUMBER(H323),H327+SUM(H328:H329),"")</f>
        <v>3034.5</v>
      </c>
      <c r="I330" s="262">
        <f>IF(ISNUMBER(I323),I327+SUM(I328:I329),"")</f>
        <v>3564.3</v>
      </c>
      <c r="J330" s="262">
        <f>IF(ISNUMBER(J323),J327+SUM(J328:J329),"")</f>
        <v>3446.3</v>
      </c>
      <c r="K330" s="262">
        <f>IF(ISNUMBER(K323),K327+SUM(K328:K329),"")</f>
        <v>3337.5</v>
      </c>
      <c r="L330" s="262">
        <f>IF(ISNUMBER(L323),L327+SUM(L328:L329),"")</f>
        <v>3862.6</v>
      </c>
      <c r="M330" s="262">
        <f>IF(ISNUMBER(M323),M327+SUM(M328:M329),"")</f>
        <v>4047.2</v>
      </c>
      <c r="N330" s="262">
        <f>IF(ISNUMBER(N323),N327+SUM(N328:N329),"")</f>
        <v>4047.2</v>
      </c>
      <c r="O330" s="262">
        <f>IF(ISNUMBER(O323),O327+SUM(O328:O329),"")</f>
        <v>3960.1</v>
      </c>
      <c r="P330" s="262">
        <f>IF(ISNUMBER(P323),P327+SUM(P328:P329),"")</f>
        <v>4112.7</v>
      </c>
      <c r="Q330" s="262">
        <f>IF(ISNUMBER(Q323),Q327+SUM(Q328:Q329),"")</f>
        <v>4513.4</v>
      </c>
      <c r="R330" s="262">
        <f>IF(ISNUMBER(R323),R327+SUM(R328:R329),"")</f>
        <v>4626.1</v>
      </c>
      <c r="S330" s="262">
        <f>IF(ISNUMBER(S323),S327+SUM(S328:S329),"")</f>
        <v>4626.1</v>
      </c>
      <c r="T330" s="262">
        <f>IF(ISNUMBER(T323),T327+SUM(T328:T329),"")</f>
        <v>5122.2</v>
      </c>
      <c r="U330" s="262">
        <f>IF(ISNUMBER(U323),U327+SUM(U328:U329),"")</f>
        <v>5102.9</v>
      </c>
      <c r="V330" s="262">
        <f>IF(ISNUMBER(V323),V327+SUM(V328:V329),"")</f>
        <v>5013.1</v>
      </c>
      <c r="W330" s="262">
        <f>IF(ISNUMBER(W323),W327+SUM(W328:W329),"")</f>
        <v>5456.4</v>
      </c>
      <c r="X330" s="262">
        <f>IF(ISNUMBER(X323),X327+SUM(X328:X329),"")</f>
        <v>5456.4</v>
      </c>
      <c r="Y330" s="262">
        <f>IF(ISNUMBER(Y323),Y327+SUM(Y328:Y329),"")</f>
        <v>5466.4</v>
      </c>
      <c r="Z330" s="262">
        <f>IF(ISNUMBER(Z323),Z327+SUM(Z328:Z329),"")</f>
        <v>5414.4</v>
      </c>
      <c r="AA330" s="262">
        <f>IF(ISNUMBER(AA323),AA327+SUM(AA328:AA329),"")</f>
        <v>5377.2</v>
      </c>
      <c r="AB330" s="262">
        <f>IF(ISNUMBER(AB323),AB327+SUM(AB328:AB329),"")</f>
        <v>6354.6</v>
      </c>
      <c r="AC330" s="262">
        <f>IF(ISNUMBER(AC323),AC327+SUM(AC328:AC329),"")</f>
        <v>6354.6</v>
      </c>
      <c r="AD330" s="262">
        <f>IF(ISNUMBER(AD323),AD327+SUM(AD328:AD329),"")</f>
        <v>6160.1</v>
      </c>
      <c r="AE330" s="262">
        <f>IF(ISNUMBER(AE323),AE327+SUM(AE328:AE329),"")</f>
        <v>7003.8</v>
      </c>
      <c r="AF330" s="262">
        <f>IF(ISNUMBER(AF323),AF327+SUM(AF328:AF329),"")</f>
        <v>8461.7</v>
      </c>
      <c r="AG330" s="262">
        <f>IF(ISNUMBER(AG323),AG327+SUM(AG328:AG329),"")</f>
        <v>8709.1</v>
      </c>
      <c r="AH330" s="262">
        <f>IF(ISNUMBER(AH323),AH327+SUM(AH328:AH329),"")</f>
        <v>8709.1</v>
      </c>
      <c r="AI330" s="262">
        <f>IF(ISNUMBER(AI323),AI327+SUM(AI328:AI329),"")</f>
        <v>8594</v>
      </c>
      <c r="AJ330" s="262">
        <f>IF(ISNUMBER(AJ323),AJ327+SUM(AJ328:AJ329),"")</f>
        <v>8291.5</v>
      </c>
      <c r="AK330" s="262">
        <f>IF(ISNUMBER(AK323),AK327+SUM(AK328:AK329),"")</f>
        <v>7833</v>
      </c>
      <c r="AL330" s="262">
        <f>IF(ISNUMBER(AL323),AL327+SUM(AL328:AL329),"")</f>
        <v>8869.7</v>
      </c>
      <c r="AM330" s="262">
        <f>IF(ISNUMBER(AM323),AM327+SUM(AM328:AM329),"")</f>
        <v>8869.7</v>
      </c>
      <c r="AN330" s="262">
        <f>IF(ISNUMBER(AN323),AN327+SUM(AN328:AN329),"")</f>
        <v>9193.1</v>
      </c>
      <c r="AO330" s="262">
        <f>IF(ISNUMBER(AO323),AO327+SUM(AO328:AO329),"")</f>
        <v>9016.9</v>
      </c>
      <c r="AP330" s="262">
        <f>IF(ISNUMBER(AP323),AP327+SUM(AP328:AP329),"")</f>
        <v>8780.5</v>
      </c>
      <c r="AQ330" s="262">
        <f>IF(ISNUMBER(AQ323),AQ327+SUM(AQ328:AQ329),"")</f>
        <v>9434</v>
      </c>
      <c r="AR330" s="262">
        <f>IF(ISNUMBER(AR323),AR327+SUM(AR328:AR329),"")</f>
        <v>9434</v>
      </c>
      <c r="AS330" s="262">
        <f>IF(ISNUMBER(AS323),AS327+SUM(AS328:AS329),"")</f>
        <v>10507</v>
      </c>
      <c r="AT330" s="262">
        <f>IF(ISNUMBER(AT323),AT327+SUM(AT328:AT329),"")</f>
        <v>10066</v>
      </c>
      <c r="AU330" s="262">
        <f>IF(ISNUMBER(AU323),AU327+SUM(AU328:AU329),"")</f>
        <v>9984</v>
      </c>
      <c r="AV330" s="262">
        <f>IF(ISNUMBER(AV323),AV327+SUM(AV328:AV329),"")</f>
        <v>10646</v>
      </c>
      <c r="AW330" s="262">
        <f>IF(ISNUMBER(AW323),AW327+SUM(AW328:AW329),"")</f>
        <v>10646</v>
      </c>
      <c r="AX330" s="262">
        <f>IF(ISNUMBER(AX323),AX327+SUM(AX328:AX329),"")</f>
        <v>10275</v>
      </c>
      <c r="AY330" s="262">
        <f>IF(ISNUMBER(AY323),AY327+SUM(AY328:AY329),"")</f>
        <v>10172</v>
      </c>
      <c r="AZ330" s="262">
        <f>IF(ISNUMBER(AZ323),AZ327+SUM(AZ328:AZ329),"")</f>
        <v>11795</v>
      </c>
      <c r="BA330" s="262">
        <f>IF(ISNUMBER(BA323),BA327+SUM(BA328:BA329),"")</f>
        <v>11764</v>
      </c>
      <c r="BB330" s="262">
        <f>IF(ISNUMBER(BB323),BB327+SUM(BB328:BB329),"")</f>
        <v>11764</v>
      </c>
      <c r="BC330" s="262">
        <f>IF(ISNUMBER(BC323),BC327+SUM(BC328:BC329),"")</f>
        <v>12157</v>
      </c>
      <c r="BD330" s="262">
        <f>IF(ISNUMBER(BD323),BD327+SUM(BD328:BD329),"")</f>
        <v>11836</v>
      </c>
      <c r="BE330" s="262">
        <f>IF(ISNUMBER(BE323),BE327+SUM(BE328:BE329),"")</f>
        <v>11509</v>
      </c>
      <c r="BF330" s="262">
        <f>IF(ISNUMBER(BF323),BF327+SUM(BF328:BF329),"")</f>
        <v>11660</v>
      </c>
      <c r="BG330" s="262">
        <f>IF(ISNUMBER(BG323),BG327+SUM(BG328:BG329),"")</f>
        <v>11660</v>
      </c>
      <c r="BH330" s="262">
        <f>IF(ISNUMBER(BH323),BH327+SUM(BH328:BH329),"")</f>
        <v>11661</v>
      </c>
      <c r="BI330" s="262">
        <f>IF(ISNUMBER(BI323),BI327+SUM(BI328:BI329),"")</f>
        <v>11379</v>
      </c>
      <c r="BJ330" s="262">
        <f>IF(ISNUMBER(BJ323),BJ327+SUM(BJ328:BJ329),"")</f>
        <v>10839</v>
      </c>
      <c r="BK330" s="262">
        <f>IF(ISNUMBER(BK323),BK327+SUM(BK328:BK329),"")</f>
        <v>11146</v>
      </c>
      <c r="BL330" s="262">
        <f>IF(ISNUMBER(BL323),BL327+SUM(BL328:BL329),"")</f>
        <v>11146</v>
      </c>
      <c r="BM330" s="262">
        <f>IF(ISNUMBER(BM323),BM327+SUM(BM328:BM329),"")</f>
        <v>11276</v>
      </c>
      <c r="BN330" s="262">
        <f>IF(ISNUMBER(BN323),BN327+SUM(BN328:BN329),"")</f>
        <v>11075</v>
      </c>
      <c r="BO330" s="262">
        <f>IF(ISNUMBER(BO323),BO327+SUM(BO328:BO329),"")</f>
        <v>11701</v>
      </c>
      <c r="BP330" s="262">
        <f>IF(ISNUMBER(BP323),BP327+SUM(BP328:BP329),"")</f>
        <v>11778</v>
      </c>
      <c r="BQ330" s="262">
        <f>IF(ISNUMBER(BQ323),BQ327+SUM(BQ328:BQ329),"")</f>
        <v>11778</v>
      </c>
      <c r="BR330" s="262">
        <f>IF(ISNUMBER(BR323),BR327+SUM(BR328:BR329),"")</f>
        <v>11238</v>
      </c>
      <c r="BS330" s="262">
        <f>IF(ISNUMBER(BS323),BS327+SUM(BS328:BS329),"")</f>
        <v>11379</v>
      </c>
      <c r="BT330" s="262">
        <f>IF(ISNUMBER(BT323),BT327+SUM(BT328:BT329),"")</f>
        <v>11303</v>
      </c>
      <c r="BU330" s="262">
        <f>IF(ISNUMBER(BU323),BU327+SUM(BU328:BU329),"")</f>
        <v>11625</v>
      </c>
      <c r="BV330" s="262">
        <f>IF(ISNUMBER(BV323),BV327+SUM(BV328:BV329),"")</f>
        <v>11625</v>
      </c>
      <c r="BW330" s="262">
        <f>IF(ISNUMBER(BW323),BW327+SUM(BW328:BW329),"")</f>
        <v>11589</v>
      </c>
      <c r="BX330" s="262">
        <f>IF(ISNUMBER(BX323),BX327+SUM(BX328:BX329),"")</f>
        <v>11509</v>
      </c>
      <c r="BY330" s="32" t="n"/>
      <c r="BZ330" s="32" t="n"/>
      <c r="CA330" s="263">
        <f>IF(ISNUMBER(CA323),CA327+SUM(CA328:CA329),"")</f>
        <v>11895.07378</v>
      </c>
      <c r="CB330" s="263">
        <f>IF(ISNUMBER(CB323),CB327+SUM(CB328:CB329),"")</f>
        <v>12596.845356346</v>
      </c>
      <c r="CC330" s="263">
        <f>IF(ISNUMBER(CC323),CC327+SUM(CC328:CC329),"")</f>
        <v>13300.7908016275</v>
      </c>
      <c r="CD330" s="263">
        <f>IF(ISNUMBER(CD323),CD327+SUM(CD328:CD329),"")</f>
        <v>14008.1850339069</v>
      </c>
      <c r="CE330" s="263">
        <f>IF(ISNUMBER(CE323),CE327+SUM(CE328:CE329),"")</f>
        <v>14713.5118088047</v>
      </c>
      <c r="CF330" s="153" t="n"/>
    </row>
    <row r="331" ht="15" customHeight="1" s="251">
      <c r="B331" s="25" t="inlineStr">
        <is>
          <t xml:space="preserve">  Total Moody's shareholders' equity (deficit)</t>
        </is>
      </c>
      <c r="C331" s="253" t="n">
        <v>167.4</v>
      </c>
      <c r="D331" s="253" t="n">
        <v>-783.6</v>
      </c>
      <c r="E331" s="253" t="n">
        <v>-994.4</v>
      </c>
      <c r="F331" s="253" t="n">
        <v>-606.2</v>
      </c>
      <c r="G331" s="253" t="n">
        <v>-309.6</v>
      </c>
      <c r="H331" s="253" t="n">
        <v>-169</v>
      </c>
      <c r="I331" s="253" t="n">
        <v>385.2</v>
      </c>
      <c r="J331" s="253" t="n">
        <v>457.1</v>
      </c>
      <c r="K331" s="253" t="n">
        <v>447.6</v>
      </c>
      <c r="L331" s="253" t="n">
        <v>281.5</v>
      </c>
      <c r="M331" s="253" t="n">
        <v>337</v>
      </c>
      <c r="N331" s="253" t="n">
        <v>337</v>
      </c>
      <c r="O331" s="253" t="n">
        <v>385.3</v>
      </c>
      <c r="P331" s="253" t="n">
        <v>445.4</v>
      </c>
      <c r="Q331" s="253" t="n">
        <v>250.7</v>
      </c>
      <c r="R331" s="253" t="n">
        <v>-187.8</v>
      </c>
      <c r="S331" s="253" t="n">
        <v>-187.8</v>
      </c>
      <c r="T331" s="253" t="n">
        <v>-373.7</v>
      </c>
      <c r="U331" s="253" t="n">
        <v>-331.2</v>
      </c>
      <c r="V331" s="253" t="n">
        <v>-469.9</v>
      </c>
      <c r="W331" s="253" t="n">
        <v>-565</v>
      </c>
      <c r="X331" s="253" t="n">
        <v>-565</v>
      </c>
      <c r="Y331" s="253" t="n">
        <v>-581.6</v>
      </c>
      <c r="Z331" s="253" t="n">
        <v>-600</v>
      </c>
      <c r="AA331" s="253" t="n">
        <v>-564.5</v>
      </c>
      <c r="AB331" s="253" t="n">
        <v>-1225</v>
      </c>
      <c r="AC331" s="253" t="n">
        <v>-1225</v>
      </c>
      <c r="AD331" s="253" t="n">
        <v>-927.1</v>
      </c>
      <c r="AE331" s="253" t="n">
        <v>-679.8</v>
      </c>
      <c r="AF331" s="253" t="n">
        <v>-369.1</v>
      </c>
      <c r="AG331" s="253" t="n">
        <v>-327.7</v>
      </c>
      <c r="AH331" s="253" t="n">
        <v>-327.7</v>
      </c>
      <c r="AI331" s="253" t="n">
        <v>199.7</v>
      </c>
      <c r="AJ331" s="253" t="n">
        <v>242.9</v>
      </c>
      <c r="AK331" s="253" t="n">
        <v>400.1</v>
      </c>
      <c r="AL331" s="253" t="n">
        <v>459.9</v>
      </c>
      <c r="AM331" s="253" t="n">
        <v>459.9</v>
      </c>
      <c r="AN331" s="253" t="n">
        <v>123.2</v>
      </c>
      <c r="AO331" s="253" t="n">
        <v>352.8</v>
      </c>
      <c r="AP331" s="253" t="n">
        <v>472.6</v>
      </c>
      <c r="AQ331" s="253" t="n">
        <v>612</v>
      </c>
      <c r="AR331" s="253" t="n">
        <v>612</v>
      </c>
      <c r="AS331" s="253" t="n">
        <v>582</v>
      </c>
      <c r="AT331" s="253" t="n">
        <v>1041</v>
      </c>
      <c r="AU331" s="253" t="n">
        <v>1497</v>
      </c>
      <c r="AV331" s="253" t="n">
        <v>1569</v>
      </c>
      <c r="AW331" s="253" t="n">
        <v>1569</v>
      </c>
      <c r="AX331" s="253" t="n">
        <v>2030</v>
      </c>
      <c r="AY331" s="253" t="n">
        <v>2186</v>
      </c>
      <c r="AZ331" s="253" t="n">
        <v>2430</v>
      </c>
      <c r="BA331" s="253" t="n">
        <v>2727</v>
      </c>
      <c r="BB331" s="253" t="n">
        <v>2727</v>
      </c>
      <c r="BC331" s="253" t="n">
        <v>2394</v>
      </c>
      <c r="BD331" s="253" t="n">
        <v>2294</v>
      </c>
      <c r="BE331" s="253" t="n">
        <v>2255</v>
      </c>
      <c r="BF331" s="253" t="n">
        <v>2519</v>
      </c>
      <c r="BG331" s="253" t="n">
        <v>2519</v>
      </c>
      <c r="BH331" s="253" t="n">
        <v>2891</v>
      </c>
      <c r="BI331" s="253" t="n">
        <v>3144</v>
      </c>
      <c r="BJ331" s="253" t="n">
        <v>3191</v>
      </c>
      <c r="BK331" s="253" t="n">
        <v>3318</v>
      </c>
      <c r="BL331" s="253" t="n">
        <v>3318</v>
      </c>
      <c r="BM331" s="253" t="n">
        <v>3575</v>
      </c>
      <c r="BN331" s="253" t="n">
        <v>3778</v>
      </c>
      <c r="BO331" s="253" t="n">
        <v>3905</v>
      </c>
      <c r="BP331" s="253" t="n">
        <v>3565</v>
      </c>
      <c r="BQ331" s="253" t="n">
        <v>3565</v>
      </c>
      <c r="BR331" s="253" t="n">
        <v>3700</v>
      </c>
      <c r="BS331" s="253" t="n">
        <v>3949</v>
      </c>
      <c r="BT331" s="253" t="n">
        <v>3957</v>
      </c>
      <c r="BU331" s="253" t="n">
        <v>4054</v>
      </c>
      <c r="BV331" s="253" t="n">
        <v>4054</v>
      </c>
      <c r="BW331" s="253" t="n">
        <v>2994</v>
      </c>
      <c r="BX331" s="253" t="n">
        <v>3025</v>
      </c>
      <c r="BY331" s="35" t="n"/>
      <c r="BZ331" s="35" t="n"/>
      <c r="CA331" s="254">
        <f>BX331+SUM(BY182:BZ182)+(CA276-SUM(BW276:BX276))+(CA275-SUM(BW275:BX275))+SUM(BY157:BZ157)+(CA277-SUM(BW277:BX277))</f>
        <v>3367.81431648936</v>
      </c>
      <c r="CB331" s="254">
        <f>CA331+CB182+CB276+CB275+CB265+CB277</f>
        <v>2622.8800126801</v>
      </c>
      <c r="CC331" s="254">
        <f>CB331+CC182+CC276+CC275+CC265+CC277</f>
        <v>2246.97786333775</v>
      </c>
      <c r="CD331" s="254">
        <f>CC331+CD182+CD276+CD275+CD265+CD277</f>
        <v>1876.78974785269</v>
      </c>
      <c r="CE331" s="254">
        <f>CD331+CE182+CE276+CE275+CE265+CE277</f>
        <v>1530.22429042377</v>
      </c>
      <c r="CF331" s="19" t="inlineStr">
        <is>
          <t>+ net income − dividends − repurchases + stock-based compensation + stock-plan cash (OCI / FX translation held flat).</t>
        </is>
      </c>
    </row>
    <row r="332" ht="15" customHeight="1" s="251">
      <c r="B332" s="25" t="inlineStr">
        <is>
          <t xml:space="preserve">  Noncontrolling interests</t>
        </is>
      </c>
      <c r="C332" s="253" t="n">
        <v>0</v>
      </c>
      <c r="D332" s="253" t="n">
        <v>0</v>
      </c>
      <c r="E332" s="253" t="n">
        <v>0</v>
      </c>
      <c r="F332" s="253" t="n">
        <v>10.1</v>
      </c>
      <c r="G332" s="253" t="n">
        <v>11.2</v>
      </c>
      <c r="H332" s="253" t="n">
        <v>10.6</v>
      </c>
      <c r="I332" s="253" t="n">
        <v>11.4</v>
      </c>
      <c r="J332" s="253" t="n">
        <v>7.8</v>
      </c>
      <c r="K332" s="253" t="n">
        <v>9.199999999999999</v>
      </c>
      <c r="L332" s="253" t="n">
        <v>10.4</v>
      </c>
      <c r="M332" s="253" t="n">
        <v>10.9</v>
      </c>
      <c r="N332" s="253" t="n">
        <v>10.9</v>
      </c>
      <c r="O332" s="253" t="n">
        <v>8</v>
      </c>
      <c r="P332" s="253" t="n">
        <v>228.5</v>
      </c>
      <c r="Q332" s="253" t="n">
        <v>229.6</v>
      </c>
      <c r="R332" s="253" t="n">
        <v>230.7</v>
      </c>
      <c r="S332" s="253" t="n">
        <v>230.7</v>
      </c>
      <c r="T332" s="253" t="n">
        <v>227.5</v>
      </c>
      <c r="U332" s="253" t="n">
        <v>227.8</v>
      </c>
      <c r="V332" s="253" t="n">
        <v>229.7</v>
      </c>
      <c r="W332" s="253" t="n">
        <v>232</v>
      </c>
      <c r="X332" s="253" t="n">
        <v>232</v>
      </c>
      <c r="Y332" s="253" t="n">
        <v>230.1</v>
      </c>
      <c r="Z332" s="253" t="n">
        <v>230.5</v>
      </c>
      <c r="AA332" s="253" t="n">
        <v>206.6</v>
      </c>
      <c r="AB332" s="253" t="n">
        <v>197.7</v>
      </c>
      <c r="AC332" s="253" t="n">
        <v>197.7</v>
      </c>
      <c r="AD332" s="253" t="n">
        <v>202.9</v>
      </c>
      <c r="AE332" s="253" t="n">
        <v>212.3</v>
      </c>
      <c r="AF332" s="253" t="n">
        <v>212.3</v>
      </c>
      <c r="AG332" s="253" t="n">
        <v>212.8</v>
      </c>
      <c r="AH332" s="253" t="n">
        <v>212.8</v>
      </c>
      <c r="AI332" s="253" t="n">
        <v>220.3</v>
      </c>
      <c r="AJ332" s="253" t="n">
        <v>217.2</v>
      </c>
      <c r="AK332" s="253" t="n">
        <v>206</v>
      </c>
      <c r="AL332" s="253" t="n">
        <v>196.6</v>
      </c>
      <c r="AM332" s="253" t="n">
        <v>196.6</v>
      </c>
      <c r="AN332" s="253" t="n">
        <v>201.8</v>
      </c>
      <c r="AO332" s="253" t="n">
        <v>221.9</v>
      </c>
      <c r="AP332" s="253" t="n">
        <v>224.7</v>
      </c>
      <c r="AQ332" s="253" t="n">
        <v>219</v>
      </c>
      <c r="AR332" s="253" t="n">
        <v>219</v>
      </c>
      <c r="AS332" s="253" t="n">
        <v>217</v>
      </c>
      <c r="AT332" s="253" t="n">
        <v>191</v>
      </c>
      <c r="AU332" s="253" t="n">
        <v>191</v>
      </c>
      <c r="AV332" s="253" t="n">
        <v>194</v>
      </c>
      <c r="AW332" s="253" t="n">
        <v>194</v>
      </c>
      <c r="AX332" s="253" t="n">
        <v>195</v>
      </c>
      <c r="AY332" s="253" t="n">
        <v>194</v>
      </c>
      <c r="AZ332" s="253" t="n">
        <v>189</v>
      </c>
      <c r="BA332" s="253" t="n">
        <v>189</v>
      </c>
      <c r="BB332" s="253" t="n">
        <v>189</v>
      </c>
      <c r="BC332" s="253" t="n">
        <v>188</v>
      </c>
      <c r="BD332" s="253" t="n">
        <v>185</v>
      </c>
      <c r="BE332" s="253" t="n">
        <v>175</v>
      </c>
      <c r="BF332" s="253" t="n">
        <v>170</v>
      </c>
      <c r="BG332" s="253" t="n">
        <v>170</v>
      </c>
      <c r="BH332" s="253" t="n">
        <v>167</v>
      </c>
      <c r="BI332" s="253" t="n">
        <v>168</v>
      </c>
      <c r="BJ332" s="253" t="n">
        <v>161</v>
      </c>
      <c r="BK332" s="253" t="n">
        <v>158</v>
      </c>
      <c r="BL332" s="253" t="n">
        <v>158</v>
      </c>
      <c r="BM332" s="253" t="n">
        <v>160</v>
      </c>
      <c r="BN332" s="253" t="n">
        <v>160</v>
      </c>
      <c r="BO332" s="253" t="n">
        <v>163</v>
      </c>
      <c r="BP332" s="253" t="n">
        <v>162</v>
      </c>
      <c r="BQ332" s="253" t="n">
        <v>162</v>
      </c>
      <c r="BR332" s="253" t="n">
        <v>158</v>
      </c>
      <c r="BS332" s="253" t="n">
        <v>159</v>
      </c>
      <c r="BT332" s="253" t="n">
        <v>155</v>
      </c>
      <c r="BU332" s="253" t="n">
        <v>151</v>
      </c>
      <c r="BV332" s="253" t="n">
        <v>151</v>
      </c>
      <c r="BW332" s="253" t="n">
        <v>149</v>
      </c>
      <c r="BX332" s="253" t="n">
        <v>141</v>
      </c>
      <c r="BY332" s="35" t="n"/>
      <c r="BZ332" s="35" t="n"/>
      <c r="CA332" s="254">
        <f>BX332+SUM(BY181:BZ181)</f>
        <v>143</v>
      </c>
      <c r="CB332" s="254">
        <f>CA332+CB181</f>
        <v>147</v>
      </c>
      <c r="CC332" s="254">
        <f>CB332+CC181</f>
        <v>151</v>
      </c>
      <c r="CD332" s="254">
        <f>CC332+CD181</f>
        <v>155</v>
      </c>
      <c r="CE332" s="254">
        <f>CD332+CE181</f>
        <v>159</v>
      </c>
      <c r="CF332" s="19" t="inlineStr">
        <is>
          <t>Forecast: + NCI share of net income (NCI dividends assumed nil; small).</t>
        </is>
      </c>
    </row>
    <row r="333" ht="15" customHeight="1" s="251">
      <c r="B333" s="16" t="inlineStr">
        <is>
          <t>Total shareholders' equity (deficit)</t>
        </is>
      </c>
      <c r="C333" s="262">
        <f>IF(ISNUMBER(C331),C331+N(C332),"")</f>
        <v>167.4</v>
      </c>
      <c r="D333" s="262">
        <f>IF(ISNUMBER(D331),D331+N(D332),"")</f>
        <v>-783.6</v>
      </c>
      <c r="E333" s="262">
        <f>IF(ISNUMBER(E331),E331+N(E332),"")</f>
        <v>-994.4</v>
      </c>
      <c r="F333" s="262">
        <f>IF(ISNUMBER(F331),F331+N(F332),"")</f>
        <v>-596.1</v>
      </c>
      <c r="G333" s="262">
        <f>IF(ISNUMBER(G331),G331+N(G332),"")</f>
        <v>-298.4</v>
      </c>
      <c r="H333" s="262">
        <f>IF(ISNUMBER(H331),H331+N(H332),"")</f>
        <v>-158.4</v>
      </c>
      <c r="I333" s="262">
        <f>IF(ISNUMBER(I331),I331+N(I332),"")</f>
        <v>396.6</v>
      </c>
      <c r="J333" s="262">
        <f>IF(ISNUMBER(J331),J331+N(J332),"")</f>
        <v>464.9</v>
      </c>
      <c r="K333" s="262">
        <f>IF(ISNUMBER(K331),K331+N(K332),"")</f>
        <v>456.8</v>
      </c>
      <c r="L333" s="262">
        <f>IF(ISNUMBER(L331),L331+N(L332),"")</f>
        <v>291.9</v>
      </c>
      <c r="M333" s="262">
        <f>IF(ISNUMBER(M331),M331+N(M332),"")</f>
        <v>347.9</v>
      </c>
      <c r="N333" s="262">
        <f>IF(ISNUMBER(N331),N331+N(N332),"")</f>
        <v>347.9</v>
      </c>
      <c r="O333" s="262">
        <f>IF(ISNUMBER(O331),O331+N(O332),"")</f>
        <v>393.3</v>
      </c>
      <c r="P333" s="262">
        <f>IF(ISNUMBER(P331),P331+N(P332),"")</f>
        <v>673.9</v>
      </c>
      <c r="Q333" s="262">
        <f>IF(ISNUMBER(Q331),Q331+N(Q332),"")</f>
        <v>480.3</v>
      </c>
      <c r="R333" s="262">
        <f>IF(ISNUMBER(R331),R331+N(R332),"")</f>
        <v>42.9</v>
      </c>
      <c r="S333" s="262">
        <f>IF(ISNUMBER(S331),S331+N(S332),"")</f>
        <v>42.9</v>
      </c>
      <c r="T333" s="262">
        <f>IF(ISNUMBER(T331),T331+N(T332),"")</f>
        <v>-146.2</v>
      </c>
      <c r="U333" s="262">
        <f>IF(ISNUMBER(U331),U331+N(U332),"")</f>
        <v>-103.4</v>
      </c>
      <c r="V333" s="262">
        <f>IF(ISNUMBER(V331),V331+N(V332),"")</f>
        <v>-240.2</v>
      </c>
      <c r="W333" s="262">
        <f>IF(ISNUMBER(W331),W331+N(W332),"")</f>
        <v>-333</v>
      </c>
      <c r="X333" s="262">
        <f>IF(ISNUMBER(X331),X331+N(X332),"")</f>
        <v>-333</v>
      </c>
      <c r="Y333" s="262">
        <f>IF(ISNUMBER(Y331),Y331+N(Y332),"")</f>
        <v>-351.5</v>
      </c>
      <c r="Z333" s="262">
        <f>IF(ISNUMBER(Z331),Z331+N(Z332),"")</f>
        <v>-369.5</v>
      </c>
      <c r="AA333" s="262">
        <f>IF(ISNUMBER(AA331),AA331+N(AA332),"")</f>
        <v>-357.9</v>
      </c>
      <c r="AB333" s="262">
        <f>IF(ISNUMBER(AB331),AB331+N(AB332),"")</f>
        <v>-1027.3</v>
      </c>
      <c r="AC333" s="262">
        <f>IF(ISNUMBER(AC331),AC331+N(AC332),"")</f>
        <v>-1027.3</v>
      </c>
      <c r="AD333" s="262">
        <f>IF(ISNUMBER(AD331),AD331+N(AD332),"")</f>
        <v>-724.2</v>
      </c>
      <c r="AE333" s="262">
        <f>IF(ISNUMBER(AE331),AE331+N(AE332),"")</f>
        <v>-467.5</v>
      </c>
      <c r="AF333" s="262">
        <f>IF(ISNUMBER(AF331),AF331+N(AF332),"")</f>
        <v>-156.8</v>
      </c>
      <c r="AG333" s="262">
        <f>IF(ISNUMBER(AG331),AG331+N(AG332),"")</f>
        <v>-114.9</v>
      </c>
      <c r="AH333" s="262">
        <f>IF(ISNUMBER(AH331),AH331+N(AH332),"")</f>
        <v>-114.9</v>
      </c>
      <c r="AI333" s="262">
        <f>IF(ISNUMBER(AI331),AI331+N(AI332),"")</f>
        <v>420</v>
      </c>
      <c r="AJ333" s="262">
        <f>IF(ISNUMBER(AJ331),AJ331+N(AJ332),"")</f>
        <v>460.1</v>
      </c>
      <c r="AK333" s="262">
        <f>IF(ISNUMBER(AK331),AK331+N(AK332),"")</f>
        <v>606.1</v>
      </c>
      <c r="AL333" s="262">
        <f>IF(ISNUMBER(AL331),AL331+N(AL332),"")</f>
        <v>656.5</v>
      </c>
      <c r="AM333" s="262">
        <f>IF(ISNUMBER(AM331),AM331+N(AM332),"")</f>
        <v>656.5</v>
      </c>
      <c r="AN333" s="262">
        <f>IF(ISNUMBER(AN331),AN331+N(AN332),"")</f>
        <v>325</v>
      </c>
      <c r="AO333" s="262">
        <f>IF(ISNUMBER(AO331),AO331+N(AO332),"")</f>
        <v>574.7</v>
      </c>
      <c r="AP333" s="262">
        <f>IF(ISNUMBER(AP331),AP331+N(AP332),"")</f>
        <v>697.3</v>
      </c>
      <c r="AQ333" s="262">
        <f>IF(ISNUMBER(AQ331),AQ331+N(AQ332),"")</f>
        <v>831</v>
      </c>
      <c r="AR333" s="262">
        <f>IF(ISNUMBER(AR331),AR331+N(AR332),"")</f>
        <v>831</v>
      </c>
      <c r="AS333" s="262">
        <f>IF(ISNUMBER(AS331),AS331+N(AS332),"")</f>
        <v>799</v>
      </c>
      <c r="AT333" s="262">
        <f>IF(ISNUMBER(AT331),AT331+N(AT332),"")</f>
        <v>1232</v>
      </c>
      <c r="AU333" s="262">
        <f>IF(ISNUMBER(AU331),AU331+N(AU332),"")</f>
        <v>1688</v>
      </c>
      <c r="AV333" s="262">
        <f>IF(ISNUMBER(AV331),AV331+N(AV332),"")</f>
        <v>1763</v>
      </c>
      <c r="AW333" s="262">
        <f>IF(ISNUMBER(AW331),AW331+N(AW332),"")</f>
        <v>1763</v>
      </c>
      <c r="AX333" s="262">
        <f>IF(ISNUMBER(AX331),AX331+N(AX332),"")</f>
        <v>2225</v>
      </c>
      <c r="AY333" s="262">
        <f>IF(ISNUMBER(AY331),AY331+N(AY332),"")</f>
        <v>2380</v>
      </c>
      <c r="AZ333" s="262">
        <f>IF(ISNUMBER(AZ331),AZ331+N(AZ332),"")</f>
        <v>2619</v>
      </c>
      <c r="BA333" s="262">
        <f>IF(ISNUMBER(BA331),BA331+N(BA332),"")</f>
        <v>2916</v>
      </c>
      <c r="BB333" s="262">
        <f>IF(ISNUMBER(BB331),BB331+N(BB332),"")</f>
        <v>2916</v>
      </c>
      <c r="BC333" s="262">
        <f>IF(ISNUMBER(BC331),BC331+N(BC332),"")</f>
        <v>2582</v>
      </c>
      <c r="BD333" s="262">
        <f>IF(ISNUMBER(BD331),BD331+N(BD332),"")</f>
        <v>2479</v>
      </c>
      <c r="BE333" s="262">
        <f>IF(ISNUMBER(BE331),BE331+N(BE332),"")</f>
        <v>2430</v>
      </c>
      <c r="BF333" s="262">
        <f>IF(ISNUMBER(BF331),BF331+N(BF332),"")</f>
        <v>2689</v>
      </c>
      <c r="BG333" s="262">
        <f>IF(ISNUMBER(BG331),BG331+N(BG332),"")</f>
        <v>2689</v>
      </c>
      <c r="BH333" s="262">
        <f>IF(ISNUMBER(BH331),BH331+N(BH332),"")</f>
        <v>3058</v>
      </c>
      <c r="BI333" s="262">
        <f>IF(ISNUMBER(BI331),BI331+N(BI332),"")</f>
        <v>3312</v>
      </c>
      <c r="BJ333" s="262">
        <f>IF(ISNUMBER(BJ331),BJ331+N(BJ332),"")</f>
        <v>3352</v>
      </c>
      <c r="BK333" s="262">
        <f>IF(ISNUMBER(BK331),BK331+N(BK332),"")</f>
        <v>3476</v>
      </c>
      <c r="BL333" s="262">
        <f>IF(ISNUMBER(BL331),BL331+N(BL332),"")</f>
        <v>3476</v>
      </c>
      <c r="BM333" s="262">
        <f>IF(ISNUMBER(BM331),BM331+N(BM332),"")</f>
        <v>3735</v>
      </c>
      <c r="BN333" s="262">
        <f>IF(ISNUMBER(BN331),BN331+N(BN332),"")</f>
        <v>3938</v>
      </c>
      <c r="BO333" s="262">
        <f>IF(ISNUMBER(BO331),BO331+N(BO332),"")</f>
        <v>4068</v>
      </c>
      <c r="BP333" s="262">
        <f>IF(ISNUMBER(BP331),BP331+N(BP332),"")</f>
        <v>3727</v>
      </c>
      <c r="BQ333" s="262">
        <f>IF(ISNUMBER(BQ331),BQ331+N(BQ332),"")</f>
        <v>3727</v>
      </c>
      <c r="BR333" s="262">
        <f>IF(ISNUMBER(BR331),BR331+N(BR332),"")</f>
        <v>3858</v>
      </c>
      <c r="BS333" s="262">
        <f>IF(ISNUMBER(BS331),BS331+N(BS332),"")</f>
        <v>4108</v>
      </c>
      <c r="BT333" s="262">
        <f>IF(ISNUMBER(BT331),BT331+N(BT332),"")</f>
        <v>4112</v>
      </c>
      <c r="BU333" s="262">
        <f>IF(ISNUMBER(BU331),BU331+N(BU332),"")</f>
        <v>4205</v>
      </c>
      <c r="BV333" s="262">
        <f>IF(ISNUMBER(BV331),BV331+N(BV332),"")</f>
        <v>4205</v>
      </c>
      <c r="BW333" s="262">
        <f>IF(ISNUMBER(BW331),BW331+N(BW332),"")</f>
        <v>3143</v>
      </c>
      <c r="BX333" s="262">
        <f>IF(ISNUMBER(BX331),BX331+N(BX332),"")</f>
        <v>3166</v>
      </c>
      <c r="BY333" s="32" t="n"/>
      <c r="BZ333" s="32" t="n"/>
      <c r="CA333" s="263">
        <f>IF(ISNUMBER(CA331),CA331+N(CA332),"")</f>
        <v>3510.81431648936</v>
      </c>
      <c r="CB333" s="263">
        <f>IF(ISNUMBER(CB331),CB331+N(CB332),"")</f>
        <v>2769.8800126801</v>
      </c>
      <c r="CC333" s="263">
        <f>IF(ISNUMBER(CC331),CC331+N(CC332),"")</f>
        <v>2397.97786333775</v>
      </c>
      <c r="CD333" s="263">
        <f>IF(ISNUMBER(CD331),CD331+N(CD332),"")</f>
        <v>2031.78974785269</v>
      </c>
      <c r="CE333" s="263">
        <f>IF(ISNUMBER(CE331),CE331+N(CE332),"")</f>
        <v>1689.22429042377</v>
      </c>
      <c r="CF333" s="153" t="n"/>
    </row>
    <row r="334" ht="15" customHeight="1" s="251">
      <c r="B334" s="55" t="inlineStr">
        <is>
          <t>TOTAL LIABILITIES, NONCONTROLLING INTERESTS AND SHAREHOLDERS' EQUITY</t>
        </is>
      </c>
      <c r="C334" s="275">
        <f>IF(ISNUMBER(C330),C330+C333,"")</f>
        <v>1497.7</v>
      </c>
      <c r="D334" s="275">
        <f>IF(ISNUMBER(D330),D330+D333,"")</f>
        <v>1714.6</v>
      </c>
      <c r="E334" s="275">
        <f>IF(ISNUMBER(E330),E330+E333,"")</f>
        <v>1773.4</v>
      </c>
      <c r="F334" s="275">
        <f>IF(ISNUMBER(F330),F330+F333,"")</f>
        <v>2003.3</v>
      </c>
      <c r="G334" s="275">
        <f>IF(ISNUMBER(G330),G330+G333,"")</f>
        <v>2540.3</v>
      </c>
      <c r="H334" s="275">
        <f>IF(ISNUMBER(H330),H330+H333,"")</f>
        <v>2876.1</v>
      </c>
      <c r="I334" s="275">
        <f>IF(ISNUMBER(I330),I330+I333,"")</f>
        <v>3960.9</v>
      </c>
      <c r="J334" s="275">
        <f>IF(ISNUMBER(J330),J330+J333,"")</f>
        <v>3911.2</v>
      </c>
      <c r="K334" s="275">
        <f>IF(ISNUMBER(K330),K330+K333,"")</f>
        <v>3794.3</v>
      </c>
      <c r="L334" s="275">
        <f>IF(ISNUMBER(L330),L330+L333,"")</f>
        <v>4154.5</v>
      </c>
      <c r="M334" s="275">
        <f>IF(ISNUMBER(M330),M330+M333,"")</f>
        <v>4395.1</v>
      </c>
      <c r="N334" s="275">
        <f>IF(ISNUMBER(N330),N330+N333,"")</f>
        <v>4395.1</v>
      </c>
      <c r="O334" s="275">
        <f>IF(ISNUMBER(O330),O330+O333,"")</f>
        <v>4353.4</v>
      </c>
      <c r="P334" s="275">
        <f>IF(ISNUMBER(P330),P330+P333,"")</f>
        <v>4786.6</v>
      </c>
      <c r="Q334" s="275">
        <f>IF(ISNUMBER(Q330),Q330+Q333,"")</f>
        <v>4993.7</v>
      </c>
      <c r="R334" s="275">
        <f>IF(ISNUMBER(R330),R330+R333,"")</f>
        <v>4669</v>
      </c>
      <c r="S334" s="275">
        <f>IF(ISNUMBER(S330),S330+S333,"")</f>
        <v>4669</v>
      </c>
      <c r="T334" s="275">
        <f>IF(ISNUMBER(T330),T330+T333,"")</f>
        <v>4976</v>
      </c>
      <c r="U334" s="275">
        <f>IF(ISNUMBER(U330),U330+U333,"")</f>
        <v>4999.5</v>
      </c>
      <c r="V334" s="275">
        <f>IF(ISNUMBER(V330),V330+V333,"")</f>
        <v>4772.9</v>
      </c>
      <c r="W334" s="275">
        <f>IF(ISNUMBER(W330),W330+W333,"")</f>
        <v>5123.4</v>
      </c>
      <c r="X334" s="275">
        <f>IF(ISNUMBER(X330),X330+X333,"")</f>
        <v>5123.4</v>
      </c>
      <c r="Y334" s="275">
        <f>IF(ISNUMBER(Y330),Y330+Y333,"")</f>
        <v>5114.9</v>
      </c>
      <c r="Z334" s="275">
        <f>IF(ISNUMBER(Z330),Z330+Z333,"")</f>
        <v>5044.9</v>
      </c>
      <c r="AA334" s="275">
        <f>IF(ISNUMBER(AA330),AA330+AA333,"")</f>
        <v>5019.3</v>
      </c>
      <c r="AB334" s="275">
        <f>IF(ISNUMBER(AB330),AB330+AB333,"")</f>
        <v>5327.3</v>
      </c>
      <c r="AC334" s="275">
        <f>IF(ISNUMBER(AC330),AC330+AC333,"")</f>
        <v>5327.3</v>
      </c>
      <c r="AD334" s="275">
        <f>IF(ISNUMBER(AD330),AD330+AD333,"")</f>
        <v>5435.9</v>
      </c>
      <c r="AE334" s="275">
        <f>IF(ISNUMBER(AE330),AE330+AE333,"")</f>
        <v>6536.3</v>
      </c>
      <c r="AF334" s="275">
        <f>IF(ISNUMBER(AF330),AF330+AF333,"")</f>
        <v>8304.9</v>
      </c>
      <c r="AG334" s="275">
        <f>IF(ISNUMBER(AG330),AG330+AG333,"")</f>
        <v>8594.2</v>
      </c>
      <c r="AH334" s="275">
        <f>IF(ISNUMBER(AH330),AH330+AH333,"")</f>
        <v>8594.2</v>
      </c>
      <c r="AI334" s="275">
        <f>IF(ISNUMBER(AI330),AI330+AI333,"")</f>
        <v>9014</v>
      </c>
      <c r="AJ334" s="275">
        <f>IF(ISNUMBER(AJ330),AJ330+AJ333,"")</f>
        <v>8751.6</v>
      </c>
      <c r="AK334" s="275">
        <f>IF(ISNUMBER(AK330),AK330+AK333,"")</f>
        <v>8439.1</v>
      </c>
      <c r="AL334" s="275">
        <f>IF(ISNUMBER(AL330),AL330+AL333,"")</f>
        <v>9526.2</v>
      </c>
      <c r="AM334" s="275">
        <f>IF(ISNUMBER(AM330),AM330+AM333,"")</f>
        <v>9526.2</v>
      </c>
      <c r="AN334" s="275">
        <f>IF(ISNUMBER(AN330),AN330+AN333,"")</f>
        <v>9518.1</v>
      </c>
      <c r="AO334" s="275">
        <f>IF(ISNUMBER(AO330),AO330+AO333,"")</f>
        <v>9591.6</v>
      </c>
      <c r="AP334" s="275">
        <f>IF(ISNUMBER(AP330),AP330+AP333,"")</f>
        <v>9477.8</v>
      </c>
      <c r="AQ334" s="275">
        <f>IF(ISNUMBER(AQ330),AQ330+AQ333,"")</f>
        <v>10265</v>
      </c>
      <c r="AR334" s="275">
        <f>IF(ISNUMBER(AR330),AR330+AR333,"")</f>
        <v>10265</v>
      </c>
      <c r="AS334" s="275">
        <f>IF(ISNUMBER(AS330),AS330+AS333,"")</f>
        <v>11306</v>
      </c>
      <c r="AT334" s="275">
        <f>IF(ISNUMBER(AT330),AT330+AT333,"")</f>
        <v>11298</v>
      </c>
      <c r="AU334" s="275">
        <f>IF(ISNUMBER(AU330),AU330+AU333,"")</f>
        <v>11672</v>
      </c>
      <c r="AV334" s="275">
        <f>IF(ISNUMBER(AV330),AV330+AV333,"")</f>
        <v>12409</v>
      </c>
      <c r="AW334" s="275">
        <f>IF(ISNUMBER(AW330),AW330+AW333,"")</f>
        <v>12409</v>
      </c>
      <c r="AX334" s="275">
        <f>IF(ISNUMBER(AX330),AX330+AX333,"")</f>
        <v>12500</v>
      </c>
      <c r="AY334" s="275">
        <f>IF(ISNUMBER(AY330),AY330+AY333,"")</f>
        <v>12552</v>
      </c>
      <c r="AZ334" s="275">
        <f>IF(ISNUMBER(AZ330),AZ330+AZ333,"")</f>
        <v>14414</v>
      </c>
      <c r="BA334" s="275">
        <f>IF(ISNUMBER(BA330),BA330+BA333,"")</f>
        <v>14680</v>
      </c>
      <c r="BB334" s="275">
        <f>IF(ISNUMBER(BB330),BB330+BB333,"")</f>
        <v>14680</v>
      </c>
      <c r="BC334" s="275">
        <f>IF(ISNUMBER(BC330),BC330+BC333,"")</f>
        <v>14739</v>
      </c>
      <c r="BD334" s="275">
        <f>IF(ISNUMBER(BD330),BD330+BD333,"")</f>
        <v>14315</v>
      </c>
      <c r="BE334" s="275">
        <f>IF(ISNUMBER(BE330),BE330+BE333,"")</f>
        <v>13939</v>
      </c>
      <c r="BF334" s="275">
        <f>IF(ISNUMBER(BF330),BF330+BF333,"")</f>
        <v>14349</v>
      </c>
      <c r="BG334" s="275">
        <f>IF(ISNUMBER(BG330),BG330+BG333,"")</f>
        <v>14349</v>
      </c>
      <c r="BH334" s="275">
        <f>IF(ISNUMBER(BH330),BH330+BH333,"")</f>
        <v>14719</v>
      </c>
      <c r="BI334" s="275">
        <f>IF(ISNUMBER(BI330),BI330+BI333,"")</f>
        <v>14691</v>
      </c>
      <c r="BJ334" s="275">
        <f>IF(ISNUMBER(BJ330),BJ330+BJ333,"")</f>
        <v>14191</v>
      </c>
      <c r="BK334" s="275">
        <f>IF(ISNUMBER(BK330),BK330+BK333,"")</f>
        <v>14622</v>
      </c>
      <c r="BL334" s="275">
        <f>IF(ISNUMBER(BL330),BL330+BL333,"")</f>
        <v>14622</v>
      </c>
      <c r="BM334" s="275">
        <f>IF(ISNUMBER(BM330),BM330+BM333,"")</f>
        <v>15011</v>
      </c>
      <c r="BN334" s="275">
        <f>IF(ISNUMBER(BN330),BN330+BN333,"")</f>
        <v>15013</v>
      </c>
      <c r="BO334" s="275">
        <f>IF(ISNUMBER(BO330),BO330+BO333,"")</f>
        <v>15769</v>
      </c>
      <c r="BP334" s="275">
        <f>IF(ISNUMBER(BP330),BP330+BP333,"")</f>
        <v>15505</v>
      </c>
      <c r="BQ334" s="275">
        <f>IF(ISNUMBER(BQ330),BQ330+BQ333,"")</f>
        <v>15505</v>
      </c>
      <c r="BR334" s="275">
        <f>IF(ISNUMBER(BR330),BR330+BR333,"")</f>
        <v>15096</v>
      </c>
      <c r="BS334" s="275">
        <f>IF(ISNUMBER(BS330),BS330+BS333,"")</f>
        <v>15487</v>
      </c>
      <c r="BT334" s="275">
        <f>IF(ISNUMBER(BT330),BT330+BT333,"")</f>
        <v>15415</v>
      </c>
      <c r="BU334" s="275">
        <f>IF(ISNUMBER(BU330),BU330+BU333,"")</f>
        <v>15830</v>
      </c>
      <c r="BV334" s="275">
        <f>IF(ISNUMBER(BV330),BV330+BV333,"")</f>
        <v>15830</v>
      </c>
      <c r="BW334" s="275">
        <f>IF(ISNUMBER(BW330),BW330+BW333,"")</f>
        <v>14732</v>
      </c>
      <c r="BX334" s="275">
        <f>IF(ISNUMBER(BX330),BX330+BX333,"")</f>
        <v>14675</v>
      </c>
      <c r="BY334" s="56" t="n"/>
      <c r="BZ334" s="56" t="n"/>
      <c r="CA334" s="275">
        <f>IF(ISNUMBER(CA330),CA330+CA333,"")</f>
        <v>15405.8880964894</v>
      </c>
      <c r="CB334" s="275">
        <f>IF(ISNUMBER(CB330),CB330+CB333,"")</f>
        <v>15366.7253690261</v>
      </c>
      <c r="CC334" s="275">
        <f>IF(ISNUMBER(CC330),CC330+CC333,"")</f>
        <v>15698.7686649652</v>
      </c>
      <c r="CD334" s="275">
        <f>IF(ISNUMBER(CD330),CD330+CD333,"")</f>
        <v>16039.9747817595</v>
      </c>
      <c r="CE334" s="275">
        <f>IF(ISNUMBER(CE330),CE330+CE333,"")</f>
        <v>16402.7360992285</v>
      </c>
      <c r="CF334" s="153" t="n"/>
    </row>
    <row r="335" ht="15" customHeight="1" s="251">
      <c r="B335" s="57" t="inlineStr">
        <is>
          <t>BS tie-out check (TA − TL&amp;E)</t>
        </is>
      </c>
      <c r="C335" s="261">
        <f>IF(ISNUMBER(C321),IF(ABS(C321-C334)&lt;=1.5,0,ROUND(C321-C334,1)),"")</f>
        <v>0</v>
      </c>
      <c r="D335" s="261">
        <f>IF(ISNUMBER(D321),IF(ABS(D321-D334)&lt;=1.5,0,ROUND(D321-D334,1)),"")</f>
        <v>0</v>
      </c>
      <c r="E335" s="261">
        <f>IF(ISNUMBER(E321),IF(ABS(E321-E334)&lt;=1.5,0,ROUND(E321-E334,1)),"")</f>
        <v>0</v>
      </c>
      <c r="F335" s="261">
        <f>IF(ISNUMBER(F321),IF(ABS(F321-F334)&lt;=1.5,0,ROUND(F321-F334,1)),"")</f>
        <v>0</v>
      </c>
      <c r="G335" s="261">
        <f>IF(ISNUMBER(G321),IF(ABS(G321-G334)&lt;=1.5,0,ROUND(G321-G334,1)),"")</f>
        <v>0</v>
      </c>
      <c r="H335" s="261">
        <f>IF(ISNUMBER(H321),IF(ABS(H321-H334)&lt;=1.5,0,ROUND(H321-H334,1)),"")</f>
        <v>0</v>
      </c>
      <c r="I335" s="261">
        <f>IF(ISNUMBER(I321),IF(ABS(I321-I334)&lt;=1.5,0,ROUND(I321-I334,1)),"")</f>
        <v>0</v>
      </c>
      <c r="J335" s="261">
        <f>IF(ISNUMBER(J321),IF(ABS(J321-J334)&lt;=1.5,0,ROUND(J321-J334,1)),"")</f>
        <v>0</v>
      </c>
      <c r="K335" s="261">
        <f>IF(ISNUMBER(K321),IF(ABS(K321-K334)&lt;=1.5,0,ROUND(K321-K334,1)),"")</f>
        <v>0</v>
      </c>
      <c r="L335" s="261">
        <f>IF(ISNUMBER(L321),IF(ABS(L321-L334)&lt;=1.5,0,ROUND(L321-L334,1)),"")</f>
        <v>0</v>
      </c>
      <c r="M335" s="261">
        <f>IF(ISNUMBER(M321),IF(ABS(M321-M334)&lt;=1.5,0,ROUND(M321-M334,1)),"")</f>
        <v>0</v>
      </c>
      <c r="N335" s="261">
        <f>IF(ISNUMBER(N321),IF(ABS(N321-N334)&lt;=1.5,0,ROUND(N321-N334,1)),"")</f>
        <v>0</v>
      </c>
      <c r="O335" s="261">
        <f>IF(ISNUMBER(O321),IF(ABS(O321-O334)&lt;=1.5,0,ROUND(O321-O334,1)),"")</f>
        <v>0</v>
      </c>
      <c r="P335" s="261">
        <f>IF(ISNUMBER(P321),IF(ABS(P321-P334)&lt;=1.5,0,ROUND(P321-P334,1)),"")</f>
        <v>0</v>
      </c>
      <c r="Q335" s="261">
        <f>IF(ISNUMBER(Q321),IF(ABS(Q321-Q334)&lt;=1.5,0,ROUND(Q321-Q334,1)),"")</f>
        <v>0</v>
      </c>
      <c r="R335" s="261">
        <f>IF(ISNUMBER(R321),IF(ABS(R321-R334)&lt;=1.5,0,ROUND(R321-R334,1)),"")</f>
        <v>0</v>
      </c>
      <c r="S335" s="261">
        <f>IF(ISNUMBER(S321),IF(ABS(S321-S334)&lt;=1.5,0,ROUND(S321-S334,1)),"")</f>
        <v>0</v>
      </c>
      <c r="T335" s="261">
        <f>IF(ISNUMBER(T321),IF(ABS(T321-T334)&lt;=1.5,0,ROUND(T321-T334,1)),"")</f>
        <v>0</v>
      </c>
      <c r="U335" s="261">
        <f>IF(ISNUMBER(U321),IF(ABS(U321-U334)&lt;=1.5,0,ROUND(U321-U334,1)),"")</f>
        <v>0</v>
      </c>
      <c r="V335" s="261">
        <f>IF(ISNUMBER(V321),IF(ABS(V321-V334)&lt;=1.5,0,ROUND(V321-V334,1)),"")</f>
        <v>0</v>
      </c>
      <c r="W335" s="261">
        <f>IF(ISNUMBER(W321),IF(ABS(W321-W334)&lt;=1.5,0,ROUND(W321-W334,1)),"")</f>
        <v>0</v>
      </c>
      <c r="X335" s="261">
        <f>IF(ISNUMBER(X321),IF(ABS(X321-X334)&lt;=1.5,0,ROUND(X321-X334,1)),"")</f>
        <v>0</v>
      </c>
      <c r="Y335" s="261">
        <f>IF(ISNUMBER(Y321),IF(ABS(Y321-Y334)&lt;=1.5,0,ROUND(Y321-Y334,1)),"")</f>
        <v>0</v>
      </c>
      <c r="Z335" s="261">
        <f>IF(ISNUMBER(Z321),IF(ABS(Z321-Z334)&lt;=1.5,0,ROUND(Z321-Z334,1)),"")</f>
        <v>0</v>
      </c>
      <c r="AA335" s="261">
        <f>IF(ISNUMBER(AA321),IF(ABS(AA321-AA334)&lt;=1.5,0,ROUND(AA321-AA334,1)),"")</f>
        <v>0</v>
      </c>
      <c r="AB335" s="261">
        <f>IF(ISNUMBER(AB321),IF(ABS(AB321-AB334)&lt;=1.5,0,ROUND(AB321-AB334,1)),"")</f>
        <v>0</v>
      </c>
      <c r="AC335" s="261">
        <f>IF(ISNUMBER(AC321),IF(ABS(AC321-AC334)&lt;=1.5,0,ROUND(AC321-AC334,1)),"")</f>
        <v>0</v>
      </c>
      <c r="AD335" s="261">
        <f>IF(ISNUMBER(AD321),IF(ABS(AD321-AD334)&lt;=1.5,0,ROUND(AD321-AD334,1)),"")</f>
        <v>0</v>
      </c>
      <c r="AE335" s="261">
        <f>IF(ISNUMBER(AE321),IF(ABS(AE321-AE334)&lt;=1.5,0,ROUND(AE321-AE334,1)),"")</f>
        <v>0</v>
      </c>
      <c r="AF335" s="261">
        <f>IF(ISNUMBER(AF321),IF(ABS(AF321-AF334)&lt;=1.5,0,ROUND(AF321-AF334,1)),"")</f>
        <v>0</v>
      </c>
      <c r="AG335" s="261">
        <f>IF(ISNUMBER(AG321),IF(ABS(AG321-AG334)&lt;=1.5,0,ROUND(AG321-AG334,1)),"")</f>
        <v>0</v>
      </c>
      <c r="AH335" s="261">
        <f>IF(ISNUMBER(AH321),IF(ABS(AH321-AH334)&lt;=1.5,0,ROUND(AH321-AH334,1)),"")</f>
        <v>0</v>
      </c>
      <c r="AI335" s="261">
        <f>IF(ISNUMBER(AI321),IF(ABS(AI321-AI334)&lt;=1.5,0,ROUND(AI321-AI334,1)),"")</f>
        <v>0</v>
      </c>
      <c r="AJ335" s="261">
        <f>IF(ISNUMBER(AJ321),IF(ABS(AJ321-AJ334)&lt;=1.5,0,ROUND(AJ321-AJ334,1)),"")</f>
        <v>0</v>
      </c>
      <c r="AK335" s="261">
        <f>IF(ISNUMBER(AK321),IF(ABS(AK321-AK334)&lt;=1.5,0,ROUND(AK321-AK334,1)),"")</f>
        <v>0</v>
      </c>
      <c r="AL335" s="261">
        <f>IF(ISNUMBER(AL321),IF(ABS(AL321-AL334)&lt;=1.5,0,ROUND(AL321-AL334,1)),"")</f>
        <v>0</v>
      </c>
      <c r="AM335" s="261">
        <f>IF(ISNUMBER(AM321),IF(ABS(AM321-AM334)&lt;=1.5,0,ROUND(AM321-AM334,1)),"")</f>
        <v>0</v>
      </c>
      <c r="AN335" s="261">
        <f>IF(ISNUMBER(AN321),IF(ABS(AN321-AN334)&lt;=1.5,0,ROUND(AN321-AN334,1)),"")</f>
        <v>0</v>
      </c>
      <c r="AO335" s="261">
        <f>IF(ISNUMBER(AO321),IF(ABS(AO321-AO334)&lt;=1.5,0,ROUND(AO321-AO334,1)),"")</f>
        <v>0</v>
      </c>
      <c r="AP335" s="261">
        <f>IF(ISNUMBER(AP321),IF(ABS(AP321-AP334)&lt;=1.5,0,ROUND(AP321-AP334,1)),"")</f>
        <v>0</v>
      </c>
      <c r="AQ335" s="261">
        <f>IF(ISNUMBER(AQ321),IF(ABS(AQ321-AQ334)&lt;=1.5,0,ROUND(AQ321-AQ334,1)),"")</f>
        <v>0</v>
      </c>
      <c r="AR335" s="261">
        <f>IF(ISNUMBER(AR321),IF(ABS(AR321-AR334)&lt;=1.5,0,ROUND(AR321-AR334,1)),"")</f>
        <v>0</v>
      </c>
      <c r="AS335" s="261">
        <f>IF(ISNUMBER(AS321),IF(ABS(AS321-AS334)&lt;=1.5,0,ROUND(AS321-AS334,1)),"")</f>
        <v>0</v>
      </c>
      <c r="AT335" s="261">
        <f>IF(ISNUMBER(AT321),IF(ABS(AT321-AT334)&lt;=1.5,0,ROUND(AT321-AT334,1)),"")</f>
        <v>0</v>
      </c>
      <c r="AU335" s="261">
        <f>IF(ISNUMBER(AU321),IF(ABS(AU321-AU334)&lt;=1.5,0,ROUND(AU321-AU334,1)),"")</f>
        <v>0</v>
      </c>
      <c r="AV335" s="261">
        <f>IF(ISNUMBER(AV321),IF(ABS(AV321-AV334)&lt;=1.5,0,ROUND(AV321-AV334,1)),"")</f>
        <v>0</v>
      </c>
      <c r="AW335" s="261">
        <f>IF(ISNUMBER(AW321),IF(ABS(AW321-AW334)&lt;=1.5,0,ROUND(AW321-AW334,1)),"")</f>
        <v>0</v>
      </c>
      <c r="AX335" s="261">
        <f>IF(ISNUMBER(AX321),IF(ABS(AX321-AX334)&lt;=1.5,0,ROUND(AX321-AX334,1)),"")</f>
        <v>0</v>
      </c>
      <c r="AY335" s="261">
        <f>IF(ISNUMBER(AY321),IF(ABS(AY321-AY334)&lt;=1.5,0,ROUND(AY321-AY334,1)),"")</f>
        <v>0</v>
      </c>
      <c r="AZ335" s="261">
        <f>IF(ISNUMBER(AZ321),IF(ABS(AZ321-AZ334)&lt;=1.5,0,ROUND(AZ321-AZ334,1)),"")</f>
        <v>0</v>
      </c>
      <c r="BA335" s="261">
        <f>IF(ISNUMBER(BA321),IF(ABS(BA321-BA334)&lt;=1.5,0,ROUND(BA321-BA334,1)),"")</f>
        <v>0</v>
      </c>
      <c r="BB335" s="261">
        <f>IF(ISNUMBER(BB321),IF(ABS(BB321-BB334)&lt;=1.5,0,ROUND(BB321-BB334,1)),"")</f>
        <v>0</v>
      </c>
      <c r="BC335" s="261">
        <f>IF(ISNUMBER(BC321),IF(ABS(BC321-BC334)&lt;=1.5,0,ROUND(BC321-BC334,1)),"")</f>
        <v>0</v>
      </c>
      <c r="BD335" s="261">
        <f>IF(ISNUMBER(BD321),IF(ABS(BD321-BD334)&lt;=1.5,0,ROUND(BD321-BD334,1)),"")</f>
        <v>0</v>
      </c>
      <c r="BE335" s="261">
        <f>IF(ISNUMBER(BE321),IF(ABS(BE321-BE334)&lt;=1.5,0,ROUND(BE321-BE334,1)),"")</f>
        <v>0</v>
      </c>
      <c r="BF335" s="261">
        <f>IF(ISNUMBER(BF321),IF(ABS(BF321-BF334)&lt;=1.5,0,ROUND(BF321-BF334,1)),"")</f>
        <v>0</v>
      </c>
      <c r="BG335" s="261">
        <f>IF(ISNUMBER(BG321),IF(ABS(BG321-BG334)&lt;=1.5,0,ROUND(BG321-BG334,1)),"")</f>
        <v>0</v>
      </c>
      <c r="BH335" s="261">
        <f>IF(ISNUMBER(BH321),IF(ABS(BH321-BH334)&lt;=1.5,0,ROUND(BH321-BH334,1)),"")</f>
        <v>0</v>
      </c>
      <c r="BI335" s="261">
        <f>IF(ISNUMBER(BI321),IF(ABS(BI321-BI334)&lt;=1.5,0,ROUND(BI321-BI334,1)),"")</f>
        <v>0</v>
      </c>
      <c r="BJ335" s="261">
        <f>IF(ISNUMBER(BJ321),IF(ABS(BJ321-BJ334)&lt;=1.5,0,ROUND(BJ321-BJ334,1)),"")</f>
        <v>0</v>
      </c>
      <c r="BK335" s="261">
        <f>IF(ISNUMBER(BK321),IF(ABS(BK321-BK334)&lt;=1.5,0,ROUND(BK321-BK334,1)),"")</f>
        <v>0</v>
      </c>
      <c r="BL335" s="261">
        <f>IF(ISNUMBER(BL321),IF(ABS(BL321-BL334)&lt;=1.5,0,ROUND(BL321-BL334,1)),"")</f>
        <v>0</v>
      </c>
      <c r="BM335" s="261">
        <f>IF(ISNUMBER(BM321),IF(ABS(BM321-BM334)&lt;=1.5,0,ROUND(BM321-BM334,1)),"")</f>
        <v>0</v>
      </c>
      <c r="BN335" s="261">
        <f>IF(ISNUMBER(BN321),IF(ABS(BN321-BN334)&lt;=1.5,0,ROUND(BN321-BN334,1)),"")</f>
        <v>0</v>
      </c>
      <c r="BO335" s="261">
        <f>IF(ISNUMBER(BO321),IF(ABS(BO321-BO334)&lt;=1.5,0,ROUND(BO321-BO334,1)),"")</f>
        <v>0</v>
      </c>
      <c r="BP335" s="261">
        <f>IF(ISNUMBER(BP321),IF(ABS(BP321-BP334)&lt;=1.5,0,ROUND(BP321-BP334,1)),"")</f>
        <v>0</v>
      </c>
      <c r="BQ335" s="261">
        <f>IF(ISNUMBER(BQ321),IF(ABS(BQ321-BQ334)&lt;=1.5,0,ROUND(BQ321-BQ334,1)),"")</f>
        <v>0</v>
      </c>
      <c r="BR335" s="261">
        <f>IF(ISNUMBER(BR321),IF(ABS(BR321-BR334)&lt;=1.5,0,ROUND(BR321-BR334,1)),"")</f>
        <v>0</v>
      </c>
      <c r="BS335" s="261">
        <f>IF(ISNUMBER(BS321),IF(ABS(BS321-BS334)&lt;=1.5,0,ROUND(BS321-BS334,1)),"")</f>
        <v>0</v>
      </c>
      <c r="BT335" s="261">
        <f>IF(ISNUMBER(BT321),IF(ABS(BT321-BT334)&lt;=1.5,0,ROUND(BT321-BT334,1)),"")</f>
        <v>0</v>
      </c>
      <c r="BU335" s="261">
        <f>IF(ISNUMBER(BU321),IF(ABS(BU321-BU334)&lt;=1.5,0,ROUND(BU321-BU334,1)),"")</f>
        <v>0</v>
      </c>
      <c r="BV335" s="261">
        <f>IF(ISNUMBER(BV321),IF(ABS(BV321-BV334)&lt;=1.5,0,ROUND(BV321-BV334,1)),"")</f>
        <v>0</v>
      </c>
      <c r="BW335" s="261">
        <f>IF(ISNUMBER(BW321),IF(ABS(BW321-BW334)&lt;=1.5,0,ROUND(BW321-BW334,1)),"")</f>
        <v>0</v>
      </c>
      <c r="BX335" s="261">
        <f>IF(ISNUMBER(BX321),IF(ABS(BX321-BX334)&lt;=1.5,0,ROUND(BX321-BX334,1)),"")</f>
        <v>0</v>
      </c>
      <c r="BY335" s="153" t="n"/>
      <c r="BZ335" s="153" t="n"/>
      <c r="CA335" s="267">
        <f>IF(ISNUMBER(CA321),IF(ABS(CA321-CA334)&lt;=1.5,0,ROUND(CA321-CA334,1)),"")</f>
        <v>0</v>
      </c>
      <c r="CB335" s="267">
        <f>IF(ISNUMBER(CB321),IF(ABS(CB321-CB334)&lt;=1.5,0,ROUND(CB321-CB334,1)),"")</f>
        <v>0</v>
      </c>
      <c r="CC335" s="267">
        <f>IF(ISNUMBER(CC321),IF(ABS(CC321-CC334)&lt;=1.5,0,ROUND(CC321-CC334,1)),"")</f>
        <v>0</v>
      </c>
      <c r="CD335" s="267">
        <f>IF(ISNUMBER(CD321),IF(ABS(CD321-CD334)&lt;=1.5,0,ROUND(CD321-CD334,1)),"")</f>
        <v>0</v>
      </c>
      <c r="CE335" s="267">
        <f>IF(ISNUMBER(CE321),IF(ABS(CE321-CE334)&lt;=1.5,0,ROUND(CE321-CE334,1)),"")</f>
        <v>0</v>
      </c>
      <c r="CF335" s="153" t="n"/>
    </row>
    <row r="336" ht="15" customHeight="1" s="251">
      <c r="B336" s="57" t="inlineStr">
        <is>
          <t xml:space="preserve">  Check: model total assets vs reported (should be 0)</t>
        </is>
      </c>
      <c r="C336" s="261">
        <f>IF(ISNUMBER(C337),IF(ABS(C321-C337)&lt;=1.5,0,ROUND(C321-C337,1)),"")</f>
        <v>0</v>
      </c>
      <c r="D336" s="261">
        <f>IF(ISNUMBER(D337),IF(ABS(D321-D337)&lt;=1.5,0,ROUND(D321-D337,1)),"")</f>
        <v>0</v>
      </c>
      <c r="E336" s="261">
        <f>IF(ISNUMBER(E337),IF(ABS(E321-E337)&lt;=1.5,0,ROUND(E321-E337,1)),"")</f>
        <v>0</v>
      </c>
      <c r="F336" s="261">
        <f>IF(ISNUMBER(F337),IF(ABS(F321-F337)&lt;=1.5,0,ROUND(F321-F337,1)),"")</f>
        <v>0</v>
      </c>
      <c r="G336" s="261">
        <f>IF(ISNUMBER(G337),IF(ABS(G321-G337)&lt;=1.5,0,ROUND(G321-G337,1)),"")</f>
        <v>0</v>
      </c>
      <c r="H336" s="261">
        <f>IF(ISNUMBER(H337),IF(ABS(H321-H337)&lt;=1.5,0,ROUND(H321-H337,1)),"")</f>
        <v>0</v>
      </c>
      <c r="I336" s="261">
        <f>IF(ISNUMBER(I337),IF(ABS(I321-I337)&lt;=1.5,0,ROUND(I321-I337,1)),"")</f>
        <v>0</v>
      </c>
      <c r="J336" s="261">
        <f>IF(ISNUMBER(J337),IF(ABS(J321-J337)&lt;=1.5,0,ROUND(J321-J337,1)),"")</f>
        <v>0</v>
      </c>
      <c r="K336" s="261">
        <f>IF(ISNUMBER(K337),IF(ABS(K321-K337)&lt;=1.5,0,ROUND(K321-K337,1)),"")</f>
        <v>0</v>
      </c>
      <c r="L336" s="261">
        <f>IF(ISNUMBER(L337),IF(ABS(L321-L337)&lt;=1.5,0,ROUND(L321-L337,1)),"")</f>
        <v>0</v>
      </c>
      <c r="M336" s="261">
        <f>IF(ISNUMBER(M337),IF(ABS(M321-M337)&lt;=1.5,0,ROUND(M321-M337,1)),"")</f>
        <v>0</v>
      </c>
      <c r="N336" s="261">
        <f>IF(ISNUMBER(N337),IF(ABS(N321-N337)&lt;=1.5,0,ROUND(N321-N337,1)),"")</f>
        <v>0</v>
      </c>
      <c r="O336" s="261">
        <f>IF(ISNUMBER(O337),IF(ABS(O321-O337)&lt;=1.5,0,ROUND(O321-O337,1)),"")</f>
        <v>0</v>
      </c>
      <c r="P336" s="261">
        <f>IF(ISNUMBER(P337),IF(ABS(P321-P337)&lt;=1.5,0,ROUND(P321-P337,1)),"")</f>
        <v>0</v>
      </c>
      <c r="Q336" s="261">
        <f>IF(ISNUMBER(Q337),IF(ABS(Q321-Q337)&lt;=1.5,0,ROUND(Q321-Q337,1)),"")</f>
        <v>0</v>
      </c>
      <c r="R336" s="261">
        <f>IF(ISNUMBER(R337),IF(ABS(R321-R337)&lt;=1.5,0,ROUND(R321-R337,1)),"")</f>
        <v>0</v>
      </c>
      <c r="S336" s="261">
        <f>IF(ISNUMBER(S337),IF(ABS(S321-S337)&lt;=1.5,0,ROUND(S321-S337,1)),"")</f>
        <v>0</v>
      </c>
      <c r="T336" s="261">
        <f>IF(ISNUMBER(T337),IF(ABS(T321-T337)&lt;=1.5,0,ROUND(T321-T337,1)),"")</f>
        <v>0</v>
      </c>
      <c r="U336" s="261">
        <f>IF(ISNUMBER(U337),IF(ABS(U321-U337)&lt;=1.5,0,ROUND(U321-U337,1)),"")</f>
        <v>0</v>
      </c>
      <c r="V336" s="261">
        <f>IF(ISNUMBER(V337),IF(ABS(V321-V337)&lt;=1.5,0,ROUND(V321-V337,1)),"")</f>
        <v>0</v>
      </c>
      <c r="W336" s="261">
        <f>IF(ISNUMBER(W337),IF(ABS(W321-W337)&lt;=1.5,0,ROUND(W321-W337,1)),"")</f>
        <v>0</v>
      </c>
      <c r="X336" s="261">
        <f>IF(ISNUMBER(X337),IF(ABS(X321-X337)&lt;=1.5,0,ROUND(X321-X337,1)),"")</f>
        <v>0</v>
      </c>
      <c r="Y336" s="261">
        <f>IF(ISNUMBER(Y337),IF(ABS(Y321-Y337)&lt;=1.5,0,ROUND(Y321-Y337,1)),"")</f>
        <v>0</v>
      </c>
      <c r="Z336" s="261">
        <f>IF(ISNUMBER(Z337),IF(ABS(Z321-Z337)&lt;=1.5,0,ROUND(Z321-Z337,1)),"")</f>
        <v>0</v>
      </c>
      <c r="AA336" s="261">
        <f>IF(ISNUMBER(AA337),IF(ABS(AA321-AA337)&lt;=1.5,0,ROUND(AA321-AA337,1)),"")</f>
        <v>0</v>
      </c>
      <c r="AB336" s="261">
        <f>IF(ISNUMBER(AB337),IF(ABS(AB321-AB337)&lt;=1.5,0,ROUND(AB321-AB337,1)),"")</f>
        <v>0</v>
      </c>
      <c r="AC336" s="261">
        <f>IF(ISNUMBER(AC337),IF(ABS(AC321-AC337)&lt;=1.5,0,ROUND(AC321-AC337,1)),"")</f>
        <v>0</v>
      </c>
      <c r="AD336" s="261">
        <f>IF(ISNUMBER(AD337),IF(ABS(AD321-AD337)&lt;=1.5,0,ROUND(AD321-AD337,1)),"")</f>
        <v>0</v>
      </c>
      <c r="AE336" s="261">
        <f>IF(ISNUMBER(AE337),IF(ABS(AE321-AE337)&lt;=1.5,0,ROUND(AE321-AE337,1)),"")</f>
        <v>0</v>
      </c>
      <c r="AF336" s="261">
        <f>IF(ISNUMBER(AF337),IF(ABS(AF321-AF337)&lt;=1.5,0,ROUND(AF321-AF337,1)),"")</f>
        <v>0</v>
      </c>
      <c r="AG336" s="261">
        <f>IF(ISNUMBER(AG337),IF(ABS(AG321-AG337)&lt;=1.5,0,ROUND(AG321-AG337,1)),"")</f>
        <v>0</v>
      </c>
      <c r="AH336" s="261">
        <f>IF(ISNUMBER(AH337),IF(ABS(AH321-AH337)&lt;=1.5,0,ROUND(AH321-AH337,1)),"")</f>
        <v>0</v>
      </c>
      <c r="AI336" s="261">
        <f>IF(ISNUMBER(AI337),IF(ABS(AI321-AI337)&lt;=1.5,0,ROUND(AI321-AI337,1)),"")</f>
        <v>0</v>
      </c>
      <c r="AJ336" s="261">
        <f>IF(ISNUMBER(AJ337),IF(ABS(AJ321-AJ337)&lt;=1.5,0,ROUND(AJ321-AJ337,1)),"")</f>
        <v>0</v>
      </c>
      <c r="AK336" s="261">
        <f>IF(ISNUMBER(AK337),IF(ABS(AK321-AK337)&lt;=1.5,0,ROUND(AK321-AK337,1)),"")</f>
        <v>0</v>
      </c>
      <c r="AL336" s="261">
        <f>IF(ISNUMBER(AL337),IF(ABS(AL321-AL337)&lt;=1.5,0,ROUND(AL321-AL337,1)),"")</f>
        <v>0</v>
      </c>
      <c r="AM336" s="261">
        <f>IF(ISNUMBER(AM337),IF(ABS(AM321-AM337)&lt;=1.5,0,ROUND(AM321-AM337,1)),"")</f>
        <v>0</v>
      </c>
      <c r="AN336" s="261">
        <f>IF(ISNUMBER(AN337),IF(ABS(AN321-AN337)&lt;=1.5,0,ROUND(AN321-AN337,1)),"")</f>
        <v>0</v>
      </c>
      <c r="AO336" s="261">
        <f>IF(ISNUMBER(AO337),IF(ABS(AO321-AO337)&lt;=1.5,0,ROUND(AO321-AO337,1)),"")</f>
        <v>0</v>
      </c>
      <c r="AP336" s="261">
        <f>IF(ISNUMBER(AP337),IF(ABS(AP321-AP337)&lt;=1.5,0,ROUND(AP321-AP337,1)),"")</f>
        <v>0</v>
      </c>
      <c r="AQ336" s="261">
        <f>IF(ISNUMBER(AQ337),IF(ABS(AQ321-AQ337)&lt;=1.5,0,ROUND(AQ321-AQ337,1)),"")</f>
        <v>0</v>
      </c>
      <c r="AR336" s="261">
        <f>IF(ISNUMBER(AR337),IF(ABS(AR321-AR337)&lt;=1.5,0,ROUND(AR321-AR337,1)),"")</f>
        <v>0</v>
      </c>
      <c r="AS336" s="261">
        <f>IF(ISNUMBER(AS337),IF(ABS(AS321-AS337)&lt;=1.5,0,ROUND(AS321-AS337,1)),"")</f>
        <v>0</v>
      </c>
      <c r="AT336" s="261">
        <f>IF(ISNUMBER(AT337),IF(ABS(AT321-AT337)&lt;=1.5,0,ROUND(AT321-AT337,1)),"")</f>
        <v>0</v>
      </c>
      <c r="AU336" s="261">
        <f>IF(ISNUMBER(AU337),IF(ABS(AU321-AU337)&lt;=1.5,0,ROUND(AU321-AU337,1)),"")</f>
        <v>0</v>
      </c>
      <c r="AV336" s="261">
        <f>IF(ISNUMBER(AV337),IF(ABS(AV321-AV337)&lt;=1.5,0,ROUND(AV321-AV337,1)),"")</f>
        <v>0</v>
      </c>
      <c r="AW336" s="261">
        <f>IF(ISNUMBER(AW337),IF(ABS(AW321-AW337)&lt;=1.5,0,ROUND(AW321-AW337,1)),"")</f>
        <v>0</v>
      </c>
      <c r="AX336" s="261">
        <f>IF(ISNUMBER(AX337),IF(ABS(AX321-AX337)&lt;=1.5,0,ROUND(AX321-AX337,1)),"")</f>
        <v>0</v>
      </c>
      <c r="AY336" s="261">
        <f>IF(ISNUMBER(AY337),IF(ABS(AY321-AY337)&lt;=1.5,0,ROUND(AY321-AY337,1)),"")</f>
        <v>0</v>
      </c>
      <c r="AZ336" s="261">
        <f>IF(ISNUMBER(AZ337),IF(ABS(AZ321-AZ337)&lt;=1.5,0,ROUND(AZ321-AZ337,1)),"")</f>
        <v>0</v>
      </c>
      <c r="BA336" s="261">
        <f>IF(ISNUMBER(BA337),IF(ABS(BA321-BA337)&lt;=1.5,0,ROUND(BA321-BA337,1)),"")</f>
        <v>0</v>
      </c>
      <c r="BB336" s="261">
        <f>IF(ISNUMBER(BB337),IF(ABS(BB321-BB337)&lt;=1.5,0,ROUND(BB321-BB337,1)),"")</f>
        <v>0</v>
      </c>
      <c r="BC336" s="261">
        <f>IF(ISNUMBER(BC337),IF(ABS(BC321-BC337)&lt;=1.5,0,ROUND(BC321-BC337,1)),"")</f>
        <v>0</v>
      </c>
      <c r="BD336" s="261">
        <f>IF(ISNUMBER(BD337),IF(ABS(BD321-BD337)&lt;=1.5,0,ROUND(BD321-BD337,1)),"")</f>
        <v>0</v>
      </c>
      <c r="BE336" s="261">
        <f>IF(ISNUMBER(BE337),IF(ABS(BE321-BE337)&lt;=1.5,0,ROUND(BE321-BE337,1)),"")</f>
        <v>0</v>
      </c>
      <c r="BF336" s="261">
        <f>IF(ISNUMBER(BF337),IF(ABS(BF321-BF337)&lt;=1.5,0,ROUND(BF321-BF337,1)),"")</f>
        <v>0</v>
      </c>
      <c r="BG336" s="261">
        <f>IF(ISNUMBER(BG337),IF(ABS(BG321-BG337)&lt;=1.5,0,ROUND(BG321-BG337,1)),"")</f>
        <v>0</v>
      </c>
      <c r="BH336" s="261">
        <f>IF(ISNUMBER(BH337),IF(ABS(BH321-BH337)&lt;=1.5,0,ROUND(BH321-BH337,1)),"")</f>
        <v>0</v>
      </c>
      <c r="BI336" s="261">
        <f>IF(ISNUMBER(BI337),IF(ABS(BI321-BI337)&lt;=1.5,0,ROUND(BI321-BI337,1)),"")</f>
        <v>0</v>
      </c>
      <c r="BJ336" s="261">
        <f>IF(ISNUMBER(BJ337),IF(ABS(BJ321-BJ337)&lt;=1.5,0,ROUND(BJ321-BJ337,1)),"")</f>
        <v>0</v>
      </c>
      <c r="BK336" s="261">
        <f>IF(ISNUMBER(BK337),IF(ABS(BK321-BK337)&lt;=1.5,0,ROUND(BK321-BK337,1)),"")</f>
        <v>0</v>
      </c>
      <c r="BL336" s="261">
        <f>IF(ISNUMBER(BL337),IF(ABS(BL321-BL337)&lt;=1.5,0,ROUND(BL321-BL337,1)),"")</f>
        <v>0</v>
      </c>
      <c r="BM336" s="261">
        <f>IF(ISNUMBER(BM337),IF(ABS(BM321-BM337)&lt;=1.5,0,ROUND(BM321-BM337,1)),"")</f>
        <v>0</v>
      </c>
      <c r="BN336" s="261">
        <f>IF(ISNUMBER(BN337),IF(ABS(BN321-BN337)&lt;=1.5,0,ROUND(BN321-BN337,1)),"")</f>
        <v>0</v>
      </c>
      <c r="BO336" s="261">
        <f>IF(ISNUMBER(BO337),IF(ABS(BO321-BO337)&lt;=1.5,0,ROUND(BO321-BO337,1)),"")</f>
        <v>0</v>
      </c>
      <c r="BP336" s="261">
        <f>IF(ISNUMBER(BP337),IF(ABS(BP321-BP337)&lt;=1.5,0,ROUND(BP321-BP337,1)),"")</f>
        <v>0</v>
      </c>
      <c r="BQ336" s="261">
        <f>IF(ISNUMBER(BQ337),IF(ABS(BQ321-BQ337)&lt;=1.5,0,ROUND(BQ321-BQ337,1)),"")</f>
        <v>0</v>
      </c>
      <c r="BR336" s="261">
        <f>IF(ISNUMBER(BR337),IF(ABS(BR321-BR337)&lt;=1.5,0,ROUND(BR321-BR337,1)),"")</f>
        <v>0</v>
      </c>
      <c r="BS336" s="261">
        <f>IF(ISNUMBER(BS337),IF(ABS(BS321-BS337)&lt;=1.5,0,ROUND(BS321-BS337,1)),"")</f>
        <v>0</v>
      </c>
      <c r="BT336" s="261">
        <f>IF(ISNUMBER(BT337),IF(ABS(BT321-BT337)&lt;=1.5,0,ROUND(BT321-BT337,1)),"")</f>
        <v>0</v>
      </c>
      <c r="BU336" s="261">
        <f>IF(ISNUMBER(BU337),IF(ABS(BU321-BU337)&lt;=1.5,0,ROUND(BU321-BU337,1)),"")</f>
        <v>0</v>
      </c>
      <c r="BV336" s="261">
        <f>IF(ISNUMBER(BV337),IF(ABS(BV321-BV337)&lt;=1.5,0,ROUND(BV321-BV337,1)),"")</f>
        <v>0</v>
      </c>
      <c r="BW336" s="261">
        <f>IF(ISNUMBER(BW337),IF(ABS(BW321-BW337)&lt;=1.5,0,ROUND(BW321-BW337,1)),"")</f>
        <v>0</v>
      </c>
      <c r="BX336" s="261">
        <f>IF(ISNUMBER(BX337),IF(ABS(BX321-BX337)&lt;=1.5,0,ROUND(BX321-BX337,1)),"")</f>
        <v>0</v>
      </c>
      <c r="BY336" s="153" t="n"/>
      <c r="BZ336" s="153" t="n"/>
      <c r="CA336" s="153" t="n"/>
      <c r="CB336" s="153" t="n"/>
      <c r="CC336" s="153" t="n"/>
      <c r="CD336" s="153" t="n"/>
      <c r="CE336" s="153" t="n"/>
      <c r="CF336" s="153" t="n"/>
    </row>
    <row r="337" ht="15" customHeight="1" s="251">
      <c r="B337" s="156" t="inlineStr">
        <is>
          <t xml:space="preserve">  Memo: total assets as reported</t>
        </is>
      </c>
      <c r="C337" s="253" t="n">
        <v>1497.7</v>
      </c>
      <c r="D337" s="253" t="n">
        <v>1714.6</v>
      </c>
      <c r="E337" s="253" t="n">
        <v>1773.4</v>
      </c>
      <c r="F337" s="253" t="n">
        <v>2003.3</v>
      </c>
      <c r="G337" s="253" t="n">
        <v>2540.3</v>
      </c>
      <c r="H337" s="253" t="n">
        <v>2876.1</v>
      </c>
      <c r="I337" s="253" t="n">
        <v>3960.9</v>
      </c>
      <c r="J337" s="253" t="n">
        <v>3911.2</v>
      </c>
      <c r="K337" s="253" t="n">
        <v>3794.3</v>
      </c>
      <c r="L337" s="253" t="n">
        <v>4154.5</v>
      </c>
      <c r="M337" s="253" t="n">
        <v>4395.1</v>
      </c>
      <c r="N337" s="253" t="n">
        <v>4395.1</v>
      </c>
      <c r="O337" s="253" t="n">
        <v>4353.4</v>
      </c>
      <c r="P337" s="253" t="n">
        <v>4786.6</v>
      </c>
      <c r="Q337" s="253" t="n">
        <v>4993.7</v>
      </c>
      <c r="R337" s="253" t="n">
        <v>4669</v>
      </c>
      <c r="S337" s="253" t="n">
        <v>4669</v>
      </c>
      <c r="T337" s="253" t="n">
        <v>4976</v>
      </c>
      <c r="U337" s="253" t="n">
        <v>4999.5</v>
      </c>
      <c r="V337" s="253" t="n">
        <v>4772.9</v>
      </c>
      <c r="W337" s="253" t="n">
        <v>5123.4</v>
      </c>
      <c r="X337" s="253" t="n">
        <v>5123.4</v>
      </c>
      <c r="Y337" s="253" t="n">
        <v>5114.9</v>
      </c>
      <c r="Z337" s="253" t="n">
        <v>5044.9</v>
      </c>
      <c r="AA337" s="253" t="n">
        <v>5019.3</v>
      </c>
      <c r="AB337" s="253" t="n">
        <v>5327.3</v>
      </c>
      <c r="AC337" s="253" t="n">
        <v>5327.3</v>
      </c>
      <c r="AD337" s="253" t="n">
        <v>5435.9</v>
      </c>
      <c r="AE337" s="253" t="n">
        <v>6536.3</v>
      </c>
      <c r="AF337" s="253" t="n">
        <v>8304.9</v>
      </c>
      <c r="AG337" s="253" t="n">
        <v>8594.200000000001</v>
      </c>
      <c r="AH337" s="253" t="n">
        <v>8594.200000000001</v>
      </c>
      <c r="AI337" s="253" t="n">
        <v>9014</v>
      </c>
      <c r="AJ337" s="253" t="n">
        <v>8751.6</v>
      </c>
      <c r="AK337" s="253" t="n">
        <v>8439.1</v>
      </c>
      <c r="AL337" s="253" t="n">
        <v>9526.200000000001</v>
      </c>
      <c r="AM337" s="253" t="n">
        <v>9526.200000000001</v>
      </c>
      <c r="AN337" s="253" t="n">
        <v>9518.1</v>
      </c>
      <c r="AO337" s="253" t="n">
        <v>9591.6</v>
      </c>
      <c r="AP337" s="253" t="n">
        <v>9477.799999999999</v>
      </c>
      <c r="AQ337" s="253" t="n">
        <v>10265</v>
      </c>
      <c r="AR337" s="253" t="n">
        <v>10265</v>
      </c>
      <c r="AS337" s="253" t="n">
        <v>11306</v>
      </c>
      <c r="AT337" s="253" t="n">
        <v>11298</v>
      </c>
      <c r="AU337" s="253" t="n">
        <v>11672</v>
      </c>
      <c r="AV337" s="253" t="n">
        <v>12409</v>
      </c>
      <c r="AW337" s="253" t="n">
        <v>12409</v>
      </c>
      <c r="AX337" s="253" t="n">
        <v>12500</v>
      </c>
      <c r="AY337" s="253" t="n">
        <v>12552</v>
      </c>
      <c r="AZ337" s="253" t="n">
        <v>14414</v>
      </c>
      <c r="BA337" s="253" t="n">
        <v>14680</v>
      </c>
      <c r="BB337" s="253" t="n">
        <v>14680</v>
      </c>
      <c r="BC337" s="253" t="n">
        <v>14739</v>
      </c>
      <c r="BD337" s="253" t="n">
        <v>14315</v>
      </c>
      <c r="BE337" s="253" t="n">
        <v>13939</v>
      </c>
      <c r="BF337" s="253" t="n">
        <v>14349</v>
      </c>
      <c r="BG337" s="253" t="n">
        <v>14349</v>
      </c>
      <c r="BH337" s="253" t="n">
        <v>14719</v>
      </c>
      <c r="BI337" s="253" t="n">
        <v>14691</v>
      </c>
      <c r="BJ337" s="253" t="n">
        <v>14191</v>
      </c>
      <c r="BK337" s="253" t="n">
        <v>14622</v>
      </c>
      <c r="BL337" s="253" t="n">
        <v>14622</v>
      </c>
      <c r="BM337" s="253" t="n">
        <v>15011</v>
      </c>
      <c r="BN337" s="253" t="n">
        <v>15013</v>
      </c>
      <c r="BO337" s="253" t="n">
        <v>15769</v>
      </c>
      <c r="BP337" s="253" t="n">
        <v>15505</v>
      </c>
      <c r="BQ337" s="253" t="n">
        <v>15505</v>
      </c>
      <c r="BR337" s="253" t="n">
        <v>15096</v>
      </c>
      <c r="BS337" s="253" t="n">
        <v>15487</v>
      </c>
      <c r="BT337" s="253" t="n">
        <v>15415</v>
      </c>
      <c r="BU337" s="253" t="n">
        <v>15830</v>
      </c>
      <c r="BV337" s="253" t="n">
        <v>15830</v>
      </c>
      <c r="BW337" s="253" t="n">
        <v>14732</v>
      </c>
      <c r="BX337" s="253" t="n">
        <v>14675</v>
      </c>
      <c r="BY337" s="153" t="n"/>
      <c r="BZ337" s="153" t="n"/>
      <c r="CA337" s="153" t="n"/>
      <c r="CB337" s="153" t="n"/>
      <c r="CC337" s="153" t="n"/>
      <c r="CD337" s="153" t="n"/>
      <c r="CE337" s="153" t="n"/>
      <c r="CF337" s="153" t="n"/>
    </row>
    <row r="338" ht="15" customHeight="1" s="251">
      <c r="B338" s="57" t="inlineStr">
        <is>
          <t xml:space="preserve">  Check: BS cash vs cash-flow ending cash (should be 0)</t>
        </is>
      </c>
      <c r="C338" s="261">
        <f>IF(AND(ISNUMBER(C312),ISNUMBER(C284)),IF(ABS(C312+N(C339)-C284)&lt;=1.5,0,ROUND(C312+N(C339)-C284,1)),"")</f>
        <v>0</v>
      </c>
      <c r="D338" s="261">
        <f>IF(AND(ISNUMBER(D312),ISNUMBER(D284)),IF(ABS(D312+N(D339)-D284)&lt;=1.5,0,ROUND(D312+N(D339)-D284,1)),"")</f>
        <v>0</v>
      </c>
      <c r="E338" s="261">
        <f>IF(AND(ISNUMBER(E312),ISNUMBER(E284)),IF(ABS(E312+N(E339)-E284)&lt;=1.5,0,ROUND(E312+N(E339)-E284,1)),"")</f>
        <v>0</v>
      </c>
      <c r="F338" s="261">
        <f>IF(AND(ISNUMBER(F312),ISNUMBER(F284)),IF(ABS(F312+N(F339)-F284)&lt;=1.5,0,ROUND(F312+N(F339)-F284,1)),"")</f>
        <v>0</v>
      </c>
      <c r="G338" s="261">
        <f>IF(AND(ISNUMBER(G312),ISNUMBER(G284)),IF(ABS(G312+N(G339)-G284)&lt;=1.5,0,ROUND(G312+N(G339)-G284,1)),"")</f>
        <v>0</v>
      </c>
      <c r="H338" s="261">
        <f>IF(AND(ISNUMBER(H312),ISNUMBER(H284)),IF(ABS(H312+N(H339)-H284)&lt;=1.5,0,ROUND(H312+N(H339)-H284,1)),"")</f>
        <v>0</v>
      </c>
      <c r="I338" s="261">
        <f>IF(AND(ISNUMBER(I312),ISNUMBER(I284)),IF(ABS(I312+N(I339)-I284)&lt;=1.5,0,ROUND(I312+N(I339)-I284,1)),"")</f>
        <v>0</v>
      </c>
      <c r="J338" s="261">
        <f>IF(AND(ISNUMBER(J312),ISNUMBER(J284)),IF(ABS(J312+N(J339)-J284)&lt;=1.5,0,ROUND(J312+N(J339)-J284,1)),"")</f>
        <v>0</v>
      </c>
      <c r="K338" s="261">
        <f>IF(AND(ISNUMBER(K312),ISNUMBER(K284)),IF(ABS(K312+N(K339)-K284)&lt;=1.5,0,ROUND(K312+N(K339)-K284,1)),"")</f>
        <v>0</v>
      </c>
      <c r="L338" s="261">
        <f>IF(AND(ISNUMBER(L312),ISNUMBER(L284)),IF(ABS(L312+N(L339)-L284)&lt;=1.5,0,ROUND(L312+N(L339)-L284,1)),"")</f>
        <v>0</v>
      </c>
      <c r="M338" s="261">
        <f>IF(AND(ISNUMBER(M312),ISNUMBER(M284)),IF(ABS(M312+N(M339)-M284)&lt;=1.5,0,ROUND(M312+N(M339)-M284,1)),"")</f>
        <v>0</v>
      </c>
      <c r="N338" s="261">
        <f>IF(AND(ISNUMBER(N312),ISNUMBER(N284)),IF(ABS(N312+N(N339)-N284)&lt;=1.5,0,ROUND(N312+N(N339)-N284,1)),"")</f>
        <v>0</v>
      </c>
      <c r="O338" s="261">
        <f>IF(AND(ISNUMBER(O312),ISNUMBER(O284)),IF(ABS(O312+N(O339)-O284)&lt;=1.5,0,ROUND(O312+N(O339)-O284,1)),"")</f>
        <v>0</v>
      </c>
      <c r="P338" s="261">
        <f>IF(AND(ISNUMBER(P312),ISNUMBER(P284)),IF(ABS(P312+N(P339)-P284)&lt;=1.5,0,ROUND(P312+N(P339)-P284,1)),"")</f>
        <v>0</v>
      </c>
      <c r="Q338" s="261">
        <f>IF(AND(ISNUMBER(Q312),ISNUMBER(Q284)),IF(ABS(Q312+N(Q339)-Q284)&lt;=1.5,0,ROUND(Q312+N(Q339)-Q284,1)),"")</f>
        <v>0</v>
      </c>
      <c r="R338" s="261">
        <f>IF(AND(ISNUMBER(R312),ISNUMBER(R284)),IF(ABS(R312+N(R339)-R284)&lt;=1.5,0,ROUND(R312+N(R339)-R284,1)),"")</f>
        <v>0</v>
      </c>
      <c r="S338" s="261">
        <f>IF(AND(ISNUMBER(S312),ISNUMBER(S284)),IF(ABS(S312+N(S339)-S284)&lt;=1.5,0,ROUND(S312+N(S339)-S284,1)),"")</f>
        <v>0</v>
      </c>
      <c r="T338" s="261">
        <f>IF(AND(ISNUMBER(T312),ISNUMBER(T284)),IF(ABS(T312+N(T339)-T284)&lt;=1.5,0,ROUND(T312+N(T339)-T284,1)),"")</f>
        <v>0</v>
      </c>
      <c r="U338" s="261">
        <f>IF(AND(ISNUMBER(U312),ISNUMBER(U284)),IF(ABS(U312+N(U339)-U284)&lt;=1.5,0,ROUND(U312+N(U339)-U284,1)),"")</f>
        <v>0</v>
      </c>
      <c r="V338" s="261">
        <f>IF(AND(ISNUMBER(V312),ISNUMBER(V284)),IF(ABS(V312+N(V339)-V284)&lt;=1.5,0,ROUND(V312+N(V339)-V284,1)),"")</f>
        <v>0</v>
      </c>
      <c r="W338" s="261">
        <f>IF(AND(ISNUMBER(W312),ISNUMBER(W284)),IF(ABS(W312+N(W339)-W284)&lt;=1.5,0,ROUND(W312+N(W339)-W284,1)),"")</f>
        <v>0</v>
      </c>
      <c r="X338" s="261">
        <f>IF(AND(ISNUMBER(X312),ISNUMBER(X284)),IF(ABS(X312+N(X339)-X284)&lt;=1.5,0,ROUND(X312+N(X339)-X284,1)),"")</f>
        <v>0</v>
      </c>
      <c r="Y338" s="261">
        <f>IF(AND(ISNUMBER(Y312),ISNUMBER(Y284)),IF(ABS(Y312+N(Y339)-Y284)&lt;=1.5,0,ROUND(Y312+N(Y339)-Y284,1)),"")</f>
        <v>0</v>
      </c>
      <c r="Z338" s="261">
        <f>IF(AND(ISNUMBER(Z312),ISNUMBER(Z284)),IF(ABS(Z312+N(Z339)-Z284)&lt;=1.5,0,ROUND(Z312+N(Z339)-Z284,1)),"")</f>
        <v>0</v>
      </c>
      <c r="AA338" s="261">
        <f>IF(AND(ISNUMBER(AA312),ISNUMBER(AA284)),IF(ABS(AA312+N(AA339)-AA284)&lt;=1.5,0,ROUND(AA312+N(AA339)-AA284,1)),"")</f>
        <v>0</v>
      </c>
      <c r="AB338" s="261">
        <f>IF(AND(ISNUMBER(AB312),ISNUMBER(AB284)),IF(ABS(AB312+N(AB339)-AB284)&lt;=1.5,0,ROUND(AB312+N(AB339)-AB284,1)),"")</f>
        <v>0</v>
      </c>
      <c r="AC338" s="261">
        <f>IF(AND(ISNUMBER(AC312),ISNUMBER(AC284)),IF(ABS(AC312+N(AC339)-AC284)&lt;=1.5,0,ROUND(AC312+N(AC339)-AC284,1)),"")</f>
        <v>0</v>
      </c>
      <c r="AD338" s="261">
        <f>IF(AND(ISNUMBER(AD312),ISNUMBER(AD284)),IF(ABS(AD312+N(AD339)-AD284)&lt;=1.5,0,ROUND(AD312+N(AD339)-AD284,1)),"")</f>
        <v>0</v>
      </c>
      <c r="AE338" s="261">
        <f>IF(AND(ISNUMBER(AE312),ISNUMBER(AE284)),IF(ABS(AE312+N(AE339)-AE284)&lt;=1.5,0,ROUND(AE312+N(AE339)-AE284,1)),"")</f>
        <v>0</v>
      </c>
      <c r="AF338" s="261">
        <f>IF(AND(ISNUMBER(AF312),ISNUMBER(AF284)),IF(ABS(AF312+N(AF339)-AF284)&lt;=1.5,0,ROUND(AF312+N(AF339)-AF284,1)),"")</f>
        <v>0</v>
      </c>
      <c r="AG338" s="261">
        <f>IF(AND(ISNUMBER(AG312),ISNUMBER(AG284)),IF(ABS(AG312+N(AG339)-AG284)&lt;=1.5,0,ROUND(AG312+N(AG339)-AG284,1)),"")</f>
        <v>0</v>
      </c>
      <c r="AH338" s="261">
        <f>IF(AND(ISNUMBER(AH312),ISNUMBER(AH284)),IF(ABS(AH312+N(AH339)-AH284)&lt;=1.5,0,ROUND(AH312+N(AH339)-AH284,1)),"")</f>
        <v>0</v>
      </c>
      <c r="AI338" s="261">
        <f>IF(AND(ISNUMBER(AI312),ISNUMBER(AI284)),IF(ABS(AI312+N(AI339)-AI284)&lt;=1.5,0,ROUND(AI312+N(AI339)-AI284,1)),"")</f>
        <v>0</v>
      </c>
      <c r="AJ338" s="261">
        <f>IF(AND(ISNUMBER(AJ312),ISNUMBER(AJ284)),IF(ABS(AJ312+N(AJ339)-AJ284)&lt;=1.5,0,ROUND(AJ312+N(AJ339)-AJ284,1)),"")</f>
        <v>0</v>
      </c>
      <c r="AK338" s="261">
        <f>IF(AND(ISNUMBER(AK312),ISNUMBER(AK284)),IF(ABS(AK312+N(AK339)-AK284)&lt;=1.5,0,ROUND(AK312+N(AK339)-AK284,1)),"")</f>
        <v>0</v>
      </c>
      <c r="AL338" s="261">
        <f>IF(AND(ISNUMBER(AL312),ISNUMBER(AL284)),IF(ABS(AL312+N(AL339)-AL284)&lt;=1.5,0,ROUND(AL312+N(AL339)-AL284,1)),"")</f>
        <v>0</v>
      </c>
      <c r="AM338" s="261">
        <f>IF(AND(ISNUMBER(AM312),ISNUMBER(AM284)),IF(ABS(AM312+N(AM339)-AM284)&lt;=1.5,0,ROUND(AM312+N(AM339)-AM284,1)),"")</f>
        <v>0</v>
      </c>
      <c r="AN338" s="261">
        <f>IF(AND(ISNUMBER(AN312),ISNUMBER(AN284)),IF(ABS(AN312+N(AN339)-AN284)&lt;=1.5,0,ROUND(AN312+N(AN339)-AN284,1)),"")</f>
        <v>0</v>
      </c>
      <c r="AO338" s="261">
        <f>IF(AND(ISNUMBER(AO312),ISNUMBER(AO284)),IF(ABS(AO312+N(AO339)-AO284)&lt;=1.5,0,ROUND(AO312+N(AO339)-AO284,1)),"")</f>
        <v>0</v>
      </c>
      <c r="AP338" s="261">
        <f>IF(AND(ISNUMBER(AP312),ISNUMBER(AP284)),IF(ABS(AP312+N(AP339)-AP284)&lt;=1.5,0,ROUND(AP312+N(AP339)-AP284,1)),"")</f>
        <v>0</v>
      </c>
      <c r="AQ338" s="261">
        <f>IF(AND(ISNUMBER(AQ312),ISNUMBER(AQ284)),IF(ABS(AQ312+N(AQ339)-AQ284)&lt;=1.5,0,ROUND(AQ312+N(AQ339)-AQ284,1)),"")</f>
        <v>0</v>
      </c>
      <c r="AR338" s="261">
        <f>IF(AND(ISNUMBER(AR312),ISNUMBER(AR284)),IF(ABS(AR312+N(AR339)-AR284)&lt;=1.5,0,ROUND(AR312+N(AR339)-AR284,1)),"")</f>
        <v>0</v>
      </c>
      <c r="AS338" s="261">
        <f>IF(AND(ISNUMBER(AS312),ISNUMBER(AS284)),IF(ABS(AS312+N(AS339)-AS284)&lt;=1.5,0,ROUND(AS312+N(AS339)-AS284,1)),"")</f>
        <v>0</v>
      </c>
      <c r="AT338" s="261">
        <f>IF(AND(ISNUMBER(AT312),ISNUMBER(AT284)),IF(ABS(AT312+N(AT339)-AT284)&lt;=1.5,0,ROUND(AT312+N(AT339)-AT284,1)),"")</f>
        <v>0</v>
      </c>
      <c r="AU338" s="261">
        <f>IF(AND(ISNUMBER(AU312),ISNUMBER(AU284)),IF(ABS(AU312+N(AU339)-AU284)&lt;=1.5,0,ROUND(AU312+N(AU339)-AU284,1)),"")</f>
        <v>0</v>
      </c>
      <c r="AV338" s="261">
        <f>IF(AND(ISNUMBER(AV312),ISNUMBER(AV284)),IF(ABS(AV312+N(AV339)-AV284)&lt;=1.5,0,ROUND(AV312+N(AV339)-AV284,1)),"")</f>
        <v>0</v>
      </c>
      <c r="AW338" s="261">
        <f>IF(AND(ISNUMBER(AW312),ISNUMBER(AW284)),IF(ABS(AW312+N(AW339)-AW284)&lt;=1.5,0,ROUND(AW312+N(AW339)-AW284,1)),"")</f>
        <v>0</v>
      </c>
      <c r="AX338" s="261">
        <f>IF(AND(ISNUMBER(AX312),ISNUMBER(AX284)),IF(ABS(AX312+N(AX339)-AX284)&lt;=1.5,0,ROUND(AX312+N(AX339)-AX284,1)),"")</f>
        <v>0</v>
      </c>
      <c r="AY338" s="261">
        <f>IF(AND(ISNUMBER(AY312),ISNUMBER(AY284)),IF(ABS(AY312+N(AY339)-AY284)&lt;=1.5,0,ROUND(AY312+N(AY339)-AY284,1)),"")</f>
        <v>0</v>
      </c>
      <c r="AZ338" s="261">
        <f>IF(AND(ISNUMBER(AZ312),ISNUMBER(AZ284)),IF(ABS(AZ312+N(AZ339)-AZ284)&lt;=1.5,0,ROUND(AZ312+N(AZ339)-AZ284,1)),"")</f>
        <v>0</v>
      </c>
      <c r="BA338" s="261">
        <f>IF(AND(ISNUMBER(BA312),ISNUMBER(BA284)),IF(ABS(BA312+N(BA339)-BA284)&lt;=1.5,0,ROUND(BA312+N(BA339)-BA284,1)),"")</f>
        <v>0</v>
      </c>
      <c r="BB338" s="261">
        <f>IF(AND(ISNUMBER(BB312),ISNUMBER(BB284)),IF(ABS(BB312+N(BB339)-BB284)&lt;=1.5,0,ROUND(BB312+N(BB339)-BB284,1)),"")</f>
        <v>0</v>
      </c>
      <c r="BC338" s="261">
        <f>IF(AND(ISNUMBER(BC312),ISNUMBER(BC284)),IF(ABS(BC312+N(BC339)-BC284)&lt;=1.5,0,ROUND(BC312+N(BC339)-BC284,1)),"")</f>
        <v>0</v>
      </c>
      <c r="BD338" s="261">
        <f>IF(AND(ISNUMBER(BD312),ISNUMBER(BD284)),IF(ABS(BD312+N(BD339)-BD284)&lt;=1.5,0,ROUND(BD312+N(BD339)-BD284,1)),"")</f>
        <v>0</v>
      </c>
      <c r="BE338" s="261">
        <f>IF(AND(ISNUMBER(BE312),ISNUMBER(BE284)),IF(ABS(BE312+N(BE339)-BE284)&lt;=1.5,0,ROUND(BE312+N(BE339)-BE284,1)),"")</f>
        <v>0</v>
      </c>
      <c r="BF338" s="261">
        <f>IF(AND(ISNUMBER(BF312),ISNUMBER(BF284)),IF(ABS(BF312+N(BF339)-BF284)&lt;=1.5,0,ROUND(BF312+N(BF339)-BF284,1)),"")</f>
        <v>0</v>
      </c>
      <c r="BG338" s="261">
        <f>IF(AND(ISNUMBER(BG312),ISNUMBER(BG284)),IF(ABS(BG312+N(BG339)-BG284)&lt;=1.5,0,ROUND(BG312+N(BG339)-BG284,1)),"")</f>
        <v>0</v>
      </c>
      <c r="BH338" s="261">
        <f>IF(AND(ISNUMBER(BH312),ISNUMBER(BH284)),IF(ABS(BH312+N(BH339)-BH284)&lt;=1.5,0,ROUND(BH312+N(BH339)-BH284,1)),"")</f>
        <v>0</v>
      </c>
      <c r="BI338" s="261">
        <f>IF(AND(ISNUMBER(BI312),ISNUMBER(BI284)),IF(ABS(BI312+N(BI339)-BI284)&lt;=1.5,0,ROUND(BI312+N(BI339)-BI284,1)),"")</f>
        <v>0</v>
      </c>
      <c r="BJ338" s="261">
        <f>IF(AND(ISNUMBER(BJ312),ISNUMBER(BJ284)),IF(ABS(BJ312+N(BJ339)-BJ284)&lt;=1.5,0,ROUND(BJ312+N(BJ339)-BJ284,1)),"")</f>
        <v>0</v>
      </c>
      <c r="BK338" s="261">
        <f>IF(AND(ISNUMBER(BK312),ISNUMBER(BK284)),IF(ABS(BK312+N(BK339)-BK284)&lt;=1.5,0,ROUND(BK312+N(BK339)-BK284,1)),"")</f>
        <v>0</v>
      </c>
      <c r="BL338" s="261">
        <f>IF(AND(ISNUMBER(BL312),ISNUMBER(BL284)),IF(ABS(BL312+N(BL339)-BL284)&lt;=1.5,0,ROUND(BL312+N(BL339)-BL284,1)),"")</f>
        <v>0</v>
      </c>
      <c r="BM338" s="261">
        <f>IF(AND(ISNUMBER(BM312),ISNUMBER(BM284)),IF(ABS(BM312+N(BM339)-BM284)&lt;=1.5,0,ROUND(BM312+N(BM339)-BM284,1)),"")</f>
        <v>0</v>
      </c>
      <c r="BN338" s="261">
        <f>IF(AND(ISNUMBER(BN312),ISNUMBER(BN284)),IF(ABS(BN312+N(BN339)-BN284)&lt;=1.5,0,ROUND(BN312+N(BN339)-BN284,1)),"")</f>
        <v>0</v>
      </c>
      <c r="BO338" s="261">
        <f>IF(AND(ISNUMBER(BO312),ISNUMBER(BO284)),IF(ABS(BO312+N(BO339)-BO284)&lt;=1.5,0,ROUND(BO312+N(BO339)-BO284,1)),"")</f>
        <v>0</v>
      </c>
      <c r="BP338" s="261">
        <f>IF(AND(ISNUMBER(BP312),ISNUMBER(BP284)),IF(ABS(BP312+N(BP339)-BP284)&lt;=1.5,0,ROUND(BP312+N(BP339)-BP284,1)),"")</f>
        <v>0</v>
      </c>
      <c r="BQ338" s="261">
        <f>IF(AND(ISNUMBER(BQ312),ISNUMBER(BQ284)),IF(ABS(BQ312+N(BQ339)-BQ284)&lt;=1.5,0,ROUND(BQ312+N(BQ339)-BQ284,1)),"")</f>
        <v>0</v>
      </c>
      <c r="BR338" s="261">
        <f>IF(AND(ISNUMBER(BR312),ISNUMBER(BR284)),IF(ABS(BR312+N(BR339)-BR284)&lt;=1.5,0,ROUND(BR312+N(BR339)-BR284,1)),"")</f>
        <v>0</v>
      </c>
      <c r="BS338" s="261">
        <f>IF(AND(ISNUMBER(BS312),ISNUMBER(BS284)),IF(ABS(BS312+N(BS339)-BS284)&lt;=1.5,0,ROUND(BS312+N(BS339)-BS284,1)),"")</f>
        <v>0</v>
      </c>
      <c r="BT338" s="261">
        <f>IF(AND(ISNUMBER(BT312),ISNUMBER(BT284)),IF(ABS(BT312+N(BT339)-BT284)&lt;=1.5,0,ROUND(BT312+N(BT339)-BT284,1)),"")</f>
        <v>0</v>
      </c>
      <c r="BU338" s="261">
        <f>IF(AND(ISNUMBER(BU312),ISNUMBER(BU284)),IF(ABS(BU312+N(BU339)-BU284)&lt;=1.5,0,ROUND(BU312+N(BU339)-BU284,1)),"")</f>
        <v>0</v>
      </c>
      <c r="BV338" s="261">
        <f>IF(AND(ISNUMBER(BV312),ISNUMBER(BV284)),IF(ABS(BV312+N(BV339)-BV284)&lt;=1.5,0,ROUND(BV312+N(BV339)-BV284,1)),"")</f>
        <v>0</v>
      </c>
      <c r="BW338" s="261">
        <f>IF(AND(ISNUMBER(BW312),ISNUMBER(BW284)),IF(ABS(BW312+N(BW339)-BW284)&lt;=1.5,0,ROUND(BW312+N(BW339)-BW284,1)),"")</f>
        <v>0</v>
      </c>
      <c r="BX338" s="261">
        <f>IF(AND(ISNUMBER(BX312),ISNUMBER(BX284)),IF(ABS(BX312+N(BX339)-BX284)&lt;=1.5,0,ROUND(BX312+N(BX339)-BX284,1)),"")</f>
        <v>0</v>
      </c>
      <c r="BY338" s="153" t="n"/>
      <c r="BZ338" s="153" t="n"/>
      <c r="CA338" s="267">
        <f>IF(AND(ISNUMBER(CA312),ISNUMBER(CA284)),IF(ABS(CA312+N(CA339)-CA284)&lt;=1.5,0,ROUND(CA312+N(CA339)-CA284,1)),"")</f>
        <v>0</v>
      </c>
      <c r="CB338" s="267">
        <f>IF(AND(ISNUMBER(CB312),ISNUMBER(CB284)),IF(ABS(CB312+N(CB339)-CB284)&lt;=1.5,0,ROUND(CB312+N(CB339)-CB284,1)),"")</f>
        <v>0</v>
      </c>
      <c r="CC338" s="267">
        <f>IF(AND(ISNUMBER(CC312),ISNUMBER(CC284)),IF(ABS(CC312+N(CC339)-CC284)&lt;=1.5,0,ROUND(CC312+N(CC339)-CC284,1)),"")</f>
        <v>0</v>
      </c>
      <c r="CD338" s="267">
        <f>IF(AND(ISNUMBER(CD312),ISNUMBER(CD284)),IF(ABS(CD312+N(CD339)-CD284)&lt;=1.5,0,ROUND(CD312+N(CD339)-CD284,1)),"")</f>
        <v>0</v>
      </c>
      <c r="CE338" s="267">
        <f>IF(AND(ISNUMBER(CE312),ISNUMBER(CE284)),IF(ABS(CE312+N(CE339)-CE284)&lt;=1.5,0,ROUND(CE312+N(CE339)-CE284,1)),"")</f>
        <v>0</v>
      </c>
      <c r="CF338" s="153" t="n"/>
    </row>
    <row r="339" ht="15" customHeight="1" s="251">
      <c r="B339" s="156" t="inlineStr">
        <is>
          <t xml:space="preserve">  Memo: restricted cash / held-for-sale cash in cash-flow cash (CF ending cash − BS cash)</t>
        </is>
      </c>
      <c r="C339" s="34" t="n"/>
      <c r="D339" s="34" t="n"/>
      <c r="E339" s="34" t="n"/>
      <c r="F339" s="34" t="n"/>
      <c r="G339" s="34" t="n"/>
      <c r="H339" s="34" t="n"/>
      <c r="I339" s="34" t="n"/>
      <c r="J339" s="34" t="n"/>
      <c r="K339" s="34" t="n"/>
      <c r="L339" s="34" t="n"/>
      <c r="M339" s="34" t="n"/>
      <c r="N339" s="34" t="n"/>
      <c r="O339" s="34" t="n"/>
      <c r="P339" s="34" t="n"/>
      <c r="Q339" s="34" t="n"/>
      <c r="R339" s="34" t="n"/>
      <c r="S339" s="34" t="n"/>
      <c r="T339" s="34" t="n"/>
      <c r="U339" s="34" t="n"/>
      <c r="V339" s="34" t="n"/>
      <c r="W339" s="34" t="n"/>
      <c r="X339" s="34" t="n"/>
      <c r="Y339" s="34" t="n"/>
      <c r="Z339" s="34" t="n"/>
      <c r="AA339" s="34" t="n"/>
      <c r="AB339" s="34" t="n"/>
      <c r="AC339" s="34" t="n"/>
      <c r="AD339" s="34" t="n"/>
      <c r="AE339" s="34" t="n"/>
      <c r="AF339" s="34" t="n"/>
      <c r="AG339" s="34" t="n"/>
      <c r="AH339" s="34" t="n"/>
      <c r="AI339" s="34" t="n"/>
      <c r="AJ339" s="34" t="n"/>
      <c r="AK339" s="34" t="n"/>
      <c r="AL339" s="34" t="n"/>
      <c r="AM339" s="34" t="n"/>
      <c r="AN339" s="34" t="n"/>
      <c r="AO339" s="34" t="n"/>
      <c r="AP339" s="34" t="n"/>
      <c r="AQ339" s="34" t="n"/>
      <c r="AR339" s="34" t="n"/>
      <c r="AS339" s="34" t="n"/>
      <c r="AT339" s="34" t="n"/>
      <c r="AU339" s="34" t="n"/>
      <c r="AV339" s="34" t="n"/>
      <c r="AW339" s="34" t="n"/>
      <c r="AX339" s="34" t="n"/>
      <c r="AY339" s="34" t="n"/>
      <c r="AZ339" s="34" t="n"/>
      <c r="BA339" s="34" t="n"/>
      <c r="BB339" s="34" t="n"/>
      <c r="BC339" s="34" t="n"/>
      <c r="BD339" s="34" t="n"/>
      <c r="BE339" s="34" t="n"/>
      <c r="BF339" s="34" t="n"/>
      <c r="BG339" s="34" t="n"/>
      <c r="BH339" s="34" t="n"/>
      <c r="BI339" s="34" t="n"/>
      <c r="BJ339" s="34" t="n"/>
      <c r="BK339" s="34" t="n"/>
      <c r="BL339" s="34" t="n"/>
      <c r="BM339" s="34" t="n"/>
      <c r="BN339" s="34" t="n"/>
      <c r="BO339" s="34" t="n"/>
      <c r="BP339" s="34" t="n"/>
      <c r="BQ339" s="34" t="n"/>
      <c r="BR339" s="34" t="n"/>
      <c r="BS339" s="34" t="n"/>
      <c r="BT339" s="34" t="n"/>
      <c r="BU339" s="34" t="n"/>
      <c r="BV339" s="34" t="n"/>
      <c r="BW339" s="34" t="n"/>
      <c r="BX339" s="34" t="n"/>
      <c r="BY339" s="153" t="n"/>
      <c r="BZ339" s="153" t="n"/>
      <c r="CA339" s="153" t="n"/>
      <c r="CB339" s="153" t="n"/>
      <c r="CC339" s="153" t="n"/>
      <c r="CD339" s="153" t="n"/>
      <c r="CE339" s="153" t="n"/>
      <c r="CF339" s="153" t="n"/>
    </row>
    <row r="340" ht="15" customHeight="1" s="251">
      <c r="B340" s="156" t="inlineStr">
        <is>
          <t xml:space="preserve">  Memo: shares outstanding at period end (m)</t>
        </is>
      </c>
      <c r="C340" s="253" t="n">
        <v>278.6</v>
      </c>
      <c r="D340" s="253" t="n">
        <v>251.4</v>
      </c>
      <c r="E340" s="253" t="n">
        <v>235.1</v>
      </c>
      <c r="F340" s="253" t="n">
        <v>236.9</v>
      </c>
      <c r="G340" s="253" t="n">
        <v>230.8</v>
      </c>
      <c r="H340" s="253" t="n">
        <v>222.4</v>
      </c>
      <c r="I340" s="253" t="n">
        <v>223.3</v>
      </c>
      <c r="J340" s="253" t="n">
        <v>222.9</v>
      </c>
      <c r="K340" s="253" t="n">
        <v>220.4</v>
      </c>
      <c r="L340" s="253" t="n">
        <v>215.1</v>
      </c>
      <c r="M340" s="253" t="n">
        <v>214</v>
      </c>
      <c r="N340" s="253" t="n">
        <v>214</v>
      </c>
      <c r="O340" s="253" t="n">
        <v>213.7</v>
      </c>
      <c r="P340" s="253" t="n">
        <v>211.2</v>
      </c>
      <c r="Q340" s="253" t="n">
        <v>208.6</v>
      </c>
      <c r="R340" s="253" t="n">
        <v>204.4</v>
      </c>
      <c r="S340" s="253" t="n">
        <v>204.4</v>
      </c>
      <c r="T340" s="253" t="n">
        <v>202.2</v>
      </c>
      <c r="U340" s="253" t="n">
        <v>200.3</v>
      </c>
      <c r="V340" s="253" t="n">
        <v>197.7</v>
      </c>
      <c r="W340" s="253" t="n">
        <v>196.1</v>
      </c>
      <c r="X340" s="253" t="n">
        <v>196.1</v>
      </c>
      <c r="Y340" s="253" t="n">
        <v>194.3</v>
      </c>
      <c r="Z340" s="253" t="n">
        <v>192.3</v>
      </c>
      <c r="AA340" s="253" t="n">
        <v>191.2</v>
      </c>
      <c r="AB340" s="253" t="n">
        <v>190.7</v>
      </c>
      <c r="AC340" s="253" t="n">
        <v>190.7</v>
      </c>
      <c r="AD340" s="253" t="n">
        <v>191.3</v>
      </c>
      <c r="AE340" s="253" t="n">
        <v>191</v>
      </c>
      <c r="AF340" s="253" t="n">
        <v>191.1</v>
      </c>
      <c r="AG340" s="253" t="n">
        <v>191</v>
      </c>
      <c r="AH340" s="253" t="n">
        <v>191</v>
      </c>
      <c r="AI340" s="253" t="n">
        <v>191.9</v>
      </c>
      <c r="AJ340" s="253" t="n">
        <v>191.9</v>
      </c>
      <c r="AK340" s="253" t="n">
        <v>191.6</v>
      </c>
      <c r="AL340" s="253" t="n">
        <v>191.3</v>
      </c>
      <c r="AM340" s="253" t="n">
        <v>191.3</v>
      </c>
      <c r="AN340" s="253" t="n">
        <v>189.6</v>
      </c>
      <c r="AO340" s="253" t="n">
        <v>189.2</v>
      </c>
      <c r="AP340" s="253" t="n">
        <v>188.8</v>
      </c>
      <c r="AQ340" s="253" t="n">
        <v>187.7</v>
      </c>
      <c r="AR340" s="253" t="n">
        <v>187.7</v>
      </c>
      <c r="AS340" s="253" t="n">
        <v>187.5</v>
      </c>
      <c r="AT340" s="253" t="n">
        <v>187.7</v>
      </c>
      <c r="AU340" s="253" t="n">
        <v>187.8</v>
      </c>
      <c r="AV340" s="253" t="n">
        <v>187.1</v>
      </c>
      <c r="AW340" s="253" t="n">
        <v>187.1</v>
      </c>
      <c r="AX340" s="253" t="n">
        <v>187.2</v>
      </c>
      <c r="AY340" s="253" t="n">
        <v>186.2</v>
      </c>
      <c r="AZ340" s="253" t="n">
        <v>185.9</v>
      </c>
      <c r="BA340" s="253" t="n">
        <v>185.6</v>
      </c>
      <c r="BB340" s="253" t="n">
        <v>185.6</v>
      </c>
      <c r="BC340" s="253" t="n">
        <v>184.5</v>
      </c>
      <c r="BD340" s="253" t="n">
        <v>183.5</v>
      </c>
      <c r="BE340" s="253" t="n">
        <v>183.2</v>
      </c>
      <c r="BF340" s="253" t="n">
        <v>183.2</v>
      </c>
      <c r="BG340" s="253" t="n">
        <v>183.2</v>
      </c>
      <c r="BH340" s="253" t="n">
        <v>183.5</v>
      </c>
      <c r="BI340" s="253" t="n">
        <v>183.5</v>
      </c>
      <c r="BJ340" s="253" t="n">
        <v>183</v>
      </c>
      <c r="BK340" s="253" t="n">
        <v>182.5</v>
      </c>
      <c r="BL340" s="253" t="n">
        <v>182.5</v>
      </c>
      <c r="BM340" s="253" t="n">
        <v>182.6</v>
      </c>
      <c r="BN340" s="253" t="n">
        <v>182.1</v>
      </c>
      <c r="BO340" s="253" t="n">
        <v>181.2</v>
      </c>
      <c r="BP340" s="253" t="n">
        <v>180.3</v>
      </c>
      <c r="BQ340" s="253" t="n">
        <v>180.3</v>
      </c>
      <c r="BR340" s="253" t="n">
        <v>179.9</v>
      </c>
      <c r="BS340" s="253" t="n">
        <v>179.4</v>
      </c>
      <c r="BT340" s="253" t="n">
        <v>178.4</v>
      </c>
      <c r="BU340" s="253" t="n">
        <v>177.5</v>
      </c>
      <c r="BV340" s="253" t="n">
        <v>177.5</v>
      </c>
      <c r="BW340" s="253" t="n">
        <v>174.7</v>
      </c>
      <c r="BX340" s="253" t="n">
        <v>173.2</v>
      </c>
      <c r="BY340" s="153" t="n"/>
      <c r="BZ340" s="153" t="n"/>
      <c r="CA340" s="267">
        <f>CA306</f>
        <v>171.992553191489</v>
      </c>
      <c r="CB340" s="267">
        <f>CB306</f>
        <v>166.520355391355</v>
      </c>
      <c r="CC340" s="267">
        <f>CC306</f>
        <v>161.683455745518</v>
      </c>
      <c r="CD340" s="267">
        <f>CD306</f>
        <v>156.859687312153</v>
      </c>
      <c r="CE340" s="267">
        <f>CE306</f>
        <v>152.115351992796</v>
      </c>
      <c r="CF340" s="153" t="n"/>
    </row>
    <row r="341" ht="15" customHeight="1" s="251">
      <c r="CN341" s="11" t="n"/>
      <c r="CO341" s="12" t="n"/>
      <c r="CP341" s="12" t="n"/>
      <c r="CQ341" s="12" t="n"/>
      <c r="CR341" s="13" t="n"/>
    </row>
    <row r="342" ht="15" customHeight="1" s="251">
      <c r="B342" s="10" t="inlineStr">
        <is>
          <t>WORKING CAPITAL &amp; CASH CONVERSION</t>
        </is>
      </c>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c r="AA342" s="10" t="n"/>
      <c r="AB342" s="10" t="n"/>
      <c r="AC342" s="10" t="n"/>
      <c r="AD342" s="10" t="n"/>
      <c r="AE342" s="10" t="n"/>
      <c r="AF342" s="10" t="n"/>
      <c r="AG342" s="10" t="n"/>
      <c r="AH342" s="10" t="n"/>
      <c r="AI342" s="10" t="n"/>
      <c r="AJ342" s="10" t="n"/>
      <c r="AK342" s="10" t="n"/>
      <c r="AL342" s="10" t="n"/>
      <c r="AM342" s="10" t="n"/>
      <c r="AN342" s="10" t="n"/>
      <c r="AO342" s="10" t="n"/>
      <c r="AP342" s="10" t="n"/>
      <c r="AQ342" s="10" t="n"/>
      <c r="AR342" s="10" t="n"/>
      <c r="AS342" s="10" t="n"/>
      <c r="AT342" s="10" t="n"/>
      <c r="AU342" s="10" t="n"/>
      <c r="AV342" s="10" t="n"/>
      <c r="AW342" s="10" t="n"/>
      <c r="AX342" s="10" t="n"/>
      <c r="AY342" s="10" t="n"/>
      <c r="AZ342" s="10" t="n"/>
      <c r="BA342" s="10" t="n"/>
      <c r="BB342" s="10" t="n"/>
      <c r="BC342" s="10" t="n"/>
      <c r="BD342" s="10" t="n"/>
      <c r="BE342" s="10" t="n"/>
      <c r="BF342" s="10" t="n"/>
      <c r="BG342" s="10" t="n"/>
      <c r="BH342" s="10" t="n"/>
      <c r="BI342" s="10" t="n"/>
      <c r="BJ342" s="10" t="n"/>
      <c r="BK342" s="10" t="n"/>
      <c r="BL342" s="10" t="n"/>
      <c r="BM342" s="10" t="n"/>
      <c r="BN342" s="10" t="n"/>
      <c r="BO342" s="10" t="n"/>
      <c r="BP342" s="10" t="n"/>
      <c r="BQ342" s="10" t="n"/>
      <c r="BR342" s="10" t="n"/>
      <c r="BS342" s="10" t="n"/>
      <c r="BT342" s="10" t="n"/>
      <c r="BU342" s="10" t="n"/>
      <c r="BV342" s="10" t="n"/>
      <c r="BW342" s="10" t="n"/>
      <c r="BX342" s="10" t="n"/>
      <c r="BY342" s="10" t="n"/>
      <c r="BZ342" s="10" t="n"/>
      <c r="CA342" s="10" t="n"/>
      <c r="CB342" s="10" t="n"/>
      <c r="CC342" s="10" t="n"/>
      <c r="CD342" s="10" t="n"/>
      <c r="CE342" s="10" t="n"/>
      <c r="CF342" s="10" t="inlineStr">
        <is>
          <t>WORKING CAPITAL — forecast drivers (blue = input; year-end balances on full-year revenue)</t>
        </is>
      </c>
    </row>
    <row r="343" ht="15" customHeight="1" s="251">
      <c r="B343" s="25" t="inlineStr">
        <is>
          <t xml:space="preserve">  Revenue — annualised (quarters × 4)</t>
        </is>
      </c>
      <c r="C343" s="261">
        <f>IF(ISNUMBER(C163),C163*1,"")</f>
        <v>2037.1</v>
      </c>
      <c r="D343" s="261">
        <f>IF(ISNUMBER(D163),D163*1,"")</f>
        <v>2259</v>
      </c>
      <c r="E343" s="261">
        <f>IF(ISNUMBER(E163),E163*1,"")</f>
        <v>1755.4</v>
      </c>
      <c r="F343" s="261">
        <f>IF(ISNUMBER(F163),F163*1,"")</f>
        <v>1797.2</v>
      </c>
      <c r="G343" s="261">
        <f>IF(ISNUMBER(G163),G163*1,"")</f>
        <v>2032</v>
      </c>
      <c r="H343" s="261">
        <f>IF(ISNUMBER(H163),H163*1,"")</f>
        <v>2280.7</v>
      </c>
      <c r="I343" s="261">
        <f>IF(ISNUMBER(I163),I163*1,"")</f>
        <v>2730.3</v>
      </c>
      <c r="J343" s="261">
        <f>IF(ISNUMBER(J163),J163*4,"")</f>
        <v>2927.2</v>
      </c>
      <c r="K343" s="261">
        <f>IF(ISNUMBER(K163),K163*4,"")</f>
        <v>3024</v>
      </c>
      <c r="L343" s="261">
        <f>IF(ISNUMBER(L163),L163*4,"")</f>
        <v>2822</v>
      </c>
      <c r="M343" s="261">
        <f>IF(ISNUMBER(M163),M163*4,"")</f>
        <v>3116.8</v>
      </c>
      <c r="N343" s="261">
        <f>IF(ISNUMBER(N163),N163*1,"")</f>
        <v>2972.5</v>
      </c>
      <c r="O343" s="261">
        <f>IF(ISNUMBER(O163),O163*4,"")</f>
        <v>3068.8</v>
      </c>
      <c r="P343" s="261">
        <f>IF(ISNUMBER(P163),P163*4,"")</f>
        <v>3494</v>
      </c>
      <c r="Q343" s="261">
        <f>IF(ISNUMBER(Q163),Q163*4,"")</f>
        <v>3264.4</v>
      </c>
      <c r="R343" s="261">
        <f>IF(ISNUMBER(R163),R163*4,"")</f>
        <v>3510</v>
      </c>
      <c r="S343" s="261">
        <f>IF(ISNUMBER(S163),S163*1,"")</f>
        <v>3334.3</v>
      </c>
      <c r="T343" s="261">
        <f>IF(ISNUMBER(T163),T163*4,"")</f>
        <v>3462.4</v>
      </c>
      <c r="U343" s="261">
        <f>IF(ISNUMBER(U163),U163*4,"")</f>
        <v>3672.4</v>
      </c>
      <c r="V343" s="261">
        <f>IF(ISNUMBER(V163),V163*4,"")</f>
        <v>3339.6</v>
      </c>
      <c r="W343" s="261">
        <f>IF(ISNUMBER(W163),W163*4,"")</f>
        <v>3463.6</v>
      </c>
      <c r="X343" s="261">
        <f>IF(ISNUMBER(X163),X163*1,"")</f>
        <v>3484.5</v>
      </c>
      <c r="Y343" s="261">
        <f>IF(ISNUMBER(Y163),Y163*4,"")</f>
        <v>3264.4</v>
      </c>
      <c r="Z343" s="261">
        <f>IF(ISNUMBER(Z163),Z163*4,"")</f>
        <v>3715.6</v>
      </c>
      <c r="AA343" s="261">
        <f>IF(ISNUMBER(AA163),AA163*4,"")</f>
        <v>3668.4</v>
      </c>
      <c r="AB343" s="261">
        <f>IF(ISNUMBER(AB163),AB163*4,"")</f>
        <v>3768.4</v>
      </c>
      <c r="AC343" s="261">
        <f>IF(ISNUMBER(AC163),AC163*1,"")</f>
        <v>3604.2</v>
      </c>
      <c r="AD343" s="261">
        <f>IF(ISNUMBER(AD163),AD163*4,"")</f>
        <v>3900.8</v>
      </c>
      <c r="AE343" s="261">
        <f>IF(ISNUMBER(AE163),AE163*4,"")</f>
        <v>4002</v>
      </c>
      <c r="AF343" s="261">
        <f>IF(ISNUMBER(AF163),AF163*4,"")</f>
        <v>4251.6</v>
      </c>
      <c r="AG343" s="261">
        <f>IF(ISNUMBER(AG163),AG163*4,"")</f>
        <v>4662</v>
      </c>
      <c r="AH343" s="261">
        <f>IF(ISNUMBER(AH163),AH163*1,"")</f>
        <v>4204.1</v>
      </c>
      <c r="AI343" s="261">
        <f>IF(ISNUMBER(AI163),AI163*4,"")</f>
        <v>4506.8</v>
      </c>
      <c r="AJ343" s="261">
        <f>IF(ISNUMBER(AJ163),AJ163*4,"")</f>
        <v>4700.4</v>
      </c>
      <c r="AK343" s="261">
        <f>IF(ISNUMBER(AK163),AK163*4,"")</f>
        <v>4323.2</v>
      </c>
      <c r="AL343" s="261">
        <f>IF(ISNUMBER(AL163),AL163*4,"")</f>
        <v>4240.4</v>
      </c>
      <c r="AM343" s="261">
        <f>IF(ISNUMBER(AM163),AM163*1,"")</f>
        <v>4442.7</v>
      </c>
      <c r="AN343" s="261">
        <f>IF(ISNUMBER(AN163),AN163*4,"")</f>
        <v>4568.4</v>
      </c>
      <c r="AO343" s="261">
        <f>IF(ISNUMBER(AO163),AO163*4,"")</f>
        <v>4854.4</v>
      </c>
      <c r="AP343" s="261">
        <f>IF(ISNUMBER(AP163),AP163*4,"")</f>
        <v>4962</v>
      </c>
      <c r="AQ343" s="261">
        <f>IF(ISNUMBER(AQ163),AQ163*4,"")</f>
        <v>4932</v>
      </c>
      <c r="AR343" s="261">
        <f>IF(ISNUMBER(AR163),AR163*1,"")</f>
        <v>4829</v>
      </c>
      <c r="AS343" s="261">
        <f>IF(ISNUMBER(AS163),AS163*4,"")</f>
        <v>5160</v>
      </c>
      <c r="AT343" s="261">
        <f>IF(ISNUMBER(AT163),AT163*4,"")</f>
        <v>5740</v>
      </c>
      <c r="AU343" s="261">
        <f>IF(ISNUMBER(AU163),AU163*4,"")</f>
        <v>5424</v>
      </c>
      <c r="AV343" s="261">
        <f>IF(ISNUMBER(AV163),AV163*4,"")</f>
        <v>5160</v>
      </c>
      <c r="AW343" s="261">
        <f>IF(ISNUMBER(AW163),AW163*1,"")</f>
        <v>5371</v>
      </c>
      <c r="AX343" s="261">
        <f>IF(ISNUMBER(AX163),AX163*4,"")</f>
        <v>6400</v>
      </c>
      <c r="AY343" s="261">
        <f>IF(ISNUMBER(AY163),AY163*4,"")</f>
        <v>6212</v>
      </c>
      <c r="AZ343" s="261">
        <f>IF(ISNUMBER(AZ163),AZ163*4,"")</f>
        <v>6104</v>
      </c>
      <c r="BA343" s="261">
        <f>IF(ISNUMBER(BA163),BA163*4,"")</f>
        <v>6156</v>
      </c>
      <c r="BB343" s="261">
        <f>IF(ISNUMBER(BB163),BB163*1,"")</f>
        <v>6218</v>
      </c>
      <c r="BC343" s="261">
        <f>IF(ISNUMBER(BC163),BC163*4,"")</f>
        <v>6088</v>
      </c>
      <c r="BD343" s="261">
        <f>IF(ISNUMBER(BD163),BD163*4,"")</f>
        <v>5524</v>
      </c>
      <c r="BE343" s="261">
        <f>IF(ISNUMBER(BE163),BE163*4,"")</f>
        <v>5100</v>
      </c>
      <c r="BF343" s="261">
        <f>IF(ISNUMBER(BF163),BF163*4,"")</f>
        <v>5160</v>
      </c>
      <c r="BG343" s="261">
        <f>IF(ISNUMBER(BG163),BG163*1,"")</f>
        <v>5468</v>
      </c>
      <c r="BH343" s="261">
        <f>IF(ISNUMBER(BH163),BH163*4,"")</f>
        <v>5880</v>
      </c>
      <c r="BI343" s="261">
        <f>IF(ISNUMBER(BI163),BI163*4,"")</f>
        <v>5976</v>
      </c>
      <c r="BJ343" s="261">
        <f>IF(ISNUMBER(BJ163),BJ163*4,"")</f>
        <v>5888</v>
      </c>
      <c r="BK343" s="261">
        <f>IF(ISNUMBER(BK163),BK163*4,"")</f>
        <v>5920</v>
      </c>
      <c r="BL343" s="261">
        <f>IF(ISNUMBER(BL163),BL163*1,"")</f>
        <v>5916</v>
      </c>
      <c r="BM343" s="261">
        <f>IF(ISNUMBER(BM163),BM163*4,"")</f>
        <v>7144</v>
      </c>
      <c r="BN343" s="261">
        <f>IF(ISNUMBER(BN163),BN163*4,"")</f>
        <v>7268</v>
      </c>
      <c r="BO343" s="261">
        <f>IF(ISNUMBER(BO163),BO163*4,"")</f>
        <v>7252</v>
      </c>
      <c r="BP343" s="261">
        <f>IF(ISNUMBER(BP163),BP163*4,"")</f>
        <v>6688</v>
      </c>
      <c r="BQ343" s="261">
        <f>IF(ISNUMBER(BQ163),BQ163*1,"")</f>
        <v>7088</v>
      </c>
      <c r="BR343" s="261">
        <f>IF(ISNUMBER(BR163),BR163*4,"")</f>
        <v>7696</v>
      </c>
      <c r="BS343" s="261">
        <f>IF(ISNUMBER(BS163),BS163*4,"")</f>
        <v>7592</v>
      </c>
      <c r="BT343" s="261">
        <f>IF(ISNUMBER(BT163),BT163*4,"")</f>
        <v>8028</v>
      </c>
      <c r="BU343" s="261">
        <f>IF(ISNUMBER(BU163),BU163*4,"")</f>
        <v>7556</v>
      </c>
      <c r="BV343" s="261">
        <f>IF(ISNUMBER(BV163),BV163*1,"")</f>
        <v>7718</v>
      </c>
      <c r="BW343" s="261">
        <f>IF(ISNUMBER(BW163),BW163*4,"")</f>
        <v>8316</v>
      </c>
      <c r="BX343" s="261">
        <f>IF(ISNUMBER(BX163),BX163*4,"")</f>
        <v>8740</v>
      </c>
      <c r="BY343" s="35" t="n"/>
      <c r="BZ343" s="35" t="n"/>
      <c r="CA343" s="254">
        <f>IF(ISNUMBER(CA163),CA163*1,"")</f>
        <v>8227.47</v>
      </c>
      <c r="CB343" s="254">
        <f>IF(ISNUMBER(CB163),CB163*1,"")</f>
        <v>8820.4421292675</v>
      </c>
      <c r="CC343" s="254">
        <f>IF(ISNUMBER(CC163),CC163*1,"")</f>
        <v>9419.22674231944</v>
      </c>
      <c r="CD343" s="254">
        <f>IF(ISNUMBER(CD163),CD163*1,"")</f>
        <v>10027.2327109809</v>
      </c>
      <c r="CE343" s="254">
        <f>IF(ISNUMBER(CE163),CE163*1,"")</f>
        <v>10629.7107187291</v>
      </c>
      <c r="CF343" s="19" t="n"/>
    </row>
    <row r="344" ht="15" customHeight="1" s="251">
      <c r="B344" s="25" t="inlineStr">
        <is>
          <t xml:space="preserve">  DSO — receivables / revenue × 365</t>
        </is>
      </c>
      <c r="C344" s="290">
        <f>IFERROR(C314/C343*365,"")</f>
        <v>85.1804035148005</v>
      </c>
      <c r="D344" s="290">
        <f>IFERROR(D314/D343*365,"")</f>
        <v>71.6750774679062</v>
      </c>
      <c r="E344" s="290">
        <f>IFERROR(E314/E343*365,"")</f>
        <v>87.7047966275493</v>
      </c>
      <c r="F344" s="290">
        <f>IFERROR(F314/F343*365,"")</f>
        <v>90.3563877142221</v>
      </c>
      <c r="G344" s="290">
        <f>IFERROR(G314/G343*365,"")</f>
        <v>89.3639271653543</v>
      </c>
      <c r="H344" s="290">
        <f>IFERROR(H314/H343*365,"")</f>
        <v>78.3868987591529</v>
      </c>
      <c r="I344" s="290">
        <f>IFERROR(I314/I343*365,"")</f>
        <v>83.1252975863458</v>
      </c>
      <c r="J344" s="290">
        <f>IFERROR(J314/J343*365,"")</f>
        <v>79.4540858157967</v>
      </c>
      <c r="K344" s="290">
        <f>IFERROR(K314/K343*365,"")</f>
        <v>73.3500330687831</v>
      </c>
      <c r="L344" s="290">
        <f>IFERROR(L314/L343*365,"")</f>
        <v>76.5698086463501</v>
      </c>
      <c r="M344" s="290">
        <f>IFERROR(M314/M343*365,"")</f>
        <v>81.2958803901437</v>
      </c>
      <c r="N344" s="290">
        <f>IFERROR(N314/N343*365,"")</f>
        <v>85.2423885618167</v>
      </c>
      <c r="O344" s="290">
        <f>IFERROR(O314/O343*365,"")</f>
        <v>87.7650873305527</v>
      </c>
      <c r="P344" s="290">
        <f>IFERROR(P314/P343*365,"")</f>
        <v>79.215655409273</v>
      </c>
      <c r="Q344" s="290">
        <f>IFERROR(Q314/Q343*365,"")</f>
        <v>79.6327043254503</v>
      </c>
      <c r="R344" s="290">
        <f>IFERROR(R314/R343*365,"")</f>
        <v>82.4005698005698</v>
      </c>
      <c r="S344" s="290">
        <f>IFERROR(S314/S343*365,"")</f>
        <v>86.7426446330564</v>
      </c>
      <c r="T344" s="290">
        <f>IFERROR(T314/T343*365,"")</f>
        <v>88.8359230591497</v>
      </c>
      <c r="U344" s="290">
        <f>IFERROR(U314/U343*365,"")</f>
        <v>79.6412427840105</v>
      </c>
      <c r="V344" s="290">
        <f>IFERROR(V314/V343*365,"")</f>
        <v>78.7467061923584</v>
      </c>
      <c r="W344" s="290">
        <f>IFERROR(W314/W343*365,"")</f>
        <v>84.5161104053586</v>
      </c>
      <c r="X344" s="290">
        <f>IFERROR(X314/X343*365,"")</f>
        <v>84.0091835270484</v>
      </c>
      <c r="Y344" s="290">
        <f>IFERROR(Y314/Y343*365,"")</f>
        <v>95.2752420046563</v>
      </c>
      <c r="Z344" s="290">
        <f>IFERROR(Z314/Z343*365,"")</f>
        <v>82.8804230810636</v>
      </c>
      <c r="AA344" s="290">
        <f>IFERROR(AA314/AA343*365,"")</f>
        <v>82.7229854977647</v>
      </c>
      <c r="AB344" s="290">
        <f>IFERROR(AB314/AB343*365,"")</f>
        <v>85.9518628595691</v>
      </c>
      <c r="AC344" s="290">
        <f>IFERROR(AC314/AC343*365,"")</f>
        <v>89.8676544031963</v>
      </c>
      <c r="AD344" s="290">
        <f>IFERROR(AD314/AD343*365,"")</f>
        <v>89.2195190730107</v>
      </c>
      <c r="AE344" s="290">
        <f>IFERROR(AE314/AE343*365,"")</f>
        <v>83.5888305847077</v>
      </c>
      <c r="AF344" s="290">
        <f>IFERROR(AF314/AF343*365,"")</f>
        <v>86.4767381691598</v>
      </c>
      <c r="AG344" s="290">
        <f>IFERROR(AG314/AG343*365,"")</f>
        <v>89.8172458172458</v>
      </c>
      <c r="AH344" s="290">
        <f>IFERROR(AH314/AH343*365,"")</f>
        <v>99.5999143693062</v>
      </c>
      <c r="AI344" s="290">
        <f>IFERROR(AI314/AI343*365,"")</f>
        <v>97.7857903612319</v>
      </c>
      <c r="AJ344" s="290">
        <f>IFERROR(AJ314/AJ343*365,"")</f>
        <v>88.2991873032082</v>
      </c>
      <c r="AK344" s="290">
        <f>IFERROR(AK314/AK343*365,"")</f>
        <v>95.5558382679497</v>
      </c>
      <c r="AL344" s="290">
        <f>IFERROR(AL314/AL343*365,"")</f>
        <v>110.78943024243</v>
      </c>
      <c r="AM344" s="290">
        <f>IFERROR(AM314/AM343*365,"")</f>
        <v>105.744592252459</v>
      </c>
      <c r="AN344" s="290">
        <f>IFERROR(AN314/AN343*365,"")</f>
        <v>103.961562034848</v>
      </c>
      <c r="AO344" s="290">
        <f>IFERROR(AO314/AO343*365,"")</f>
        <v>93.6335077455504</v>
      </c>
      <c r="AP344" s="290">
        <f>IFERROR(AP314/AP343*365,"")</f>
        <v>90.3599355098751</v>
      </c>
      <c r="AQ344" s="290">
        <f>IFERROR(AQ314/AQ343*365,"")</f>
        <v>105.015206812652</v>
      </c>
      <c r="AR344" s="290">
        <f>IFERROR(AR314/AR343*365,"")</f>
        <v>107.255125284738</v>
      </c>
      <c r="AS344" s="290">
        <f>IFERROR(AS314/AS343*365,"")</f>
        <v>99.9505813953488</v>
      </c>
      <c r="AT344" s="290">
        <f>IFERROR(AT314/AT343*365,"")</f>
        <v>89.0879790940767</v>
      </c>
      <c r="AU344" s="290">
        <f>IFERROR(AU314/AU343*365,"")</f>
        <v>91.5191740412979</v>
      </c>
      <c r="AV344" s="290">
        <f>IFERROR(AV314/AV343*365,"")</f>
        <v>101.153100775194</v>
      </c>
      <c r="AW344" s="290">
        <f>IFERROR(AW314/AW343*365,"")</f>
        <v>97.1792962204431</v>
      </c>
      <c r="AX344" s="290">
        <f>IFERROR(AX314/AX343*365,"")</f>
        <v>85.37578125</v>
      </c>
      <c r="AY344" s="290">
        <f>IFERROR(AY314/AY343*365,"")</f>
        <v>85.6680618158403</v>
      </c>
      <c r="AZ344" s="290">
        <f>IFERROR(AZ314/AZ343*365,"")</f>
        <v>95.0172018348624</v>
      </c>
      <c r="BA344" s="290">
        <f>IFERROR(BA314/BA343*365,"")</f>
        <v>101.981806367771</v>
      </c>
      <c r="BB344" s="290">
        <f>IFERROR(BB314/BB343*365,"")</f>
        <v>100.964940495336</v>
      </c>
      <c r="BC344" s="290">
        <f>IFERROR(BC314/BC343*365,"")</f>
        <v>109.356110381078</v>
      </c>
      <c r="BD344" s="290">
        <f>IFERROR(BD314/BD343*365,"")</f>
        <v>105.85264301231</v>
      </c>
      <c r="BE344" s="290">
        <f>IFERROR(BE314/BE343*365,"")</f>
        <v>108.641176470588</v>
      </c>
      <c r="BF344" s="290">
        <f>IFERROR(BF314/BF343*365,"")</f>
        <v>116.856589147287</v>
      </c>
      <c r="BG344" s="290">
        <f>IFERROR(BG314/BG343*365,"")</f>
        <v>110.274323335772</v>
      </c>
      <c r="BH344" s="290">
        <f>IFERROR(BH314/BH343*365,"")</f>
        <v>106.272108843537</v>
      </c>
      <c r="BI344" s="290">
        <f>IFERROR(BI314/BI343*365,"")</f>
        <v>94.1817269076305</v>
      </c>
      <c r="BJ344" s="290">
        <f>IFERROR(BJ314/BJ343*365,"")</f>
        <v>93.7916100543478</v>
      </c>
      <c r="BK344" s="290">
        <f>IFERROR(BK314/BK343*365,"")</f>
        <v>102.286317567568</v>
      </c>
      <c r="BL344" s="290">
        <f>IFERROR(BL314/BL343*365,"")</f>
        <v>102.355476673428</v>
      </c>
      <c r="BM344" s="290">
        <f>IFERROR(BM314/BM343*365,"")</f>
        <v>93.7534994400896</v>
      </c>
      <c r="BN344" s="290">
        <f>IFERROR(BN314/BN343*365,"")</f>
        <v>85.0729223995597</v>
      </c>
      <c r="BO344" s="290">
        <f>IFERROR(BO314/BO343*365,"")</f>
        <v>85.965250965251</v>
      </c>
      <c r="BP344" s="290">
        <f>IFERROR(BP314/BP343*365,"")</f>
        <v>98.290221291866</v>
      </c>
      <c r="BQ344" s="290">
        <f>IFERROR(BQ314/BQ343*365,"")</f>
        <v>92.7433690744921</v>
      </c>
      <c r="BR344" s="290">
        <f>IFERROR(BR314/BR343*365,"")</f>
        <v>87.7403846153846</v>
      </c>
      <c r="BS344" s="290">
        <f>IFERROR(BS314/BS343*365,"")</f>
        <v>85.3846153846154</v>
      </c>
      <c r="BT344" s="290">
        <f>IFERROR(BT314/BT343*365,"")</f>
        <v>80.6564524165421</v>
      </c>
      <c r="BU344" s="290">
        <f>IFERROR(BU314/BU343*365,"")</f>
        <v>97.7713075701429</v>
      </c>
      <c r="BV344" s="290">
        <f>IFERROR(BV314/BV343*365,"")</f>
        <v>95.719098211972</v>
      </c>
      <c r="BW344" s="290">
        <f>IFERROR(BW314/BW343*365,"")</f>
        <v>89.7138047138047</v>
      </c>
      <c r="BX344" s="290">
        <f>IFERROR(BX314/BX343*365,"")</f>
        <v>80.1413043478261</v>
      </c>
      <c r="BY344" s="35" t="n"/>
      <c r="BZ344" s="35" t="n"/>
      <c r="CA344" s="291" t="n">
        <v>96</v>
      </c>
      <c r="CB344" s="291" t="n">
        <v>96</v>
      </c>
      <c r="CC344" s="291" t="n">
        <v>96</v>
      </c>
      <c r="CD344" s="291" t="n">
        <v>96</v>
      </c>
      <c r="CE344" s="291" t="n">
        <v>96</v>
      </c>
      <c r="CF344" s="19" t="n"/>
      <c r="CH344" s="37">
        <f>IFERROR(AVERAGE(CA344,CB344,CC344,CD344,CE344),"n/m")</f>
        <v>96</v>
      </c>
      <c r="CI344" s="37">
        <f>IFERROR(AVERAGE(BB344,BG344,BL344,BQ344,BV344),"n/m")</f>
        <v>100.4114415582</v>
      </c>
      <c r="CJ344" s="37">
        <f>IFERROR(AVERAGE(AC344,AH344,AM344,AR344,AW344,BB344,BG344,BL344,BQ344,BV344),"n/m")</f>
        <v>100.170379032114</v>
      </c>
      <c r="CK344" s="37">
        <f>IFERROR(AVERAGE(C344,D344,E344,F344,G344,H344,I344,N344,S344,X344,AC344,AH344,AM344,AR344,AW344,BB344,BG344,BL344,BQ344,BV344),"n/m")</f>
        <v>92.1745397939198</v>
      </c>
    </row>
    <row r="345" ht="15" customHeight="1" s="251">
      <c r="B345" s="25" t="inlineStr">
        <is>
          <t xml:space="preserve">  Deferred revenue (current) % of revenue</t>
        </is>
      </c>
      <c r="C345" s="215">
        <f>IFERROR(C325/C343,"")</f>
        <v>0.176869078592116</v>
      </c>
      <c r="D345" s="215">
        <f>IFERROR(D325/D343,"")</f>
        <v>0.188579017264276</v>
      </c>
      <c r="E345" s="215">
        <f>IFERROR(E325/E343,"")</f>
        <v>0.247806767688276</v>
      </c>
      <c r="F345" s="215">
        <f>IFERROR(F325/F343,"")</f>
        <v>0.262241264188738</v>
      </c>
      <c r="G345" s="215">
        <f>IFERROR(G325/G343,"")</f>
        <v>0.250049212598425</v>
      </c>
      <c r="H345" s="215">
        <f>IFERROR(H325/H343,"")</f>
        <v>0.228175560135046</v>
      </c>
      <c r="I345" s="215">
        <f>IFERROR(I325/I343,"")</f>
        <v>0.199904772369337</v>
      </c>
      <c r="J345" s="215">
        <f>IFERROR(J325/J343,"")</f>
        <v>0.213992894233397</v>
      </c>
      <c r="K345" s="215">
        <f>IFERROR(K325/K343,"")</f>
        <v>0.193220899470899</v>
      </c>
      <c r="L345" s="215">
        <f>IFERROR(L325/L343,"")</f>
        <v>0.198192771084337</v>
      </c>
      <c r="M345" s="215">
        <f>IFERROR(M325/M343,"")</f>
        <v>0.191991786447639</v>
      </c>
      <c r="N345" s="215">
        <f>IFERROR(N325/N343,"")</f>
        <v>0.201312026913373</v>
      </c>
      <c r="O345" s="215">
        <f>IFERROR(O325/O343,"")</f>
        <v>0.232175443169969</v>
      </c>
      <c r="P345" s="215">
        <f>IFERROR(P325/P343,"")</f>
        <v>0.189181453921007</v>
      </c>
      <c r="Q345" s="215">
        <f>IFERROR(Q325/Q343,"")</f>
        <v>0.18784462688396</v>
      </c>
      <c r="R345" s="215">
        <f>IFERROR(R325/R343,"")</f>
        <v>0.177948717948718</v>
      </c>
      <c r="S345" s="215">
        <f>IFERROR(S325/S343,"")</f>
        <v>0.187325675554089</v>
      </c>
      <c r="T345" s="215">
        <f>IFERROR(T325/T343,"")</f>
        <v>0.213060304990758</v>
      </c>
      <c r="U345" s="215">
        <f>IFERROR(U325/U343,"")</f>
        <v>0.186553752314563</v>
      </c>
      <c r="V345" s="215">
        <f>IFERROR(V325/V343,"")</f>
        <v>0.187297879985627</v>
      </c>
      <c r="W345" s="215">
        <f>IFERROR(W325/W343,"")</f>
        <v>0.183393001501328</v>
      </c>
      <c r="X345" s="215">
        <f>IFERROR(X325/X343,"")</f>
        <v>0.182293011909887</v>
      </c>
      <c r="Y345" s="215">
        <f>IFERROR(Y325/Y343,"")</f>
        <v>0.232937140056366</v>
      </c>
      <c r="Z345" s="215">
        <f>IFERROR(Z325/Z343,"")</f>
        <v>0.186403272688126</v>
      </c>
      <c r="AA345" s="215">
        <f>IFERROR(AA325/AA343,"")</f>
        <v>0.177815941554901</v>
      </c>
      <c r="AB345" s="215">
        <f>IFERROR(AB325/AB343,"")</f>
        <v>0.181482857446131</v>
      </c>
      <c r="AC345" s="215">
        <f>IFERROR(AC325/AC343,"")</f>
        <v>0.189750846234948</v>
      </c>
      <c r="AD345" s="215">
        <f>IFERROR(AD325/AD343,"")</f>
        <v>0.209546759639048</v>
      </c>
      <c r="AE345" s="215">
        <f>IFERROR(AE325/AE343,"")</f>
        <v>0.186606696651674</v>
      </c>
      <c r="AF345" s="215">
        <f>IFERROR(AF325/AF343,"")</f>
        <v>0.186071126164268</v>
      </c>
      <c r="AG345" s="215">
        <f>IFERROR(AG325/AG343,"")</f>
        <v>0.18953238953239</v>
      </c>
      <c r="AH345" s="215">
        <f>IFERROR(AH325/AH343,"")</f>
        <v>0.210175780785424</v>
      </c>
      <c r="AI345" s="215">
        <f>IFERROR(AI325/AI343,"")</f>
        <v>0.221598473417946</v>
      </c>
      <c r="AJ345" s="215">
        <f>IFERROR(AJ325/AJ343,"")</f>
        <v>0.183069525997787</v>
      </c>
      <c r="AK345" s="215">
        <f>IFERROR(AK325/AK343,"")</f>
        <v>0.17845577350111</v>
      </c>
      <c r="AL345" s="215">
        <f>IFERROR(AL325/AL343,"")</f>
        <v>0.224837279501934</v>
      </c>
      <c r="AM345" s="215">
        <f>IFERROR(AM325/AM343,"")</f>
        <v>0.214599230197853</v>
      </c>
      <c r="AN345" s="215">
        <f>IFERROR(AN325/AN343,"")</f>
        <v>0.232532177567639</v>
      </c>
      <c r="AO345" s="215">
        <f>IFERROR(AO325/AO343,"")</f>
        <v>0.196172544495715</v>
      </c>
      <c r="AP345" s="215">
        <f>IFERROR(AP325/AP343,"")</f>
        <v>0.172450624748085</v>
      </c>
      <c r="AQ345" s="215">
        <f>IFERROR(AQ325/AQ343,"")</f>
        <v>0.212895377128954</v>
      </c>
      <c r="AR345" s="215">
        <f>IFERROR(AR325/AR343,"")</f>
        <v>0.217436322219921</v>
      </c>
      <c r="AS345" s="215">
        <f>IFERROR(AS325/AS343,"")</f>
        <v>0.215697674418605</v>
      </c>
      <c r="AT345" s="215">
        <f>IFERROR(AT325/AT343,"")</f>
        <v>0.174390243902439</v>
      </c>
      <c r="AU345" s="215">
        <f>IFERROR(AU325/AU343,"")</f>
        <v>0.169247787610619</v>
      </c>
      <c r="AV345" s="215">
        <f>IFERROR(AV325/AV343,"")</f>
        <v>0.211046511627907</v>
      </c>
      <c r="AW345" s="215">
        <f>IFERROR(AW325/AW343,"")</f>
        <v>0.202755539005772</v>
      </c>
      <c r="AX345" s="215">
        <f>IFERROR(AX325/AX343,"")</f>
        <v>0.1925</v>
      </c>
      <c r="AY345" s="215">
        <f>IFERROR(AY325/AY343,"")</f>
        <v>0.183837733419189</v>
      </c>
      <c r="AZ345" s="215">
        <f>IFERROR(AZ325/AZ343,"")</f>
        <v>0.180045871559633</v>
      </c>
      <c r="BA345" s="215">
        <f>IFERROR(BA325/BA343,"")</f>
        <v>0.202891487979207</v>
      </c>
      <c r="BB345" s="215">
        <f>IFERROR(BB325/BB343,"")</f>
        <v>0.200868446445803</v>
      </c>
      <c r="BC345" s="215">
        <f>IFERROR(BC325/BC343,"")</f>
        <v>0.250492772667543</v>
      </c>
      <c r="BD345" s="215">
        <f>IFERROR(BD325/BD343,"")</f>
        <v>0.232621288921072</v>
      </c>
      <c r="BE345" s="215">
        <f>IFERROR(BE325/BE343,"")</f>
        <v>0.226470588235294</v>
      </c>
      <c r="BF345" s="215">
        <f>IFERROR(BF325/BF343,"")</f>
        <v>0.243798449612403</v>
      </c>
      <c r="BG345" s="215">
        <f>IFERROR(BG325/BG343,"")</f>
        <v>0.230065837600585</v>
      </c>
      <c r="BH345" s="215">
        <f>IFERROR(BH325/BH343,"")</f>
        <v>0.268367346938776</v>
      </c>
      <c r="BI345" s="215">
        <f>IFERROR(BI325/BI343,"")</f>
        <v>0.231760374832664</v>
      </c>
      <c r="BJ345" s="215">
        <f>IFERROR(BJ325/BJ343,"")</f>
        <v>0.208220108695652</v>
      </c>
      <c r="BK345" s="215">
        <f>IFERROR(BK325/BK343,"")</f>
        <v>0.222297297297297</v>
      </c>
      <c r="BL345" s="215">
        <f>IFERROR(BL325/BL343,"")</f>
        <v>0.222447599729547</v>
      </c>
      <c r="BM345" s="215">
        <f>IFERROR(BM325/BM343,"")</f>
        <v>0.225643896976484</v>
      </c>
      <c r="BN345" s="215">
        <f>IFERROR(BN325/BN343,"")</f>
        <v>0.195789763346175</v>
      </c>
      <c r="BO345" s="215">
        <f>IFERROR(BO325/BO343,"")</f>
        <v>0.179260893546608</v>
      </c>
      <c r="BP345" s="215">
        <f>IFERROR(BP325/BP343,"")</f>
        <v>0.217404306220096</v>
      </c>
      <c r="BQ345" s="215">
        <f>IFERROR(BQ325/BQ343,"")</f>
        <v>0.205135440180587</v>
      </c>
      <c r="BR345" s="215">
        <f>IFERROR(BR325/BR343,"")</f>
        <v>0.229339916839917</v>
      </c>
      <c r="BS345" s="215">
        <f>IFERROR(BS325/BS343,"")</f>
        <v>0.207850368809273</v>
      </c>
      <c r="BT345" s="215">
        <f>IFERROR(BT325/BT343,"")</f>
        <v>0.170528151469856</v>
      </c>
      <c r="BU345" s="215">
        <f>IFERROR(BU325/BU343,"")</f>
        <v>0.209370037056644</v>
      </c>
      <c r="BV345" s="215">
        <f>IFERROR(BV325/BV343,"")</f>
        <v>0.204975382223374</v>
      </c>
      <c r="BW345" s="215">
        <f>IFERROR(BW325/BW343,"")</f>
        <v>0.218855218855219</v>
      </c>
      <c r="BX345" s="215">
        <f>IFERROR(BX325/BX343,"")</f>
        <v>0.182494279176201</v>
      </c>
      <c r="BY345" s="24" t="n"/>
      <c r="BZ345" s="24" t="n"/>
      <c r="CA345" s="271" t="n">
        <v>0.205</v>
      </c>
      <c r="CB345" s="271" t="n">
        <v>0.205</v>
      </c>
      <c r="CC345" s="271" t="n">
        <v>0.205</v>
      </c>
      <c r="CD345" s="271" t="n">
        <v>0.205</v>
      </c>
      <c r="CE345" s="271" t="n">
        <v>0.205</v>
      </c>
      <c r="CF345" s="153" t="n"/>
      <c r="CH345" s="37">
        <f>IFERROR(AVERAGE(CA345,CB345,CC345,CD345,CE345),"n/m")</f>
        <v>0.205</v>
      </c>
      <c r="CI345" s="37">
        <f>IFERROR(AVERAGE(BB345,BG345,BL345,BQ345,BV345),"n/m")</f>
        <v>0.212698541235979</v>
      </c>
      <c r="CJ345" s="37">
        <f>IFERROR(AVERAGE(AC345,AH345,AM345,AR345,AW345,BB345,BG345,BL345,BQ345,BV345),"n/m")</f>
        <v>0.209821042462381</v>
      </c>
      <c r="CK345" s="37">
        <f>IFERROR(AVERAGE(C345,D345,E345,F345,G345,H345,I345,N345,S345,X345,AC345,AH345,AM345,AR345,AW345,BB345,BG345,BL345,BQ345,BV345),"n/m")</f>
        <v>0.211138340591869</v>
      </c>
    </row>
    <row r="346" ht="15" customHeight="1" s="251">
      <c r="B346" s="25" t="inlineStr">
        <is>
          <t xml:space="preserve">  Accounts payable &amp; accrued % of revenue</t>
        </is>
      </c>
      <c r="C346" s="215">
        <f>IFERROR(C323/C343,"")</f>
        <v>0.166756663884934</v>
      </c>
      <c r="D346" s="215">
        <f>IFERROR(D323/D343,"")</f>
        <v>0.164364763169544</v>
      </c>
      <c r="E346" s="215">
        <f>IFERROR(E323/E343,"")</f>
        <v>0.136948843568417</v>
      </c>
      <c r="F346" s="215">
        <f>IFERROR(F323/F343,"")</f>
        <v>0.176496772757623</v>
      </c>
      <c r="G346" s="215">
        <f>IFERROR(G323/G343,"")</f>
        <v>0.203937007874016</v>
      </c>
      <c r="H346" s="215">
        <f>IFERROR(H323/H343,"")</f>
        <v>0.198316306397159</v>
      </c>
      <c r="I346" s="215">
        <f>IFERROR(I323/I343,"")</f>
        <v>0.203384243489726</v>
      </c>
      <c r="J346" s="215">
        <f>IFERROR(J323/J343,"")</f>
        <v>0.121310467340804</v>
      </c>
      <c r="K346" s="215">
        <f>IFERROR(K323/K343,"")</f>
        <v>0.103439153439153</v>
      </c>
      <c r="L346" s="215">
        <f>IFERROR(L323/L343,"")</f>
        <v>0.119737774627923</v>
      </c>
      <c r="M346" s="215">
        <f>IFERROR(M323/M343,"")</f>
        <v>0.172901694045175</v>
      </c>
      <c r="N346" s="215">
        <f>IFERROR(N323/N343,"")</f>
        <v>0.181295206055509</v>
      </c>
      <c r="O346" s="215">
        <f>IFERROR(O323/O343,"")</f>
        <v>0.101798748696559</v>
      </c>
      <c r="P346" s="215">
        <f>IFERROR(P323/P343,"")</f>
        <v>0.123297080709788</v>
      </c>
      <c r="Q346" s="215">
        <f>IFERROR(Q323/Q343,"")</f>
        <v>0.128721970346771</v>
      </c>
      <c r="R346" s="215">
        <f>IFERROR(R323/R343,"")</f>
        <v>0.158860398860399</v>
      </c>
      <c r="S346" s="215">
        <f>IFERROR(S323/S343,"")</f>
        <v>0.167231502864169</v>
      </c>
      <c r="T346" s="215">
        <f>IFERROR(T323/T343,"")</f>
        <v>0.109519408502773</v>
      </c>
      <c r="U346" s="215">
        <f>IFERROR(U323/U343,"")</f>
        <v>0.11493845986276</v>
      </c>
      <c r="V346" s="215">
        <f>IFERROR(V323/V343,"")</f>
        <v>0.122529644268775</v>
      </c>
      <c r="W346" s="215">
        <f>IFERROR(W323/W343,"")</f>
        <v>0.163587019286292</v>
      </c>
      <c r="X346" s="215">
        <f>IFERROR(X323/X343,"")</f>
        <v>0.162605825799971</v>
      </c>
      <c r="Y346" s="215">
        <f>IFERROR(Y323/Y343,"")</f>
        <v>0.119930155618184</v>
      </c>
      <c r="Z346" s="215">
        <f>IFERROR(Z323/Z343,"")</f>
        <v>0.122133706534611</v>
      </c>
      <c r="AA346" s="215">
        <f>IFERROR(AA323/AA343,"")</f>
        <v>0.122751063133791</v>
      </c>
      <c r="AB346" s="215">
        <f>IFERROR(AB323/AB343,"")</f>
        <v>0.383266107631886</v>
      </c>
      <c r="AC346" s="215">
        <f>IFERROR(AC323/AC343,"")</f>
        <v>0.400726929693136</v>
      </c>
      <c r="AD346" s="215">
        <f>IFERROR(AD323/AD343,"")</f>
        <v>0.100646021328958</v>
      </c>
      <c r="AE346" s="215">
        <f>IFERROR(AE323/AE343,"")</f>
        <v>0.122538730634683</v>
      </c>
      <c r="AF346" s="215">
        <f>IFERROR(AF323/AF343,"")</f>
        <v>0.135831216483206</v>
      </c>
      <c r="AG346" s="215">
        <f>IFERROR(AG323/AG343,"")</f>
        <v>0.160939510939511</v>
      </c>
      <c r="AH346" s="215">
        <f>IFERROR(AH323/AH343,"")</f>
        <v>0.178468637758379</v>
      </c>
      <c r="AI346" s="215">
        <f>IFERROR(AI323/AI343,"")</f>
        <v>0.118176977012514</v>
      </c>
      <c r="AJ346" s="215">
        <f>IFERROR(AJ323/AJ343,"")</f>
        <v>0.126287124500043</v>
      </c>
      <c r="AK346" s="215">
        <f>IFERROR(AK323/AK343,"")</f>
        <v>0.134529977794227</v>
      </c>
      <c r="AL346" s="215">
        <f>IFERROR(AL323/AL343,"")</f>
        <v>0.163946797471937</v>
      </c>
      <c r="AM346" s="215">
        <f>IFERROR(AM323/AM343,"")</f>
        <v>0.156481418956941</v>
      </c>
      <c r="AN346" s="215">
        <f>IFERROR(AN323/AN343,"")</f>
        <v>0.117568514140618</v>
      </c>
      <c r="AO346" s="215">
        <f>IFERROR(AO323/AO343,"")</f>
        <v>0.121271423862887</v>
      </c>
      <c r="AP346" s="215">
        <f>IFERROR(AP323/AP343,"")</f>
        <v>0.122370012091898</v>
      </c>
      <c r="AQ346" s="215">
        <f>IFERROR(AQ323/AQ343,"")</f>
        <v>0.156731549067315</v>
      </c>
      <c r="AR346" s="215">
        <f>IFERROR(AR323/AR343,"")</f>
        <v>0.16007454959619</v>
      </c>
      <c r="AS346" s="215">
        <f>IFERROR(AS323/AS343,"")</f>
        <v>0.128682170542636</v>
      </c>
      <c r="AT346" s="215">
        <f>IFERROR(AT323/AT343,"")</f>
        <v>0.138501742160279</v>
      </c>
      <c r="AU346" s="215">
        <f>IFERROR(AU323/AU343,"")</f>
        <v>0.131268436578171</v>
      </c>
      <c r="AV346" s="215">
        <f>IFERROR(AV323/AV343,"")</f>
        <v>0.201356589147287</v>
      </c>
      <c r="AW346" s="215">
        <f>IFERROR(AW323/AW343,"")</f>
        <v>0.193446285607894</v>
      </c>
      <c r="AX346" s="215">
        <f>IFERROR(AX323/AX343,"")</f>
        <v>0.129375</v>
      </c>
      <c r="AY346" s="215">
        <f>IFERROR(AY323/AY343,"")</f>
        <v>0.131358660656793</v>
      </c>
      <c r="AZ346" s="215">
        <f>IFERROR(AZ323/AZ343,"")</f>
        <v>0.177588466579292</v>
      </c>
      <c r="BA346" s="215">
        <f>IFERROR(BA323/BA343,"")</f>
        <v>0.185510071474984</v>
      </c>
      <c r="BB346" s="215">
        <f>IFERROR(BB323/BB343,"")</f>
        <v>0.183660340945642</v>
      </c>
      <c r="BC346" s="215">
        <f>IFERROR(BC323/BC343,"")</f>
        <v>0.140604467805519</v>
      </c>
      <c r="BD346" s="215">
        <f>IFERROR(BD323/BD343,"")</f>
        <v>0.156770456191166</v>
      </c>
      <c r="BE346" s="215">
        <f>IFERROR(BE323/BE343,"")</f>
        <v>0.158235294117647</v>
      </c>
      <c r="BF346" s="215">
        <f>IFERROR(BF323/BF343,"")</f>
        <v>0.19593023255814</v>
      </c>
      <c r="BG346" s="215">
        <f>IFERROR(BG323/BG343,"")</f>
        <v>0.184893928310168</v>
      </c>
      <c r="BH346" s="215">
        <f>IFERROR(BH323/BH343,"")</f>
        <v>0.136904761904762</v>
      </c>
      <c r="BI346" s="215">
        <f>IFERROR(BI323/BI343,"")</f>
        <v>0.146753681392236</v>
      </c>
      <c r="BJ346" s="215">
        <f>IFERROR(BJ323/BJ343,"")</f>
        <v>0.159307065217391</v>
      </c>
      <c r="BK346" s="215">
        <f>IFERROR(BK323/BK343,"")</f>
        <v>0.181756756756757</v>
      </c>
      <c r="BL346" s="215">
        <f>IFERROR(BL323/BL343,"")</f>
        <v>0.181879648411089</v>
      </c>
      <c r="BM346" s="215">
        <f>IFERROR(BM323/BM343,"")</f>
        <v>0.136618141097424</v>
      </c>
      <c r="BN346" s="215">
        <f>IFERROR(BN323/BN343,"")</f>
        <v>0.137589433131536</v>
      </c>
      <c r="BO346" s="215">
        <f>IFERROR(BO323/BO343,"")</f>
        <v>0.156232763375621</v>
      </c>
      <c r="BP346" s="215">
        <f>IFERROR(BP323/BP343,"")</f>
        <v>0.200956937799043</v>
      </c>
      <c r="BQ346" s="215">
        <f>IFERROR(BQ323/BQ343,"")</f>
        <v>0.18961625282167</v>
      </c>
      <c r="BR346" s="215">
        <f>IFERROR(BR323/BR343,"")</f>
        <v>0.136304573804574</v>
      </c>
      <c r="BS346" s="215">
        <f>IFERROR(BS323/BS343,"")</f>
        <v>0.127502634351949</v>
      </c>
      <c r="BT346" s="215">
        <f>IFERROR(BT323/BT343,"")</f>
        <v>0.128550074738416</v>
      </c>
      <c r="BU346" s="215">
        <f>IFERROR(BU323/BU343,"")</f>
        <v>0.172578083642139</v>
      </c>
      <c r="BV346" s="215">
        <f>IFERROR(BV323/BV343,"")</f>
        <v>0.168955688002073</v>
      </c>
      <c r="BW346" s="215">
        <f>IFERROR(BW323/BW343,"")</f>
        <v>0.138648388648389</v>
      </c>
      <c r="BX346" s="215">
        <f>IFERROR(BX323/BX343,"")</f>
        <v>0.124256292906178</v>
      </c>
      <c r="BY346" s="24" t="n"/>
      <c r="BZ346" s="24" t="n"/>
      <c r="CA346" s="271" t="n">
        <v>0.169</v>
      </c>
      <c r="CB346" s="271" t="n">
        <v>0.169</v>
      </c>
      <c r="CC346" s="271" t="n">
        <v>0.169</v>
      </c>
      <c r="CD346" s="271" t="n">
        <v>0.169</v>
      </c>
      <c r="CE346" s="271" t="n">
        <v>0.169</v>
      </c>
      <c r="CF346" s="153" t="inlineStr">
        <is>
          <t>Forecast inputs at fiscal-year-end (31-Dec-2025) levels on FY2025 revenue (DSO 96d, deferred revenue 20.5% and payables &amp; accrued 16.9% of revenue); year ends are compared with year ends (Q1 receivables are seasonally high, deferred revenue peaks in Q1).</t>
        </is>
      </c>
    </row>
    <row r="347" ht="15" customHeight="1" s="251">
      <c r="B347" s="25" t="inlineStr">
        <is>
          <t xml:space="preserve">  Operating NWC (receivables + other current assets − payables &amp; accrued − deferred revenue − other current liabilities)</t>
        </is>
      </c>
      <c r="C347" s="261">
        <f>IF(ISNUMBER(C314),C314+C315-C323-C325-C326,"")</f>
        <v>-181.6</v>
      </c>
      <c r="D347" s="261">
        <f>IF(ISNUMBER(D314),D314+D315-D323-D325-D326,"")</f>
        <v>-249.2</v>
      </c>
      <c r="E347" s="261">
        <f>IF(ISNUMBER(E314),E314+E315-E323-E325-E326,"")</f>
        <v>-119.3</v>
      </c>
      <c r="F347" s="261">
        <f>IF(ISNUMBER(F314),F314+F315-F323-F325-F326,"")</f>
        <v>-259.5</v>
      </c>
      <c r="G347" s="261">
        <f>IF(ISNUMBER(G314),G314+G315-G323-G325-G326,"")</f>
        <v>-251.8</v>
      </c>
      <c r="H347" s="261">
        <f>IF(ISNUMBER(H314),H314+H315-H323-H325-H326,"")</f>
        <v>-413.1</v>
      </c>
      <c r="I347" s="261">
        <f>IF(ISNUMBER(I314),I314+I315-I323-I325-I326,"")</f>
        <v>-348.7</v>
      </c>
      <c r="J347" s="261">
        <f>IF(ISNUMBER(J314),J314+J315-J323-J325-J326,"")</f>
        <v>-230.8</v>
      </c>
      <c r="K347" s="261">
        <f>IF(ISNUMBER(K314),K314+K315-K323-K325-K326,"")</f>
        <v>-105.3</v>
      </c>
      <c r="L347" s="261">
        <f>IF(ISNUMBER(L314),L314+L315-L323-L325-L326,"")</f>
        <v>-159.7</v>
      </c>
      <c r="M347" s="261">
        <f>IF(ISNUMBER(M314),M314+M315-M323-M325-M326,"")</f>
        <v>-278.8</v>
      </c>
      <c r="N347" s="261">
        <f>IF(ISNUMBER(N314),N314+N315-N323-N325-N326,"")</f>
        <v>-278.8</v>
      </c>
      <c r="O347" s="261">
        <f>IF(ISNUMBER(O314),O314+O315-O323-O325-O326,"")</f>
        <v>-51</v>
      </c>
      <c r="P347" s="261">
        <f>IF(ISNUMBER(P314),P314+P315-P323-P325-P326,"")</f>
        <v>-108.4</v>
      </c>
      <c r="Q347" s="261">
        <f>IF(ISNUMBER(Q314),Q314+Q315-Q323-Q325-Q326,"")</f>
        <v>-85.3999999999999</v>
      </c>
      <c r="R347" s="261">
        <f>IF(ISNUMBER(R314),R314+R315-R323-R325-R326,"")</f>
        <v>-190.9</v>
      </c>
      <c r="S347" s="261">
        <f>IF(ISNUMBER(S314),S314+S315-S323-S325-S326,"")</f>
        <v>-190.9</v>
      </c>
      <c r="T347" s="261">
        <f>IF(ISNUMBER(T314),T314+T315-T323-T325-T326,"")</f>
        <v>-94.3</v>
      </c>
      <c r="U347" s="261">
        <f>IF(ISNUMBER(U314),U314+U315-U323-U325-U326,"")</f>
        <v>-108.3</v>
      </c>
      <c r="V347" s="261">
        <f>IF(ISNUMBER(V314),V314+V315-V323-V325-V326,"")</f>
        <v>-129.4</v>
      </c>
      <c r="W347" s="261">
        <f>IF(ISNUMBER(W314),W314+W315-W323-W325-W326,"")</f>
        <v>-207.6</v>
      </c>
      <c r="X347" s="261">
        <f>IF(ISNUMBER(X314),X314+X315-X323-X325-X326,"")</f>
        <v>-207.6</v>
      </c>
      <c r="Y347" s="261">
        <f>IF(ISNUMBER(Y314),Y314+Y315-Y323-Y325-Y326,"")</f>
        <v>-133.3</v>
      </c>
      <c r="Z347" s="261">
        <f>IF(ISNUMBER(Z314),Z314+Z315-Z323-Z325-Z326,"")</f>
        <v>-143.1</v>
      </c>
      <c r="AA347" s="261">
        <f>IF(ISNUMBER(AA314),AA314+AA315-AA323-AA325-AA326,"")</f>
        <v>-143.6</v>
      </c>
      <c r="AB347" s="261">
        <f>IF(ISNUMBER(AB314),AB314+AB315-AB323-AB325-AB326,"")</f>
        <v>-1100</v>
      </c>
      <c r="AC347" s="261">
        <f>IF(ISNUMBER(AC314),AC314+AC315-AC323-AC325-AC326,"")</f>
        <v>-1100</v>
      </c>
      <c r="AD347" s="261">
        <f>IF(ISNUMBER(AD314),AD314+AD315-AD323-AD325-AD326,"")</f>
        <v>13.0999999999999</v>
      </c>
      <c r="AE347" s="261">
        <f>IF(ISNUMBER(AE314),AE314+AE315-AE323-AE325-AE326,"")</f>
        <v>-45.2999999999998</v>
      </c>
      <c r="AF347" s="261">
        <f>IF(ISNUMBER(AF314),AF314+AF315-AF323-AF325-AF326,"")</f>
        <v>-160.8</v>
      </c>
      <c r="AG347" s="261">
        <f>IF(ISNUMBER(AG314),AG314+AG315-AG323-AG325-AG326,"")</f>
        <v>-236.6</v>
      </c>
      <c r="AH347" s="261">
        <f>IF(ISNUMBER(AH314),AH314+AH315-AH323-AH325-AH326,"")</f>
        <v>-236.6</v>
      </c>
      <c r="AI347" s="261">
        <f>IF(ISNUMBER(AI314),AI314+AI315-AI323-AI325-AI326,"")</f>
        <v>-90.3000000000001</v>
      </c>
      <c r="AJ347" s="261">
        <f>IF(ISNUMBER(AJ314),AJ314+AJ315-AJ323-AJ325-AJ326,"")</f>
        <v>-30.1</v>
      </c>
      <c r="AK347" s="261">
        <f>IF(ISNUMBER(AK314),AK314+AK315-AK323-AK325-AK326,"")</f>
        <v>17.6</v>
      </c>
      <c r="AL347" s="261">
        <f>IF(ISNUMBER(AL314),AL314+AL315-AL323-AL325-AL326,"")</f>
        <v>-79.2000000000002</v>
      </c>
      <c r="AM347" s="261">
        <f>IF(ISNUMBER(AM314),AM314+AM315-AM323-AM325-AM326,"")</f>
        <v>-79.2000000000002</v>
      </c>
      <c r="AN347" s="261">
        <f>IF(ISNUMBER(AN314),AN314+AN315-AN323-AN325-AN326,"")</f>
        <v>-98.9999999999997</v>
      </c>
      <c r="AO347" s="261">
        <f>IF(ISNUMBER(AO314),AO314+AO315-AO323-AO325-AO326,"")</f>
        <v>129.2</v>
      </c>
      <c r="AP347" s="261">
        <f>IF(ISNUMBER(AP314),AP314+AP315-AP323-AP325-AP326,"")</f>
        <v>132</v>
      </c>
      <c r="AQ347" s="261">
        <f>IF(ISNUMBER(AQ314),AQ314+AQ315-AQ323-AQ325-AQ326,"")</f>
        <v>-163</v>
      </c>
      <c r="AR347" s="261">
        <f>IF(ISNUMBER(AR314),AR314+AR315-AR323-AR325-AR326,"")</f>
        <v>-163</v>
      </c>
      <c r="AS347" s="261">
        <f>IF(ISNUMBER(AS314),AS314+AS315-AS323-AS325-AS326,"")</f>
        <v>-103</v>
      </c>
      <c r="AT347" s="261">
        <f>IF(ISNUMBER(AT314),AT314+AT315-AT323-AT325-AT326,"")</f>
        <v>-122</v>
      </c>
      <c r="AU347" s="261">
        <f>IF(ISNUMBER(AU314),AU314+AU315-AU323-AU325-AU326,"")</f>
        <v>-28</v>
      </c>
      <c r="AV347" s="261">
        <f>IF(ISNUMBER(AV314),AV314+AV315-AV323-AV325-AV326,"")</f>
        <v>-409</v>
      </c>
      <c r="AW347" s="261">
        <f>IF(ISNUMBER(AW314),AW314+AW315-AW323-AW325-AW326,"")</f>
        <v>-409</v>
      </c>
      <c r="AX347" s="261">
        <f>IF(ISNUMBER(AX314),AX314+AX315-AX323-AX325-AX326,"")</f>
        <v>-324</v>
      </c>
      <c r="AY347" s="261">
        <f>IF(ISNUMBER(AY314),AY314+AY315-AY323-AY325-AY326,"")</f>
        <v>-213</v>
      </c>
      <c r="AZ347" s="261">
        <f>IF(ISNUMBER(AZ314),AZ314+AZ315-AZ323-AZ325-AZ326,"")</f>
        <v>-374</v>
      </c>
      <c r="BA347" s="261">
        <f>IF(ISNUMBER(BA314),BA314+BA315-BA323-BA325-BA326,"")</f>
        <v>-387</v>
      </c>
      <c r="BB347" s="261">
        <f>IF(ISNUMBER(BB314),BB314+BB315-BB323-BB325-BB326,"")</f>
        <v>-387</v>
      </c>
      <c r="BC347" s="261">
        <f>IF(ISNUMBER(BC314),BC314+BC315-BC323-BC325-BC326,"")</f>
        <v>-278</v>
      </c>
      <c r="BD347" s="261">
        <f>IF(ISNUMBER(BD314),BD314+BD315-BD323-BD325-BD326,"")</f>
        <v>-139</v>
      </c>
      <c r="BE347" s="261">
        <f>IF(ISNUMBER(BE314),BE314+BE315-BE323-BE325-BE326,"")</f>
        <v>-85</v>
      </c>
      <c r="BF347" s="261">
        <f>IF(ISNUMBER(BF314),BF314+BF315-BF323-BF325-BF326,"")</f>
        <v>-140</v>
      </c>
      <c r="BG347" s="261">
        <f>IF(ISNUMBER(BG314),BG314+BG315-BG323-BG325-BG326,"")</f>
        <v>-140</v>
      </c>
      <c r="BH347" s="261">
        <f>IF(ISNUMBER(BH314),BH314+BH315-BH323-BH325-BH326,"")</f>
        <v>-260</v>
      </c>
      <c r="BI347" s="261">
        <f>IF(ISNUMBER(BI314),BI314+BI315-BI323-BI325-BI326,"")</f>
        <v>-312</v>
      </c>
      <c r="BJ347" s="261">
        <f>IF(ISNUMBER(BJ314),BJ314+BJ315-BJ323-BJ325-BJ326,"")</f>
        <v>-311</v>
      </c>
      <c r="BK347" s="261">
        <f>IF(ISNUMBER(BK314),BK314+BK315-BK323-BK325-BK326,"")</f>
        <v>-352</v>
      </c>
      <c r="BL347" s="261">
        <f>IF(ISNUMBER(BL314),BL314+BL315-BL323-BL325-BL326,"")</f>
        <v>-352</v>
      </c>
      <c r="BM347" s="261">
        <f>IF(ISNUMBER(BM314),BM314+BM315-BM323-BM325-BM326,"")</f>
        <v>-425</v>
      </c>
      <c r="BN347" s="261">
        <f>IF(ISNUMBER(BN314),BN314+BN315-BN323-BN325-BN326,"")</f>
        <v>-348</v>
      </c>
      <c r="BO347" s="261">
        <f>IF(ISNUMBER(BO314),BO314+BO315-BO323-BO325-BO326,"")</f>
        <v>-364</v>
      </c>
      <c r="BP347" s="261">
        <f>IF(ISNUMBER(BP314),BP314+BP315-BP323-BP325-BP326,"")</f>
        <v>-584</v>
      </c>
      <c r="BQ347" s="261">
        <f>IF(ISNUMBER(BQ314),BQ314+BQ315-BQ323-BQ325-BQ326,"")</f>
        <v>-584</v>
      </c>
      <c r="BR347" s="261">
        <f>IF(ISNUMBER(BR314),BR314+BR315-BR323-BR325-BR326,"")</f>
        <v>-553</v>
      </c>
      <c r="BS347" s="261">
        <f>IF(ISNUMBER(BS314),BS314+BS315-BS323-BS325-BS326,"")</f>
        <v>-298</v>
      </c>
      <c r="BT347" s="261">
        <f>IF(ISNUMBER(BT314),BT314+BT315-BT323-BT325-BT326,"")</f>
        <v>-159</v>
      </c>
      <c r="BU347" s="261">
        <f>IF(ISNUMBER(BU314),BU314+BU315-BU323-BU325-BU326,"")</f>
        <v>-243</v>
      </c>
      <c r="BV347" s="261">
        <f>IF(ISNUMBER(BV314),BV314+BV315-BV323-BV325-BV326,"")</f>
        <v>-243</v>
      </c>
      <c r="BW347" s="261">
        <f>IF(ISNUMBER(BW314),BW314+BW315-BW323-BW325-BW326,"")</f>
        <v>-363</v>
      </c>
      <c r="BX347" s="261">
        <f>IF(ISNUMBER(BX314),BX314+BX315-BX323-BX325-BX326,"")</f>
        <v>-288</v>
      </c>
      <c r="BY347" s="35" t="n"/>
      <c r="BZ347" s="35" t="n"/>
      <c r="CA347" s="254">
        <f>IF(ISNUMBER(CA314),CA314+CA315-CA323-CA325-CA326,"")</f>
        <v>-439.136464931507</v>
      </c>
      <c r="CB347" s="254">
        <f>IF(ISNUMBER(CB314),CB314+CB315-CB323-CB325-CB326,"")</f>
        <v>-504.948248374319</v>
      </c>
      <c r="CC347" s="254">
        <f>IF(ISNUMBER(CC314),CC314+CC315-CC323-CC325-CC326,"")</f>
        <v>-571.405137894139</v>
      </c>
      <c r="CD347" s="254">
        <f>IF(ISNUMBER(CD314),CD314+CD315-CD323-CD325-CD326,"")</f>
        <v>-638.885471566673</v>
      </c>
      <c r="CE347" s="254">
        <f>IF(ISNUMBER(CE314),CE314+CE315-CE323-CE325-CE326,"")</f>
        <v>-705.75227730333</v>
      </c>
      <c r="CF347" s="19" t="n"/>
    </row>
    <row r="348" ht="15" customHeight="1" s="251">
      <c r="B348" s="25" t="inlineStr">
        <is>
          <t xml:space="preserve">  NWC % of revenue</t>
        </is>
      </c>
      <c r="C348" s="215">
        <f>IF(ISNUMBER(C347),IFERROR(C347/C343,""),"")</f>
        <v>-0.0891463354769035</v>
      </c>
      <c r="D348" s="215">
        <f>IF(ISNUMBER(D347),IFERROR(D347/D343,""),"")</f>
        <v>-0.110314298362107</v>
      </c>
      <c r="E348" s="215">
        <f>IF(ISNUMBER(E347),IFERROR(E347/E343,""),"")</f>
        <v>-0.0679617181269226</v>
      </c>
      <c r="F348" s="215">
        <f>IF(ISNUMBER(F347),IFERROR(F347/F343,""),"")</f>
        <v>-0.14439127531716</v>
      </c>
      <c r="G348" s="215">
        <f>IF(ISNUMBER(G347),IFERROR(G347/G343,""),"")</f>
        <v>-0.123917322834646</v>
      </c>
      <c r="H348" s="215">
        <f>IF(ISNUMBER(H347),IFERROR(H347/H343,""),"")</f>
        <v>-0.181128600868155</v>
      </c>
      <c r="I348" s="215">
        <f>IF(ISNUMBER(I347),IFERROR(I347/I343,""),"")</f>
        <v>-0.127714903124199</v>
      </c>
      <c r="J348" s="215">
        <f>IF(ISNUMBER(J347),IFERROR(J347/J343,""),"")</f>
        <v>-0.0788466794206067</v>
      </c>
      <c r="K348" s="215">
        <f>IF(ISNUMBER(K347),IFERROR(K347/K343,""),"")</f>
        <v>-0.0348214285714285</v>
      </c>
      <c r="L348" s="215">
        <f>IF(ISNUMBER(L347),IFERROR(L347/L343,""),"")</f>
        <v>-0.0565910701630049</v>
      </c>
      <c r="M348" s="215">
        <f>IF(ISNUMBER(M347),IFERROR(M347/M343,""),"")</f>
        <v>-0.0894507186858316</v>
      </c>
      <c r="N348" s="215">
        <f>IF(ISNUMBER(N347),IFERROR(N347/N343,""),"")</f>
        <v>-0.0937931034482759</v>
      </c>
      <c r="O348" s="215">
        <f>IF(ISNUMBER(O347),IFERROR(O347/O343,""),"")</f>
        <v>-0.016618873826903</v>
      </c>
      <c r="P348" s="215">
        <f>IF(ISNUMBER(P347),IFERROR(P347/P343,""),"")</f>
        <v>-0.0310246136233543</v>
      </c>
      <c r="Q348" s="215">
        <f>IF(ISNUMBER(Q347),IFERROR(Q347/Q343,""),"")</f>
        <v>-0.0261610096801862</v>
      </c>
      <c r="R348" s="215">
        <f>IF(ISNUMBER(R347),IFERROR(R347/R343,""),"")</f>
        <v>-0.0543874643874644</v>
      </c>
      <c r="S348" s="215">
        <f>IF(ISNUMBER(S347),IFERROR(S347/S343,""),"")</f>
        <v>-0.0572533965150107</v>
      </c>
      <c r="T348" s="215">
        <f>IF(ISNUMBER(T347),IFERROR(T347/T343,""),"")</f>
        <v>-0.0272354436229205</v>
      </c>
      <c r="U348" s="215">
        <f>IF(ISNUMBER(U347),IFERROR(U347/U343,""),"")</f>
        <v>-0.0294902516065788</v>
      </c>
      <c r="V348" s="215">
        <f>IF(ISNUMBER(V347),IFERROR(V347/V343,""),"")</f>
        <v>-0.0387471553479459</v>
      </c>
      <c r="W348" s="215">
        <f>IF(ISNUMBER(W347),IFERROR(W347/W343,""),"")</f>
        <v>-0.0599376371405474</v>
      </c>
      <c r="X348" s="215">
        <f>IF(ISNUMBER(X347),IFERROR(X347/X343,""),"")</f>
        <v>-0.0595781317262161</v>
      </c>
      <c r="Y348" s="215">
        <f>IF(ISNUMBER(Y347),IFERROR(Y347/Y343,""),"")</f>
        <v>-0.0408344565616959</v>
      </c>
      <c r="Z348" s="215">
        <f>IF(ISNUMBER(Z347),IFERROR(Z347/Z343,""),"")</f>
        <v>-0.0385132952955108</v>
      </c>
      <c r="AA348" s="215">
        <f>IF(ISNUMBER(AA347),IFERROR(AA347/AA343,""),"")</f>
        <v>-0.0391451313924327</v>
      </c>
      <c r="AB348" s="215">
        <f>IF(ISNUMBER(AB347),IFERROR(AB347/AB343,""),"")</f>
        <v>-0.291901072073028</v>
      </c>
      <c r="AC348" s="215">
        <f>IF(ISNUMBER(AC347),IFERROR(AC347/AC343,""),"")</f>
        <v>-0.30519948948449</v>
      </c>
      <c r="AD348" s="215">
        <f>IF(ISNUMBER(AD347),IFERROR(AD347/AD343,""),"")</f>
        <v>0.00335828547990154</v>
      </c>
      <c r="AE348" s="215">
        <f>IF(ISNUMBER(AE347),IFERROR(AE347/AE343,""),"")</f>
        <v>-0.011319340329835</v>
      </c>
      <c r="AF348" s="215">
        <f>IF(ISNUMBER(AF347),IFERROR(AF347/AF343,""),"")</f>
        <v>-0.0378210556025967</v>
      </c>
      <c r="AG348" s="215">
        <f>IF(ISNUMBER(AG347),IFERROR(AG347/AG343,""),"")</f>
        <v>-0.0507507507507508</v>
      </c>
      <c r="AH348" s="215">
        <f>IF(ISNUMBER(AH347),IFERROR(AH347/AH343,""),"")</f>
        <v>-0.0562783949002165</v>
      </c>
      <c r="AI348" s="215">
        <f>IF(ISNUMBER(AI347),IFERROR(AI347/AI343,""),"")</f>
        <v>-0.0200363894559333</v>
      </c>
      <c r="AJ348" s="215">
        <f>IF(ISNUMBER(AJ347),IFERROR(AJ347/AJ343,""),"")</f>
        <v>-0.00640371032252575</v>
      </c>
      <c r="AK348" s="215">
        <f>IF(ISNUMBER(AK347),IFERROR(AK347/AK343,""),"")</f>
        <v>0.00407105847520356</v>
      </c>
      <c r="AL348" s="215">
        <f>IF(ISNUMBER(AL347),IFERROR(AL347/AL343,""),"")</f>
        <v>-0.0186774832562966</v>
      </c>
      <c r="AM348" s="215">
        <f>IF(ISNUMBER(AM347),IFERROR(AM347/AM343,""),"")</f>
        <v>-0.0178269970963604</v>
      </c>
      <c r="AN348" s="215">
        <f>IF(ISNUMBER(AN347),IFERROR(AN347/AN343,""),"")</f>
        <v>-0.0216706067769897</v>
      </c>
      <c r="AO348" s="215">
        <f>IF(ISNUMBER(AO347),IFERROR(AO347/AO343,""),"")</f>
        <v>0.0266150296638101</v>
      </c>
      <c r="AP348" s="215">
        <f>IF(ISNUMBER(AP347),IFERROR(AP347/AP343,""),"")</f>
        <v>0.026602176541717</v>
      </c>
      <c r="AQ348" s="215">
        <f>IF(ISNUMBER(AQ347),IFERROR(AQ347/AQ343,""),"")</f>
        <v>-0.0330494728304947</v>
      </c>
      <c r="AR348" s="215">
        <f>IF(ISNUMBER(AR347),IFERROR(AR347/AR343,""),"")</f>
        <v>-0.0337544004969973</v>
      </c>
      <c r="AS348" s="215">
        <f>IF(ISNUMBER(AS347),IFERROR(AS347/AS343,""),"")</f>
        <v>-0.0199612403100775</v>
      </c>
      <c r="AT348" s="215">
        <f>IF(ISNUMBER(AT347),IFERROR(AT347/AT343,""),"")</f>
        <v>-0.0212543554006969</v>
      </c>
      <c r="AU348" s="215">
        <f>IF(ISNUMBER(AU347),IFERROR(AU347/AU343,""),"")</f>
        <v>-0.00516224188790561</v>
      </c>
      <c r="AV348" s="215">
        <f>IF(ISNUMBER(AV347),IFERROR(AV347/AV343,""),"")</f>
        <v>-0.0792635658914729</v>
      </c>
      <c r="AW348" s="215">
        <f>IF(ISNUMBER(AW347),IFERROR(AW347/AW343,""),"")</f>
        <v>-0.0761496927946379</v>
      </c>
      <c r="AX348" s="215">
        <f>IF(ISNUMBER(AX347),IFERROR(AX347/AX343,""),"")</f>
        <v>-0.050625</v>
      </c>
      <c r="AY348" s="215">
        <f>IF(ISNUMBER(AY347),IFERROR(AY347/AY343,""),"")</f>
        <v>-0.0342884739214424</v>
      </c>
      <c r="AZ348" s="215">
        <f>IF(ISNUMBER(AZ347),IFERROR(AZ347/AZ343,""),"")</f>
        <v>-0.0612712975098296</v>
      </c>
      <c r="BA348" s="215">
        <f>IF(ISNUMBER(BA347),IFERROR(BA347/BA343,""),"")</f>
        <v>-0.0628654970760234</v>
      </c>
      <c r="BB348" s="215">
        <f>IF(ISNUMBER(BB347),IFERROR(BB347/BB343,""),"")</f>
        <v>-0.0622386619491798</v>
      </c>
      <c r="BC348" s="215">
        <f>IF(ISNUMBER(BC347),IFERROR(BC347/BC343,""),"")</f>
        <v>-0.0456636005256242</v>
      </c>
      <c r="BD348" s="215">
        <f>IF(ISNUMBER(BD347),IFERROR(BD347/BD343,""),"")</f>
        <v>-0.025162925416365</v>
      </c>
      <c r="BE348" s="215">
        <f>IF(ISNUMBER(BE347),IFERROR(BE347/BE343,""),"")</f>
        <v>-0.0166666666666667</v>
      </c>
      <c r="BF348" s="215">
        <f>IF(ISNUMBER(BF347),IFERROR(BF347/BF343,""),"")</f>
        <v>-0.0271317829457364</v>
      </c>
      <c r="BG348" s="215">
        <f>IF(ISNUMBER(BG347),IFERROR(BG347/BG343,""),"")</f>
        <v>-0.0256035113386979</v>
      </c>
      <c r="BH348" s="215">
        <f>IF(ISNUMBER(BH347),IFERROR(BH347/BH343,""),"")</f>
        <v>-0.0442176870748299</v>
      </c>
      <c r="BI348" s="215">
        <f>IF(ISNUMBER(BI347),IFERROR(BI347/BI343,""),"")</f>
        <v>-0.0522088353413655</v>
      </c>
      <c r="BJ348" s="215">
        <f>IF(ISNUMBER(BJ347),IFERROR(BJ347/BJ343,""),"")</f>
        <v>-0.0528192934782609</v>
      </c>
      <c r="BK348" s="215">
        <f>IF(ISNUMBER(BK347),IFERROR(BK347/BK343,""),"")</f>
        <v>-0.0594594594594595</v>
      </c>
      <c r="BL348" s="215">
        <f>IF(ISNUMBER(BL347),IFERROR(BL347/BL343,""),"")</f>
        <v>-0.059499661933739</v>
      </c>
      <c r="BM348" s="215">
        <f>IF(ISNUMBER(BM347),IFERROR(BM347/BM343,""),"")</f>
        <v>-0.0594904815229563</v>
      </c>
      <c r="BN348" s="215">
        <f>IF(ISNUMBER(BN347),IFERROR(BN347/BN343,""),"")</f>
        <v>-0.0478811227297744</v>
      </c>
      <c r="BO348" s="215">
        <f>IF(ISNUMBER(BO347),IFERROR(BO347/BO343,""),"")</f>
        <v>-0.0501930501930502</v>
      </c>
      <c r="BP348" s="215">
        <f>IF(ISNUMBER(BP347),IFERROR(BP347/BP343,""),"")</f>
        <v>-0.0873205741626794</v>
      </c>
      <c r="BQ348" s="215">
        <f>IF(ISNUMBER(BQ347),IFERROR(BQ347/BQ343,""),"")</f>
        <v>-0.082392776523702</v>
      </c>
      <c r="BR348" s="215">
        <f>IF(ISNUMBER(BR347),IFERROR(BR347/BR343,""),"")</f>
        <v>-0.0718555093555094</v>
      </c>
      <c r="BS348" s="215">
        <f>IF(ISNUMBER(BS347),IFERROR(BS347/BS343,""),"")</f>
        <v>-0.0392518440463646</v>
      </c>
      <c r="BT348" s="215">
        <f>IF(ISNUMBER(BT347),IFERROR(BT347/BT343,""),"")</f>
        <v>-0.0198056801195815</v>
      </c>
      <c r="BU348" s="215">
        <f>IF(ISNUMBER(BU347),IFERROR(BU347/BU343,""),"")</f>
        <v>-0.0321598729486501</v>
      </c>
      <c r="BV348" s="215">
        <f>IF(ISNUMBER(BV347),IFERROR(BV347/BV343,""),"")</f>
        <v>-0.0314848406322882</v>
      </c>
      <c r="BW348" s="215">
        <f>IF(ISNUMBER(BW347),IFERROR(BW347/BW343,""),"")</f>
        <v>-0.0436507936507937</v>
      </c>
      <c r="BX348" s="215">
        <f>IF(ISNUMBER(BX347),IFERROR(BX347/BX343,""),"")</f>
        <v>-0.0329519450800915</v>
      </c>
      <c r="BY348" s="24" t="n"/>
      <c r="BZ348" s="24" t="n"/>
      <c r="CA348" s="256">
        <f>IF(ISNUMBER(CA347),IFERROR(CA347/CA343,""),"")</f>
        <v>-0.0533744231132422</v>
      </c>
      <c r="CB348" s="256">
        <f>IF(ISNUMBER(CB347),IFERROR(CB347/CB343,""),"")</f>
        <v>-0.0572474985918028</v>
      </c>
      <c r="CC348" s="256">
        <f>IF(ISNUMBER(CC347),IFERROR(CC347/CC343,""),"")</f>
        <v>-0.0606636992107733</v>
      </c>
      <c r="CD348" s="256">
        <f>IF(ISNUMBER(CD347),IFERROR(CD347/CD343,""),"")</f>
        <v>-0.0637150338464795</v>
      </c>
      <c r="CE348" s="256">
        <f>IF(ISNUMBER(CE347),IFERROR(CE347/CE343,""),"")</f>
        <v>-0.0663943070491867</v>
      </c>
      <c r="CF348" s="153" t="n"/>
      <c r="CH348" s="37">
        <f>IFERROR(AVERAGE(CA348,CB348,CC348,CD348,CE348),"n/m")</f>
        <v>-0.0602789923622969</v>
      </c>
      <c r="CI348" s="37">
        <f>IFERROR(AVERAGE(BB348,BG348,BL348,BQ348,BV348),"n/m")</f>
        <v>-0.0522438904755214</v>
      </c>
      <c r="CJ348" s="37">
        <f>IFERROR(AVERAGE(AC348,AH348,AM348,AR348,AW348,BB348,BG348,BL348,BQ348,BV348),"n/m")</f>
        <v>-0.0750428427150309</v>
      </c>
      <c r="CK348" s="37">
        <f>IFERROR(AVERAGE(C348,D348,E348,F348,G348,H348,I348,N348,S348,X348,AC348,AH348,AM348,AR348,AW348,BB348,BG348,BL348,BQ348,BV348),"n/m")</f>
        <v>-0.0902813756474952</v>
      </c>
    </row>
    <row r="349" ht="15" customHeight="1" s="251">
      <c r="B349" s="25" t="inlineStr">
        <is>
          <t xml:space="preserve">  ΔNWC (y/y)</t>
        </is>
      </c>
      <c r="C349" s="34" t="n"/>
      <c r="D349" s="261">
        <f>IF(AND(ISNUMBER(D347),ISNUMBER(C347)),D347-C347,"")</f>
        <v>-67.6</v>
      </c>
      <c r="E349" s="261">
        <f>IF(AND(ISNUMBER(E347),ISNUMBER(D347)),E347-D347,"")</f>
        <v>129.9</v>
      </c>
      <c r="F349" s="261">
        <f>IF(AND(ISNUMBER(F347),ISNUMBER(E347)),F347-E347,"")</f>
        <v>-140.2</v>
      </c>
      <c r="G349" s="261">
        <f>IF(AND(ISNUMBER(G347),ISNUMBER(F347)),G347-F347,"")</f>
        <v>7.70000000000005</v>
      </c>
      <c r="H349" s="261">
        <f>IF(AND(ISNUMBER(H347),ISNUMBER(G347)),H347-G347,"")</f>
        <v>-161.3</v>
      </c>
      <c r="I349" s="261">
        <f>IF(AND(ISNUMBER(I347),ISNUMBER(H347)),I347-H347,"")</f>
        <v>64.4</v>
      </c>
      <c r="J349" s="34" t="n"/>
      <c r="K349" s="34" t="n"/>
      <c r="L349" s="34" t="n"/>
      <c r="M349" s="34" t="n"/>
      <c r="N349" s="261">
        <f>IF(AND(ISNUMBER(N347),ISNUMBER(I347)),N347-I347,"")</f>
        <v>69.9</v>
      </c>
      <c r="O349" s="261">
        <f>IF(AND(ISNUMBER(O347),ISNUMBER(J347)),O347-J347,"")</f>
        <v>179.8</v>
      </c>
      <c r="P349" s="261">
        <f>IF(AND(ISNUMBER(P347),ISNUMBER(K347)),P347-K347,"")</f>
        <v>-3.10000000000005</v>
      </c>
      <c r="Q349" s="261">
        <f>IF(AND(ISNUMBER(Q347),ISNUMBER(L347)),Q347-L347,"")</f>
        <v>74.3</v>
      </c>
      <c r="R349" s="261">
        <f>IF(AND(ISNUMBER(R347),ISNUMBER(M347)),R347-M347,"")</f>
        <v>87.8999999999999</v>
      </c>
      <c r="S349" s="261">
        <f>IF(AND(ISNUMBER(S347),ISNUMBER(N347)),S347-N347,"")</f>
        <v>87.8999999999999</v>
      </c>
      <c r="T349" s="261">
        <f>IF(AND(ISNUMBER(T347),ISNUMBER(O347)),T347-O347,"")</f>
        <v>-43.3</v>
      </c>
      <c r="U349" s="261">
        <f>IF(AND(ISNUMBER(U347),ISNUMBER(P347)),U347-P347,"")</f>
        <v>0.0999999999999091</v>
      </c>
      <c r="V349" s="261">
        <f>IF(AND(ISNUMBER(V347),ISNUMBER(Q347)),V347-Q347,"")</f>
        <v>-44.0000000000001</v>
      </c>
      <c r="W349" s="261">
        <f>IF(AND(ISNUMBER(W347),ISNUMBER(R347)),W347-R347,"")</f>
        <v>-16.7</v>
      </c>
      <c r="X349" s="261">
        <f>IF(AND(ISNUMBER(X347),ISNUMBER(S347)),X347-S347,"")</f>
        <v>-16.7</v>
      </c>
      <c r="Y349" s="261">
        <f>IF(AND(ISNUMBER(Y347),ISNUMBER(T347)),Y347-T347,"")</f>
        <v>-39</v>
      </c>
      <c r="Z349" s="261">
        <f>IF(AND(ISNUMBER(Z347),ISNUMBER(U347)),Z347-U347,"")</f>
        <v>-34.8</v>
      </c>
      <c r="AA349" s="261">
        <f>IF(AND(ISNUMBER(AA347),ISNUMBER(V347)),AA347-V347,"")</f>
        <v>-14.1999999999999</v>
      </c>
      <c r="AB349" s="261">
        <f>IF(AND(ISNUMBER(AB347),ISNUMBER(W347)),AB347-W347,"")</f>
        <v>-892.4</v>
      </c>
      <c r="AC349" s="261">
        <f>IF(AND(ISNUMBER(AC347),ISNUMBER(X347)),AC347-X347,"")</f>
        <v>-892.4</v>
      </c>
      <c r="AD349" s="261">
        <f>IF(AND(ISNUMBER(AD347),ISNUMBER(Y347)),AD347-Y347,"")</f>
        <v>146.4</v>
      </c>
      <c r="AE349" s="261">
        <f>IF(AND(ISNUMBER(AE347),ISNUMBER(Z347)),AE347-Z347,"")</f>
        <v>97.8000000000002</v>
      </c>
      <c r="AF349" s="261">
        <f>IF(AND(ISNUMBER(AF347),ISNUMBER(AA347)),AF347-AA347,"")</f>
        <v>-17.2000000000001</v>
      </c>
      <c r="AG349" s="261">
        <f>IF(AND(ISNUMBER(AG347),ISNUMBER(AB347)),AG347-AB347,"")</f>
        <v>863.4</v>
      </c>
      <c r="AH349" s="261">
        <f>IF(AND(ISNUMBER(AH347),ISNUMBER(AC347)),AH347-AC347,"")</f>
        <v>863.4</v>
      </c>
      <c r="AI349" s="261">
        <f>IF(AND(ISNUMBER(AI347),ISNUMBER(AD347)),AI347-AD347,"")</f>
        <v>-103.4</v>
      </c>
      <c r="AJ349" s="261">
        <f>IF(AND(ISNUMBER(AJ347),ISNUMBER(AE347)),AJ347-AE347,"")</f>
        <v>15.1999999999998</v>
      </c>
      <c r="AK349" s="261">
        <f>IF(AND(ISNUMBER(AK347),ISNUMBER(AF347)),AK347-AF347,"")</f>
        <v>178.4</v>
      </c>
      <c r="AL349" s="261">
        <f>IF(AND(ISNUMBER(AL347),ISNUMBER(AG347)),AL347-AG347,"")</f>
        <v>157.4</v>
      </c>
      <c r="AM349" s="261">
        <f>IF(AND(ISNUMBER(AM347),ISNUMBER(AH347)),AM347-AH347,"")</f>
        <v>157.4</v>
      </c>
      <c r="AN349" s="261">
        <f>IF(AND(ISNUMBER(AN347),ISNUMBER(AI347)),AN347-AI347,"")</f>
        <v>-8.69999999999962</v>
      </c>
      <c r="AO349" s="261">
        <f>IF(AND(ISNUMBER(AO347),ISNUMBER(AJ347)),AO347-AJ347,"")</f>
        <v>159.3</v>
      </c>
      <c r="AP349" s="261">
        <f>IF(AND(ISNUMBER(AP347),ISNUMBER(AK347)),AP347-AK347,"")</f>
        <v>114.4</v>
      </c>
      <c r="AQ349" s="261">
        <f>IF(AND(ISNUMBER(AQ347),ISNUMBER(AL347)),AQ347-AL347,"")</f>
        <v>-83.7999999999998</v>
      </c>
      <c r="AR349" s="261">
        <f>IF(AND(ISNUMBER(AR347),ISNUMBER(AM347)),AR347-AM347,"")</f>
        <v>-83.7999999999998</v>
      </c>
      <c r="AS349" s="261">
        <f>IF(AND(ISNUMBER(AS347),ISNUMBER(AN347)),AS347-AN347,"")</f>
        <v>-4.00000000000031</v>
      </c>
      <c r="AT349" s="261">
        <f>IF(AND(ISNUMBER(AT347),ISNUMBER(AO347)),AT347-AO347,"")</f>
        <v>-251.2</v>
      </c>
      <c r="AU349" s="261">
        <f>IF(AND(ISNUMBER(AU347),ISNUMBER(AP347)),AU347-AP347,"")</f>
        <v>-160</v>
      </c>
      <c r="AV349" s="261">
        <f>IF(AND(ISNUMBER(AV347),ISNUMBER(AQ347)),AV347-AQ347,"")</f>
        <v>-246</v>
      </c>
      <c r="AW349" s="261">
        <f>IF(AND(ISNUMBER(AW347),ISNUMBER(AR347)),AW347-AR347,"")</f>
        <v>-246</v>
      </c>
      <c r="AX349" s="261">
        <f>IF(AND(ISNUMBER(AX347),ISNUMBER(AS347)),AX347-AS347,"")</f>
        <v>-221</v>
      </c>
      <c r="AY349" s="261">
        <f>IF(AND(ISNUMBER(AY347),ISNUMBER(AT347)),AY347-AT347,"")</f>
        <v>-91</v>
      </c>
      <c r="AZ349" s="261">
        <f>IF(AND(ISNUMBER(AZ347),ISNUMBER(AU347)),AZ347-AU347,"")</f>
        <v>-346</v>
      </c>
      <c r="BA349" s="261">
        <f>IF(AND(ISNUMBER(BA347),ISNUMBER(AV347)),BA347-AV347,"")</f>
        <v>22</v>
      </c>
      <c r="BB349" s="261">
        <f>IF(AND(ISNUMBER(BB347),ISNUMBER(AW347)),BB347-AW347,"")</f>
        <v>22</v>
      </c>
      <c r="BC349" s="261">
        <f>IF(AND(ISNUMBER(BC347),ISNUMBER(AX347)),BC347-AX347,"")</f>
        <v>46</v>
      </c>
      <c r="BD349" s="261">
        <f>IF(AND(ISNUMBER(BD347),ISNUMBER(AY347)),BD347-AY347,"")</f>
        <v>74</v>
      </c>
      <c r="BE349" s="261">
        <f>IF(AND(ISNUMBER(BE347),ISNUMBER(AZ347)),BE347-AZ347,"")</f>
        <v>289</v>
      </c>
      <c r="BF349" s="261">
        <f>IF(AND(ISNUMBER(BF347),ISNUMBER(BA347)),BF347-BA347,"")</f>
        <v>247</v>
      </c>
      <c r="BG349" s="261">
        <f>IF(AND(ISNUMBER(BG347),ISNUMBER(BB347)),BG347-BB347,"")</f>
        <v>247</v>
      </c>
      <c r="BH349" s="261">
        <f>IF(AND(ISNUMBER(BH347),ISNUMBER(BC347)),BH347-BC347,"")</f>
        <v>18</v>
      </c>
      <c r="BI349" s="261">
        <f>IF(AND(ISNUMBER(BI347),ISNUMBER(BD347)),BI347-BD347,"")</f>
        <v>-173</v>
      </c>
      <c r="BJ349" s="261">
        <f>IF(AND(ISNUMBER(BJ347),ISNUMBER(BE347)),BJ347-BE347,"")</f>
        <v>-226</v>
      </c>
      <c r="BK349" s="261">
        <f>IF(AND(ISNUMBER(BK347),ISNUMBER(BF347)),BK347-BF347,"")</f>
        <v>-212</v>
      </c>
      <c r="BL349" s="261">
        <f>IF(AND(ISNUMBER(BL347),ISNUMBER(BG347)),BL347-BG347,"")</f>
        <v>-212</v>
      </c>
      <c r="BM349" s="261">
        <f>IF(AND(ISNUMBER(BM347),ISNUMBER(BH347)),BM347-BH347,"")</f>
        <v>-165</v>
      </c>
      <c r="BN349" s="261">
        <f>IF(AND(ISNUMBER(BN347),ISNUMBER(BI347)),BN347-BI347,"")</f>
        <v>-36</v>
      </c>
      <c r="BO349" s="261">
        <f>IF(AND(ISNUMBER(BO347),ISNUMBER(BJ347)),BO347-BJ347,"")</f>
        <v>-53</v>
      </c>
      <c r="BP349" s="261">
        <f>IF(AND(ISNUMBER(BP347),ISNUMBER(BK347)),BP347-BK347,"")</f>
        <v>-232</v>
      </c>
      <c r="BQ349" s="261">
        <f>IF(AND(ISNUMBER(BQ347),ISNUMBER(BL347)),BQ347-BL347,"")</f>
        <v>-232</v>
      </c>
      <c r="BR349" s="261">
        <f>IF(AND(ISNUMBER(BR347),ISNUMBER(BM347)),BR347-BM347,"")</f>
        <v>-128</v>
      </c>
      <c r="BS349" s="261">
        <f>IF(AND(ISNUMBER(BS347),ISNUMBER(BN347)),BS347-BN347,"")</f>
        <v>50</v>
      </c>
      <c r="BT349" s="261">
        <f>IF(AND(ISNUMBER(BT347),ISNUMBER(BO347)),BT347-BO347,"")</f>
        <v>205</v>
      </c>
      <c r="BU349" s="261">
        <f>IF(AND(ISNUMBER(BU347),ISNUMBER(BP347)),BU347-BP347,"")</f>
        <v>341</v>
      </c>
      <c r="BV349" s="261">
        <f>IF(AND(ISNUMBER(BV347),ISNUMBER(BQ347)),BV347-BQ347,"")</f>
        <v>341</v>
      </c>
      <c r="BW349" s="261">
        <f>IF(AND(ISNUMBER(BW347),ISNUMBER(BR347)),BW347-BR347,"")</f>
        <v>190</v>
      </c>
      <c r="BX349" s="261">
        <f>IF(AND(ISNUMBER(BX347),ISNUMBER(BS347)),BX347-BS347,"")</f>
        <v>10</v>
      </c>
      <c r="BY349" s="35" t="n"/>
      <c r="BZ349" s="35" t="n"/>
      <c r="CA349" s="254">
        <f>IF(AND(ISNUMBER(CA347),ISNUMBER(BV347)),CA347-BV347,"")</f>
        <v>-196.136464931507</v>
      </c>
      <c r="CB349" s="254">
        <f>IF(AND(ISNUMBER(CB347),ISNUMBER(CA347)),CB347-CA347,"")</f>
        <v>-65.8117834428122</v>
      </c>
      <c r="CC349" s="254">
        <f>IF(AND(ISNUMBER(CC347),ISNUMBER(CB347)),CC347-CB347,"")</f>
        <v>-66.4568895198192</v>
      </c>
      <c r="CD349" s="254">
        <f>IF(AND(ISNUMBER(CD347),ISNUMBER(CC347)),CD347-CC347,"")</f>
        <v>-67.4803336725345</v>
      </c>
      <c r="CE349" s="254">
        <f>IF(AND(ISNUMBER(CE347),ISNUMBER(CD347)),CE347-CD347,"")</f>
        <v>-66.8668057366565</v>
      </c>
      <c r="CF349" s="19" t="n"/>
    </row>
    <row r="350" ht="15" customHeight="1" s="251">
      <c r="CN350" s="11" t="n"/>
      <c r="CO350" s="12" t="n"/>
      <c r="CP350" s="12" t="n"/>
      <c r="CQ350" s="12" t="n"/>
      <c r="CR350" s="13" t="n"/>
    </row>
    <row r="351" ht="15" customHeight="1" s="251">
      <c r="B351" s="10" t="inlineStr">
        <is>
          <t>BALANCE SHEET FORECAST SCHEDULES</t>
        </is>
      </c>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c r="AA351" s="10" t="n"/>
      <c r="AB351" s="10" t="n"/>
      <c r="AC351" s="10" t="n"/>
      <c r="AD351" s="10" t="n"/>
      <c r="AE351" s="10" t="n"/>
      <c r="AF351" s="10" t="n"/>
      <c r="AG351" s="10" t="n"/>
      <c r="AH351" s="10" t="n"/>
      <c r="AI351" s="10" t="n"/>
      <c r="AJ351" s="10" t="n"/>
      <c r="AK351" s="10" t="n"/>
      <c r="AL351" s="10" t="n"/>
      <c r="AM351" s="10" t="n"/>
      <c r="AN351" s="10" t="n"/>
      <c r="AO351" s="10" t="n"/>
      <c r="AP351" s="10" t="n"/>
      <c r="AQ351" s="10" t="n"/>
      <c r="AR351" s="10" t="n"/>
      <c r="AS351" s="10" t="n"/>
      <c r="AT351" s="10" t="n"/>
      <c r="AU351" s="10" t="n"/>
      <c r="AV351" s="10" t="n"/>
      <c r="AW351" s="10" t="n"/>
      <c r="AX351" s="10" t="n"/>
      <c r="AY351" s="10" t="n"/>
      <c r="AZ351" s="10" t="n"/>
      <c r="BA351" s="10" t="n"/>
      <c r="BB351" s="10" t="n"/>
      <c r="BC351" s="10" t="n"/>
      <c r="BD351" s="10" t="n"/>
      <c r="BE351" s="10" t="n"/>
      <c r="BF351" s="10" t="n"/>
      <c r="BG351" s="10" t="n"/>
      <c r="BH351" s="10" t="n"/>
      <c r="BI351" s="10" t="n"/>
      <c r="BJ351" s="10" t="n"/>
      <c r="BK351" s="10" t="n"/>
      <c r="BL351" s="10" t="n"/>
      <c r="BM351" s="10" t="n"/>
      <c r="BN351" s="10" t="n"/>
      <c r="BO351" s="10" t="n"/>
      <c r="BP351" s="10" t="n"/>
      <c r="BQ351" s="10" t="n"/>
      <c r="BR351" s="10" t="n"/>
      <c r="BS351" s="10" t="n"/>
      <c r="BT351" s="10" t="n"/>
      <c r="BU351" s="10" t="n"/>
      <c r="BV351" s="10" t="n"/>
      <c r="BW351" s="10" t="n"/>
      <c r="BX351" s="10" t="n"/>
      <c r="BY351" s="10" t="n"/>
      <c r="BZ351" s="10" t="n"/>
      <c r="CA351" s="10" t="n"/>
      <c r="CB351" s="10" t="n"/>
      <c r="CC351" s="10" t="n"/>
      <c r="CD351" s="10" t="n"/>
      <c r="CE351" s="10" t="n"/>
      <c r="CF351" s="10" t="inlineStr">
        <is>
          <t>BS FORECAST SCHEDULES — explicit driver assumptions</t>
        </is>
      </c>
    </row>
    <row r="352" ht="15" customHeight="1" s="251">
      <c r="B352" s="25" t="inlineStr">
        <is>
          <t>Acquisitions — consideration &amp; purchase-price allocation (closing-period column)</t>
        </is>
      </c>
      <c r="CF352" s="153" t="n"/>
    </row>
    <row r="353" ht="15" customHeight="1" s="251">
      <c r="B353" s="69" t="inlineStr">
        <is>
          <t xml:space="preserve">  Consideration — net assets acquired (net of cash acquired)</t>
        </is>
      </c>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c r="AA353" s="44" t="n"/>
      <c r="AB353" s="44" t="n"/>
      <c r="AC353" s="44" t="n"/>
      <c r="AD353" s="44" t="n"/>
      <c r="AE353" s="44" t="n"/>
      <c r="AF353" s="253" t="n">
        <v>3506</v>
      </c>
      <c r="AG353" s="44" t="n"/>
      <c r="AH353" s="44" t="n"/>
      <c r="AI353" s="44" t="n"/>
      <c r="AJ353" s="44" t="n"/>
      <c r="AK353" s="44" t="n"/>
      <c r="AL353" s="253" t="n">
        <v>254</v>
      </c>
      <c r="AM353" s="44" t="n"/>
      <c r="AN353" s="44" t="n"/>
      <c r="AO353" s="44" t="n"/>
      <c r="AP353" s="44" t="n"/>
      <c r="AQ353" s="44" t="n"/>
      <c r="AR353" s="44" t="n"/>
      <c r="AS353" s="253" t="n">
        <v>696</v>
      </c>
      <c r="AT353" s="44" t="n"/>
      <c r="AU353" s="44" t="n"/>
      <c r="AV353" s="253" t="n">
        <v>205</v>
      </c>
      <c r="AW353" s="44" t="n"/>
      <c r="AX353" s="253" t="n">
        <v>135</v>
      </c>
      <c r="AY353" s="44" t="n"/>
      <c r="AZ353" s="253" t="n">
        <v>1872</v>
      </c>
      <c r="BA353" s="253" t="n">
        <v>148</v>
      </c>
      <c r="BB353" s="44" t="n"/>
      <c r="BC353" s="44" t="n"/>
      <c r="BD353" s="44" t="n"/>
      <c r="BE353" s="44" t="n"/>
      <c r="BF353" s="44" t="n"/>
      <c r="BG353" s="44" t="n"/>
      <c r="BH353" s="44" t="n"/>
      <c r="BI353" s="44" t="n"/>
      <c r="BJ353" s="44" t="n"/>
      <c r="BK353" s="44" t="n"/>
      <c r="BL353" s="44" t="n"/>
      <c r="BM353" s="44" t="n"/>
      <c r="BN353" s="44" t="n"/>
      <c r="BO353" s="44" t="n"/>
      <c r="BP353" s="44" t="n"/>
      <c r="BQ353" s="44" t="n"/>
      <c r="BR353" s="44" t="n"/>
      <c r="BS353" s="44" t="n"/>
      <c r="BT353" s="44" t="n"/>
      <c r="BU353" s="44" t="n"/>
      <c r="BV353" s="44" t="n"/>
      <c r="BW353" s="44" t="n"/>
      <c r="BX353" s="44" t="n"/>
      <c r="BY353" s="153" t="n"/>
      <c r="BZ353" s="153" t="n"/>
      <c r="CA353" s="35" t="n"/>
      <c r="CB353" s="35" t="n"/>
      <c r="CC353" s="35" t="n"/>
      <c r="CD353" s="35" t="n"/>
      <c r="CE353" s="35" t="n"/>
      <c r="CF353" s="19" t="n"/>
    </row>
    <row r="354" ht="15" customHeight="1" s="251">
      <c r="B354" s="69" t="inlineStr">
        <is>
          <t xml:space="preserve">  Current assets acquired (receivables, other)</t>
        </is>
      </c>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c r="AA354" s="44" t="n"/>
      <c r="AB354" s="44" t="n"/>
      <c r="AC354" s="44" t="n"/>
      <c r="AD354" s="44" t="n"/>
      <c r="AE354" s="44" t="n"/>
      <c r="AF354" s="253" t="n">
        <v>122</v>
      </c>
      <c r="AG354" s="44" t="n"/>
      <c r="AH354" s="44" t="n"/>
      <c r="AI354" s="44" t="n"/>
      <c r="AJ354" s="44" t="n"/>
      <c r="AK354" s="44" t="n"/>
      <c r="AL354" s="253" t="n">
        <v>8</v>
      </c>
      <c r="AM354" s="44" t="n"/>
      <c r="AN354" s="44" t="n"/>
      <c r="AO354" s="44" t="n"/>
      <c r="AP354" s="44" t="n"/>
      <c r="AQ354" s="44" t="n"/>
      <c r="AR354" s="44" t="n"/>
      <c r="AS354" s="253" t="n">
        <v>18</v>
      </c>
      <c r="AT354" s="44" t="n"/>
      <c r="AU354" s="44" t="n"/>
      <c r="AV354" s="253" t="n">
        <v>5</v>
      </c>
      <c r="AW354" s="44" t="n"/>
      <c r="AX354" s="253" t="n">
        <v>3</v>
      </c>
      <c r="AY354" s="44" t="n"/>
      <c r="AZ354" s="253" t="n">
        <v>50</v>
      </c>
      <c r="BA354" s="253" t="n">
        <v>1</v>
      </c>
      <c r="BB354" s="44" t="n"/>
      <c r="BC354" s="44" t="n"/>
      <c r="BD354" s="44" t="n"/>
      <c r="BE354" s="44" t="n"/>
      <c r="BF354" s="44" t="n"/>
      <c r="BG354" s="44" t="n"/>
      <c r="BH354" s="44" t="n"/>
      <c r="BI354" s="44" t="n"/>
      <c r="BJ354" s="44" t="n"/>
      <c r="BK354" s="44" t="n"/>
      <c r="BL354" s="44" t="n"/>
      <c r="BM354" s="44" t="n"/>
      <c r="BN354" s="44" t="n"/>
      <c r="BO354" s="44" t="n"/>
      <c r="BP354" s="44" t="n"/>
      <c r="BQ354" s="44" t="n"/>
      <c r="BR354" s="44" t="n"/>
      <c r="BS354" s="44" t="n"/>
      <c r="BT354" s="44" t="n"/>
      <c r="BU354" s="44" t="n"/>
      <c r="BV354" s="44" t="n"/>
      <c r="BW354" s="44" t="n"/>
      <c r="BX354" s="44" t="n"/>
      <c r="BY354" s="153" t="n"/>
      <c r="BZ354" s="153" t="n"/>
      <c r="CA354" s="35" t="n"/>
      <c r="CB354" s="35" t="n"/>
      <c r="CC354" s="35" t="n"/>
      <c r="CD354" s="35" t="n"/>
      <c r="CE354" s="35" t="n"/>
      <c r="CF354" s="19" t="n"/>
    </row>
    <row r="355" ht="15" customHeight="1" s="251">
      <c r="B355" s="69" t="inlineStr">
        <is>
          <t xml:space="preserve">  Property &amp; equipment</t>
        </is>
      </c>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c r="AA355" s="44" t="n"/>
      <c r="AB355" s="44" t="n"/>
      <c r="AC355" s="44" t="n"/>
      <c r="AD355" s="44" t="n"/>
      <c r="AE355" s="44" t="n"/>
      <c r="AF355" s="253" t="n">
        <v>4</v>
      </c>
      <c r="AG355" s="44" t="n"/>
      <c r="AH355" s="44" t="n"/>
      <c r="AI355" s="44" t="n"/>
      <c r="AJ355" s="44" t="n"/>
      <c r="AK355" s="44" t="n"/>
      <c r="AL355" s="253" t="n">
        <v>4</v>
      </c>
      <c r="AM355" s="44" t="n"/>
      <c r="AN355" s="44" t="n"/>
      <c r="AO355" s="44" t="n"/>
      <c r="AP355" s="44" t="n"/>
      <c r="AQ355" s="44" t="n"/>
      <c r="AR355" s="44" t="n"/>
      <c r="AS355" s="253" t="n">
        <v>0</v>
      </c>
      <c r="AT355" s="44" t="n"/>
      <c r="AU355" s="44" t="n"/>
      <c r="AV355" s="44" t="n"/>
      <c r="AW355" s="44" t="n"/>
      <c r="AX355" s="253" t="n">
        <v>0</v>
      </c>
      <c r="AY355" s="44" t="n"/>
      <c r="AZ355" s="253" t="n">
        <v>13</v>
      </c>
      <c r="BA355" s="253" t="n">
        <v>0</v>
      </c>
      <c r="BB355" s="44" t="n"/>
      <c r="BC355" s="44" t="n"/>
      <c r="BD355" s="44" t="n"/>
      <c r="BE355" s="44" t="n"/>
      <c r="BF355" s="44" t="n"/>
      <c r="BG355" s="44" t="n"/>
      <c r="BH355" s="44" t="n"/>
      <c r="BI355" s="44" t="n"/>
      <c r="BJ355" s="44" t="n"/>
      <c r="BK355" s="44" t="n"/>
      <c r="BL355" s="44" t="n"/>
      <c r="BM355" s="44" t="n"/>
      <c r="BN355" s="44" t="n"/>
      <c r="BO355" s="44" t="n"/>
      <c r="BP355" s="44" t="n"/>
      <c r="BQ355" s="44" t="n"/>
      <c r="BR355" s="44" t="n"/>
      <c r="BS355" s="44" t="n"/>
      <c r="BT355" s="44" t="n"/>
      <c r="BU355" s="44" t="n"/>
      <c r="BV355" s="44" t="n"/>
      <c r="BW355" s="44" t="n"/>
      <c r="BX355" s="44" t="n"/>
      <c r="BY355" s="153" t="n"/>
      <c r="BZ355" s="153" t="n"/>
      <c r="CA355" s="35" t="n"/>
      <c r="CB355" s="35" t="n"/>
      <c r="CC355" s="35" t="n"/>
      <c r="CD355" s="35" t="n"/>
      <c r="CE355" s="35" t="n"/>
      <c r="CF355" s="19" t="n"/>
    </row>
    <row r="356" ht="15" customHeight="1" s="251">
      <c r="B356" s="69" t="inlineStr">
        <is>
          <t xml:space="preserve">  Intangible assets (customer relationships, technology, trade names, data)</t>
        </is>
      </c>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c r="AA356" s="44" t="n"/>
      <c r="AB356" s="44" t="n"/>
      <c r="AC356" s="44" t="n"/>
      <c r="AD356" s="44" t="n"/>
      <c r="AE356" s="44" t="n"/>
      <c r="AF356" s="253" t="n">
        <v>1353</v>
      </c>
      <c r="AG356" s="44" t="n"/>
      <c r="AH356" s="44" t="n"/>
      <c r="AI356" s="44" t="n"/>
      <c r="AJ356" s="44" t="n"/>
      <c r="AK356" s="44" t="n"/>
      <c r="AL356" s="253" t="n">
        <v>104</v>
      </c>
      <c r="AM356" s="44" t="n"/>
      <c r="AN356" s="44" t="n"/>
      <c r="AO356" s="44" t="n"/>
      <c r="AP356" s="44" t="n"/>
      <c r="AQ356" s="44" t="n"/>
      <c r="AR356" s="44" t="n"/>
      <c r="AS356" s="253" t="n">
        <v>280</v>
      </c>
      <c r="AT356" s="44" t="n"/>
      <c r="AU356" s="44" t="n"/>
      <c r="AV356" s="253" t="n">
        <v>82</v>
      </c>
      <c r="AW356" s="44" t="n"/>
      <c r="AX356" s="253" t="n">
        <v>57</v>
      </c>
      <c r="AY356" s="44" t="n"/>
      <c r="AZ356" s="253" t="n">
        <v>779</v>
      </c>
      <c r="BA356" s="253" t="n">
        <v>23</v>
      </c>
      <c r="BB356" s="44" t="n"/>
      <c r="BC356" s="44" t="n"/>
      <c r="BD356" s="44" t="n"/>
      <c r="BE356" s="44" t="n"/>
      <c r="BF356" s="44" t="n"/>
      <c r="BG356" s="44" t="n"/>
      <c r="BH356" s="44" t="n"/>
      <c r="BI356" s="44" t="n"/>
      <c r="BJ356" s="44" t="n"/>
      <c r="BK356" s="44" t="n"/>
      <c r="BL356" s="44" t="n"/>
      <c r="BM356" s="44" t="n"/>
      <c r="BN356" s="44" t="n"/>
      <c r="BO356" s="44" t="n"/>
      <c r="BP356" s="44" t="n"/>
      <c r="BQ356" s="44" t="n"/>
      <c r="BR356" s="44" t="n"/>
      <c r="BS356" s="44" t="n"/>
      <c r="BT356" s="44" t="n"/>
      <c r="BU356" s="44" t="n"/>
      <c r="BV356" s="44" t="n"/>
      <c r="BW356" s="44" t="n"/>
      <c r="BX356" s="44" t="n"/>
      <c r="BY356" s="153" t="n"/>
      <c r="BZ356" s="153" t="n"/>
      <c r="CA356" s="35" t="n"/>
      <c r="CB356" s="35" t="n"/>
      <c r="CC356" s="35" t="n"/>
      <c r="CD356" s="35" t="n"/>
      <c r="CE356" s="35" t="n"/>
      <c r="CF356" s="19" t="n"/>
    </row>
    <row r="357" ht="15" customHeight="1" s="251">
      <c r="B357" s="69" t="inlineStr">
        <is>
          <t xml:space="preserve">  Goodwill</t>
        </is>
      </c>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c r="AA357" s="44" t="n"/>
      <c r="AB357" s="44" t="n"/>
      <c r="AC357" s="44" t="n"/>
      <c r="AD357" s="44" t="n"/>
      <c r="AE357" s="44" t="n"/>
      <c r="AF357" s="253" t="n">
        <v>2615</v>
      </c>
      <c r="AG357" s="44" t="n"/>
      <c r="AH357" s="44" t="n"/>
      <c r="AI357" s="44" t="n"/>
      <c r="AJ357" s="44" t="n"/>
      <c r="AK357" s="44" t="n"/>
      <c r="AL357" s="253" t="n">
        <v>183</v>
      </c>
      <c r="AM357" s="44" t="n"/>
      <c r="AN357" s="44" t="n"/>
      <c r="AO357" s="44" t="n"/>
      <c r="AP357" s="44" t="n"/>
      <c r="AQ357" s="44" t="n"/>
      <c r="AR357" s="44" t="n"/>
      <c r="AS357" s="253" t="n">
        <v>494</v>
      </c>
      <c r="AT357" s="44" t="n"/>
      <c r="AU357" s="44" t="n"/>
      <c r="AV357" s="253" t="n">
        <v>131</v>
      </c>
      <c r="AW357" s="44" t="n"/>
      <c r="AX357" s="253" t="n">
        <v>79</v>
      </c>
      <c r="AY357" s="44" t="n"/>
      <c r="AZ357" s="253" t="n">
        <v>1357</v>
      </c>
      <c r="BA357" s="253" t="n">
        <v>138</v>
      </c>
      <c r="BB357" s="44" t="n"/>
      <c r="BC357" s="44" t="n"/>
      <c r="BD357" s="44" t="n"/>
      <c r="BE357" s="44" t="n"/>
      <c r="BF357" s="44" t="n"/>
      <c r="BG357" s="44" t="n"/>
      <c r="BH357" s="44" t="n"/>
      <c r="BI357" s="44" t="n"/>
      <c r="BJ357" s="44" t="n"/>
      <c r="BK357" s="44" t="n"/>
      <c r="BL357" s="44" t="n"/>
      <c r="BM357" s="44" t="n"/>
      <c r="BN357" s="44" t="n"/>
      <c r="BO357" s="44" t="n"/>
      <c r="BP357" s="44" t="n"/>
      <c r="BQ357" s="44" t="n"/>
      <c r="BR357" s="44" t="n"/>
      <c r="BS357" s="44" t="n"/>
      <c r="BT357" s="44" t="n"/>
      <c r="BU357" s="44" t="n"/>
      <c r="BV357" s="44" t="n"/>
      <c r="BW357" s="44" t="n"/>
      <c r="BX357" s="44" t="n"/>
      <c r="BY357" s="153" t="n"/>
      <c r="BZ357" s="153" t="n"/>
      <c r="CA357" s="35" t="n"/>
      <c r="CB357" s="35" t="n"/>
      <c r="CC357" s="35" t="n"/>
      <c r="CD357" s="35" t="n"/>
      <c r="CE357" s="35" t="n"/>
      <c r="CF357" s="19" t="n"/>
    </row>
    <row r="358" ht="15" customHeight="1" s="251">
      <c r="B358" s="69" t="inlineStr">
        <is>
          <t xml:space="preserve">  Other non-current assets</t>
        </is>
      </c>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c r="AA358" s="44" t="n"/>
      <c r="AB358" s="44" t="n"/>
      <c r="AC358" s="44" t="n"/>
      <c r="AD358" s="44" t="n"/>
      <c r="AE358" s="44" t="n"/>
      <c r="AF358" s="253" t="n">
        <v>6</v>
      </c>
      <c r="AG358" s="44" t="n"/>
      <c r="AH358" s="44" t="n"/>
      <c r="AI358" s="44" t="n"/>
      <c r="AJ358" s="44" t="n"/>
      <c r="AK358" s="44" t="n"/>
      <c r="AL358" s="253" t="n">
        <v>13</v>
      </c>
      <c r="AM358" s="44" t="n"/>
      <c r="AN358" s="44" t="n"/>
      <c r="AO358" s="44" t="n"/>
      <c r="AP358" s="44" t="n"/>
      <c r="AQ358" s="44" t="n"/>
      <c r="AR358" s="44" t="n"/>
      <c r="AS358" s="253" t="n">
        <v>2</v>
      </c>
      <c r="AT358" s="44" t="n"/>
      <c r="AU358" s="44" t="n"/>
      <c r="AV358" s="253" t="n">
        <v>3</v>
      </c>
      <c r="AW358" s="44" t="n"/>
      <c r="AX358" s="253" t="n">
        <v>18</v>
      </c>
      <c r="AY358" s="44" t="n"/>
      <c r="AZ358" s="253" t="n">
        <v>213</v>
      </c>
      <c r="BA358" s="253" t="n">
        <v>0</v>
      </c>
      <c r="BB358" s="44" t="n"/>
      <c r="BC358" s="44" t="n"/>
      <c r="BD358" s="44" t="n"/>
      <c r="BE358" s="44" t="n"/>
      <c r="BF358" s="44" t="n"/>
      <c r="BG358" s="44" t="n"/>
      <c r="BH358" s="44" t="n"/>
      <c r="BI358" s="44" t="n"/>
      <c r="BJ358" s="44" t="n"/>
      <c r="BK358" s="44" t="n"/>
      <c r="BL358" s="44" t="n"/>
      <c r="BM358" s="44" t="n"/>
      <c r="BN358" s="44" t="n"/>
      <c r="BO358" s="44" t="n"/>
      <c r="BP358" s="44" t="n"/>
      <c r="BQ358" s="44" t="n"/>
      <c r="BR358" s="44" t="n"/>
      <c r="BS358" s="44" t="n"/>
      <c r="BT358" s="44" t="n"/>
      <c r="BU358" s="44" t="n"/>
      <c r="BV358" s="44" t="n"/>
      <c r="BW358" s="44" t="n"/>
      <c r="BX358" s="44" t="n"/>
      <c r="BY358" s="153" t="n"/>
      <c r="BZ358" s="153" t="n"/>
      <c r="CA358" s="35" t="n"/>
      <c r="CB358" s="35" t="n"/>
      <c r="CC358" s="35" t="n"/>
      <c r="CD358" s="35" t="n"/>
      <c r="CE358" s="35" t="n"/>
      <c r="CF358" s="19" t="n"/>
    </row>
    <row r="359" ht="15" customHeight="1" s="251">
      <c r="B359" s="69" t="inlineStr">
        <is>
          <t xml:space="preserve">  Current liabilities assumed (incl. deferred revenue)</t>
        </is>
      </c>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c r="AA359" s="44" t="n"/>
      <c r="AB359" s="44" t="n"/>
      <c r="AC359" s="44" t="n"/>
      <c r="AD359" s="44" t="n"/>
      <c r="AE359" s="44" t="n"/>
      <c r="AF359" s="253" t="n">
        <v>145</v>
      </c>
      <c r="AG359" s="44" t="n"/>
      <c r="AH359" s="44" t="n"/>
      <c r="AI359" s="44" t="n"/>
      <c r="AJ359" s="44" t="n"/>
      <c r="AK359" s="44" t="n"/>
      <c r="AL359" s="253" t="n">
        <v>34</v>
      </c>
      <c r="AM359" s="44" t="n"/>
      <c r="AN359" s="44" t="n"/>
      <c r="AO359" s="44" t="n"/>
      <c r="AP359" s="44" t="n"/>
      <c r="AQ359" s="44" t="n"/>
      <c r="AR359" s="44" t="n"/>
      <c r="AS359" s="253" t="n">
        <v>25</v>
      </c>
      <c r="AT359" s="44" t="n"/>
      <c r="AU359" s="44" t="n"/>
      <c r="AV359" s="253" t="n">
        <v>8</v>
      </c>
      <c r="AW359" s="44" t="n"/>
      <c r="AX359" s="253" t="n">
        <v>5</v>
      </c>
      <c r="AY359" s="44" t="n"/>
      <c r="AZ359" s="253" t="n">
        <v>185</v>
      </c>
      <c r="BA359" s="253" t="n">
        <v>8</v>
      </c>
      <c r="BB359" s="44" t="n"/>
      <c r="BC359" s="44" t="n"/>
      <c r="BD359" s="44" t="n"/>
      <c r="BE359" s="44" t="n"/>
      <c r="BF359" s="44" t="n"/>
      <c r="BG359" s="44" t="n"/>
      <c r="BH359" s="44" t="n"/>
      <c r="BI359" s="44" t="n"/>
      <c r="BJ359" s="44" t="n"/>
      <c r="BK359" s="44" t="n"/>
      <c r="BL359" s="44" t="n"/>
      <c r="BM359" s="44" t="n"/>
      <c r="BN359" s="44" t="n"/>
      <c r="BO359" s="44" t="n"/>
      <c r="BP359" s="44" t="n"/>
      <c r="BQ359" s="44" t="n"/>
      <c r="BR359" s="44" t="n"/>
      <c r="BS359" s="44" t="n"/>
      <c r="BT359" s="44" t="n"/>
      <c r="BU359" s="44" t="n"/>
      <c r="BV359" s="44" t="n"/>
      <c r="BW359" s="44" t="n"/>
      <c r="BX359" s="44" t="n"/>
      <c r="BY359" s="153" t="n"/>
      <c r="BZ359" s="153" t="n"/>
      <c r="CA359" s="35" t="n"/>
      <c r="CB359" s="35" t="n"/>
      <c r="CC359" s="35" t="n"/>
      <c r="CD359" s="35" t="n"/>
      <c r="CE359" s="35" t="n"/>
      <c r="CF359" s="19" t="n"/>
    </row>
    <row r="360" ht="15" customHeight="1" s="251">
      <c r="B360" s="69" t="inlineStr">
        <is>
          <t xml:space="preserve">  Debt assumed</t>
        </is>
      </c>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c r="AA360" s="44" t="n"/>
      <c r="AB360" s="44" t="n"/>
      <c r="AC360" s="44" t="n"/>
      <c r="AD360" s="44" t="n"/>
      <c r="AE360" s="44" t="n"/>
      <c r="AF360" s="44" t="n"/>
      <c r="AG360" s="44" t="n"/>
      <c r="AH360" s="44" t="n"/>
      <c r="AI360" s="44" t="n"/>
      <c r="AJ360" s="44" t="n"/>
      <c r="AK360" s="44" t="n"/>
      <c r="AL360" s="44" t="n"/>
      <c r="AM360" s="44" t="n"/>
      <c r="AN360" s="44" t="n"/>
      <c r="AO360" s="44" t="n"/>
      <c r="AP360" s="44" t="n"/>
      <c r="AQ360" s="44" t="n"/>
      <c r="AR360" s="44" t="n"/>
      <c r="AS360" s="44" t="n"/>
      <c r="AT360" s="44" t="n"/>
      <c r="AU360" s="44" t="n"/>
      <c r="AV360" s="44" t="n"/>
      <c r="AW360" s="44" t="n"/>
      <c r="AX360" s="44" t="n"/>
      <c r="AY360" s="44" t="n"/>
      <c r="AZ360" s="44" t="n"/>
      <c r="BA360" s="44" t="n"/>
      <c r="BB360" s="44" t="n"/>
      <c r="BC360" s="44" t="n"/>
      <c r="BD360" s="44" t="n"/>
      <c r="BE360" s="44" t="n"/>
      <c r="BF360" s="44" t="n"/>
      <c r="BG360" s="44" t="n"/>
      <c r="BH360" s="44" t="n"/>
      <c r="BI360" s="44" t="n"/>
      <c r="BJ360" s="44" t="n"/>
      <c r="BK360" s="44" t="n"/>
      <c r="BL360" s="44" t="n"/>
      <c r="BM360" s="44" t="n"/>
      <c r="BN360" s="44" t="n"/>
      <c r="BO360" s="44" t="n"/>
      <c r="BP360" s="44" t="n"/>
      <c r="BQ360" s="44" t="n"/>
      <c r="BR360" s="44" t="n"/>
      <c r="BS360" s="44" t="n"/>
      <c r="BT360" s="44" t="n"/>
      <c r="BU360" s="44" t="n"/>
      <c r="BV360" s="44" t="n"/>
      <c r="BW360" s="44" t="n"/>
      <c r="BX360" s="44" t="n"/>
      <c r="BY360" s="153" t="n"/>
      <c r="BZ360" s="153" t="n"/>
      <c r="CA360" s="35" t="n"/>
      <c r="CB360" s="35" t="n"/>
      <c r="CC360" s="35" t="n"/>
      <c r="CD360" s="35" t="n"/>
      <c r="CE360" s="35" t="n"/>
      <c r="CF360" s="19" t="n"/>
    </row>
    <row r="361" ht="15" customHeight="1" s="251">
      <c r="B361" s="69" t="inlineStr">
        <is>
          <t xml:space="preserve">  Non-current liabilities assumed (deferred taxes, other)</t>
        </is>
      </c>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c r="AA361" s="44" t="n"/>
      <c r="AB361" s="44" t="n"/>
      <c r="AC361" s="44" t="n"/>
      <c r="AD361" s="44" t="n"/>
      <c r="AE361" s="44" t="n"/>
      <c r="AF361" s="253" t="n">
        <v>449</v>
      </c>
      <c r="AG361" s="44" t="n"/>
      <c r="AH361" s="44" t="n"/>
      <c r="AI361" s="44" t="n"/>
      <c r="AJ361" s="44" t="n"/>
      <c r="AK361" s="44" t="n"/>
      <c r="AL361" s="253" t="n">
        <v>24</v>
      </c>
      <c r="AM361" s="44" t="n"/>
      <c r="AN361" s="44" t="n"/>
      <c r="AO361" s="44" t="n"/>
      <c r="AP361" s="44" t="n"/>
      <c r="AQ361" s="44" t="n"/>
      <c r="AR361" s="44" t="n"/>
      <c r="AS361" s="253" t="n">
        <v>73</v>
      </c>
      <c r="AT361" s="44" t="n"/>
      <c r="AU361" s="44" t="n"/>
      <c r="AV361" s="253" t="n">
        <v>8</v>
      </c>
      <c r="AW361" s="44" t="n"/>
      <c r="AX361" s="253" t="n">
        <v>17</v>
      </c>
      <c r="AY361" s="44" t="n"/>
      <c r="AZ361" s="253" t="n">
        <v>355</v>
      </c>
      <c r="BA361" s="253" t="n">
        <v>6</v>
      </c>
      <c r="BB361" s="44" t="n"/>
      <c r="BC361" s="44" t="n"/>
      <c r="BD361" s="44" t="n"/>
      <c r="BE361" s="44" t="n"/>
      <c r="BF361" s="44" t="n"/>
      <c r="BG361" s="44" t="n"/>
      <c r="BH361" s="44" t="n"/>
      <c r="BI361" s="44" t="n"/>
      <c r="BJ361" s="44" t="n"/>
      <c r="BK361" s="44" t="n"/>
      <c r="BL361" s="44" t="n"/>
      <c r="BM361" s="44" t="n"/>
      <c r="BN361" s="44" t="n"/>
      <c r="BO361" s="44" t="n"/>
      <c r="BP361" s="44" t="n"/>
      <c r="BQ361" s="44" t="n"/>
      <c r="BR361" s="44" t="n"/>
      <c r="BS361" s="44" t="n"/>
      <c r="BT361" s="44" t="n"/>
      <c r="BU361" s="44" t="n"/>
      <c r="BV361" s="44" t="n"/>
      <c r="BW361" s="44" t="n"/>
      <c r="BX361" s="44" t="n"/>
      <c r="BY361" s="153" t="n"/>
      <c r="BZ361" s="153" t="n"/>
      <c r="CA361" s="35" t="n"/>
      <c r="CB361" s="35" t="n"/>
      <c r="CC361" s="35" t="n"/>
      <c r="CD361" s="35" t="n"/>
      <c r="CE361" s="35" t="n"/>
      <c r="CF361" s="19" t="n"/>
    </row>
    <row r="362" ht="15" customHeight="1" s="251">
      <c r="B362" s="57" t="inlineStr">
        <is>
          <t xml:space="preserve">  Check: assets acquired − liabilities assumed − consideration (should be 0)</t>
        </is>
      </c>
      <c r="C362" s="261">
        <f>IF(ISNUMBER(C353),ROUND(N(C354)+N(C355)+N(C356)+N(C357)+N(C358)-N(C359)-N(C360)-N(C361)-C353,0),"")</f>
      </c>
      <c r="D362" s="261">
        <f>IF(ISNUMBER(D353),ROUND(N(D354)+N(D355)+N(D356)+N(D357)+N(D358)-N(D359)-N(D360)-N(D361)-D353,0),"")</f>
      </c>
      <c r="E362" s="261">
        <f>IF(ISNUMBER(E353),ROUND(N(E354)+N(E355)+N(E356)+N(E357)+N(E358)-N(E359)-N(E360)-N(E361)-E353,0),"")</f>
      </c>
      <c r="F362" s="261">
        <f>IF(ISNUMBER(F353),ROUND(N(F354)+N(F355)+N(F356)+N(F357)+N(F358)-N(F359)-N(F360)-N(F361)-F353,0),"")</f>
      </c>
      <c r="G362" s="261">
        <f>IF(ISNUMBER(G353),ROUND(N(G354)+N(G355)+N(G356)+N(G357)+N(G358)-N(G359)-N(G360)-N(G361)-G353,0),"")</f>
      </c>
      <c r="H362" s="261">
        <f>IF(ISNUMBER(H353),ROUND(N(H354)+N(H355)+N(H356)+N(H357)+N(H358)-N(H359)-N(H360)-N(H361)-H353,0),"")</f>
      </c>
      <c r="I362" s="261">
        <f>IF(ISNUMBER(I353),ROUND(N(I354)+N(I355)+N(I356)+N(I357)+N(I358)-N(I359)-N(I360)-N(I361)-I353,0),"")</f>
      </c>
      <c r="J362" s="261">
        <f>IF(ISNUMBER(J353),ROUND(N(J354)+N(J355)+N(J356)+N(J357)+N(J358)-N(J359)-N(J360)-N(J361)-J353,0),"")</f>
      </c>
      <c r="K362" s="261">
        <f>IF(ISNUMBER(K353),ROUND(N(K354)+N(K355)+N(K356)+N(K357)+N(K358)-N(K359)-N(K360)-N(K361)-K353,0),"")</f>
      </c>
      <c r="L362" s="261">
        <f>IF(ISNUMBER(L353),ROUND(N(L354)+N(L355)+N(L356)+N(L357)+N(L358)-N(L359)-N(L360)-N(L361)-L353,0),"")</f>
      </c>
      <c r="M362" s="261">
        <f>IF(ISNUMBER(M353),ROUND(N(M354)+N(M355)+N(M356)+N(M357)+N(M358)-N(M359)-N(M360)-N(M361)-M353,0),"")</f>
      </c>
      <c r="N362" s="261">
        <f>IF(ISNUMBER(N353),ROUND(N(N354)+N(N355)+N(N356)+N(N357)+N(N358)-N(N359)-N(N360)-N(N361)-N353,0),"")</f>
      </c>
      <c r="O362" s="261">
        <f>IF(ISNUMBER(O353),ROUND(N(O354)+N(O355)+N(O356)+N(O357)+N(O358)-N(O359)-N(O360)-N(O361)-O353,0),"")</f>
      </c>
      <c r="P362" s="261">
        <f>IF(ISNUMBER(P353),ROUND(N(P354)+N(P355)+N(P356)+N(P357)+N(P358)-N(P359)-N(P360)-N(P361)-P353,0),"")</f>
      </c>
      <c r="Q362" s="261">
        <f>IF(ISNUMBER(Q353),ROUND(N(Q354)+N(Q355)+N(Q356)+N(Q357)+N(Q358)-N(Q359)-N(Q360)-N(Q361)-Q353,0),"")</f>
      </c>
      <c r="R362" s="261">
        <f>IF(ISNUMBER(R353),ROUND(N(R354)+N(R355)+N(R356)+N(R357)+N(R358)-N(R359)-N(R360)-N(R361)-R353,0),"")</f>
      </c>
      <c r="S362" s="261">
        <f>IF(ISNUMBER(S353),ROUND(N(S354)+N(S355)+N(S356)+N(S357)+N(S358)-N(S359)-N(S360)-N(S361)-S353,0),"")</f>
      </c>
      <c r="T362" s="261">
        <f>IF(ISNUMBER(T353),ROUND(N(T354)+N(T355)+N(T356)+N(T357)+N(T358)-N(T359)-N(T360)-N(T361)-T353,0),"")</f>
      </c>
      <c r="U362" s="261">
        <f>IF(ISNUMBER(U353),ROUND(N(U354)+N(U355)+N(U356)+N(U357)+N(U358)-N(U359)-N(U360)-N(U361)-U353,0),"")</f>
      </c>
      <c r="V362" s="261">
        <f>IF(ISNUMBER(V353),ROUND(N(V354)+N(V355)+N(V356)+N(V357)+N(V358)-N(V359)-N(V360)-N(V361)-V353,0),"")</f>
      </c>
      <c r="W362" s="261">
        <f>IF(ISNUMBER(W353),ROUND(N(W354)+N(W355)+N(W356)+N(W357)+N(W358)-N(W359)-N(W360)-N(W361)-W353,0),"")</f>
      </c>
      <c r="X362" s="261">
        <f>IF(ISNUMBER(X353),ROUND(N(X354)+N(X355)+N(X356)+N(X357)+N(X358)-N(X359)-N(X360)-N(X361)-X353,0),"")</f>
      </c>
      <c r="Y362" s="261">
        <f>IF(ISNUMBER(Y353),ROUND(N(Y354)+N(Y355)+N(Y356)+N(Y357)+N(Y358)-N(Y359)-N(Y360)-N(Y361)-Y353,0),"")</f>
      </c>
      <c r="Z362" s="261">
        <f>IF(ISNUMBER(Z353),ROUND(N(Z354)+N(Z355)+N(Z356)+N(Z357)+N(Z358)-N(Z359)-N(Z360)-N(Z361)-Z353,0),"")</f>
      </c>
      <c r="AA362" s="261">
        <f>IF(ISNUMBER(AA353),ROUND(N(AA354)+N(AA355)+N(AA356)+N(AA357)+N(AA358)-N(AA359)-N(AA360)-N(AA361)-AA353,0),"")</f>
      </c>
      <c r="AB362" s="261">
        <f>IF(ISNUMBER(AB353),ROUND(N(AB354)+N(AB355)+N(AB356)+N(AB357)+N(AB358)-N(AB359)-N(AB360)-N(AB361)-AB353,0),"")</f>
      </c>
      <c r="AC362" s="261">
        <f>IF(ISNUMBER(AC353),ROUND(N(AC354)+N(AC355)+N(AC356)+N(AC357)+N(AC358)-N(AC359)-N(AC360)-N(AC361)-AC353,0),"")</f>
      </c>
      <c r="AD362" s="261">
        <f>IF(ISNUMBER(AD353),ROUND(N(AD354)+N(AD355)+N(AD356)+N(AD357)+N(AD358)-N(AD359)-N(AD360)-N(AD361)-AD353,0),"")</f>
      </c>
      <c r="AE362" s="261">
        <f>IF(ISNUMBER(AE353),ROUND(N(AE354)+N(AE355)+N(AE356)+N(AE357)+N(AE358)-N(AE359)-N(AE360)-N(AE361)-AE353,0),"")</f>
      </c>
      <c r="AF362" s="261">
        <f>IF(ISNUMBER(AF353),ROUND(N(AF354)+N(AF355)+N(AF356)+N(AF357)+N(AF358)-N(AF359)-N(AF360)-N(AF361)-AF353,0),"")</f>
        <v>0</v>
      </c>
      <c r="AG362" s="261">
        <f>IF(ISNUMBER(AG353),ROUND(N(AG354)+N(AG355)+N(AG356)+N(AG357)+N(AG358)-N(AG359)-N(AG360)-N(AG361)-AG353,0),"")</f>
      </c>
      <c r="AH362" s="261">
        <f>IF(ISNUMBER(AH353),ROUND(N(AH354)+N(AH355)+N(AH356)+N(AH357)+N(AH358)-N(AH359)-N(AH360)-N(AH361)-AH353,0),"")</f>
      </c>
      <c r="AI362" s="261">
        <f>IF(ISNUMBER(AI353),ROUND(N(AI354)+N(AI355)+N(AI356)+N(AI357)+N(AI358)-N(AI359)-N(AI360)-N(AI361)-AI353,0),"")</f>
      </c>
      <c r="AJ362" s="261">
        <f>IF(ISNUMBER(AJ353),ROUND(N(AJ354)+N(AJ355)+N(AJ356)+N(AJ357)+N(AJ358)-N(AJ359)-N(AJ360)-N(AJ361)-AJ353,0),"")</f>
      </c>
      <c r="AK362" s="261">
        <f>IF(ISNUMBER(AK353),ROUND(N(AK354)+N(AK355)+N(AK356)+N(AK357)+N(AK358)-N(AK359)-N(AK360)-N(AK361)-AK353,0),"")</f>
      </c>
      <c r="AL362" s="261">
        <f>IF(ISNUMBER(AL353),ROUND(N(AL354)+N(AL355)+N(AL356)+N(AL357)+N(AL358)-N(AL359)-N(AL360)-N(AL361)-AL353,0),"")</f>
        <v>0</v>
      </c>
      <c r="AM362" s="261">
        <f>IF(ISNUMBER(AM353),ROUND(N(AM354)+N(AM355)+N(AM356)+N(AM357)+N(AM358)-N(AM359)-N(AM360)-N(AM361)-AM353,0),"")</f>
      </c>
      <c r="AN362" s="261">
        <f>IF(ISNUMBER(AN353),ROUND(N(AN354)+N(AN355)+N(AN356)+N(AN357)+N(AN358)-N(AN359)-N(AN360)-N(AN361)-AN353,0),"")</f>
      </c>
      <c r="AO362" s="261">
        <f>IF(ISNUMBER(AO353),ROUND(N(AO354)+N(AO355)+N(AO356)+N(AO357)+N(AO358)-N(AO359)-N(AO360)-N(AO361)-AO353,0),"")</f>
      </c>
      <c r="AP362" s="261">
        <f>IF(ISNUMBER(AP353),ROUND(N(AP354)+N(AP355)+N(AP356)+N(AP357)+N(AP358)-N(AP359)-N(AP360)-N(AP361)-AP353,0),"")</f>
      </c>
      <c r="AQ362" s="261">
        <f>IF(ISNUMBER(AQ353),ROUND(N(AQ354)+N(AQ355)+N(AQ356)+N(AQ357)+N(AQ358)-N(AQ359)-N(AQ360)-N(AQ361)-AQ353,0),"")</f>
      </c>
      <c r="AR362" s="261">
        <f>IF(ISNUMBER(AR353),ROUND(N(AR354)+N(AR355)+N(AR356)+N(AR357)+N(AR358)-N(AR359)-N(AR360)-N(AR361)-AR353,0),"")</f>
      </c>
      <c r="AS362" s="261">
        <f>IF(ISNUMBER(AS353),ROUND(N(AS354)+N(AS355)+N(AS356)+N(AS357)+N(AS358)-N(AS359)-N(AS360)-N(AS361)-AS353,0),"")</f>
        <v>0</v>
      </c>
      <c r="AT362" s="261">
        <f>IF(ISNUMBER(AT353),ROUND(N(AT354)+N(AT355)+N(AT356)+N(AT357)+N(AT358)-N(AT359)-N(AT360)-N(AT361)-AT353,0),"")</f>
      </c>
      <c r="AU362" s="261">
        <f>IF(ISNUMBER(AU353),ROUND(N(AU354)+N(AU355)+N(AU356)+N(AU357)+N(AU358)-N(AU359)-N(AU360)-N(AU361)-AU353,0),"")</f>
      </c>
      <c r="AV362" s="261">
        <f>IF(ISNUMBER(AV353),ROUND(N(AV354)+N(AV355)+N(AV356)+N(AV357)+N(AV358)-N(AV359)-N(AV360)-N(AV361)-AV353,0),"")</f>
        <v>0</v>
      </c>
      <c r="AW362" s="261">
        <f>IF(ISNUMBER(AW353),ROUND(N(AW354)+N(AW355)+N(AW356)+N(AW357)+N(AW358)-N(AW359)-N(AW360)-N(AW361)-AW353,0),"")</f>
      </c>
      <c r="AX362" s="261">
        <f>IF(ISNUMBER(AX353),ROUND(N(AX354)+N(AX355)+N(AX356)+N(AX357)+N(AX358)-N(AX359)-N(AX360)-N(AX361)-AX353,0),"")</f>
        <v>0</v>
      </c>
      <c r="AY362" s="261">
        <f>IF(ISNUMBER(AY353),ROUND(N(AY354)+N(AY355)+N(AY356)+N(AY357)+N(AY358)-N(AY359)-N(AY360)-N(AY361)-AY353,0),"")</f>
      </c>
      <c r="AZ362" s="261">
        <f>IF(ISNUMBER(AZ353),ROUND(N(AZ354)+N(AZ355)+N(AZ356)+N(AZ357)+N(AZ358)-N(AZ359)-N(AZ360)-N(AZ361)-AZ353,0),"")</f>
        <v>0</v>
      </c>
      <c r="BA362" s="261">
        <f>IF(ISNUMBER(BA353),ROUND(N(BA354)+N(BA355)+N(BA356)+N(BA357)+N(BA358)-N(BA359)-N(BA360)-N(BA361)-BA353,0),"")</f>
        <v>0</v>
      </c>
      <c r="BB362" s="261">
        <f>IF(ISNUMBER(BB353),ROUND(N(BB354)+N(BB355)+N(BB356)+N(BB357)+N(BB358)-N(BB359)-N(BB360)-N(BB361)-BB353,0),"")</f>
      </c>
      <c r="BC362" s="261">
        <f>IF(ISNUMBER(BC353),ROUND(N(BC354)+N(BC355)+N(BC356)+N(BC357)+N(BC358)-N(BC359)-N(BC360)-N(BC361)-BC353,0),"")</f>
      </c>
      <c r="BD362" s="261">
        <f>IF(ISNUMBER(BD353),ROUND(N(BD354)+N(BD355)+N(BD356)+N(BD357)+N(BD358)-N(BD359)-N(BD360)-N(BD361)-BD353,0),"")</f>
      </c>
      <c r="BE362" s="261">
        <f>IF(ISNUMBER(BE353),ROUND(N(BE354)+N(BE355)+N(BE356)+N(BE357)+N(BE358)-N(BE359)-N(BE360)-N(BE361)-BE353,0),"")</f>
      </c>
      <c r="BF362" s="261">
        <f>IF(ISNUMBER(BF353),ROUND(N(BF354)+N(BF355)+N(BF356)+N(BF357)+N(BF358)-N(BF359)-N(BF360)-N(BF361)-BF353,0),"")</f>
      </c>
      <c r="BG362" s="261">
        <f>IF(ISNUMBER(BG353),ROUND(N(BG354)+N(BG355)+N(BG356)+N(BG357)+N(BG358)-N(BG359)-N(BG360)-N(BG361)-BG353,0),"")</f>
      </c>
      <c r="BH362" s="261">
        <f>IF(ISNUMBER(BH353),ROUND(N(BH354)+N(BH355)+N(BH356)+N(BH357)+N(BH358)-N(BH359)-N(BH360)-N(BH361)-BH353,0),"")</f>
      </c>
      <c r="BI362" s="261">
        <f>IF(ISNUMBER(BI353),ROUND(N(BI354)+N(BI355)+N(BI356)+N(BI357)+N(BI358)-N(BI359)-N(BI360)-N(BI361)-BI353,0),"")</f>
      </c>
      <c r="BJ362" s="261">
        <f>IF(ISNUMBER(BJ353),ROUND(N(BJ354)+N(BJ355)+N(BJ356)+N(BJ357)+N(BJ358)-N(BJ359)-N(BJ360)-N(BJ361)-BJ353,0),"")</f>
      </c>
      <c r="BK362" s="261">
        <f>IF(ISNUMBER(BK353),ROUND(N(BK354)+N(BK355)+N(BK356)+N(BK357)+N(BK358)-N(BK359)-N(BK360)-N(BK361)-BK353,0),"")</f>
      </c>
      <c r="BL362" s="261">
        <f>IF(ISNUMBER(BL353),ROUND(N(BL354)+N(BL355)+N(BL356)+N(BL357)+N(BL358)-N(BL359)-N(BL360)-N(BL361)-BL353,0),"")</f>
      </c>
      <c r="BM362" s="261">
        <f>IF(ISNUMBER(BM353),ROUND(N(BM354)+N(BM355)+N(BM356)+N(BM357)+N(BM358)-N(BM359)-N(BM360)-N(BM361)-BM353,0),"")</f>
      </c>
      <c r="BN362" s="261">
        <f>IF(ISNUMBER(BN353),ROUND(N(BN354)+N(BN355)+N(BN356)+N(BN357)+N(BN358)-N(BN359)-N(BN360)-N(BN361)-BN353,0),"")</f>
      </c>
      <c r="BO362" s="261">
        <f>IF(ISNUMBER(BO353),ROUND(N(BO354)+N(BO355)+N(BO356)+N(BO357)+N(BO358)-N(BO359)-N(BO360)-N(BO361)-BO353,0),"")</f>
      </c>
      <c r="BP362" s="261">
        <f>IF(ISNUMBER(BP353),ROUND(N(BP354)+N(BP355)+N(BP356)+N(BP357)+N(BP358)-N(BP359)-N(BP360)-N(BP361)-BP353,0),"")</f>
      </c>
      <c r="BQ362" s="261">
        <f>IF(ISNUMBER(BQ353),ROUND(N(BQ354)+N(BQ355)+N(BQ356)+N(BQ357)+N(BQ358)-N(BQ359)-N(BQ360)-N(BQ361)-BQ353,0),"")</f>
      </c>
      <c r="BR362" s="261">
        <f>IF(ISNUMBER(BR353),ROUND(N(BR354)+N(BR355)+N(BR356)+N(BR357)+N(BR358)-N(BR359)-N(BR360)-N(BR361)-BR353,0),"")</f>
      </c>
      <c r="BS362" s="261">
        <f>IF(ISNUMBER(BS353),ROUND(N(BS354)+N(BS355)+N(BS356)+N(BS357)+N(BS358)-N(BS359)-N(BS360)-N(BS361)-BS353,0),"")</f>
      </c>
      <c r="BT362" s="261">
        <f>IF(ISNUMBER(BT353),ROUND(N(BT354)+N(BT355)+N(BT356)+N(BT357)+N(BT358)-N(BT359)-N(BT360)-N(BT361)-BT353,0),"")</f>
      </c>
      <c r="BU362" s="261">
        <f>IF(ISNUMBER(BU353),ROUND(N(BU354)+N(BU355)+N(BU356)+N(BU357)+N(BU358)-N(BU359)-N(BU360)-N(BU361)-BU353,0),"")</f>
      </c>
      <c r="BV362" s="261">
        <f>IF(ISNUMBER(BV353),ROUND(N(BV354)+N(BV355)+N(BV356)+N(BV357)+N(BV358)-N(BV359)-N(BV360)-N(BV361)-BV353,0),"")</f>
      </c>
      <c r="BW362" s="261">
        <f>IF(ISNUMBER(BW353),ROUND(N(BW354)+N(BW355)+N(BW356)+N(BW357)+N(BW358)-N(BW359)-N(BW360)-N(BW361)-BW353,0),"")</f>
      </c>
      <c r="BX362" s="261">
        <f>IF(ISNUMBER(BX353),ROUND(N(BX354)+N(BX355)+N(BX356)+N(BX357)+N(BX358)-N(BX359)-N(BX360)-N(BX361)-BX353,0),"")</f>
      </c>
      <c r="BY362" s="153" t="n"/>
      <c r="BZ362" s="153" t="n"/>
      <c r="CA362" s="153" t="n"/>
      <c r="CB362" s="153" t="n"/>
      <c r="CC362" s="153" t="n"/>
      <c r="CD362" s="153" t="n"/>
      <c r="CE362" s="153" t="n"/>
      <c r="CF362" s="153" t="n"/>
    </row>
    <row r="363" ht="15" customHeight="1" s="251">
      <c r="B363" s="158" t="inlineStr">
        <is>
          <t xml:space="preserve">  Deal closed in the period</t>
        </is>
      </c>
      <c r="C363" s="159" t="n"/>
      <c r="J363" s="159" t="n"/>
      <c r="AF363" s="292" t="inlineStr">
        <is>
          <t>Bureau van Dijk</t>
        </is>
      </c>
      <c r="AJ363" s="159" t="n"/>
      <c r="AL363" s="292" t="inlineStr">
        <is>
          <t>Reis, Inc.</t>
        </is>
      </c>
      <c r="AN363" s="159" t="n"/>
      <c r="AS363" s="292" t="inlineStr">
        <is>
          <t>RDC (Regulatory DataCorp)</t>
        </is>
      </c>
      <c r="AV363" s="292" t="inlineStr">
        <is>
          <t>Aggregate: Catylist, ZM Financial Systems, Acquire Media (Oct-Dec 2020)</t>
        </is>
      </c>
      <c r="AX363" s="292" t="inlineStr">
        <is>
          <t>Cortera</t>
        </is>
      </c>
      <c r="AZ363" s="292" t="inlineStr">
        <is>
          <t>RMS (Risk Management Solutions)</t>
        </is>
      </c>
      <c r="BA363" s="293" t="inlineStr">
        <is>
          <t>PassFort</t>
        </is>
      </c>
      <c r="BM363" s="159" t="n"/>
      <c r="BT363" s="159" t="n"/>
      <c r="BY363" s="153" t="n"/>
      <c r="BZ363" s="153" t="n"/>
      <c r="CA363" s="153" t="n"/>
      <c r="CB363" s="153" t="n"/>
      <c r="CC363" s="153" t="n"/>
      <c r="CD363" s="153" t="n"/>
      <c r="CE363" s="153" t="n"/>
      <c r="CF363" s="19" t="n"/>
    </row>
    <row r="364" ht="15" customHeight="1" s="251">
      <c r="B364" s="25" t="inlineStr">
        <is>
          <t>Share count &amp; pricing</t>
        </is>
      </c>
      <c r="CF364" s="153" t="n"/>
    </row>
    <row r="365" ht="15" customHeight="1" s="251">
      <c r="B365" s="69" t="inlineStr">
        <is>
          <t xml:space="preserve">  Dilutive securities (m shares; options, RSUs, PSUs)</t>
        </is>
      </c>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c r="AA365" s="44" t="n"/>
      <c r="AB365" s="44" t="n"/>
      <c r="AC365" s="44" t="n"/>
      <c r="AD365" s="44" t="n"/>
      <c r="AE365" s="44" t="n"/>
      <c r="AF365" s="44" t="n"/>
      <c r="AG365" s="44" t="n"/>
      <c r="AH365" s="44" t="n"/>
      <c r="AI365" s="44" t="n"/>
      <c r="AJ365" s="44" t="n"/>
      <c r="AK365" s="44" t="n"/>
      <c r="AL365" s="44" t="n"/>
      <c r="AM365" s="44" t="n"/>
      <c r="AN365" s="44" t="n"/>
      <c r="AO365" s="44" t="n"/>
      <c r="AP365" s="44" t="n"/>
      <c r="AQ365" s="44" t="n"/>
      <c r="AR365" s="44" t="n"/>
      <c r="AS365" s="44" t="n"/>
      <c r="AT365" s="44" t="n"/>
      <c r="AU365" s="44" t="n"/>
      <c r="AV365" s="44" t="n"/>
      <c r="AW365" s="44" t="n"/>
      <c r="AX365" s="44" t="n"/>
      <c r="AY365" s="44" t="n"/>
      <c r="AZ365" s="44" t="n"/>
      <c r="BA365" s="44" t="n"/>
      <c r="BB365" s="44" t="n"/>
      <c r="BC365" s="44" t="n"/>
      <c r="BD365" s="44" t="n"/>
      <c r="BE365" s="44" t="n"/>
      <c r="BF365" s="44" t="n"/>
      <c r="BG365" s="44" t="n"/>
      <c r="BH365" s="44" t="n"/>
      <c r="BI365" s="44" t="n"/>
      <c r="BJ365" s="44" t="n"/>
      <c r="BK365" s="44" t="n"/>
      <c r="BL365" s="44" t="n"/>
      <c r="BM365" s="44" t="n"/>
      <c r="BN365" s="44" t="n"/>
      <c r="BO365" s="44" t="n"/>
      <c r="BP365" s="44" t="n"/>
      <c r="BQ365" s="44" t="n"/>
      <c r="BR365" s="44" t="n"/>
      <c r="BS365" s="44" t="n"/>
      <c r="BT365" s="44" t="n"/>
      <c r="BU365" s="44" t="n"/>
      <c r="BV365" s="44" t="n"/>
      <c r="BW365" s="44" t="n"/>
      <c r="BX365" s="44" t="n"/>
      <c r="BY365" s="153" t="n"/>
      <c r="BZ365" s="153" t="n"/>
      <c r="CA365" s="35" t="n"/>
      <c r="CB365" s="279" t="n">
        <v>0.5</v>
      </c>
      <c r="CC365" s="279" t="n">
        <v>0.5</v>
      </c>
      <c r="CD365" s="279" t="n">
        <v>0.5</v>
      </c>
      <c r="CE365" s="279" t="n">
        <v>0.5</v>
      </c>
      <c r="CF365" s="19" t="n"/>
    </row>
    <row r="366" ht="15" customHeight="1" s="251">
      <c r="B366" s="69" t="inlineStr">
        <is>
          <t xml:space="preserve">  Share-price appreciation % (buyback pricing)</t>
        </is>
      </c>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c r="AA366" s="44" t="n"/>
      <c r="AB366" s="44" t="n"/>
      <c r="AC366" s="44" t="n"/>
      <c r="AD366" s="44" t="n"/>
      <c r="AE366" s="44" t="n"/>
      <c r="AF366" s="44" t="n"/>
      <c r="AG366" s="44" t="n"/>
      <c r="AH366" s="44" t="n"/>
      <c r="AI366" s="44" t="n"/>
      <c r="AJ366" s="44" t="n"/>
      <c r="AK366" s="44" t="n"/>
      <c r="AL366" s="44" t="n"/>
      <c r="AM366" s="44" t="n"/>
      <c r="AN366" s="44" t="n"/>
      <c r="AO366" s="44" t="n"/>
      <c r="AP366" s="44" t="n"/>
      <c r="AQ366" s="44" t="n"/>
      <c r="AR366" s="44" t="n"/>
      <c r="AS366" s="44" t="n"/>
      <c r="AT366" s="44" t="n"/>
      <c r="AU366" s="44" t="n"/>
      <c r="AV366" s="44" t="n"/>
      <c r="AW366" s="44" t="n"/>
      <c r="AX366" s="44" t="n"/>
      <c r="AY366" s="44" t="n"/>
      <c r="AZ366" s="44" t="n"/>
      <c r="BA366" s="44" t="n"/>
      <c r="BB366" s="44" t="n"/>
      <c r="BC366" s="44" t="n"/>
      <c r="BD366" s="44" t="n"/>
      <c r="BE366" s="44" t="n"/>
      <c r="BF366" s="44" t="n"/>
      <c r="BG366" s="44" t="n"/>
      <c r="BH366" s="44" t="n"/>
      <c r="BI366" s="44" t="n"/>
      <c r="BJ366" s="44" t="n"/>
      <c r="BK366" s="44" t="n"/>
      <c r="BL366" s="44" t="n"/>
      <c r="BM366" s="44" t="n"/>
      <c r="BN366" s="44" t="n"/>
      <c r="BO366" s="44" t="n"/>
      <c r="BP366" s="44" t="n"/>
      <c r="BQ366" s="44" t="n"/>
      <c r="BR366" s="44" t="n"/>
      <c r="BS366" s="44" t="n"/>
      <c r="BT366" s="44" t="n"/>
      <c r="BU366" s="44" t="n"/>
      <c r="BV366" s="44" t="n"/>
      <c r="BW366" s="44" t="n"/>
      <c r="BX366" s="44" t="n"/>
      <c r="BY366" s="153" t="n"/>
      <c r="BZ366" s="153" t="n"/>
      <c r="CA366" s="35" t="n"/>
      <c r="CB366" s="271" t="n">
        <v>0.08</v>
      </c>
      <c r="CC366" s="271" t="n">
        <v>0.08</v>
      </c>
      <c r="CD366" s="271" t="n">
        <v>0.08</v>
      </c>
      <c r="CE366" s="271" t="n">
        <v>0.08</v>
      </c>
      <c r="CF366" s="19" t="n"/>
    </row>
    <row r="367" ht="15" customHeight="1" s="251">
      <c r="B367" s="25" t="inlineStr">
        <is>
          <t>Debt schedule (senior notes repaid at maturity and refinanced; commercial paper drawn or repaid to a minimum cash balance)</t>
        </is>
      </c>
      <c r="CF367" s="153" t="n"/>
    </row>
    <row r="368" ht="15" customHeight="1" s="251">
      <c r="B368" s="69" t="inlineStr">
        <is>
          <t xml:space="preserve">  Total debt (short-term borrowings + current portion + long-term debt)</t>
        </is>
      </c>
      <c r="C368" s="261">
        <f>IF(ISNUMBER(C328),N(C324)+C328,"")</f>
        <v>300</v>
      </c>
      <c r="D368" s="261">
        <f>IF(ISNUMBER(D328),N(D324)+D328,"")</f>
        <v>1151.9</v>
      </c>
      <c r="E368" s="261">
        <f>IF(ISNUMBER(E328),N(E324)+E328,"")</f>
        <v>1467.7</v>
      </c>
      <c r="F368" s="261">
        <f>IF(ISNUMBER(F328),N(F324)+F328,"")</f>
        <v>1193.7</v>
      </c>
      <c r="G368" s="261">
        <f>IF(ISNUMBER(G328),N(G324)+G328,"")</f>
        <v>1239.6</v>
      </c>
      <c r="H368" s="261">
        <f>IF(ISNUMBER(H328),N(H324)+H328,"")</f>
        <v>1243.8</v>
      </c>
      <c r="I368" s="261">
        <f>IF(ISNUMBER(I328),N(I324)+I328,"")</f>
        <v>1671.2</v>
      </c>
      <c r="J368" s="261">
        <f>IF(ISNUMBER(J328),N(J324)+J328,"")</f>
        <v>1642.1</v>
      </c>
      <c r="K368" s="261">
        <f>IF(ISNUMBER(K328),N(K324)+K328,"")</f>
        <v>1605</v>
      </c>
      <c r="L368" s="261">
        <f>IF(ISNUMBER(L328),N(L324)+L328,"")</f>
        <v>2098.6</v>
      </c>
      <c r="M368" s="261">
        <f>IF(ISNUMBER(M328),N(M324)+M328,"")</f>
        <v>2101.8</v>
      </c>
      <c r="N368" s="261">
        <f>IF(ISNUMBER(N328),N(N324)+N328,"")</f>
        <v>2101.8</v>
      </c>
      <c r="O368" s="261">
        <f>IF(ISNUMBER(O328),N(O324)+O328,"")</f>
        <v>2097.5</v>
      </c>
      <c r="P368" s="261">
        <f>IF(ISNUMBER(P328),N(P324)+P328,"")</f>
        <v>2104.5</v>
      </c>
      <c r="Q368" s="261">
        <f>IF(ISNUMBER(Q328),N(Q324)+Q328,"")</f>
        <v>2536.5</v>
      </c>
      <c r="R368" s="261">
        <f>IF(ISNUMBER(R328),N(R324)+R328,"")</f>
        <v>2547.3</v>
      </c>
      <c r="S368" s="261">
        <f>IF(ISNUMBER(S328),N(S324)+S328,"")</f>
        <v>2547.3</v>
      </c>
      <c r="T368" s="261">
        <f>IF(ISNUMBER(T328),N(T324)+T328,"")</f>
        <v>3095.1</v>
      </c>
      <c r="U368" s="261">
        <f>IF(ISNUMBER(U328),N(U324)+U328,"")</f>
        <v>3106.1</v>
      </c>
      <c r="V368" s="261">
        <f>IF(ISNUMBER(V328),N(V324)+V328,"")</f>
        <v>3124.5</v>
      </c>
      <c r="W368" s="261">
        <f>IF(ISNUMBER(W328),N(W324)+W328,"")</f>
        <v>3401</v>
      </c>
      <c r="X368" s="261">
        <f>IF(ISNUMBER(X328),N(X324)+X328,"")</f>
        <v>3401</v>
      </c>
      <c r="Y368" s="261">
        <f>IF(ISNUMBER(Y328),N(Y324)+Y328,"")</f>
        <v>3428.6</v>
      </c>
      <c r="Z368" s="261">
        <f>IF(ISNUMBER(Z328),N(Z324)+Z328,"")</f>
        <v>3420.4</v>
      </c>
      <c r="AA368" s="261">
        <f>IF(ISNUMBER(AA328),N(AA324)+AA328,"")</f>
        <v>3418.1</v>
      </c>
      <c r="AB368" s="261">
        <f>IF(ISNUMBER(AB328),N(AB324)+AB328,"")</f>
        <v>3363</v>
      </c>
      <c r="AC368" s="261">
        <f>IF(ISNUMBER(AC328),N(AC324)+AC328,"")</f>
        <v>3363</v>
      </c>
      <c r="AD368" s="261">
        <f>IF(ISNUMBER(AD328),N(AD324)+AD328,"")</f>
        <v>4075.7</v>
      </c>
      <c r="AE368" s="261">
        <f>IF(ISNUMBER(AE328),N(AE324)+AE328,"")</f>
        <v>4887.1</v>
      </c>
      <c r="AF368" s="261">
        <f>IF(ISNUMBER(AF328),N(AF324)+AF328,"")</f>
        <v>5721.4</v>
      </c>
      <c r="AG368" s="261">
        <f>IF(ISNUMBER(AG328),N(AG324)+AG328,"")</f>
        <v>5540.5</v>
      </c>
      <c r="AH368" s="261">
        <f>IF(ISNUMBER(AH328),N(AH324)+AH328,"")</f>
        <v>5540.5</v>
      </c>
      <c r="AI368" s="261">
        <f>IF(ISNUMBER(AI328),N(AI324)+AI328,"")</f>
        <v>5507.6</v>
      </c>
      <c r="AJ368" s="261">
        <f>IF(ISNUMBER(AJ328),N(AJ324)+AJ328,"")</f>
        <v>5324</v>
      </c>
      <c r="AK368" s="261">
        <f>IF(ISNUMBER(AK328),N(AK324)+AK328,"")</f>
        <v>4954.5</v>
      </c>
      <c r="AL368" s="261">
        <f>IF(ISNUMBER(AL328),N(AL324)+AL328,"")</f>
        <v>5676</v>
      </c>
      <c r="AM368" s="261">
        <f>IF(ISNUMBER(AM328),N(AM324)+AM328,"")</f>
        <v>5676</v>
      </c>
      <c r="AN368" s="261">
        <f>IF(ISNUMBER(AN328),N(AN324)+AN328,"")</f>
        <v>5547.4</v>
      </c>
      <c r="AO368" s="261">
        <f>IF(ISNUMBER(AO328),N(AO324)+AO328,"")</f>
        <v>5387.9</v>
      </c>
      <c r="AP368" s="261">
        <f>IF(ISNUMBER(AP328),N(AP324)+AP328,"")</f>
        <v>5238</v>
      </c>
      <c r="AQ368" s="261">
        <f>IF(ISNUMBER(AQ328),N(AQ324)+AQ328,"")</f>
        <v>5581</v>
      </c>
      <c r="AR368" s="261">
        <f>IF(ISNUMBER(AR328),N(AR324)+AR328,"")</f>
        <v>5581</v>
      </c>
      <c r="AS368" s="261">
        <f>IF(ISNUMBER(AS328),N(AS324)+AS328,"")</f>
        <v>6788</v>
      </c>
      <c r="AT368" s="261">
        <f>IF(ISNUMBER(AT328),N(AT324)+AT328,"")</f>
        <v>6333</v>
      </c>
      <c r="AU368" s="261">
        <f>IF(ISNUMBER(AU328),N(AU324)+AU328,"")</f>
        <v>6363</v>
      </c>
      <c r="AV368" s="261">
        <f>IF(ISNUMBER(AV328),N(AV324)+AV328,"")</f>
        <v>6422</v>
      </c>
      <c r="AW368" s="261">
        <f>IF(ISNUMBER(AW328),N(AW324)+AW328,"")</f>
        <v>6422</v>
      </c>
      <c r="AX368" s="261">
        <f>IF(ISNUMBER(AX328),N(AX324)+AX328,"")</f>
        <v>6340</v>
      </c>
      <c r="AY368" s="261">
        <f>IF(ISNUMBER(AY328),N(AY324)+AY328,"")</f>
        <v>6355</v>
      </c>
      <c r="AZ368" s="261">
        <f>IF(ISNUMBER(AZ328),N(AZ324)+AZ328,"")</f>
        <v>7476</v>
      </c>
      <c r="BA368" s="261">
        <f>IF(ISNUMBER(BA328),N(BA324)+BA328,"")</f>
        <v>7413</v>
      </c>
      <c r="BB368" s="261">
        <f>IF(ISNUMBER(BB328),N(BB324)+BB328,"")</f>
        <v>7413</v>
      </c>
      <c r="BC368" s="261">
        <f>IF(ISNUMBER(BC328),N(BC324)+BC328,"")</f>
        <v>7786</v>
      </c>
      <c r="BD368" s="261">
        <f>IF(ISNUMBER(BD328),N(BD324)+BD328,"")</f>
        <v>7657</v>
      </c>
      <c r="BE368" s="261">
        <f>IF(ISNUMBER(BE328),N(BE324)+BE328,"")</f>
        <v>7476</v>
      </c>
      <c r="BF368" s="261">
        <f>IF(ISNUMBER(BF328),N(BF324)+BF328,"")</f>
        <v>7389</v>
      </c>
      <c r="BG368" s="261">
        <f>IF(ISNUMBER(BG328),N(BG324)+BG328,"")</f>
        <v>7389</v>
      </c>
      <c r="BH368" s="261">
        <f>IF(ISNUMBER(BH328),N(BH324)+BH328,"")</f>
        <v>7462</v>
      </c>
      <c r="BI368" s="261">
        <f>IF(ISNUMBER(BI328),N(BI324)+BI328,"")</f>
        <v>7223</v>
      </c>
      <c r="BJ368" s="261">
        <f>IF(ISNUMBER(BJ328),N(BJ324)+BJ328,"")</f>
        <v>6851</v>
      </c>
      <c r="BK368" s="261">
        <f>IF(ISNUMBER(BK328),N(BK324)+BK328,"")</f>
        <v>7001</v>
      </c>
      <c r="BL368" s="261">
        <f>IF(ISNUMBER(BL328),N(BL324)+BL328,"")</f>
        <v>7001</v>
      </c>
      <c r="BM368" s="261">
        <f>IF(ISNUMBER(BM328),N(BM324)+BM328,"")</f>
        <v>6944</v>
      </c>
      <c r="BN368" s="261">
        <f>IF(ISNUMBER(BN328),N(BN324)+BN328,"")</f>
        <v>6941</v>
      </c>
      <c r="BO368" s="261">
        <f>IF(ISNUMBER(BO328),N(BO324)+BO328,"")</f>
        <v>7569</v>
      </c>
      <c r="BP368" s="261">
        <f>IF(ISNUMBER(BP328),N(BP324)+BP328,"")</f>
        <v>7428</v>
      </c>
      <c r="BQ368" s="261">
        <f>IF(ISNUMBER(BQ328),N(BQ324)+BQ328,"")</f>
        <v>7428</v>
      </c>
      <c r="BR368" s="261">
        <f>IF(ISNUMBER(BR328),N(BR324)+BR328,"")</f>
        <v>6823</v>
      </c>
      <c r="BS368" s="261">
        <f>IF(ISNUMBER(BS328),N(BS324)+BS328,"")</f>
        <v>6967</v>
      </c>
      <c r="BT368" s="261">
        <f>IF(ISNUMBER(BT328),N(BT324)+BT328,"")</f>
        <v>6983</v>
      </c>
      <c r="BU368" s="261">
        <f>IF(ISNUMBER(BU328),N(BU324)+BU328,"")</f>
        <v>6994</v>
      </c>
      <c r="BV368" s="261">
        <f>IF(ISNUMBER(BV328),N(BV324)+BV328,"")</f>
        <v>6994</v>
      </c>
      <c r="BW368" s="261">
        <f>IF(ISNUMBER(BW328),N(BW324)+BW328,"")</f>
        <v>6963</v>
      </c>
      <c r="BX368" s="261">
        <f>IF(ISNUMBER(BX328),N(BX324)+BX328,"")</f>
        <v>6946</v>
      </c>
      <c r="BY368" s="153" t="n"/>
      <c r="BZ368" s="153" t="n"/>
      <c r="CA368" s="254">
        <f>CA369+CA375</f>
        <v>6946</v>
      </c>
      <c r="CB368" s="254">
        <f>CB369+CB375</f>
        <v>7446</v>
      </c>
      <c r="CC368" s="254">
        <f>CC369+CC375</f>
        <v>7946</v>
      </c>
      <c r="CD368" s="254">
        <f>CD369+CD375</f>
        <v>8446</v>
      </c>
      <c r="CE368" s="254">
        <f>CE369+CE375</f>
        <v>8946</v>
      </c>
      <c r="CF368" s="19" t="inlineStr">
        <is>
          <t>30-Jun-2026 (Q2-26 10-Q Note 13): 14 senior notes, $7,128m principal / $6,946m carrying value (current portion $571m = €500m 1.75% due Mar-2027); commercial paper programme $1.0bn undrawn; 2024 Credit Facility $1.25bn to May-2029 undrawn (covenant total debt / EBITDA ≤ 4.0x).</t>
        </is>
      </c>
    </row>
    <row r="369" ht="15" customHeight="1" s="251">
      <c r="B369" s="69" t="inlineStr">
        <is>
          <t xml:space="preserve">  Senior notes &amp; term loans (carrying value)</t>
        </is>
      </c>
      <c r="C369" s="253" t="n">
        <v>300</v>
      </c>
      <c r="D369" s="253" t="n">
        <v>600</v>
      </c>
      <c r="E369" s="253" t="n">
        <v>750</v>
      </c>
      <c r="F369" s="253" t="n">
        <v>750</v>
      </c>
      <c r="G369" s="253" t="n">
        <v>1239.6</v>
      </c>
      <c r="H369" s="253" t="n">
        <v>1243.8</v>
      </c>
      <c r="I369" s="253" t="n">
        <v>1671.2</v>
      </c>
      <c r="J369" s="253" t="n">
        <v>1642.1</v>
      </c>
      <c r="K369" s="253" t="n">
        <v>1605</v>
      </c>
      <c r="L369" s="253" t="n">
        <v>2098.6</v>
      </c>
      <c r="M369" s="253" t="n">
        <v>2101.8</v>
      </c>
      <c r="N369" s="253" t="n">
        <v>2101.8</v>
      </c>
      <c r="O369" s="253" t="n">
        <v>2097.5</v>
      </c>
      <c r="P369" s="253" t="n">
        <v>2104.5</v>
      </c>
      <c r="Q369" s="253" t="n">
        <v>2536.5</v>
      </c>
      <c r="R369" s="253" t="n">
        <v>2547.3</v>
      </c>
      <c r="S369" s="253" t="n">
        <v>2547.3</v>
      </c>
      <c r="T369" s="253" t="n">
        <v>3095.1</v>
      </c>
      <c r="U369" s="253" t="n">
        <v>3106.1</v>
      </c>
      <c r="V369" s="253" t="n">
        <v>3124.5</v>
      </c>
      <c r="W369" s="253" t="n">
        <v>3401</v>
      </c>
      <c r="X369" s="253" t="n">
        <v>3401</v>
      </c>
      <c r="Y369" s="253" t="n">
        <v>3428.6</v>
      </c>
      <c r="Z369" s="253" t="n">
        <v>3420.4</v>
      </c>
      <c r="AA369" s="253" t="n">
        <v>3418.1</v>
      </c>
      <c r="AB369" s="253" t="n">
        <v>3363</v>
      </c>
      <c r="AC369" s="253" t="n">
        <v>3363</v>
      </c>
      <c r="AD369" s="253" t="n">
        <v>3861.9</v>
      </c>
      <c r="AE369" s="253" t="n">
        <v>4887.1</v>
      </c>
      <c r="AF369" s="253" t="n">
        <v>5406.6</v>
      </c>
      <c r="AG369" s="253" t="n">
        <v>5410.6</v>
      </c>
      <c r="AH369" s="253" t="n">
        <v>5410.6</v>
      </c>
      <c r="AI369" s="253" t="n">
        <v>5417.7</v>
      </c>
      <c r="AJ369" s="253" t="n">
        <v>5234.1</v>
      </c>
      <c r="AK369" s="253" t="n">
        <v>4929.6</v>
      </c>
      <c r="AL369" s="253" t="n">
        <v>5676</v>
      </c>
      <c r="AM369" s="253" t="n">
        <v>5676</v>
      </c>
      <c r="AN369" s="253" t="n">
        <v>5228.6</v>
      </c>
      <c r="AO369" s="253" t="n">
        <v>5258</v>
      </c>
      <c r="AP369" s="253" t="n">
        <v>5238</v>
      </c>
      <c r="AQ369" s="253" t="n">
        <v>5581</v>
      </c>
      <c r="AR369" s="253" t="n">
        <v>5581</v>
      </c>
      <c r="AS369" s="253" t="n">
        <v>6303</v>
      </c>
      <c r="AT369" s="253" t="n">
        <v>6333</v>
      </c>
      <c r="AU369" s="253" t="n">
        <v>6363</v>
      </c>
      <c r="AV369" s="253" t="n">
        <v>6422</v>
      </c>
      <c r="AW369" s="253" t="n">
        <v>6422</v>
      </c>
      <c r="AX369" s="253" t="n">
        <v>6340</v>
      </c>
      <c r="AY369" s="253" t="n">
        <v>6355</v>
      </c>
      <c r="AZ369" s="253" t="n">
        <v>7476</v>
      </c>
      <c r="BA369" s="253" t="n">
        <v>7413</v>
      </c>
      <c r="BB369" s="253" t="n">
        <v>7413</v>
      </c>
      <c r="BC369" s="253" t="n">
        <v>7786</v>
      </c>
      <c r="BD369" s="253" t="n">
        <v>7657</v>
      </c>
      <c r="BE369" s="253" t="n">
        <v>7476</v>
      </c>
      <c r="BF369" s="253" t="n">
        <v>7389</v>
      </c>
      <c r="BG369" s="253" t="n">
        <v>7389</v>
      </c>
      <c r="BH369" s="253" t="n">
        <v>7462</v>
      </c>
      <c r="BI369" s="253" t="n">
        <v>7223</v>
      </c>
      <c r="BJ369" s="253" t="n">
        <v>6851</v>
      </c>
      <c r="BK369" s="253" t="n">
        <v>7001</v>
      </c>
      <c r="BL369" s="253" t="n">
        <v>7001</v>
      </c>
      <c r="BM369" s="253" t="n">
        <v>6944</v>
      </c>
      <c r="BN369" s="253" t="n">
        <v>6941</v>
      </c>
      <c r="BO369" s="253" t="n">
        <v>7569</v>
      </c>
      <c r="BP369" s="253" t="n">
        <v>7428</v>
      </c>
      <c r="BQ369" s="253" t="n">
        <v>7428</v>
      </c>
      <c r="BR369" s="253" t="n">
        <v>6823</v>
      </c>
      <c r="BS369" s="253" t="n">
        <v>6967</v>
      </c>
      <c r="BT369" s="253" t="n">
        <v>6983</v>
      </c>
      <c r="BU369" s="253" t="n">
        <v>6994</v>
      </c>
      <c r="BV369" s="253" t="n">
        <v>6994</v>
      </c>
      <c r="BW369" s="253" t="n">
        <v>6963</v>
      </c>
      <c r="BX369" s="253" t="n">
        <v>6946</v>
      </c>
      <c r="BY369" s="153" t="n"/>
      <c r="BZ369" s="153" t="n"/>
      <c r="CA369" s="254">
        <f>BX369-CA371+CA370</f>
        <v>6946</v>
      </c>
      <c r="CB369" s="254">
        <f>CA369-CB371+CB370</f>
        <v>7446</v>
      </c>
      <c r="CC369" s="254">
        <f>CB369-CC371+CC370</f>
        <v>7946</v>
      </c>
      <c r="CD369" s="254">
        <f>CC369-CD371+CD370</f>
        <v>8446</v>
      </c>
      <c r="CE369" s="254">
        <f>CD369-CE371+CE370</f>
        <v>8946</v>
      </c>
      <c r="CF369" s="19" t="n"/>
    </row>
    <row r="370" ht="15" customHeight="1" s="251">
      <c r="B370" s="69" t="inlineStr">
        <is>
          <t xml:space="preserve">  New notes issued (input)</t>
        </is>
      </c>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c r="AA370" s="44" t="n"/>
      <c r="AB370" s="44" t="n"/>
      <c r="AC370" s="44" t="n"/>
      <c r="AD370" s="44" t="n"/>
      <c r="AE370" s="44" t="n"/>
      <c r="AF370" s="44" t="n"/>
      <c r="AG370" s="44" t="n"/>
      <c r="AH370" s="44" t="n"/>
      <c r="AI370" s="44" t="n"/>
      <c r="AJ370" s="44" t="n"/>
      <c r="AK370" s="44" t="n"/>
      <c r="AL370" s="44" t="n"/>
      <c r="AM370" s="44" t="n"/>
      <c r="AN370" s="44" t="n"/>
      <c r="AO370" s="44" t="n"/>
      <c r="AP370" s="44" t="n"/>
      <c r="AQ370" s="44" t="n"/>
      <c r="AR370" s="44" t="n"/>
      <c r="AS370" s="44" t="n"/>
      <c r="AT370" s="44" t="n"/>
      <c r="AU370" s="44" t="n"/>
      <c r="AV370" s="44" t="n"/>
      <c r="AW370" s="44" t="n"/>
      <c r="AX370" s="44" t="n"/>
      <c r="AY370" s="44" t="n"/>
      <c r="AZ370" s="44" t="n"/>
      <c r="BA370" s="44" t="n"/>
      <c r="BB370" s="44" t="n"/>
      <c r="BC370" s="44" t="n"/>
      <c r="BD370" s="44" t="n"/>
      <c r="BE370" s="44" t="n"/>
      <c r="BF370" s="44" t="n"/>
      <c r="BG370" s="44" t="n"/>
      <c r="BH370" s="44" t="n"/>
      <c r="BI370" s="44" t="n"/>
      <c r="BJ370" s="44" t="n"/>
      <c r="BK370" s="44" t="n"/>
      <c r="BL370" s="44" t="n"/>
      <c r="BM370" s="44" t="n"/>
      <c r="BN370" s="44" t="n"/>
      <c r="BO370" s="44" t="n"/>
      <c r="BP370" s="44" t="n"/>
      <c r="BQ370" s="44" t="n"/>
      <c r="BR370" s="44" t="n"/>
      <c r="BS370" s="44" t="n"/>
      <c r="BT370" s="44" t="n"/>
      <c r="BU370" s="44" t="n"/>
      <c r="BV370" s="44" t="n"/>
      <c r="BW370" s="44" t="n"/>
      <c r="BX370" s="44" t="n"/>
      <c r="BY370" s="153" t="n"/>
      <c r="BZ370" s="153" t="n"/>
      <c r="CA370" s="279" t="n">
        <v>0</v>
      </c>
      <c r="CB370" s="279" t="n">
        <v>1071</v>
      </c>
      <c r="CC370" s="279" t="n">
        <v>1000</v>
      </c>
      <c r="CD370" s="279" t="n">
        <v>900</v>
      </c>
      <c r="CE370" s="279" t="n">
        <v>1357</v>
      </c>
      <c r="CF370" s="19" t="inlineStr">
        <is>
          <t>2027E+: maturities refinanced plus ~$500m p.a. of incremental notes so that gross debt grows with Adjusted Operating Income at the leverage target instead of drawing commercial paper above the $1.25bn backstop (assumption; Moody's refinanced most maturities since 2010, but repaid the $700m 2025 notes from cash).</t>
        </is>
      </c>
    </row>
    <row r="371" ht="15" customHeight="1" s="251">
      <c r="B371" s="69" t="inlineStr">
        <is>
          <t xml:space="preserve">  Notes repaid at maturity (input)</t>
        </is>
      </c>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c r="AA371" s="44" t="n"/>
      <c r="AB371" s="44" t="n"/>
      <c r="AC371" s="44" t="n"/>
      <c r="AD371" s="44" t="n"/>
      <c r="AE371" s="44" t="n"/>
      <c r="AF371" s="44" t="n"/>
      <c r="AG371" s="44" t="n"/>
      <c r="AH371" s="44" t="n"/>
      <c r="AI371" s="44" t="n"/>
      <c r="AJ371" s="44" t="n"/>
      <c r="AK371" s="44" t="n"/>
      <c r="AL371" s="44" t="n"/>
      <c r="AM371" s="44" t="n"/>
      <c r="AN371" s="44" t="n"/>
      <c r="AO371" s="44" t="n"/>
      <c r="AP371" s="44" t="n"/>
      <c r="AQ371" s="44" t="n"/>
      <c r="AR371" s="44" t="n"/>
      <c r="AS371" s="44" t="n"/>
      <c r="AT371" s="44" t="n"/>
      <c r="AU371" s="44" t="n"/>
      <c r="AV371" s="44" t="n"/>
      <c r="AW371" s="44" t="n"/>
      <c r="AX371" s="44" t="n"/>
      <c r="AY371" s="44" t="n"/>
      <c r="AZ371" s="44" t="n"/>
      <c r="BA371" s="44" t="n"/>
      <c r="BB371" s="44" t="n"/>
      <c r="BC371" s="44" t="n"/>
      <c r="BD371" s="44" t="n"/>
      <c r="BE371" s="44" t="n"/>
      <c r="BF371" s="44" t="n"/>
      <c r="BG371" s="44" t="n"/>
      <c r="BH371" s="44" t="n"/>
      <c r="BI371" s="44" t="n"/>
      <c r="BJ371" s="44" t="n"/>
      <c r="BK371" s="44" t="n"/>
      <c r="BL371" s="44" t="n"/>
      <c r="BM371" s="44" t="n"/>
      <c r="BN371" s="44" t="n"/>
      <c r="BO371" s="44" t="n"/>
      <c r="BP371" s="44" t="n"/>
      <c r="BQ371" s="44" t="n"/>
      <c r="BR371" s="44" t="n"/>
      <c r="BS371" s="44" t="n"/>
      <c r="BT371" s="44" t="n"/>
      <c r="BU371" s="44" t="n"/>
      <c r="BV371" s="44" t="n"/>
      <c r="BW371" s="44" t="n"/>
      <c r="BX371" s="44" t="n"/>
      <c r="BY371" s="153" t="n"/>
      <c r="BZ371" s="153" t="n"/>
      <c r="CA371" s="279" t="n">
        <v>0</v>
      </c>
      <c r="CB371" s="279" t="n">
        <v>571</v>
      </c>
      <c r="CC371" s="279" t="n">
        <v>500</v>
      </c>
      <c r="CD371" s="279" t="n">
        <v>400</v>
      </c>
      <c r="CE371" s="279" t="n">
        <v>857</v>
      </c>
      <c r="CF371" s="19" t="inlineStr">
        <is>
          <t>Maturities (Q2-26 10-Q Note 13): Mar-2027 €500m 1.75% ($571m at 30-Jun-2026 FX); Jan-2028 $500m 3.25%; Feb-2029 $400m 4.25%; Feb-2030 €750m 0.95% ($857m); Aug-2031 $600m 2.00%; then 2032–2061. EUR notes held at 30-Jun-2026 FX (assumption).</t>
        </is>
      </c>
    </row>
    <row r="372" ht="15" customHeight="1" s="251">
      <c r="B372" s="69" t="inlineStr">
        <is>
          <t xml:space="preserve">  Maturities in the following year (current portion)</t>
        </is>
      </c>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c r="AA372" s="44" t="n"/>
      <c r="AB372" s="44" t="n"/>
      <c r="AC372" s="44" t="n"/>
      <c r="AD372" s="44" t="n"/>
      <c r="AE372" s="44" t="n"/>
      <c r="AF372" s="44" t="n"/>
      <c r="AG372" s="44" t="n"/>
      <c r="AH372" s="44" t="n"/>
      <c r="AI372" s="44" t="n"/>
      <c r="AJ372" s="44" t="n"/>
      <c r="AK372" s="44" t="n"/>
      <c r="AL372" s="44" t="n"/>
      <c r="AM372" s="44" t="n"/>
      <c r="AN372" s="44" t="n"/>
      <c r="AO372" s="44" t="n"/>
      <c r="AP372" s="44" t="n"/>
      <c r="AQ372" s="44" t="n"/>
      <c r="AR372" s="44" t="n"/>
      <c r="AS372" s="44" t="n"/>
      <c r="AT372" s="44" t="n"/>
      <c r="AU372" s="44" t="n"/>
      <c r="AV372" s="44" t="n"/>
      <c r="AW372" s="44" t="n"/>
      <c r="AX372" s="44" t="n"/>
      <c r="AY372" s="44" t="n"/>
      <c r="AZ372" s="44" t="n"/>
      <c r="BA372" s="44" t="n"/>
      <c r="BB372" s="44" t="n"/>
      <c r="BC372" s="44" t="n"/>
      <c r="BD372" s="44" t="n"/>
      <c r="BE372" s="44" t="n"/>
      <c r="BF372" s="44" t="n"/>
      <c r="BG372" s="44" t="n"/>
      <c r="BH372" s="44" t="n"/>
      <c r="BI372" s="44" t="n"/>
      <c r="BJ372" s="44" t="n"/>
      <c r="BK372" s="44" t="n"/>
      <c r="BL372" s="44" t="n"/>
      <c r="BM372" s="44" t="n"/>
      <c r="BN372" s="44" t="n"/>
      <c r="BO372" s="44" t="n"/>
      <c r="BP372" s="44" t="n"/>
      <c r="BQ372" s="44" t="n"/>
      <c r="BR372" s="44" t="n"/>
      <c r="BS372" s="44" t="n"/>
      <c r="BT372" s="44" t="n"/>
      <c r="BU372" s="44" t="n"/>
      <c r="BV372" s="44" t="n"/>
      <c r="BW372" s="44" t="n"/>
      <c r="BX372" s="44" t="n"/>
      <c r="BY372" s="153" t="n"/>
      <c r="BZ372" s="153" t="n"/>
      <c r="CA372" s="279" t="n">
        <v>571</v>
      </c>
      <c r="CB372" s="279" t="n">
        <v>500</v>
      </c>
      <c r="CC372" s="279" t="n">
        <v>400</v>
      </c>
      <c r="CD372" s="279" t="n">
        <v>857</v>
      </c>
      <c r="CE372" s="279" t="n">
        <v>0</v>
      </c>
      <c r="CF372" s="19" t="n"/>
    </row>
    <row r="373" ht="15" customHeight="1" s="251">
      <c r="B373" s="69" t="inlineStr">
        <is>
          <t xml:space="preserve">  Cash before commercial paper (opening cash + CFO + CFI + buybacks, dividends, equity, other financing + FX − notes repaid + issued)</t>
        </is>
      </c>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c r="AA373" s="44" t="n"/>
      <c r="AB373" s="44" t="n"/>
      <c r="AC373" s="44" t="n"/>
      <c r="AD373" s="44" t="n"/>
      <c r="AE373" s="44" t="n"/>
      <c r="AF373" s="44" t="n"/>
      <c r="AG373" s="44" t="n"/>
      <c r="AH373" s="44" t="n"/>
      <c r="AI373" s="44" t="n"/>
      <c r="AJ373" s="44" t="n"/>
      <c r="AK373" s="44" t="n"/>
      <c r="AL373" s="44" t="n"/>
      <c r="AM373" s="44" t="n"/>
      <c r="AN373" s="44" t="n"/>
      <c r="AO373" s="44" t="n"/>
      <c r="AP373" s="44" t="n"/>
      <c r="AQ373" s="44" t="n"/>
      <c r="AR373" s="44" t="n"/>
      <c r="AS373" s="44" t="n"/>
      <c r="AT373" s="44" t="n"/>
      <c r="AU373" s="44" t="n"/>
      <c r="AV373" s="44" t="n"/>
      <c r="AW373" s="44" t="n"/>
      <c r="AX373" s="44" t="n"/>
      <c r="AY373" s="44" t="n"/>
      <c r="AZ373" s="44" t="n"/>
      <c r="BA373" s="44" t="n"/>
      <c r="BB373" s="44" t="n"/>
      <c r="BC373" s="44" t="n"/>
      <c r="BD373" s="44" t="n"/>
      <c r="BE373" s="44" t="n"/>
      <c r="BF373" s="44" t="n"/>
      <c r="BG373" s="44" t="n"/>
      <c r="BH373" s="44" t="n"/>
      <c r="BI373" s="44" t="n"/>
      <c r="BJ373" s="44" t="n"/>
      <c r="BK373" s="44" t="n"/>
      <c r="BL373" s="44" t="n"/>
      <c r="BM373" s="44" t="n"/>
      <c r="BN373" s="44" t="n"/>
      <c r="BO373" s="44" t="n"/>
      <c r="BP373" s="44" t="n"/>
      <c r="BQ373" s="44" t="n"/>
      <c r="BR373" s="44" t="n"/>
      <c r="BS373" s="44" t="n"/>
      <c r="BT373" s="44" t="n"/>
      <c r="BU373" s="44" t="n"/>
      <c r="BV373" s="44" t="n"/>
      <c r="BW373" s="44" t="n"/>
      <c r="BX373" s="44" t="n"/>
      <c r="BY373" s="153" t="n"/>
      <c r="BZ373" s="153" t="n"/>
      <c r="CA373" s="254">
        <f>BX312+(CA269-SUM(BW269:BX269))+(CA274-SUM(BW274:BX274))+(CA275-SUM(BW275:BX275))+(CA276-SUM(BW276:BX276))+(CA277-SUM(BW277:BX277))+(CA279-SUM(BW279:BX279))+(CA281-SUM(BW281:BX281))-CA371+CA370</f>
        <v>1925.95078142087</v>
      </c>
      <c r="CB373" s="254">
        <f>CB283+CB269+CB274+CB275+CB276+CB277+CB279+CB281-CB371+CB370</f>
        <v>1587.3678536528</v>
      </c>
      <c r="CC373" s="254">
        <f>CC283+CC269+CC274+CC275+CC276+CC277+CC279+CC281-CC371+CC370</f>
        <v>1629.47264618012</v>
      </c>
      <c r="CD373" s="254">
        <f>CD283+CD269+CD274+CD275+CD276+CD277+CD279+CD281-CD371+CD370</f>
        <v>1653.77140516916</v>
      </c>
      <c r="CE373" s="254">
        <f>CE283+CE269+CE274+CE275+CE276+CE277+CE279+CE281-CE371+CE370</f>
        <v>1675.18289151881</v>
      </c>
      <c r="CF373" s="19" t="n"/>
    </row>
    <row r="374" ht="15" customHeight="1" s="251">
      <c r="B374" s="69" t="inlineStr">
        <is>
          <t xml:space="preserve">  Minimum cash balance</t>
        </is>
      </c>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c r="AA374" s="44" t="n"/>
      <c r="AB374" s="44" t="n"/>
      <c r="AC374" s="44" t="n"/>
      <c r="AD374" s="44" t="n"/>
      <c r="AE374" s="44" t="n"/>
      <c r="AF374" s="44" t="n"/>
      <c r="AG374" s="44" t="n"/>
      <c r="AH374" s="44" t="n"/>
      <c r="AI374" s="44" t="n"/>
      <c r="AJ374" s="44" t="n"/>
      <c r="AK374" s="44" t="n"/>
      <c r="AL374" s="44" t="n"/>
      <c r="AM374" s="44" t="n"/>
      <c r="AN374" s="44" t="n"/>
      <c r="AO374" s="44" t="n"/>
      <c r="AP374" s="44" t="n"/>
      <c r="AQ374" s="44" t="n"/>
      <c r="AR374" s="44" t="n"/>
      <c r="AS374" s="44" t="n"/>
      <c r="AT374" s="44" t="n"/>
      <c r="AU374" s="44" t="n"/>
      <c r="AV374" s="44" t="n"/>
      <c r="AW374" s="44" t="n"/>
      <c r="AX374" s="44" t="n"/>
      <c r="AY374" s="44" t="n"/>
      <c r="AZ374" s="44" t="n"/>
      <c r="BA374" s="44" t="n"/>
      <c r="BB374" s="44" t="n"/>
      <c r="BC374" s="44" t="n"/>
      <c r="BD374" s="44" t="n"/>
      <c r="BE374" s="44" t="n"/>
      <c r="BF374" s="44" t="n"/>
      <c r="BG374" s="44" t="n"/>
      <c r="BH374" s="44" t="n"/>
      <c r="BI374" s="44" t="n"/>
      <c r="BJ374" s="44" t="n"/>
      <c r="BK374" s="44" t="n"/>
      <c r="BL374" s="44" t="n"/>
      <c r="BM374" s="44" t="n"/>
      <c r="BN374" s="44" t="n"/>
      <c r="BO374" s="44" t="n"/>
      <c r="BP374" s="44" t="n"/>
      <c r="BQ374" s="44" t="n"/>
      <c r="BR374" s="44" t="n"/>
      <c r="BS374" s="44" t="n"/>
      <c r="BT374" s="44" t="n"/>
      <c r="BU374" s="44" t="n"/>
      <c r="BV374" s="44" t="n"/>
      <c r="BW374" s="44" t="n"/>
      <c r="BX374" s="44" t="n"/>
      <c r="BY374" s="153" t="n"/>
      <c r="BZ374" s="153" t="n"/>
      <c r="CA374" s="279" t="n">
        <v>1500</v>
      </c>
      <c r="CB374" s="279" t="n">
        <v>1500</v>
      </c>
      <c r="CC374" s="279" t="n">
        <v>1500</v>
      </c>
      <c r="CD374" s="279" t="n">
        <v>1500</v>
      </c>
      <c r="CE374" s="279" t="n">
        <v>1500</v>
      </c>
      <c r="CF374" s="19" t="inlineStr">
        <is>
          <t>Moody's holds ~$1.5–2.5bn of cash and short-term investments (≈ half outside the US); $1.5bn floor (assumption).</t>
        </is>
      </c>
    </row>
    <row r="375" ht="15" customHeight="1" s="251">
      <c r="B375" s="69" t="inlineStr">
        <is>
          <t xml:space="preserve">  Commercial paper / revolver (year end)</t>
        </is>
      </c>
      <c r="C375" s="253" t="n">
        <v>0</v>
      </c>
      <c r="D375" s="253" t="n">
        <v>551.9</v>
      </c>
      <c r="E375" s="253" t="n">
        <v>717.7</v>
      </c>
      <c r="F375" s="253" t="n">
        <v>443.7</v>
      </c>
      <c r="G375" s="253" t="n">
        <v>0</v>
      </c>
      <c r="H375" s="253" t="n">
        <v>0</v>
      </c>
      <c r="I375" s="253" t="n">
        <v>0</v>
      </c>
      <c r="J375" s="253" t="n">
        <v>0</v>
      </c>
      <c r="K375" s="253" t="n">
        <v>0</v>
      </c>
      <c r="L375" s="253" t="n">
        <v>0</v>
      </c>
      <c r="M375" s="253" t="n">
        <v>0</v>
      </c>
      <c r="N375" s="253" t="n">
        <v>0</v>
      </c>
      <c r="O375" s="253" t="n">
        <v>0</v>
      </c>
      <c r="P375" s="253" t="n">
        <v>0</v>
      </c>
      <c r="Q375" s="253" t="n">
        <v>0</v>
      </c>
      <c r="R375" s="253" t="n">
        <v>0</v>
      </c>
      <c r="S375" s="253" t="n">
        <v>0</v>
      </c>
      <c r="T375" s="253" t="n">
        <v>0</v>
      </c>
      <c r="U375" s="253" t="n">
        <v>0</v>
      </c>
      <c r="V375" s="253" t="n">
        <v>0</v>
      </c>
      <c r="W375" s="253" t="n">
        <v>0</v>
      </c>
      <c r="X375" s="253" t="n">
        <v>0</v>
      </c>
      <c r="Y375" s="253" t="n">
        <v>0</v>
      </c>
      <c r="Z375" s="253" t="n">
        <v>0</v>
      </c>
      <c r="AA375" s="253" t="n">
        <v>0</v>
      </c>
      <c r="AB375" s="253" t="n">
        <v>0</v>
      </c>
      <c r="AC375" s="253" t="n">
        <v>0</v>
      </c>
      <c r="AD375" s="253" t="n">
        <v>213.8</v>
      </c>
      <c r="AE375" s="253" t="n">
        <v>0</v>
      </c>
      <c r="AF375" s="253" t="n">
        <v>314.8</v>
      </c>
      <c r="AG375" s="253" t="n">
        <v>129.9</v>
      </c>
      <c r="AH375" s="253" t="n">
        <v>129.9</v>
      </c>
      <c r="AI375" s="253" t="n">
        <v>89.90000000000001</v>
      </c>
      <c r="AJ375" s="253" t="n">
        <v>89.90000000000001</v>
      </c>
      <c r="AK375" s="253" t="n">
        <v>24.9</v>
      </c>
      <c r="AL375" s="253" t="n">
        <v>0</v>
      </c>
      <c r="AM375" s="253" t="n">
        <v>0</v>
      </c>
      <c r="AN375" s="253" t="n">
        <v>318.8</v>
      </c>
      <c r="AO375" s="253" t="n">
        <v>129.9</v>
      </c>
      <c r="AP375" s="253" t="n">
        <v>0</v>
      </c>
      <c r="AQ375" s="253" t="n">
        <v>0</v>
      </c>
      <c r="AR375" s="253" t="n">
        <v>0</v>
      </c>
      <c r="AS375" s="253" t="n">
        <v>485</v>
      </c>
      <c r="AT375" s="253" t="n">
        <v>0</v>
      </c>
      <c r="AU375" s="253" t="n">
        <v>0</v>
      </c>
      <c r="AV375" s="253" t="n">
        <v>0</v>
      </c>
      <c r="AW375" s="253" t="n">
        <v>0</v>
      </c>
      <c r="AX375" s="253" t="n">
        <v>0</v>
      </c>
      <c r="AY375" s="253" t="n">
        <v>0</v>
      </c>
      <c r="AZ375" s="253" t="n">
        <v>0</v>
      </c>
      <c r="BA375" s="253" t="n">
        <v>0</v>
      </c>
      <c r="BB375" s="253" t="n">
        <v>0</v>
      </c>
      <c r="BC375" s="253" t="n">
        <v>0</v>
      </c>
      <c r="BD375" s="253" t="n">
        <v>0</v>
      </c>
      <c r="BE375" s="253" t="n">
        <v>0</v>
      </c>
      <c r="BF375" s="253" t="n">
        <v>0</v>
      </c>
      <c r="BG375" s="253" t="n">
        <v>0</v>
      </c>
      <c r="BH375" s="253" t="n">
        <v>0</v>
      </c>
      <c r="BI375" s="253" t="n">
        <v>0</v>
      </c>
      <c r="BJ375" s="253" t="n">
        <v>0</v>
      </c>
      <c r="BK375" s="253" t="n">
        <v>0</v>
      </c>
      <c r="BL375" s="253" t="n">
        <v>0</v>
      </c>
      <c r="BM375" s="253" t="n">
        <v>0</v>
      </c>
      <c r="BN375" s="253" t="n">
        <v>0</v>
      </c>
      <c r="BO375" s="253" t="n">
        <v>0</v>
      </c>
      <c r="BP375" s="253" t="n">
        <v>0</v>
      </c>
      <c r="BQ375" s="253" t="n">
        <v>0</v>
      </c>
      <c r="BR375" s="253" t="n">
        <v>0</v>
      </c>
      <c r="BS375" s="253" t="n">
        <v>0</v>
      </c>
      <c r="BT375" s="253" t="n">
        <v>0</v>
      </c>
      <c r="BU375" s="253" t="n">
        <v>0</v>
      </c>
      <c r="BV375" s="253" t="n">
        <v>0</v>
      </c>
      <c r="BW375" s="253" t="n">
        <v>0</v>
      </c>
      <c r="BX375" s="253" t="n">
        <v>0</v>
      </c>
      <c r="BY375" s="153" t="n"/>
      <c r="BZ375" s="153" t="n"/>
      <c r="CA375" s="254">
        <f>MAX(0,BX375+CA374-CA373)</f>
        <v>0</v>
      </c>
      <c r="CB375" s="254">
        <f>MAX(0,CA375+CB374-CB373)</f>
        <v>0</v>
      </c>
      <c r="CC375" s="254">
        <f>MAX(0,CB375+CC374-CC373)</f>
        <v>0</v>
      </c>
      <c r="CD375" s="254">
        <f>MAX(0,CC375+CD374-CD373)</f>
        <v>0</v>
      </c>
      <c r="CE375" s="254">
        <f>MAX(0,CD375+CE374-CE373)</f>
        <v>0</v>
      </c>
      <c r="CF375" s="19" t="inlineStr">
        <is>
          <t>Commercial paper ($1.0bn programme, backstopped by the $1.25bn 2024 Credit Facility; nil at 30-Jun-2026) is drawn when cash would fall below the minimum balance and repaid from surplus cash.</t>
        </is>
      </c>
    </row>
    <row r="376" ht="15" customHeight="1" s="251">
      <c r="B376" s="156" t="inlineStr">
        <is>
          <t xml:space="preserve">  Memo: headroom vs the $1,250m revolving credit facility backing commercial paper (negative = would need other financing)</t>
        </is>
      </c>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c r="AA376" s="44" t="n"/>
      <c r="AB376" s="44" t="n"/>
      <c r="AC376" s="44" t="n"/>
      <c r="AD376" s="44" t="n"/>
      <c r="AE376" s="44" t="n"/>
      <c r="AF376" s="44" t="n"/>
      <c r="AG376" s="44" t="n"/>
      <c r="AH376" s="44" t="n"/>
      <c r="AI376" s="44" t="n"/>
      <c r="AJ376" s="44" t="n"/>
      <c r="AK376" s="44" t="n"/>
      <c r="AL376" s="44" t="n"/>
      <c r="AM376" s="44" t="n"/>
      <c r="AN376" s="44" t="n"/>
      <c r="AO376" s="44" t="n"/>
      <c r="AP376" s="44" t="n"/>
      <c r="AQ376" s="44" t="n"/>
      <c r="AR376" s="44" t="n"/>
      <c r="AS376" s="44" t="n"/>
      <c r="AT376" s="44" t="n"/>
      <c r="AU376" s="44" t="n"/>
      <c r="AV376" s="44" t="n"/>
      <c r="AW376" s="44" t="n"/>
      <c r="AX376" s="44" t="n"/>
      <c r="AY376" s="44" t="n"/>
      <c r="AZ376" s="44" t="n"/>
      <c r="BA376" s="44" t="n"/>
      <c r="BB376" s="44" t="n"/>
      <c r="BC376" s="44" t="n"/>
      <c r="BD376" s="44" t="n"/>
      <c r="BE376" s="44" t="n"/>
      <c r="BF376" s="44" t="n"/>
      <c r="BG376" s="44" t="n"/>
      <c r="BH376" s="44" t="n"/>
      <c r="BI376" s="44" t="n"/>
      <c r="BJ376" s="44" t="n"/>
      <c r="BK376" s="44" t="n"/>
      <c r="BL376" s="44" t="n"/>
      <c r="BM376" s="44" t="n"/>
      <c r="BN376" s="44" t="n"/>
      <c r="BO376" s="44" t="n"/>
      <c r="BP376" s="44" t="n"/>
      <c r="BQ376" s="44" t="n"/>
      <c r="BR376" s="44" t="n"/>
      <c r="BS376" s="44" t="n"/>
      <c r="BT376" s="44" t="n"/>
      <c r="BU376" s="44" t="n"/>
      <c r="BV376" s="44" t="n"/>
      <c r="BW376" s="44" t="n"/>
      <c r="BX376" s="44" t="n"/>
      <c r="BY376" s="35" t="n"/>
      <c r="BZ376" s="35" t="n"/>
      <c r="CA376" s="254">
        <f>1250.0-CA375</f>
        <v>1250</v>
      </c>
      <c r="CB376" s="254">
        <f>1250.0-CB375</f>
        <v>1250</v>
      </c>
      <c r="CC376" s="254">
        <f>1250.0-CC375</f>
        <v>1250</v>
      </c>
      <c r="CD376" s="254">
        <f>1250.0-CD375</f>
        <v>1250</v>
      </c>
      <c r="CE376" s="254">
        <f>1250.0-CE375</f>
        <v>1250</v>
      </c>
      <c r="CF376" s="153" t="n"/>
    </row>
    <row r="377" ht="15" customHeight="1" s="251">
      <c r="B377" s="69" t="inlineStr">
        <is>
          <t xml:space="preserve">  Net issuance / (repayment)</t>
        </is>
      </c>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c r="AA377" s="44" t="n"/>
      <c r="AB377" s="44" t="n"/>
      <c r="AC377" s="44" t="n"/>
      <c r="AD377" s="44" t="n"/>
      <c r="AE377" s="44" t="n"/>
      <c r="AF377" s="44" t="n"/>
      <c r="AG377" s="44" t="n"/>
      <c r="AH377" s="44" t="n"/>
      <c r="AI377" s="44" t="n"/>
      <c r="AJ377" s="44" t="n"/>
      <c r="AK377" s="44" t="n"/>
      <c r="AL377" s="44" t="n"/>
      <c r="AM377" s="44" t="n"/>
      <c r="AN377" s="44" t="n"/>
      <c r="AO377" s="44" t="n"/>
      <c r="AP377" s="44" t="n"/>
      <c r="AQ377" s="44" t="n"/>
      <c r="AR377" s="44" t="n"/>
      <c r="AS377" s="44" t="n"/>
      <c r="AT377" s="44" t="n"/>
      <c r="AU377" s="44" t="n"/>
      <c r="AV377" s="44" t="n"/>
      <c r="AW377" s="44" t="n"/>
      <c r="AX377" s="44" t="n"/>
      <c r="AY377" s="44" t="n"/>
      <c r="AZ377" s="44" t="n"/>
      <c r="BA377" s="44" t="n"/>
      <c r="BB377" s="44" t="n"/>
      <c r="BC377" s="44" t="n"/>
      <c r="BD377" s="44" t="n"/>
      <c r="BE377" s="44" t="n"/>
      <c r="BF377" s="44" t="n"/>
      <c r="BG377" s="44" t="n"/>
      <c r="BH377" s="44" t="n"/>
      <c r="BI377" s="44" t="n"/>
      <c r="BJ377" s="44" t="n"/>
      <c r="BK377" s="44" t="n"/>
      <c r="BL377" s="44" t="n"/>
      <c r="BM377" s="44" t="n"/>
      <c r="BN377" s="44" t="n"/>
      <c r="BO377" s="44" t="n"/>
      <c r="BP377" s="44" t="n"/>
      <c r="BQ377" s="44" t="n"/>
      <c r="BR377" s="44" t="n"/>
      <c r="BS377" s="44" t="n"/>
      <c r="BT377" s="44" t="n"/>
      <c r="BU377" s="44" t="n"/>
      <c r="BV377" s="44" t="n"/>
      <c r="BW377" s="44" t="n"/>
      <c r="BX377" s="44" t="n"/>
      <c r="BY377" s="153" t="n"/>
      <c r="BZ377" s="153" t="n"/>
      <c r="CA377" s="254">
        <f>IFERROR(CA368-BV368,"")</f>
        <v>-48</v>
      </c>
      <c r="CB377" s="254">
        <f>IFERROR(CB368-CA368,"")</f>
        <v>500</v>
      </c>
      <c r="CC377" s="254">
        <f>IFERROR(CC368-CB368,"")</f>
        <v>500</v>
      </c>
      <c r="CD377" s="254">
        <f>IFERROR(CD368-CC368,"")</f>
        <v>500</v>
      </c>
      <c r="CE377" s="254">
        <f>IFERROR(CE368-CD368,"")</f>
        <v>500</v>
      </c>
      <c r="CF377" s="19" t="n"/>
    </row>
    <row r="378" ht="15" customHeight="1" s="251">
      <c r="B378" s="69" t="inlineStr">
        <is>
          <t xml:space="preserve">  Interest rate on opening notes %</t>
        </is>
      </c>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c r="AA378" s="44" t="n"/>
      <c r="AB378" s="44" t="n"/>
      <c r="AC378" s="44" t="n"/>
      <c r="AD378" s="44" t="n"/>
      <c r="AE378" s="44" t="n"/>
      <c r="AF378" s="44" t="n"/>
      <c r="AG378" s="44" t="n"/>
      <c r="AH378" s="44" t="n"/>
      <c r="AI378" s="44" t="n"/>
      <c r="AJ378" s="44" t="n"/>
      <c r="AK378" s="44" t="n"/>
      <c r="AL378" s="44" t="n"/>
      <c r="AM378" s="44" t="n"/>
      <c r="AN378" s="44" t="n"/>
      <c r="AO378" s="44" t="n"/>
      <c r="AP378" s="44" t="n"/>
      <c r="AQ378" s="44" t="n"/>
      <c r="AR378" s="44" t="n"/>
      <c r="AS378" s="44" t="n"/>
      <c r="AT378" s="44" t="n"/>
      <c r="AU378" s="44" t="n"/>
      <c r="AV378" s="44" t="n"/>
      <c r="AW378" s="44" t="n"/>
      <c r="AX378" s="44" t="n"/>
      <c r="AY378" s="44" t="n"/>
      <c r="AZ378" s="44" t="n"/>
      <c r="BA378" s="44" t="n"/>
      <c r="BB378" s="44" t="n"/>
      <c r="BC378" s="44" t="n"/>
      <c r="BD378" s="44" t="n"/>
      <c r="BE378" s="44" t="n"/>
      <c r="BF378" s="44" t="n"/>
      <c r="BG378" s="44" t="n"/>
      <c r="BH378" s="44" t="n"/>
      <c r="BI378" s="44" t="n"/>
      <c r="BJ378" s="44" t="n"/>
      <c r="BK378" s="44" t="n"/>
      <c r="BL378" s="44" t="n"/>
      <c r="BM378" s="44" t="n"/>
      <c r="BN378" s="44" t="n"/>
      <c r="BO378" s="44" t="n"/>
      <c r="BP378" s="44" t="n"/>
      <c r="BQ378" s="44" t="n"/>
      <c r="BR378" s="44" t="n"/>
      <c r="BS378" s="44" t="n"/>
      <c r="BT378" s="44" t="n"/>
      <c r="BU378" s="44" t="n"/>
      <c r="BV378" s="44" t="n"/>
      <c r="BW378" s="44" t="n"/>
      <c r="BX378" s="44" t="n"/>
      <c r="BY378" s="153" t="n"/>
      <c r="BZ378" s="153" t="n"/>
      <c r="CA378" s="35" t="n"/>
      <c r="CB378" s="271" t="n">
        <v>0.034</v>
      </c>
      <c r="CC378" s="271" t="n">
        <v>0.036</v>
      </c>
      <c r="CD378" s="271" t="n">
        <v>0.037</v>
      </c>
      <c r="CE378" s="271" t="n">
        <v>0.039</v>
      </c>
      <c r="CF378" s="19" t="inlineStr">
        <is>
          <t>Weighted coupon ~3.3% on $7.1bn of notes (0.95–5.25%), raised by the receive-fixed / pay-floating swaps ($1.75bn notional) and net investment hedges; expense on borrowings 1H26 $110m (~3.2% annualised). Refinancing at ~5% lifts the rate as low-coupon EUR notes mature (assumption).</t>
        </is>
      </c>
    </row>
    <row r="379" ht="15" customHeight="1" s="251">
      <c r="B379" s="69" t="inlineStr">
        <is>
          <t xml:space="preserve">  Interest rate on opening commercial paper %</t>
        </is>
      </c>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c r="AA379" s="44" t="n"/>
      <c r="AB379" s="44" t="n"/>
      <c r="AC379" s="44" t="n"/>
      <c r="AD379" s="44" t="n"/>
      <c r="AE379" s="44" t="n"/>
      <c r="AF379" s="44" t="n"/>
      <c r="AG379" s="44" t="n"/>
      <c r="AH379" s="44" t="n"/>
      <c r="AI379" s="44" t="n"/>
      <c r="AJ379" s="44" t="n"/>
      <c r="AK379" s="44" t="n"/>
      <c r="AL379" s="44" t="n"/>
      <c r="AM379" s="44" t="n"/>
      <c r="AN379" s="44" t="n"/>
      <c r="AO379" s="44" t="n"/>
      <c r="AP379" s="44" t="n"/>
      <c r="AQ379" s="44" t="n"/>
      <c r="AR379" s="44" t="n"/>
      <c r="AS379" s="44" t="n"/>
      <c r="AT379" s="44" t="n"/>
      <c r="AU379" s="44" t="n"/>
      <c r="AV379" s="44" t="n"/>
      <c r="AW379" s="44" t="n"/>
      <c r="AX379" s="44" t="n"/>
      <c r="AY379" s="44" t="n"/>
      <c r="AZ379" s="44" t="n"/>
      <c r="BA379" s="44" t="n"/>
      <c r="BB379" s="44" t="n"/>
      <c r="BC379" s="44" t="n"/>
      <c r="BD379" s="44" t="n"/>
      <c r="BE379" s="44" t="n"/>
      <c r="BF379" s="44" t="n"/>
      <c r="BG379" s="44" t="n"/>
      <c r="BH379" s="44" t="n"/>
      <c r="BI379" s="44" t="n"/>
      <c r="BJ379" s="44" t="n"/>
      <c r="BK379" s="44" t="n"/>
      <c r="BL379" s="44" t="n"/>
      <c r="BM379" s="44" t="n"/>
      <c r="BN379" s="44" t="n"/>
      <c r="BO379" s="44" t="n"/>
      <c r="BP379" s="44" t="n"/>
      <c r="BQ379" s="44" t="n"/>
      <c r="BR379" s="44" t="n"/>
      <c r="BS379" s="44" t="n"/>
      <c r="BT379" s="44" t="n"/>
      <c r="BU379" s="44" t="n"/>
      <c r="BV379" s="44" t="n"/>
      <c r="BW379" s="44" t="n"/>
      <c r="BX379" s="44" t="n"/>
      <c r="BY379" s="153" t="n"/>
      <c r="BZ379" s="153" t="n"/>
      <c r="CA379" s="35" t="n"/>
      <c r="CB379" s="271" t="n">
        <v>0.045</v>
      </c>
      <c r="CC379" s="271" t="n">
        <v>0.045</v>
      </c>
      <c r="CD379" s="271" t="n">
        <v>0.045</v>
      </c>
      <c r="CE379" s="271" t="n">
        <v>0.045</v>
      </c>
      <c r="CF379" s="19" t="n"/>
    </row>
    <row r="380" ht="15" customHeight="1" s="251">
      <c r="B380" s="69" t="inlineStr">
        <is>
          <t xml:space="preserve">  Interest on UTPs / tax liabilities, pension interest cost &amp; fees ($m)</t>
        </is>
      </c>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c r="AA380" s="44" t="n"/>
      <c r="AB380" s="44" t="n"/>
      <c r="AC380" s="44" t="n"/>
      <c r="AD380" s="44" t="n"/>
      <c r="AE380" s="44" t="n"/>
      <c r="AF380" s="44" t="n"/>
      <c r="AG380" s="44" t="n"/>
      <c r="AH380" s="44" t="n"/>
      <c r="AI380" s="44" t="n"/>
      <c r="AJ380" s="44" t="n"/>
      <c r="AK380" s="44" t="n"/>
      <c r="AL380" s="44" t="n"/>
      <c r="AM380" s="44" t="n"/>
      <c r="AN380" s="44" t="n"/>
      <c r="AO380" s="44" t="n"/>
      <c r="AP380" s="44" t="n"/>
      <c r="AQ380" s="44" t="n"/>
      <c r="AR380" s="44" t="n"/>
      <c r="AS380" s="44" t="n"/>
      <c r="AT380" s="44" t="n"/>
      <c r="AU380" s="44" t="n"/>
      <c r="AV380" s="44" t="n"/>
      <c r="AW380" s="44" t="n"/>
      <c r="AX380" s="44" t="n"/>
      <c r="AY380" s="44" t="n"/>
      <c r="AZ380" s="44" t="n"/>
      <c r="BA380" s="44" t="n"/>
      <c r="BB380" s="44" t="n"/>
      <c r="BC380" s="44" t="n"/>
      <c r="BD380" s="44" t="n"/>
      <c r="BE380" s="44" t="n"/>
      <c r="BF380" s="44" t="n"/>
      <c r="BG380" s="44" t="n"/>
      <c r="BH380" s="44" t="n"/>
      <c r="BI380" s="44" t="n"/>
      <c r="BJ380" s="44" t="n"/>
      <c r="BK380" s="44" t="n"/>
      <c r="BL380" s="44" t="n"/>
      <c r="BM380" s="44" t="n"/>
      <c r="BN380" s="44" t="n"/>
      <c r="BO380" s="44" t="n"/>
      <c r="BP380" s="44" t="n"/>
      <c r="BQ380" s="44" t="n"/>
      <c r="BR380" s="44" t="n"/>
      <c r="BS380" s="44" t="n"/>
      <c r="BT380" s="44" t="n"/>
      <c r="BU380" s="44" t="n"/>
      <c r="BV380" s="44" t="n"/>
      <c r="BW380" s="44" t="n"/>
      <c r="BX380" s="44" t="n"/>
      <c r="BY380" s="153" t="n"/>
      <c r="BZ380" s="153" t="n"/>
      <c r="CA380" s="35" t="n"/>
      <c r="CB380" s="279" t="n">
        <v>50</v>
      </c>
      <c r="CC380" s="279" t="n">
        <v>50</v>
      </c>
      <c r="CD380" s="279" t="n">
        <v>50</v>
      </c>
      <c r="CE380" s="279" t="n">
        <v>50</v>
      </c>
      <c r="CF380" s="19" t="inlineStr">
        <is>
          <t>1H26: UTP / tax-related interest $21m, pension interest component $14m (release interest table).</t>
        </is>
      </c>
    </row>
    <row r="381" ht="15" customHeight="1" s="251">
      <c r="B381" s="69" t="inlineStr">
        <is>
          <t xml:space="preserve">  Interest income yield on opening cash %</t>
        </is>
      </c>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c r="AA381" s="44" t="n"/>
      <c r="AB381" s="44" t="n"/>
      <c r="AC381" s="44" t="n"/>
      <c r="AD381" s="44" t="n"/>
      <c r="AE381" s="44" t="n"/>
      <c r="AF381" s="44" t="n"/>
      <c r="AG381" s="44" t="n"/>
      <c r="AH381" s="44" t="n"/>
      <c r="AI381" s="44" t="n"/>
      <c r="AJ381" s="44" t="n"/>
      <c r="AK381" s="44" t="n"/>
      <c r="AL381" s="44" t="n"/>
      <c r="AM381" s="44" t="n"/>
      <c r="AN381" s="44" t="n"/>
      <c r="AO381" s="44" t="n"/>
      <c r="AP381" s="44" t="n"/>
      <c r="AQ381" s="44" t="n"/>
      <c r="AR381" s="44" t="n"/>
      <c r="AS381" s="44" t="n"/>
      <c r="AT381" s="44" t="n"/>
      <c r="AU381" s="44" t="n"/>
      <c r="AV381" s="44" t="n"/>
      <c r="AW381" s="44" t="n"/>
      <c r="AX381" s="44" t="n"/>
      <c r="AY381" s="44" t="n"/>
      <c r="AZ381" s="44" t="n"/>
      <c r="BA381" s="44" t="n"/>
      <c r="BB381" s="44" t="n"/>
      <c r="BC381" s="44" t="n"/>
      <c r="BD381" s="44" t="n"/>
      <c r="BE381" s="44" t="n"/>
      <c r="BF381" s="44" t="n"/>
      <c r="BG381" s="44" t="n"/>
      <c r="BH381" s="44" t="n"/>
      <c r="BI381" s="44" t="n"/>
      <c r="BJ381" s="44" t="n"/>
      <c r="BK381" s="44" t="n"/>
      <c r="BL381" s="44" t="n"/>
      <c r="BM381" s="44" t="n"/>
      <c r="BN381" s="44" t="n"/>
      <c r="BO381" s="44" t="n"/>
      <c r="BP381" s="44" t="n"/>
      <c r="BQ381" s="44" t="n"/>
      <c r="BR381" s="44" t="n"/>
      <c r="BS381" s="44" t="n"/>
      <c r="BT381" s="44" t="n"/>
      <c r="BU381" s="44" t="n"/>
      <c r="BV381" s="44" t="n"/>
      <c r="BW381" s="44" t="n"/>
      <c r="BX381" s="44" t="n"/>
      <c r="BY381" s="153" t="n"/>
      <c r="BZ381" s="153" t="n"/>
      <c r="CA381" s="35" t="n"/>
      <c r="CB381" s="271" t="n">
        <v>0.02</v>
      </c>
      <c r="CC381" s="271" t="n">
        <v>0.02</v>
      </c>
      <c r="CD381" s="271" t="n">
        <v>0.02</v>
      </c>
      <c r="CE381" s="271" t="n">
        <v>0.02</v>
      </c>
      <c r="CF381" s="19" t="inlineStr">
        <is>
          <t>1H26 interest income $21m on ~$2bn average cash (~2% annualised).</t>
        </is>
      </c>
    </row>
    <row r="382" ht="15" customHeight="1" s="251">
      <c r="B382" s="25" t="inlineStr">
        <is>
          <t>Leverage-targeted buybacks (repurchases plug to a target net debt / Adjusted Operating Income, 2027E+)</t>
        </is>
      </c>
      <c r="CF382" s="153" t="n"/>
    </row>
    <row r="383" ht="15" customHeight="1" s="251">
      <c r="B383" s="69" t="inlineStr">
        <is>
          <t xml:space="preserve">  Target net debt / Adjusted Operating Income (x) (scenario)</t>
        </is>
      </c>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c r="AA383" s="44" t="n"/>
      <c r="AB383" s="44" t="n"/>
      <c r="AC383" s="44" t="n"/>
      <c r="AD383" s="44" t="n"/>
      <c r="AE383" s="44" t="n"/>
      <c r="AF383" s="44" t="n"/>
      <c r="AG383" s="44" t="n"/>
      <c r="AH383" s="44" t="n"/>
      <c r="AI383" s="44" t="n"/>
      <c r="AJ383" s="44" t="n"/>
      <c r="AK383" s="44" t="n"/>
      <c r="AL383" s="44" t="n"/>
      <c r="AM383" s="44" t="n"/>
      <c r="AN383" s="44" t="n"/>
      <c r="AO383" s="44" t="n"/>
      <c r="AP383" s="44" t="n"/>
      <c r="AQ383" s="44" t="n"/>
      <c r="AR383" s="44" t="n"/>
      <c r="AS383" s="44" t="n"/>
      <c r="AT383" s="44" t="n"/>
      <c r="AU383" s="44" t="n"/>
      <c r="AV383" s="44" t="n"/>
      <c r="AW383" s="44" t="n"/>
      <c r="AX383" s="44" t="n"/>
      <c r="AY383" s="44" t="n"/>
      <c r="AZ383" s="44" t="n"/>
      <c r="BA383" s="44" t="n"/>
      <c r="BB383" s="44" t="n"/>
      <c r="BC383" s="44" t="n"/>
      <c r="BD383" s="44" t="n"/>
      <c r="BE383" s="44" t="n"/>
      <c r="BF383" s="44" t="n"/>
      <c r="BG383" s="44" t="n"/>
      <c r="BH383" s="44" t="n"/>
      <c r="BI383" s="44" t="n"/>
      <c r="BJ383" s="44" t="n"/>
      <c r="BK383" s="44" t="n"/>
      <c r="BL383" s="44" t="n"/>
      <c r="BM383" s="44" t="n"/>
      <c r="BN383" s="44" t="n"/>
      <c r="BO383" s="44" t="n"/>
      <c r="BP383" s="44" t="n"/>
      <c r="BQ383" s="44" t="n"/>
      <c r="BR383" s="44" t="n"/>
      <c r="BS383" s="44" t="n"/>
      <c r="BT383" s="44" t="n"/>
      <c r="BU383" s="44" t="n"/>
      <c r="BV383" s="44" t="n"/>
      <c r="BW383" s="44" t="n"/>
      <c r="BX383" s="44" t="n"/>
      <c r="BY383" s="153" t="n"/>
      <c r="BZ383" s="153" t="n"/>
      <c r="CA383" s="35" t="n"/>
      <c r="CB383" s="294">
        <f>CHOOSE(MATCH($CF$2,{"Bull","Base","Bear"},0),$CO$35,$CP$35,$CQ$35)</f>
        <v>1.25</v>
      </c>
      <c r="CC383" s="294">
        <f>CHOOSE(MATCH($CF$2,{"Bull","Base","Bear"},0),$CO$35,$CP$35,$CQ$35)</f>
        <v>1.25</v>
      </c>
      <c r="CD383" s="294">
        <f>CHOOSE(MATCH($CF$2,{"Bull","Base","Bear"},0),$CO$35,$CP$35,$CQ$35)</f>
        <v>1.25</v>
      </c>
      <c r="CE383" s="294">
        <f>CHOOSE(MATCH($CF$2,{"Bull","Base","Bear"},0),$CO$35,$CP$35,$CQ$35)</f>
        <v>1.25</v>
      </c>
      <c r="CF383" s="19" t="inlineStr">
        <is>
          <t>Net debt / Adjusted Operating Income was ~1.2x at YE2025 (total debt $7.0bn less cash and short-term investments $2.4bn ÷ $4.0bn); FY2021–25 range 1.2–2.4x (2.4x after the RMS acquisition). Target = leverage up to which surplus cash is returned via buybacks (assumption; Moody's gives no numeric net-leverage target). Bull = more buybacks.</t>
        </is>
      </c>
    </row>
    <row r="384" ht="15" customHeight="1" s="251">
      <c r="B384" s="69" t="inlineStr">
        <is>
          <t xml:space="preserve">  Net debt before buybacks (year end)</t>
        </is>
      </c>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c r="AA384" s="44" t="n"/>
      <c r="AB384" s="44" t="n"/>
      <c r="AC384" s="44" t="n"/>
      <c r="AD384" s="44" t="n"/>
      <c r="AE384" s="44" t="n"/>
      <c r="AF384" s="44" t="n"/>
      <c r="AG384" s="44" t="n"/>
      <c r="AH384" s="44" t="n"/>
      <c r="AI384" s="44" t="n"/>
      <c r="AJ384" s="44" t="n"/>
      <c r="AK384" s="44" t="n"/>
      <c r="AL384" s="44" t="n"/>
      <c r="AM384" s="44" t="n"/>
      <c r="AN384" s="44" t="n"/>
      <c r="AO384" s="44" t="n"/>
      <c r="AP384" s="44" t="n"/>
      <c r="AQ384" s="44" t="n"/>
      <c r="AR384" s="44" t="n"/>
      <c r="AS384" s="44" t="n"/>
      <c r="AT384" s="44" t="n"/>
      <c r="AU384" s="44" t="n"/>
      <c r="AV384" s="44" t="n"/>
      <c r="AW384" s="44" t="n"/>
      <c r="AX384" s="44" t="n"/>
      <c r="AY384" s="44" t="n"/>
      <c r="AZ384" s="44" t="n"/>
      <c r="BA384" s="44" t="n"/>
      <c r="BB384" s="44" t="n"/>
      <c r="BC384" s="44" t="n"/>
      <c r="BD384" s="44" t="n"/>
      <c r="BE384" s="44" t="n"/>
      <c r="BF384" s="44" t="n"/>
      <c r="BG384" s="44" t="n"/>
      <c r="BH384" s="44" t="n"/>
      <c r="BI384" s="44" t="n"/>
      <c r="BJ384" s="44" t="n"/>
      <c r="BK384" s="44" t="n"/>
      <c r="BL384" s="44" t="n"/>
      <c r="BM384" s="44" t="n"/>
      <c r="BN384" s="44" t="n"/>
      <c r="BO384" s="44" t="n"/>
      <c r="BP384" s="44" t="n"/>
      <c r="BQ384" s="44" t="n"/>
      <c r="BR384" s="44" t="n"/>
      <c r="BS384" s="44" t="n"/>
      <c r="BT384" s="44" t="n"/>
      <c r="BU384" s="44" t="n"/>
      <c r="BV384" s="44" t="n"/>
      <c r="BW384" s="44" t="n"/>
      <c r="BX384" s="44" t="n"/>
      <c r="BY384" s="153" t="n"/>
      <c r="BZ384" s="153" t="n"/>
      <c r="CA384" s="35" t="n"/>
      <c r="CB384" s="254">
        <f>CA368-CA284-CB269-CB274-CB276-CB277-CB279-CB281</f>
        <v>2776.38454299898</v>
      </c>
      <c r="CC384" s="254">
        <f>CB368-CB284-CC269-CC274-CC276-CC277-CC279-CC281</f>
        <v>3335.97547277469</v>
      </c>
      <c r="CD384" s="254">
        <f>CC368-CC284-CD269-CD274-CD276-CD277-CD279-CD281</f>
        <v>3581.00708988765</v>
      </c>
      <c r="CE384" s="254">
        <f>CD368-CD284-CE269-CE274-CE276-CE277-CE279-CE281</f>
        <v>3853.4897842348</v>
      </c>
      <c r="CF384" s="19" t="n"/>
    </row>
    <row r="385" ht="15" customHeight="1" s="251">
      <c r="B385" s="69" t="inlineStr">
        <is>
          <t xml:space="preserve">  Target net debt = target leverage × Adjusted Operating Income</t>
        </is>
      </c>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c r="AA385" s="44" t="n"/>
      <c r="AB385" s="44" t="n"/>
      <c r="AC385" s="44" t="n"/>
      <c r="AD385" s="44" t="n"/>
      <c r="AE385" s="44" t="n"/>
      <c r="AF385" s="44" t="n"/>
      <c r="AG385" s="44" t="n"/>
      <c r="AH385" s="44" t="n"/>
      <c r="AI385" s="44" t="n"/>
      <c r="AJ385" s="44" t="n"/>
      <c r="AK385" s="44" t="n"/>
      <c r="AL385" s="44" t="n"/>
      <c r="AM385" s="44" t="n"/>
      <c r="AN385" s="44" t="n"/>
      <c r="AO385" s="44" t="n"/>
      <c r="AP385" s="44" t="n"/>
      <c r="AQ385" s="44" t="n"/>
      <c r="AR385" s="44" t="n"/>
      <c r="AS385" s="44" t="n"/>
      <c r="AT385" s="44" t="n"/>
      <c r="AU385" s="44" t="n"/>
      <c r="AV385" s="44" t="n"/>
      <c r="AW385" s="44" t="n"/>
      <c r="AX385" s="44" t="n"/>
      <c r="AY385" s="44" t="n"/>
      <c r="AZ385" s="44" t="n"/>
      <c r="BA385" s="44" t="n"/>
      <c r="BB385" s="44" t="n"/>
      <c r="BC385" s="44" t="n"/>
      <c r="BD385" s="44" t="n"/>
      <c r="BE385" s="44" t="n"/>
      <c r="BF385" s="44" t="n"/>
      <c r="BG385" s="44" t="n"/>
      <c r="BH385" s="44" t="n"/>
      <c r="BI385" s="44" t="n"/>
      <c r="BJ385" s="44" t="n"/>
      <c r="BK385" s="44" t="n"/>
      <c r="BL385" s="44" t="n"/>
      <c r="BM385" s="44" t="n"/>
      <c r="BN385" s="44" t="n"/>
      <c r="BO385" s="44" t="n"/>
      <c r="BP385" s="44" t="n"/>
      <c r="BQ385" s="44" t="n"/>
      <c r="BR385" s="44" t="n"/>
      <c r="BS385" s="44" t="n"/>
      <c r="BT385" s="44" t="n"/>
      <c r="BU385" s="44" t="n"/>
      <c r="BV385" s="44" t="n"/>
      <c r="BW385" s="44" t="n"/>
      <c r="BX385" s="44" t="n"/>
      <c r="BY385" s="153" t="n"/>
      <c r="BZ385" s="153" t="n"/>
      <c r="CA385" s="35" t="n"/>
      <c r="CB385" s="254">
        <f>CB383*CB219</f>
        <v>5858.6321463472</v>
      </c>
      <c r="CC385" s="254">
        <f>CC383*CC219</f>
        <v>6316.52735381988</v>
      </c>
      <c r="CD385" s="254">
        <f>CD383*CD219</f>
        <v>6792.22859483084</v>
      </c>
      <c r="CE385" s="254">
        <f>CE383*CE219</f>
        <v>7270.81710848119</v>
      </c>
      <c r="CF385" s="19" t="n"/>
    </row>
    <row r="386" ht="15" customHeight="1" s="251">
      <c r="B386" s="69" t="inlineStr">
        <is>
          <t xml:space="preserve">  Share repurchases: plug to target leverage</t>
        </is>
      </c>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c r="AA386" s="44" t="n"/>
      <c r="AB386" s="44" t="n"/>
      <c r="AC386" s="44" t="n"/>
      <c r="AD386" s="44" t="n"/>
      <c r="AE386" s="44" t="n"/>
      <c r="AF386" s="44" t="n"/>
      <c r="AG386" s="44" t="n"/>
      <c r="AH386" s="44" t="n"/>
      <c r="AI386" s="44" t="n"/>
      <c r="AJ386" s="44" t="n"/>
      <c r="AK386" s="44" t="n"/>
      <c r="AL386" s="44" t="n"/>
      <c r="AM386" s="44" t="n"/>
      <c r="AN386" s="44" t="n"/>
      <c r="AO386" s="44" t="n"/>
      <c r="AP386" s="44" t="n"/>
      <c r="AQ386" s="44" t="n"/>
      <c r="AR386" s="44" t="n"/>
      <c r="AS386" s="44" t="n"/>
      <c r="AT386" s="44" t="n"/>
      <c r="AU386" s="44" t="n"/>
      <c r="AV386" s="44" t="n"/>
      <c r="AW386" s="44" t="n"/>
      <c r="AX386" s="44" t="n"/>
      <c r="AY386" s="44" t="n"/>
      <c r="AZ386" s="44" t="n"/>
      <c r="BA386" s="44" t="n"/>
      <c r="BB386" s="44" t="n"/>
      <c r="BC386" s="44" t="n"/>
      <c r="BD386" s="44" t="n"/>
      <c r="BE386" s="44" t="n"/>
      <c r="BF386" s="44" t="n"/>
      <c r="BG386" s="44" t="n"/>
      <c r="BH386" s="44" t="n"/>
      <c r="BI386" s="44" t="n"/>
      <c r="BJ386" s="44" t="n"/>
      <c r="BK386" s="44" t="n"/>
      <c r="BL386" s="44" t="n"/>
      <c r="BM386" s="44" t="n"/>
      <c r="BN386" s="44" t="n"/>
      <c r="BO386" s="44" t="n"/>
      <c r="BP386" s="44" t="n"/>
      <c r="BQ386" s="44" t="n"/>
      <c r="BR386" s="44" t="n"/>
      <c r="BS386" s="44" t="n"/>
      <c r="BT386" s="44" t="n"/>
      <c r="BU386" s="44" t="n"/>
      <c r="BV386" s="44" t="n"/>
      <c r="BW386" s="44" t="n"/>
      <c r="BX386" s="44" t="n"/>
      <c r="BY386" s="153" t="n"/>
      <c r="BZ386" s="153" t="n"/>
      <c r="CA386" s="35" t="n"/>
      <c r="CB386" s="254">
        <f>MAX(0,CB385-CB384)</f>
        <v>3082.24760334822</v>
      </c>
      <c r="CC386" s="254">
        <f>MAX(0,CC385-CC384)</f>
        <v>2980.55188104518</v>
      </c>
      <c r="CD386" s="254">
        <f>MAX(0,CD385-CD384)</f>
        <v>3211.22150494319</v>
      </c>
      <c r="CE386" s="254">
        <f>MAX(0,CE385-CE384)</f>
        <v>3417.32732424639</v>
      </c>
      <c r="CF386" s="19" t="inlineStr">
        <is>
          <t>Surplus cash beyond the leverage target is returned via buybacks; feeds the cash-flow repurchase line.</t>
        </is>
      </c>
    </row>
    <row r="387" ht="15" customHeight="1" s="251">
      <c r="B387" s="25" t="inlineStr">
        <is>
          <t>Historical reference (driver context)</t>
        </is>
      </c>
      <c r="CF387" s="153" t="n"/>
    </row>
    <row r="388" ht="15" customHeight="1" s="251">
      <c r="B388" s="25" t="inlineStr">
        <is>
          <t xml:space="preserve">  Total D&amp;A % of revenue</t>
        </is>
      </c>
      <c r="C388" s="215">
        <f>IF(AND(ISNUMBER(C185),ISNUMBER(C163)),IFERROR(C185/C163,""),"")</f>
        <v>0.0193903097540621</v>
      </c>
      <c r="D388" s="215">
        <f>IF(AND(ISNUMBER(D185),ISNUMBER(D163)),IFERROR(D185/D163,""),"")</f>
        <v>0.0189907038512616</v>
      </c>
      <c r="E388" s="215">
        <f>IF(AND(ISNUMBER(E185),ISNUMBER(E163)),IFERROR(E185/E163,""),"")</f>
        <v>0.0427822718468725</v>
      </c>
      <c r="F388" s="215">
        <f>IF(AND(ISNUMBER(F185),ISNUMBER(F163)),IFERROR(F185/F163,""),"")</f>
        <v>0.0356665924771867</v>
      </c>
      <c r="G388" s="215">
        <f>IF(AND(ISNUMBER(G185),ISNUMBER(G163)),IFERROR(G185/G163,""),"")</f>
        <v>0.0326279527559055</v>
      </c>
      <c r="H388" s="215">
        <f>IF(AND(ISNUMBER(H185),ISNUMBER(H163)),IFERROR(H185/H163,""),"")</f>
        <v>0.0347261805586004</v>
      </c>
      <c r="I388" s="215">
        <f>IF(AND(ISNUMBER(I185),ISNUMBER(I163)),IFERROR(I185/I163,""),"")</f>
        <v>0.0342453210269934</v>
      </c>
      <c r="J388" s="215">
        <f>IF(AND(ISNUMBER(J185),ISNUMBER(J163)),IFERROR(J185/J163,""),"")</f>
        <v>0.0322492484285324</v>
      </c>
      <c r="K388" s="215">
        <f>IF(AND(ISNUMBER(K185),ISNUMBER(K163)),IFERROR(K185/K163,""),"")</f>
        <v>0.0305555555555556</v>
      </c>
      <c r="L388" s="215">
        <f>IF(AND(ISNUMBER(L185),ISNUMBER(L163)),IFERROR(L185/L163,""),"")</f>
        <v>0.0331679659815734</v>
      </c>
      <c r="M388" s="215">
        <f>IF(AND(ISNUMBER(M185),ISNUMBER(M163)),IFERROR(M185/M163,""),"")</f>
        <v>0.0299024640657084</v>
      </c>
      <c r="N388" s="215">
        <f>IF(AND(ISNUMBER(N185),ISNUMBER(N163)),IFERROR(N185/N163,""),"")</f>
        <v>0.031421362489487</v>
      </c>
      <c r="O388" s="215">
        <f>IF(AND(ISNUMBER(O185),ISNUMBER(O163)),IFERROR(O185/O163,""),"")</f>
        <v>0.0301094890510949</v>
      </c>
      <c r="P388" s="215">
        <f>IF(AND(ISNUMBER(P185),ISNUMBER(P163)),IFERROR(P185/P163,""),"")</f>
        <v>0.0255294791070406</v>
      </c>
      <c r="Q388" s="215">
        <f>IF(AND(ISNUMBER(Q185),ISNUMBER(Q163)),IFERROR(Q185/Q163,""),"")</f>
        <v>0.0284278887391251</v>
      </c>
      <c r="R388" s="215">
        <f>IF(AND(ISNUMBER(R185),ISNUMBER(R163)),IFERROR(R185/R163,""),"")</f>
        <v>0.0307692307692308</v>
      </c>
      <c r="S388" s="215">
        <f>IF(AND(ISNUMBER(S185),ISNUMBER(S163)),IFERROR(S185/S163,""),"")</f>
        <v>0.0286716852112887</v>
      </c>
      <c r="T388" s="215">
        <f>IF(AND(ISNUMBER(T185),ISNUMBER(T163)),IFERROR(T185/T163,""),"")</f>
        <v>0.0330406654343808</v>
      </c>
      <c r="U388" s="215">
        <f>IF(AND(ISNUMBER(U185),ISNUMBER(U163)),IFERROR(U185/U163,""),"")</f>
        <v>0.030388846530879</v>
      </c>
      <c r="V388" s="215">
        <f>IF(AND(ISNUMBER(V185),ISNUMBER(V163)),IFERROR(V185/V163,""),"")</f>
        <v>0.0338962750029944</v>
      </c>
      <c r="W388" s="215">
        <f>IF(AND(ISNUMBER(W185),ISNUMBER(W163)),IFERROR(W185/W163,""),"")</f>
        <v>0.0331447049312854</v>
      </c>
      <c r="X388" s="215">
        <f>IF(AND(ISNUMBER(X185),ISNUMBER(X163)),IFERROR(X185/X163,""),"")</f>
        <v>0.0325728224996413</v>
      </c>
      <c r="Y388" s="215">
        <f>IF(AND(ISNUMBER(Y185),ISNUMBER(Y163)),IFERROR(Y185/Y163,""),"")</f>
        <v>0.0366376669525793</v>
      </c>
      <c r="Z388" s="215">
        <f>IF(AND(ISNUMBER(Z185),ISNUMBER(Z163)),IFERROR(Z185/Z163,""),"")</f>
        <v>0.0335881149747013</v>
      </c>
      <c r="AA388" s="215">
        <f>IF(AND(ISNUMBER(AA185),ISNUMBER(AA163)),IFERROR(AA185/AA163,""),"")</f>
        <v>0.0356558717697089</v>
      </c>
      <c r="AB388" s="215">
        <f>IF(AND(ISNUMBER(AB185),ISNUMBER(AB163)),IFERROR(AB185/AB163,""),"")</f>
        <v>0.0349219828043732</v>
      </c>
      <c r="AC388" s="215">
        <f>IF(AND(ISNUMBER(AC185),ISNUMBER(AC163)),IFERROR(AC185/AC163,""),"")</f>
        <v>0.0351534321069863</v>
      </c>
      <c r="AD388" s="215">
        <f>IF(AND(ISNUMBER(AD185),ISNUMBER(AD163)),IFERROR(AD185/AD163,""),"")</f>
        <v>0.0333264971287941</v>
      </c>
      <c r="AE388" s="215">
        <f>IF(AND(ISNUMBER(AE185),ISNUMBER(AE163)),IFERROR(AE185/AE163,""),"")</f>
        <v>0.0328835582208896</v>
      </c>
      <c r="AF388" s="215">
        <f>IF(AND(ISNUMBER(AF185),ISNUMBER(AF163)),IFERROR(AF185/AF163,""),"")</f>
        <v>0.040455357982877</v>
      </c>
      <c r="AG388" s="215">
        <f>IF(AND(ISNUMBER(AG185),ISNUMBER(AG163)),IFERROR(AG185/AG163,""),"")</f>
        <v>0.0428142428142428</v>
      </c>
      <c r="AH388" s="215">
        <f>IF(AND(ISNUMBER(AH185),ISNUMBER(AH163)),IFERROR(AH185/AH163,""),"")</f>
        <v>0.0376537189886064</v>
      </c>
      <c r="AI388" s="215">
        <f>IF(AND(ISNUMBER(AI185),ISNUMBER(AI163)),IFERROR(AI185/AI163,""),"")</f>
        <v>0.0435785923493388</v>
      </c>
      <c r="AJ388" s="215">
        <f>IF(AND(ISNUMBER(AJ185),ISNUMBER(AJ163)),IFERROR(AJ185/AJ163,""),"")</f>
        <v>0.0411879840013616</v>
      </c>
      <c r="AK388" s="215">
        <f>IF(AND(ISNUMBER(AK185),ISNUMBER(AK163)),IFERROR(AK185/AK163,""),"")</f>
        <v>0.0426535899333827</v>
      </c>
      <c r="AL388" s="215">
        <f>IF(AND(ISNUMBER(AL185),ISNUMBER(AL163)),IFERROR(AL185/AL163,""),"")</f>
        <v>0.0455617394585416</v>
      </c>
      <c r="AM388" s="215">
        <f>IF(AND(ISNUMBER(AM185),ISNUMBER(AM163)),IFERROR(AM185/AM163,""),"")</f>
        <v>0.0431944538231256</v>
      </c>
      <c r="AN388" s="215">
        <f>IF(AND(ISNUMBER(AN185),ISNUMBER(AN163)),IFERROR(AN185/AN163,""),"")</f>
        <v>0.0440416776114176</v>
      </c>
      <c r="AO388" s="215">
        <f>IF(AND(ISNUMBER(AO185),ISNUMBER(AO163)),IFERROR(AO185/AO163,""),"")</f>
        <v>0.0420237310481213</v>
      </c>
      <c r="AP388" s="215">
        <f>IF(AND(ISNUMBER(AP185),ISNUMBER(AP163)),IFERROR(AP185/AP163,""),"")</f>
        <v>0.0391777509068924</v>
      </c>
      <c r="AQ388" s="215">
        <f>IF(AND(ISNUMBER(AQ185),ISNUMBER(AQ163)),IFERROR(AQ185/AQ163,""),"")</f>
        <v>0.040551500405515</v>
      </c>
      <c r="AR388" s="215">
        <f>IF(AND(ISNUMBER(AR185),ISNUMBER(AR163)),IFERROR(AR185/AR163,""),"")</f>
        <v>0.0414164423276041</v>
      </c>
      <c r="AS388" s="215">
        <f>IF(AND(ISNUMBER(AS185),ISNUMBER(AS163)),IFERROR(AS185/AS163,""),"")</f>
        <v>0.037984496124031</v>
      </c>
      <c r="AT388" s="215">
        <f>IF(AND(ISNUMBER(AT185),ISNUMBER(AT163)),IFERROR(AT185/AT163,""),"")</f>
        <v>0.040418118466899</v>
      </c>
      <c r="AU388" s="215">
        <f>IF(AND(ISNUMBER(AU185),ISNUMBER(AU163)),IFERROR(AU185/AU163,""),"")</f>
        <v>0.0412979351032448</v>
      </c>
      <c r="AV388" s="215">
        <f>IF(AND(ISNUMBER(AV185),ISNUMBER(AV163)),IFERROR(AV185/AV163,""),"")</f>
        <v>0.0441860465116279</v>
      </c>
      <c r="AW388" s="215">
        <f>IF(AND(ISNUMBER(AW185),ISNUMBER(AW163)),IFERROR(AW185/AW163,""),"")</f>
        <v>0.040960714950661</v>
      </c>
      <c r="AX388" s="215">
        <f>IF(AND(ISNUMBER(AX185),ISNUMBER(AX163)),IFERROR(AX185/AX163,""),"")</f>
        <v>0.036875</v>
      </c>
      <c r="AY388" s="215">
        <f>IF(AND(ISNUMBER(AY185),ISNUMBER(AY163)),IFERROR(AY185/AY163,""),"")</f>
        <v>0.0386349001931745</v>
      </c>
      <c r="AZ388" s="215">
        <f>IF(AND(ISNUMBER(AZ185),ISNUMBER(AZ163)),IFERROR(AZ185/AZ163,""),"")</f>
        <v>0.0399737876802097</v>
      </c>
      <c r="BA388" s="215">
        <f>IF(AND(ISNUMBER(BA185),ISNUMBER(BA163)),IFERROR(BA185/BA163,""),"")</f>
        <v>0.0500324886289799</v>
      </c>
      <c r="BB388" s="215">
        <f>IF(AND(ISNUMBER(BB185),ISNUMBER(BB163)),IFERROR(BB185/BB163,""),"")</f>
        <v>0.0413316178835639</v>
      </c>
      <c r="BC388" s="215">
        <f>IF(AND(ISNUMBER(BC185),ISNUMBER(BC163)),IFERROR(BC185/BC163,""),"")</f>
        <v>0.0512483574244415</v>
      </c>
      <c r="BD388" s="215">
        <f>IF(AND(ISNUMBER(BD185),ISNUMBER(BD163)),IFERROR(BD185/BD163,""),"")</f>
        <v>0.0586531498913831</v>
      </c>
      <c r="BE388" s="215">
        <f>IF(AND(ISNUMBER(BE185),ISNUMBER(BE163)),IFERROR(BE185/BE163,""),"")</f>
        <v>0.0650980392156863</v>
      </c>
      <c r="BF388" s="215">
        <f>IF(AND(ISNUMBER(BF185),ISNUMBER(BF163)),IFERROR(BF185/BF163,""),"")</f>
        <v>0.0689922480620155</v>
      </c>
      <c r="BG388" s="215">
        <f>IF(AND(ISNUMBER(BG185),ISNUMBER(BG163)),IFERROR(BG185/BG163,""),"")</f>
        <v>0.0605340160936357</v>
      </c>
      <c r="BH388" s="215">
        <f>IF(AND(ISNUMBER(BH185),ISNUMBER(BH163)),IFERROR(BH185/BH163,""),"")</f>
        <v>0.0598639455782313</v>
      </c>
      <c r="BI388" s="215">
        <f>IF(AND(ISNUMBER(BI185),ISNUMBER(BI163)),IFERROR(BI185/BI163,""),"")</f>
        <v>0.0622489959839357</v>
      </c>
      <c r="BJ388" s="215">
        <f>IF(AND(ISNUMBER(BJ185),ISNUMBER(BJ163)),IFERROR(BJ185/BJ163,""),"")</f>
        <v>0.0645380434782609</v>
      </c>
      <c r="BK388" s="215">
        <f>IF(AND(ISNUMBER(BK185),ISNUMBER(BK163)),IFERROR(BK185/BK163,""),"")</f>
        <v>0.0655405405405405</v>
      </c>
      <c r="BL388" s="215">
        <f>IF(AND(ISNUMBER(BL185),ISNUMBER(BL163)),IFERROR(BL185/BL163,""),"")</f>
        <v>0.0630493576741041</v>
      </c>
      <c r="BM388" s="215">
        <f>IF(AND(ISNUMBER(BM185),ISNUMBER(BM163)),IFERROR(BM185/BM163,""),"")</f>
        <v>0.0559910414333707</v>
      </c>
      <c r="BN388" s="215">
        <f>IF(AND(ISNUMBER(BN185),ISNUMBER(BN163)),IFERROR(BN185/BN163,""),"")</f>
        <v>0.0605393505778756</v>
      </c>
      <c r="BO388" s="215">
        <f>IF(AND(ISNUMBER(BO185),ISNUMBER(BO163)),IFERROR(BO185/BO163,""),"")</f>
        <v>0.0595697738554881</v>
      </c>
      <c r="BP388" s="215">
        <f>IF(AND(ISNUMBER(BP185),ISNUMBER(BP163)),IFERROR(BP185/BP163,""),"")</f>
        <v>0.0675837320574163</v>
      </c>
      <c r="BQ388" s="215">
        <f>IF(AND(ISNUMBER(BQ185),ISNUMBER(BQ163)),IFERROR(BQ185/BQ163,""),"")</f>
        <v>0.0608069977426637</v>
      </c>
      <c r="BR388" s="215">
        <f>IF(AND(ISNUMBER(BR185),ISNUMBER(BR163)),IFERROR(BR185/BR163,""),"")</f>
        <v>0.0587318087318087</v>
      </c>
      <c r="BS388" s="215">
        <f>IF(AND(ISNUMBER(BS185),ISNUMBER(BS163)),IFERROR(BS185/BS163,""),"")</f>
        <v>0.0632244467860906</v>
      </c>
      <c r="BT388" s="215">
        <f>IF(AND(ISNUMBER(BT185),ISNUMBER(BT163)),IFERROR(BT185/BT163,""),"")</f>
        <v>0.0612855007473842</v>
      </c>
      <c r="BU388" s="215">
        <f>IF(AND(ISNUMBER(BU185),ISNUMBER(BU163)),IFERROR(BU185/BU163,""),"")</f>
        <v>0.065643197458973</v>
      </c>
      <c r="BV388" s="215">
        <f>IF(AND(ISNUMBER(BV185),ISNUMBER(BV163)),IFERROR(BV185/BV163,""),"")</f>
        <v>0.0621922777921741</v>
      </c>
      <c r="BW388" s="215">
        <f>IF(AND(ISNUMBER(BW185),ISNUMBER(BW163)),IFERROR(BW185/BW163,""),"")</f>
        <v>0.0586820586820587</v>
      </c>
      <c r="BX388" s="215">
        <f>IF(AND(ISNUMBER(BX185),ISNUMBER(BX163)),IFERROR(BX185/BX163,""),"")</f>
        <v>0.0576659038901602</v>
      </c>
      <c r="BY388" s="24" t="n"/>
      <c r="BZ388" s="24" t="n"/>
      <c r="CA388" s="256">
        <f>IF(AND(ISNUMBER(CA185),ISNUMBER(CA163)),IFERROR(CA185/CA163,""),"")</f>
        <v>0.0589488627731247</v>
      </c>
      <c r="CB388" s="256">
        <f>IF(AND(ISNUMBER(CB185),ISNUMBER(CB163)),IFERROR(CB185/CB163,""),"")</f>
        <v>0.0584100633244654</v>
      </c>
      <c r="CC388" s="256">
        <f>IF(AND(ISNUMBER(CC185),ISNUMBER(CC163)),IFERROR(CC185/CC163,""),"")</f>
        <v>0.0571715071945718</v>
      </c>
      <c r="CD388" s="256">
        <f>IF(AND(ISNUMBER(CD185),ISNUMBER(CD163)),IFERROR(CD185/CD163,""),"")</f>
        <v>0.0542889740411097</v>
      </c>
      <c r="CE388" s="256">
        <f>IF(AND(ISNUMBER(CE185),ISNUMBER(CE163)),IFERROR(CE185/CE163,""),"")</f>
        <v>0.0516096522750869</v>
      </c>
      <c r="CF388" s="153" t="n"/>
    </row>
    <row r="389" ht="15" customHeight="1" s="251">
      <c r="B389" s="25" t="inlineStr">
        <is>
          <t xml:space="preserve">  Acquired-intangible amortization % of revenue</t>
        </is>
      </c>
      <c r="C389" s="215">
        <f>IF(AND(ISNUMBER(C150),ISNUMBER(C163)),IFERROR(C150/C163,""),"")</f>
      </c>
      <c r="D389" s="215">
        <f>IF(AND(ISNUMBER(D150),ISNUMBER(D163)),IFERROR(D150/D163,""),"")</f>
      </c>
      <c r="E389" s="215">
        <f>IF(AND(ISNUMBER(E150),ISNUMBER(E163)),IFERROR(E150/E163,""),"")</f>
        <v>0.0160647145949641</v>
      </c>
      <c r="F389" s="215">
        <f>IF(AND(ISNUMBER(F150),ISNUMBER(F163)),IFERROR(F150/F163,""),"")</f>
        <v>0.00912530603160472</v>
      </c>
      <c r="G389" s="215">
        <f>IF(AND(ISNUMBER(G150),ISNUMBER(G163)),IFERROR(G150/G163,""),"")</f>
        <v>0.00807086614173228</v>
      </c>
      <c r="H389" s="215">
        <f>IF(AND(ISNUMBER(H150),ISNUMBER(H163)),IFERROR(H150/H163,""),"")</f>
        <v>0.00898846845266804</v>
      </c>
      <c r="I389" s="215">
        <f>IF(AND(ISNUMBER(I150),ISNUMBER(I163)),IFERROR(I150/I163,""),"")</f>
        <v>0.0110244295498663</v>
      </c>
      <c r="J389" s="215">
        <f>IF(AND(ISNUMBER(J150),ISNUMBER(J163)),IFERROR(J150/J163,""),"")</f>
        <v>0.00970210440010932</v>
      </c>
      <c r="K389" s="215">
        <f>IF(AND(ISNUMBER(K150),ISNUMBER(K163)),IFERROR(K150/K163,""),"")</f>
        <v>0.00912698412698413</v>
      </c>
      <c r="L389" s="215">
        <f>IF(AND(ISNUMBER(L150),ISNUMBER(L163)),IFERROR(L150/L163,""),"")</f>
        <v>0.00992204110559887</v>
      </c>
      <c r="M389" s="215">
        <f>IF(AND(ISNUMBER(M150),ISNUMBER(M163)),IFERROR(M150/M163,""),"")</f>
        <v>0.00898357289527721</v>
      </c>
      <c r="N389" s="215">
        <f>IF(AND(ISNUMBER(N150),ISNUMBER(N163)),IFERROR(N150/N163,""),"")</f>
        <v>0.00941968040370059</v>
      </c>
      <c r="O389" s="215">
        <f>IF(AND(ISNUMBER(O150),ISNUMBER(O163)),IFERROR(O150/O163,""),"")</f>
        <v>0.00951511991657977</v>
      </c>
      <c r="P389" s="215">
        <f>IF(AND(ISNUMBER(P150),ISNUMBER(P163)),IFERROR(P150/P163,""),"")</f>
        <v>0.00721236405266171</v>
      </c>
      <c r="Q389" s="215">
        <f>IF(AND(ISNUMBER(Q150),ISNUMBER(Q163)),IFERROR(Q150/Q163,""),"")</f>
        <v>0.008454846219826</v>
      </c>
      <c r="R389" s="215">
        <f>IF(AND(ISNUMBER(R150),ISNUMBER(R163)),IFERROR(R150/R163,""),"")</f>
        <v>0.009002849002849</v>
      </c>
      <c r="S389" s="215">
        <f>IF(AND(ISNUMBER(S150),ISNUMBER(S163)),IFERROR(S150/S163,""),"")</f>
        <v>0.00851752991632427</v>
      </c>
      <c r="T389" s="215">
        <f>IF(AND(ISNUMBER(T150),ISNUMBER(T163)),IFERROR(T150/T163,""),"")</f>
        <v>0.00981977818853974</v>
      </c>
      <c r="U389" s="215">
        <f>IF(AND(ISNUMBER(U150),ISNUMBER(U163)),IFERROR(U150/U163,""),"")</f>
        <v>0.00871364775078968</v>
      </c>
      <c r="V389" s="215">
        <f>IF(AND(ISNUMBER(V150),ISNUMBER(V163)),IFERROR(V150/V163,""),"")</f>
        <v>0.0091028865732423</v>
      </c>
      <c r="W389" s="215">
        <f>IF(AND(ISNUMBER(W150),ISNUMBER(W163)),IFERROR(W150/W163,""),"")</f>
        <v>0.00900796858759672</v>
      </c>
      <c r="X389" s="215">
        <f>IF(AND(ISNUMBER(X150),ISNUMBER(X163)),IFERROR(X150/X163,""),"")</f>
        <v>0.00915482852633089</v>
      </c>
      <c r="Y389" s="215">
        <f>IF(AND(ISNUMBER(Y150),ISNUMBER(Y163)),IFERROR(Y150/Y163,""),"")</f>
        <v>0.00968018625168484</v>
      </c>
      <c r="Z389" s="215">
        <f>IF(AND(ISNUMBER(Z150),ISNUMBER(Z163)),IFERROR(Z150/Z163,""),"")</f>
        <v>0.00936591667563785</v>
      </c>
      <c r="AA389" s="215">
        <f>IF(AND(ISNUMBER(AA150),ISNUMBER(AA163)),IFERROR(AA150/AA163,""),"")</f>
        <v>0.00970450332570058</v>
      </c>
      <c r="AB389" s="215">
        <f>IF(AND(ISNUMBER(AB150),ISNUMBER(AB163)),IFERROR(AB150/AB163,""),"")</f>
        <v>0.00923468846194671</v>
      </c>
      <c r="AC389" s="215">
        <f>IF(AND(ISNUMBER(AC150),ISNUMBER(AC163)),IFERROR(AC150/AC163,""),"")</f>
        <v>0.00948892958215416</v>
      </c>
      <c r="AD389" s="215">
        <f>IF(AND(ISNUMBER(AD150),ISNUMBER(AD163)),IFERROR(AD150/AD163,""),"")</f>
        <v>0.00871616078753076</v>
      </c>
      <c r="AE389" s="215">
        <f>IF(AND(ISNUMBER(AE150),ISNUMBER(AE163)),IFERROR(AE150/AE163,""),"")</f>
        <v>0.00859570214892554</v>
      </c>
      <c r="AF389" s="215">
        <f>IF(AND(ISNUMBER(AF150),ISNUMBER(AF163)),IFERROR(AF150/AF163,""),"")</f>
        <v>0.0176874588390253</v>
      </c>
      <c r="AG389" s="215">
        <f>IF(AND(ISNUMBER(AG150),ISNUMBER(AG163)),IFERROR(AG150/AG163,""),"")</f>
        <v>0.0218790218790219</v>
      </c>
      <c r="AH389" s="215">
        <f>IF(AND(ISNUMBER(AH150),ISNUMBER(AH163)),IFERROR(AH150/AH163,""),"")</f>
        <v>0.0146047905615946</v>
      </c>
      <c r="AI389" s="215">
        <f>IF(AND(ISNUMBER(AI150),ISNUMBER(AI163)),IFERROR(AI150/AI163,""),"")</f>
        <v>0.0228099760362119</v>
      </c>
      <c r="AJ389" s="215">
        <f>IF(AND(ISNUMBER(AJ150),ISNUMBER(AJ163)),IFERROR(AJ150/AJ163,""),"")</f>
        <v>0.0213598842651689</v>
      </c>
      <c r="AK389" s="215">
        <f>IF(AND(ISNUMBER(AK150),ISNUMBER(AK163)),IFERROR(AK150/AK163,""),"")</f>
        <v>0.022760917838638</v>
      </c>
      <c r="AL389" s="215">
        <f>IF(AND(ISNUMBER(AL150),ISNUMBER(AL163)),IFERROR(AL150/AL163,""),"")</f>
        <v>0.0248089802848788</v>
      </c>
      <c r="AM389" s="215">
        <f>IF(AND(ISNUMBER(AM150),ISNUMBER(AM163)),IFERROR(AM150/AM163,""),"")</f>
        <v>0.0228914849078263</v>
      </c>
      <c r="AN389" s="215">
        <f>IF(AND(ISNUMBER(AN150),ISNUMBER(AN163)),IFERROR(AN150/AN163,""),"")</f>
        <v>0.0231153138954557</v>
      </c>
      <c r="AO389" s="215">
        <f>IF(AND(ISNUMBER(AO150),ISNUMBER(AO163)),IFERROR(AO150/AO163,""),"")</f>
        <v>0.0215886618325643</v>
      </c>
      <c r="AP389" s="215">
        <f>IF(AND(ISNUMBER(AP150),ISNUMBER(AP163)),IFERROR(AP150/AP163,""),"")</f>
        <v>0.0199113260781943</v>
      </c>
      <c r="AQ389" s="215">
        <f>IF(AND(ISNUMBER(AQ150),ISNUMBER(AQ163)),IFERROR(AQ150/AQ163,""),"")</f>
        <v>0.0208434712084347</v>
      </c>
      <c r="AR389" s="215">
        <f>IF(AND(ISNUMBER(AR150),ISNUMBER(AR163)),IFERROR(AR150/AR163,""),"")</f>
        <v>0.0213294677987161</v>
      </c>
      <c r="AS389" s="215">
        <f>IF(AND(ISNUMBER(AS150),ISNUMBER(AS163)),IFERROR(AS150/AS163,""),"")</f>
        <v>0.0217054263565891</v>
      </c>
      <c r="AT389" s="215">
        <f>IF(AND(ISNUMBER(AT150),ISNUMBER(AT163)),IFERROR(AT150/AT163,""),"")</f>
        <v>0.021602787456446</v>
      </c>
      <c r="AU389" s="215">
        <f>IF(AND(ISNUMBER(AU150),ISNUMBER(AU163)),IFERROR(AU150/AU163,""),"")</f>
        <v>0.0228613569321534</v>
      </c>
      <c r="AV389" s="215">
        <f>IF(AND(ISNUMBER(AV150),ISNUMBER(AV163)),IFERROR(AV150/AV163,""),"")</f>
        <v>0.0263565891472868</v>
      </c>
      <c r="AW389" s="215">
        <f>IF(AND(ISNUMBER(AW150),ISNUMBER(AW163)),IFERROR(AW150/AW163,""),"")</f>
        <v>0.0230869484267362</v>
      </c>
      <c r="AX389" s="215">
        <f>IF(AND(ISNUMBER(AX150),ISNUMBER(AX163)),IFERROR(AX150/AX163,""),"")</f>
        <v>0.021875</v>
      </c>
      <c r="AY389" s="215">
        <f>IF(AND(ISNUMBER(AY150),ISNUMBER(AY163)),IFERROR(AY150/AY163,""),"")</f>
        <v>0.0231809401159047</v>
      </c>
      <c r="AZ389" s="215">
        <f>IF(AND(ISNUMBER(AZ150),ISNUMBER(AZ163)),IFERROR(AZ150/AZ163,""),"")</f>
        <v>0.0242463958060288</v>
      </c>
      <c r="BA389" s="215">
        <f>IF(AND(ISNUMBER(BA150),ISNUMBER(BA163)),IFERROR(BA150/BA163,""),"")</f>
        <v>0.0324886289798571</v>
      </c>
      <c r="BB389" s="215">
        <f>IF(AND(ISNUMBER(BB150),ISNUMBER(BB163)),IFERROR(BB150/BB163,""),"")</f>
        <v>0.0254100997105179</v>
      </c>
      <c r="BC389" s="215">
        <f>IF(AND(ISNUMBER(BC150),ISNUMBER(BC163)),IFERROR(BC150/BC163,""),"")</f>
        <v>0.0335085413929041</v>
      </c>
      <c r="BD389" s="215">
        <f>IF(AND(ISNUMBER(BD150),ISNUMBER(BD163)),IFERROR(BD150/BD163,""),"")</f>
        <v>0.0369297610427227</v>
      </c>
      <c r="BE389" s="215">
        <f>IF(AND(ISNUMBER(BE150),ISNUMBER(BE163)),IFERROR(BE150/BE163,""),"")</f>
        <v>0.0376470588235294</v>
      </c>
      <c r="BF389" s="215">
        <f>IF(AND(ISNUMBER(BF150),ISNUMBER(BF163)),IFERROR(BF150/BF163,""),"")</f>
        <v>0.0387596899224806</v>
      </c>
      <c r="BG389" s="215">
        <f>IF(AND(ISNUMBER(BG150),ISNUMBER(BG163)),IFERROR(BG150/BG163,""),"")</f>
        <v>0.0365764447695684</v>
      </c>
      <c r="BH389" s="215">
        <f>IF(AND(ISNUMBER(BH150),ISNUMBER(BH163)),IFERROR(BH150/BH163,""),"")</f>
        <v>0.0346938775510204</v>
      </c>
      <c r="BI389" s="215">
        <f>IF(AND(ISNUMBER(BI150),ISNUMBER(BI163)),IFERROR(BI150/BI163,""),"")</f>
        <v>0.0334672021419009</v>
      </c>
      <c r="BJ389" s="215">
        <f>IF(AND(ISNUMBER(BJ150),ISNUMBER(BJ163)),IFERROR(BJ150/BJ163,""),"")</f>
        <v>0.0332880434782609</v>
      </c>
      <c r="BK389" s="215">
        <f>IF(AND(ISNUMBER(BK150),ISNUMBER(BK163)),IFERROR(BK150/BK163,""),"")</f>
        <v>0.0324324324324324</v>
      </c>
      <c r="BL389" s="215">
        <f>IF(AND(ISNUMBER(BL150),ISNUMBER(BL163)),IFERROR(BL150/BL163,""),"")</f>
        <v>0.0334685598377282</v>
      </c>
      <c r="BM389" s="215">
        <f>IF(AND(ISNUMBER(BM150),ISNUMBER(BM163)),IFERROR(BM150/BM163,""),"")</f>
        <v>0.0274356103023516</v>
      </c>
      <c r="BN389" s="215">
        <f>IF(AND(ISNUMBER(BN150),ISNUMBER(BN163)),IFERROR(BN150/BN163,""),"")</f>
        <v>0.0264171711612548</v>
      </c>
      <c r="BO389" s="215">
        <f>IF(AND(ISNUMBER(BO150),ISNUMBER(BO163)),IFERROR(BO150/BO163,""),"")</f>
        <v>0.0281301709873138</v>
      </c>
      <c r="BP389" s="215">
        <f>IF(AND(ISNUMBER(BP150),ISNUMBER(BP163)),IFERROR(BP150/BP163,""),"")</f>
        <v>0.0299043062200957</v>
      </c>
      <c r="BQ389" s="215">
        <f>IF(AND(ISNUMBER(BQ150),ISNUMBER(BQ163)),IFERROR(BQ150/BQ163,""),"")</f>
        <v>0.0279345372460497</v>
      </c>
      <c r="BR389" s="215">
        <f>IF(AND(ISNUMBER(BR150),ISNUMBER(BR163)),IFERROR(BR150/BR163,""),"")</f>
        <v>0.0275467775467776</v>
      </c>
      <c r="BS389" s="215">
        <f>IF(AND(ISNUMBER(BS150),ISNUMBER(BS163)),IFERROR(BS150/BS163,""),"")</f>
        <v>0.0289778714436249</v>
      </c>
      <c r="BT389" s="215">
        <f>IF(AND(ISNUMBER(BT150),ISNUMBER(BT163)),IFERROR(BT150/BT163,""),"")</f>
        <v>0.0274040857000498</v>
      </c>
      <c r="BU389" s="215">
        <f>IF(AND(ISNUMBER(BU150),ISNUMBER(BU163)),IFERROR(BU150/BU163,""),"")</f>
        <v>0.0275277924827951</v>
      </c>
      <c r="BV389" s="215">
        <f>IF(AND(ISNUMBER(BV150),ISNUMBER(BV163)),IFERROR(BV150/BV163,""),"")</f>
        <v>0.027856957761078</v>
      </c>
      <c r="BW389" s="215">
        <f>IF(AND(ISNUMBER(BW150),ISNUMBER(BW163)),IFERROR(BW150/BW163,""),"")</f>
        <v>0.0254930254930255</v>
      </c>
      <c r="BX389" s="215">
        <f>IF(AND(ISNUMBER(BX150),ISNUMBER(BX163)),IFERROR(BX150/BX163,""),"")</f>
        <v>0.0242562929061785</v>
      </c>
      <c r="BY389" s="24" t="n"/>
      <c r="BZ389" s="24" t="n"/>
      <c r="CA389" s="256">
        <f>IF(AND(ISNUMBER(CA150),ISNUMBER(CA163)),IFERROR(CA150/CA163,""),"")</f>
        <v>0.0251596177196635</v>
      </c>
      <c r="CB389" s="256">
        <f>IF(AND(ISNUMBER(CB150),ISNUMBER(CB163)),IFERROR(CB150/CB163,""),"")</f>
        <v>0.0224100633244654</v>
      </c>
      <c r="CC389" s="256">
        <f>IF(AND(ISNUMBER(CC150),ISNUMBER(CC163)),IFERROR(CC150/CC163,""),"")</f>
        <v>0.0201715071945718</v>
      </c>
      <c r="CD389" s="256">
        <f>IF(AND(ISNUMBER(CD150),ISNUMBER(CD163)),IFERROR(CD150/CD163,""),"")</f>
        <v>0.0162889740411097</v>
      </c>
      <c r="CE389" s="256">
        <f>IF(AND(ISNUMBER(CE150),ISNUMBER(CE163)),IFERROR(CE150/CE163,""),"")</f>
        <v>0.0136096522750869</v>
      </c>
      <c r="CF389" s="153" t="n"/>
    </row>
    <row r="390" ht="15" customHeight="1" s="251">
      <c r="B390" s="25" t="inlineStr">
        <is>
          <t xml:space="preserve">  Net interest expense ÷ average total debt %</t>
        </is>
      </c>
      <c r="C390" s="36" t="n"/>
      <c r="D390" s="215">
        <f>IFERROR(-D174*1/AVERAGE(D368,C368),"")</f>
        <v>0.0334733797093464</v>
      </c>
      <c r="E390" s="215">
        <f>IFERROR(-E174*1/AVERAGE(E368,D368),"")</f>
        <v>0.0398534127347687</v>
      </c>
      <c r="F390" s="215">
        <f>IFERROR(-F174*1/AVERAGE(F368,E368),"")</f>
        <v>0.0250995716540167</v>
      </c>
      <c r="G390" s="215">
        <f>IFERROR(-G174*1/AVERAGE(G368,F368),"")</f>
        <v>0.0431512760448773</v>
      </c>
      <c r="H390" s="215">
        <f>IFERROR(-H174*1/AVERAGE(H368,G368),"")</f>
        <v>0.0500120802126118</v>
      </c>
      <c r="I390" s="215">
        <f>IFERROR(-I174*1/AVERAGE(I368,H368),"")</f>
        <v>0.0437735849056604</v>
      </c>
      <c r="J390" s="36" t="n"/>
      <c r="K390" s="215">
        <f>IFERROR(-K174*4/AVERAGE(K368,J368),"")</f>
        <v>0.0534630901419728</v>
      </c>
      <c r="L390" s="215">
        <f>IFERROR(-L174*4/AVERAGE(L368,K368),"")</f>
        <v>0.0527054757533211</v>
      </c>
      <c r="M390" s="215">
        <f>IFERROR(-M174*4/AVERAGE(M368,L368),"")</f>
        <v>0.0451385582325493</v>
      </c>
      <c r="N390" s="215">
        <f>IFERROR(-N174*1/AVERAGE(N368,I368),"")</f>
        <v>0.0486615425390936</v>
      </c>
      <c r="O390" s="215">
        <f>IFERROR(-O174*4/AVERAGE(O368,M368),"")</f>
        <v>0.0453408901483581</v>
      </c>
      <c r="P390" s="215">
        <f>IFERROR(-P174*4/AVERAGE(P368,O368),"")</f>
        <v>0.0495002379819134</v>
      </c>
      <c r="Q390" s="215">
        <f>IFERROR(-Q174*4/AVERAGE(Q368,P368),"")</f>
        <v>0.0649859943977591</v>
      </c>
      <c r="R390" s="215">
        <f>IFERROR(-R174*4/AVERAGE(R368,Q368),"")</f>
        <v>0.0461072426137928</v>
      </c>
      <c r="S390" s="215">
        <f>IFERROR(-S174*1/AVERAGE(S368,N368),"")</f>
        <v>0.0502462842270547</v>
      </c>
      <c r="T390" s="215">
        <f>IFERROR(-T174*4/AVERAGE(T368,R368),"")</f>
        <v>0.0415426059832695</v>
      </c>
      <c r="U390" s="215">
        <f>IFERROR(-U174*4/AVERAGE(U368,T368),"")</f>
        <v>0.0411533251628717</v>
      </c>
      <c r="V390" s="215">
        <f>IFERROR(-V174*4/AVERAGE(V368,U368),"")</f>
        <v>0.03312682566687</v>
      </c>
      <c r="W390" s="215">
        <f>IFERROR(-W174*4/AVERAGE(W368,V368),"")</f>
        <v>0.0344494674737568</v>
      </c>
      <c r="X390" s="215">
        <f>IFERROR(-X174*1/AVERAGE(X368,S368),"")</f>
        <v>0.0387001328110553</v>
      </c>
      <c r="Y390" s="215">
        <f>IFERROR(-Y174*4/AVERAGE(Y368,W368),"")</f>
        <v>0.0399437741595408</v>
      </c>
      <c r="Z390" s="215">
        <f>IFERROR(-Z174*4/AVERAGE(Z368,Y368),"")</f>
        <v>0.0400642429551759</v>
      </c>
      <c r="AA390" s="215">
        <f>IFERROR(-AA174*4/AVERAGE(AA368,Z368),"")</f>
        <v>0.0414125904803685</v>
      </c>
      <c r="AB390" s="215">
        <f>IFERROR(-AB174*4/AVERAGE(AB368,AA368),"")</f>
        <v>0.040111486337025</v>
      </c>
      <c r="AC390" s="215">
        <f>IFERROR(-AC174*1/AVERAGE(AC368,X368),"")</f>
        <v>0.0407451212300414</v>
      </c>
      <c r="AD390" s="215">
        <f>IFERROR(-AD174*4/AVERAGE(AD368,AB368),"")</f>
        <v>0.0455993654805275</v>
      </c>
      <c r="AE390" s="215">
        <f>IFERROR(-AE174*4/AVERAGE(AE368,AD368),"")</f>
        <v>0.0401660195474628</v>
      </c>
      <c r="AF390" s="215">
        <f>IFERROR(-AF174*4/AVERAGE(AF368,AE368),"")</f>
        <v>0.0362728001131168</v>
      </c>
      <c r="AG390" s="215">
        <f>IFERROR(-AG174*4/AVERAGE(AG368,AF368),"")</f>
        <v>0.0375780285742193</v>
      </c>
      <c r="AH390" s="215">
        <f>IFERROR(-AH174*1/AVERAGE(AH368,AC368),"")</f>
        <v>0.0423204357836806</v>
      </c>
      <c r="AI390" s="215">
        <f>IFERROR(-AI174*4/AVERAGE(AI368,AG368),"")</f>
        <v>0.0367121948570342</v>
      </c>
      <c r="AJ390" s="215">
        <f>IFERROR(-AJ174*4/AVERAGE(AJ368,AI368),"")</f>
        <v>0.0394401565788988</v>
      </c>
      <c r="AK390" s="215">
        <f>IFERROR(-AK174*4/AVERAGE(AK368,AJ368),"")</f>
        <v>0.0438974558544535</v>
      </c>
      <c r="AL390" s="215">
        <f>IFERROR(-AL174*4/AVERAGE(AL368,AK368),"")</f>
        <v>0.0417666149287428</v>
      </c>
      <c r="AM390" s="215">
        <f>IFERROR(-AM174*1/AVERAGE(AM368,AH368),"")</f>
        <v>0.0385146881825882</v>
      </c>
      <c r="AN390" s="215">
        <f>IFERROR(-AN174*4/AVERAGE(AN368,AL368),"")</f>
        <v>0.0374218151362332</v>
      </c>
      <c r="AO390" s="215">
        <f>IFERROR(-AO174*4/AVERAGE(AO368,AN368),"")</f>
        <v>0.037017731566578</v>
      </c>
      <c r="AP390" s="215">
        <f>IFERROR(-AP174*4/AVERAGE(AP368,AO368),"")</f>
        <v>0.0345570728126559</v>
      </c>
      <c r="AQ390" s="215">
        <f>IFERROR(-AQ174*4/AVERAGE(AQ368,AP368),"")</f>
        <v>0.0436269525834181</v>
      </c>
      <c r="AR390" s="215">
        <f>IFERROR(-AR174*1/AVERAGE(AR368,AM368),"")</f>
        <v>0.0369547836901484</v>
      </c>
      <c r="AS390" s="215">
        <f>IFERROR(-AS174*4/AVERAGE(AS368,AQ368),"")</f>
        <v>0.0258711294364945</v>
      </c>
      <c r="AT390" s="215">
        <f>IFERROR(-AT174*4/AVERAGE(AT368,AS368),"")</f>
        <v>0.036582577547443</v>
      </c>
      <c r="AU390" s="215">
        <f>IFERROR(-AU174*4/AVERAGE(AU368,AT368),"")</f>
        <v>0.0333963453056081</v>
      </c>
      <c r="AV390" s="215">
        <f>IFERROR(-AV174*4/AVERAGE(AV368,AU368),"")</f>
        <v>0.0325381306218224</v>
      </c>
      <c r="AW390" s="215">
        <f>IFERROR(-AW174*1/AVERAGE(AW368,AR368),"")</f>
        <v>0.034158127134883</v>
      </c>
      <c r="AX390" s="215">
        <f>IFERROR(-AX174*4/AVERAGE(AX368,AV368),"")</f>
        <v>0.00438802695502272</v>
      </c>
      <c r="AY390" s="215">
        <f>IFERROR(-AY174*4/AVERAGE(AY368,AX368),"")</f>
        <v>0.0308782985427334</v>
      </c>
      <c r="AZ390" s="215">
        <f>IFERROR(-AZ174*4/AVERAGE(AZ368,AY368),"")</f>
        <v>0.03065577326296</v>
      </c>
      <c r="BA390" s="215">
        <f>IFERROR(-BA174*4/AVERAGE(BA368,AZ368),"")</f>
        <v>0.0333131842299684</v>
      </c>
      <c r="BB390" s="215">
        <f>IFERROR(-BB174*1/AVERAGE(BB368,AW368),"")</f>
        <v>0.0247199132634622</v>
      </c>
      <c r="BC390" s="215">
        <f>IFERROR(-BC174*4/AVERAGE(BC368,BA368),"")</f>
        <v>0.0278965721429041</v>
      </c>
      <c r="BD390" s="215">
        <f>IFERROR(-BD174*4/AVERAGE(BD368,BC368),"")</f>
        <v>0.0284918733406721</v>
      </c>
      <c r="BE390" s="215">
        <f>IFERROR(-BE174*4/AVERAGE(BE368,BD368),"")</f>
        <v>0.0306614683142801</v>
      </c>
      <c r="BF390" s="215">
        <f>IFERROR(-BF174*4/AVERAGE(BF368,BE368),"")</f>
        <v>0.0349815001681803</v>
      </c>
      <c r="BG390" s="215">
        <f>IFERROR(-BG174*1/AVERAGE(BG368,BB368),"")</f>
        <v>0.0312119983785975</v>
      </c>
      <c r="BH390" s="215">
        <f>IFERROR(-BH174*4/AVERAGE(BH368,BF368),"")</f>
        <v>0.0258568446569255</v>
      </c>
      <c r="BI390" s="215">
        <f>IFERROR(-BI174*4/AVERAGE(BI368,BH368),"")</f>
        <v>0.0386789240721825</v>
      </c>
      <c r="BJ390" s="215">
        <f>IFERROR(-BJ174*4/AVERAGE(BJ368,BI368),"")</f>
        <v>0.037515986926247</v>
      </c>
      <c r="BK390" s="215">
        <f>IFERROR(-BK174*4/AVERAGE(BK368,BJ368),"")</f>
        <v>0.038117239387814</v>
      </c>
      <c r="BL390" s="215">
        <f>IFERROR(-BL174*1/AVERAGE(BL368,BG368),"")</f>
        <v>0.0348853370396108</v>
      </c>
      <c r="BM390" s="215">
        <f>IFERROR(-BM174*4/AVERAGE(BM368,BK368),"")</f>
        <v>0.0355683040516314</v>
      </c>
      <c r="BN390" s="215">
        <f>IFERROR(-BN174*4/AVERAGE(BN368,BM368),"")</f>
        <v>0.036298163485776</v>
      </c>
      <c r="BO390" s="215">
        <f>IFERROR(-BO174*4/AVERAGE(BO368,BN368),"")</f>
        <v>0.0330806340454859</v>
      </c>
      <c r="BP390" s="215">
        <f>IFERROR(-BP174*4/AVERAGE(BP368,BO368),"")</f>
        <v>0.0277388811095552</v>
      </c>
      <c r="BQ390" s="215">
        <f>IFERROR(-BQ174*1/AVERAGE(BQ368,BL368),"")</f>
        <v>0.0328505093908102</v>
      </c>
      <c r="BR390" s="215">
        <f>IFERROR(-BR174*4/AVERAGE(BR368,BP368),"")</f>
        <v>0.0342432110027367</v>
      </c>
      <c r="BS390" s="215">
        <f>IFERROR(-BS174*4/AVERAGE(BS368,BR368),"")</f>
        <v>0.0353879622915156</v>
      </c>
      <c r="BT390" s="215">
        <f>IFERROR(-BT174*4/AVERAGE(BT368,BS368),"")</f>
        <v>0.0332616487455197</v>
      </c>
      <c r="BU390" s="215">
        <f>IFERROR(-BU174*4/AVERAGE(BU368,BT368),"")</f>
        <v>0.0188881734277742</v>
      </c>
      <c r="BV390" s="215">
        <f>IFERROR(-BV174*1/AVERAGE(BV368,BQ368),"")</f>
        <v>0.0295382055193454</v>
      </c>
      <c r="BW390" s="215">
        <f>IFERROR(-BW174*4/AVERAGE(BW368,BU368),"")</f>
        <v>0.0378304793293688</v>
      </c>
      <c r="BX390" s="215">
        <f>IFERROR(-BX174*4/AVERAGE(BX368,BW368),"")</f>
        <v>0.0333596951614063</v>
      </c>
      <c r="BY390" s="24" t="n"/>
      <c r="BZ390" s="24" t="n"/>
      <c r="CA390" s="256">
        <f>IFERROR(-CA174*1/AVERAGE(CA368,BV368),"")</f>
        <v>0.0329985652797704</v>
      </c>
      <c r="CB390" s="256">
        <f>IFERROR(-CB174*1/AVERAGE(CB368,CA368),"")</f>
        <v>0.0344142557492472</v>
      </c>
      <c r="CC390" s="256">
        <f>IFERROR(-CC174*1/AVERAGE(CC368,CB368),"")</f>
        <v>0.0372022664925863</v>
      </c>
      <c r="CD390" s="256">
        <f>IFERROR(-CD174*1/AVERAGE(CD368,CC368),"")</f>
        <v>0.0379956743626644</v>
      </c>
      <c r="CE390" s="256">
        <f>IFERROR(-CE174*1/AVERAGE(CE368,CD368),"")</f>
        <v>0.0398250427664003</v>
      </c>
      <c r="CF390" s="153" t="n"/>
    </row>
    <row r="391" ht="15" customHeight="1" s="251">
      <c r="CN391" s="11" t="n"/>
      <c r="CO391" s="12" t="n"/>
      <c r="CP391" s="12" t="n"/>
      <c r="CQ391" s="12" t="n"/>
      <c r="CR391" s="13" t="n"/>
    </row>
    <row r="392" ht="15" customHeight="1" s="251">
      <c r="B392" s="10" t="inlineStr">
        <is>
          <t>RATIO ANALYSIS</t>
        </is>
      </c>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c r="AA392" s="10" t="n"/>
      <c r="AB392" s="10" t="n"/>
      <c r="AC392" s="10" t="n"/>
      <c r="AD392" s="10" t="n"/>
      <c r="AE392" s="10" t="n"/>
      <c r="AF392" s="10" t="n"/>
      <c r="AG392" s="10" t="n"/>
      <c r="AH392" s="10" t="n"/>
      <c r="AI392" s="10" t="n"/>
      <c r="AJ392" s="10" t="n"/>
      <c r="AK392" s="10" t="n"/>
      <c r="AL392" s="10" t="n"/>
      <c r="AM392" s="10" t="n"/>
      <c r="AN392" s="10" t="n"/>
      <c r="AO392" s="10" t="n"/>
      <c r="AP392" s="10" t="n"/>
      <c r="AQ392" s="10" t="n"/>
      <c r="AR392" s="10" t="n"/>
      <c r="AS392" s="10" t="n"/>
      <c r="AT392" s="10" t="n"/>
      <c r="AU392" s="10" t="n"/>
      <c r="AV392" s="10" t="n"/>
      <c r="AW392" s="10" t="n"/>
      <c r="AX392" s="10" t="n"/>
      <c r="AY392" s="10" t="n"/>
      <c r="AZ392" s="10" t="n"/>
      <c r="BA392" s="10" t="n"/>
      <c r="BB392" s="10" t="n"/>
      <c r="BC392" s="10" t="n"/>
      <c r="BD392" s="10" t="n"/>
      <c r="BE392" s="10" t="n"/>
      <c r="BF392" s="10" t="n"/>
      <c r="BG392" s="10" t="n"/>
      <c r="BH392" s="10" t="n"/>
      <c r="BI392" s="10" t="n"/>
      <c r="BJ392" s="10" t="n"/>
      <c r="BK392" s="10" t="n"/>
      <c r="BL392" s="10" t="n"/>
      <c r="BM392" s="10" t="n"/>
      <c r="BN392" s="10" t="n"/>
      <c r="BO392" s="10" t="n"/>
      <c r="BP392" s="10" t="n"/>
      <c r="BQ392" s="10" t="n"/>
      <c r="BR392" s="10" t="n"/>
      <c r="BS392" s="10" t="n"/>
      <c r="BT392" s="10" t="n"/>
      <c r="BU392" s="10" t="n"/>
      <c r="BV392" s="10" t="n"/>
      <c r="BW392" s="10" t="n"/>
      <c r="BX392" s="10" t="n"/>
      <c r="BY392" s="10" t="n"/>
      <c r="BZ392" s="10" t="n"/>
      <c r="CA392" s="10" t="n"/>
      <c r="CB392" s="10" t="n"/>
      <c r="CC392" s="10" t="n"/>
      <c r="CD392" s="10" t="n"/>
      <c r="CE392" s="10" t="n"/>
      <c r="CF392" s="10" t="inlineStr">
        <is>
          <t>RETURNS — annual columns (NOPAT on Adjusted EBITA)</t>
        </is>
      </c>
    </row>
    <row r="393" ht="15" customHeight="1" s="251">
      <c r="B393" s="25" t="inlineStr">
        <is>
          <t>DuPont decomposition of ROIC</t>
        </is>
      </c>
      <c r="CF393" s="153" t="n"/>
    </row>
    <row r="394" ht="15" customHeight="1" s="251">
      <c r="B394" s="25" t="inlineStr">
        <is>
          <t>Adjusted EBITA (Adjusted Operating Income − depreciation)</t>
        </is>
      </c>
      <c r="C394" s="261">
        <f>C224</f>
      </c>
      <c r="D394" s="261">
        <f>D224</f>
      </c>
      <c r="E394" s="261">
        <f>E224</f>
        <v>773.9</v>
      </c>
      <c r="F394" s="261">
        <f>F224</f>
        <v>721.4</v>
      </c>
      <c r="G394" s="261">
        <f>G224</f>
        <v>789.3</v>
      </c>
      <c r="H394" s="261">
        <f>H224</f>
        <v>908.9</v>
      </c>
      <c r="I394" s="261">
        <f>I224</f>
        <v>1119.7</v>
      </c>
      <c r="J394" s="34" t="n"/>
      <c r="K394" s="34" t="n"/>
      <c r="L394" s="34" t="n"/>
      <c r="M394" s="34" t="n"/>
      <c r="N394" s="261">
        <f>N224</f>
        <v>1262.6</v>
      </c>
      <c r="O394" s="34" t="n"/>
      <c r="P394" s="34" t="n"/>
      <c r="Q394" s="34" t="n"/>
      <c r="R394" s="34" t="n"/>
      <c r="S394" s="261">
        <f>S224</f>
        <v>1467.5</v>
      </c>
      <c r="T394" s="34" t="n"/>
      <c r="U394" s="34" t="n"/>
      <c r="V394" s="34" t="n"/>
      <c r="W394" s="34" t="n"/>
      <c r="X394" s="261">
        <f>X224</f>
        <v>1505.3</v>
      </c>
      <c r="Y394" s="34" t="n"/>
      <c r="Z394" s="34" t="n"/>
      <c r="AA394" s="34" t="n"/>
      <c r="AB394" s="34" t="n"/>
      <c r="AC394" s="261">
        <f>AC224</f>
        <v>1548.7</v>
      </c>
      <c r="AD394" s="34" t="n"/>
      <c r="AE394" s="34" t="n"/>
      <c r="AF394" s="34" t="n"/>
      <c r="AG394" s="34" t="n"/>
      <c r="AH394" s="261">
        <f>AH224</f>
        <v>1893</v>
      </c>
      <c r="AI394" s="34" t="n"/>
      <c r="AJ394" s="34" t="n"/>
      <c r="AK394" s="34" t="n"/>
      <c r="AL394" s="34" t="n"/>
      <c r="AM394" s="261">
        <f>AM224</f>
        <v>2026.9</v>
      </c>
      <c r="AN394" s="34" t="n"/>
      <c r="AO394" s="34" t="n"/>
      <c r="AP394" s="34" t="n"/>
      <c r="AQ394" s="34" t="n"/>
      <c r="AR394" s="261">
        <f>AR224</f>
        <v>2194</v>
      </c>
      <c r="AS394" s="34" t="n"/>
      <c r="AT394" s="34" t="n"/>
      <c r="AU394" s="34" t="n"/>
      <c r="AV394" s="34" t="n"/>
      <c r="AW394" s="261">
        <f>AW224</f>
        <v>2571</v>
      </c>
      <c r="AX394" s="34" t="n"/>
      <c r="AY394" s="34" t="n"/>
      <c r="AZ394" s="34" t="n"/>
      <c r="BA394" s="34" t="n"/>
      <c r="BB394" s="261">
        <f>BB224</f>
        <v>3002</v>
      </c>
      <c r="BC394" s="34" t="n"/>
      <c r="BD394" s="34" t="n"/>
      <c r="BE394" s="34" t="n"/>
      <c r="BF394" s="34" t="n"/>
      <c r="BG394" s="261">
        <f>BG224</f>
        <v>2197</v>
      </c>
      <c r="BH394" s="34" t="n"/>
      <c r="BI394" s="34" t="n"/>
      <c r="BJ394" s="34" t="n"/>
      <c r="BK394" s="34" t="n"/>
      <c r="BL394" s="261">
        <f>BL224</f>
        <v>2422</v>
      </c>
      <c r="BM394" s="34" t="n"/>
      <c r="BN394" s="34" t="n"/>
      <c r="BO394" s="34" t="n"/>
      <c r="BP394" s="34" t="n"/>
      <c r="BQ394" s="261">
        <f>BQ224</f>
        <v>3175</v>
      </c>
      <c r="BR394" s="34" t="n"/>
      <c r="BS394" s="34" t="n"/>
      <c r="BT394" s="34" t="n"/>
      <c r="BU394" s="34" t="n"/>
      <c r="BV394" s="261">
        <f>BV224</f>
        <v>3677</v>
      </c>
      <c r="BW394" s="34" t="n"/>
      <c r="BX394" s="34" t="n"/>
      <c r="BY394" s="35" t="n"/>
      <c r="BZ394" s="35" t="n"/>
      <c r="CA394" s="254">
        <f>CA224</f>
        <v>4041.48199538074</v>
      </c>
      <c r="CB394" s="254">
        <f>CB224</f>
        <v>4369.36980042413</v>
      </c>
      <c r="CC394" s="254">
        <f>CC224</f>
        <v>4704.71049359008</v>
      </c>
      <c r="CD394" s="254">
        <f>CD224</f>
        <v>5052.7480328474</v>
      </c>
      <c r="CE394" s="254">
        <f>CE224</f>
        <v>5412.72467947324</v>
      </c>
      <c r="CF394" s="19" t="n"/>
    </row>
    <row r="395" ht="15" customHeight="1" s="251">
      <c r="B395" s="25" t="inlineStr">
        <is>
          <t>Effective tax rate (adjusted)</t>
        </is>
      </c>
      <c r="C395" s="215">
        <f>IFERROR(C242+0,0.24)</f>
        <v>0.401189464740867</v>
      </c>
      <c r="D395" s="215">
        <f>IFERROR(D242+0,0.24)</f>
        <v>0.417845204422731</v>
      </c>
      <c r="E395" s="215">
        <f>IFERROR(E242+0,0.24)</f>
        <v>0.384349509193972</v>
      </c>
      <c r="F395" s="215">
        <f>IFERROR(F242+0,0.24)</f>
        <v>0.382552357993069</v>
      </c>
      <c r="G395" s="215">
        <f>IFERROR(G242+0,0.24)</f>
        <v>0.287753673897831</v>
      </c>
      <c r="H395" s="215">
        <f>IFERROR(H242+0,0.24)</f>
        <v>0.3200762086211</v>
      </c>
      <c r="I395" s="215">
        <f>IFERROR(I242+0,0.24)</f>
        <v>0.328873046875</v>
      </c>
      <c r="J395" s="34" t="n"/>
      <c r="K395" s="34" t="n"/>
      <c r="L395" s="34" t="n"/>
      <c r="M395" s="34" t="n"/>
      <c r="N395" s="215">
        <f>IFERROR(N242+0,0.24)</f>
        <v>0.311026245429331</v>
      </c>
      <c r="O395" s="34" t="n"/>
      <c r="P395" s="34" t="n"/>
      <c r="Q395" s="34" t="n"/>
      <c r="R395" s="34" t="n"/>
      <c r="S395" s="215">
        <f>IFERROR(S242+0,0.24)</f>
        <v>0.321758945663378</v>
      </c>
      <c r="T395" s="34" t="n"/>
      <c r="U395" s="34" t="n"/>
      <c r="V395" s="34" t="n"/>
      <c r="W395" s="34" t="n"/>
      <c r="X395" s="215">
        <f>IFERROR(X242+0,0.24)</f>
        <v>0.315787184691215</v>
      </c>
      <c r="Y395" s="34" t="n"/>
      <c r="Z395" s="34" t="n"/>
      <c r="AA395" s="34" t="n"/>
      <c r="AB395" s="34" t="n"/>
      <c r="AC395" s="215">
        <f>IFERROR(AC242+0,0.24)</f>
        <v>-0.815366972477065</v>
      </c>
      <c r="AD395" s="34" t="n"/>
      <c r="AE395" s="34" t="n"/>
      <c r="AF395" s="34" t="n"/>
      <c r="AG395" s="34" t="n"/>
      <c r="AH395" s="215">
        <f>IFERROR(AH242+0,0.24)</f>
        <v>0.313647154189103</v>
      </c>
      <c r="AI395" s="34" t="n"/>
      <c r="AJ395" s="34" t="n"/>
      <c r="AK395" s="34" t="n"/>
      <c r="AL395" s="34" t="n"/>
      <c r="AM395" s="215">
        <f>IFERROR(AM242+0,0.24)</f>
        <v>0.209706509263814</v>
      </c>
      <c r="AN395" s="34" t="n"/>
      <c r="AO395" s="34" t="n"/>
      <c r="AP395" s="34" t="n"/>
      <c r="AQ395" s="34" t="n"/>
      <c r="AR395" s="215">
        <f>IFERROR(AR242+0,0.24)</f>
        <v>0.204885343968096</v>
      </c>
      <c r="AS395" s="34" t="n"/>
      <c r="AT395" s="34" t="n"/>
      <c r="AU395" s="34" t="n"/>
      <c r="AV395" s="34" t="n"/>
      <c r="AW395" s="215">
        <f>IFERROR(AW242+0,0.24)</f>
        <v>0.203980099502488</v>
      </c>
      <c r="AX395" s="34" t="n"/>
      <c r="AY395" s="34" t="n"/>
      <c r="AZ395" s="34" t="n"/>
      <c r="BA395" s="34" t="n"/>
      <c r="BB395" s="215">
        <f>IFERROR(BB242+0,0.24)</f>
        <v>0.197427876259993</v>
      </c>
      <c r="BC395" s="34" t="n"/>
      <c r="BD395" s="34" t="n"/>
      <c r="BE395" s="34" t="n"/>
      <c r="BF395" s="34" t="n"/>
      <c r="BG395" s="215">
        <f>IFERROR(BG242+0,0.24)</f>
        <v>0.218379446640316</v>
      </c>
      <c r="BH395" s="34" t="n"/>
      <c r="BI395" s="34" t="n"/>
      <c r="BJ395" s="34" t="n"/>
      <c r="BK395" s="34" t="n"/>
      <c r="BL395" s="215">
        <f>IFERROR(BL242+0,0.24)</f>
        <v>0.178828828828829</v>
      </c>
      <c r="BM395" s="34" t="n"/>
      <c r="BN395" s="34" t="n"/>
      <c r="BO395" s="34" t="n"/>
      <c r="BP395" s="34" t="n"/>
      <c r="BQ395" s="215">
        <f>IFERROR(BQ242+0,0.24)</f>
        <v>0.237967914438503</v>
      </c>
      <c r="BR395" s="34" t="n"/>
      <c r="BS395" s="34" t="n"/>
      <c r="BT395" s="34" t="n"/>
      <c r="BU395" s="34" t="n"/>
      <c r="BV395" s="215">
        <f>IFERROR(BV242+0,0.24)</f>
        <v>0.21688500727802</v>
      </c>
      <c r="BW395" s="34" t="n"/>
      <c r="BX395" s="34" t="n"/>
      <c r="BY395" s="35" t="n"/>
      <c r="BZ395" s="35" t="n"/>
      <c r="CA395" s="256">
        <f>IFERROR(CA242+0,0.24)</f>
        <v>0.238969684259024</v>
      </c>
      <c r="CB395" s="256">
        <f>IFERROR(CB242+0,0.24)</f>
        <v>0.24</v>
      </c>
      <c r="CC395" s="256">
        <f>IFERROR(CC242+0,0.24)</f>
        <v>0.24</v>
      </c>
      <c r="CD395" s="256">
        <f>IFERROR(CD242+0,0.24)</f>
        <v>0.24</v>
      </c>
      <c r="CE395" s="256">
        <f>IFERROR(CE242+0,0.24)</f>
        <v>0.24</v>
      </c>
      <c r="CF395" s="19" t="n"/>
    </row>
    <row r="396" ht="15" customHeight="1" s="251">
      <c r="B396" s="25" t="inlineStr">
        <is>
          <t>NOPAT = Adjusted EBITA × (1 − tax rate)</t>
        </is>
      </c>
      <c r="C396" s="261" t="str">
        <f>IFERROR(C394*(1-C395),"n/a")</f>
        <v>n/a</v>
      </c>
      <c r="D396" s="261" t="str">
        <f>IFERROR(D394*(1-D395),"n/a")</f>
        <v>n/a</v>
      </c>
      <c r="E396" s="261">
        <f>IFERROR(E394*(1-E395),"n/a")</f>
        <v>476.451914834785</v>
      </c>
      <c r="F396" s="261">
        <f>IFERROR(F394*(1-F395),"n/a")</f>
        <v>445.4267289438</v>
      </c>
      <c r="G396" s="261">
        <f>IFERROR(G394*(1-G395),"n/a")</f>
        <v>562.176025192442</v>
      </c>
      <c r="H396" s="261">
        <f>IFERROR(H394*(1-H395),"n/a")</f>
        <v>617.982733984282</v>
      </c>
      <c r="I396" s="261">
        <f>IFERROR(I394*(1-I395),"n/a")</f>
        <v>751.460849414063</v>
      </c>
      <c r="J396" s="34" t="n"/>
      <c r="K396" s="34" t="n"/>
      <c r="L396" s="34" t="n"/>
      <c r="M396" s="34" t="n"/>
      <c r="N396" s="261">
        <f>IFERROR(N394*(1-N395),"n/a")</f>
        <v>869.898262520927</v>
      </c>
      <c r="O396" s="34" t="n"/>
      <c r="P396" s="34" t="n"/>
      <c r="Q396" s="34" t="n"/>
      <c r="R396" s="34" t="n"/>
      <c r="S396" s="261">
        <f>IFERROR(S394*(1-S395),"n/a")</f>
        <v>995.318747238993</v>
      </c>
      <c r="T396" s="34" t="n"/>
      <c r="U396" s="34" t="n"/>
      <c r="V396" s="34" t="n"/>
      <c r="W396" s="34" t="n"/>
      <c r="X396" s="261">
        <f>IFERROR(X394*(1-X395),"n/a")</f>
        <v>1029.94555088431</v>
      </c>
      <c r="Y396" s="34" t="n"/>
      <c r="Z396" s="34" t="n"/>
      <c r="AA396" s="34" t="n"/>
      <c r="AB396" s="34" t="n"/>
      <c r="AC396" s="261">
        <f>IFERROR(AC394*(1-AC395),"n/a")</f>
        <v>2811.45883027523</v>
      </c>
      <c r="AD396" s="34" t="n"/>
      <c r="AE396" s="34" t="n"/>
      <c r="AF396" s="34" t="n"/>
      <c r="AG396" s="34" t="n"/>
      <c r="AH396" s="261">
        <f>IFERROR(AH394*(1-AH395),"n/a")</f>
        <v>1299.26593712003</v>
      </c>
      <c r="AI396" s="34" t="n"/>
      <c r="AJ396" s="34" t="n"/>
      <c r="AK396" s="34" t="n"/>
      <c r="AL396" s="34" t="n"/>
      <c r="AM396" s="261">
        <f>IFERROR(AM394*(1-AM395),"n/a")</f>
        <v>1601.84587637318</v>
      </c>
      <c r="AN396" s="34" t="n"/>
      <c r="AO396" s="34" t="n"/>
      <c r="AP396" s="34" t="n"/>
      <c r="AQ396" s="34" t="n"/>
      <c r="AR396" s="261">
        <f>IFERROR(AR394*(1-AR395),"n/a")</f>
        <v>1744.481555334</v>
      </c>
      <c r="AS396" s="34" t="n"/>
      <c r="AT396" s="34" t="n"/>
      <c r="AU396" s="34" t="n"/>
      <c r="AV396" s="34" t="n"/>
      <c r="AW396" s="261">
        <f>IFERROR(AW394*(1-AW395),"n/a")</f>
        <v>2046.5671641791</v>
      </c>
      <c r="AX396" s="34" t="n"/>
      <c r="AY396" s="34" t="n"/>
      <c r="AZ396" s="34" t="n"/>
      <c r="BA396" s="34" t="n"/>
      <c r="BB396" s="261">
        <f>IFERROR(BB394*(1-BB395),"n/a")</f>
        <v>2409.3215154675</v>
      </c>
      <c r="BC396" s="34" t="n"/>
      <c r="BD396" s="34" t="n"/>
      <c r="BE396" s="34" t="n"/>
      <c r="BF396" s="34" t="n"/>
      <c r="BG396" s="261">
        <f>IFERROR(BG394*(1-BG395),"n/a")</f>
        <v>1717.22035573123</v>
      </c>
      <c r="BH396" s="34" t="n"/>
      <c r="BI396" s="34" t="n"/>
      <c r="BJ396" s="34" t="n"/>
      <c r="BK396" s="34" t="n"/>
      <c r="BL396" s="261">
        <f>IFERROR(BL394*(1-BL395),"n/a")</f>
        <v>1988.87657657658</v>
      </c>
      <c r="BM396" s="34" t="n"/>
      <c r="BN396" s="34" t="n"/>
      <c r="BO396" s="34" t="n"/>
      <c r="BP396" s="34" t="n"/>
      <c r="BQ396" s="261">
        <f>IFERROR(BQ394*(1-BQ395),"n/a")</f>
        <v>2419.45187165775</v>
      </c>
      <c r="BR396" s="34" t="n"/>
      <c r="BS396" s="34" t="n"/>
      <c r="BT396" s="34" t="n"/>
      <c r="BU396" s="34" t="n"/>
      <c r="BV396" s="261">
        <f>IFERROR(BV394*(1-BV395),"n/a")</f>
        <v>2879.51382823872</v>
      </c>
      <c r="BW396" s="34" t="n"/>
      <c r="BX396" s="34" t="n"/>
      <c r="BY396" s="35" t="n"/>
      <c r="BZ396" s="35" t="n"/>
      <c r="CA396" s="254">
        <f>IFERROR(CA394*(1-CA395),"n/a")</f>
        <v>3075.69031900608</v>
      </c>
      <c r="CB396" s="254">
        <f>IFERROR(CB394*(1-CB395),"n/a")</f>
        <v>3320.72104832234</v>
      </c>
      <c r="CC396" s="254">
        <f>IFERROR(CC394*(1-CC395),"n/a")</f>
        <v>3575.57997512846</v>
      </c>
      <c r="CD396" s="254">
        <f>IFERROR(CD394*(1-CD395),"n/a")</f>
        <v>3840.08850496403</v>
      </c>
      <c r="CE396" s="254">
        <f>IFERROR(CE394*(1-CE395),"n/a")</f>
        <v>4113.67075639966</v>
      </c>
      <c r="CF396" s="19" t="n"/>
    </row>
    <row r="397" ht="15" customHeight="1" s="251">
      <c r="B397" s="25" t="inlineStr">
        <is>
          <t>Invested capital (IC) = Equity + Net debt</t>
        </is>
      </c>
      <c r="C397" s="261">
        <f>IFERROR(C398+C399,"n/a")</f>
        <v>-16.1</v>
      </c>
      <c r="D397" s="261">
        <f>IFERROR(D398+D399,"n/a")</f>
        <v>-72.6999999999999</v>
      </c>
      <c r="E397" s="261">
        <f>IFERROR(E398+E399,"n/a")</f>
        <v>220.3</v>
      </c>
      <c r="F397" s="261">
        <f>IFERROR(F398+F399,"n/a")</f>
        <v>113.7</v>
      </c>
      <c r="G397" s="261">
        <f>IFERROR(G398+G399,"n/a")</f>
        <v>268.9</v>
      </c>
      <c r="H397" s="261">
        <f>IFERROR(H398+H399,"n/a")</f>
        <v>310.6</v>
      </c>
      <c r="I397" s="261">
        <f>IFERROR(I398+I399,"n/a")</f>
        <v>294.5</v>
      </c>
      <c r="J397" s="34" t="n"/>
      <c r="K397" s="34" t="n"/>
      <c r="L397" s="34" t="n"/>
      <c r="M397" s="34" t="n"/>
      <c r="N397" s="261">
        <f>IFERROR(N398+N399,"n/a")</f>
        <v>343.4</v>
      </c>
      <c r="O397" s="34" t="n"/>
      <c r="P397" s="34" t="n"/>
      <c r="Q397" s="34" t="n"/>
      <c r="R397" s="34" t="n"/>
      <c r="S397" s="261">
        <f>IFERROR(S398+S399,"n/a")</f>
        <v>912.6</v>
      </c>
      <c r="T397" s="34" t="n"/>
      <c r="U397" s="34" t="n"/>
      <c r="V397" s="34" t="n"/>
      <c r="W397" s="34" t="n"/>
      <c r="X397" s="261">
        <f>IFERROR(X398+X399,"n/a")</f>
        <v>835.8</v>
      </c>
      <c r="Y397" s="34" t="n"/>
      <c r="Z397" s="34" t="n"/>
      <c r="AA397" s="34" t="n"/>
      <c r="AB397" s="34" t="n"/>
      <c r="AC397" s="261">
        <f>IFERROR(AC398+AC399,"n/a")</f>
        <v>110.8</v>
      </c>
      <c r="AD397" s="34" t="n"/>
      <c r="AE397" s="34" t="n"/>
      <c r="AF397" s="34" t="n"/>
      <c r="AG397" s="34" t="n"/>
      <c r="AH397" s="261">
        <f>IFERROR(AH398+AH399,"n/a")</f>
        <v>4242.3</v>
      </c>
      <c r="AI397" s="34" t="n"/>
      <c r="AJ397" s="34" t="n"/>
      <c r="AK397" s="34" t="n"/>
      <c r="AL397" s="34" t="n"/>
      <c r="AM397" s="261">
        <f>IFERROR(AM398+AM399,"n/a")</f>
        <v>4515</v>
      </c>
      <c r="AN397" s="34" t="n"/>
      <c r="AO397" s="34" t="n"/>
      <c r="AP397" s="34" t="n"/>
      <c r="AQ397" s="34" t="n"/>
      <c r="AR397" s="261">
        <f>IFERROR(AR398+AR399,"n/a")</f>
        <v>4482</v>
      </c>
      <c r="AS397" s="34" t="n"/>
      <c r="AT397" s="34" t="n"/>
      <c r="AU397" s="34" t="n"/>
      <c r="AV397" s="34" t="n"/>
      <c r="AW397" s="261">
        <f>IFERROR(AW398+AW399,"n/a")</f>
        <v>5489</v>
      </c>
      <c r="AX397" s="34" t="n"/>
      <c r="AY397" s="34" t="n"/>
      <c r="AZ397" s="34" t="n"/>
      <c r="BA397" s="34" t="n"/>
      <c r="BB397" s="261">
        <f>IFERROR(BB398+BB399,"n/a")</f>
        <v>8427</v>
      </c>
      <c r="BC397" s="34" t="n"/>
      <c r="BD397" s="34" t="n"/>
      <c r="BE397" s="34" t="n"/>
      <c r="BF397" s="34" t="n"/>
      <c r="BG397" s="261">
        <f>IFERROR(BG398+BG399,"n/a")</f>
        <v>8219</v>
      </c>
      <c r="BH397" s="34" t="n"/>
      <c r="BI397" s="34" t="n"/>
      <c r="BJ397" s="34" t="n"/>
      <c r="BK397" s="34" t="n"/>
      <c r="BL397" s="261">
        <f>IFERROR(BL398+BL399,"n/a")</f>
        <v>8284</v>
      </c>
      <c r="BM397" s="34" t="n"/>
      <c r="BN397" s="34" t="n"/>
      <c r="BO397" s="34" t="n"/>
      <c r="BP397" s="34" t="n"/>
      <c r="BQ397" s="261">
        <f>IFERROR(BQ398+BQ399,"n/a")</f>
        <v>8181</v>
      </c>
      <c r="BR397" s="34" t="n"/>
      <c r="BS397" s="34" t="n"/>
      <c r="BT397" s="34" t="n"/>
      <c r="BU397" s="34" t="n"/>
      <c r="BV397" s="261">
        <f>IFERROR(BV398+BV399,"n/a")</f>
        <v>8751</v>
      </c>
      <c r="BW397" s="34" t="n"/>
      <c r="BX397" s="34" t="n"/>
      <c r="BY397" s="35" t="n"/>
      <c r="BZ397" s="35" t="n"/>
      <c r="CA397" s="254">
        <f>IFERROR(CA398+CA399,"n/a")</f>
        <v>8501.86353506849</v>
      </c>
      <c r="CB397" s="254">
        <f>IFERROR(CB398+CB399,"n/a")</f>
        <v>8599.51215902729</v>
      </c>
      <c r="CC397" s="254">
        <f>IFERROR(CC398+CC399,"n/a")</f>
        <v>8685.50521715763</v>
      </c>
      <c r="CD397" s="254">
        <f>IFERROR(CD398+CD399,"n/a")</f>
        <v>8795.01834268353</v>
      </c>
      <c r="CE397" s="254">
        <f>IFERROR(CE398+CE399,"n/a")</f>
        <v>8931.04139890496</v>
      </c>
      <c r="CF397" s="19" t="n"/>
    </row>
    <row r="398" ht="15" customHeight="1" s="251">
      <c r="B398" s="25" t="inlineStr">
        <is>
          <t xml:space="preserve">  Total equity (incl. NCI)</t>
        </is>
      </c>
      <c r="C398" s="261">
        <f>IF(ISNUMBER(C333),C333,"n/a")</f>
        <v>167.4</v>
      </c>
      <c r="D398" s="261">
        <f>IF(ISNUMBER(D333),D333,"n/a")</f>
        <v>-783.6</v>
      </c>
      <c r="E398" s="261">
        <f>IF(ISNUMBER(E333),E333,"n/a")</f>
        <v>-994.4</v>
      </c>
      <c r="F398" s="261">
        <f>IF(ISNUMBER(F333),F333,"n/a")</f>
        <v>-596.1</v>
      </c>
      <c r="G398" s="261">
        <f>IF(ISNUMBER(G333),G333,"n/a")</f>
        <v>-298.4</v>
      </c>
      <c r="H398" s="261">
        <f>IF(ISNUMBER(H333),H333,"n/a")</f>
        <v>-158.4</v>
      </c>
      <c r="I398" s="261">
        <f>IF(ISNUMBER(I333),I333,"n/a")</f>
        <v>396.6</v>
      </c>
      <c r="J398" s="34" t="n"/>
      <c r="K398" s="34" t="n"/>
      <c r="L398" s="34" t="n"/>
      <c r="M398" s="34" t="n"/>
      <c r="N398" s="261">
        <f>IF(ISNUMBER(N333),N333,"n/a")</f>
        <v>347.9</v>
      </c>
      <c r="O398" s="34" t="n"/>
      <c r="P398" s="34" t="n"/>
      <c r="Q398" s="34" t="n"/>
      <c r="R398" s="34" t="n"/>
      <c r="S398" s="261">
        <f>IF(ISNUMBER(S333),S333,"n/a")</f>
        <v>42.9</v>
      </c>
      <c r="T398" s="34" t="n"/>
      <c r="U398" s="34" t="n"/>
      <c r="V398" s="34" t="n"/>
      <c r="W398" s="34" t="n"/>
      <c r="X398" s="261">
        <f>IF(ISNUMBER(X333),X333,"n/a")</f>
        <v>-333</v>
      </c>
      <c r="Y398" s="34" t="n"/>
      <c r="Z398" s="34" t="n"/>
      <c r="AA398" s="34" t="n"/>
      <c r="AB398" s="34" t="n"/>
      <c r="AC398" s="261">
        <f>IF(ISNUMBER(AC333),AC333,"n/a")</f>
        <v>-1027.3</v>
      </c>
      <c r="AD398" s="34" t="n"/>
      <c r="AE398" s="34" t="n"/>
      <c r="AF398" s="34" t="n"/>
      <c r="AG398" s="34" t="n"/>
      <c r="AH398" s="261">
        <f>IF(ISNUMBER(AH333),AH333,"n/a")</f>
        <v>-114.9</v>
      </c>
      <c r="AI398" s="34" t="n"/>
      <c r="AJ398" s="34" t="n"/>
      <c r="AK398" s="34" t="n"/>
      <c r="AL398" s="34" t="n"/>
      <c r="AM398" s="261">
        <f>IF(ISNUMBER(AM333),AM333,"n/a")</f>
        <v>656.5</v>
      </c>
      <c r="AN398" s="34" t="n"/>
      <c r="AO398" s="34" t="n"/>
      <c r="AP398" s="34" t="n"/>
      <c r="AQ398" s="34" t="n"/>
      <c r="AR398" s="261">
        <f>IF(ISNUMBER(AR333),AR333,"n/a")</f>
        <v>831</v>
      </c>
      <c r="AS398" s="34" t="n"/>
      <c r="AT398" s="34" t="n"/>
      <c r="AU398" s="34" t="n"/>
      <c r="AV398" s="34" t="n"/>
      <c r="AW398" s="261">
        <f>IF(ISNUMBER(AW333),AW333,"n/a")</f>
        <v>1763</v>
      </c>
      <c r="AX398" s="34" t="n"/>
      <c r="AY398" s="34" t="n"/>
      <c r="AZ398" s="34" t="n"/>
      <c r="BA398" s="34" t="n"/>
      <c r="BB398" s="261">
        <f>IF(ISNUMBER(BB333),BB333,"n/a")</f>
        <v>2916</v>
      </c>
      <c r="BC398" s="34" t="n"/>
      <c r="BD398" s="34" t="n"/>
      <c r="BE398" s="34" t="n"/>
      <c r="BF398" s="34" t="n"/>
      <c r="BG398" s="261">
        <f>IF(ISNUMBER(BG333),BG333,"n/a")</f>
        <v>2689</v>
      </c>
      <c r="BH398" s="34" t="n"/>
      <c r="BI398" s="34" t="n"/>
      <c r="BJ398" s="34" t="n"/>
      <c r="BK398" s="34" t="n"/>
      <c r="BL398" s="261">
        <f>IF(ISNUMBER(BL333),BL333,"n/a")</f>
        <v>3476</v>
      </c>
      <c r="BM398" s="34" t="n"/>
      <c r="BN398" s="34" t="n"/>
      <c r="BO398" s="34" t="n"/>
      <c r="BP398" s="34" t="n"/>
      <c r="BQ398" s="261">
        <f>IF(ISNUMBER(BQ333),BQ333,"n/a")</f>
        <v>3727</v>
      </c>
      <c r="BR398" s="34" t="n"/>
      <c r="BS398" s="34" t="n"/>
      <c r="BT398" s="34" t="n"/>
      <c r="BU398" s="34" t="n"/>
      <c r="BV398" s="261">
        <f>IF(ISNUMBER(BV333),BV333,"n/a")</f>
        <v>4205</v>
      </c>
      <c r="BW398" s="34" t="n"/>
      <c r="BX398" s="34" t="n"/>
      <c r="BY398" s="35" t="n"/>
      <c r="BZ398" s="35" t="n"/>
      <c r="CA398" s="254">
        <f>IF(ISNUMBER(CA333),CA333,"n/a")</f>
        <v>3510.81431648936</v>
      </c>
      <c r="CB398" s="254">
        <f>IF(ISNUMBER(CB333),CB333,"n/a")</f>
        <v>2769.8800126801</v>
      </c>
      <c r="CC398" s="254">
        <f>IF(ISNUMBER(CC333),CC333,"n/a")</f>
        <v>2397.97786333775</v>
      </c>
      <c r="CD398" s="254">
        <f>IF(ISNUMBER(CD333),CD333,"n/a")</f>
        <v>2031.78974785269</v>
      </c>
      <c r="CE398" s="254">
        <f>IF(ISNUMBER(CE333),CE333,"n/a")</f>
        <v>1689.22429042377</v>
      </c>
      <c r="CF398" s="19" t="n"/>
    </row>
    <row r="399" ht="15" customHeight="1" s="251">
      <c r="B399" s="25" t="inlineStr">
        <is>
          <t xml:space="preserve">  Net debt = Total debt − cash − short-term investments</t>
        </is>
      </c>
      <c r="C399" s="261">
        <f>IFERROR(C368-C312-N(C313),"n/a")</f>
        <v>-183.5</v>
      </c>
      <c r="D399" s="261">
        <f>IFERROR(D368-D312-N(D313),"n/a")</f>
        <v>710.9</v>
      </c>
      <c r="E399" s="261">
        <f>IFERROR(E368-E312-N(E313),"n/a")</f>
        <v>1214.7</v>
      </c>
      <c r="F399" s="261">
        <f>IFERROR(F368-F312-N(F313),"n/a")</f>
        <v>709.8</v>
      </c>
      <c r="G399" s="261">
        <f>IFERROR(G368-G312-N(G313),"n/a")</f>
        <v>567.3</v>
      </c>
      <c r="H399" s="261">
        <f>IFERROR(H368-H312-N(H313),"n/a")</f>
        <v>469</v>
      </c>
      <c r="I399" s="261">
        <f>IFERROR(I368-I312-N(I313),"n/a")</f>
        <v>-102.1</v>
      </c>
      <c r="J399" s="34" t="n"/>
      <c r="K399" s="34" t="n"/>
      <c r="L399" s="34" t="n"/>
      <c r="M399" s="34" t="n"/>
      <c r="N399" s="261">
        <f>IFERROR(N368-N312-N(N313),"n/a")</f>
        <v>-4.49999999999983</v>
      </c>
      <c r="O399" s="34" t="n"/>
      <c r="P399" s="34" t="n"/>
      <c r="Q399" s="34" t="n"/>
      <c r="R399" s="34" t="n"/>
      <c r="S399" s="261">
        <f>IFERROR(S368-S312-N(S313),"n/a")</f>
        <v>869.7</v>
      </c>
      <c r="T399" s="34" t="n"/>
      <c r="U399" s="34" t="n"/>
      <c r="V399" s="34" t="n"/>
      <c r="W399" s="34" t="n"/>
      <c r="X399" s="261">
        <f>IFERROR(X368-X312-N(X313),"n/a")</f>
        <v>1168.8</v>
      </c>
      <c r="Y399" s="34" t="n"/>
      <c r="Z399" s="34" t="n"/>
      <c r="AA399" s="34" t="n"/>
      <c r="AB399" s="34" t="n"/>
      <c r="AC399" s="261">
        <f>IFERROR(AC368-AC312-N(AC313),"n/a")</f>
        <v>1138.1</v>
      </c>
      <c r="AD399" s="34" t="n"/>
      <c r="AE399" s="34" t="n"/>
      <c r="AF399" s="34" t="n"/>
      <c r="AG399" s="34" t="n"/>
      <c r="AH399" s="261">
        <f>IFERROR(AH368-AH312-N(AH313),"n/a")</f>
        <v>4357.2</v>
      </c>
      <c r="AI399" s="34" t="n"/>
      <c r="AJ399" s="34" t="n"/>
      <c r="AK399" s="34" t="n"/>
      <c r="AL399" s="34" t="n"/>
      <c r="AM399" s="261">
        <f>IFERROR(AM368-AM312-N(AM313),"n/a")</f>
        <v>3858.5</v>
      </c>
      <c r="AN399" s="34" t="n"/>
      <c r="AO399" s="34" t="n"/>
      <c r="AP399" s="34" t="n"/>
      <c r="AQ399" s="34" t="n"/>
      <c r="AR399" s="261">
        <f>IFERROR(AR368-AR312-N(AR313),"n/a")</f>
        <v>3651</v>
      </c>
      <c r="AS399" s="34" t="n"/>
      <c r="AT399" s="34" t="n"/>
      <c r="AU399" s="34" t="n"/>
      <c r="AV399" s="34" t="n"/>
      <c r="AW399" s="261">
        <f>IFERROR(AW368-AW312-N(AW313),"n/a")</f>
        <v>3726</v>
      </c>
      <c r="AX399" s="34" t="n"/>
      <c r="AY399" s="34" t="n"/>
      <c r="AZ399" s="34" t="n"/>
      <c r="BA399" s="34" t="n"/>
      <c r="BB399" s="261">
        <f>IFERROR(BB368-BB312-N(BB313),"n/a")</f>
        <v>5511</v>
      </c>
      <c r="BC399" s="34" t="n"/>
      <c r="BD399" s="34" t="n"/>
      <c r="BE399" s="34" t="n"/>
      <c r="BF399" s="34" t="n"/>
      <c r="BG399" s="261">
        <f>IFERROR(BG368-BG312-N(BG313),"n/a")</f>
        <v>5530</v>
      </c>
      <c r="BH399" s="34" t="n"/>
      <c r="BI399" s="34" t="n"/>
      <c r="BJ399" s="34" t="n"/>
      <c r="BK399" s="34" t="n"/>
      <c r="BL399" s="261">
        <f>IFERROR(BL368-BL312-N(BL313),"n/a")</f>
        <v>4808</v>
      </c>
      <c r="BM399" s="34" t="n"/>
      <c r="BN399" s="34" t="n"/>
      <c r="BO399" s="34" t="n"/>
      <c r="BP399" s="34" t="n"/>
      <c r="BQ399" s="261">
        <f>IFERROR(BQ368-BQ312-N(BQ313),"n/a")</f>
        <v>4454</v>
      </c>
      <c r="BR399" s="34" t="n"/>
      <c r="BS399" s="34" t="n"/>
      <c r="BT399" s="34" t="n"/>
      <c r="BU399" s="34" t="n"/>
      <c r="BV399" s="261">
        <f>IFERROR(BV368-BV312-N(BV313),"n/a")</f>
        <v>4546</v>
      </c>
      <c r="BW399" s="34" t="n"/>
      <c r="BX399" s="34" t="n"/>
      <c r="BY399" s="35" t="n"/>
      <c r="BZ399" s="35" t="n"/>
      <c r="CA399" s="254">
        <f>IFERROR(CA368-CA312-N(CA313),"n/a")</f>
        <v>4991.04921857913</v>
      </c>
      <c r="CB399" s="254">
        <f>IFERROR(CB368-CB312-N(CB313),"n/a")</f>
        <v>5829.6321463472</v>
      </c>
      <c r="CC399" s="254">
        <f>IFERROR(CC368-CC312-N(CC313),"n/a")</f>
        <v>6287.52735381988</v>
      </c>
      <c r="CD399" s="254">
        <f>IFERROR(CD368-CD312-N(CD313),"n/a")</f>
        <v>6763.22859483085</v>
      </c>
      <c r="CE399" s="254">
        <f>IFERROR(CE368-CE312-N(CE313),"n/a")</f>
        <v>7241.81710848119</v>
      </c>
      <c r="CF399" s="19" t="n"/>
    </row>
    <row r="400" ht="15" customHeight="1" s="251">
      <c r="B400" s="55" t="inlineStr">
        <is>
          <t>ROIC = NOPAT / IC</t>
        </is>
      </c>
      <c r="C400" s="295" t="str">
        <f>IFERROR(IF(C397&lt;0.25*C163,"n/m",C396/C397),"n/a")</f>
        <v>n/m</v>
      </c>
      <c r="D400" s="295" t="str">
        <f>IFERROR(IF(D397&lt;0.25*D163,"n/m",D396/D397),"n/a")</f>
        <v>n/m</v>
      </c>
      <c r="E400" s="295" t="str">
        <f>IFERROR(IF(E397&lt;0.25*E163,"n/m",E396/E397),"n/a")</f>
        <v>n/m</v>
      </c>
      <c r="F400" s="295" t="str">
        <f>IFERROR(IF(F397&lt;0.25*F163,"n/m",F396/F397),"n/a")</f>
        <v>n/m</v>
      </c>
      <c r="G400" s="295" t="str">
        <f>IFERROR(IF(G397&lt;0.25*G163,"n/m",G396/G397),"n/a")</f>
        <v>n/m</v>
      </c>
      <c r="H400" s="295" t="str">
        <f>IFERROR(IF(H397&lt;0.25*H163,"n/m",H396/H397),"n/a")</f>
        <v>n/m</v>
      </c>
      <c r="I400" s="295" t="str">
        <f>IFERROR(IF(I397&lt;0.25*I163,"n/m",I396/I397),"n/a")</f>
        <v>n/m</v>
      </c>
      <c r="J400" s="56" t="n"/>
      <c r="K400" s="56" t="n"/>
      <c r="L400" s="56" t="n"/>
      <c r="M400" s="56" t="n"/>
      <c r="N400" s="295" t="str">
        <f>IFERROR(IF(N397&lt;0.25*N163,"n/m",N396/N397),"n/a")</f>
        <v>n/m</v>
      </c>
      <c r="O400" s="56" t="n"/>
      <c r="P400" s="56" t="n"/>
      <c r="Q400" s="56" t="n"/>
      <c r="R400" s="56" t="n"/>
      <c r="S400" s="295">
        <f>IFERROR(IF(S397&lt;0.25*S163,"n/m",S396/S397),"n/a")</f>
        <v>1.09064074867301</v>
      </c>
      <c r="T400" s="56" t="n"/>
      <c r="U400" s="56" t="n"/>
      <c r="V400" s="56" t="n"/>
      <c r="W400" s="56" t="n"/>
      <c r="X400" s="295" t="str">
        <f>IFERROR(IF(X397&lt;0.25*X163,"n/m",X396/X397),"n/a")</f>
        <v>n/m</v>
      </c>
      <c r="Y400" s="56" t="n"/>
      <c r="Z400" s="56" t="n"/>
      <c r="AA400" s="56" t="n"/>
      <c r="AB400" s="56" t="n"/>
      <c r="AC400" s="295" t="str">
        <f>IFERROR(IF(AC397&lt;0.25*AC163,"n/m",AC396/AC397),"n/a")</f>
        <v>n/m</v>
      </c>
      <c r="AD400" s="56" t="n"/>
      <c r="AE400" s="56" t="n"/>
      <c r="AF400" s="56" t="n"/>
      <c r="AG400" s="56" t="n"/>
      <c r="AH400" s="295">
        <f>IFERROR(IF(AH397&lt;0.25*AH163,"n/m",AH396/AH397),"n/a")</f>
        <v>0.306264511496129</v>
      </c>
      <c r="AI400" s="56" t="n"/>
      <c r="AJ400" s="56" t="n"/>
      <c r="AK400" s="56" t="n"/>
      <c r="AL400" s="56" t="n"/>
      <c r="AM400" s="295">
        <f>IFERROR(IF(AM397&lt;0.25*AM163,"n/m",AM396/AM397),"n/a")</f>
        <v>0.35478313983902</v>
      </c>
      <c r="AN400" s="56" t="n"/>
      <c r="AO400" s="56" t="n"/>
      <c r="AP400" s="56" t="n"/>
      <c r="AQ400" s="56" t="n"/>
      <c r="AR400" s="295">
        <f>IFERROR(IF(AR397&lt;0.25*AR163,"n/m",AR396/AR397),"n/a")</f>
        <v>0.389219445634538</v>
      </c>
      <c r="AS400" s="56" t="n"/>
      <c r="AT400" s="56" t="n"/>
      <c r="AU400" s="56" t="n"/>
      <c r="AV400" s="56" t="n"/>
      <c r="AW400" s="295">
        <f>IFERROR(IF(AW397&lt;0.25*AW163,"n/m",AW396/AW397),"n/a")</f>
        <v>0.372848818396631</v>
      </c>
      <c r="AX400" s="56" t="n"/>
      <c r="AY400" s="56" t="n"/>
      <c r="AZ400" s="56" t="n"/>
      <c r="BA400" s="56" t="n"/>
      <c r="BB400" s="295">
        <f>IFERROR(IF(BB397&lt;0.25*BB163,"n/m",BB396/BB397),"n/a")</f>
        <v>0.285905009548772</v>
      </c>
      <c r="BC400" s="56" t="n"/>
      <c r="BD400" s="56" t="n"/>
      <c r="BE400" s="56" t="n"/>
      <c r="BF400" s="56" t="n"/>
      <c r="BG400" s="295">
        <f>IFERROR(IF(BG397&lt;0.25*BG163,"n/m",BG396/BG397),"n/a")</f>
        <v>0.208933003495708</v>
      </c>
      <c r="BH400" s="56" t="n"/>
      <c r="BI400" s="56" t="n"/>
      <c r="BJ400" s="56" t="n"/>
      <c r="BK400" s="56" t="n"/>
      <c r="BL400" s="295">
        <f>IFERROR(IF(BL397&lt;0.25*BL163,"n/m",BL396/BL397),"n/a")</f>
        <v>0.240086501276748</v>
      </c>
      <c r="BM400" s="56" t="n"/>
      <c r="BN400" s="56" t="n"/>
      <c r="BO400" s="56" t="n"/>
      <c r="BP400" s="56" t="n"/>
      <c r="BQ400" s="295">
        <f>IFERROR(IF(BQ397&lt;0.25*BQ163,"n/m",BQ396/BQ397),"n/a")</f>
        <v>0.29574035834956</v>
      </c>
      <c r="BR400" s="56" t="n"/>
      <c r="BS400" s="56" t="n"/>
      <c r="BT400" s="56" t="n"/>
      <c r="BU400" s="56" t="n"/>
      <c r="BV400" s="295">
        <f>IFERROR(IF(BV397&lt;0.25*BV163,"n/m",BV396/BV397),"n/a")</f>
        <v>0.329049688977113</v>
      </c>
      <c r="BW400" s="56" t="n"/>
      <c r="BX400" s="56" t="n"/>
      <c r="BY400" s="56" t="n"/>
      <c r="BZ400" s="56" t="n"/>
      <c r="CA400" s="295">
        <f>IFERROR(IF(CA397&lt;0.25*CA163,"n/m",CA396/CA397),"n/a")</f>
        <v>0.361766606382173</v>
      </c>
      <c r="CB400" s="295">
        <f>IFERROR(IF(CB397&lt;0.25*CB163,"n/m",CB396/CB397),"n/a")</f>
        <v>0.386152259211172</v>
      </c>
      <c r="CC400" s="295">
        <f>IFERROR(IF(CC397&lt;0.25*CC163,"n/m",CC396/CC397),"n/a")</f>
        <v>0.411672077297835</v>
      </c>
      <c r="CD400" s="295">
        <f>IFERROR(IF(CD397&lt;0.25*CD163,"n/m",CD396/CD397),"n/a")</f>
        <v>0.436620863691381</v>
      </c>
      <c r="CE400" s="295">
        <f>IFERROR(IF(CE397&lt;0.25*CE163,"n/m",CE396/CE397),"n/a")</f>
        <v>0.460603704838279</v>
      </c>
      <c r="CF400" s="153" t="inlineStr">
        <is>
          <t>Book invested capital is small or negative after two decades of buybacks funded by debt (equity deficit 2007–11 and 2014–17); ROIC is shown as n/m where IC &lt; 25% of revenue (model convention).</t>
        </is>
      </c>
      <c r="CH400" s="37">
        <f>IFERROR(AVERAGE(CA400,CB400,CC400,CD400,CE400),"n/m")</f>
        <v>0.411363102284168</v>
      </c>
      <c r="CI400" s="37">
        <f>IFERROR(AVERAGE(BB400,BG400,BL400,BQ400,BV400),"n/m")</f>
        <v>0.27194291232958</v>
      </c>
      <c r="CJ400" s="37">
        <f>IFERROR(AVERAGE(AC400,AH400,AM400,AR400,AW400,BB400,BG400,BL400,BQ400,BV400),"n/m")</f>
        <v>0.309203386334913</v>
      </c>
      <c r="CK400" s="37">
        <f>IFERROR(AVERAGE(C400,D400,E400,F400,G400,H400,I400,N400,S400,X400,AC400,AH400,AM400,AR400,AW400,BB400,BG400,BL400,BQ400,BV400),"n/m")</f>
        <v>0.387347122568723</v>
      </c>
    </row>
    <row r="401" ht="15" customHeight="1" s="251">
      <c r="B401" s="25" t="inlineStr">
        <is>
          <t xml:space="preserve">  Margin = Adjusted EBITA / Revenue</t>
        </is>
      </c>
      <c r="C401" s="215" t="str">
        <f>IFERROR(C394/C163,"n/a")</f>
        <v>n/a</v>
      </c>
      <c r="D401" s="215" t="str">
        <f>IFERROR(D394/D163,"n/a")</f>
        <v>n/a</v>
      </c>
      <c r="E401" s="215">
        <f>IFERROR(E394/E163,"n/a")</f>
        <v>0.440868178193004</v>
      </c>
      <c r="F401" s="215">
        <f>IFERROR(F394/F163,"n/a")</f>
        <v>0.40140218117071</v>
      </c>
      <c r="G401" s="215">
        <f>IFERROR(G394/G163,"n/a")</f>
        <v>0.388435039370079</v>
      </c>
      <c r="H401" s="215">
        <f>IFERROR(H394/H163,"n/a")</f>
        <v>0.398517998859999</v>
      </c>
      <c r="I401" s="215">
        <f>IFERROR(I394/I163,"n/a")</f>
        <v>0.410101454052668</v>
      </c>
      <c r="J401" s="34" t="n"/>
      <c r="K401" s="34" t="n"/>
      <c r="L401" s="34" t="n"/>
      <c r="M401" s="34" t="n"/>
      <c r="N401" s="215">
        <f>IFERROR(N394/N163,"n/a")</f>
        <v>0.424760302775442</v>
      </c>
      <c r="O401" s="34" t="n"/>
      <c r="P401" s="34" t="n"/>
      <c r="Q401" s="34" t="n"/>
      <c r="R401" s="34" t="n"/>
      <c r="S401" s="215">
        <f>IFERROR(S394/S163,"n/a")</f>
        <v>0.440122364514291</v>
      </c>
      <c r="T401" s="34" t="n"/>
      <c r="U401" s="34" t="n"/>
      <c r="V401" s="34" t="n"/>
      <c r="W401" s="34" t="n"/>
      <c r="X401" s="215">
        <f>IFERROR(X394/X163,"n/a")</f>
        <v>0.431998852059119</v>
      </c>
      <c r="Y401" s="34" t="n"/>
      <c r="Z401" s="34" t="n"/>
      <c r="AA401" s="34" t="n"/>
      <c r="AB401" s="34" t="n"/>
      <c r="AC401" s="215">
        <f>IFERROR(AC394/AC163,"n/a")</f>
        <v>0.429693135786027</v>
      </c>
      <c r="AD401" s="34" t="n"/>
      <c r="AE401" s="34" t="n"/>
      <c r="AF401" s="34" t="n"/>
      <c r="AG401" s="34" t="n"/>
      <c r="AH401" s="215">
        <f>IFERROR(AH394/AH163,"n/a")</f>
        <v>0.450274731809424</v>
      </c>
      <c r="AI401" s="34" t="n"/>
      <c r="AJ401" s="34" t="n"/>
      <c r="AK401" s="34" t="n"/>
      <c r="AL401" s="34" t="n"/>
      <c r="AM401" s="215">
        <f>IFERROR(AM394/AM163,"n/a")</f>
        <v>0.456231570891575</v>
      </c>
      <c r="AN401" s="34" t="n"/>
      <c r="AO401" s="34" t="n"/>
      <c r="AP401" s="34" t="n"/>
      <c r="AQ401" s="34" t="n"/>
      <c r="AR401" s="215">
        <f>IFERROR(AR394/AR163,"n/a")</f>
        <v>0.454338372333817</v>
      </c>
      <c r="AS401" s="34" t="n"/>
      <c r="AT401" s="34" t="n"/>
      <c r="AU401" s="34" t="n"/>
      <c r="AV401" s="34" t="n"/>
      <c r="AW401" s="215">
        <f>IFERROR(AW394/AW163,"n/a")</f>
        <v>0.478681809718861</v>
      </c>
      <c r="AX401" s="34" t="n"/>
      <c r="AY401" s="34" t="n"/>
      <c r="AZ401" s="34" t="n"/>
      <c r="BA401" s="34" t="n"/>
      <c r="BB401" s="215">
        <f>IFERROR(BB394/BB163,"n/a")</f>
        <v>0.482791894499839</v>
      </c>
      <c r="BC401" s="34" t="n"/>
      <c r="BD401" s="34" t="n"/>
      <c r="BE401" s="34" t="n"/>
      <c r="BF401" s="34" t="n"/>
      <c r="BG401" s="215">
        <f>IFERROR(BG394/BG163,"n/a")</f>
        <v>0.401792245793709</v>
      </c>
      <c r="BH401" s="34" t="n"/>
      <c r="BI401" s="34" t="n"/>
      <c r="BJ401" s="34" t="n"/>
      <c r="BK401" s="34" t="n"/>
      <c r="BL401" s="215">
        <f>IFERROR(BL394/BL163,"n/a")</f>
        <v>0.409398242055443</v>
      </c>
      <c r="BM401" s="34" t="n"/>
      <c r="BN401" s="34" t="n"/>
      <c r="BO401" s="34" t="n"/>
      <c r="BP401" s="34" t="n"/>
      <c r="BQ401" s="215">
        <f>IFERROR(BQ394/BQ163,"n/a")</f>
        <v>0.447940180586907</v>
      </c>
      <c r="BR401" s="34" t="n"/>
      <c r="BS401" s="34" t="n"/>
      <c r="BT401" s="34" t="n"/>
      <c r="BU401" s="34" t="n"/>
      <c r="BV401" s="215">
        <f>IFERROR(BV394/BV163,"n/a")</f>
        <v>0.476418761337134</v>
      </c>
      <c r="BW401" s="34" t="n"/>
      <c r="BX401" s="34" t="n"/>
      <c r="BY401" s="35" t="n"/>
      <c r="BZ401" s="35" t="n"/>
      <c r="CA401" s="256">
        <f>IFERROR(CA394/CA163,"n/a")</f>
        <v>0.491218077413924</v>
      </c>
      <c r="CB401" s="256">
        <f>IFERROR(CB394/CB163,"n/a")</f>
        <v>0.495368569555706</v>
      </c>
      <c r="CC401" s="256">
        <f>IFERROR(CC394/CC163,"n/a")</f>
        <v>0.499479481946473</v>
      </c>
      <c r="CD401" s="256">
        <f>IFERROR(CD394/CD163,"n/a")</f>
        <v>0.503902540061138</v>
      </c>
      <c r="CE401" s="256">
        <f>IFERROR(CE394/CE163,"n/a")</f>
        <v>0.509207148030497</v>
      </c>
      <c r="CF401" s="19" t="n"/>
    </row>
    <row r="402" ht="15" customHeight="1" s="251">
      <c r="B402" s="25" t="inlineStr">
        <is>
          <t xml:space="preserve">  Capital turnover = Revenue / IC</t>
        </is>
      </c>
      <c r="C402" s="286">
        <f>IFERROR(C163/C397,"n/a")</f>
        <v>-126.527950310559</v>
      </c>
      <c r="D402" s="286">
        <f>IFERROR(D163/D397,"n/a")</f>
        <v>-31.0729023383769</v>
      </c>
      <c r="E402" s="286">
        <f>IFERROR(E163/E397,"n/a")</f>
        <v>7.9682251475261</v>
      </c>
      <c r="F402" s="286">
        <f>IFERROR(F163/F397,"n/a")</f>
        <v>15.806508355321</v>
      </c>
      <c r="G402" s="286">
        <f>IFERROR(G163/G397,"n/a")</f>
        <v>7.55671253253998</v>
      </c>
      <c r="H402" s="286">
        <f>IFERROR(H163/H397,"n/a")</f>
        <v>7.34288473921443</v>
      </c>
      <c r="I402" s="286">
        <f>IFERROR(I163/I397,"n/a")</f>
        <v>9.27096774193549</v>
      </c>
      <c r="J402" s="34" t="n"/>
      <c r="K402" s="34" t="n"/>
      <c r="L402" s="34" t="n"/>
      <c r="M402" s="34" t="n"/>
      <c r="N402" s="286">
        <f>IFERROR(N163/N397,"n/a")</f>
        <v>8.65608619685498</v>
      </c>
      <c r="O402" s="34" t="n"/>
      <c r="P402" s="34" t="n"/>
      <c r="Q402" s="34" t="n"/>
      <c r="R402" s="34" t="n"/>
      <c r="S402" s="286">
        <f>IFERROR(S163/S397,"n/a")</f>
        <v>3.65362699978085</v>
      </c>
      <c r="T402" s="34" t="n"/>
      <c r="U402" s="34" t="n"/>
      <c r="V402" s="34" t="n"/>
      <c r="W402" s="34" t="n"/>
      <c r="X402" s="286">
        <f>IFERROR(X163/X397,"n/a")</f>
        <v>4.16905958363245</v>
      </c>
      <c r="Y402" s="34" t="n"/>
      <c r="Z402" s="34" t="n"/>
      <c r="AA402" s="34" t="n"/>
      <c r="AB402" s="34" t="n"/>
      <c r="AC402" s="286">
        <f>IFERROR(AC163/AC397,"n/a")</f>
        <v>32.528880866426</v>
      </c>
      <c r="AD402" s="34" t="n"/>
      <c r="AE402" s="34" t="n"/>
      <c r="AF402" s="34" t="n"/>
      <c r="AG402" s="34" t="n"/>
      <c r="AH402" s="286">
        <f>IFERROR(AH163/AH397,"n/a")</f>
        <v>0.990995450581053</v>
      </c>
      <c r="AI402" s="34" t="n"/>
      <c r="AJ402" s="34" t="n"/>
      <c r="AK402" s="34" t="n"/>
      <c r="AL402" s="34" t="n"/>
      <c r="AM402" s="286">
        <f>IFERROR(AM163/AM397,"n/a")</f>
        <v>0.983986710963455</v>
      </c>
      <c r="AN402" s="34" t="n"/>
      <c r="AO402" s="34" t="n"/>
      <c r="AP402" s="34" t="n"/>
      <c r="AQ402" s="34" t="n"/>
      <c r="AR402" s="286">
        <f>IFERROR(AR163/AR397,"n/a")</f>
        <v>1.07742079428826</v>
      </c>
      <c r="AS402" s="34" t="n"/>
      <c r="AT402" s="34" t="n"/>
      <c r="AU402" s="34" t="n"/>
      <c r="AV402" s="34" t="n"/>
      <c r="AW402" s="286">
        <f>IFERROR(AW163/AW397,"n/a")</f>
        <v>0.978502459464383</v>
      </c>
      <c r="AX402" s="34" t="n"/>
      <c r="AY402" s="34" t="n"/>
      <c r="AZ402" s="34" t="n"/>
      <c r="BA402" s="34" t="n"/>
      <c r="BB402" s="286">
        <f>IFERROR(BB163/BB397,"n/a")</f>
        <v>0.737866381867806</v>
      </c>
      <c r="BC402" s="34" t="n"/>
      <c r="BD402" s="34" t="n"/>
      <c r="BE402" s="34" t="n"/>
      <c r="BF402" s="34" t="n"/>
      <c r="BG402" s="286">
        <f>IFERROR(BG163/BG397,"n/a")</f>
        <v>0.665287747901205</v>
      </c>
      <c r="BH402" s="34" t="n"/>
      <c r="BI402" s="34" t="n"/>
      <c r="BJ402" s="34" t="n"/>
      <c r="BK402" s="34" t="n"/>
      <c r="BL402" s="286">
        <f>IFERROR(BL163/BL397,"n/a")</f>
        <v>0.714147754707871</v>
      </c>
      <c r="BM402" s="34" t="n"/>
      <c r="BN402" s="34" t="n"/>
      <c r="BO402" s="34" t="n"/>
      <c r="BP402" s="34" t="n"/>
      <c r="BQ402" s="286">
        <f>IFERROR(BQ163/BQ397,"n/a")</f>
        <v>0.8663977508862</v>
      </c>
      <c r="BR402" s="34" t="n"/>
      <c r="BS402" s="34" t="n"/>
      <c r="BT402" s="34" t="n"/>
      <c r="BU402" s="34" t="n"/>
      <c r="BV402" s="286">
        <f>IFERROR(BV163/BV397,"n/a")</f>
        <v>0.88195634784596</v>
      </c>
      <c r="BW402" s="34" t="n"/>
      <c r="BX402" s="34" t="n"/>
      <c r="BY402" s="35" t="n"/>
      <c r="BZ402" s="35" t="n"/>
      <c r="CA402" s="287">
        <f>IFERROR(CA163/CA397,"n/a")</f>
        <v>0.967725483485277</v>
      </c>
      <c r="CB402" s="287">
        <f>IFERROR(CB163/CB397,"n/a")</f>
        <v>1.02569098876246</v>
      </c>
      <c r="CC402" s="287">
        <f>IFERROR(CC163/CC397,"n/a")</f>
        <v>1.08447655108334</v>
      </c>
      <c r="CD402" s="287">
        <f>IFERROR(CD163/CD397,"n/a")</f>
        <v>1.14010367236157</v>
      </c>
      <c r="CE402" s="287">
        <f>IFERROR(CE163/CE397,"n/a")</f>
        <v>1.19019834798128</v>
      </c>
      <c r="CF402" s="19" t="n"/>
    </row>
    <row r="403" ht="15" customHeight="1" s="251">
      <c r="B403" s="25" t="inlineStr">
        <is>
          <t xml:space="preserve">  Tax burden = (1 − tax rate)</t>
        </is>
      </c>
      <c r="C403" s="215">
        <f>IFERROR(1-C395,"n/a")</f>
        <v>0.598810535259133</v>
      </c>
      <c r="D403" s="215">
        <f>IFERROR(1-D395,"n/a")</f>
        <v>0.582154795577269</v>
      </c>
      <c r="E403" s="215">
        <f>IFERROR(1-E395,"n/a")</f>
        <v>0.615650490806028</v>
      </c>
      <c r="F403" s="215">
        <f>IFERROR(1-F395,"n/a")</f>
        <v>0.617447642006931</v>
      </c>
      <c r="G403" s="215">
        <f>IFERROR(1-G395,"n/a")</f>
        <v>0.712246326102169</v>
      </c>
      <c r="H403" s="215">
        <f>IFERROR(1-H395,"n/a")</f>
        <v>0.6799237913789</v>
      </c>
      <c r="I403" s="215">
        <f>IFERROR(1-I395,"n/a")</f>
        <v>0.671126953125</v>
      </c>
      <c r="J403" s="34" t="n"/>
      <c r="K403" s="34" t="n"/>
      <c r="L403" s="34" t="n"/>
      <c r="M403" s="34" t="n"/>
      <c r="N403" s="215">
        <f>IFERROR(1-N395,"n/a")</f>
        <v>0.688973754570669</v>
      </c>
      <c r="O403" s="34" t="n"/>
      <c r="P403" s="34" t="n"/>
      <c r="Q403" s="34" t="n"/>
      <c r="R403" s="34" t="n"/>
      <c r="S403" s="215">
        <f>IFERROR(1-S395,"n/a")</f>
        <v>0.678241054336622</v>
      </c>
      <c r="T403" s="34" t="n"/>
      <c r="U403" s="34" t="n"/>
      <c r="V403" s="34" t="n"/>
      <c r="W403" s="34" t="n"/>
      <c r="X403" s="215">
        <f>IFERROR(1-X395,"n/a")</f>
        <v>0.684212815308785</v>
      </c>
      <c r="Y403" s="34" t="n"/>
      <c r="Z403" s="34" t="n"/>
      <c r="AA403" s="34" t="n"/>
      <c r="AB403" s="34" t="n"/>
      <c r="AC403" s="215">
        <f>IFERROR(1-AC395,"n/a")</f>
        <v>1.81536697247707</v>
      </c>
      <c r="AD403" s="34" t="n"/>
      <c r="AE403" s="34" t="n"/>
      <c r="AF403" s="34" t="n"/>
      <c r="AG403" s="34" t="n"/>
      <c r="AH403" s="215">
        <f>IFERROR(1-AH395,"n/a")</f>
        <v>0.686352845810897</v>
      </c>
      <c r="AI403" s="34" t="n"/>
      <c r="AJ403" s="34" t="n"/>
      <c r="AK403" s="34" t="n"/>
      <c r="AL403" s="34" t="n"/>
      <c r="AM403" s="215">
        <f>IFERROR(1-AM395,"n/a")</f>
        <v>0.790293490736186</v>
      </c>
      <c r="AN403" s="34" t="n"/>
      <c r="AO403" s="34" t="n"/>
      <c r="AP403" s="34" t="n"/>
      <c r="AQ403" s="34" t="n"/>
      <c r="AR403" s="215">
        <f>IFERROR(1-AR395,"n/a")</f>
        <v>0.795114656031904</v>
      </c>
      <c r="AS403" s="34" t="n"/>
      <c r="AT403" s="34" t="n"/>
      <c r="AU403" s="34" t="n"/>
      <c r="AV403" s="34" t="n"/>
      <c r="AW403" s="215">
        <f>IFERROR(1-AW395,"n/a")</f>
        <v>0.796019900497513</v>
      </c>
      <c r="AX403" s="34" t="n"/>
      <c r="AY403" s="34" t="n"/>
      <c r="AZ403" s="34" t="n"/>
      <c r="BA403" s="34" t="n"/>
      <c r="BB403" s="215">
        <f>IFERROR(1-BB395,"n/a")</f>
        <v>0.802572123740007</v>
      </c>
      <c r="BC403" s="34" t="n"/>
      <c r="BD403" s="34" t="n"/>
      <c r="BE403" s="34" t="n"/>
      <c r="BF403" s="34" t="n"/>
      <c r="BG403" s="215">
        <f>IFERROR(1-BG395,"n/a")</f>
        <v>0.781620553359684</v>
      </c>
      <c r="BH403" s="34" t="n"/>
      <c r="BI403" s="34" t="n"/>
      <c r="BJ403" s="34" t="n"/>
      <c r="BK403" s="34" t="n"/>
      <c r="BL403" s="215">
        <f>IFERROR(1-BL395,"n/a")</f>
        <v>0.821171171171171</v>
      </c>
      <c r="BM403" s="34" t="n"/>
      <c r="BN403" s="34" t="n"/>
      <c r="BO403" s="34" t="n"/>
      <c r="BP403" s="34" t="n"/>
      <c r="BQ403" s="215">
        <f>IFERROR(1-BQ395,"n/a")</f>
        <v>0.762032085561497</v>
      </c>
      <c r="BR403" s="34" t="n"/>
      <c r="BS403" s="34" t="n"/>
      <c r="BT403" s="34" t="n"/>
      <c r="BU403" s="34" t="n"/>
      <c r="BV403" s="215">
        <f>IFERROR(1-BV395,"n/a")</f>
        <v>0.78311499272198</v>
      </c>
      <c r="BW403" s="34" t="n"/>
      <c r="BX403" s="34" t="n"/>
      <c r="BY403" s="35" t="n"/>
      <c r="BZ403" s="35" t="n"/>
      <c r="CA403" s="256">
        <f>IFERROR(1-CA395,"n/a")</f>
        <v>0.761030315740976</v>
      </c>
      <c r="CB403" s="256">
        <f>IFERROR(1-CB395,"n/a")</f>
        <v>0.76</v>
      </c>
      <c r="CC403" s="256">
        <f>IFERROR(1-CC395,"n/a")</f>
        <v>0.76</v>
      </c>
      <c r="CD403" s="256">
        <f>IFERROR(1-CD395,"n/a")</f>
        <v>0.76</v>
      </c>
      <c r="CE403" s="256">
        <f>IFERROR(1-CE395,"n/a")</f>
        <v>0.76</v>
      </c>
      <c r="CF403" s="19" t="n"/>
    </row>
    <row r="404" ht="15" customHeight="1" s="251">
      <c r="B404" s="25" t="inlineStr">
        <is>
          <t xml:space="preserve">  Check: Margin × Turnover × Tax burden = ROIC</t>
        </is>
      </c>
      <c r="C404" s="215" t="str">
        <f>IFERROR(C401*C402*C403,"n/a")</f>
        <v>n/a</v>
      </c>
      <c r="D404" s="215" t="str">
        <f>IFERROR(D401*D402*D403,"n/a")</f>
        <v>n/a</v>
      </c>
      <c r="E404" s="215">
        <f>IFERROR(E401*E402*E403,"n/a")</f>
        <v>2.16274132925458</v>
      </c>
      <c r="F404" s="215">
        <f>IFERROR(F401*F402*F403,"n/a")</f>
        <v>3.91756138033245</v>
      </c>
      <c r="G404" s="215">
        <f>IFERROR(G401*G402*G403,"n/a")</f>
        <v>2.09065089324077</v>
      </c>
      <c r="H404" s="215">
        <f>IFERROR(H401*H402*H403,"n/a")</f>
        <v>1.98964177071565</v>
      </c>
      <c r="I404" s="215">
        <f>IFERROR(I401*I402*I403,"n/a")</f>
        <v>2.55164974334147</v>
      </c>
      <c r="J404" s="34" t="n"/>
      <c r="K404" s="34" t="n"/>
      <c r="L404" s="34" t="n"/>
      <c r="M404" s="34" t="n"/>
      <c r="N404" s="215">
        <f>IFERROR(N401*N402*N403,"n/a")</f>
        <v>2.53319237775459</v>
      </c>
      <c r="O404" s="34" t="n"/>
      <c r="P404" s="34" t="n"/>
      <c r="Q404" s="34" t="n"/>
      <c r="R404" s="34" t="n"/>
      <c r="S404" s="215">
        <f>IFERROR(S401*S402*S403,"n/a")</f>
        <v>1.09064074867301</v>
      </c>
      <c r="T404" s="34" t="n"/>
      <c r="U404" s="34" t="n"/>
      <c r="V404" s="34" t="n"/>
      <c r="W404" s="34" t="n"/>
      <c r="X404" s="215">
        <f>IFERROR(X401*X402*X403,"n/a")</f>
        <v>1.23228709127101</v>
      </c>
      <c r="Y404" s="34" t="n"/>
      <c r="Z404" s="34" t="n"/>
      <c r="AA404" s="34" t="n"/>
      <c r="AB404" s="34" t="n"/>
      <c r="AC404" s="215">
        <f>IFERROR(AC401*AC402*AC403,"n/a")</f>
        <v>25.374177168549</v>
      </c>
      <c r="AD404" s="34" t="n"/>
      <c r="AE404" s="34" t="n"/>
      <c r="AF404" s="34" t="n"/>
      <c r="AG404" s="34" t="n"/>
      <c r="AH404" s="215">
        <f>IFERROR(AH401*AH402*AH403,"n/a")</f>
        <v>0.306264511496129</v>
      </c>
      <c r="AI404" s="34" t="n"/>
      <c r="AJ404" s="34" t="n"/>
      <c r="AK404" s="34" t="n"/>
      <c r="AL404" s="34" t="n"/>
      <c r="AM404" s="215">
        <f>IFERROR(AM401*AM402*AM403,"n/a")</f>
        <v>0.35478313983902</v>
      </c>
      <c r="AN404" s="34" t="n"/>
      <c r="AO404" s="34" t="n"/>
      <c r="AP404" s="34" t="n"/>
      <c r="AQ404" s="34" t="n"/>
      <c r="AR404" s="215">
        <f>IFERROR(AR401*AR402*AR403,"n/a")</f>
        <v>0.389219445634538</v>
      </c>
      <c r="AS404" s="34" t="n"/>
      <c r="AT404" s="34" t="n"/>
      <c r="AU404" s="34" t="n"/>
      <c r="AV404" s="34" t="n"/>
      <c r="AW404" s="215">
        <f>IFERROR(AW401*AW402*AW403,"n/a")</f>
        <v>0.372848818396631</v>
      </c>
      <c r="AX404" s="34" t="n"/>
      <c r="AY404" s="34" t="n"/>
      <c r="AZ404" s="34" t="n"/>
      <c r="BA404" s="34" t="n"/>
      <c r="BB404" s="215">
        <f>IFERROR(BB401*BB402*BB403,"n/a")</f>
        <v>0.285905009548772</v>
      </c>
      <c r="BC404" s="34" t="n"/>
      <c r="BD404" s="34" t="n"/>
      <c r="BE404" s="34" t="n"/>
      <c r="BF404" s="34" t="n"/>
      <c r="BG404" s="215">
        <f>IFERROR(BG401*BG402*BG403,"n/a")</f>
        <v>0.208933003495708</v>
      </c>
      <c r="BH404" s="34" t="n"/>
      <c r="BI404" s="34" t="n"/>
      <c r="BJ404" s="34" t="n"/>
      <c r="BK404" s="34" t="n"/>
      <c r="BL404" s="215">
        <f>IFERROR(BL401*BL402*BL403,"n/a")</f>
        <v>0.240086501276748</v>
      </c>
      <c r="BM404" s="34" t="n"/>
      <c r="BN404" s="34" t="n"/>
      <c r="BO404" s="34" t="n"/>
      <c r="BP404" s="34" t="n"/>
      <c r="BQ404" s="215">
        <f>IFERROR(BQ401*BQ402*BQ403,"n/a")</f>
        <v>0.29574035834956</v>
      </c>
      <c r="BR404" s="34" t="n"/>
      <c r="BS404" s="34" t="n"/>
      <c r="BT404" s="34" t="n"/>
      <c r="BU404" s="34" t="n"/>
      <c r="BV404" s="215">
        <f>IFERROR(BV401*BV402*BV403,"n/a")</f>
        <v>0.329049688977113</v>
      </c>
      <c r="BW404" s="34" t="n"/>
      <c r="BX404" s="34" t="n"/>
      <c r="BY404" s="35" t="n"/>
      <c r="BZ404" s="35" t="n"/>
      <c r="CA404" s="256">
        <f>IFERROR(CA401*CA402*CA403,"n/a")</f>
        <v>0.361766606382173</v>
      </c>
      <c r="CB404" s="256">
        <f>IFERROR(CB401*CB402*CB403,"n/a")</f>
        <v>0.386152259211172</v>
      </c>
      <c r="CC404" s="256">
        <f>IFERROR(CC401*CC402*CC403,"n/a")</f>
        <v>0.411672077297835</v>
      </c>
      <c r="CD404" s="256">
        <f>IFERROR(CD401*CD402*CD403,"n/a")</f>
        <v>0.436620863691381</v>
      </c>
      <c r="CE404" s="256">
        <f>IFERROR(CE401*CE402*CE403,"n/a")</f>
        <v>0.460603704838279</v>
      </c>
      <c r="CF404" s="19" t="n"/>
    </row>
    <row r="405" ht="15" customHeight="1" s="251">
      <c r="B405" s="25" t="inlineStr">
        <is>
          <t>RONTA decomposition</t>
        </is>
      </c>
      <c r="CF405" s="153" t="n"/>
    </row>
    <row r="406" ht="15" customHeight="1" s="251">
      <c r="B406" s="25" t="inlineStr">
        <is>
          <t>NOPAT = Adjusted EBITA × (1 − tax rate)</t>
        </is>
      </c>
      <c r="C406" s="261" t="str">
        <f>C396</f>
        <v>n/a</v>
      </c>
      <c r="D406" s="261" t="str">
        <f>D396</f>
        <v>n/a</v>
      </c>
      <c r="E406" s="261">
        <f>E396</f>
        <v>476.451914834785</v>
      </c>
      <c r="F406" s="261">
        <f>F396</f>
        <v>445.4267289438</v>
      </c>
      <c r="G406" s="261">
        <f>G396</f>
        <v>562.176025192442</v>
      </c>
      <c r="H406" s="261">
        <f>H396</f>
        <v>617.982733984282</v>
      </c>
      <c r="I406" s="261">
        <f>I396</f>
        <v>751.460849414063</v>
      </c>
      <c r="J406" s="34" t="n"/>
      <c r="K406" s="34" t="n"/>
      <c r="L406" s="34" t="n"/>
      <c r="M406" s="34" t="n"/>
      <c r="N406" s="261">
        <f>N396</f>
        <v>869.898262520927</v>
      </c>
      <c r="O406" s="34" t="n"/>
      <c r="P406" s="34" t="n"/>
      <c r="Q406" s="34" t="n"/>
      <c r="R406" s="34" t="n"/>
      <c r="S406" s="261">
        <f>S396</f>
        <v>995.318747238993</v>
      </c>
      <c r="T406" s="34" t="n"/>
      <c r="U406" s="34" t="n"/>
      <c r="V406" s="34" t="n"/>
      <c r="W406" s="34" t="n"/>
      <c r="X406" s="261">
        <f>X396</f>
        <v>1029.94555088431</v>
      </c>
      <c r="Y406" s="34" t="n"/>
      <c r="Z406" s="34" t="n"/>
      <c r="AA406" s="34" t="n"/>
      <c r="AB406" s="34" t="n"/>
      <c r="AC406" s="261">
        <f>AC396</f>
        <v>2811.45883027523</v>
      </c>
      <c r="AD406" s="34" t="n"/>
      <c r="AE406" s="34" t="n"/>
      <c r="AF406" s="34" t="n"/>
      <c r="AG406" s="34" t="n"/>
      <c r="AH406" s="261">
        <f>AH396</f>
        <v>1299.26593712003</v>
      </c>
      <c r="AI406" s="34" t="n"/>
      <c r="AJ406" s="34" t="n"/>
      <c r="AK406" s="34" t="n"/>
      <c r="AL406" s="34" t="n"/>
      <c r="AM406" s="261">
        <f>AM396</f>
        <v>1601.84587637318</v>
      </c>
      <c r="AN406" s="34" t="n"/>
      <c r="AO406" s="34" t="n"/>
      <c r="AP406" s="34" t="n"/>
      <c r="AQ406" s="34" t="n"/>
      <c r="AR406" s="261">
        <f>AR396</f>
        <v>1744.481555334</v>
      </c>
      <c r="AS406" s="34" t="n"/>
      <c r="AT406" s="34" t="n"/>
      <c r="AU406" s="34" t="n"/>
      <c r="AV406" s="34" t="n"/>
      <c r="AW406" s="261">
        <f>AW396</f>
        <v>2046.5671641791</v>
      </c>
      <c r="AX406" s="34" t="n"/>
      <c r="AY406" s="34" t="n"/>
      <c r="AZ406" s="34" t="n"/>
      <c r="BA406" s="34" t="n"/>
      <c r="BB406" s="261">
        <f>BB396</f>
        <v>2409.3215154675</v>
      </c>
      <c r="BC406" s="34" t="n"/>
      <c r="BD406" s="34" t="n"/>
      <c r="BE406" s="34" t="n"/>
      <c r="BF406" s="34" t="n"/>
      <c r="BG406" s="261">
        <f>BG396</f>
        <v>1717.22035573123</v>
      </c>
      <c r="BH406" s="34" t="n"/>
      <c r="BI406" s="34" t="n"/>
      <c r="BJ406" s="34" t="n"/>
      <c r="BK406" s="34" t="n"/>
      <c r="BL406" s="261">
        <f>BL396</f>
        <v>1988.87657657658</v>
      </c>
      <c r="BM406" s="34" t="n"/>
      <c r="BN406" s="34" t="n"/>
      <c r="BO406" s="34" t="n"/>
      <c r="BP406" s="34" t="n"/>
      <c r="BQ406" s="261">
        <f>BQ396</f>
        <v>2419.45187165775</v>
      </c>
      <c r="BR406" s="34" t="n"/>
      <c r="BS406" s="34" t="n"/>
      <c r="BT406" s="34" t="n"/>
      <c r="BU406" s="34" t="n"/>
      <c r="BV406" s="261">
        <f>BV396</f>
        <v>2879.51382823872</v>
      </c>
      <c r="BW406" s="34" t="n"/>
      <c r="BX406" s="34" t="n"/>
      <c r="BY406" s="35" t="n"/>
      <c r="BZ406" s="35" t="n"/>
      <c r="CA406" s="254">
        <f>CA396</f>
        <v>3075.69031900608</v>
      </c>
      <c r="CB406" s="254">
        <f>CB396</f>
        <v>3320.72104832234</v>
      </c>
      <c r="CC406" s="254">
        <f>CC396</f>
        <v>3575.57997512846</v>
      </c>
      <c r="CD406" s="254">
        <f>CD396</f>
        <v>3840.08850496403</v>
      </c>
      <c r="CE406" s="254">
        <f>CE396</f>
        <v>4113.67075639966</v>
      </c>
      <c r="CF406" s="19" t="n"/>
    </row>
    <row r="407" ht="15" customHeight="1" s="251">
      <c r="B407" s="25" t="inlineStr">
        <is>
          <t xml:space="preserve">  Total assets</t>
        </is>
      </c>
      <c r="C407" s="261">
        <f>C321</f>
        <v>1497.7</v>
      </c>
      <c r="D407" s="261">
        <f>D321</f>
        <v>1714.6</v>
      </c>
      <c r="E407" s="261">
        <f>E321</f>
        <v>1773.4</v>
      </c>
      <c r="F407" s="261">
        <f>F321</f>
        <v>2003.3</v>
      </c>
      <c r="G407" s="261">
        <f>G321</f>
        <v>2540.3</v>
      </c>
      <c r="H407" s="261">
        <f>H321</f>
        <v>2876.1</v>
      </c>
      <c r="I407" s="261">
        <f>I321</f>
        <v>3960.9</v>
      </c>
      <c r="J407" s="34" t="n"/>
      <c r="K407" s="34" t="n"/>
      <c r="L407" s="34" t="n"/>
      <c r="M407" s="34" t="n"/>
      <c r="N407" s="261">
        <f>N321</f>
        <v>4395.1</v>
      </c>
      <c r="O407" s="34" t="n"/>
      <c r="P407" s="34" t="n"/>
      <c r="Q407" s="34" t="n"/>
      <c r="R407" s="34" t="n"/>
      <c r="S407" s="261">
        <f>S321</f>
        <v>4669</v>
      </c>
      <c r="T407" s="34" t="n"/>
      <c r="U407" s="34" t="n"/>
      <c r="V407" s="34" t="n"/>
      <c r="W407" s="34" t="n"/>
      <c r="X407" s="261">
        <f>X321</f>
        <v>5123.4</v>
      </c>
      <c r="Y407" s="34" t="n"/>
      <c r="Z407" s="34" t="n"/>
      <c r="AA407" s="34" t="n"/>
      <c r="AB407" s="34" t="n"/>
      <c r="AC407" s="261">
        <f>AC321</f>
        <v>5327.3</v>
      </c>
      <c r="AD407" s="34" t="n"/>
      <c r="AE407" s="34" t="n"/>
      <c r="AF407" s="34" t="n"/>
      <c r="AG407" s="34" t="n"/>
      <c r="AH407" s="261">
        <f>AH321</f>
        <v>8594.2</v>
      </c>
      <c r="AI407" s="34" t="n"/>
      <c r="AJ407" s="34" t="n"/>
      <c r="AK407" s="34" t="n"/>
      <c r="AL407" s="34" t="n"/>
      <c r="AM407" s="261">
        <f>AM321</f>
        <v>9526.2</v>
      </c>
      <c r="AN407" s="34" t="n"/>
      <c r="AO407" s="34" t="n"/>
      <c r="AP407" s="34" t="n"/>
      <c r="AQ407" s="34" t="n"/>
      <c r="AR407" s="261">
        <f>AR321</f>
        <v>10265</v>
      </c>
      <c r="AS407" s="34" t="n"/>
      <c r="AT407" s="34" t="n"/>
      <c r="AU407" s="34" t="n"/>
      <c r="AV407" s="34" t="n"/>
      <c r="AW407" s="261">
        <f>AW321</f>
        <v>12409</v>
      </c>
      <c r="AX407" s="34" t="n"/>
      <c r="AY407" s="34" t="n"/>
      <c r="AZ407" s="34" t="n"/>
      <c r="BA407" s="34" t="n"/>
      <c r="BB407" s="261">
        <f>BB321</f>
        <v>14680</v>
      </c>
      <c r="BC407" s="34" t="n"/>
      <c r="BD407" s="34" t="n"/>
      <c r="BE407" s="34" t="n"/>
      <c r="BF407" s="34" t="n"/>
      <c r="BG407" s="261">
        <f>BG321</f>
        <v>14349</v>
      </c>
      <c r="BH407" s="34" t="n"/>
      <c r="BI407" s="34" t="n"/>
      <c r="BJ407" s="34" t="n"/>
      <c r="BK407" s="34" t="n"/>
      <c r="BL407" s="261">
        <f>BL321</f>
        <v>14622</v>
      </c>
      <c r="BM407" s="34" t="n"/>
      <c r="BN407" s="34" t="n"/>
      <c r="BO407" s="34" t="n"/>
      <c r="BP407" s="34" t="n"/>
      <c r="BQ407" s="261">
        <f>BQ321</f>
        <v>15505</v>
      </c>
      <c r="BR407" s="34" t="n"/>
      <c r="BS407" s="34" t="n"/>
      <c r="BT407" s="34" t="n"/>
      <c r="BU407" s="34" t="n"/>
      <c r="BV407" s="261">
        <f>BV321</f>
        <v>15830</v>
      </c>
      <c r="BW407" s="34" t="n"/>
      <c r="BX407" s="34" t="n"/>
      <c r="BY407" s="35" t="n"/>
      <c r="BZ407" s="35" t="n"/>
      <c r="CA407" s="254">
        <f>CA321</f>
        <v>15405.8880964894</v>
      </c>
      <c r="CB407" s="254">
        <f>CB321</f>
        <v>15366.7253690261</v>
      </c>
      <c r="CC407" s="254">
        <f>CC321</f>
        <v>15698.7686649652</v>
      </c>
      <c r="CD407" s="254">
        <f>CD321</f>
        <v>16039.9747817595</v>
      </c>
      <c r="CE407" s="254">
        <f>CE321</f>
        <v>16402.7360992285</v>
      </c>
      <c r="CF407" s="19" t="n"/>
    </row>
    <row r="408" ht="15" customHeight="1" s="251">
      <c r="B408" s="25" t="inlineStr">
        <is>
          <t xml:space="preserve">  − Goodwill &amp; intangible assets</t>
        </is>
      </c>
      <c r="C408" s="261">
        <f>IFERROR(-(C318+C319),"n/a")</f>
        <v>-241.8</v>
      </c>
      <c r="D408" s="261">
        <f>IFERROR(-(D318+D319),"n/a")</f>
        <v>-236.8</v>
      </c>
      <c r="E408" s="261">
        <f>IFERROR(-(E318+E319),"n/a")</f>
        <v>-452</v>
      </c>
      <c r="F408" s="261">
        <f>IFERROR(-(F318+F319),"n/a")</f>
        <v>-454.1</v>
      </c>
      <c r="G408" s="261">
        <f>IFERROR(-(G318+G319),"n/a")</f>
        <v>-634.3</v>
      </c>
      <c r="H408" s="261">
        <f>IFERROR(-(H318+H319),"n/a")</f>
        <v>-896.5</v>
      </c>
      <c r="I408" s="261">
        <f>IFERROR(-(I318+I319),"n/a")</f>
        <v>-863.6</v>
      </c>
      <c r="J408" s="34" t="n"/>
      <c r="K408" s="34" t="n"/>
      <c r="L408" s="34" t="n"/>
      <c r="M408" s="34" t="n"/>
      <c r="N408" s="261">
        <f>IFERROR(-(N318+N319),"n/a")</f>
        <v>-886.8</v>
      </c>
      <c r="O408" s="34" t="n"/>
      <c r="P408" s="34" t="n"/>
      <c r="Q408" s="34" t="n"/>
      <c r="R408" s="34" t="n"/>
      <c r="S408" s="261">
        <f>IFERROR(-(S318+S319),"n/a")</f>
        <v>-1366.6</v>
      </c>
      <c r="T408" s="34" t="n"/>
      <c r="U408" s="34" t="n"/>
      <c r="V408" s="34" t="n"/>
      <c r="W408" s="34" t="n"/>
      <c r="X408" s="261">
        <f>IFERROR(-(X318+X319),"n/a")</f>
        <v>-1275.4</v>
      </c>
      <c r="Y408" s="34" t="n"/>
      <c r="Z408" s="34" t="n"/>
      <c r="AA408" s="34" t="n"/>
      <c r="AB408" s="34" t="n"/>
      <c r="AC408" s="261">
        <f>IFERROR(-(AC318+AC319),"n/a")</f>
        <v>-1320</v>
      </c>
      <c r="AD408" s="34" t="n"/>
      <c r="AE408" s="34" t="n"/>
      <c r="AF408" s="34" t="n"/>
      <c r="AG408" s="34" t="n"/>
      <c r="AH408" s="261">
        <f>IFERROR(-(AH318+AH319),"n/a")</f>
        <v>-5384.8</v>
      </c>
      <c r="AI408" s="34" t="n"/>
      <c r="AJ408" s="34" t="n"/>
      <c r="AK408" s="34" t="n"/>
      <c r="AL408" s="34" t="n"/>
      <c r="AM408" s="261">
        <f>IFERROR(-(AM318+AM319),"n/a")</f>
        <v>-5347.4</v>
      </c>
      <c r="AN408" s="34" t="n"/>
      <c r="AO408" s="34" t="n"/>
      <c r="AP408" s="34" t="n"/>
      <c r="AQ408" s="34" t="n"/>
      <c r="AR408" s="261">
        <f>IFERROR(-(AR318+AR319),"n/a")</f>
        <v>-5220</v>
      </c>
      <c r="AS408" s="34" t="n"/>
      <c r="AT408" s="34" t="n"/>
      <c r="AU408" s="34" t="n"/>
      <c r="AV408" s="34" t="n"/>
      <c r="AW408" s="261">
        <f>IFERROR(-(AW318+AW319),"n/a")</f>
        <v>-6380</v>
      </c>
      <c r="AX408" s="34" t="n"/>
      <c r="AY408" s="34" t="n"/>
      <c r="AZ408" s="34" t="n"/>
      <c r="BA408" s="34" t="n"/>
      <c r="BB408" s="261">
        <f>IFERROR(-(BB318+BB319),"n/a")</f>
        <v>-8466</v>
      </c>
      <c r="BC408" s="34" t="n"/>
      <c r="BD408" s="34" t="n"/>
      <c r="BE408" s="34" t="n"/>
      <c r="BF408" s="34" t="n"/>
      <c r="BG408" s="261">
        <f>IFERROR(-(BG318+BG319),"n/a")</f>
        <v>-8049</v>
      </c>
      <c r="BH408" s="34" t="n"/>
      <c r="BI408" s="34" t="n"/>
      <c r="BJ408" s="34" t="n"/>
      <c r="BK408" s="34" t="n"/>
      <c r="BL408" s="261">
        <f>IFERROR(-(BL318+BL319),"n/a")</f>
        <v>-8005</v>
      </c>
      <c r="BM408" s="34" t="n"/>
      <c r="BN408" s="34" t="n"/>
      <c r="BO408" s="34" t="n"/>
      <c r="BP408" s="34" t="n"/>
      <c r="BQ408" s="261">
        <f>IFERROR(-(BQ318+BQ319),"n/a")</f>
        <v>-7884</v>
      </c>
      <c r="BR408" s="34" t="n"/>
      <c r="BS408" s="34" t="n"/>
      <c r="BT408" s="34" t="n"/>
      <c r="BU408" s="34" t="n"/>
      <c r="BV408" s="261">
        <f>IFERROR(-(BV318+BV319),"n/a")</f>
        <v>-8234</v>
      </c>
      <c r="BW408" s="34" t="n"/>
      <c r="BX408" s="34" t="n"/>
      <c r="BY408" s="35" t="n"/>
      <c r="BZ408" s="35" t="n"/>
      <c r="CA408" s="254">
        <f>IFERROR(-(CA318+CA319),"n/a")</f>
        <v>-7966</v>
      </c>
      <c r="CB408" s="254">
        <f>IFERROR(-(CB318+CB319),"n/a")</f>
        <v>-7964.33333333333</v>
      </c>
      <c r="CC408" s="254">
        <f>IFERROR(-(CC318+CC319),"n/a")</f>
        <v>-7970.33333333333</v>
      </c>
      <c r="CD408" s="254">
        <f>IFERROR(-(CD318+CD319),"n/a")</f>
        <v>-8003</v>
      </c>
      <c r="CE408" s="254">
        <f>IFERROR(-(CE318+CE319),"n/a")</f>
        <v>-8054.33333333333</v>
      </c>
      <c r="CF408" s="19" t="n"/>
    </row>
    <row r="409" ht="15" customHeight="1" s="251">
      <c r="B409" s="25" t="inlineStr">
        <is>
          <t xml:space="preserve">  − Non-interest-bearing current liabilities (total CL excl. short-term debt)</t>
        </is>
      </c>
      <c r="C409" s="261">
        <f>IFERROR(-(C327-N(C324)),"n/a")</f>
        <v>-700</v>
      </c>
      <c r="D409" s="261">
        <f>IFERROR(-(D327-N(D324)),"n/a")</f>
        <v>-797.3</v>
      </c>
      <c r="E409" s="261">
        <f>IFERROR(-(E327-N(E324)),"n/a")</f>
        <v>-675.4</v>
      </c>
      <c r="F409" s="261">
        <f>IFERROR(-(F327-N(F324)),"n/a")</f>
        <v>-788.5</v>
      </c>
      <c r="G409" s="261">
        <f>IFERROR(-(G327-N(G324)),"n/a")</f>
        <v>-922.5</v>
      </c>
      <c r="H409" s="261">
        <f>IFERROR(-(H327-N(H324)),"n/a")</f>
        <v>-1062.7</v>
      </c>
      <c r="I409" s="261">
        <f>IFERROR(-(I327-N(I324)),"n/a")</f>
        <v>-1101.1</v>
      </c>
      <c r="J409" s="34" t="n"/>
      <c r="K409" s="34" t="n"/>
      <c r="L409" s="34" t="n"/>
      <c r="M409" s="34" t="n"/>
      <c r="N409" s="261">
        <f>IFERROR(-(N327-N(N324)),"n/a")</f>
        <v>-1141.3</v>
      </c>
      <c r="O409" s="34" t="n"/>
      <c r="P409" s="34" t="n"/>
      <c r="Q409" s="34" t="n"/>
      <c r="R409" s="34" t="n"/>
      <c r="S409" s="261">
        <f>IFERROR(-(S327-N(S324)),"n/a")</f>
        <v>-1199.7</v>
      </c>
      <c r="T409" s="34" t="n"/>
      <c r="U409" s="34" t="n"/>
      <c r="V409" s="34" t="n"/>
      <c r="W409" s="34" t="n"/>
      <c r="X409" s="261">
        <f>IFERROR(-(X327-N(X324)),"n/a")</f>
        <v>-1218.5</v>
      </c>
      <c r="Y409" s="34" t="n"/>
      <c r="Z409" s="34" t="n"/>
      <c r="AA409" s="34" t="n"/>
      <c r="AB409" s="34" t="n"/>
      <c r="AC409" s="261">
        <f>IFERROR(-(AC327-N(AC324)),"n/a")</f>
        <v>-2128.2</v>
      </c>
      <c r="AD409" s="34" t="n"/>
      <c r="AE409" s="34" t="n"/>
      <c r="AF409" s="34" t="n"/>
      <c r="AG409" s="34" t="n"/>
      <c r="AH409" s="261">
        <f>IFERROR(-(AH327-N(AH324)),"n/a")</f>
        <v>-1633.9</v>
      </c>
      <c r="AI409" s="34" t="n"/>
      <c r="AJ409" s="34" t="n"/>
      <c r="AK409" s="34" t="n"/>
      <c r="AL409" s="34" t="n"/>
      <c r="AM409" s="261">
        <f>IFERROR(-(AM327-N(AM324)),"n/a")</f>
        <v>-1648.6</v>
      </c>
      <c r="AN409" s="34" t="n"/>
      <c r="AO409" s="34" t="n"/>
      <c r="AP409" s="34" t="n"/>
      <c r="AQ409" s="34" t="n"/>
      <c r="AR409" s="261">
        <f>IFERROR(-(AR327-N(AR324)),"n/a")</f>
        <v>-1912</v>
      </c>
      <c r="AS409" s="34" t="n"/>
      <c r="AT409" s="34" t="n"/>
      <c r="AU409" s="34" t="n"/>
      <c r="AV409" s="34" t="n"/>
      <c r="AW409" s="261">
        <f>IFERROR(-(AW327-N(AW324)),"n/a")</f>
        <v>-2222</v>
      </c>
      <c r="AX409" s="34" t="n"/>
      <c r="AY409" s="34" t="n"/>
      <c r="AZ409" s="34" t="n"/>
      <c r="BA409" s="34" t="n"/>
      <c r="BB409" s="261">
        <f>IFERROR(-(BB327-N(BB324)),"n/a")</f>
        <v>-2496</v>
      </c>
      <c r="BC409" s="34" t="n"/>
      <c r="BD409" s="34" t="n"/>
      <c r="BE409" s="34" t="n"/>
      <c r="BF409" s="34" t="n"/>
      <c r="BG409" s="261">
        <f>IFERROR(-(BG327-N(BG324)),"n/a")</f>
        <v>-2375</v>
      </c>
      <c r="BH409" s="34" t="n"/>
      <c r="BI409" s="34" t="n"/>
      <c r="BJ409" s="34" t="n"/>
      <c r="BK409" s="34" t="n"/>
      <c r="BL409" s="261">
        <f>IFERROR(-(BL327-N(BL324)),"n/a")</f>
        <v>-2500</v>
      </c>
      <c r="BM409" s="34" t="n"/>
      <c r="BN409" s="34" t="n"/>
      <c r="BO409" s="34" t="n"/>
      <c r="BP409" s="34" t="n"/>
      <c r="BQ409" s="261">
        <f>IFERROR(-(BQ327-N(BQ324)),"n/a")</f>
        <v>-2900</v>
      </c>
      <c r="BR409" s="34" t="n"/>
      <c r="BS409" s="34" t="n"/>
      <c r="BT409" s="34" t="n"/>
      <c r="BU409" s="34" t="n"/>
      <c r="BV409" s="261">
        <f>IFERROR(-(BV327-N(BV324)),"n/a")</f>
        <v>-2981</v>
      </c>
      <c r="BW409" s="34" t="n"/>
      <c r="BX409" s="34" t="n"/>
      <c r="BY409" s="35" t="n"/>
      <c r="BZ409" s="35" t="n"/>
      <c r="CA409" s="254">
        <f>IFERROR(-(CA327-N(CA324)),"n/a")</f>
        <v>-3170.07378</v>
      </c>
      <c r="CB409" s="254">
        <f>IFERROR(-(CB327-N(CB324)),"n/a")</f>
        <v>-3391.84535634605</v>
      </c>
      <c r="CC409" s="254">
        <f>IFERROR(-(CC327-N(CC324)),"n/a")</f>
        <v>-3615.79080162747</v>
      </c>
      <c r="CD409" s="254">
        <f>IFERROR(-(CD327-N(CD324)),"n/a")</f>
        <v>-3843.18503390685</v>
      </c>
      <c r="CE409" s="254">
        <f>IFERROR(-(CE327-N(CE324)),"n/a")</f>
        <v>-4068.51180880468</v>
      </c>
      <c r="CF409" s="19" t="n"/>
    </row>
    <row r="410" ht="15" customHeight="1" s="251">
      <c r="B410" s="25" t="inlineStr">
        <is>
          <t xml:space="preserve">  = Net tangible assets</t>
        </is>
      </c>
      <c r="C410" s="261">
        <f>IFERROR(SUM(C407:C409),"n/a")</f>
        <v>555.9</v>
      </c>
      <c r="D410" s="261">
        <f>IFERROR(SUM(D407:D409),"n/a")</f>
        <v>680.5</v>
      </c>
      <c r="E410" s="261">
        <f>IFERROR(SUM(E407:E409),"n/a")</f>
        <v>646</v>
      </c>
      <c r="F410" s="261">
        <f>IFERROR(SUM(F407:F409),"n/a")</f>
        <v>760.7</v>
      </c>
      <c r="G410" s="261">
        <f>IFERROR(SUM(G407:G409),"n/a")</f>
        <v>983.5</v>
      </c>
      <c r="H410" s="261">
        <f>IFERROR(SUM(H407:H409),"n/a")</f>
        <v>916.9</v>
      </c>
      <c r="I410" s="261">
        <f>IFERROR(SUM(I407:I409),"n/a")</f>
        <v>1996.2</v>
      </c>
      <c r="J410" s="34" t="n"/>
      <c r="K410" s="34" t="n"/>
      <c r="L410" s="34" t="n"/>
      <c r="M410" s="34" t="n"/>
      <c r="N410" s="261">
        <f>IFERROR(SUM(N407:N409),"n/a")</f>
        <v>2367</v>
      </c>
      <c r="O410" s="34" t="n"/>
      <c r="P410" s="34" t="n"/>
      <c r="Q410" s="34" t="n"/>
      <c r="R410" s="34" t="n"/>
      <c r="S410" s="261">
        <f>IFERROR(SUM(S407:S409),"n/a")</f>
        <v>2102.7</v>
      </c>
      <c r="T410" s="34" t="n"/>
      <c r="U410" s="34" t="n"/>
      <c r="V410" s="34" t="n"/>
      <c r="W410" s="34" t="n"/>
      <c r="X410" s="261">
        <f>IFERROR(SUM(X407:X409),"n/a")</f>
        <v>2629.5</v>
      </c>
      <c r="Y410" s="34" t="n"/>
      <c r="Z410" s="34" t="n"/>
      <c r="AA410" s="34" t="n"/>
      <c r="AB410" s="34" t="n"/>
      <c r="AC410" s="261">
        <f>IFERROR(SUM(AC407:AC409),"n/a")</f>
        <v>1879.1</v>
      </c>
      <c r="AD410" s="34" t="n"/>
      <c r="AE410" s="34" t="n"/>
      <c r="AF410" s="34" t="n"/>
      <c r="AG410" s="34" t="n"/>
      <c r="AH410" s="261">
        <f>IFERROR(SUM(AH407:AH409),"n/a")</f>
        <v>1575.5</v>
      </c>
      <c r="AI410" s="34" t="n"/>
      <c r="AJ410" s="34" t="n"/>
      <c r="AK410" s="34" t="n"/>
      <c r="AL410" s="34" t="n"/>
      <c r="AM410" s="261">
        <f>IFERROR(SUM(AM407:AM409),"n/a")</f>
        <v>2530.2</v>
      </c>
      <c r="AN410" s="34" t="n"/>
      <c r="AO410" s="34" t="n"/>
      <c r="AP410" s="34" t="n"/>
      <c r="AQ410" s="34" t="n"/>
      <c r="AR410" s="261">
        <f>IFERROR(SUM(AR407:AR409),"n/a")</f>
        <v>3133</v>
      </c>
      <c r="AS410" s="34" t="n"/>
      <c r="AT410" s="34" t="n"/>
      <c r="AU410" s="34" t="n"/>
      <c r="AV410" s="34" t="n"/>
      <c r="AW410" s="261">
        <f>IFERROR(SUM(AW407:AW409),"n/a")</f>
        <v>3807</v>
      </c>
      <c r="AX410" s="34" t="n"/>
      <c r="AY410" s="34" t="n"/>
      <c r="AZ410" s="34" t="n"/>
      <c r="BA410" s="34" t="n"/>
      <c r="BB410" s="261">
        <f>IFERROR(SUM(BB407:BB409),"n/a")</f>
        <v>3718</v>
      </c>
      <c r="BC410" s="34" t="n"/>
      <c r="BD410" s="34" t="n"/>
      <c r="BE410" s="34" t="n"/>
      <c r="BF410" s="34" t="n"/>
      <c r="BG410" s="261">
        <f>IFERROR(SUM(BG407:BG409),"n/a")</f>
        <v>3925</v>
      </c>
      <c r="BH410" s="34" t="n"/>
      <c r="BI410" s="34" t="n"/>
      <c r="BJ410" s="34" t="n"/>
      <c r="BK410" s="34" t="n"/>
      <c r="BL410" s="261">
        <f>IFERROR(SUM(BL407:BL409),"n/a")</f>
        <v>4117</v>
      </c>
      <c r="BM410" s="34" t="n"/>
      <c r="BN410" s="34" t="n"/>
      <c r="BO410" s="34" t="n"/>
      <c r="BP410" s="34" t="n"/>
      <c r="BQ410" s="261">
        <f>IFERROR(SUM(BQ407:BQ409),"n/a")</f>
        <v>4721</v>
      </c>
      <c r="BR410" s="34" t="n"/>
      <c r="BS410" s="34" t="n"/>
      <c r="BT410" s="34" t="n"/>
      <c r="BU410" s="34" t="n"/>
      <c r="BV410" s="261">
        <f>IFERROR(SUM(BV407:BV409),"n/a")</f>
        <v>4615</v>
      </c>
      <c r="BW410" s="34" t="n"/>
      <c r="BX410" s="34" t="n"/>
      <c r="BY410" s="35" t="n"/>
      <c r="BZ410" s="35" t="n"/>
      <c r="CA410" s="254">
        <f>IFERROR(SUM(CA407:CA409),"n/a")</f>
        <v>4269.81431648936</v>
      </c>
      <c r="CB410" s="254">
        <f>IFERROR(SUM(CB407:CB409),"n/a")</f>
        <v>4010.54667934676</v>
      </c>
      <c r="CC410" s="254">
        <f>IFERROR(SUM(CC407:CC409),"n/a")</f>
        <v>4112.64453000442</v>
      </c>
      <c r="CD410" s="254">
        <f>IFERROR(SUM(CD407:CD409),"n/a")</f>
        <v>4193.78974785269</v>
      </c>
      <c r="CE410" s="254">
        <f>IFERROR(SUM(CE407:CE409),"n/a")</f>
        <v>4279.89095709044</v>
      </c>
      <c r="CF410" s="19" t="n"/>
    </row>
    <row r="411" ht="15" customHeight="1" s="251">
      <c r="B411" s="55" t="inlineStr">
        <is>
          <t>RONTA = NOPAT / NTA</t>
        </is>
      </c>
      <c r="C411" s="295" t="str">
        <f>IFERROR(C406/C410,"n/a")</f>
        <v>n/a</v>
      </c>
      <c r="D411" s="295" t="str">
        <f>IFERROR(D406/D410,"n/a")</f>
        <v>n/a</v>
      </c>
      <c r="E411" s="295">
        <f>IFERROR(E406/E410,"n/a")</f>
        <v>0.737541663830937</v>
      </c>
      <c r="F411" s="295">
        <f>IFERROR(F406/F410,"n/a")</f>
        <v>0.585548480273169</v>
      </c>
      <c r="G411" s="295">
        <f>IFERROR(G406/G410,"n/a")</f>
        <v>0.571607549763541</v>
      </c>
      <c r="H411" s="295">
        <f>IFERROR(H406/H410,"n/a")</f>
        <v>0.67399142107567</v>
      </c>
      <c r="I411" s="295">
        <f>IFERROR(I406/I410,"n/a")</f>
        <v>0.376445671482849</v>
      </c>
      <c r="J411" s="56" t="n"/>
      <c r="K411" s="56" t="n"/>
      <c r="L411" s="56" t="n"/>
      <c r="M411" s="56" t="n"/>
      <c r="N411" s="295">
        <f>IFERROR(N406/N410,"n/a")</f>
        <v>0.367510884039259</v>
      </c>
      <c r="O411" s="56" t="n"/>
      <c r="P411" s="56" t="n"/>
      <c r="Q411" s="56" t="n"/>
      <c r="R411" s="56" t="n"/>
      <c r="S411" s="295">
        <f>IFERROR(S406/S410,"n/a")</f>
        <v>0.473352711865217</v>
      </c>
      <c r="T411" s="56" t="n"/>
      <c r="U411" s="56" t="n"/>
      <c r="V411" s="56" t="n"/>
      <c r="W411" s="56" t="n"/>
      <c r="X411" s="295">
        <f>IFERROR(X406/X410,"n/a")</f>
        <v>0.39168874344336</v>
      </c>
      <c r="Y411" s="56" t="n"/>
      <c r="Z411" s="56" t="n"/>
      <c r="AA411" s="56" t="n"/>
      <c r="AB411" s="56" t="n"/>
      <c r="AC411" s="295">
        <f>IFERROR(AC406/AC410,"n/a")</f>
        <v>1.49617307768359</v>
      </c>
      <c r="AD411" s="56" t="n"/>
      <c r="AE411" s="56" t="n"/>
      <c r="AF411" s="56" t="n"/>
      <c r="AG411" s="56" t="n"/>
      <c r="AH411" s="295">
        <f>IFERROR(AH406/AH410,"n/a")</f>
        <v>0.824668954059047</v>
      </c>
      <c r="AI411" s="56" t="n"/>
      <c r="AJ411" s="56" t="n"/>
      <c r="AK411" s="56" t="n"/>
      <c r="AL411" s="56" t="n"/>
      <c r="AM411" s="295">
        <f>IFERROR(AM406/AM410,"n/a")</f>
        <v>0.633090615909088</v>
      </c>
      <c r="AN411" s="56" t="n"/>
      <c r="AO411" s="56" t="n"/>
      <c r="AP411" s="56" t="n"/>
      <c r="AQ411" s="56" t="n"/>
      <c r="AR411" s="295">
        <f>IFERROR(AR406/AR410,"n/a")</f>
        <v>0.556808667518033</v>
      </c>
      <c r="AS411" s="56" t="n"/>
      <c r="AT411" s="56" t="n"/>
      <c r="AU411" s="56" t="n"/>
      <c r="AV411" s="56" t="n"/>
      <c r="AW411" s="295">
        <f>IFERROR(AW406/AW410,"n/a")</f>
        <v>0.537580027365144</v>
      </c>
      <c r="AX411" s="56" t="n"/>
      <c r="AY411" s="56" t="n"/>
      <c r="AZ411" s="56" t="n"/>
      <c r="BA411" s="56" t="n"/>
      <c r="BB411" s="295">
        <f>IFERROR(BB406/BB410,"n/a")</f>
        <v>0.648015469464094</v>
      </c>
      <c r="BC411" s="56" t="n"/>
      <c r="BD411" s="56" t="n"/>
      <c r="BE411" s="56" t="n"/>
      <c r="BF411" s="56" t="n"/>
      <c r="BG411" s="295">
        <f>IFERROR(BG406/BG410,"n/a")</f>
        <v>0.437508370886936</v>
      </c>
      <c r="BH411" s="56" t="n"/>
      <c r="BI411" s="56" t="n"/>
      <c r="BJ411" s="56" t="n"/>
      <c r="BK411" s="56" t="n"/>
      <c r="BL411" s="295">
        <f>IFERROR(BL406/BL410,"n/a")</f>
        <v>0.483088796836671</v>
      </c>
      <c r="BM411" s="56" t="n"/>
      <c r="BN411" s="56" t="n"/>
      <c r="BO411" s="56" t="n"/>
      <c r="BP411" s="56" t="n"/>
      <c r="BQ411" s="295">
        <f>IFERROR(BQ406/BQ410,"n/a")</f>
        <v>0.512487157733055</v>
      </c>
      <c r="BR411" s="56" t="n"/>
      <c r="BS411" s="56" t="n"/>
      <c r="BT411" s="56" t="n"/>
      <c r="BU411" s="56" t="n"/>
      <c r="BV411" s="295">
        <f>IFERROR(BV406/BV410,"n/a")</f>
        <v>0.623946658339917</v>
      </c>
      <c r="BW411" s="56" t="n"/>
      <c r="BX411" s="56" t="n"/>
      <c r="BY411" s="56" t="n"/>
      <c r="BZ411" s="56" t="n"/>
      <c r="CA411" s="295">
        <f>IFERROR(CA406/CA410,"n/a")</f>
        <v>0.720333506571523</v>
      </c>
      <c r="CB411" s="295">
        <f>IFERROR(CB406/CB410,"n/a")</f>
        <v>0.82799710708347</v>
      </c>
      <c r="CC411" s="295">
        <f>IFERROR(CC406/CC410,"n/a")</f>
        <v>0.869411384582908</v>
      </c>
      <c r="CD411" s="295">
        <f>IFERROR(CD406/CD410,"n/a")</f>
        <v>0.915660711634444</v>
      </c>
      <c r="CE411" s="295">
        <f>IFERROR(CE406/CE410,"n/a")</f>
        <v>0.96116251503665</v>
      </c>
      <c r="CF411" s="153" t="inlineStr">
        <is>
          <t>Net tangible assets are negative in most years (deferred revenue and accruals exceed tangible assets), so RONTA is not meaningful when NTA ≤ 0.</t>
        </is>
      </c>
    </row>
    <row r="412" ht="15" customHeight="1" s="251">
      <c r="B412" s="25" t="inlineStr">
        <is>
          <t>Return on Equity (ROE)</t>
        </is>
      </c>
      <c r="CF412" s="153" t="n"/>
    </row>
    <row r="413" ht="15" customHeight="1" s="251">
      <c r="B413" s="25" t="inlineStr">
        <is>
          <t>Net income attributable to Moody's</t>
        </is>
      </c>
      <c r="C413" s="261">
        <f>C182</f>
        <v>753.9</v>
      </c>
      <c r="D413" s="261">
        <f>D182</f>
        <v>701.5</v>
      </c>
      <c r="E413" s="261">
        <f>E182</f>
        <v>457.6</v>
      </c>
      <c r="F413" s="261">
        <f>F182</f>
        <v>402</v>
      </c>
      <c r="G413" s="261">
        <f>G182</f>
        <v>507.8</v>
      </c>
      <c r="H413" s="261">
        <f>H182</f>
        <v>571.4</v>
      </c>
      <c r="I413" s="261">
        <f>I182</f>
        <v>690</v>
      </c>
      <c r="J413" s="34" t="n"/>
      <c r="K413" s="34" t="n"/>
      <c r="L413" s="34" t="n"/>
      <c r="M413" s="34" t="n"/>
      <c r="N413" s="261">
        <f>N182</f>
        <v>804.5</v>
      </c>
      <c r="O413" s="34" t="n"/>
      <c r="P413" s="34" t="n"/>
      <c r="Q413" s="34" t="n"/>
      <c r="R413" s="34" t="n"/>
      <c r="S413" s="261">
        <f>S182</f>
        <v>988.700000000001</v>
      </c>
      <c r="T413" s="34" t="n"/>
      <c r="U413" s="34" t="n"/>
      <c r="V413" s="34" t="n"/>
      <c r="W413" s="34" t="n"/>
      <c r="X413" s="261">
        <f>X182</f>
        <v>941.3</v>
      </c>
      <c r="Y413" s="34" t="n"/>
      <c r="Z413" s="34" t="n"/>
      <c r="AA413" s="34" t="n"/>
      <c r="AB413" s="34" t="n"/>
      <c r="AC413" s="261">
        <f>AC182</f>
        <v>266.6</v>
      </c>
      <c r="AD413" s="34" t="n"/>
      <c r="AE413" s="34" t="n"/>
      <c r="AF413" s="34" t="n"/>
      <c r="AG413" s="34" t="n"/>
      <c r="AH413" s="261">
        <f>AH182</f>
        <v>1000.6</v>
      </c>
      <c r="AI413" s="34" t="n"/>
      <c r="AJ413" s="34" t="n"/>
      <c r="AK413" s="34" t="n"/>
      <c r="AL413" s="34" t="n"/>
      <c r="AM413" s="261">
        <f>AM182</f>
        <v>1309.6</v>
      </c>
      <c r="AN413" s="34" t="n"/>
      <c r="AO413" s="34" t="n"/>
      <c r="AP413" s="34" t="n"/>
      <c r="AQ413" s="34" t="n"/>
      <c r="AR413" s="261">
        <f>AR182</f>
        <v>1422</v>
      </c>
      <c r="AS413" s="34" t="n"/>
      <c r="AT413" s="34" t="n"/>
      <c r="AU413" s="34" t="n"/>
      <c r="AV413" s="34" t="n"/>
      <c r="AW413" s="261">
        <f>AW182</f>
        <v>1778</v>
      </c>
      <c r="AX413" s="34" t="n"/>
      <c r="AY413" s="34" t="n"/>
      <c r="AZ413" s="34" t="n"/>
      <c r="BA413" s="34" t="n"/>
      <c r="BB413" s="261">
        <f>BB182</f>
        <v>2214</v>
      </c>
      <c r="BC413" s="34" t="n"/>
      <c r="BD413" s="34" t="n"/>
      <c r="BE413" s="34" t="n"/>
      <c r="BF413" s="34" t="n"/>
      <c r="BG413" s="261">
        <f>BG182</f>
        <v>1374</v>
      </c>
      <c r="BH413" s="34" t="n"/>
      <c r="BI413" s="34" t="n"/>
      <c r="BJ413" s="34" t="n"/>
      <c r="BK413" s="34" t="n"/>
      <c r="BL413" s="261">
        <f>BL182</f>
        <v>1607</v>
      </c>
      <c r="BM413" s="34" t="n"/>
      <c r="BN413" s="34" t="n"/>
      <c r="BO413" s="34" t="n"/>
      <c r="BP413" s="34" t="n"/>
      <c r="BQ413" s="261">
        <f>BQ182</f>
        <v>2058</v>
      </c>
      <c r="BR413" s="34" t="n"/>
      <c r="BS413" s="34" t="n"/>
      <c r="BT413" s="34" t="n"/>
      <c r="BU413" s="34" t="n"/>
      <c r="BV413" s="261">
        <f>BV182</f>
        <v>2459</v>
      </c>
      <c r="BW413" s="34" t="n"/>
      <c r="BX413" s="34" t="n"/>
      <c r="BY413" s="35" t="n"/>
      <c r="BZ413" s="35" t="n"/>
      <c r="CA413" s="254">
        <f>CA182</f>
        <v>2828.60631648936</v>
      </c>
      <c r="CB413" s="254">
        <f>CB182</f>
        <v>2925.08419353327</v>
      </c>
      <c r="CC413" s="254">
        <f>CC182</f>
        <v>3217.18540650399</v>
      </c>
      <c r="CD413" s="254">
        <f>CD182</f>
        <v>3482.88163585263</v>
      </c>
      <c r="CE413" s="254">
        <f>CE182</f>
        <v>3744.12197509157</v>
      </c>
      <c r="CF413" s="19" t="n"/>
    </row>
    <row r="414" ht="15" customHeight="1" s="251">
      <c r="B414" s="25" t="inlineStr">
        <is>
          <t>Moody's shareholders' equity (deficit)</t>
        </is>
      </c>
      <c r="C414" s="261">
        <f>C331</f>
        <v>167.4</v>
      </c>
      <c r="D414" s="261">
        <f>D331</f>
        <v>-783.6</v>
      </c>
      <c r="E414" s="261">
        <f>E331</f>
        <v>-994.4</v>
      </c>
      <c r="F414" s="261">
        <f>F331</f>
        <v>-606.2</v>
      </c>
      <c r="G414" s="261">
        <f>G331</f>
        <v>-309.6</v>
      </c>
      <c r="H414" s="261">
        <f>H331</f>
        <v>-169</v>
      </c>
      <c r="I414" s="261">
        <f>I331</f>
        <v>385.2</v>
      </c>
      <c r="J414" s="34" t="n"/>
      <c r="K414" s="34" t="n"/>
      <c r="L414" s="34" t="n"/>
      <c r="M414" s="34" t="n"/>
      <c r="N414" s="261">
        <f>N331</f>
        <v>337</v>
      </c>
      <c r="O414" s="34" t="n"/>
      <c r="P414" s="34" t="n"/>
      <c r="Q414" s="34" t="n"/>
      <c r="R414" s="34" t="n"/>
      <c r="S414" s="261">
        <f>S331</f>
        <v>-187.8</v>
      </c>
      <c r="T414" s="34" t="n"/>
      <c r="U414" s="34" t="n"/>
      <c r="V414" s="34" t="n"/>
      <c r="W414" s="34" t="n"/>
      <c r="X414" s="261">
        <f>X331</f>
        <v>-565</v>
      </c>
      <c r="Y414" s="34" t="n"/>
      <c r="Z414" s="34" t="n"/>
      <c r="AA414" s="34" t="n"/>
      <c r="AB414" s="34" t="n"/>
      <c r="AC414" s="261">
        <f>AC331</f>
        <v>-1225</v>
      </c>
      <c r="AD414" s="34" t="n"/>
      <c r="AE414" s="34" t="n"/>
      <c r="AF414" s="34" t="n"/>
      <c r="AG414" s="34" t="n"/>
      <c r="AH414" s="261">
        <f>AH331</f>
        <v>-327.7</v>
      </c>
      <c r="AI414" s="34" t="n"/>
      <c r="AJ414" s="34" t="n"/>
      <c r="AK414" s="34" t="n"/>
      <c r="AL414" s="34" t="n"/>
      <c r="AM414" s="261">
        <f>AM331</f>
        <v>459.9</v>
      </c>
      <c r="AN414" s="34" t="n"/>
      <c r="AO414" s="34" t="n"/>
      <c r="AP414" s="34" t="n"/>
      <c r="AQ414" s="34" t="n"/>
      <c r="AR414" s="261">
        <f>AR331</f>
        <v>612</v>
      </c>
      <c r="AS414" s="34" t="n"/>
      <c r="AT414" s="34" t="n"/>
      <c r="AU414" s="34" t="n"/>
      <c r="AV414" s="34" t="n"/>
      <c r="AW414" s="261">
        <f>AW331</f>
        <v>1569</v>
      </c>
      <c r="AX414" s="34" t="n"/>
      <c r="AY414" s="34" t="n"/>
      <c r="AZ414" s="34" t="n"/>
      <c r="BA414" s="34" t="n"/>
      <c r="BB414" s="261">
        <f>BB331</f>
        <v>2727</v>
      </c>
      <c r="BC414" s="34" t="n"/>
      <c r="BD414" s="34" t="n"/>
      <c r="BE414" s="34" t="n"/>
      <c r="BF414" s="34" t="n"/>
      <c r="BG414" s="261">
        <f>BG331</f>
        <v>2519</v>
      </c>
      <c r="BH414" s="34" t="n"/>
      <c r="BI414" s="34" t="n"/>
      <c r="BJ414" s="34" t="n"/>
      <c r="BK414" s="34" t="n"/>
      <c r="BL414" s="261">
        <f>BL331</f>
        <v>3318</v>
      </c>
      <c r="BM414" s="34" t="n"/>
      <c r="BN414" s="34" t="n"/>
      <c r="BO414" s="34" t="n"/>
      <c r="BP414" s="34" t="n"/>
      <c r="BQ414" s="261">
        <f>BQ331</f>
        <v>3565</v>
      </c>
      <c r="BR414" s="34" t="n"/>
      <c r="BS414" s="34" t="n"/>
      <c r="BT414" s="34" t="n"/>
      <c r="BU414" s="34" t="n"/>
      <c r="BV414" s="261">
        <f>BV331</f>
        <v>4054</v>
      </c>
      <c r="BW414" s="34" t="n"/>
      <c r="BX414" s="34" t="n"/>
      <c r="BY414" s="35" t="n"/>
      <c r="BZ414" s="35" t="n"/>
      <c r="CA414" s="254">
        <f>CA331</f>
        <v>3367.81431648936</v>
      </c>
      <c r="CB414" s="254">
        <f>CB331</f>
        <v>2622.8800126801</v>
      </c>
      <c r="CC414" s="254">
        <f>CC331</f>
        <v>2246.97786333775</v>
      </c>
      <c r="CD414" s="254">
        <f>CD331</f>
        <v>1876.78974785269</v>
      </c>
      <c r="CE414" s="254">
        <f>CE331</f>
        <v>1530.22429042377</v>
      </c>
      <c r="CF414" s="19" t="n"/>
    </row>
    <row r="415" ht="15" customHeight="1" s="251">
      <c r="B415" s="25" t="inlineStr">
        <is>
          <t>ROE = Net income / Equity</t>
        </is>
      </c>
      <c r="C415" s="215">
        <f>IFERROR(IF(C414&gt;0,C413/C414,"n/m"),"n/a")</f>
        <v>4.50358422939068</v>
      </c>
      <c r="D415" s="215" t="str">
        <f>IFERROR(IF(D414&gt;0,D413/D414,"n/m"),"n/a")</f>
        <v>n/m</v>
      </c>
      <c r="E415" s="215" t="str">
        <f>IFERROR(IF(E414&gt;0,E413/E414,"n/m"),"n/a")</f>
        <v>n/m</v>
      </c>
      <c r="F415" s="215" t="str">
        <f>IFERROR(IF(F414&gt;0,F413/F414,"n/m"),"n/a")</f>
        <v>n/m</v>
      </c>
      <c r="G415" s="215" t="str">
        <f>IFERROR(IF(G414&gt;0,G413/G414,"n/m"),"n/a")</f>
        <v>n/m</v>
      </c>
      <c r="H415" s="215" t="str">
        <f>IFERROR(IF(H414&gt;0,H413/H414,"n/m"),"n/a")</f>
        <v>n/m</v>
      </c>
      <c r="I415" s="215">
        <f>IFERROR(IF(I414&gt;0,I413/I414,"n/m"),"n/a")</f>
        <v>1.79127725856698</v>
      </c>
      <c r="J415" s="34" t="n"/>
      <c r="K415" s="34" t="n"/>
      <c r="L415" s="34" t="n"/>
      <c r="M415" s="34" t="n"/>
      <c r="N415" s="215">
        <f>IFERROR(IF(N414&gt;0,N413/N414,"n/m"),"n/a")</f>
        <v>2.38724035608309</v>
      </c>
      <c r="O415" s="34" t="n"/>
      <c r="P415" s="34" t="n"/>
      <c r="Q415" s="34" t="n"/>
      <c r="R415" s="34" t="n"/>
      <c r="S415" s="215" t="str">
        <f>IFERROR(IF(S414&gt;0,S413/S414,"n/m"),"n/a")</f>
        <v>n/m</v>
      </c>
      <c r="T415" s="34" t="n"/>
      <c r="U415" s="34" t="n"/>
      <c r="V415" s="34" t="n"/>
      <c r="W415" s="34" t="n"/>
      <c r="X415" s="215" t="str">
        <f>IFERROR(IF(X414&gt;0,X413/X414,"n/m"),"n/a")</f>
        <v>n/m</v>
      </c>
      <c r="Y415" s="34" t="n"/>
      <c r="Z415" s="34" t="n"/>
      <c r="AA415" s="34" t="n"/>
      <c r="AB415" s="34" t="n"/>
      <c r="AC415" s="215" t="str">
        <f>IFERROR(IF(AC414&gt;0,AC413/AC414,"n/m"),"n/a")</f>
        <v>n/m</v>
      </c>
      <c r="AD415" s="34" t="n"/>
      <c r="AE415" s="34" t="n"/>
      <c r="AF415" s="34" t="n"/>
      <c r="AG415" s="34" t="n"/>
      <c r="AH415" s="215" t="str">
        <f>IFERROR(IF(AH414&gt;0,AH413/AH414,"n/m"),"n/a")</f>
        <v>n/m</v>
      </c>
      <c r="AI415" s="34" t="n"/>
      <c r="AJ415" s="34" t="n"/>
      <c r="AK415" s="34" t="n"/>
      <c r="AL415" s="34" t="n"/>
      <c r="AM415" s="215">
        <f>IFERROR(IF(AM414&gt;0,AM413/AM414,"n/m"),"n/a")</f>
        <v>2.84757555990433</v>
      </c>
      <c r="AN415" s="34" t="n"/>
      <c r="AO415" s="34" t="n"/>
      <c r="AP415" s="34" t="n"/>
      <c r="AQ415" s="34" t="n"/>
      <c r="AR415" s="215">
        <f>IFERROR(IF(AR414&gt;0,AR413/AR414,"n/m"),"n/a")</f>
        <v>2.32352941176471</v>
      </c>
      <c r="AS415" s="34" t="n"/>
      <c r="AT415" s="34" t="n"/>
      <c r="AU415" s="34" t="n"/>
      <c r="AV415" s="34" t="n"/>
      <c r="AW415" s="215">
        <f>IFERROR(IF(AW414&gt;0,AW413/AW414,"n/m"),"n/a")</f>
        <v>1.13320586360739</v>
      </c>
      <c r="AX415" s="34" t="n"/>
      <c r="AY415" s="34" t="n"/>
      <c r="AZ415" s="34" t="n"/>
      <c r="BA415" s="34" t="n"/>
      <c r="BB415" s="215">
        <f>IFERROR(IF(BB414&gt;0,BB413/BB414,"n/m"),"n/a")</f>
        <v>0.811881188118812</v>
      </c>
      <c r="BC415" s="34" t="n"/>
      <c r="BD415" s="34" t="n"/>
      <c r="BE415" s="34" t="n"/>
      <c r="BF415" s="34" t="n"/>
      <c r="BG415" s="215">
        <f>IFERROR(IF(BG414&gt;0,BG413/BG414,"n/m"),"n/a")</f>
        <v>0.545454545454545</v>
      </c>
      <c r="BH415" s="34" t="n"/>
      <c r="BI415" s="34" t="n"/>
      <c r="BJ415" s="34" t="n"/>
      <c r="BK415" s="34" t="n"/>
      <c r="BL415" s="215">
        <f>IFERROR(IF(BL414&gt;0,BL413/BL414,"n/m"),"n/a")</f>
        <v>0.484327908378541</v>
      </c>
      <c r="BM415" s="34" t="n"/>
      <c r="BN415" s="34" t="n"/>
      <c r="BO415" s="34" t="n"/>
      <c r="BP415" s="34" t="n"/>
      <c r="BQ415" s="215">
        <f>IFERROR(IF(BQ414&gt;0,BQ413/BQ414,"n/m"),"n/a")</f>
        <v>0.577279102384292</v>
      </c>
      <c r="BR415" s="34" t="n"/>
      <c r="BS415" s="34" t="n"/>
      <c r="BT415" s="34" t="n"/>
      <c r="BU415" s="34" t="n"/>
      <c r="BV415" s="215">
        <f>IFERROR(IF(BV414&gt;0,BV413/BV414,"n/m"),"n/a")</f>
        <v>0.606561420818944</v>
      </c>
      <c r="BW415" s="34" t="n"/>
      <c r="BX415" s="34" t="n"/>
      <c r="BY415" s="35" t="n"/>
      <c r="BZ415" s="35" t="n"/>
      <c r="CA415" s="256">
        <f>IFERROR(IF(CA414&gt;0,CA413/CA414,"n/m"),"n/a")</f>
        <v>0.839893785901452</v>
      </c>
      <c r="CB415" s="256">
        <f>IFERROR(IF(CB414&gt;0,CB413/CB414,"n/m"),"n/a")</f>
        <v>1.11521845429154</v>
      </c>
      <c r="CC415" s="256">
        <f>IFERROR(IF(CC414&gt;0,CC413/CC414,"n/m"),"n/a")</f>
        <v>1.43178331170786</v>
      </c>
      <c r="CD415" s="256">
        <f>IFERROR(IF(CD414&gt;0,CD413/CD414,"n/m"),"n/a")</f>
        <v>1.85576548456615</v>
      </c>
      <c r="CE415" s="256">
        <f>IFERROR(IF(CE414&gt;0,CE413/CE414,"n/m"),"n/a")</f>
        <v>2.44677985999993</v>
      </c>
      <c r="CF415" s="19" t="inlineStr">
        <is>
          <t>n/m where shareholders' equity is negative (deficit 2007–11 and 2014–17 after buybacks).</t>
        </is>
      </c>
      <c r="CH415" s="37">
        <f>IFERROR(AVERAGE(CA415,CB415,CC415,CD415,CE415),"n/m")</f>
        <v>1.53788817929339</v>
      </c>
      <c r="CI415" s="37">
        <f>IFERROR(AVERAGE(BB415,BG415,BL415,BQ415,BV415),"n/m")</f>
        <v>0.605100833031027</v>
      </c>
      <c r="CJ415" s="37">
        <f>IFERROR(AVERAGE(AC415,AH415,AM415,AR415,AW415,BB415,BG415,BL415,BQ415,BV415),"n/m")</f>
        <v>1.16622687505395</v>
      </c>
      <c r="CK415" s="37">
        <f>IFERROR(AVERAGE(C415,D415,E415,F415,G415,H415,I415,N415,S415,X415,AC415,AH415,AM415,AR415,AW415,BB415,BG415,BL415,BQ415,BV415),"n/m")</f>
        <v>1.63744698586112</v>
      </c>
    </row>
    <row r="416" ht="15" customHeight="1" s="251">
      <c r="B416" s="25" t="inlineStr">
        <is>
          <t>Leverage</t>
        </is>
      </c>
      <c r="CF416" s="153" t="n"/>
    </row>
    <row r="417" ht="15" customHeight="1" s="251">
      <c r="B417" s="25" t="inlineStr">
        <is>
          <t>Net debt = Total debt − cash − short-term investments</t>
        </is>
      </c>
      <c r="C417" s="261">
        <f>C399</f>
        <v>-183.5</v>
      </c>
      <c r="D417" s="261">
        <f>D399</f>
        <v>710.9</v>
      </c>
      <c r="E417" s="261">
        <f>E399</f>
        <v>1214.7</v>
      </c>
      <c r="F417" s="261">
        <f>F399</f>
        <v>709.8</v>
      </c>
      <c r="G417" s="261">
        <f>G399</f>
        <v>567.3</v>
      </c>
      <c r="H417" s="261">
        <f>H399</f>
        <v>469</v>
      </c>
      <c r="I417" s="261">
        <f>I399</f>
        <v>-102.1</v>
      </c>
      <c r="J417" s="34" t="n"/>
      <c r="K417" s="34" t="n"/>
      <c r="L417" s="34" t="n"/>
      <c r="M417" s="34" t="n"/>
      <c r="N417" s="261">
        <f>N399</f>
        <v>-4.49999999999983</v>
      </c>
      <c r="O417" s="34" t="n"/>
      <c r="P417" s="34" t="n"/>
      <c r="Q417" s="34" t="n"/>
      <c r="R417" s="34" t="n"/>
      <c r="S417" s="261">
        <f>S399</f>
        <v>869.7</v>
      </c>
      <c r="T417" s="34" t="n"/>
      <c r="U417" s="34" t="n"/>
      <c r="V417" s="34" t="n"/>
      <c r="W417" s="34" t="n"/>
      <c r="X417" s="261">
        <f>X399</f>
        <v>1168.8</v>
      </c>
      <c r="Y417" s="34" t="n"/>
      <c r="Z417" s="34" t="n"/>
      <c r="AA417" s="34" t="n"/>
      <c r="AB417" s="34" t="n"/>
      <c r="AC417" s="261">
        <f>AC399</f>
        <v>1138.1</v>
      </c>
      <c r="AD417" s="34" t="n"/>
      <c r="AE417" s="34" t="n"/>
      <c r="AF417" s="34" t="n"/>
      <c r="AG417" s="34" t="n"/>
      <c r="AH417" s="261">
        <f>AH399</f>
        <v>4357.2</v>
      </c>
      <c r="AI417" s="34" t="n"/>
      <c r="AJ417" s="34" t="n"/>
      <c r="AK417" s="34" t="n"/>
      <c r="AL417" s="34" t="n"/>
      <c r="AM417" s="261">
        <f>AM399</f>
        <v>3858.5</v>
      </c>
      <c r="AN417" s="34" t="n"/>
      <c r="AO417" s="34" t="n"/>
      <c r="AP417" s="34" t="n"/>
      <c r="AQ417" s="34" t="n"/>
      <c r="AR417" s="261">
        <f>AR399</f>
        <v>3651</v>
      </c>
      <c r="AS417" s="34" t="n"/>
      <c r="AT417" s="34" t="n"/>
      <c r="AU417" s="34" t="n"/>
      <c r="AV417" s="34" t="n"/>
      <c r="AW417" s="261">
        <f>AW399</f>
        <v>3726</v>
      </c>
      <c r="AX417" s="34" t="n"/>
      <c r="AY417" s="34" t="n"/>
      <c r="AZ417" s="34" t="n"/>
      <c r="BA417" s="34" t="n"/>
      <c r="BB417" s="261">
        <f>BB399</f>
        <v>5511</v>
      </c>
      <c r="BC417" s="34" t="n"/>
      <c r="BD417" s="34" t="n"/>
      <c r="BE417" s="34" t="n"/>
      <c r="BF417" s="34" t="n"/>
      <c r="BG417" s="261">
        <f>BG399</f>
        <v>5530</v>
      </c>
      <c r="BH417" s="34" t="n"/>
      <c r="BI417" s="34" t="n"/>
      <c r="BJ417" s="34" t="n"/>
      <c r="BK417" s="34" t="n"/>
      <c r="BL417" s="261">
        <f>BL399</f>
        <v>4808</v>
      </c>
      <c r="BM417" s="34" t="n"/>
      <c r="BN417" s="34" t="n"/>
      <c r="BO417" s="34" t="n"/>
      <c r="BP417" s="34" t="n"/>
      <c r="BQ417" s="261">
        <f>BQ399</f>
        <v>4454</v>
      </c>
      <c r="BR417" s="34" t="n"/>
      <c r="BS417" s="34" t="n"/>
      <c r="BT417" s="34" t="n"/>
      <c r="BU417" s="34" t="n"/>
      <c r="BV417" s="261">
        <f>BV399</f>
        <v>4546</v>
      </c>
      <c r="BW417" s="34" t="n"/>
      <c r="BX417" s="34" t="n"/>
      <c r="BY417" s="35" t="n"/>
      <c r="BZ417" s="35" t="n"/>
      <c r="CA417" s="254">
        <f>CA399</f>
        <v>4991.04921857913</v>
      </c>
      <c r="CB417" s="254">
        <f>CB399</f>
        <v>5829.6321463472</v>
      </c>
      <c r="CC417" s="254">
        <f>CC399</f>
        <v>6287.52735381988</v>
      </c>
      <c r="CD417" s="254">
        <f>CD399</f>
        <v>6763.22859483085</v>
      </c>
      <c r="CE417" s="254">
        <f>CE399</f>
        <v>7241.81710848119</v>
      </c>
      <c r="CF417" s="19" t="n"/>
    </row>
    <row r="418" ht="15" customHeight="1" s="251">
      <c r="B418" s="25" t="inlineStr">
        <is>
          <t>Adjusted Operating Income (= Adjusted EBITDA)</t>
        </is>
      </c>
      <c r="C418" s="261">
        <f>C219</f>
        <v>1138.4</v>
      </c>
      <c r="D418" s="261">
        <f>D219</f>
        <v>1223.9</v>
      </c>
      <c r="E418" s="261">
        <f>E219</f>
        <v>820.8</v>
      </c>
      <c r="F418" s="261">
        <f>F219</f>
        <v>769.1</v>
      </c>
      <c r="G418" s="261">
        <f>G219</f>
        <v>839.2</v>
      </c>
      <c r="H418" s="261">
        <f>H219</f>
        <v>967.6</v>
      </c>
      <c r="I418" s="261">
        <f>I219</f>
        <v>1183.1</v>
      </c>
      <c r="J418" s="34" t="n"/>
      <c r="K418" s="34" t="n"/>
      <c r="L418" s="34" t="n"/>
      <c r="M418" s="34" t="n"/>
      <c r="N418" s="261">
        <f>N219</f>
        <v>1328</v>
      </c>
      <c r="O418" s="34" t="n"/>
      <c r="P418" s="34" t="n"/>
      <c r="Q418" s="34" t="n"/>
      <c r="R418" s="34" t="n"/>
      <c r="S418" s="261">
        <f>S219</f>
        <v>1534.7</v>
      </c>
      <c r="T418" s="34" t="n"/>
      <c r="U418" s="34" t="n"/>
      <c r="V418" s="34" t="n"/>
      <c r="W418" s="34" t="n"/>
      <c r="X418" s="261">
        <f>X219</f>
        <v>1586.9</v>
      </c>
      <c r="Y418" s="34" t="n"/>
      <c r="Z418" s="34" t="n"/>
      <c r="AA418" s="34" t="n"/>
      <c r="AB418" s="34" t="n"/>
      <c r="AC418" s="261">
        <f>AC219</f>
        <v>1641.2</v>
      </c>
      <c r="AD418" s="34" t="n"/>
      <c r="AE418" s="34" t="n"/>
      <c r="AF418" s="34" t="n"/>
      <c r="AG418" s="34" t="n"/>
      <c r="AH418" s="261">
        <f>AH219</f>
        <v>1989.9</v>
      </c>
      <c r="AI418" s="34" t="n"/>
      <c r="AJ418" s="34" t="n"/>
      <c r="AK418" s="34" t="n"/>
      <c r="AL418" s="34" t="n"/>
      <c r="AM418" s="261">
        <f>AM219</f>
        <v>2117.1</v>
      </c>
      <c r="AN418" s="34" t="n"/>
      <c r="AO418" s="34" t="n"/>
      <c r="AP418" s="34" t="n"/>
      <c r="AQ418" s="34" t="n"/>
      <c r="AR418" s="261">
        <f>AR219</f>
        <v>2291</v>
      </c>
      <c r="AS418" s="34" t="n"/>
      <c r="AT418" s="34" t="n"/>
      <c r="AU418" s="34" t="n"/>
      <c r="AV418" s="34" t="n"/>
      <c r="AW418" s="261">
        <f>AW219</f>
        <v>2667</v>
      </c>
      <c r="AX418" s="34" t="n"/>
      <c r="AY418" s="34" t="n"/>
      <c r="AZ418" s="34" t="n"/>
      <c r="BA418" s="34" t="n"/>
      <c r="BB418" s="261">
        <f>BB219</f>
        <v>3101</v>
      </c>
      <c r="BC418" s="34" t="n"/>
      <c r="BD418" s="34" t="n"/>
      <c r="BE418" s="34" t="n"/>
      <c r="BF418" s="34" t="n"/>
      <c r="BG418" s="261">
        <f>BG219</f>
        <v>2328</v>
      </c>
      <c r="BH418" s="34" t="n"/>
      <c r="BI418" s="34" t="n"/>
      <c r="BJ418" s="34" t="n"/>
      <c r="BK418" s="34" t="n"/>
      <c r="BL418" s="261">
        <f>BL219</f>
        <v>2597</v>
      </c>
      <c r="BM418" s="34" t="n"/>
      <c r="BN418" s="34" t="n"/>
      <c r="BO418" s="34" t="n"/>
      <c r="BP418" s="34" t="n"/>
      <c r="BQ418" s="261">
        <f>BQ219</f>
        <v>3408</v>
      </c>
      <c r="BR418" s="34" t="n"/>
      <c r="BS418" s="34" t="n"/>
      <c r="BT418" s="34" t="n"/>
      <c r="BU418" s="34" t="n"/>
      <c r="BV418" s="261">
        <f>BV219</f>
        <v>3942</v>
      </c>
      <c r="BW418" s="34" t="n"/>
      <c r="BX418" s="34" t="n"/>
      <c r="BY418" s="35" t="n"/>
      <c r="BZ418" s="35" t="n"/>
      <c r="CA418" s="254">
        <f>CA219</f>
        <v>4319.48199538074</v>
      </c>
      <c r="CB418" s="254">
        <f>CB219</f>
        <v>4686.90571707776</v>
      </c>
      <c r="CC418" s="254">
        <f>CC219</f>
        <v>5053.2218830559</v>
      </c>
      <c r="CD418" s="254">
        <f>CD219</f>
        <v>5433.78287586468</v>
      </c>
      <c r="CE418" s="254">
        <f>CE219</f>
        <v>5816.65368678495</v>
      </c>
      <c r="CF418" s="19" t="n"/>
    </row>
    <row r="419" ht="15" customHeight="1" s="251">
      <c r="B419" s="55" t="inlineStr">
        <is>
          <t>Net debt / Adjusted Operating Income (x)</t>
        </is>
      </c>
      <c r="C419" s="296">
        <f>IFERROR(C417/C418,"n/a")</f>
        <v>-0.161191145467323</v>
      </c>
      <c r="D419" s="296">
        <f>IFERROR(D417/D418,"n/a")</f>
        <v>0.580848108505597</v>
      </c>
      <c r="E419" s="296">
        <f>IFERROR(E417/E418,"n/a")</f>
        <v>1.47989766081871</v>
      </c>
      <c r="F419" s="296">
        <f>IFERROR(F417/F418,"n/a")</f>
        <v>0.92289689247172</v>
      </c>
      <c r="G419" s="296">
        <f>IFERROR(G417/G418,"n/a")</f>
        <v>0.676000953288846</v>
      </c>
      <c r="H419" s="296">
        <f>IFERROR(H417/H418,"n/a")</f>
        <v>0.48470442331542</v>
      </c>
      <c r="I419" s="296">
        <f>IFERROR(I417/I418,"n/a")</f>
        <v>-0.0862987067872539</v>
      </c>
      <c r="J419" s="56" t="n"/>
      <c r="K419" s="56" t="n"/>
      <c r="L419" s="56" t="n"/>
      <c r="M419" s="56" t="n"/>
      <c r="N419" s="296">
        <f>IFERROR(N417/N418,"n/a")</f>
        <v>-0.00338855421686734</v>
      </c>
      <c r="O419" s="56" t="n"/>
      <c r="P419" s="56" t="n"/>
      <c r="Q419" s="56" t="n"/>
      <c r="R419" s="56" t="n"/>
      <c r="S419" s="296">
        <f>IFERROR(S417/S418,"n/a")</f>
        <v>0.566690558415326</v>
      </c>
      <c r="T419" s="56" t="n"/>
      <c r="U419" s="56" t="n"/>
      <c r="V419" s="56" t="n"/>
      <c r="W419" s="56" t="n"/>
      <c r="X419" s="296">
        <f>IFERROR(X417/X418,"n/a")</f>
        <v>0.736530342176571</v>
      </c>
      <c r="Y419" s="56" t="n"/>
      <c r="Z419" s="56" t="n"/>
      <c r="AA419" s="56" t="n"/>
      <c r="AB419" s="56" t="n"/>
      <c r="AC419" s="296">
        <f>IFERROR(AC417/AC418,"n/a")</f>
        <v>0.693456007799171</v>
      </c>
      <c r="AD419" s="56" t="n"/>
      <c r="AE419" s="56" t="n"/>
      <c r="AF419" s="56" t="n"/>
      <c r="AG419" s="56" t="n"/>
      <c r="AH419" s="296">
        <f>IFERROR(AH417/AH418,"n/a")</f>
        <v>2.18965777174732</v>
      </c>
      <c r="AI419" s="56" t="n"/>
      <c r="AJ419" s="56" t="n"/>
      <c r="AK419" s="56" t="n"/>
      <c r="AL419" s="56" t="n"/>
      <c r="AM419" s="296">
        <f>IFERROR(AM417/AM418,"n/a")</f>
        <v>1.82254026734684</v>
      </c>
      <c r="AN419" s="56" t="n"/>
      <c r="AO419" s="56" t="n"/>
      <c r="AP419" s="56" t="n"/>
      <c r="AQ419" s="56" t="n"/>
      <c r="AR419" s="296">
        <f>IFERROR(AR417/AR418,"n/a")</f>
        <v>1.5936272370144</v>
      </c>
      <c r="AS419" s="56" t="n"/>
      <c r="AT419" s="56" t="n"/>
      <c r="AU419" s="56" t="n"/>
      <c r="AV419" s="56" t="n"/>
      <c r="AW419" s="296">
        <f>IFERROR(AW417/AW418,"n/a")</f>
        <v>1.3970753655793</v>
      </c>
      <c r="AX419" s="56" t="n"/>
      <c r="AY419" s="56" t="n"/>
      <c r="AZ419" s="56" t="n"/>
      <c r="BA419" s="56" t="n"/>
      <c r="BB419" s="296">
        <f>IFERROR(BB417/BB418,"n/a")</f>
        <v>1.77716865527249</v>
      </c>
      <c r="BC419" s="56" t="n"/>
      <c r="BD419" s="56" t="n"/>
      <c r="BE419" s="56" t="n"/>
      <c r="BF419" s="56" t="n"/>
      <c r="BG419" s="296">
        <f>IFERROR(BG417/BG418,"n/a")</f>
        <v>2.37542955326461</v>
      </c>
      <c r="BH419" s="56" t="n"/>
      <c r="BI419" s="56" t="n"/>
      <c r="BJ419" s="56" t="n"/>
      <c r="BK419" s="56" t="n"/>
      <c r="BL419" s="296">
        <f>IFERROR(BL417/BL418,"n/a")</f>
        <v>1.85136696187909</v>
      </c>
      <c r="BM419" s="56" t="n"/>
      <c r="BN419" s="56" t="n"/>
      <c r="BO419" s="56" t="n"/>
      <c r="BP419" s="56" t="n"/>
      <c r="BQ419" s="296">
        <f>IFERROR(BQ417/BQ418,"n/a")</f>
        <v>1.30692488262911</v>
      </c>
      <c r="BR419" s="56" t="n"/>
      <c r="BS419" s="56" t="n"/>
      <c r="BT419" s="56" t="n"/>
      <c r="BU419" s="56" t="n"/>
      <c r="BV419" s="296">
        <f>IFERROR(BV417/BV418,"n/a")</f>
        <v>1.15322171486555</v>
      </c>
      <c r="BW419" s="56" t="n"/>
      <c r="BX419" s="56" t="n"/>
      <c r="BY419" s="56" t="n"/>
      <c r="BZ419" s="56" t="n"/>
      <c r="CA419" s="296">
        <f>IFERROR(CA417/CA418,"n/a")</f>
        <v>1.15547401839308</v>
      </c>
      <c r="CB419" s="296">
        <f>IFERROR(CB417/CB418,"n/a")</f>
        <v>1.24381254888607</v>
      </c>
      <c r="CC419" s="296">
        <f>IFERROR(CC417/CC418,"n/a")</f>
        <v>1.24426108714972</v>
      </c>
      <c r="CD419" s="296">
        <f>IFERROR(CD417/CD418,"n/a")</f>
        <v>1.24466301825772</v>
      </c>
      <c r="CE419" s="296">
        <f>IFERROR(CE417/CE418,"n/a")</f>
        <v>1.24501431552202</v>
      </c>
      <c r="CF419" s="153" t="n"/>
      <c r="CH419" s="37">
        <f>IFERROR(AVERAGE(CA419,CB419,CC419,CD419,CE419),"n/m")</f>
        <v>1.22664499764172</v>
      </c>
      <c r="CI419" s="37">
        <f>IFERROR(AVERAGE(BB419,BG419,BL419,BQ419,BV419),"n/m")</f>
        <v>1.69282235358217</v>
      </c>
      <c r="CJ419" s="37">
        <f>IFERROR(AVERAGE(AC419,AH419,AM419,AR419,AW419,BB419,BG419,BL419,BQ419,BV419),"n/m")</f>
        <v>1.61604684173979</v>
      </c>
      <c r="CK419" s="37">
        <f>IFERROR(AVERAGE(C419,D419,E419,F419,G419,H419,I419,N419,S419,X419,AC419,AH419,AM419,AR419,AW419,BB419,BG419,BL419,BQ419,BV419),"n/m")</f>
        <v>1.06785794749593</v>
      </c>
    </row>
    <row r="420" ht="15" customHeight="1" s="251">
      <c r="B420" s="25" t="inlineStr">
        <is>
          <t>Total debt / Adjusted Operating Income (x) — gross leverage</t>
        </is>
      </c>
      <c r="C420" s="286">
        <f>IFERROR(C368/C418,"n/a")</f>
        <v>0.263527758257203</v>
      </c>
      <c r="D420" s="286">
        <f>IFERROR(D368/D418,"n/a")</f>
        <v>0.941171664351663</v>
      </c>
      <c r="E420" s="286">
        <f>IFERROR(E368/E418,"n/a")</f>
        <v>1.78813352826511</v>
      </c>
      <c r="F420" s="286">
        <f>IFERROR(F368/F418,"n/a")</f>
        <v>1.55207385255493</v>
      </c>
      <c r="G420" s="286">
        <f>IFERROR(G368/G418,"n/a")</f>
        <v>1.47712106768351</v>
      </c>
      <c r="H420" s="286">
        <f>IFERROR(H368/H418,"n/a")</f>
        <v>1.28544853245143</v>
      </c>
      <c r="I420" s="286">
        <f>IFERROR(I368/I418,"n/a")</f>
        <v>1.41256022314259</v>
      </c>
      <c r="J420" s="34" t="n"/>
      <c r="K420" s="34" t="n"/>
      <c r="L420" s="34" t="n"/>
      <c r="M420" s="34" t="n"/>
      <c r="N420" s="286">
        <f>IFERROR(N368/N418,"n/a")</f>
        <v>1.58268072289157</v>
      </c>
      <c r="O420" s="34" t="n"/>
      <c r="P420" s="34" t="n"/>
      <c r="Q420" s="34" t="n"/>
      <c r="R420" s="34" t="n"/>
      <c r="S420" s="286">
        <f>IFERROR(S368/S418,"n/a")</f>
        <v>1.65980321887014</v>
      </c>
      <c r="T420" s="34" t="n"/>
      <c r="U420" s="34" t="n"/>
      <c r="V420" s="34" t="n"/>
      <c r="W420" s="34" t="n"/>
      <c r="X420" s="286">
        <f>IFERROR(X368/X418,"n/a")</f>
        <v>2.14317222257231</v>
      </c>
      <c r="Y420" s="34" t="n"/>
      <c r="Z420" s="34" t="n"/>
      <c r="AA420" s="34" t="n"/>
      <c r="AB420" s="34" t="n"/>
      <c r="AC420" s="286">
        <f>IFERROR(AC368/AC418,"n/a")</f>
        <v>2.04911040701925</v>
      </c>
      <c r="AD420" s="34" t="n"/>
      <c r="AE420" s="34" t="n"/>
      <c r="AF420" s="34" t="n"/>
      <c r="AG420" s="34" t="n"/>
      <c r="AH420" s="286">
        <f>IFERROR(AH368/AH418,"n/a")</f>
        <v>2.7843107693854</v>
      </c>
      <c r="AI420" s="34" t="n"/>
      <c r="AJ420" s="34" t="n"/>
      <c r="AK420" s="34" t="n"/>
      <c r="AL420" s="34" t="n"/>
      <c r="AM420" s="286">
        <f>IFERROR(AM368/AM418,"n/a")</f>
        <v>2.68102593169902</v>
      </c>
      <c r="AN420" s="34" t="n"/>
      <c r="AO420" s="34" t="n"/>
      <c r="AP420" s="34" t="n"/>
      <c r="AQ420" s="34" t="n"/>
      <c r="AR420" s="286">
        <f>IFERROR(AR368/AR418,"n/a")</f>
        <v>2.43605412483632</v>
      </c>
      <c r="AS420" s="34" t="n"/>
      <c r="AT420" s="34" t="n"/>
      <c r="AU420" s="34" t="n"/>
      <c r="AV420" s="34" t="n"/>
      <c r="AW420" s="286">
        <f>IFERROR(AW368/AW418,"n/a")</f>
        <v>2.4079490063742</v>
      </c>
      <c r="AX420" s="34" t="n"/>
      <c r="AY420" s="34" t="n"/>
      <c r="AZ420" s="34" t="n"/>
      <c r="BA420" s="34" t="n"/>
      <c r="BB420" s="286">
        <f>IFERROR(BB368/BB418,"n/a")</f>
        <v>2.39051918735892</v>
      </c>
      <c r="BC420" s="34" t="n"/>
      <c r="BD420" s="34" t="n"/>
      <c r="BE420" s="34" t="n"/>
      <c r="BF420" s="34" t="n"/>
      <c r="BG420" s="286">
        <f>IFERROR(BG368/BG418,"n/a")</f>
        <v>3.17396907216495</v>
      </c>
      <c r="BH420" s="34" t="n"/>
      <c r="BI420" s="34" t="n"/>
      <c r="BJ420" s="34" t="n"/>
      <c r="BK420" s="34" t="n"/>
      <c r="BL420" s="286">
        <f>IFERROR(BL368/BL418,"n/a")</f>
        <v>2.69580284944166</v>
      </c>
      <c r="BM420" s="34" t="n"/>
      <c r="BN420" s="34" t="n"/>
      <c r="BO420" s="34" t="n"/>
      <c r="BP420" s="34" t="n"/>
      <c r="BQ420" s="286">
        <f>IFERROR(BQ368/BQ418,"n/a")</f>
        <v>2.17957746478873</v>
      </c>
      <c r="BR420" s="34" t="n"/>
      <c r="BS420" s="34" t="n"/>
      <c r="BT420" s="34" t="n"/>
      <c r="BU420" s="34" t="n"/>
      <c r="BV420" s="286">
        <f>IFERROR(BV368/BV418,"n/a")</f>
        <v>1.7742262810756</v>
      </c>
      <c r="BW420" s="34" t="n"/>
      <c r="BX420" s="34" t="n"/>
      <c r="BY420" s="35" t="n"/>
      <c r="BZ420" s="35" t="n"/>
      <c r="CA420" s="287">
        <f>IFERROR(CA368/CA418,"n/a")</f>
        <v>1.60806319077798</v>
      </c>
      <c r="CB420" s="287">
        <f>IFERROR(CB368/CB418,"n/a")</f>
        <v>1.58868141359637</v>
      </c>
      <c r="CC420" s="287">
        <f>IFERROR(CC368/CC418,"n/a")</f>
        <v>1.5724621209775</v>
      </c>
      <c r="CD420" s="287">
        <f>IFERROR(CD368/CD418,"n/a")</f>
        <v>1.55434992397557</v>
      </c>
      <c r="CE420" s="287">
        <f>IFERROR(CE368/CE418,"n/a")</f>
        <v>1.53799770138021</v>
      </c>
      <c r="CF420" s="19" t="n"/>
    </row>
    <row r="421" ht="15" customHeight="1" s="251">
      <c r="CN421" s="11" t="n"/>
      <c r="CO421" s="12" t="n"/>
      <c r="CP421" s="12" t="n"/>
      <c r="CQ421" s="12" t="n"/>
      <c r="CR421" s="13" t="n"/>
    </row>
    <row r="422" ht="15" customHeight="1" s="251">
      <c r="B422" s="10" t="inlineStr">
        <is>
          <t>VALUATION</t>
        </is>
      </c>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c r="AA422" s="10" t="n"/>
      <c r="AB422" s="10" t="n"/>
      <c r="AC422" s="10" t="n"/>
      <c r="AD422" s="10" t="n"/>
      <c r="AE422" s="10" t="n"/>
      <c r="AF422" s="10" t="n"/>
      <c r="AG422" s="10" t="n"/>
      <c r="AH422" s="10" t="n"/>
      <c r="AI422" s="10" t="n"/>
      <c r="AJ422" s="10" t="n"/>
      <c r="AK422" s="10" t="n"/>
      <c r="AL422" s="10" t="n"/>
      <c r="AM422" s="10" t="n"/>
      <c r="AN422" s="10" t="n"/>
      <c r="AO422" s="10" t="n"/>
      <c r="AP422" s="10" t="n"/>
      <c r="AQ422" s="10" t="n"/>
      <c r="AR422" s="10" t="n"/>
      <c r="AS422" s="10" t="n"/>
      <c r="AT422" s="10" t="n"/>
      <c r="AU422" s="10" t="n"/>
      <c r="AV422" s="10" t="n"/>
      <c r="AW422" s="10" t="n"/>
      <c r="AX422" s="10" t="n"/>
      <c r="AY422" s="10" t="n"/>
      <c r="AZ422" s="10" t="n"/>
      <c r="BA422" s="10" t="n"/>
      <c r="BB422" s="10" t="n"/>
      <c r="BC422" s="10" t="n"/>
      <c r="BD422" s="10" t="n"/>
      <c r="BE422" s="10" t="n"/>
      <c r="BF422" s="10" t="n"/>
      <c r="BG422" s="10" t="n"/>
      <c r="BH422" s="10" t="n"/>
      <c r="BI422" s="10" t="n"/>
      <c r="BJ422" s="10" t="n"/>
      <c r="BK422" s="10" t="n"/>
      <c r="BL422" s="10" t="n"/>
      <c r="BM422" s="10" t="n"/>
      <c r="BN422" s="10" t="n"/>
      <c r="BO422" s="10" t="n"/>
      <c r="BP422" s="10" t="n"/>
      <c r="BQ422" s="10" t="n"/>
      <c r="BR422" s="10" t="n"/>
      <c r="BS422" s="10" t="n"/>
      <c r="BT422" s="10" t="n"/>
      <c r="BU422" s="10" t="n"/>
      <c r="BV422" s="10" t="n"/>
      <c r="BW422" s="10" t="n"/>
      <c r="BX422" s="10" t="n"/>
      <c r="BY422" s="10" t="n"/>
      <c r="BZ422" s="10" t="n"/>
      <c r="CA422" s="10" t="n"/>
      <c r="CB422" s="10" t="n"/>
      <c r="CC422" s="10" t="n"/>
      <c r="CD422" s="10" t="n"/>
      <c r="CE422" s="10" t="n"/>
      <c r="CF422" s="10" t="inlineStr">
        <is>
          <t>VALUATION — share price input $470.00 (user-provided, 12-Oct-2026). Cross-check: latest SEC-filed price = June-2026 average repurchase price $450.64 (Q2-26 10-Q Part II Item 2). Update to market.</t>
        </is>
      </c>
    </row>
    <row r="423" ht="15" customHeight="1" s="251">
      <c r="B423" s="69" t="inlineStr">
        <is>
          <t>Share price ($) — current</t>
        </is>
      </c>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c r="AA423" s="44" t="n"/>
      <c r="AB423" s="44" t="n"/>
      <c r="AC423" s="44" t="n"/>
      <c r="AD423" s="44" t="n"/>
      <c r="AE423" s="44" t="n"/>
      <c r="AF423" s="44" t="n"/>
      <c r="AG423" s="44" t="n"/>
      <c r="AH423" s="44" t="n"/>
      <c r="AI423" s="44" t="n"/>
      <c r="AJ423" s="44" t="n"/>
      <c r="AK423" s="44" t="n"/>
      <c r="AL423" s="44" t="n"/>
      <c r="AM423" s="44" t="n"/>
      <c r="AN423" s="44" t="n"/>
      <c r="AO423" s="44" t="n"/>
      <c r="AP423" s="44" t="n"/>
      <c r="AQ423" s="44" t="n"/>
      <c r="AR423" s="44" t="n"/>
      <c r="AS423" s="44" t="n"/>
      <c r="AT423" s="44" t="n"/>
      <c r="AU423" s="44" t="n"/>
      <c r="AV423" s="44" t="n"/>
      <c r="AW423" s="44" t="n"/>
      <c r="AX423" s="44" t="n"/>
      <c r="AY423" s="44" t="n"/>
      <c r="AZ423" s="44" t="n"/>
      <c r="BA423" s="44" t="n"/>
      <c r="BB423" s="44" t="n"/>
      <c r="BC423" s="44" t="n"/>
      <c r="BD423" s="44" t="n"/>
      <c r="BE423" s="44" t="n"/>
      <c r="BF423" s="44" t="n"/>
      <c r="BG423" s="44" t="n"/>
      <c r="BH423" s="44" t="n"/>
      <c r="BI423" s="44" t="n"/>
      <c r="BJ423" s="44" t="n"/>
      <c r="BK423" s="44" t="n"/>
      <c r="BL423" s="44" t="n"/>
      <c r="BM423" s="44" t="n"/>
      <c r="BN423" s="44" t="n"/>
      <c r="BO423" s="44" t="n"/>
      <c r="BP423" s="44" t="n"/>
      <c r="BQ423" s="44" t="n"/>
      <c r="BR423" s="44" t="n"/>
      <c r="BS423" s="44" t="n"/>
      <c r="BT423" s="44" t="n"/>
      <c r="BU423" s="44" t="n"/>
      <c r="BV423" s="44" t="n"/>
      <c r="BW423" s="44" t="n"/>
      <c r="BX423" s="44" t="n"/>
      <c r="BY423" s="153" t="n"/>
      <c r="BZ423" s="153" t="n"/>
      <c r="CA423" s="289" t="n">
        <v>470</v>
      </c>
      <c r="CB423" s="288">
        <f>CA423</f>
        <v>470</v>
      </c>
      <c r="CC423" s="288">
        <f>CB423</f>
        <v>470</v>
      </c>
      <c r="CD423" s="288">
        <f>CC423</f>
        <v>470</v>
      </c>
      <c r="CE423" s="288">
        <f>CD423</f>
        <v>470</v>
      </c>
      <c r="CF423" s="19" t="n"/>
    </row>
    <row r="424" ht="15" customHeight="1" s="251">
      <c r="B424" s="25" t="inlineStr">
        <is>
          <t>Diluted shares at period end (m)</t>
        </is>
      </c>
      <c r="C424" s="34" t="n"/>
      <c r="D424" s="34" t="n"/>
      <c r="E424" s="34" t="n"/>
      <c r="F424" s="34" t="n"/>
      <c r="G424" s="34" t="n"/>
      <c r="H424" s="34" t="n"/>
      <c r="I424" s="34" t="n"/>
      <c r="J424" s="34" t="n"/>
      <c r="K424" s="34" t="n"/>
      <c r="L424" s="34" t="n"/>
      <c r="M424" s="34" t="n"/>
      <c r="N424" s="34" t="n"/>
      <c r="O424" s="34" t="n"/>
      <c r="P424" s="34" t="n"/>
      <c r="Q424" s="34" t="n"/>
      <c r="R424" s="34" t="n"/>
      <c r="S424" s="34" t="n"/>
      <c r="T424" s="34" t="n"/>
      <c r="U424" s="34" t="n"/>
      <c r="V424" s="34" t="n"/>
      <c r="W424" s="34" t="n"/>
      <c r="X424" s="34" t="n"/>
      <c r="Y424" s="34" t="n"/>
      <c r="Z424" s="34" t="n"/>
      <c r="AA424" s="34" t="n"/>
      <c r="AB424" s="34" t="n"/>
      <c r="AC424" s="34" t="n"/>
      <c r="AD424" s="34" t="n"/>
      <c r="AE424" s="34" t="n"/>
      <c r="AF424" s="34" t="n"/>
      <c r="AG424" s="34" t="n"/>
      <c r="AH424" s="34" t="n"/>
      <c r="AI424" s="34" t="n"/>
      <c r="AJ424" s="34" t="n"/>
      <c r="AK424" s="34" t="n"/>
      <c r="AL424" s="34" t="n"/>
      <c r="AM424" s="34" t="n"/>
      <c r="AN424" s="34" t="n"/>
      <c r="AO424" s="34" t="n"/>
      <c r="AP424" s="34" t="n"/>
      <c r="AQ424" s="34" t="n"/>
      <c r="AR424" s="34" t="n"/>
      <c r="AS424" s="34" t="n"/>
      <c r="AT424" s="34" t="n"/>
      <c r="AU424" s="34" t="n"/>
      <c r="AV424" s="34" t="n"/>
      <c r="AW424" s="34" t="n"/>
      <c r="AX424" s="34" t="n"/>
      <c r="AY424" s="34" t="n"/>
      <c r="AZ424" s="34" t="n"/>
      <c r="BA424" s="34" t="n"/>
      <c r="BB424" s="34" t="n"/>
      <c r="BC424" s="34" t="n"/>
      <c r="BD424" s="34" t="n"/>
      <c r="BE424" s="34" t="n"/>
      <c r="BF424" s="34" t="n"/>
      <c r="BG424" s="34" t="n"/>
      <c r="BH424" s="34" t="n"/>
      <c r="BI424" s="34" t="n"/>
      <c r="BJ424" s="34" t="n"/>
      <c r="BK424" s="34" t="n"/>
      <c r="BL424" s="34" t="n"/>
      <c r="BM424" s="34" t="n"/>
      <c r="BN424" s="34" t="n"/>
      <c r="BO424" s="34" t="n"/>
      <c r="BP424" s="34" t="n"/>
      <c r="BQ424" s="34" t="n"/>
      <c r="BR424" s="34" t="n"/>
      <c r="BS424" s="34" t="n"/>
      <c r="BT424" s="34" t="n"/>
      <c r="BU424" s="34" t="n"/>
      <c r="BV424" s="34" t="n"/>
      <c r="BW424" s="34" t="n"/>
      <c r="BX424" s="34" t="n"/>
      <c r="BY424" s="35" t="n"/>
      <c r="BZ424" s="35" t="n"/>
      <c r="CA424" s="254">
        <f>CA306+(BX189-BX188)</f>
        <v>172.392553191489</v>
      </c>
      <c r="CB424" s="254">
        <f>CB306+N(CB365)</f>
        <v>167.020355391355</v>
      </c>
      <c r="CC424" s="254">
        <f>CC306+N(CC365)</f>
        <v>162.183455745518</v>
      </c>
      <c r="CD424" s="254">
        <f>CD306+N(CD365)</f>
        <v>157.359687312153</v>
      </c>
      <c r="CE424" s="254">
        <f>CE306+N(CE365)</f>
        <v>152.615351992796</v>
      </c>
      <c r="CF424" s="19" t="n"/>
    </row>
    <row r="425" ht="15" customHeight="1" s="251">
      <c r="B425" s="25" t="inlineStr">
        <is>
          <t>Market capitalisation (USDm)</t>
        </is>
      </c>
      <c r="C425" s="34" t="n"/>
      <c r="D425" s="34" t="n"/>
      <c r="E425" s="34" t="n"/>
      <c r="F425" s="34" t="n"/>
      <c r="G425" s="34" t="n"/>
      <c r="H425" s="34" t="n"/>
      <c r="I425" s="34" t="n"/>
      <c r="J425" s="34" t="n"/>
      <c r="K425" s="34" t="n"/>
      <c r="L425" s="34" t="n"/>
      <c r="M425" s="34" t="n"/>
      <c r="N425" s="34" t="n"/>
      <c r="O425" s="34" t="n"/>
      <c r="P425" s="34" t="n"/>
      <c r="Q425" s="34" t="n"/>
      <c r="R425" s="34" t="n"/>
      <c r="S425" s="34" t="n"/>
      <c r="T425" s="34" t="n"/>
      <c r="U425" s="34" t="n"/>
      <c r="V425" s="34" t="n"/>
      <c r="W425" s="34" t="n"/>
      <c r="X425" s="34" t="n"/>
      <c r="Y425" s="34" t="n"/>
      <c r="Z425" s="34" t="n"/>
      <c r="AA425" s="34" t="n"/>
      <c r="AB425" s="34" t="n"/>
      <c r="AC425" s="34" t="n"/>
      <c r="AD425" s="34" t="n"/>
      <c r="AE425" s="34" t="n"/>
      <c r="AF425" s="34" t="n"/>
      <c r="AG425" s="34" t="n"/>
      <c r="AH425" s="34" t="n"/>
      <c r="AI425" s="34" t="n"/>
      <c r="AJ425" s="34" t="n"/>
      <c r="AK425" s="34" t="n"/>
      <c r="AL425" s="34" t="n"/>
      <c r="AM425" s="34" t="n"/>
      <c r="AN425" s="34" t="n"/>
      <c r="AO425" s="34" t="n"/>
      <c r="AP425" s="34" t="n"/>
      <c r="AQ425" s="34" t="n"/>
      <c r="AR425" s="34" t="n"/>
      <c r="AS425" s="34" t="n"/>
      <c r="AT425" s="34" t="n"/>
      <c r="AU425" s="34" t="n"/>
      <c r="AV425" s="34" t="n"/>
      <c r="AW425" s="34" t="n"/>
      <c r="AX425" s="34" t="n"/>
      <c r="AY425" s="34" t="n"/>
      <c r="AZ425" s="34" t="n"/>
      <c r="BA425" s="34" t="n"/>
      <c r="BB425" s="34" t="n"/>
      <c r="BC425" s="34" t="n"/>
      <c r="BD425" s="34" t="n"/>
      <c r="BE425" s="34" t="n"/>
      <c r="BF425" s="34" t="n"/>
      <c r="BG425" s="34" t="n"/>
      <c r="BH425" s="34" t="n"/>
      <c r="BI425" s="34" t="n"/>
      <c r="BJ425" s="34" t="n"/>
      <c r="BK425" s="34" t="n"/>
      <c r="BL425" s="34" t="n"/>
      <c r="BM425" s="34" t="n"/>
      <c r="BN425" s="34" t="n"/>
      <c r="BO425" s="34" t="n"/>
      <c r="BP425" s="34" t="n"/>
      <c r="BQ425" s="34" t="n"/>
      <c r="BR425" s="34" t="n"/>
      <c r="BS425" s="34" t="n"/>
      <c r="BT425" s="34" t="n"/>
      <c r="BU425" s="34" t="n"/>
      <c r="BV425" s="34" t="n"/>
      <c r="BW425" s="34" t="n"/>
      <c r="BX425" s="34" t="n"/>
      <c r="BY425" s="35" t="n"/>
      <c r="BZ425" s="35" t="n"/>
      <c r="CA425" s="269">
        <f>IFERROR(CA423*CA424,"n/a")</f>
        <v>81024.5</v>
      </c>
      <c r="CB425" s="269">
        <f>IFERROR(CB423*CB424,"n/a")</f>
        <v>78499.5670339368</v>
      </c>
      <c r="CC425" s="269">
        <f>IFERROR(CC423*CC424,"n/a")</f>
        <v>76226.2242003933</v>
      </c>
      <c r="CD425" s="269">
        <f>IFERROR(CD423*CD424,"n/a")</f>
        <v>73959.0530367121</v>
      </c>
      <c r="CE425" s="269">
        <f>IFERROR(CE423*CE424,"n/a")</f>
        <v>71729.2154366139</v>
      </c>
      <c r="CF425" s="19" t="n"/>
    </row>
    <row r="426" ht="15" customHeight="1" s="251">
      <c r="B426" s="25" t="inlineStr">
        <is>
          <t>Net debt (USDm)</t>
        </is>
      </c>
      <c r="C426" s="34" t="n"/>
      <c r="D426" s="34" t="n"/>
      <c r="E426" s="34" t="n"/>
      <c r="F426" s="34" t="n"/>
      <c r="G426" s="34" t="n"/>
      <c r="H426" s="34" t="n"/>
      <c r="I426" s="34" t="n"/>
      <c r="J426" s="34" t="n"/>
      <c r="K426" s="34" t="n"/>
      <c r="L426" s="34" t="n"/>
      <c r="M426" s="34" t="n"/>
      <c r="N426" s="34" t="n"/>
      <c r="O426" s="34" t="n"/>
      <c r="P426" s="34" t="n"/>
      <c r="Q426" s="34" t="n"/>
      <c r="R426" s="34" t="n"/>
      <c r="S426" s="34" t="n"/>
      <c r="T426" s="34" t="n"/>
      <c r="U426" s="34" t="n"/>
      <c r="V426" s="34" t="n"/>
      <c r="W426" s="34" t="n"/>
      <c r="X426" s="34" t="n"/>
      <c r="Y426" s="34" t="n"/>
      <c r="Z426" s="34" t="n"/>
      <c r="AA426" s="34" t="n"/>
      <c r="AB426" s="34" t="n"/>
      <c r="AC426" s="34" t="n"/>
      <c r="AD426" s="34" t="n"/>
      <c r="AE426" s="34" t="n"/>
      <c r="AF426" s="34" t="n"/>
      <c r="AG426" s="34" t="n"/>
      <c r="AH426" s="34" t="n"/>
      <c r="AI426" s="34" t="n"/>
      <c r="AJ426" s="34" t="n"/>
      <c r="AK426" s="34" t="n"/>
      <c r="AL426" s="34" t="n"/>
      <c r="AM426" s="34" t="n"/>
      <c r="AN426" s="34" t="n"/>
      <c r="AO426" s="34" t="n"/>
      <c r="AP426" s="34" t="n"/>
      <c r="AQ426" s="34" t="n"/>
      <c r="AR426" s="34" t="n"/>
      <c r="AS426" s="34" t="n"/>
      <c r="AT426" s="34" t="n"/>
      <c r="AU426" s="34" t="n"/>
      <c r="AV426" s="34" t="n"/>
      <c r="AW426" s="34" t="n"/>
      <c r="AX426" s="34" t="n"/>
      <c r="AY426" s="34" t="n"/>
      <c r="AZ426" s="34" t="n"/>
      <c r="BA426" s="34" t="n"/>
      <c r="BB426" s="34" t="n"/>
      <c r="BC426" s="34" t="n"/>
      <c r="BD426" s="34" t="n"/>
      <c r="BE426" s="34" t="n"/>
      <c r="BF426" s="34" t="n"/>
      <c r="BG426" s="34" t="n"/>
      <c r="BH426" s="34" t="n"/>
      <c r="BI426" s="34" t="n"/>
      <c r="BJ426" s="34" t="n"/>
      <c r="BK426" s="34" t="n"/>
      <c r="BL426" s="34" t="n"/>
      <c r="BM426" s="34" t="n"/>
      <c r="BN426" s="34" t="n"/>
      <c r="BO426" s="34" t="n"/>
      <c r="BP426" s="34" t="n"/>
      <c r="BQ426" s="34" t="n"/>
      <c r="BR426" s="34" t="n"/>
      <c r="BS426" s="34" t="n"/>
      <c r="BT426" s="34" t="n"/>
      <c r="BU426" s="34" t="n"/>
      <c r="BV426" s="34" t="n"/>
      <c r="BW426" s="34" t="n"/>
      <c r="BX426" s="34" t="n"/>
      <c r="BY426" s="35" t="n"/>
      <c r="BZ426" s="35" t="n"/>
      <c r="CA426" s="269">
        <f>CA417</f>
        <v>4991.04921857913</v>
      </c>
      <c r="CB426" s="269">
        <f>CB417</f>
        <v>5829.6321463472</v>
      </c>
      <c r="CC426" s="269">
        <f>CC417</f>
        <v>6287.52735381988</v>
      </c>
      <c r="CD426" s="269">
        <f>CD417</f>
        <v>6763.22859483085</v>
      </c>
      <c r="CE426" s="269">
        <f>CE417</f>
        <v>7241.81710848119</v>
      </c>
      <c r="CF426" s="19" t="n"/>
    </row>
    <row r="427" ht="15" customHeight="1" s="251">
      <c r="B427" s="25" t="inlineStr">
        <is>
          <t>Noncontrolling interests (USDm)</t>
        </is>
      </c>
      <c r="C427" s="34" t="n"/>
      <c r="D427" s="34" t="n"/>
      <c r="E427" s="34" t="n"/>
      <c r="F427" s="34" t="n"/>
      <c r="G427" s="34" t="n"/>
      <c r="H427" s="34" t="n"/>
      <c r="I427" s="34" t="n"/>
      <c r="J427" s="34" t="n"/>
      <c r="K427" s="34" t="n"/>
      <c r="L427" s="34" t="n"/>
      <c r="M427" s="34" t="n"/>
      <c r="N427" s="34" t="n"/>
      <c r="O427" s="34" t="n"/>
      <c r="P427" s="34" t="n"/>
      <c r="Q427" s="34" t="n"/>
      <c r="R427" s="34" t="n"/>
      <c r="S427" s="34" t="n"/>
      <c r="T427" s="34" t="n"/>
      <c r="U427" s="34" t="n"/>
      <c r="V427" s="34" t="n"/>
      <c r="W427" s="34" t="n"/>
      <c r="X427" s="34" t="n"/>
      <c r="Y427" s="34" t="n"/>
      <c r="Z427" s="34" t="n"/>
      <c r="AA427" s="34" t="n"/>
      <c r="AB427" s="34" t="n"/>
      <c r="AC427" s="34" t="n"/>
      <c r="AD427" s="34" t="n"/>
      <c r="AE427" s="34" t="n"/>
      <c r="AF427" s="34" t="n"/>
      <c r="AG427" s="34" t="n"/>
      <c r="AH427" s="34" t="n"/>
      <c r="AI427" s="34" t="n"/>
      <c r="AJ427" s="34" t="n"/>
      <c r="AK427" s="34" t="n"/>
      <c r="AL427" s="34" t="n"/>
      <c r="AM427" s="34" t="n"/>
      <c r="AN427" s="34" t="n"/>
      <c r="AO427" s="34" t="n"/>
      <c r="AP427" s="34" t="n"/>
      <c r="AQ427" s="34" t="n"/>
      <c r="AR427" s="34" t="n"/>
      <c r="AS427" s="34" t="n"/>
      <c r="AT427" s="34" t="n"/>
      <c r="AU427" s="34" t="n"/>
      <c r="AV427" s="34" t="n"/>
      <c r="AW427" s="34" t="n"/>
      <c r="AX427" s="34" t="n"/>
      <c r="AY427" s="34" t="n"/>
      <c r="AZ427" s="34" t="n"/>
      <c r="BA427" s="34" t="n"/>
      <c r="BB427" s="34" t="n"/>
      <c r="BC427" s="34" t="n"/>
      <c r="BD427" s="34" t="n"/>
      <c r="BE427" s="34" t="n"/>
      <c r="BF427" s="34" t="n"/>
      <c r="BG427" s="34" t="n"/>
      <c r="BH427" s="34" t="n"/>
      <c r="BI427" s="34" t="n"/>
      <c r="BJ427" s="34" t="n"/>
      <c r="BK427" s="34" t="n"/>
      <c r="BL427" s="34" t="n"/>
      <c r="BM427" s="34" t="n"/>
      <c r="BN427" s="34" t="n"/>
      <c r="BO427" s="34" t="n"/>
      <c r="BP427" s="34" t="n"/>
      <c r="BQ427" s="34" t="n"/>
      <c r="BR427" s="34" t="n"/>
      <c r="BS427" s="34" t="n"/>
      <c r="BT427" s="34" t="n"/>
      <c r="BU427" s="34" t="n"/>
      <c r="BV427" s="34" t="n"/>
      <c r="BW427" s="34" t="n"/>
      <c r="BX427" s="34" t="n"/>
      <c r="BY427" s="35" t="n"/>
      <c r="BZ427" s="35" t="n"/>
      <c r="CA427" s="269">
        <f>CA332</f>
        <v>143</v>
      </c>
      <c r="CB427" s="269">
        <f>CB332</f>
        <v>147</v>
      </c>
      <c r="CC427" s="269">
        <f>CC332</f>
        <v>151</v>
      </c>
      <c r="CD427" s="269">
        <f>CD332</f>
        <v>155</v>
      </c>
      <c r="CE427" s="269">
        <f>CE332</f>
        <v>159</v>
      </c>
      <c r="CF427" s="19" t="n"/>
    </row>
    <row r="428" ht="15" customHeight="1" s="251">
      <c r="B428" s="16" t="inlineStr">
        <is>
          <t>Enterprise value (USDm)</t>
        </is>
      </c>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c r="AB428" s="43" t="n"/>
      <c r="AC428" s="43" t="n"/>
      <c r="AD428" s="43" t="n"/>
      <c r="AE428" s="43" t="n"/>
      <c r="AF428" s="43" t="n"/>
      <c r="AG428" s="43" t="n"/>
      <c r="AH428" s="43" t="n"/>
      <c r="AI428" s="43" t="n"/>
      <c r="AJ428" s="43" t="n"/>
      <c r="AK428" s="43" t="n"/>
      <c r="AL428" s="43" t="n"/>
      <c r="AM428" s="43" t="n"/>
      <c r="AN428" s="43" t="n"/>
      <c r="AO428" s="43" t="n"/>
      <c r="AP428" s="43" t="n"/>
      <c r="AQ428" s="43" t="n"/>
      <c r="AR428" s="43" t="n"/>
      <c r="AS428" s="43" t="n"/>
      <c r="AT428" s="43" t="n"/>
      <c r="AU428" s="43" t="n"/>
      <c r="AV428" s="43" t="n"/>
      <c r="AW428" s="43" t="n"/>
      <c r="AX428" s="43" t="n"/>
      <c r="AY428" s="43" t="n"/>
      <c r="AZ428" s="43" t="n"/>
      <c r="BA428" s="43" t="n"/>
      <c r="BB428" s="43" t="n"/>
      <c r="BC428" s="43" t="n"/>
      <c r="BD428" s="43" t="n"/>
      <c r="BE428" s="43" t="n"/>
      <c r="BF428" s="43" t="n"/>
      <c r="BG428" s="43" t="n"/>
      <c r="BH428" s="43" t="n"/>
      <c r="BI428" s="43" t="n"/>
      <c r="BJ428" s="43" t="n"/>
      <c r="BK428" s="43" t="n"/>
      <c r="BL428" s="43" t="n"/>
      <c r="BM428" s="43" t="n"/>
      <c r="BN428" s="43" t="n"/>
      <c r="BO428" s="43" t="n"/>
      <c r="BP428" s="43" t="n"/>
      <c r="BQ428" s="43" t="n"/>
      <c r="BR428" s="43" t="n"/>
      <c r="BS428" s="43" t="n"/>
      <c r="BT428" s="43" t="n"/>
      <c r="BU428" s="43" t="n"/>
      <c r="BV428" s="43" t="n"/>
      <c r="BW428" s="43" t="n"/>
      <c r="BX428" s="43" t="n"/>
      <c r="BY428" s="32" t="n"/>
      <c r="BZ428" s="32" t="n"/>
      <c r="CA428" s="273">
        <f>IFERROR(CA425+CA426+CA427,"n/a")</f>
        <v>86158.5492185791</v>
      </c>
      <c r="CB428" s="273">
        <f>IFERROR(CB425+CB426+CB427,"n/a")</f>
        <v>84476.199180284</v>
      </c>
      <c r="CC428" s="273">
        <f>IFERROR(CC425+CC426+CC427,"n/a")</f>
        <v>82664.7515542132</v>
      </c>
      <c r="CD428" s="273">
        <f>IFERROR(CD425+CD426+CD427,"n/a")</f>
        <v>80877.2816315429</v>
      </c>
      <c r="CE428" s="273">
        <f>IFERROR(CE425+CE426+CE427,"n/a")</f>
        <v>79130.0325450951</v>
      </c>
      <c r="CF428" s="153" t="n"/>
    </row>
    <row r="429" ht="15" customHeight="1" s="251">
      <c r="B429" s="25" t="inlineStr">
        <is>
          <t>Multiples</t>
        </is>
      </c>
      <c r="CF429" s="153" t="n"/>
    </row>
    <row r="430" ht="15" customHeight="1" s="251">
      <c r="B430" s="25" t="inlineStr">
        <is>
          <t xml:space="preserve">  EV / Revenue</t>
        </is>
      </c>
      <c r="C430" s="34" t="n"/>
      <c r="D430" s="34" t="n"/>
      <c r="E430" s="34" t="n"/>
      <c r="F430" s="34" t="n"/>
      <c r="G430" s="34" t="n"/>
      <c r="H430" s="34" t="n"/>
      <c r="I430" s="34" t="n"/>
      <c r="J430" s="34" t="n"/>
      <c r="K430" s="34" t="n"/>
      <c r="L430" s="34" t="n"/>
      <c r="M430" s="34" t="n"/>
      <c r="N430" s="34" t="n"/>
      <c r="O430" s="34" t="n"/>
      <c r="P430" s="34" t="n"/>
      <c r="Q430" s="34" t="n"/>
      <c r="R430" s="34" t="n"/>
      <c r="S430" s="34" t="n"/>
      <c r="T430" s="34" t="n"/>
      <c r="U430" s="34" t="n"/>
      <c r="V430" s="34" t="n"/>
      <c r="W430" s="34" t="n"/>
      <c r="X430" s="34" t="n"/>
      <c r="Y430" s="34" t="n"/>
      <c r="Z430" s="34" t="n"/>
      <c r="AA430" s="34" t="n"/>
      <c r="AB430" s="34" t="n"/>
      <c r="AC430" s="34" t="n"/>
      <c r="AD430" s="34" t="n"/>
      <c r="AE430" s="34" t="n"/>
      <c r="AF430" s="34" t="n"/>
      <c r="AG430" s="34" t="n"/>
      <c r="AH430" s="34" t="n"/>
      <c r="AI430" s="34" t="n"/>
      <c r="AJ430" s="34" t="n"/>
      <c r="AK430" s="34" t="n"/>
      <c r="AL430" s="34" t="n"/>
      <c r="AM430" s="34" t="n"/>
      <c r="AN430" s="34" t="n"/>
      <c r="AO430" s="34" t="n"/>
      <c r="AP430" s="34" t="n"/>
      <c r="AQ430" s="34" t="n"/>
      <c r="AR430" s="34" t="n"/>
      <c r="AS430" s="34" t="n"/>
      <c r="AT430" s="34" t="n"/>
      <c r="AU430" s="34" t="n"/>
      <c r="AV430" s="34" t="n"/>
      <c r="AW430" s="34" t="n"/>
      <c r="AX430" s="34" t="n"/>
      <c r="AY430" s="34" t="n"/>
      <c r="AZ430" s="34" t="n"/>
      <c r="BA430" s="34" t="n"/>
      <c r="BB430" s="34" t="n"/>
      <c r="BC430" s="34" t="n"/>
      <c r="BD430" s="34" t="n"/>
      <c r="BE430" s="34" t="n"/>
      <c r="BF430" s="34" t="n"/>
      <c r="BG430" s="34" t="n"/>
      <c r="BH430" s="34" t="n"/>
      <c r="BI430" s="34" t="n"/>
      <c r="BJ430" s="34" t="n"/>
      <c r="BK430" s="34" t="n"/>
      <c r="BL430" s="34" t="n"/>
      <c r="BM430" s="34" t="n"/>
      <c r="BN430" s="34" t="n"/>
      <c r="BO430" s="34" t="n"/>
      <c r="BP430" s="34" t="n"/>
      <c r="BQ430" s="34" t="n"/>
      <c r="BR430" s="34" t="n"/>
      <c r="BS430" s="34" t="n"/>
      <c r="BT430" s="34" t="n"/>
      <c r="BU430" s="34" t="n"/>
      <c r="BV430" s="34" t="n"/>
      <c r="BW430" s="34" t="n"/>
      <c r="BX430" s="34" t="n"/>
      <c r="BY430" s="35" t="n"/>
      <c r="BZ430" s="35" t="n"/>
      <c r="CA430" s="294">
        <f>IFERROR(CA428/CA163,"n/a")</f>
        <v>10.4720587517887</v>
      </c>
      <c r="CB430" s="294">
        <f>IFERROR(CB428/CB163,"n/a")</f>
        <v>9.57732026833211</v>
      </c>
      <c r="CC430" s="294">
        <f>IFERROR(CC428/CC163,"n/a")</f>
        <v>8.77617174059634</v>
      </c>
      <c r="CD430" s="294">
        <f>IFERROR(CD428/CD163,"n/a")</f>
        <v>8.06576290415337</v>
      </c>
      <c r="CE430" s="294">
        <f>IFERROR(CE428/CE163,"n/a")</f>
        <v>7.44423198701649</v>
      </c>
      <c r="CF430" s="19" t="n"/>
    </row>
    <row r="431" ht="15" customHeight="1" s="251">
      <c r="B431" s="25" t="inlineStr">
        <is>
          <t xml:space="preserve">  EV / Adjusted Operating Income (Adjusted EBITDA)</t>
        </is>
      </c>
      <c r="C431" s="34" t="n"/>
      <c r="D431" s="34" t="n"/>
      <c r="E431" s="34" t="n"/>
      <c r="F431" s="34" t="n"/>
      <c r="G431" s="34" t="n"/>
      <c r="H431" s="34" t="n"/>
      <c r="I431" s="34" t="n"/>
      <c r="J431" s="34" t="n"/>
      <c r="K431" s="34" t="n"/>
      <c r="L431" s="34" t="n"/>
      <c r="M431" s="34" t="n"/>
      <c r="N431" s="34" t="n"/>
      <c r="O431" s="34" t="n"/>
      <c r="P431" s="34" t="n"/>
      <c r="Q431" s="34" t="n"/>
      <c r="R431" s="34" t="n"/>
      <c r="S431" s="34" t="n"/>
      <c r="T431" s="34" t="n"/>
      <c r="U431" s="34" t="n"/>
      <c r="V431" s="34" t="n"/>
      <c r="W431" s="34" t="n"/>
      <c r="X431" s="34" t="n"/>
      <c r="Y431" s="34" t="n"/>
      <c r="Z431" s="34" t="n"/>
      <c r="AA431" s="34" t="n"/>
      <c r="AB431" s="34" t="n"/>
      <c r="AC431" s="34" t="n"/>
      <c r="AD431" s="34" t="n"/>
      <c r="AE431" s="34" t="n"/>
      <c r="AF431" s="34" t="n"/>
      <c r="AG431" s="34" t="n"/>
      <c r="AH431" s="34" t="n"/>
      <c r="AI431" s="34" t="n"/>
      <c r="AJ431" s="34" t="n"/>
      <c r="AK431" s="34" t="n"/>
      <c r="AL431" s="34" t="n"/>
      <c r="AM431" s="34" t="n"/>
      <c r="AN431" s="34" t="n"/>
      <c r="AO431" s="34" t="n"/>
      <c r="AP431" s="34" t="n"/>
      <c r="AQ431" s="34" t="n"/>
      <c r="AR431" s="34" t="n"/>
      <c r="AS431" s="34" t="n"/>
      <c r="AT431" s="34" t="n"/>
      <c r="AU431" s="34" t="n"/>
      <c r="AV431" s="34" t="n"/>
      <c r="AW431" s="34" t="n"/>
      <c r="AX431" s="34" t="n"/>
      <c r="AY431" s="34" t="n"/>
      <c r="AZ431" s="34" t="n"/>
      <c r="BA431" s="34" t="n"/>
      <c r="BB431" s="34" t="n"/>
      <c r="BC431" s="34" t="n"/>
      <c r="BD431" s="34" t="n"/>
      <c r="BE431" s="34" t="n"/>
      <c r="BF431" s="34" t="n"/>
      <c r="BG431" s="34" t="n"/>
      <c r="BH431" s="34" t="n"/>
      <c r="BI431" s="34" t="n"/>
      <c r="BJ431" s="34" t="n"/>
      <c r="BK431" s="34" t="n"/>
      <c r="BL431" s="34" t="n"/>
      <c r="BM431" s="34" t="n"/>
      <c r="BN431" s="34" t="n"/>
      <c r="BO431" s="34" t="n"/>
      <c r="BP431" s="34" t="n"/>
      <c r="BQ431" s="34" t="n"/>
      <c r="BR431" s="34" t="n"/>
      <c r="BS431" s="34" t="n"/>
      <c r="BT431" s="34" t="n"/>
      <c r="BU431" s="34" t="n"/>
      <c r="BV431" s="34" t="n"/>
      <c r="BW431" s="34" t="n"/>
      <c r="BX431" s="34" t="n"/>
      <c r="BY431" s="35" t="n"/>
      <c r="BZ431" s="35" t="n"/>
      <c r="CA431" s="294">
        <f>IFERROR(CA428/CA219,"n/a")</f>
        <v>19.9465003698863</v>
      </c>
      <c r="CB431" s="294">
        <f>IFERROR(CB428/CB219,"n/a")</f>
        <v>18.0238742316656</v>
      </c>
      <c r="CC431" s="294">
        <f>IFERROR(CC428/CC219,"n/a")</f>
        <v>16.3588208606867</v>
      </c>
      <c r="CD431" s="294">
        <f>IFERROR(CD428/CD219,"n/a")</f>
        <v>14.8841577735424</v>
      </c>
      <c r="CE431" s="294">
        <f>IFERROR(CE428/CE219,"n/a")</f>
        <v>13.6040474138719</v>
      </c>
      <c r="CF431" s="19" t="n"/>
    </row>
    <row r="432" ht="15" customHeight="1" s="251">
      <c r="B432" s="25" t="inlineStr">
        <is>
          <t xml:space="preserve">  EV / Adjusted EBITA</t>
        </is>
      </c>
      <c r="C432" s="34" t="n"/>
      <c r="D432" s="34" t="n"/>
      <c r="E432" s="34" t="n"/>
      <c r="F432" s="34" t="n"/>
      <c r="G432" s="34" t="n"/>
      <c r="H432" s="34" t="n"/>
      <c r="I432" s="34" t="n"/>
      <c r="J432" s="34" t="n"/>
      <c r="K432" s="34" t="n"/>
      <c r="L432" s="34" t="n"/>
      <c r="M432" s="34" t="n"/>
      <c r="N432" s="34" t="n"/>
      <c r="O432" s="34" t="n"/>
      <c r="P432" s="34" t="n"/>
      <c r="Q432" s="34" t="n"/>
      <c r="R432" s="34" t="n"/>
      <c r="S432" s="34" t="n"/>
      <c r="T432" s="34" t="n"/>
      <c r="U432" s="34" t="n"/>
      <c r="V432" s="34" t="n"/>
      <c r="W432" s="34" t="n"/>
      <c r="X432" s="34" t="n"/>
      <c r="Y432" s="34" t="n"/>
      <c r="Z432" s="34" t="n"/>
      <c r="AA432" s="34" t="n"/>
      <c r="AB432" s="34" t="n"/>
      <c r="AC432" s="34" t="n"/>
      <c r="AD432" s="34" t="n"/>
      <c r="AE432" s="34" t="n"/>
      <c r="AF432" s="34" t="n"/>
      <c r="AG432" s="34" t="n"/>
      <c r="AH432" s="34" t="n"/>
      <c r="AI432" s="34" t="n"/>
      <c r="AJ432" s="34" t="n"/>
      <c r="AK432" s="34" t="n"/>
      <c r="AL432" s="34" t="n"/>
      <c r="AM432" s="34" t="n"/>
      <c r="AN432" s="34" t="n"/>
      <c r="AO432" s="34" t="n"/>
      <c r="AP432" s="34" t="n"/>
      <c r="AQ432" s="34" t="n"/>
      <c r="AR432" s="34" t="n"/>
      <c r="AS432" s="34" t="n"/>
      <c r="AT432" s="34" t="n"/>
      <c r="AU432" s="34" t="n"/>
      <c r="AV432" s="34" t="n"/>
      <c r="AW432" s="34" t="n"/>
      <c r="AX432" s="34" t="n"/>
      <c r="AY432" s="34" t="n"/>
      <c r="AZ432" s="34" t="n"/>
      <c r="BA432" s="34" t="n"/>
      <c r="BB432" s="34" t="n"/>
      <c r="BC432" s="34" t="n"/>
      <c r="BD432" s="34" t="n"/>
      <c r="BE432" s="34" t="n"/>
      <c r="BF432" s="34" t="n"/>
      <c r="BG432" s="34" t="n"/>
      <c r="BH432" s="34" t="n"/>
      <c r="BI432" s="34" t="n"/>
      <c r="BJ432" s="34" t="n"/>
      <c r="BK432" s="34" t="n"/>
      <c r="BL432" s="34" t="n"/>
      <c r="BM432" s="34" t="n"/>
      <c r="BN432" s="34" t="n"/>
      <c r="BO432" s="34" t="n"/>
      <c r="BP432" s="34" t="n"/>
      <c r="BQ432" s="34" t="n"/>
      <c r="BR432" s="34" t="n"/>
      <c r="BS432" s="34" t="n"/>
      <c r="BT432" s="34" t="n"/>
      <c r="BU432" s="34" t="n"/>
      <c r="BV432" s="34" t="n"/>
      <c r="BW432" s="34" t="n"/>
      <c r="BX432" s="34" t="n"/>
      <c r="BY432" s="35" t="n"/>
      <c r="BZ432" s="35" t="n"/>
      <c r="CA432" s="294">
        <f>IFERROR(CA428/CA224,"n/a")</f>
        <v>21.3185532725508</v>
      </c>
      <c r="CB432" s="294">
        <f>IFERROR(CB428/CB224,"n/a")</f>
        <v>19.3337261524726</v>
      </c>
      <c r="CC432" s="294">
        <f>IFERROR(CC428/CC224,"n/a")</f>
        <v>17.5706351468044</v>
      </c>
      <c r="CD432" s="294">
        <f>IFERROR(CD428/CD224,"n/a")</f>
        <v>16.0065930669347</v>
      </c>
      <c r="CE432" s="294">
        <f>IFERROR(CE428/CE224,"n/a")</f>
        <v>14.6192605814926</v>
      </c>
      <c r="CF432" s="19" t="n"/>
    </row>
    <row r="433" ht="15" customHeight="1" s="251">
      <c r="B433" s="25" t="inlineStr">
        <is>
          <t xml:space="preserve">  EV / IC</t>
        </is>
      </c>
      <c r="C433" s="34" t="n"/>
      <c r="D433" s="34" t="n"/>
      <c r="E433" s="34" t="n"/>
      <c r="F433" s="34" t="n"/>
      <c r="G433" s="34" t="n"/>
      <c r="H433" s="34" t="n"/>
      <c r="I433" s="34" t="n"/>
      <c r="J433" s="34" t="n"/>
      <c r="K433" s="34" t="n"/>
      <c r="L433" s="34" t="n"/>
      <c r="M433" s="34" t="n"/>
      <c r="N433" s="34" t="n"/>
      <c r="O433" s="34" t="n"/>
      <c r="P433" s="34" t="n"/>
      <c r="Q433" s="34" t="n"/>
      <c r="R433" s="34" t="n"/>
      <c r="S433" s="34" t="n"/>
      <c r="T433" s="34" t="n"/>
      <c r="U433" s="34" t="n"/>
      <c r="V433" s="34" t="n"/>
      <c r="W433" s="34" t="n"/>
      <c r="X433" s="34" t="n"/>
      <c r="Y433" s="34" t="n"/>
      <c r="Z433" s="34" t="n"/>
      <c r="AA433" s="34" t="n"/>
      <c r="AB433" s="34" t="n"/>
      <c r="AC433" s="34" t="n"/>
      <c r="AD433" s="34" t="n"/>
      <c r="AE433" s="34" t="n"/>
      <c r="AF433" s="34" t="n"/>
      <c r="AG433" s="34" t="n"/>
      <c r="AH433" s="34" t="n"/>
      <c r="AI433" s="34" t="n"/>
      <c r="AJ433" s="34" t="n"/>
      <c r="AK433" s="34" t="n"/>
      <c r="AL433" s="34" t="n"/>
      <c r="AM433" s="34" t="n"/>
      <c r="AN433" s="34" t="n"/>
      <c r="AO433" s="34" t="n"/>
      <c r="AP433" s="34" t="n"/>
      <c r="AQ433" s="34" t="n"/>
      <c r="AR433" s="34" t="n"/>
      <c r="AS433" s="34" t="n"/>
      <c r="AT433" s="34" t="n"/>
      <c r="AU433" s="34" t="n"/>
      <c r="AV433" s="34" t="n"/>
      <c r="AW433" s="34" t="n"/>
      <c r="AX433" s="34" t="n"/>
      <c r="AY433" s="34" t="n"/>
      <c r="AZ433" s="34" t="n"/>
      <c r="BA433" s="34" t="n"/>
      <c r="BB433" s="34" t="n"/>
      <c r="BC433" s="34" t="n"/>
      <c r="BD433" s="34" t="n"/>
      <c r="BE433" s="34" t="n"/>
      <c r="BF433" s="34" t="n"/>
      <c r="BG433" s="34" t="n"/>
      <c r="BH433" s="34" t="n"/>
      <c r="BI433" s="34" t="n"/>
      <c r="BJ433" s="34" t="n"/>
      <c r="BK433" s="34" t="n"/>
      <c r="BL433" s="34" t="n"/>
      <c r="BM433" s="34" t="n"/>
      <c r="BN433" s="34" t="n"/>
      <c r="BO433" s="34" t="n"/>
      <c r="BP433" s="34" t="n"/>
      <c r="BQ433" s="34" t="n"/>
      <c r="BR433" s="34" t="n"/>
      <c r="BS433" s="34" t="n"/>
      <c r="BT433" s="34" t="n"/>
      <c r="BU433" s="34" t="n"/>
      <c r="BV433" s="34" t="n"/>
      <c r="BW433" s="34" t="n"/>
      <c r="BX433" s="34" t="n"/>
      <c r="BY433" s="35" t="n"/>
      <c r="BZ433" s="35" t="n"/>
      <c r="CA433" s="294">
        <f>IFERROR(CA428/CA397,"n/a")</f>
        <v>10.134078118661</v>
      </c>
      <c r="CB433" s="294">
        <f>IFERROR(CB428/CB397,"n/a")</f>
        <v>9.8233710957203</v>
      </c>
      <c r="CC433" s="294">
        <f>IFERROR(CC428/CC397,"n/a")</f>
        <v>9.51755246095697</v>
      </c>
      <c r="CD433" s="294">
        <f>IFERROR(CD428/CD397,"n/a")</f>
        <v>9.195805907423</v>
      </c>
      <c r="CE433" s="294">
        <f>IFERROR(CE428/CE397,"n/a")</f>
        <v>8.86011261293642</v>
      </c>
      <c r="CF433" s="19" t="n"/>
    </row>
    <row r="434" ht="15" customHeight="1" s="251">
      <c r="B434" s="25" t="inlineStr">
        <is>
          <t xml:space="preserve">  P / E (GAAP diluted)</t>
        </is>
      </c>
      <c r="C434" s="34" t="n"/>
      <c r="D434" s="34" t="n"/>
      <c r="E434" s="34" t="n"/>
      <c r="F434" s="34" t="n"/>
      <c r="G434" s="34" t="n"/>
      <c r="H434" s="34" t="n"/>
      <c r="I434" s="34" t="n"/>
      <c r="J434" s="34" t="n"/>
      <c r="K434" s="34" t="n"/>
      <c r="L434" s="34" t="n"/>
      <c r="M434" s="34" t="n"/>
      <c r="N434" s="34" t="n"/>
      <c r="O434" s="34" t="n"/>
      <c r="P434" s="34" t="n"/>
      <c r="Q434" s="34" t="n"/>
      <c r="R434" s="34" t="n"/>
      <c r="S434" s="34" t="n"/>
      <c r="T434" s="34" t="n"/>
      <c r="U434" s="34" t="n"/>
      <c r="V434" s="34" t="n"/>
      <c r="W434" s="34" t="n"/>
      <c r="X434" s="34" t="n"/>
      <c r="Y434" s="34" t="n"/>
      <c r="Z434" s="34" t="n"/>
      <c r="AA434" s="34" t="n"/>
      <c r="AB434" s="34" t="n"/>
      <c r="AC434" s="34" t="n"/>
      <c r="AD434" s="34" t="n"/>
      <c r="AE434" s="34" t="n"/>
      <c r="AF434" s="34" t="n"/>
      <c r="AG434" s="34" t="n"/>
      <c r="AH434" s="34" t="n"/>
      <c r="AI434" s="34" t="n"/>
      <c r="AJ434" s="34" t="n"/>
      <c r="AK434" s="34" t="n"/>
      <c r="AL434" s="34" t="n"/>
      <c r="AM434" s="34" t="n"/>
      <c r="AN434" s="34" t="n"/>
      <c r="AO434" s="34" t="n"/>
      <c r="AP434" s="34" t="n"/>
      <c r="AQ434" s="34" t="n"/>
      <c r="AR434" s="34" t="n"/>
      <c r="AS434" s="34" t="n"/>
      <c r="AT434" s="34" t="n"/>
      <c r="AU434" s="34" t="n"/>
      <c r="AV434" s="34" t="n"/>
      <c r="AW434" s="34" t="n"/>
      <c r="AX434" s="34" t="n"/>
      <c r="AY434" s="34" t="n"/>
      <c r="AZ434" s="34" t="n"/>
      <c r="BA434" s="34" t="n"/>
      <c r="BB434" s="34" t="n"/>
      <c r="BC434" s="34" t="n"/>
      <c r="BD434" s="34" t="n"/>
      <c r="BE434" s="34" t="n"/>
      <c r="BF434" s="34" t="n"/>
      <c r="BG434" s="34" t="n"/>
      <c r="BH434" s="34" t="n"/>
      <c r="BI434" s="34" t="n"/>
      <c r="BJ434" s="34" t="n"/>
      <c r="BK434" s="34" t="n"/>
      <c r="BL434" s="34" t="n"/>
      <c r="BM434" s="34" t="n"/>
      <c r="BN434" s="34" t="n"/>
      <c r="BO434" s="34" t="n"/>
      <c r="BP434" s="34" t="n"/>
      <c r="BQ434" s="34" t="n"/>
      <c r="BR434" s="34" t="n"/>
      <c r="BS434" s="34" t="n"/>
      <c r="BT434" s="34" t="n"/>
      <c r="BU434" s="34" t="n"/>
      <c r="BV434" s="34" t="n"/>
      <c r="BW434" s="34" t="n"/>
      <c r="BX434" s="34" t="n"/>
      <c r="BY434" s="35" t="n"/>
      <c r="BZ434" s="35" t="n"/>
      <c r="CA434" s="294">
        <f>IFERROR(CA423/CA190,"n/a")</f>
        <v>28.9862270765768</v>
      </c>
      <c r="CB434" s="294">
        <f>IFERROR(CB423/CB190,"n/a")</f>
        <v>27.2763203511739</v>
      </c>
      <c r="CC434" s="294">
        <f>IFERROR(CC423/CC190,"n/a")</f>
        <v>24.0467631926855</v>
      </c>
      <c r="CD434" s="294">
        <f>IFERROR(CD423/CD190,"n/a")</f>
        <v>21.560491130549</v>
      </c>
      <c r="CE434" s="294">
        <f>IFERROR(CE423/CE190,"n/a")</f>
        <v>19.4555985946162</v>
      </c>
      <c r="CF434" s="19" t="n"/>
    </row>
    <row r="435" ht="15" customHeight="1" s="251">
      <c r="B435" s="25" t="inlineStr">
        <is>
          <t xml:space="preserve">  P / E (adjusted diluted EPS)</t>
        </is>
      </c>
      <c r="C435" s="34" t="n"/>
      <c r="D435" s="34" t="n"/>
      <c r="E435" s="34" t="n"/>
      <c r="F435" s="34" t="n"/>
      <c r="G435" s="34" t="n"/>
      <c r="H435" s="34" t="n"/>
      <c r="I435" s="34" t="n"/>
      <c r="J435" s="34" t="n"/>
      <c r="K435" s="34" t="n"/>
      <c r="L435" s="34" t="n"/>
      <c r="M435" s="34" t="n"/>
      <c r="N435" s="34" t="n"/>
      <c r="O435" s="34" t="n"/>
      <c r="P435" s="34" t="n"/>
      <c r="Q435" s="34" t="n"/>
      <c r="R435" s="34" t="n"/>
      <c r="S435" s="34" t="n"/>
      <c r="T435" s="34" t="n"/>
      <c r="U435" s="34" t="n"/>
      <c r="V435" s="34" t="n"/>
      <c r="W435" s="34" t="n"/>
      <c r="X435" s="34" t="n"/>
      <c r="Y435" s="34" t="n"/>
      <c r="Z435" s="34" t="n"/>
      <c r="AA435" s="34" t="n"/>
      <c r="AB435" s="34" t="n"/>
      <c r="AC435" s="34" t="n"/>
      <c r="AD435" s="34" t="n"/>
      <c r="AE435" s="34" t="n"/>
      <c r="AF435" s="34" t="n"/>
      <c r="AG435" s="34" t="n"/>
      <c r="AH435" s="34" t="n"/>
      <c r="AI435" s="34" t="n"/>
      <c r="AJ435" s="34" t="n"/>
      <c r="AK435" s="34" t="n"/>
      <c r="AL435" s="34" t="n"/>
      <c r="AM435" s="34" t="n"/>
      <c r="AN435" s="34" t="n"/>
      <c r="AO435" s="34" t="n"/>
      <c r="AP435" s="34" t="n"/>
      <c r="AQ435" s="34" t="n"/>
      <c r="AR435" s="34" t="n"/>
      <c r="AS435" s="34" t="n"/>
      <c r="AT435" s="34" t="n"/>
      <c r="AU435" s="34" t="n"/>
      <c r="AV435" s="34" t="n"/>
      <c r="AW435" s="34" t="n"/>
      <c r="AX435" s="34" t="n"/>
      <c r="AY435" s="34" t="n"/>
      <c r="AZ435" s="34" t="n"/>
      <c r="BA435" s="34" t="n"/>
      <c r="BB435" s="34" t="n"/>
      <c r="BC435" s="34" t="n"/>
      <c r="BD435" s="34" t="n"/>
      <c r="BE435" s="34" t="n"/>
      <c r="BF435" s="34" t="n"/>
      <c r="BG435" s="34" t="n"/>
      <c r="BH435" s="34" t="n"/>
      <c r="BI435" s="34" t="n"/>
      <c r="BJ435" s="34" t="n"/>
      <c r="BK435" s="34" t="n"/>
      <c r="BL435" s="34" t="n"/>
      <c r="BM435" s="34" t="n"/>
      <c r="BN435" s="34" t="n"/>
      <c r="BO435" s="34" t="n"/>
      <c r="BP435" s="34" t="n"/>
      <c r="BQ435" s="34" t="n"/>
      <c r="BR435" s="34" t="n"/>
      <c r="BS435" s="34" t="n"/>
      <c r="BT435" s="34" t="n"/>
      <c r="BU435" s="34" t="n"/>
      <c r="BV435" s="34" t="n"/>
      <c r="BW435" s="34" t="n"/>
      <c r="BX435" s="34" t="n"/>
      <c r="BY435" s="35" t="n"/>
      <c r="BZ435" s="35" t="n"/>
      <c r="CA435" s="294">
        <f>IFERROR(CA423/CA238,"n/a")</f>
        <v>28.0597014925373</v>
      </c>
      <c r="CB435" s="294">
        <f>IFERROR(CB423/CB238,"n/a")</f>
        <v>25.4409161772687</v>
      </c>
      <c r="CC435" s="294">
        <f>IFERROR(CC423/CC238,"n/a")</f>
        <v>23.0138123123344</v>
      </c>
      <c r="CD435" s="294">
        <f>IFERROR(CD423/CD238,"n/a")</f>
        <v>20.8184993020696</v>
      </c>
      <c r="CE435" s="294">
        <f>IFERROR(CE423/CE238,"n/a")</f>
        <v>18.9005804015549</v>
      </c>
      <c r="CF435" s="19" t="n"/>
    </row>
    <row r="436" ht="15" customHeight="1" s="251">
      <c r="B436" s="25" t="inlineStr">
        <is>
          <t xml:space="preserve">  FCF yield</t>
        </is>
      </c>
      <c r="C436" s="34" t="n"/>
      <c r="D436" s="34" t="n"/>
      <c r="E436" s="34" t="n"/>
      <c r="F436" s="34" t="n"/>
      <c r="G436" s="34" t="n"/>
      <c r="H436" s="34" t="n"/>
      <c r="I436" s="34" t="n"/>
      <c r="J436" s="34" t="n"/>
      <c r="K436" s="34" t="n"/>
      <c r="L436" s="34" t="n"/>
      <c r="M436" s="34" t="n"/>
      <c r="N436" s="34" t="n"/>
      <c r="O436" s="34" t="n"/>
      <c r="P436" s="34" t="n"/>
      <c r="Q436" s="34" t="n"/>
      <c r="R436" s="34" t="n"/>
      <c r="S436" s="34" t="n"/>
      <c r="T436" s="34" t="n"/>
      <c r="U436" s="34" t="n"/>
      <c r="V436" s="34" t="n"/>
      <c r="W436" s="34" t="n"/>
      <c r="X436" s="34" t="n"/>
      <c r="Y436" s="34" t="n"/>
      <c r="Z436" s="34" t="n"/>
      <c r="AA436" s="34" t="n"/>
      <c r="AB436" s="34" t="n"/>
      <c r="AC436" s="34" t="n"/>
      <c r="AD436" s="34" t="n"/>
      <c r="AE436" s="34" t="n"/>
      <c r="AF436" s="34" t="n"/>
      <c r="AG436" s="34" t="n"/>
      <c r="AH436" s="34" t="n"/>
      <c r="AI436" s="34" t="n"/>
      <c r="AJ436" s="34" t="n"/>
      <c r="AK436" s="34" t="n"/>
      <c r="AL436" s="34" t="n"/>
      <c r="AM436" s="34" t="n"/>
      <c r="AN436" s="34" t="n"/>
      <c r="AO436" s="34" t="n"/>
      <c r="AP436" s="34" t="n"/>
      <c r="AQ436" s="34" t="n"/>
      <c r="AR436" s="34" t="n"/>
      <c r="AS436" s="34" t="n"/>
      <c r="AT436" s="34" t="n"/>
      <c r="AU436" s="34" t="n"/>
      <c r="AV436" s="34" t="n"/>
      <c r="AW436" s="34" t="n"/>
      <c r="AX436" s="34" t="n"/>
      <c r="AY436" s="34" t="n"/>
      <c r="AZ436" s="34" t="n"/>
      <c r="BA436" s="34" t="n"/>
      <c r="BB436" s="34" t="n"/>
      <c r="BC436" s="34" t="n"/>
      <c r="BD436" s="34" t="n"/>
      <c r="BE436" s="34" t="n"/>
      <c r="BF436" s="34" t="n"/>
      <c r="BG436" s="34" t="n"/>
      <c r="BH436" s="34" t="n"/>
      <c r="BI436" s="34" t="n"/>
      <c r="BJ436" s="34" t="n"/>
      <c r="BK436" s="34" t="n"/>
      <c r="BL436" s="34" t="n"/>
      <c r="BM436" s="34" t="n"/>
      <c r="BN436" s="34" t="n"/>
      <c r="BO436" s="34" t="n"/>
      <c r="BP436" s="34" t="n"/>
      <c r="BQ436" s="34" t="n"/>
      <c r="BR436" s="34" t="n"/>
      <c r="BS436" s="34" t="n"/>
      <c r="BT436" s="34" t="n"/>
      <c r="BU436" s="34" t="n"/>
      <c r="BV436" s="34" t="n"/>
      <c r="BW436" s="34" t="n"/>
      <c r="BX436" s="34" t="n"/>
      <c r="BY436" s="35" t="n"/>
      <c r="BZ436" s="35" t="n"/>
      <c r="CA436" s="256">
        <f>IFERROR(CA288/CA425,"n/a")</f>
        <v>0.036208094853049</v>
      </c>
      <c r="CB436" s="256">
        <f>IFERROR(CB288/CB425,"n/a")</f>
        <v>0.041988114813774</v>
      </c>
      <c r="CC436" s="256">
        <f>IFERROR(CC288/CC425,"n/a")</f>
        <v>0.0474609517733999</v>
      </c>
      <c r="CD436" s="256">
        <f>IFERROR(CD288/CD425,"n/a")</f>
        <v>0.052436927359401</v>
      </c>
      <c r="CE436" s="256">
        <f>IFERROR(CE288/CE425,"n/a")</f>
        <v>0.0575914599830318</v>
      </c>
      <c r="CF436" s="19" t="n"/>
    </row>
    <row r="437" ht="15" customHeight="1" s="251">
      <c r="B437" s="25" t="inlineStr">
        <is>
          <t xml:space="preserve">  Dividend yield</t>
        </is>
      </c>
      <c r="C437" s="34" t="n"/>
      <c r="D437" s="34" t="n"/>
      <c r="E437" s="34" t="n"/>
      <c r="F437" s="34" t="n"/>
      <c r="G437" s="34" t="n"/>
      <c r="H437" s="34" t="n"/>
      <c r="I437" s="34" t="n"/>
      <c r="J437" s="34" t="n"/>
      <c r="K437" s="34" t="n"/>
      <c r="L437" s="34" t="n"/>
      <c r="M437" s="34" t="n"/>
      <c r="N437" s="34" t="n"/>
      <c r="O437" s="34" t="n"/>
      <c r="P437" s="34" t="n"/>
      <c r="Q437" s="34" t="n"/>
      <c r="R437" s="34" t="n"/>
      <c r="S437" s="34" t="n"/>
      <c r="T437" s="34" t="n"/>
      <c r="U437" s="34" t="n"/>
      <c r="V437" s="34" t="n"/>
      <c r="W437" s="34" t="n"/>
      <c r="X437" s="34" t="n"/>
      <c r="Y437" s="34" t="n"/>
      <c r="Z437" s="34" t="n"/>
      <c r="AA437" s="34" t="n"/>
      <c r="AB437" s="34" t="n"/>
      <c r="AC437" s="34" t="n"/>
      <c r="AD437" s="34" t="n"/>
      <c r="AE437" s="34" t="n"/>
      <c r="AF437" s="34" t="n"/>
      <c r="AG437" s="34" t="n"/>
      <c r="AH437" s="34" t="n"/>
      <c r="AI437" s="34" t="n"/>
      <c r="AJ437" s="34" t="n"/>
      <c r="AK437" s="34" t="n"/>
      <c r="AL437" s="34" t="n"/>
      <c r="AM437" s="34" t="n"/>
      <c r="AN437" s="34" t="n"/>
      <c r="AO437" s="34" t="n"/>
      <c r="AP437" s="34" t="n"/>
      <c r="AQ437" s="34" t="n"/>
      <c r="AR437" s="34" t="n"/>
      <c r="AS437" s="34" t="n"/>
      <c r="AT437" s="34" t="n"/>
      <c r="AU437" s="34" t="n"/>
      <c r="AV437" s="34" t="n"/>
      <c r="AW437" s="34" t="n"/>
      <c r="AX437" s="34" t="n"/>
      <c r="AY437" s="34" t="n"/>
      <c r="AZ437" s="34" t="n"/>
      <c r="BA437" s="34" t="n"/>
      <c r="BB437" s="34" t="n"/>
      <c r="BC437" s="34" t="n"/>
      <c r="BD437" s="34" t="n"/>
      <c r="BE437" s="34" t="n"/>
      <c r="BF437" s="34" t="n"/>
      <c r="BG437" s="34" t="n"/>
      <c r="BH437" s="34" t="n"/>
      <c r="BI437" s="34" t="n"/>
      <c r="BJ437" s="34" t="n"/>
      <c r="BK437" s="34" t="n"/>
      <c r="BL437" s="34" t="n"/>
      <c r="BM437" s="34" t="n"/>
      <c r="BN437" s="34" t="n"/>
      <c r="BO437" s="34" t="n"/>
      <c r="BP437" s="34" t="n"/>
      <c r="BQ437" s="34" t="n"/>
      <c r="BR437" s="34" t="n"/>
      <c r="BS437" s="34" t="n"/>
      <c r="BT437" s="34" t="n"/>
      <c r="BU437" s="34" t="n"/>
      <c r="BV437" s="34" t="n"/>
      <c r="BW437" s="34" t="n"/>
      <c r="BX437" s="34" t="n"/>
      <c r="BY437" s="35" t="n"/>
      <c r="BZ437" s="35" t="n"/>
      <c r="CA437" s="256">
        <f>IFERROR(CA194/CA423,"n/a")</f>
        <v>0.00876595744680851</v>
      </c>
      <c r="CB437" s="256">
        <f>IFERROR(CB194/CB423,"n/a")</f>
        <v>0.00955489361702128</v>
      </c>
      <c r="CC437" s="256">
        <f>IFERROR(CC194/CC423,"n/a")</f>
        <v>0.0104148340425532</v>
      </c>
      <c r="CD437" s="256">
        <f>IFERROR(CD194/CD423,"n/a")</f>
        <v>0.011352169106383</v>
      </c>
      <c r="CE437" s="256">
        <f>IFERROR(CE194/CE423,"n/a")</f>
        <v>0.0123738643259574</v>
      </c>
      <c r="CF437" s="19" t="n"/>
    </row>
    <row r="438" ht="15" customHeight="1" s="251"/>
    <row r="439" ht="15" customHeight="1" s="251"/>
    <row r="440" ht="15" customHeight="1" s="251"/>
    <row r="441" ht="15" customHeight="1" s="251"/>
    <row r="442" ht="15" customHeight="1" s="251"/>
    <row r="443" ht="15" customHeight="1" s="251"/>
    <row r="444" ht="15" customHeight="1" s="251"/>
    <row r="445" ht="15" customHeight="1" s="251"/>
    <row r="446" ht="15" customHeight="1" s="251"/>
    <row r="447" ht="15" customHeight="1" s="251"/>
  </sheetData>
  <dataValidations count="1">
    <dataValidation sqref="CF2" showDropDown="0" showInputMessage="0" showErrorMessage="0" allowBlank="0" type="list">
      <formula1>"Bull,Base,Bear"</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AJ50"/>
  <sheetViews>
    <sheetView showGridLines="0" zoomScale="60" zoomScaleNormal="60" workbookViewId="0">
      <selection activeCell="H26" sqref="H26"/>
    </sheetView>
  </sheetViews>
  <sheetFormatPr baseColWidth="8" defaultColWidth="8.5703125" defaultRowHeight="15"/>
  <cols>
    <col width="2.140625" customWidth="1" style="251" min="1" max="1"/>
    <col width="63.85546875" customWidth="1" style="251" min="2" max="2"/>
    <col width="11.85546875" customWidth="1" style="251" min="3" max="8"/>
    <col width="13.28515625" customWidth="1" style="251" min="9" max="9"/>
    <col width="12.5703125" customWidth="1" style="251" min="10" max="12"/>
    <col width="3.85546875" customWidth="1" style="251" min="13" max="13"/>
    <col width="63.85546875" customWidth="1" style="251" min="14" max="14"/>
    <col width="11.85546875" customWidth="1" style="251" min="15" max="20"/>
    <col width="13.28515625" customWidth="1" style="251" min="21" max="21"/>
    <col width="12.5703125" customWidth="1" style="251" min="22" max="24"/>
    <col width="3.85546875" customWidth="1" style="251" min="25" max="25"/>
    <col width="63.85546875" customWidth="1" style="251" min="26" max="26"/>
    <col width="11.85546875" customWidth="1" style="251" min="27" max="32"/>
    <col width="13.28515625" customWidth="1" style="251" min="33" max="33"/>
    <col width="12.5703125" customWidth="1" style="251" min="34" max="36"/>
  </cols>
  <sheetData>
    <row r="2" ht="19.5" customHeight="1" s="251">
      <c r="B2" s="73" t="inlineStr">
        <is>
          <t>Moody's Corporation (MCO) — Bull / Base / Bear Case P&amp;L Summary</t>
        </is>
      </c>
      <c r="J2" s="152" t="inlineStr">
        <is>
          <t>Share price ($):</t>
        </is>
      </c>
      <c r="K2" s="74">
        <f>Model!$CA$423</f>
        <v>470</v>
      </c>
    </row>
    <row r="3" ht="15" customHeight="1" s="251">
      <c r="B3" s="4" t="inlineStr">
        <is>
          <t>Adjusted figures (company definitions: Adjusted Operating Income = model Adjusted EBITDA; adjusted diluted EPS) · USD millions · Live panel linked to Model — toggle scenario via Model!CF2. Bull and Bear panels are value snapshots generated from the Model with the switch set to each case. 2026E = Q1–Q2 actual + Q3–Q4 calibrated to the FY26 guidance (MIS revenue up HSD, MA up MSD, adjusted EPS $16.50–17.00).</t>
        </is>
      </c>
      <c r="J3" s="152" t="inlineStr">
        <is>
          <t>As of:</t>
        </is>
      </c>
      <c r="K3" s="297" t="str">
        <f>TODAY()</f>
        <v>2026-10-12 00:00:00</v>
      </c>
    </row>
    <row r="5" ht="15" customHeight="1" s="251">
      <c r="B5" s="10" t="inlineStr">
        <is>
          <t>Scenario:</t>
        </is>
      </c>
      <c r="C5" s="75" t="str">
        <f>Model!$CF$2</f>
        <v>Base</v>
      </c>
      <c r="N5" s="76" t="inlineStr">
        <is>
          <t>Scenario:</t>
        </is>
      </c>
      <c r="O5" s="77" t="inlineStr">
        <is>
          <t>Bull</t>
        </is>
      </c>
      <c r="P5" s="4" t="inlineStr">
        <is>
          <t>Snapshot (values) — Model run with switch = Bull</t>
        </is>
      </c>
      <c r="Z5" s="76" t="inlineStr">
        <is>
          <t>Scenario:</t>
        </is>
      </c>
      <c r="AA5" s="77" t="inlineStr">
        <is>
          <t>Bear</t>
        </is>
      </c>
      <c r="AB5" s="4" t="inlineStr">
        <is>
          <t>Snapshot (values) — Model run with switch = Bear</t>
        </is>
      </c>
    </row>
    <row r="7" ht="32.1" customHeight="1" s="251">
      <c r="B7" s="78" t="inlineStr">
        <is>
          <t>(USDm, except EPS and shares)</t>
        </is>
      </c>
      <c r="C7" s="150" t="inlineStr">
        <is>
          <t>2025A</t>
        </is>
      </c>
      <c r="D7" s="150" t="inlineStr">
        <is>
          <t>2026E</t>
        </is>
      </c>
      <c r="E7" s="150" t="inlineStr">
        <is>
          <t>2027E</t>
        </is>
      </c>
      <c r="F7" s="150" t="inlineStr">
        <is>
          <t>2028E</t>
        </is>
      </c>
      <c r="G7" s="150" t="inlineStr">
        <is>
          <t>2029E</t>
        </is>
      </c>
      <c r="H7" s="150" t="inlineStr">
        <is>
          <t>2030E</t>
        </is>
      </c>
      <c r="I7" s="150" t="inlineStr">
        <is>
          <t>25-'30 CAGR</t>
        </is>
      </c>
      <c r="J7" s="151" t="inlineStr">
        <is>
          <t>LT Hist Avg</t>
        </is>
      </c>
      <c r="K7" s="151" t="inlineStr">
        <is>
          <t>LT Hist Min</t>
        </is>
      </c>
      <c r="L7" s="151" t="inlineStr">
        <is>
          <t>LT Hist Max</t>
        </is>
      </c>
      <c r="N7" s="78" t="inlineStr">
        <is>
          <t>(USDm, except EPS and shares)</t>
        </is>
      </c>
      <c r="O7" s="150" t="inlineStr">
        <is>
          <t>2025A</t>
        </is>
      </c>
      <c r="P7" s="150" t="inlineStr">
        <is>
          <t>2026E</t>
        </is>
      </c>
      <c r="Q7" s="150" t="inlineStr">
        <is>
          <t>2027E</t>
        </is>
      </c>
      <c r="R7" s="150" t="inlineStr">
        <is>
          <t>2028E</t>
        </is>
      </c>
      <c r="S7" s="150" t="inlineStr">
        <is>
          <t>2029E</t>
        </is>
      </c>
      <c r="T7" s="150" t="inlineStr">
        <is>
          <t>2030E</t>
        </is>
      </c>
      <c r="U7" s="150" t="inlineStr">
        <is>
          <t>25-'30 CAGR</t>
        </is>
      </c>
      <c r="V7" s="151" t="inlineStr">
        <is>
          <t>LT Hist Avg</t>
        </is>
      </c>
      <c r="W7" s="151" t="inlineStr">
        <is>
          <t>LT Hist Min</t>
        </is>
      </c>
      <c r="X7" s="151" t="inlineStr">
        <is>
          <t>LT Hist Max</t>
        </is>
      </c>
      <c r="Z7" s="78" t="inlineStr">
        <is>
          <t>(USDm, except EPS and shares)</t>
        </is>
      </c>
      <c r="AA7" s="150" t="inlineStr">
        <is>
          <t>2025A</t>
        </is>
      </c>
      <c r="AB7" s="150" t="inlineStr">
        <is>
          <t>2026E</t>
        </is>
      </c>
      <c r="AC7" s="150" t="inlineStr">
        <is>
          <t>2027E</t>
        </is>
      </c>
      <c r="AD7" s="150" t="inlineStr">
        <is>
          <t>2028E</t>
        </is>
      </c>
      <c r="AE7" s="150" t="inlineStr">
        <is>
          <t>2029E</t>
        </is>
      </c>
      <c r="AF7" s="150" t="inlineStr">
        <is>
          <t>2030E</t>
        </is>
      </c>
      <c r="AG7" s="150" t="inlineStr">
        <is>
          <t>25-'30 CAGR</t>
        </is>
      </c>
      <c r="AH7" s="151" t="inlineStr">
        <is>
          <t>LT Hist Avg</t>
        </is>
      </c>
      <c r="AI7" s="151" t="inlineStr">
        <is>
          <t>LT Hist Min</t>
        </is>
      </c>
      <c r="AJ7" s="151" t="inlineStr">
        <is>
          <t>LT Hist Max</t>
        </is>
      </c>
    </row>
    <row r="9" ht="15" customHeight="1" s="251">
      <c r="B9" s="79" t="inlineStr">
        <is>
          <t>Revenue</t>
        </is>
      </c>
      <c r="C9" s="80">
        <f>Model!BV163</f>
        <v>7718</v>
      </c>
      <c r="D9" s="81">
        <f>Model!CA163</f>
        <v>8227.47</v>
      </c>
      <c r="E9" s="81">
        <f>Model!CB163</f>
        <v>8820.4421292675</v>
      </c>
      <c r="F9" s="81">
        <f>Model!CC163</f>
        <v>9419.22674231944</v>
      </c>
      <c r="G9" s="81">
        <f>Model!CD163</f>
        <v>10027.2327109809</v>
      </c>
      <c r="H9" s="81">
        <f>Model!CE163</f>
        <v>10629.7107187291</v>
      </c>
      <c r="I9" s="298">
        <f>IFERROR((H9/C9)^(1/5)-1,"n/m")</f>
        <v>0.0661132336519135</v>
      </c>
      <c r="N9" s="79" t="inlineStr">
        <is>
          <t>Revenue</t>
        </is>
      </c>
      <c r="O9" s="80" t="n">
        <v>7718</v>
      </c>
      <c r="P9" s="81" t="n">
        <v>8304.65</v>
      </c>
      <c r="Q9" s="81" t="n">
        <v>9132.318707076511</v>
      </c>
      <c r="R9" s="81" t="n">
        <v>10023.1168284578</v>
      </c>
      <c r="S9" s="81" t="n">
        <v>10960.6604918497</v>
      </c>
      <c r="T9" s="81" t="n">
        <v>11930.6373026868</v>
      </c>
      <c r="U9" s="298" t="n">
        <v>0.0910176432465053</v>
      </c>
      <c r="Z9" s="79" t="inlineStr">
        <is>
          <t>Revenue</t>
        </is>
      </c>
      <c r="AA9" s="80" t="n">
        <v>7718</v>
      </c>
      <c r="AB9" s="81" t="n">
        <v>8150.29</v>
      </c>
      <c r="AC9" s="81" t="n">
        <v>8381.98346262017</v>
      </c>
      <c r="AD9" s="81" t="n">
        <v>8572.780087641981</v>
      </c>
      <c r="AE9" s="81" t="n">
        <v>8742.136427904299</v>
      </c>
      <c r="AF9" s="81" t="n">
        <v>8878.714010203859</v>
      </c>
      <c r="AG9" s="298" t="n">
        <v>0.0284165538114052</v>
      </c>
    </row>
    <row r="10" ht="15" customHeight="1" s="251">
      <c r="B10" s="83" t="inlineStr">
        <is>
          <t xml:space="preserve">   Revenue y/y %</t>
        </is>
      </c>
      <c r="C10" s="299" t="n"/>
      <c r="D10" s="300">
        <f>IFERROR(D9/C9-1,"")</f>
        <v>0.066010624514123</v>
      </c>
      <c r="E10" s="300">
        <f>IFERROR(E9/D9-1,"")</f>
        <v>0.0720722323226337</v>
      </c>
      <c r="F10" s="300">
        <f>IFERROR(F9/E9-1,"")</f>
        <v>0.0678860089184292</v>
      </c>
      <c r="G10" s="300">
        <f>IFERROR(G9/F9-1,"")</f>
        <v>0.0645494566905103</v>
      </c>
      <c r="H10" s="300">
        <f>IFERROR(H9/G9-1,"")</f>
        <v>0.060084175276836</v>
      </c>
      <c r="N10" s="83" t="inlineStr">
        <is>
          <t xml:space="preserve">   Revenue y/y %</t>
        </is>
      </c>
      <c r="O10" s="299" t="n"/>
      <c r="P10" s="300" t="n">
        <v>0.0760106245141228</v>
      </c>
      <c r="Q10" s="300" t="n">
        <v>0.0996632858791771</v>
      </c>
      <c r="R10" s="300" t="n">
        <v>0.0975434771774935</v>
      </c>
      <c r="S10" s="300" t="n">
        <v>0.0935381358351499</v>
      </c>
      <c r="T10" s="300" t="n">
        <v>0.0884962007133023</v>
      </c>
      <c r="Z10" s="83" t="inlineStr">
        <is>
          <t xml:space="preserve">   Revenue y/y %</t>
        </is>
      </c>
      <c r="AA10" s="299" t="n"/>
      <c r="AB10" s="300" t="n">
        <v>0.0560106245141228</v>
      </c>
      <c r="AC10" s="300" t="n">
        <v>0.0284276341848173</v>
      </c>
      <c r="AD10" s="300" t="n">
        <v>0.0227627059720024</v>
      </c>
      <c r="AE10" s="300" t="n">
        <v>0.0197551247706043</v>
      </c>
      <c r="AF10" s="300" t="n">
        <v>0.015622906760367</v>
      </c>
    </row>
    <row r="11" ht="15" customHeight="1" s="251">
      <c r="B11" s="79" t="inlineStr">
        <is>
          <t xml:space="preserve">   MIS revenue y/y %</t>
        </is>
      </c>
      <c r="C11" s="86">
        <f>Model!BV247</f>
        <v>0.0859477985763248</v>
      </c>
      <c r="D11" s="87">
        <f>Model!CA247</f>
        <v>0.0800000000000001</v>
      </c>
      <c r="E11" s="87">
        <f>Model!CB247</f>
        <v>0.0641088322014478</v>
      </c>
      <c r="F11" s="87">
        <f>Model!CC247</f>
        <v>0.0557895920394445</v>
      </c>
      <c r="G11" s="87">
        <f>Model!CD247</f>
        <v>0.0541937765315319</v>
      </c>
      <c r="H11" s="87">
        <f>Model!CE247</f>
        <v>0.048832832657385</v>
      </c>
      <c r="N11" s="79" t="inlineStr">
        <is>
          <t xml:space="preserve">   MIS revenue y/y %</t>
        </is>
      </c>
      <c r="O11" s="86" t="n">
        <v>0.0859477985763248</v>
      </c>
      <c r="P11" s="87" t="n">
        <v>0.09000000000000009</v>
      </c>
      <c r="Q11" s="87" t="n">
        <v>0.0922894570748065</v>
      </c>
      <c r="R11" s="87" t="n">
        <v>0.0839980815792796</v>
      </c>
      <c r="S11" s="87" t="n">
        <v>0.08242963369959019</v>
      </c>
      <c r="T11" s="87" t="n">
        <v>0.07707180860012761</v>
      </c>
      <c r="Z11" s="79" t="inlineStr">
        <is>
          <t xml:space="preserve">   MIS revenue y/y %</t>
        </is>
      </c>
      <c r="AA11" s="86" t="n">
        <v>0.0859477985763248</v>
      </c>
      <c r="AB11" s="87" t="n">
        <v>0.0700000000000001</v>
      </c>
      <c r="AC11" s="87" t="n">
        <v>0.0160240248311179</v>
      </c>
      <c r="AD11" s="87" t="n">
        <v>0.00770635073627446</v>
      </c>
      <c r="AE11" s="87" t="n">
        <v>0.00611298501907509</v>
      </c>
      <c r="AF11" s="87" t="n">
        <v>0.000780706494045269</v>
      </c>
    </row>
    <row r="12" ht="15" customHeight="1" s="251">
      <c r="B12" s="79" t="inlineStr">
        <is>
          <t>Adjusted Operating Income (= Adjusted EBITDA)</t>
        </is>
      </c>
      <c r="C12" s="80">
        <f>Model!BV219</f>
        <v>3942</v>
      </c>
      <c r="D12" s="81">
        <f>Model!CA219</f>
        <v>4319.48199538074</v>
      </c>
      <c r="E12" s="81">
        <f>Model!CB219</f>
        <v>4686.90571707776</v>
      </c>
      <c r="F12" s="81">
        <f>Model!CC219</f>
        <v>5053.2218830559</v>
      </c>
      <c r="G12" s="81">
        <f>Model!CD219</f>
        <v>5433.78287586468</v>
      </c>
      <c r="H12" s="81">
        <f>Model!CE219</f>
        <v>5816.65368678495</v>
      </c>
      <c r="I12" s="298">
        <f>IFERROR((H12/C12)^(1/5)-1,"n/m")</f>
        <v>0.0809144371478396</v>
      </c>
      <c r="N12" s="79" t="inlineStr">
        <is>
          <t>Adjusted Operating Income (= Adjusted EBITDA)</t>
        </is>
      </c>
      <c r="O12" s="80" t="n">
        <v>3942</v>
      </c>
      <c r="P12" s="81" t="n">
        <v>4375.08153695409</v>
      </c>
      <c r="Q12" s="81" t="n">
        <v>4944.57431601246</v>
      </c>
      <c r="R12" s="81" t="n">
        <v>5470.57851980221</v>
      </c>
      <c r="S12" s="81" t="n">
        <v>6034.74386950193</v>
      </c>
      <c r="T12" s="81" t="n">
        <v>6625.68996164968</v>
      </c>
      <c r="U12" s="298" t="n">
        <v>0.109437644728188</v>
      </c>
      <c r="Z12" s="79" t="inlineStr">
        <is>
          <t>Adjusted Operating Income (= Adjusted EBITDA)</t>
        </is>
      </c>
      <c r="AA12" s="80" t="n">
        <v>3942</v>
      </c>
      <c r="AB12" s="81" t="n">
        <v>4263.82996220605</v>
      </c>
      <c r="AC12" s="81" t="n">
        <v>4230.27492685997</v>
      </c>
      <c r="AD12" s="81" t="n">
        <v>4369.5498513</v>
      </c>
      <c r="AE12" s="81" t="n">
        <v>4502.56606132138</v>
      </c>
      <c r="AF12" s="81" t="n">
        <v>4619.47213993942</v>
      </c>
      <c r="AG12" s="298" t="n">
        <v>0.0322268377034427</v>
      </c>
    </row>
    <row r="13" ht="15" customHeight="1" s="251">
      <c r="B13" s="83" t="inlineStr">
        <is>
          <t xml:space="preserve">   Adjusted Operating Margin %</t>
        </is>
      </c>
      <c r="C13" s="88">
        <f>IFERROR(C12/C9,"")</f>
        <v>0.51075408136823</v>
      </c>
      <c r="D13" s="89">
        <f>IFERROR(D12/D9,"")</f>
        <v>0.525007322467385</v>
      </c>
      <c r="E13" s="89">
        <f>IFERROR(E12/E9,"")</f>
        <v>0.531368569555706</v>
      </c>
      <c r="F13" s="89">
        <f>IFERROR(F12/F9,"")</f>
        <v>0.536479481946473</v>
      </c>
      <c r="G13" s="89">
        <f>IFERROR(G12/G9,"")</f>
        <v>0.541902540061138</v>
      </c>
      <c r="H13" s="89">
        <f>IFERROR(H12/H9,"")</f>
        <v>0.547207148030497</v>
      </c>
      <c r="J13" s="90">
        <f>IFERROR(AVERAGE(Model!C220,Model!D220,Model!E220,Model!F220,Model!G220,Model!H220,Model!I220,Model!N220,Model!S220,Model!X220,Model!AC220,Model!AH220,Model!AM220,Model!AR220,Model!AW220,Model!BB220,Model!BG220,Model!BL220,Model!BQ220,Model!BV220),"")</f>
        <v>0.46801912639185</v>
      </c>
      <c r="K13" s="90">
        <f>IFERROR(MIN(Model!C220,Model!D220,Model!E220,Model!F220,Model!G220,Model!H220,Model!I220,Model!N220,Model!S220,Model!X220,Model!AC220,Model!AH220,Model!AM220,Model!AR220,Model!AW220,Model!BB220,Model!BG220,Model!BL220,Model!BQ220,Model!BV220),"")</f>
        <v>0.412992125984252</v>
      </c>
      <c r="L13" s="90">
        <f>IFERROR(MAX(Model!C220,Model!D220,Model!E220,Model!F220,Model!G220,Model!H220,Model!I220,Model!N220,Model!S220,Model!X220,Model!AC220,Model!AH220,Model!AM220,Model!AR220,Model!AW220,Model!BB220,Model!BG220,Model!BL220,Model!BQ220,Model!BV220),"")</f>
        <v>0.558833636051249</v>
      </c>
      <c r="N13" s="83" t="inlineStr">
        <is>
          <t xml:space="preserve">   Adjusted Operating Margin %</t>
        </is>
      </c>
      <c r="O13" s="88" t="n">
        <v>0.51075408136823</v>
      </c>
      <c r="P13" s="89" t="n">
        <v>0.526823109577657</v>
      </c>
      <c r="Q13" s="89" t="n">
        <v>0.541436898405766</v>
      </c>
      <c r="R13" s="89" t="n">
        <v>0.5457961443959271</v>
      </c>
      <c r="S13" s="89" t="n">
        <v>0.55058213635842</v>
      </c>
      <c r="T13" s="89" t="n">
        <v>0.555350883071232</v>
      </c>
      <c r="V13" s="90" t="n">
        <v>0.46801912639185</v>
      </c>
      <c r="W13" s="90" t="n">
        <v>0.412992125984252</v>
      </c>
      <c r="X13" s="90" t="n">
        <v>0.558833636051249</v>
      </c>
      <c r="Z13" s="83" t="inlineStr">
        <is>
          <t xml:space="preserve">   Adjusted Operating Margin %</t>
        </is>
      </c>
      <c r="AA13" s="88" t="n">
        <v>0.51075408136823</v>
      </c>
      <c r="AB13" s="89" t="n">
        <v>0.523150705337607</v>
      </c>
      <c r="AC13" s="89" t="n">
        <v>0.504686622888851</v>
      </c>
      <c r="AD13" s="89" t="n">
        <v>0.509700448002729</v>
      </c>
      <c r="AE13" s="89" t="n">
        <v>0.515041843427368</v>
      </c>
      <c r="AF13" s="89" t="n">
        <v>0.5202861737218351</v>
      </c>
      <c r="AH13" s="90" t="n">
        <v>0.46801912639185</v>
      </c>
      <c r="AI13" s="90" t="n">
        <v>0.412992125984252</v>
      </c>
      <c r="AJ13" s="90" t="n">
        <v>0.558833636051249</v>
      </c>
    </row>
    <row r="15" ht="15" customHeight="1" s="251">
      <c r="B15" s="79" t="inlineStr">
        <is>
          <t>Operating Income (GAAP)</t>
        </is>
      </c>
      <c r="C15" s="80">
        <f>Model!BV170</f>
        <v>3351</v>
      </c>
      <c r="D15" s="81">
        <f>Model!CA170</f>
        <v>3654.48199538074</v>
      </c>
      <c r="E15" s="81">
        <f>Model!CB170</f>
        <v>4091.70313375746</v>
      </c>
      <c r="F15" s="81">
        <f>Model!CC170</f>
        <v>4514.71049359008</v>
      </c>
      <c r="G15" s="81">
        <f>Model!CD170</f>
        <v>4889.41469951407</v>
      </c>
      <c r="H15" s="81">
        <f>Model!CE170</f>
        <v>5268.05801280658</v>
      </c>
      <c r="I15" s="298">
        <f>IFERROR((H15/C15)^(1/5)-1,"n/m")</f>
        <v>0.0947002674845665</v>
      </c>
      <c r="N15" s="79" t="inlineStr">
        <is>
          <t>Operating Income (GAAP)</t>
        </is>
      </c>
      <c r="O15" s="80" t="n">
        <v>3351</v>
      </c>
      <c r="P15" s="81" t="n">
        <v>3710.08153695409</v>
      </c>
      <c r="Q15" s="81" t="n">
        <v>4334.14417589104</v>
      </c>
      <c r="R15" s="81" t="n">
        <v>4897.72319714927</v>
      </c>
      <c r="S15" s="81" t="n">
        <v>5434.90543747831</v>
      </c>
      <c r="T15" s="81" t="n">
        <v>5999.65907748092</v>
      </c>
      <c r="U15" s="298" t="n">
        <v>0.123544890389279</v>
      </c>
      <c r="Z15" s="79" t="inlineStr">
        <is>
          <t>Operating Income (GAAP)</t>
        </is>
      </c>
      <c r="AA15" s="80" t="n">
        <v>3351</v>
      </c>
      <c r="AB15" s="81" t="n">
        <v>3598.82996220605</v>
      </c>
      <c r="AC15" s="81" t="n">
        <v>3653.52352220564</v>
      </c>
      <c r="AD15" s="81" t="n">
        <v>3870.35698805724</v>
      </c>
      <c r="AE15" s="81" t="n">
        <v>4020.36487706101</v>
      </c>
      <c r="AF15" s="81" t="n">
        <v>4156.08100755167</v>
      </c>
      <c r="AG15" s="298" t="n">
        <v>0.0440034052622791</v>
      </c>
    </row>
    <row r="16" ht="15" customHeight="1" s="251">
      <c r="B16" s="83" t="inlineStr">
        <is>
          <t xml:space="preserve">   Operating income y/y %</t>
        </is>
      </c>
      <c r="C16" s="299" t="n"/>
      <c r="D16" s="300">
        <f>IFERROR(D15/C15-1,"")</f>
        <v>0.0905646062013545</v>
      </c>
      <c r="E16" s="300">
        <f>IFERROR(E15/D15-1,"")</f>
        <v>0.119639702406351</v>
      </c>
      <c r="F16" s="300">
        <f>IFERROR(F15/E15-1,"")</f>
        <v>0.103381732741732</v>
      </c>
      <c r="G16" s="300">
        <f>IFERROR(G15/F15-1,"")</f>
        <v>0.0829962865738536</v>
      </c>
      <c r="H16" s="300">
        <f>IFERROR(H15/G15-1,"")</f>
        <v>0.0774414396328742</v>
      </c>
      <c r="N16" s="83" t="inlineStr">
        <is>
          <t xml:space="preserve">   Operating income y/y %</t>
        </is>
      </c>
      <c r="O16" s="299" t="n"/>
      <c r="P16" s="300" t="n">
        <v>0.107156531469438</v>
      </c>
      <c r="Q16" s="300" t="n">
        <v>0.168207257096915</v>
      </c>
      <c r="R16" s="300" t="n">
        <v>0.130032365880484</v>
      </c>
      <c r="S16" s="300" t="n">
        <v>0.109679991846355</v>
      </c>
      <c r="T16" s="300" t="n">
        <v>0.103912321290477</v>
      </c>
      <c r="Z16" s="83" t="inlineStr">
        <is>
          <t xml:space="preserve">   Operating income y/y %</t>
        </is>
      </c>
      <c r="AA16" s="299" t="n"/>
      <c r="AB16" s="300" t="n">
        <v>0.0739570164744992</v>
      </c>
      <c r="AC16" s="300" t="n">
        <v>0.0151975949333458</v>
      </c>
      <c r="AD16" s="300" t="n">
        <v>0.0593491363977032</v>
      </c>
      <c r="AE16" s="300" t="n">
        <v>0.0387581531798356</v>
      </c>
      <c r="AF16" s="300" t="n">
        <v>0.0337571674812438</v>
      </c>
    </row>
    <row r="17" ht="15" customHeight="1" s="251">
      <c r="B17" s="83" t="inlineStr">
        <is>
          <t xml:space="preserve">   Operating margin (GAAP) %</t>
        </is>
      </c>
      <c r="C17" s="88">
        <f>IFERROR(C15/C9,"")</f>
        <v>0.434179839336616</v>
      </c>
      <c r="D17" s="89">
        <f>IFERROR(D15/D9,"")</f>
        <v>0.444180531242379</v>
      </c>
      <c r="E17" s="89">
        <f>IFERROR(E15/E9,"")</f>
        <v>0.463888666099922</v>
      </c>
      <c r="F17" s="89">
        <f>IFERROR(F15/F9,"")</f>
        <v>0.479307974751901</v>
      </c>
      <c r="G17" s="89">
        <f>IFERROR(G15/G9,"")</f>
        <v>0.487613566020029</v>
      </c>
      <c r="H17" s="89">
        <f>IFERROR(H15/H9,"")</f>
        <v>0.49559749575541</v>
      </c>
      <c r="J17" s="90">
        <f>IFERROR(AVERAGE(Model!C256,Model!D256,Model!E256,Model!F256,Model!G256,Model!H256,Model!I256,Model!N256,Model!S256,Model!X256,Model!AC256,Model!AH256,Model!AM256,Model!AR256,Model!AW256,Model!BB256,Model!BG256,Model!BL256,Model!BQ256,Model!BV256),"")</f>
        <v>0.412556032533487</v>
      </c>
      <c r="K17" s="90">
        <f>IFERROR(MIN(Model!C256,Model!D256,Model!E256,Model!F256,Model!G256,Model!H256,Model!I256,Model!N256,Model!S256,Model!X256,Model!AC256,Model!AH256,Model!AM256,Model!AR256,Model!AW256,Model!BB256,Model!BG256,Model!BL256,Model!BQ256,Model!BV256),"")</f>
        <v>0.177209921757949</v>
      </c>
      <c r="L17" s="90">
        <f>IFERROR(MAX(Model!C256,Model!D256,Model!E256,Model!F256,Model!G256,Model!H256,Model!I256,Model!N256,Model!S256,Model!X256,Model!AC256,Model!AH256,Model!AM256,Model!AR256,Model!AW256,Model!BB256,Model!BG256,Model!BL256,Model!BQ256,Model!BV256),"")</f>
        <v>0.618280889499779</v>
      </c>
      <c r="N17" s="83" t="inlineStr">
        <is>
          <t xml:space="preserve">   Operating margin (GAAP) %</t>
        </is>
      </c>
      <c r="O17" s="88" t="n">
        <v>0.434179839336616</v>
      </c>
      <c r="P17" s="89" t="n">
        <v>0.446747489292636</v>
      </c>
      <c r="Q17" s="89" t="n">
        <v>0.474594056001634</v>
      </c>
      <c r="R17" s="89" t="n">
        <v>0.488642732692047</v>
      </c>
      <c r="S17" s="89" t="n">
        <v>0.495855650443665</v>
      </c>
      <c r="T17" s="89" t="n">
        <v>0.50287833962816</v>
      </c>
      <c r="V17" s="90" t="n">
        <v>0.412556032533487</v>
      </c>
      <c r="W17" s="90" t="n">
        <v>0.177209921757949</v>
      </c>
      <c r="X17" s="90" t="n">
        <v>0.618280889499779</v>
      </c>
      <c r="Z17" s="83" t="inlineStr">
        <is>
          <t xml:space="preserve">   Operating margin (GAAP) %</t>
        </is>
      </c>
      <c r="AA17" s="88" t="n">
        <v>0.434179839336616</v>
      </c>
      <c r="AB17" s="89" t="n">
        <v>0.441558516593403</v>
      </c>
      <c r="AC17" s="89" t="n">
        <v>0.435878159208819</v>
      </c>
      <c r="AD17" s="89" t="n">
        <v>0.451470462147574</v>
      </c>
      <c r="AE17" s="89" t="n">
        <v>0.459883566244549</v>
      </c>
      <c r="AF17" s="89" t="n">
        <v>0.468094929375504</v>
      </c>
      <c r="AH17" s="90" t="n">
        <v>0.412556032533487</v>
      </c>
      <c r="AI17" s="90" t="n">
        <v>0.177209921757949</v>
      </c>
      <c r="AJ17" s="90" t="n">
        <v>0.618280889499779</v>
      </c>
    </row>
    <row r="19" ht="15" customHeight="1" s="251">
      <c r="B19" s="79" t="inlineStr">
        <is>
          <t>Adjusted Net Income (attributable to Moody's)</t>
        </is>
      </c>
      <c r="C19" s="80">
        <f>Model!BV235</f>
        <v>2687</v>
      </c>
      <c r="D19" s="81">
        <f>Model!CA235</f>
        <v>2922.00631648936</v>
      </c>
      <c r="E19" s="81">
        <f>Model!CB235</f>
        <v>3136.11086019993</v>
      </c>
      <c r="F19" s="81">
        <f>Model!CC235</f>
        <v>3361.58540650399</v>
      </c>
      <c r="G19" s="81">
        <f>Model!CD235</f>
        <v>3607.01496918596</v>
      </c>
      <c r="H19" s="81">
        <f>Model!CE235</f>
        <v>3854.06864175824</v>
      </c>
      <c r="I19" s="298">
        <f>IFERROR((H19/C19)^(1/5)-1,"n/m")</f>
        <v>0.07480667709276</v>
      </c>
      <c r="N19" s="79" t="inlineStr">
        <is>
          <t>Adjusted Net Income (attributable to Moody's)</t>
        </is>
      </c>
      <c r="O19" s="80" t="n">
        <v>2687</v>
      </c>
      <c r="P19" s="81" t="n">
        <v>2964.26196808511</v>
      </c>
      <c r="Q19" s="81" t="n">
        <v>3321.89854015135</v>
      </c>
      <c r="R19" s="81" t="n">
        <v>3610.16360742201</v>
      </c>
      <c r="S19" s="81" t="n">
        <v>3974.63246775099</v>
      </c>
      <c r="T19" s="81" t="n">
        <v>4356.99896504671</v>
      </c>
      <c r="U19" s="298" t="n">
        <v>0.101498621729726</v>
      </c>
      <c r="Z19" s="79" t="inlineStr">
        <is>
          <t>Adjusted Net Income (attributable to Moody's)</t>
        </is>
      </c>
      <c r="AA19" s="80" t="n">
        <v>2687</v>
      </c>
      <c r="AB19" s="81" t="n">
        <v>2879.7107712766</v>
      </c>
      <c r="AC19" s="81" t="n">
        <v>2802.57459444101</v>
      </c>
      <c r="AD19" s="81" t="n">
        <v>2890.54777203523</v>
      </c>
      <c r="AE19" s="81" t="n">
        <v>2965.99782882661</v>
      </c>
      <c r="AF19" s="81" t="n">
        <v>3029.58232160719</v>
      </c>
      <c r="AG19" s="298" t="n">
        <v>0.0242902016811362</v>
      </c>
    </row>
    <row r="21" ht="15" customHeight="1" s="251">
      <c r="B21" s="79" t="inlineStr">
        <is>
          <t>FDSO (m)</t>
        </is>
      </c>
      <c r="C21" s="91">
        <f>Model!BV189</f>
        <v>179.9</v>
      </c>
      <c r="D21" s="92">
        <f>Model!CA189</f>
        <v>174.448138297872</v>
      </c>
      <c r="E21" s="92">
        <f>Model!CB189</f>
        <v>169.756454291422</v>
      </c>
      <c r="F21" s="92">
        <f>Model!CC189</f>
        <v>164.601905568436</v>
      </c>
      <c r="G21" s="92">
        <f>Model!CD189</f>
        <v>159.771571528836</v>
      </c>
      <c r="H21" s="92">
        <f>Model!CE189</f>
        <v>154.987519652474</v>
      </c>
      <c r="I21" s="298">
        <f>IFERROR((H21/C21)^(1/5)-1,"n/m")</f>
        <v>-0.0293713349624317</v>
      </c>
      <c r="N21" s="79" t="inlineStr">
        <is>
          <t>FDSO (m)</t>
        </is>
      </c>
      <c r="O21" s="91" t="n">
        <v>179.9</v>
      </c>
      <c r="P21" s="92" t="n">
        <v>174.36835106383</v>
      </c>
      <c r="Q21" s="92" t="n">
        <v>168.080285858399</v>
      </c>
      <c r="R21" s="92" t="n">
        <v>161.258532179919</v>
      </c>
      <c r="S21" s="92" t="n">
        <v>155.682389819231</v>
      </c>
      <c r="T21" s="92" t="n">
        <v>149.909096898815</v>
      </c>
      <c r="U21" s="298" t="n">
        <v>-0.0358172332213921</v>
      </c>
      <c r="Z21" s="79" t="inlineStr">
        <is>
          <t>FDSO (m)</t>
        </is>
      </c>
      <c r="AA21" s="91" t="n">
        <v>179.9</v>
      </c>
      <c r="AB21" s="92" t="n">
        <v>174.527925531915</v>
      </c>
      <c r="AC21" s="92" t="n">
        <v>171.761048057724</v>
      </c>
      <c r="AD21" s="92" t="n">
        <v>168.902397883197</v>
      </c>
      <c r="AE21" s="92" t="n">
        <v>165.429834993786</v>
      </c>
      <c r="AF21" s="92" t="n">
        <v>162.261943604699</v>
      </c>
      <c r="AG21" s="298" t="n">
        <v>-0.0204263325098164</v>
      </c>
    </row>
    <row r="23" ht="15" customHeight="1" s="251">
      <c r="B23" s="79" t="inlineStr">
        <is>
          <t>Adjusted EPS — Diluted ($)</t>
        </is>
      </c>
      <c r="C23" s="93">
        <f>Model!BV238</f>
        <v>14.9360755975542</v>
      </c>
      <c r="D23" s="94">
        <f>Model!CA238</f>
        <v>16.75</v>
      </c>
      <c r="E23" s="94">
        <f>Model!CB238</f>
        <v>18.4741774519875</v>
      </c>
      <c r="F23" s="94">
        <f>Model!CC238</f>
        <v>20.4225181652368</v>
      </c>
      <c r="G23" s="94">
        <f>Model!CD238</f>
        <v>22.5760749216576</v>
      </c>
      <c r="H23" s="94">
        <f>Model!CE238</f>
        <v>24.8669612262983</v>
      </c>
      <c r="I23" s="298">
        <f>IFERROR((H23/C23)^(1/5)-1,"n/m")</f>
        <v>0.107330450673595</v>
      </c>
      <c r="N23" s="79" t="inlineStr">
        <is>
          <t>Adjusted EPS — Diluted ($)</t>
        </is>
      </c>
      <c r="O23" s="93" t="n">
        <v>14.9360755975542</v>
      </c>
      <c r="P23" s="94" t="n">
        <v>17</v>
      </c>
      <c r="Q23" s="94" t="n">
        <v>19.763760652751</v>
      </c>
      <c r="R23" s="94" t="n">
        <v>22.3874269387129</v>
      </c>
      <c r="S23" s="94" t="n">
        <v>25.5303921809403</v>
      </c>
      <c r="T23" s="94" t="n">
        <v>29.0642733174997</v>
      </c>
      <c r="U23" s="298" t="n">
        <v>0.142416831831478</v>
      </c>
      <c r="Z23" s="79" t="inlineStr">
        <is>
          <t>Adjusted EPS — Diluted ($)</t>
        </is>
      </c>
      <c r="AA23" s="93" t="n">
        <v>14.9360755975542</v>
      </c>
      <c r="AB23" s="94" t="n">
        <v>16.5</v>
      </c>
      <c r="AC23" s="94" t="n">
        <v>16.316706413547</v>
      </c>
      <c r="AD23" s="94" t="n">
        <v>17.1137166094833</v>
      </c>
      <c r="AE23" s="94" t="n">
        <v>17.9290381867214</v>
      </c>
      <c r="AF23" s="94" t="n">
        <v>18.6709357370193</v>
      </c>
      <c r="AG23" s="298" t="n">
        <v>0.0456489753399794</v>
      </c>
    </row>
    <row r="24" ht="15" customHeight="1" s="251">
      <c r="B24" s="83" t="inlineStr">
        <is>
          <t xml:space="preserve">   EPS y/y %</t>
        </is>
      </c>
      <c r="C24" s="299" t="n"/>
      <c r="D24" s="300">
        <f>IFERROR(D23/C23-1,"")</f>
        <v>0.12144585039077</v>
      </c>
      <c r="E24" s="300">
        <f>IFERROR(E23/D23-1,"")</f>
        <v>0.102935967282834</v>
      </c>
      <c r="F24" s="300">
        <f>IFERROR(F23/E23-1,"")</f>
        <v>0.105462920788375</v>
      </c>
      <c r="G24" s="300">
        <f>IFERROR(G23/F23-1,"")</f>
        <v>0.105450108502611</v>
      </c>
      <c r="H24" s="300">
        <f>IFERROR(H23/G23-1,"")</f>
        <v>0.101474074328265</v>
      </c>
      <c r="N24" s="83" t="inlineStr">
        <is>
          <t xml:space="preserve">   EPS y/y %</t>
        </is>
      </c>
      <c r="O24" s="299" t="n"/>
      <c r="P24" s="300" t="n">
        <v>0.138183848157797</v>
      </c>
      <c r="Q24" s="300" t="n">
        <v>0.162574156044174</v>
      </c>
      <c r="R24" s="300" t="n">
        <v>0.132751369137672</v>
      </c>
      <c r="S24" s="300" t="n">
        <v>0.1403897487117</v>
      </c>
      <c r="T24" s="300" t="n">
        <v>0.138418599742371</v>
      </c>
      <c r="Z24" s="83" t="inlineStr">
        <is>
          <t xml:space="preserve">   EPS y/y %</t>
        </is>
      </c>
      <c r="AA24" s="299" t="n"/>
      <c r="AB24" s="300" t="n">
        <v>0.104707852623744</v>
      </c>
      <c r="AC24" s="300" t="n">
        <v>-0.0111087022092752</v>
      </c>
      <c r="AD24" s="300" t="n">
        <v>0.0488462668712766</v>
      </c>
      <c r="AE24" s="300" t="n">
        <v>0.0476414092767106</v>
      </c>
      <c r="AF24" s="300" t="n">
        <v>0.041379662565914</v>
      </c>
    </row>
    <row r="26" ht="15" customHeight="1" s="251">
      <c r="B26" s="83" t="inlineStr">
        <is>
          <t>P / E (x) — assumed (adjusted EPS)</t>
        </is>
      </c>
      <c r="C26" s="301" t="n"/>
      <c r="D26" s="301" t="n"/>
      <c r="E26" s="301" t="n"/>
      <c r="F26" s="301" t="n">
        <v>31</v>
      </c>
      <c r="G26" s="301" t="n">
        <v>31</v>
      </c>
      <c r="H26" s="301" t="n">
        <v>31</v>
      </c>
      <c r="N26" s="83" t="inlineStr">
        <is>
          <t>P / E (x) — assumed (adjusted EPS)</t>
        </is>
      </c>
      <c r="O26" s="301" t="n"/>
      <c r="P26" s="301" t="n"/>
      <c r="Q26" s="301" t="n"/>
      <c r="R26" s="301" t="n">
        <v>35</v>
      </c>
      <c r="S26" s="301" t="n">
        <v>35</v>
      </c>
      <c r="T26" s="301" t="n">
        <v>35</v>
      </c>
      <c r="Z26" s="83" t="inlineStr">
        <is>
          <t>P / E (x) — assumed (adjusted EPS)</t>
        </is>
      </c>
      <c r="AA26" s="301" t="n"/>
      <c r="AB26" s="301" t="n"/>
      <c r="AC26" s="301" t="n"/>
      <c r="AD26" s="301" t="n">
        <v>24</v>
      </c>
      <c r="AE26" s="301" t="n">
        <v>24</v>
      </c>
      <c r="AF26" s="301" t="n">
        <v>24</v>
      </c>
    </row>
    <row r="27" ht="15" customHeight="1" s="251">
      <c r="B27" s="10" t="inlineStr">
        <is>
          <t>Price Target ($)</t>
        </is>
      </c>
      <c r="C27" s="96" t="n"/>
      <c r="D27" s="96" t="n"/>
      <c r="E27" s="96" t="n"/>
      <c r="F27" s="96">
        <f>F26*F23</f>
        <v>633.098063122341</v>
      </c>
      <c r="G27" s="96">
        <f>G26*G23</f>
        <v>699.858322571385</v>
      </c>
      <c r="H27" s="96">
        <f>H26*H23</f>
        <v>770.875798015249</v>
      </c>
      <c r="N27" s="10" t="inlineStr">
        <is>
          <t>Price Target ($)</t>
        </is>
      </c>
      <c r="O27" s="96" t="n"/>
      <c r="P27" s="96" t="n"/>
      <c r="Q27" s="96" t="n"/>
      <c r="R27" s="96">
        <f>R26*R23</f>
        <v>783.559942854952</v>
      </c>
      <c r="S27" s="96">
        <f>S26*S23</f>
        <v>893.563726332911</v>
      </c>
      <c r="T27" s="96">
        <f>T26*T23</f>
        <v>1017.24956611249</v>
      </c>
      <c r="Z27" s="10" t="inlineStr">
        <is>
          <t>Price Target ($)</t>
        </is>
      </c>
      <c r="AA27" s="96" t="n"/>
      <c r="AB27" s="96" t="n"/>
      <c r="AC27" s="96" t="n"/>
      <c r="AD27" s="96">
        <f>AD26*AD23</f>
        <v>410.729198627599</v>
      </c>
      <c r="AE27" s="96">
        <f>AE26*AE23</f>
        <v>430.296916481314</v>
      </c>
      <c r="AF27" s="96">
        <f>AF26*AF23</f>
        <v>448.102457688463</v>
      </c>
    </row>
    <row r="28" ht="15" customHeight="1" s="251">
      <c r="B28" t="inlineStr">
        <is>
          <t xml:space="preserve">   Upside / (Downside) vs current</t>
        </is>
      </c>
      <c r="E28" s="302" t="n"/>
      <c r="F28" s="302">
        <f>IFERROR(F27/$K$2-1,"")</f>
        <v>0.347017155579449</v>
      </c>
      <c r="G28" s="302">
        <f>IFERROR(G27/$K$2-1,"")</f>
        <v>0.489060260790181</v>
      </c>
      <c r="H28" s="302">
        <f>IFERROR(H27/$K$2-1,"")</f>
        <v>0.64016127237287</v>
      </c>
      <c r="N28" t="inlineStr">
        <is>
          <t xml:space="preserve">   Upside / (Downside) vs current</t>
        </is>
      </c>
      <c r="O28" s="302" t="n"/>
      <c r="P28" s="302" t="n"/>
      <c r="Q28" s="302" t="n"/>
      <c r="R28" s="302">
        <f>IFERROR(R27/$K$2-1,"")</f>
        <v>0.667148814585003</v>
      </c>
      <c r="S28" s="302">
        <f>IFERROR(S27/$K$2-1,"")</f>
        <v>0.901199417729597</v>
      </c>
      <c r="T28" s="302">
        <f>IFERROR(T27/$K$2-1,"")</f>
        <v>1.16436077896274</v>
      </c>
      <c r="Z28" t="inlineStr">
        <is>
          <t xml:space="preserve">   Upside / (Downside) vs current</t>
        </is>
      </c>
      <c r="AA28" s="302" t="n"/>
      <c r="AB28" s="302" t="n"/>
      <c r="AC28" s="302" t="n"/>
      <c r="AD28" s="302">
        <f>IFERROR(AD27/$K$2-1,"")</f>
        <v>-0.126108088026385</v>
      </c>
      <c r="AE28" s="302">
        <f>IFERROR(AE27/$K$2-1,"")</f>
        <v>-0.0844746457844392</v>
      </c>
      <c r="AF28" s="302">
        <f>IFERROR(AF27/$K$2-1,"")</f>
        <v>-0.0465905155564613</v>
      </c>
    </row>
    <row r="29" ht="15" customHeight="1" s="251">
      <c r="B29" s="75" t="inlineStr">
        <is>
          <t>IRR (to Dec-Y-1)</t>
        </is>
      </c>
      <c r="C29" s="303" t="n"/>
      <c r="D29" s="303" t="n"/>
      <c r="E29" s="303" t="n"/>
      <c r="F29" s="303">
        <f>IFERROR((F27/$K$2)^(1/((DATE(2028-1,12,31)-$K$3)/365.25))-1,"")</f>
        <v>0.276990652375376</v>
      </c>
      <c r="G29" s="303">
        <f>IFERROR((G27/$K$2)^(1/((DATE(2029-1,12,31)-$K$3)/365.25))-1,"")</f>
        <v>0.196394714533474</v>
      </c>
      <c r="H29" s="303">
        <f>IFERROR((H27/$K$2)^(1/((DATE(2030-1,12,31)-$K$3)/365.25))-1,"")</f>
        <v>0.166113740798169</v>
      </c>
      <c r="N29" s="75" t="inlineStr">
        <is>
          <t>IRR (to Dec-Y-1)</t>
        </is>
      </c>
      <c r="O29" s="303" t="n"/>
      <c r="P29" s="303" t="n"/>
      <c r="Q29" s="303" t="n"/>
      <c r="R29" s="303">
        <f>IFERROR((R27/$K$2)^(1/((DATE(2028-1,12,31)-$K$3)/365.25))-1,"")</f>
        <v>0.5212254002157</v>
      </c>
      <c r="S29" s="303">
        <f>IFERROR((S27/$K$2)^(1/((DATE(2029-1,12,31)-$K$3)/365.25))-1,"")</f>
        <v>0.335566966565713</v>
      </c>
      <c r="T29" s="303">
        <f>IFERROR((T27/$K$2)^(1/((DATE(2030-1,12,31)-$K$3)/365.25))-1,"")</f>
        <v>0.271009927448014</v>
      </c>
      <c r="Z29" s="75" t="inlineStr">
        <is>
          <t>IRR (to Dec-Y-1)</t>
        </is>
      </c>
      <c r="AA29" s="303" t="n"/>
      <c r="AB29" s="303" t="n"/>
      <c r="AC29" s="303" t="n"/>
      <c r="AD29" s="303">
        <f>IFERROR((AD27/$K$2)^(1/((DATE(2028-1,12,31)-$K$3)/365.25))-1,"")</f>
        <v>-0.10473978341179</v>
      </c>
      <c r="AE29" s="303">
        <f>IFERROR((AE27/$K$2)^(1/((DATE(2029-1,12,31)-$K$3)/365.25))-1,"")</f>
        <v>-0.0389687928719225</v>
      </c>
      <c r="AF29" s="303">
        <f>IFERROR((AF27/$K$2)^(1/((DATE(2030-1,12,31)-$K$3)/365.25))-1,"")</f>
        <v>-0.0147090866659412</v>
      </c>
    </row>
    <row r="31" ht="15" customHeight="1" s="251">
      <c r="B31" s="79" t="inlineStr">
        <is>
          <t>Free Cash Flow</t>
        </is>
      </c>
      <c r="C31" s="80">
        <f>Model!BV288</f>
        <v>2575</v>
      </c>
      <c r="D31" s="81">
        <f>Model!CA288</f>
        <v>2933.74278142087</v>
      </c>
      <c r="E31" s="81">
        <f>Model!CB288</f>
        <v>3296.04883345249</v>
      </c>
      <c r="F31" s="81">
        <f>Model!CC288</f>
        <v>3617.76915064323</v>
      </c>
      <c r="G31" s="81">
        <f>Model!CD288</f>
        <v>3878.18549165615</v>
      </c>
      <c r="H31" s="81">
        <f>Model!CE288</f>
        <v>4130.99024043202</v>
      </c>
      <c r="I31" s="298">
        <f>IFERROR((H31/C31)^(1/5)-1,"n/m")</f>
        <v>0.0991460084784719</v>
      </c>
      <c r="N31" s="79" t="inlineStr">
        <is>
          <t>Free Cash Flow</t>
        </is>
      </c>
      <c r="O31" s="80" t="n">
        <v>2575</v>
      </c>
      <c r="P31" s="81" t="n">
        <v>2984.56435575634</v>
      </c>
      <c r="Q31" s="81" t="n">
        <v>3513.21089060842</v>
      </c>
      <c r="R31" s="81" t="n">
        <v>3911.90298226513</v>
      </c>
      <c r="S31" s="81" t="n">
        <v>4303.9788601769</v>
      </c>
      <c r="T31" s="81" t="n">
        <v>4704.84457514442</v>
      </c>
      <c r="U31" s="298" t="n">
        <v>0.128115612167453</v>
      </c>
      <c r="Z31" s="79" t="inlineStr">
        <is>
          <t>Free Cash Flow</t>
        </is>
      </c>
      <c r="AA31" s="80" t="n">
        <v>2575</v>
      </c>
      <c r="AB31" s="81" t="n">
        <v>2882.88131346838</v>
      </c>
      <c r="AC31" s="81" t="n">
        <v>2915.63716338548</v>
      </c>
      <c r="AD31" s="81" t="n">
        <v>3085.14084525017</v>
      </c>
      <c r="AE31" s="81" t="n">
        <v>3162.15251834814</v>
      </c>
      <c r="AF31" s="81" t="n">
        <v>3218.79741450032</v>
      </c>
      <c r="AG31" s="298" t="n">
        <v>0.0456426331775115</v>
      </c>
    </row>
    <row r="32" ht="15" customHeight="1" s="251">
      <c r="B32" s="83" t="inlineStr">
        <is>
          <t xml:space="preserve">   FCF %</t>
        </is>
      </c>
      <c r="C32" s="88">
        <f>IFERROR(C31/C9,"")</f>
        <v>0.333635656905934</v>
      </c>
      <c r="D32" s="89">
        <f>IFERROR(D31/D9,"")</f>
        <v>0.356578970378606</v>
      </c>
      <c r="E32" s="89">
        <f>IFERROR(E31/E9,"")</f>
        <v>0.373682949805399</v>
      </c>
      <c r="F32" s="89">
        <f>IFERROR(F31/F9,"")</f>
        <v>0.384083455002632</v>
      </c>
      <c r="G32" s="89">
        <f>IFERROR(G31/G9,"")</f>
        <v>0.386765282450175</v>
      </c>
      <c r="H32" s="89">
        <f>IFERROR(H31/H9,"")</f>
        <v>0.388626779198553</v>
      </c>
      <c r="J32" s="90">
        <f>IFERROR(AVERAGE(Model!C292,Model!D292,Model!E292,Model!F292,Model!G292,Model!H292,Model!I292,Model!N292,Model!S292,Model!X292,Model!AC292,Model!AH292,Model!AM292,Model!AR292,Model!AW292,Model!BB292,Model!BG292,Model!BL292,Model!BQ292,Model!BV292),"")</f>
        <v>0.303041362596374</v>
      </c>
      <c r="K32" s="90">
        <f>IFERROR(MIN(Model!C292,Model!D292,Model!E292,Model!F292,Model!G292,Model!H292,Model!I292,Model!N292,Model!S292,Model!X292,Model!AC292,Model!AH292,Model!AM292,Model!AR292,Model!AW292,Model!BB292,Model!BG292,Model!BL292,Model!BQ292,Model!BV292),"")</f>
        <v>0.156252229965986</v>
      </c>
      <c r="L32" s="90">
        <f>IFERROR(MAX(Model!C292,Model!D292,Model!E292,Model!F292,Model!G292,Model!H292,Model!I292,Model!N292,Model!S292,Model!X292,Model!AC292,Model!AH292,Model!AM292,Model!AR292,Model!AW292,Model!BB292,Model!BG292,Model!BL292,Model!BQ292,Model!BV292),"")</f>
        <v>0.380376093837274</v>
      </c>
      <c r="N32" s="83" t="inlineStr">
        <is>
          <t xml:space="preserve">   FCF %</t>
        </is>
      </c>
      <c r="O32" s="88" t="n">
        <v>0.333635656905934</v>
      </c>
      <c r="P32" s="89" t="n">
        <v>0.359384724913915</v>
      </c>
      <c r="Q32" s="89" t="n">
        <v>0.384700863307156</v>
      </c>
      <c r="R32" s="89" t="n">
        <v>0.390288075976365</v>
      </c>
      <c r="S32" s="89" t="n">
        <v>0.392675136993553</v>
      </c>
      <c r="T32" s="89" t="n">
        <v>0.394349811814738</v>
      </c>
      <c r="V32" s="90" t="n">
        <v>0.303041362596374</v>
      </c>
      <c r="W32" s="90" t="n">
        <v>0.156252229965986</v>
      </c>
      <c r="X32" s="90" t="n">
        <v>0.380376093837274</v>
      </c>
      <c r="Z32" s="83" t="inlineStr">
        <is>
          <t xml:space="preserve">   FCF %</t>
        </is>
      </c>
      <c r="AA32" s="88" t="n">
        <v>0.333635656905934</v>
      </c>
      <c r="AB32" s="89" t="n">
        <v>0.353715182339325</v>
      </c>
      <c r="AC32" s="89" t="n">
        <v>0.347845730833029</v>
      </c>
      <c r="AD32" s="89" t="n">
        <v>0.359876354427606</v>
      </c>
      <c r="AE32" s="89" t="n">
        <v>0.361713929361107</v>
      </c>
      <c r="AF32" s="89" t="n">
        <v>0.362529687385033</v>
      </c>
      <c r="AH32" s="90" t="n">
        <v>0.303041362596374</v>
      </c>
      <c r="AI32" s="90" t="n">
        <v>0.156252229965986</v>
      </c>
      <c r="AJ32" s="90" t="n">
        <v>0.380376093837274</v>
      </c>
    </row>
    <row r="33" ht="15" customHeight="1" s="251">
      <c r="B33" s="83" t="inlineStr">
        <is>
          <t xml:space="preserve">   FCF / share ($)</t>
        </is>
      </c>
      <c r="C33" s="99">
        <f>IFERROR(C31/C21,"")</f>
        <v>14.313507504169</v>
      </c>
      <c r="D33" s="100">
        <f>IFERROR(D31/D21,"")</f>
        <v>16.8172776737317</v>
      </c>
      <c r="E33" s="100">
        <f>IFERROR(E31/E21,"")</f>
        <v>19.4163388202851</v>
      </c>
      <c r="F33" s="100">
        <f>IFERROR(F31/F21,"")</f>
        <v>21.9789019947833</v>
      </c>
      <c r="G33" s="100">
        <f>IFERROR(G31/G21,"")</f>
        <v>24.2733137976065</v>
      </c>
      <c r="H33" s="100">
        <f>IFERROR(H31/H21,"")</f>
        <v>26.6536960504617</v>
      </c>
      <c r="N33" s="83" t="inlineStr">
        <is>
          <t xml:space="preserve">   FCF / share ($)</t>
        </is>
      </c>
      <c r="O33" s="99" t="n">
        <v>14.313507504169</v>
      </c>
      <c r="P33" s="100" t="n">
        <v>17.1164339029839</v>
      </c>
      <c r="Q33" s="100" t="n">
        <v>20.9019806972971</v>
      </c>
      <c r="R33" s="100" t="n">
        <v>24.2585798678891</v>
      </c>
      <c r="S33" s="100" t="n">
        <v>27.6458940871503</v>
      </c>
      <c r="T33" s="100" t="n">
        <v>31.384650247877</v>
      </c>
      <c r="Z33" s="83" t="inlineStr">
        <is>
          <t xml:space="preserve">   FCF / share ($)</t>
        </is>
      </c>
      <c r="AA33" s="99" t="n">
        <v>14.313507504169</v>
      </c>
      <c r="AB33" s="100" t="n">
        <v>16.5181663890298</v>
      </c>
      <c r="AC33" s="100" t="n">
        <v>16.974961415033</v>
      </c>
      <c r="AD33" s="100" t="n">
        <v>18.2658202838759</v>
      </c>
      <c r="AE33" s="100" t="n">
        <v>19.1147655951353</v>
      </c>
      <c r="AF33" s="100" t="n">
        <v>19.837044614367</v>
      </c>
    </row>
    <row r="34" ht="15" customHeight="1" s="251">
      <c r="B34" s="83" t="inlineStr">
        <is>
          <t xml:space="preserve">   FCF Yield (on PT)</t>
        </is>
      </c>
      <c r="E34" s="101" t="n"/>
      <c r="F34" s="101">
        <f>IFERROR(F33/F$27,"")</f>
        <v>0.034716425898362</v>
      </c>
      <c r="G34" s="101">
        <f>IFERROR(G33/G$27,"")</f>
        <v>0.0346831823167047</v>
      </c>
      <c r="H34" s="101">
        <f>IFERROR(H33/H$27,"")</f>
        <v>0.0345758630885626</v>
      </c>
      <c r="N34" s="83" t="inlineStr">
        <is>
          <t xml:space="preserve">   FCF Yield (on PT)</t>
        </is>
      </c>
      <c r="Q34" s="101" t="n"/>
      <c r="R34" s="101">
        <f>IFERROR(R33/R$27,"")</f>
        <v>0.0309594436125734</v>
      </c>
      <c r="S34" s="101">
        <f>IFERROR(S33/S$27,"")</f>
        <v>0.030938917138687</v>
      </c>
      <c r="T34" s="101">
        <f>IFERROR(T33/T$27,"")</f>
        <v>0.0308524587214289</v>
      </c>
      <c r="Z34" s="83" t="inlineStr">
        <is>
          <t xml:space="preserve">   FCF Yield (on PT)</t>
        </is>
      </c>
      <c r="AC34" s="101" t="n"/>
      <c r="AD34" s="101">
        <f>IFERROR(AD33/AD$27,"")</f>
        <v>0.0444716868070468</v>
      </c>
      <c r="AE34" s="101">
        <f>IFERROR(AE33/AE$27,"")</f>
        <v>0.0444222695143701</v>
      </c>
      <c r="AF34" s="101">
        <f>IFERROR(AF33/AF$27,"")</f>
        <v>0.0442689931153165</v>
      </c>
    </row>
    <row r="35" ht="15" customHeight="1" s="251">
      <c r="B35" s="79" t="inlineStr">
        <is>
          <t>Adjusted Operating Income (leverage basis)</t>
        </is>
      </c>
      <c r="C35" s="80">
        <f>Model!BV219</f>
        <v>3942</v>
      </c>
      <c r="D35" s="81">
        <f>Model!CA219</f>
        <v>4319.48199538074</v>
      </c>
      <c r="E35" s="81">
        <f>Model!CB219</f>
        <v>4686.90571707776</v>
      </c>
      <c r="F35" s="81">
        <f>Model!CC219</f>
        <v>5053.2218830559</v>
      </c>
      <c r="G35" s="81">
        <f>Model!CD219</f>
        <v>5433.78287586468</v>
      </c>
      <c r="H35" s="81">
        <f>Model!CE219</f>
        <v>5816.65368678495</v>
      </c>
      <c r="I35" s="298">
        <f>IFERROR((H35/C35)^(1/5)-1,"n/m")</f>
        <v>0.0809144371478396</v>
      </c>
      <c r="N35" s="79" t="inlineStr">
        <is>
          <t>Adjusted Operating Income (leverage basis)</t>
        </is>
      </c>
      <c r="O35" s="80" t="n">
        <v>3942</v>
      </c>
      <c r="P35" s="81" t="n">
        <v>4375.08153695409</v>
      </c>
      <c r="Q35" s="81" t="n">
        <v>4944.57431601246</v>
      </c>
      <c r="R35" s="81" t="n">
        <v>5470.57851980221</v>
      </c>
      <c r="S35" s="81" t="n">
        <v>6034.74386950193</v>
      </c>
      <c r="T35" s="81" t="n">
        <v>6625.68996164968</v>
      </c>
      <c r="U35" s="298" t="n">
        <v>0.109437644728188</v>
      </c>
      <c r="Z35" s="79" t="inlineStr">
        <is>
          <t>Adjusted Operating Income (leverage basis)</t>
        </is>
      </c>
      <c r="AA35" s="80" t="n">
        <v>3942</v>
      </c>
      <c r="AB35" s="81" t="n">
        <v>4263.82996220605</v>
      </c>
      <c r="AC35" s="81" t="n">
        <v>4230.27492685997</v>
      </c>
      <c r="AD35" s="81" t="n">
        <v>4369.5498513</v>
      </c>
      <c r="AE35" s="81" t="n">
        <v>4502.56606132138</v>
      </c>
      <c r="AF35" s="81" t="n">
        <v>4619.47213993942</v>
      </c>
      <c r="AG35" s="298" t="n">
        <v>0.0322268377034427</v>
      </c>
    </row>
    <row r="36" ht="15" customHeight="1" s="251">
      <c r="B36" s="83" t="inlineStr">
        <is>
          <t xml:space="preserve">   Adjusted Operating Income % of revenue</t>
        </is>
      </c>
      <c r="C36" s="88">
        <f>IFERROR(C35/C9,"")</f>
        <v>0.51075408136823</v>
      </c>
      <c r="D36" s="89">
        <f>IFERROR(D35/D9,"")</f>
        <v>0.525007322467385</v>
      </c>
      <c r="E36" s="89">
        <f>IFERROR(E35/E9,"")</f>
        <v>0.531368569555706</v>
      </c>
      <c r="F36" s="89">
        <f>IFERROR(F35/F9,"")</f>
        <v>0.536479481946473</v>
      </c>
      <c r="G36" s="89">
        <f>IFERROR(G35/G9,"")</f>
        <v>0.541902540061138</v>
      </c>
      <c r="H36" s="89">
        <f>IFERROR(H35/H9,"")</f>
        <v>0.547207148030497</v>
      </c>
      <c r="J36" s="90">
        <f>IFERROR(AVERAGE(Model!C255,Model!D255,Model!E255,Model!F255,Model!G255,Model!H255,Model!I255,Model!N255,Model!S255,Model!X255,Model!AC255,Model!AH255,Model!AM255,Model!AR255,Model!AW255,Model!BB255,Model!BG255,Model!BL255,Model!BQ255,Model!BV255),"")</f>
        <v>0.46801912639185</v>
      </c>
      <c r="K36" s="90">
        <f>IFERROR(MIN(Model!C255,Model!D255,Model!E255,Model!F255,Model!G255,Model!H255,Model!I255,Model!N255,Model!S255,Model!X255,Model!AC255,Model!AH255,Model!AM255,Model!AR255,Model!AW255,Model!BB255,Model!BG255,Model!BL255,Model!BQ255,Model!BV255),"")</f>
        <v>0.412992125984252</v>
      </c>
      <c r="L36" s="90">
        <f>IFERROR(MAX(Model!C255,Model!D255,Model!E255,Model!F255,Model!G255,Model!H255,Model!I255,Model!N255,Model!S255,Model!X255,Model!AC255,Model!AH255,Model!AM255,Model!AR255,Model!AW255,Model!BB255,Model!BG255,Model!BL255,Model!BQ255,Model!BV255),"")</f>
        <v>0.558833636051249</v>
      </c>
      <c r="N36" s="83" t="inlineStr">
        <is>
          <t xml:space="preserve">   Adjusted Operating Income % of revenue</t>
        </is>
      </c>
      <c r="O36" s="88" t="n">
        <v>0.51075408136823</v>
      </c>
      <c r="P36" s="89" t="n">
        <v>0.526823109577657</v>
      </c>
      <c r="Q36" s="89" t="n">
        <v>0.541436898405766</v>
      </c>
      <c r="R36" s="89" t="n">
        <v>0.5457961443959271</v>
      </c>
      <c r="S36" s="89" t="n">
        <v>0.55058213635842</v>
      </c>
      <c r="T36" s="89" t="n">
        <v>0.555350883071232</v>
      </c>
      <c r="V36" s="90" t="n">
        <v>0.46801912639185</v>
      </c>
      <c r="W36" s="90" t="n">
        <v>0.412992125984252</v>
      </c>
      <c r="X36" s="90" t="n">
        <v>0.558833636051249</v>
      </c>
      <c r="Z36" s="83" t="inlineStr">
        <is>
          <t xml:space="preserve">   Adjusted Operating Income % of revenue</t>
        </is>
      </c>
      <c r="AA36" s="88" t="n">
        <v>0.51075408136823</v>
      </c>
      <c r="AB36" s="89" t="n">
        <v>0.523150705337607</v>
      </c>
      <c r="AC36" s="89" t="n">
        <v>0.504686622888851</v>
      </c>
      <c r="AD36" s="89" t="n">
        <v>0.509700448002729</v>
      </c>
      <c r="AE36" s="89" t="n">
        <v>0.515041843427368</v>
      </c>
      <c r="AF36" s="89" t="n">
        <v>0.5202861737218351</v>
      </c>
      <c r="AH36" s="90" t="n">
        <v>0.46801912639185</v>
      </c>
      <c r="AI36" s="90" t="n">
        <v>0.412992125984252</v>
      </c>
      <c r="AJ36" s="90" t="n">
        <v>0.558833636051249</v>
      </c>
    </row>
    <row r="38" ht="15" customHeight="1" s="251">
      <c r="B38" s="79" t="inlineStr">
        <is>
          <t>Net Debt</t>
        </is>
      </c>
      <c r="C38" s="80">
        <f>Model!BV417</f>
        <v>4546</v>
      </c>
      <c r="D38" s="81">
        <f>Model!CA417</f>
        <v>4991.04921857913</v>
      </c>
      <c r="E38" s="81">
        <f>Model!CB417</f>
        <v>5829.6321463472</v>
      </c>
      <c r="F38" s="81">
        <f>Model!CC417</f>
        <v>6287.52735381988</v>
      </c>
      <c r="G38" s="81">
        <f>Model!CD417</f>
        <v>6763.22859483085</v>
      </c>
      <c r="H38" s="81">
        <f>Model!CE417</f>
        <v>7241.81710848119</v>
      </c>
      <c r="N38" s="79" t="inlineStr">
        <is>
          <t>Net Debt</t>
        </is>
      </c>
      <c r="O38" s="80" t="n">
        <v>4546</v>
      </c>
      <c r="P38" s="81" t="n">
        <v>5090.22764424366</v>
      </c>
      <c r="Q38" s="81" t="n">
        <v>7387.86147401869</v>
      </c>
      <c r="R38" s="81" t="n">
        <v>8176.86777970332</v>
      </c>
      <c r="S38" s="81" t="n">
        <v>9023.1158042529</v>
      </c>
      <c r="T38" s="81" t="n">
        <v>9909.53494247452</v>
      </c>
      <c r="Z38" s="79" t="inlineStr">
        <is>
          <t>Net Debt</t>
        </is>
      </c>
      <c r="AA38" s="80" t="n">
        <v>4546</v>
      </c>
      <c r="AB38" s="81" t="n">
        <v>4891.91068653162</v>
      </c>
      <c r="AC38" s="81" t="n">
        <v>4201.27492685997</v>
      </c>
      <c r="AD38" s="81" t="n">
        <v>4340.5498513</v>
      </c>
      <c r="AE38" s="81" t="n">
        <v>4473.56606132138</v>
      </c>
      <c r="AF38" s="81" t="n">
        <v>4590.47213993942</v>
      </c>
    </row>
    <row r="39" ht="15" customHeight="1" s="251">
      <c r="B39" s="83" t="inlineStr">
        <is>
          <t xml:space="preserve">   Net Debt / Adjusted Operating Income (x)</t>
        </is>
      </c>
      <c r="C39" s="102">
        <f>IFERROR(C38/C35,"")</f>
        <v>1.15322171486555</v>
      </c>
      <c r="D39" s="103">
        <f>IFERROR(D38/D35,"")</f>
        <v>1.15547401839308</v>
      </c>
      <c r="E39" s="103">
        <f>IFERROR(E38/E35,"")</f>
        <v>1.24381254888607</v>
      </c>
      <c r="F39" s="103">
        <f>IFERROR(F38/F35,"")</f>
        <v>1.24426108714972</v>
      </c>
      <c r="G39" s="103">
        <f>IFERROR(G38/G35,"")</f>
        <v>1.24466301825772</v>
      </c>
      <c r="H39" s="103">
        <f>IFERROR(H38/H35,"")</f>
        <v>1.24501431552202</v>
      </c>
      <c r="N39" s="83" t="inlineStr">
        <is>
          <t xml:space="preserve">   Net Debt / Adjusted Operating Income (x)</t>
        </is>
      </c>
      <c r="O39" s="102" t="n">
        <v>1.15322171486555</v>
      </c>
      <c r="P39" s="103" t="n">
        <v>1.16345892099361</v>
      </c>
      <c r="Q39" s="103" t="n">
        <v>1.49413498551208</v>
      </c>
      <c r="R39" s="103" t="n">
        <v>1.49469891531672</v>
      </c>
      <c r="S39" s="103" t="n">
        <v>1.4951944936476</v>
      </c>
      <c r="T39" s="103" t="n">
        <v>1.49562309734264</v>
      </c>
      <c r="Z39" s="83" t="inlineStr">
        <is>
          <t xml:space="preserve">   Net Debt / Adjusted Operating Income (x)</t>
        </is>
      </c>
      <c r="AA39" s="102" t="n">
        <v>1.15322171486555</v>
      </c>
      <c r="AB39" s="103" t="n">
        <v>1.14730435544869</v>
      </c>
      <c r="AC39" s="103" t="n">
        <v>0.99314465359784</v>
      </c>
      <c r="AD39" s="103" t="n">
        <v>0.993363160740374</v>
      </c>
      <c r="AE39" s="103" t="n">
        <v>0.993559228314467</v>
      </c>
      <c r="AF39" s="103" t="n">
        <v>0.993722226453263</v>
      </c>
    </row>
    <row r="40" ht="15" customHeight="1" s="251">
      <c r="B40" s="252" t="inlineStr">
        <is>
          <t xml:space="preserve">   Share repurchases ($m; 2026E = 2H)</t>
        </is>
      </c>
      <c r="C40" s="102" t="n"/>
      <c r="D40" s="248">
        <f>Model!CA302</f>
        <v>685</v>
      </c>
      <c r="E40" s="248">
        <f>Model!CB302</f>
        <v>3082.24760334822</v>
      </c>
      <c r="F40" s="248">
        <f>Model!CC302</f>
        <v>2980.55188104518</v>
      </c>
      <c r="G40" s="248">
        <f>Model!CD302</f>
        <v>3211.22150494319</v>
      </c>
      <c r="H40" s="248">
        <f>Model!CE302</f>
        <v>3417.32732424639</v>
      </c>
      <c r="N40" s="252" t="inlineStr">
        <is>
          <t xml:space="preserve">   Share repurchases ($m; 2026E = 2H)</t>
        </is>
      </c>
      <c r="O40" s="102" t="n"/>
      <c r="P40" s="248" t="n">
        <v>835</v>
      </c>
      <c r="Q40" s="248" t="n">
        <v>4459.89379655367</v>
      </c>
      <c r="R40" s="248" t="n">
        <v>3320.64418086651</v>
      </c>
      <c r="S40" s="248" t="n">
        <v>3727.0552914029</v>
      </c>
      <c r="T40" s="248" t="n">
        <v>4125.32726293181</v>
      </c>
      <c r="Z40" s="83" t="n"/>
      <c r="AA40" s="102" t="n"/>
      <c r="AB40" s="103" t="n">
        <v>535</v>
      </c>
      <c r="AC40" s="103" t="n">
        <v>1371.18401179893</v>
      </c>
      <c r="AD40" s="103" t="n">
        <v>2311.24065701101</v>
      </c>
      <c r="AE40" s="103" t="n">
        <v>2326.30105242082</v>
      </c>
      <c r="AF40" s="103" t="n">
        <v>2306.19902247772</v>
      </c>
    </row>
    <row r="41" ht="15" customHeight="1" s="251">
      <c r="B41" s="252" t="inlineStr">
        <is>
          <t xml:space="preserve">   Implied avg buyback price ($)</t>
        </is>
      </c>
      <c r="C41" s="102" t="n"/>
      <c r="D41" s="249">
        <f>Model!CA301</f>
        <v>470</v>
      </c>
      <c r="E41" s="249">
        <f>Model!CB301</f>
        <v>507.6</v>
      </c>
      <c r="F41" s="249">
        <f>Model!CC301</f>
        <v>548.208</v>
      </c>
      <c r="G41" s="249">
        <f>Model!CD301</f>
        <v>592.06464</v>
      </c>
      <c r="H41" s="249">
        <f>Model!CE301</f>
        <v>639.4298112</v>
      </c>
      <c r="N41" s="252" t="inlineStr">
        <is>
          <t xml:space="preserve">   Implied avg buyback price ($)</t>
        </is>
      </c>
      <c r="O41" s="102" t="n"/>
      <c r="P41" s="249" t="n">
        <v>470</v>
      </c>
      <c r="Q41" s="249" t="n">
        <v>507.6</v>
      </c>
      <c r="R41" s="249" t="n">
        <v>548.208</v>
      </c>
      <c r="S41" s="249" t="n">
        <v>592.0646400000001</v>
      </c>
      <c r="T41" s="249" t="n">
        <v>639.4298112</v>
      </c>
      <c r="Z41" s="83" t="n"/>
      <c r="AA41" s="102" t="n"/>
      <c r="AB41" s="103" t="n">
        <v>470</v>
      </c>
      <c r="AC41" s="103" t="n">
        <v>507.6</v>
      </c>
      <c r="AD41" s="103" t="n">
        <v>548.208</v>
      </c>
      <c r="AE41" s="103" t="n">
        <v>592.0646400000001</v>
      </c>
      <c r="AF41" s="103" t="n">
        <v>639.4298112</v>
      </c>
    </row>
    <row r="42" ht="15" customHeight="1" s="251">
      <c r="B42" s="252" t="inlineStr">
        <is>
          <t xml:space="preserve">   Shares repurchased (m)</t>
        </is>
      </c>
      <c r="C42" s="102" t="n"/>
      <c r="D42" s="250">
        <f>Model!CA303</f>
        <v>1.45744680851064</v>
      </c>
      <c r="E42" s="250">
        <f>Model!CB303</f>
        <v>6.07219780013439</v>
      </c>
      <c r="F42" s="250">
        <f>Model!CC303</f>
        <v>5.43689964583732</v>
      </c>
      <c r="G42" s="250">
        <f>Model!CD303</f>
        <v>5.42376843336429</v>
      </c>
      <c r="H42" s="250">
        <f>Model!CE303</f>
        <v>5.3443353193577</v>
      </c>
      <c r="N42" s="252" t="inlineStr">
        <is>
          <t xml:space="preserve">   Shares repurchased (m)</t>
        </is>
      </c>
      <c r="O42" s="102" t="n"/>
      <c r="P42" s="250" t="n">
        <v>1.77659574468085</v>
      </c>
      <c r="Q42" s="250" t="n">
        <v>8.786236793840949</v>
      </c>
      <c r="R42" s="250" t="n">
        <v>6.0572705631193</v>
      </c>
      <c r="S42" s="250" t="n">
        <v>6.29501415825626</v>
      </c>
      <c r="T42" s="250" t="n">
        <v>6.45157168257439</v>
      </c>
      <c r="Z42" s="83" t="n"/>
      <c r="AA42" s="102" t="n"/>
      <c r="AB42" s="103" t="n">
        <v>1.13829787234043</v>
      </c>
      <c r="AC42" s="103" t="n">
        <v>2.70130813987181</v>
      </c>
      <c r="AD42" s="103" t="n">
        <v>4.21599220918156</v>
      </c>
      <c r="AE42" s="103" t="n">
        <v>3.92913356963999</v>
      </c>
      <c r="AF42" s="103" t="n">
        <v>3.60664920853431</v>
      </c>
    </row>
    <row r="44" ht="15" customHeight="1" s="251">
      <c r="B44" s="79" t="inlineStr">
        <is>
          <t>ROIC</t>
        </is>
      </c>
      <c r="C44" s="86">
        <f>Model!BV400</f>
        <v>0.329049688977113</v>
      </c>
      <c r="D44" s="87">
        <f>Model!CA400</f>
        <v>0.361766606382173</v>
      </c>
      <c r="E44" s="87">
        <f>Model!CB400</f>
        <v>0.386152259211172</v>
      </c>
      <c r="F44" s="87">
        <f>Model!CC400</f>
        <v>0.411672077297835</v>
      </c>
      <c r="G44" s="87">
        <f>Model!CD400</f>
        <v>0.436620863691381</v>
      </c>
      <c r="H44" s="87">
        <f>Model!CE400</f>
        <v>0.460603704838279</v>
      </c>
      <c r="J44" s="90">
        <f>IFERROR(AVERAGE(Model!C400,Model!D400,Model!E400,Model!F400,Model!G400,Model!H400,Model!I400,Model!N400,Model!S400,Model!X400,Model!AC400,Model!AH400,Model!AM400,Model!AR400,Model!AW400,Model!BB400,Model!BG400,Model!BL400,Model!BQ400,Model!BV400),"")</f>
        <v>0.387347122568723</v>
      </c>
      <c r="K44" s="90">
        <f>IFERROR(MIN(Model!C400,Model!D400,Model!E400,Model!F400,Model!G400,Model!H400,Model!I400,Model!N400,Model!S400,Model!X400,Model!AC400,Model!AH400,Model!AM400,Model!AR400,Model!AW400,Model!BB400,Model!BG400,Model!BL400,Model!BQ400,Model!BV400),"")</f>
        <v>0.208933003495708</v>
      </c>
      <c r="L44" s="90">
        <f>IFERROR(MAX(Model!C400,Model!D400,Model!E400,Model!F400,Model!G400,Model!H400,Model!I400,Model!N400,Model!S400,Model!X400,Model!AC400,Model!AH400,Model!AM400,Model!AR400,Model!AW400,Model!BB400,Model!BG400,Model!BL400,Model!BQ400,Model!BV400),"")</f>
        <v>1.09064074867301</v>
      </c>
      <c r="N44" s="79" t="inlineStr">
        <is>
          <t>ROIC</t>
        </is>
      </c>
      <c r="O44" s="86" t="n">
        <v>0.329049688977113</v>
      </c>
      <c r="P44" s="87" t="n">
        <v>0.367106300039596</v>
      </c>
      <c r="Q44" s="87" t="n">
        <v>0.395675670440832</v>
      </c>
      <c r="R44" s="87" t="n">
        <v>0.420581018152951</v>
      </c>
      <c r="S44" s="87" t="n">
        <v>0.445730803930192</v>
      </c>
      <c r="T44" s="87" t="n">
        <v>0.470871508103634</v>
      </c>
      <c r="V44" s="90" t="n">
        <v>0.387347122568723</v>
      </c>
      <c r="W44" s="90" t="n">
        <v>0.208933003495708</v>
      </c>
      <c r="X44" s="90" t="n">
        <v>1.09064074867301</v>
      </c>
      <c r="Z44" s="79" t="inlineStr">
        <is>
          <t>ROIC</t>
        </is>
      </c>
      <c r="AA44" s="86" t="n">
        <v>0.329049688977113</v>
      </c>
      <c r="AB44" s="87" t="n">
        <v>0.356432984504879</v>
      </c>
      <c r="AC44" s="87" t="n">
        <v>0.353592996587725</v>
      </c>
      <c r="AD44" s="87" t="n">
        <v>0.367863799611018</v>
      </c>
      <c r="AE44" s="87" t="n">
        <v>0.380571429046689</v>
      </c>
      <c r="AF44" s="87" t="n">
        <v>0.391453103358444</v>
      </c>
      <c r="AH44" s="90" t="n">
        <v>0.387347122568723</v>
      </c>
      <c r="AI44" s="90" t="n">
        <v>0.208933003495708</v>
      </c>
      <c r="AJ44" s="90" t="n">
        <v>1.09064074867301</v>
      </c>
    </row>
    <row r="45" ht="15" customHeight="1" s="251">
      <c r="B45" s="79" t="inlineStr">
        <is>
          <t>RONTA (n/m where net tangible assets ≤ 0)</t>
        </is>
      </c>
      <c r="C45" s="86">
        <f>Model!BV411</f>
        <v>0.623946658339917</v>
      </c>
      <c r="D45" s="87">
        <f>Model!CA411</f>
        <v>0.720333506571523</v>
      </c>
      <c r="E45" s="87">
        <f>Model!CB411</f>
        <v>0.82799710708347</v>
      </c>
      <c r="F45" s="87">
        <f>Model!CC411</f>
        <v>0.869411384582908</v>
      </c>
      <c r="G45" s="87">
        <f>Model!CD411</f>
        <v>0.915660711634444</v>
      </c>
      <c r="H45" s="87">
        <f>Model!CE411</f>
        <v>0.96116251503665</v>
      </c>
      <c r="J45" s="90">
        <f>IFERROR(AVERAGE(Model!C411,Model!D411,Model!E411,Model!F411,Model!G411,Model!H411,Model!I411,Model!N411,Model!S411,Model!X411,Model!AC411,Model!AH411,Model!AM411,Model!AR411,Model!AW411,Model!BB411,Model!BG411,Model!BL411,Model!BQ411,Model!BV411),"")</f>
        <v>0.607280828976088</v>
      </c>
      <c r="K45" s="90">
        <f>IFERROR(MIN(Model!C411,Model!D411,Model!E411,Model!F411,Model!G411,Model!H411,Model!I411,Model!N411,Model!S411,Model!X411,Model!AC411,Model!AH411,Model!AM411,Model!AR411,Model!AW411,Model!BB411,Model!BG411,Model!BL411,Model!BQ411,Model!BV411),"")</f>
        <v>0.367510884039259</v>
      </c>
      <c r="L45" s="90">
        <f>IFERROR(MAX(Model!C411,Model!D411,Model!E411,Model!F411,Model!G411,Model!H411,Model!I411,Model!N411,Model!S411,Model!X411,Model!AC411,Model!AH411,Model!AM411,Model!AR411,Model!AW411,Model!BB411,Model!BG411,Model!BL411,Model!BQ411,Model!BV411),"")</f>
        <v>1.49617307768359</v>
      </c>
      <c r="N45" s="79" t="inlineStr">
        <is>
          <t>RONTA (n/m where net tangible assets ≤ 0)</t>
        </is>
      </c>
      <c r="O45" s="86" t="n">
        <v>0.623946658339917</v>
      </c>
      <c r="P45" s="87" t="n">
        <v>0.7491327838084511</v>
      </c>
      <c r="Q45" s="87" t="n">
        <v>0.899594030471795</v>
      </c>
      <c r="R45" s="87" t="n">
        <v>0.983456100984509</v>
      </c>
      <c r="S45" s="87" t="n">
        <v>1.0732441488432</v>
      </c>
      <c r="T45" s="87" t="n">
        <v>1.16575439324318</v>
      </c>
      <c r="V45" s="90" t="n">
        <v>0.607280828976088</v>
      </c>
      <c r="W45" s="90" t="n">
        <v>0.367510884039259</v>
      </c>
      <c r="X45" s="90" t="n">
        <v>1.49617307768359</v>
      </c>
      <c r="Z45" s="79" t="inlineStr">
        <is>
          <t>RONTA (n/m where net tangible assets ≤ 0)</t>
        </is>
      </c>
      <c r="AA45" s="86" t="n">
        <v>0.623946658339917</v>
      </c>
      <c r="AB45" s="87" t="n">
        <v>0.69294911788127</v>
      </c>
      <c r="AC45" s="87" t="n">
        <v>0.525966847093878</v>
      </c>
      <c r="AD45" s="87" t="n">
        <v>0.5026140763722829</v>
      </c>
      <c r="AE45" s="87" t="n">
        <v>0.481636630429403</v>
      </c>
      <c r="AF45" s="87" t="n">
        <v>0.461279385947199</v>
      </c>
      <c r="AH45" s="90" t="n">
        <v>0.607280828976088</v>
      </c>
      <c r="AI45" s="90" t="n">
        <v>0.367510884039259</v>
      </c>
      <c r="AJ45" s="90" t="n">
        <v>1.49617307768359</v>
      </c>
    </row>
    <row r="47" ht="15" customHeight="1" s="251">
      <c r="B47" s="83" t="inlineStr">
        <is>
          <t>Implied Market Cap (USDm)</t>
        </is>
      </c>
      <c r="E47" s="104" t="n"/>
      <c r="F47" s="104">
        <f>F27*F21</f>
        <v>104209.147601624</v>
      </c>
      <c r="G47" s="104">
        <f>G27*G21</f>
        <v>111817.464044765</v>
      </c>
      <c r="H47" s="104">
        <f>H27*H21</f>
        <v>119476.127894505</v>
      </c>
      <c r="N47" s="83" t="inlineStr">
        <is>
          <t>Implied Market Cap (USDm)</t>
        </is>
      </c>
      <c r="Q47" s="104" t="n"/>
      <c r="R47" s="104">
        <f>R27*R21</f>
        <v>126355.726259771</v>
      </c>
      <c r="S47" s="104">
        <f>S27*S21</f>
        <v>139112.136371285</v>
      </c>
      <c r="T47" s="104">
        <f>T27*T21</f>
        <v>152494.963776635</v>
      </c>
      <c r="Z47" s="83" t="inlineStr">
        <is>
          <t>Implied Market Cap (USDm)</t>
        </is>
      </c>
      <c r="AC47" s="104" t="n"/>
      <c r="AD47" s="104">
        <f>AD27*AD21</f>
        <v>69373.1465288454</v>
      </c>
      <c r="AE47" s="104">
        <f>AE27*AE21</f>
        <v>71183.9478918386</v>
      </c>
      <c r="AF47" s="104">
        <f>AF27*AF21</f>
        <v>72709.9757185724</v>
      </c>
    </row>
    <row r="48" ht="15" customHeight="1" s="251">
      <c r="B48" s="83" t="inlineStr">
        <is>
          <t>(+) Net Debt &amp; NCI</t>
        </is>
      </c>
      <c r="E48" s="104" t="n"/>
      <c r="F48" s="104">
        <f>F38+Model!CC332</f>
        <v>6438.52735381988</v>
      </c>
      <c r="G48" s="104">
        <f>G38+Model!CD332</f>
        <v>6918.22859483085</v>
      </c>
      <c r="H48" s="104">
        <f>H38+Model!CE332</f>
        <v>7400.81710848119</v>
      </c>
      <c r="N48" s="83" t="inlineStr">
        <is>
          <t>(+) Net Debt &amp; NCI</t>
        </is>
      </c>
      <c r="Q48" s="104" t="n"/>
      <c r="R48" s="104">
        <f>R38+Model!CC332</f>
        <v>8327.86777970332</v>
      </c>
      <c r="S48" s="104">
        <f>S38+Model!CD332</f>
        <v>9178.1158042529</v>
      </c>
      <c r="T48" s="104">
        <f>T38+Model!CE332</f>
        <v>10068.5349424745</v>
      </c>
      <c r="Z48" s="83" t="inlineStr">
        <is>
          <t>(+) Net Debt &amp; NCI</t>
        </is>
      </c>
      <c r="AC48" s="104" t="n"/>
      <c r="AD48" s="104">
        <f>AD38+Model!CC332</f>
        <v>4491.5498513</v>
      </c>
      <c r="AE48" s="104">
        <f>AE38+Model!CD332</f>
        <v>4628.56606132138</v>
      </c>
      <c r="AF48" s="104">
        <f>AF38+Model!CE332</f>
        <v>4749.47213993942</v>
      </c>
    </row>
    <row r="49" ht="15" customHeight="1" s="251">
      <c r="B49" s="83" t="inlineStr">
        <is>
          <t>Implied Enterprise Value (USDm)</t>
        </is>
      </c>
      <c r="E49" s="104" t="n"/>
      <c r="F49" s="104">
        <f>F47+F48</f>
        <v>110647.674955443</v>
      </c>
      <c r="G49" s="104">
        <f>G47+G48</f>
        <v>118735.692639596</v>
      </c>
      <c r="H49" s="104">
        <f>H47+H48</f>
        <v>126876.945002987</v>
      </c>
      <c r="N49" s="83" t="inlineStr">
        <is>
          <t>Implied Enterprise Value (USDm)</t>
        </is>
      </c>
      <c r="Q49" s="104" t="n"/>
      <c r="R49" s="104">
        <f>R47+R48</f>
        <v>134683.594039474</v>
      </c>
      <c r="S49" s="104">
        <f>S47+S48</f>
        <v>148290.252175538</v>
      </c>
      <c r="T49" s="104">
        <f>T47+T48</f>
        <v>162563.498719109</v>
      </c>
      <c r="Z49" s="83" t="inlineStr">
        <is>
          <t>Implied Enterprise Value (USDm)</t>
        </is>
      </c>
      <c r="AC49" s="104" t="n"/>
      <c r="AD49" s="104">
        <f>AD47+AD48</f>
        <v>73864.6963801454</v>
      </c>
      <c r="AE49" s="104">
        <f>AE47+AE48</f>
        <v>75812.51395316</v>
      </c>
      <c r="AF49" s="104">
        <f>AF47+AF48</f>
        <v>77459.4478585119</v>
      </c>
    </row>
    <row r="50" ht="15" customHeight="1" s="251">
      <c r="B50" s="83" t="inlineStr">
        <is>
          <t xml:space="preserve">   Implied EV / Adjusted Operating Income (x)</t>
        </is>
      </c>
      <c r="E50" s="105" t="n"/>
      <c r="F50" s="105">
        <f>IFERROR(F49/F35,"")</f>
        <v>21.8964608157143</v>
      </c>
      <c r="G50" s="105">
        <f>IFERROR(G49/G35,"")</f>
        <v>21.851387026704</v>
      </c>
      <c r="H50" s="105">
        <f>IFERROR(H49/H35,"")</f>
        <v>21.8127039763847</v>
      </c>
      <c r="N50" s="83" t="inlineStr">
        <is>
          <t xml:space="preserve">   Implied EV / Adjusted Operating Income (x)</t>
        </is>
      </c>
      <c r="Q50" s="105" t="n"/>
      <c r="R50" s="105">
        <f>IFERROR(R49/R35,"")</f>
        <v>24.6196254293675</v>
      </c>
      <c r="S50" s="105">
        <f>IFERROR(S49/S35,"")</f>
        <v>24.5727499596063</v>
      </c>
      <c r="T50" s="105">
        <f>IFERROR(T49/T35,"")</f>
        <v>24.5353313632312</v>
      </c>
      <c r="Z50" s="83" t="inlineStr">
        <is>
          <t xml:space="preserve">   Implied EV / Adjusted Operating Income (x)</t>
        </is>
      </c>
      <c r="AC50" s="105" t="n"/>
      <c r="AD50" s="105">
        <f>IFERROR(AD49/AD35,"")</f>
        <v>16.9044178219341</v>
      </c>
      <c r="AE50" s="105">
        <f>IFERROR(AE49/AE35,"")</f>
        <v>16.8376239061579</v>
      </c>
      <c r="AF50" s="105">
        <f>IFERROR(AF49/AF35,"")</f>
        <v>16.7680300934833</v>
      </c>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Q130"/>
  <sheetViews>
    <sheetView showGridLines="0" zoomScale="50" zoomScaleNormal="50" workbookViewId="0">
      <selection activeCell="D61" sqref="D61"/>
    </sheetView>
  </sheetViews>
  <sheetFormatPr baseColWidth="8" defaultColWidth="8.5703125" defaultRowHeight="15"/>
  <cols>
    <col width="3.42578125" customWidth="1" style="251" min="1" max="1"/>
    <col width="55.28515625" customWidth="1" style="251" min="2" max="2"/>
    <col width="12.5703125" customWidth="1" style="251" min="3" max="14"/>
    <col width="2.28515625" customWidth="1" style="251" min="15" max="15"/>
    <col width="14.85546875" customWidth="1" style="251" min="16" max="17"/>
  </cols>
  <sheetData>
    <row r="1">
      <c r="A1" s="192" t="n"/>
      <c r="B1" s="192" t="n"/>
      <c r="C1" s="192" t="n"/>
      <c r="D1" s="192" t="n"/>
      <c r="E1" s="192" t="n"/>
      <c r="F1" s="192" t="n"/>
      <c r="G1" s="192" t="n"/>
      <c r="H1" s="192" t="n"/>
      <c r="I1" s="192" t="n"/>
      <c r="J1" s="192" t="n"/>
      <c r="K1" s="192" t="n"/>
      <c r="L1" s="192" t="n"/>
      <c r="M1" s="192" t="n"/>
      <c r="N1" s="192" t="n"/>
      <c r="O1" s="192" t="n"/>
      <c r="P1" s="192" t="n"/>
      <c r="Q1" s="192" t="n"/>
    </row>
    <row r="2" ht="24" customHeight="1" s="251">
      <c r="A2" s="192" t="n"/>
      <c r="B2" s="193" t="inlineStr">
        <is>
          <t>DCF VALUATION — MOODY'S CORPORATION (MCO)</t>
        </is>
      </c>
      <c r="C2" s="194" t="n"/>
      <c r="D2" s="194" t="n"/>
      <c r="E2" s="194" t="n"/>
      <c r="F2" s="194" t="n"/>
      <c r="G2" s="194" t="n"/>
      <c r="H2" s="194" t="n"/>
      <c r="I2" s="194" t="n"/>
      <c r="J2" s="194" t="n"/>
      <c r="K2" s="194" t="n"/>
      <c r="L2" s="194" t="n"/>
      <c r="M2" s="194" t="n"/>
      <c r="N2" s="194" t="n"/>
      <c r="O2" s="192" t="n"/>
      <c r="P2" s="192" t="n"/>
      <c r="Q2" s="192" t="n"/>
    </row>
    <row r="3" ht="15" customHeight="1" s="251">
      <c r="A3" s="192" t="n"/>
      <c r="B3" s="192" t="n"/>
      <c r="C3" s="192" t="n"/>
      <c r="D3" s="192" t="n"/>
      <c r="E3" s="192" t="n"/>
      <c r="F3" s="192" t="n"/>
      <c r="G3" s="192" t="n"/>
      <c r="H3" s="192" t="n"/>
      <c r="I3" s="192" t="n"/>
      <c r="J3" s="192" t="n"/>
      <c r="K3" s="192" t="n"/>
      <c r="L3" s="192" t="n"/>
      <c r="M3" s="192" t="n"/>
      <c r="N3" s="192" t="n"/>
      <c r="O3" s="192" t="n"/>
      <c r="P3" s="192" t="n"/>
      <c r="Q3" s="192" t="n"/>
    </row>
    <row r="4" ht="15.75" customHeight="1" s="251">
      <c r="A4" s="192" t="n"/>
      <c r="B4" s="195" t="inlineStr">
        <is>
          <t>1. WACC BUILD</t>
        </is>
      </c>
      <c r="C4" s="196" t="n"/>
      <c r="D4" s="196" t="n"/>
      <c r="E4" s="196" t="n"/>
      <c r="F4" s="196" t="n"/>
      <c r="G4" s="196" t="n"/>
      <c r="H4" s="196" t="n"/>
      <c r="I4" s="196" t="n"/>
      <c r="J4" s="196" t="n"/>
      <c r="K4" s="196" t="n"/>
      <c r="L4" s="196" t="n"/>
      <c r="M4" s="196" t="n"/>
      <c r="N4" s="196" t="n"/>
      <c r="O4" s="192" t="n"/>
      <c r="P4" s="192" t="n"/>
      <c r="Q4" s="192" t="n"/>
    </row>
    <row r="5" ht="15.75" customHeight="1" s="251">
      <c r="A5" s="192" t="n"/>
      <c r="B5" s="197" t="inlineStr">
        <is>
          <t>Risk-free rate (US 10Y govt)</t>
        </is>
      </c>
      <c r="C5" s="169" t="n">
        <v>0.0425</v>
      </c>
      <c r="D5" s="198" t="inlineStr">
        <is>
          <t>Assumption (~US 10Y Treasury yield, Oct-2026; government rate sources are not reachable from the build environment); update to market</t>
        </is>
      </c>
      <c r="E5" s="192" t="n"/>
      <c r="F5" s="192" t="n"/>
      <c r="G5" s="192" t="n"/>
      <c r="H5" s="192" t="n"/>
      <c r="I5" s="192" t="n"/>
      <c r="J5" s="192" t="n"/>
      <c r="K5" s="192" t="n"/>
      <c r="L5" s="192" t="n"/>
      <c r="M5" s="192" t="n"/>
      <c r="N5" s="192" t="n"/>
      <c r="O5" s="192" t="n"/>
      <c r="P5" s="192" t="n"/>
      <c r="Q5" s="192" t="n"/>
    </row>
    <row r="6" ht="15.75" customHeight="1" s="251">
      <c r="A6" s="192" t="n"/>
      <c r="B6" s="197" t="inlineStr">
        <is>
          <t>Equity risk premium</t>
        </is>
      </c>
      <c r="C6" s="169" t="n">
        <v>0.05</v>
      </c>
      <c r="D6" s="198" t="inlineStr">
        <is>
          <t>Assumption: US implied ERP ~4.5–5.5%</t>
        </is>
      </c>
      <c r="E6" s="192" t="n"/>
      <c r="F6" s="192" t="n"/>
      <c r="G6" s="192" t="n"/>
      <c r="H6" s="192" t="n"/>
      <c r="I6" s="192" t="n"/>
      <c r="J6" s="192" t="n"/>
      <c r="K6" s="192" t="n"/>
      <c r="L6" s="192" t="n"/>
      <c r="M6" s="192" t="n"/>
      <c r="N6" s="192" t="n"/>
      <c r="O6" s="192" t="n"/>
      <c r="P6" s="192" t="n"/>
      <c r="Q6" s="192" t="n"/>
    </row>
    <row r="7" ht="15.75" customHeight="1" s="251">
      <c r="A7" s="192" t="n"/>
      <c r="B7" s="197" t="inlineStr">
        <is>
          <t>Levered beta</t>
        </is>
      </c>
      <c r="C7" s="170" t="n">
        <v>1.1</v>
      </c>
      <c r="D7" s="198" t="inlineStr">
        <is>
          <t>Assumption: financial data / ratings peers (SPGI, MSCI, FDS, ICE) ~0.9–1.2; MIS issuance-driven revenue (~55% of total) adds cyclicality to the recurring MA base</t>
        </is>
      </c>
      <c r="E7" s="192" t="n"/>
      <c r="F7" s="192" t="n"/>
      <c r="G7" s="192" t="n"/>
      <c r="H7" s="192" t="n"/>
      <c r="I7" s="192" t="n"/>
      <c r="J7" s="192" t="n"/>
      <c r="K7" s="192" t="n"/>
      <c r="L7" s="192" t="n"/>
      <c r="M7" s="192" t="n"/>
      <c r="N7" s="192" t="n"/>
      <c r="O7" s="192" t="n"/>
      <c r="P7" s="192" t="n"/>
      <c r="Q7" s="192" t="n"/>
    </row>
    <row r="8" ht="15.75" customHeight="1" s="251">
      <c r="A8" s="192" t="n"/>
      <c r="B8" s="197" t="inlineStr">
        <is>
          <t>Cost of equity</t>
        </is>
      </c>
      <c r="C8" s="171">
        <f>C5+C7*C6</f>
        <v>0.0975</v>
      </c>
      <c r="D8" s="198" t="n"/>
      <c r="E8" s="192" t="n"/>
      <c r="F8" s="192" t="n"/>
      <c r="G8" s="192" t="n"/>
      <c r="H8" s="192" t="n"/>
      <c r="I8" s="192" t="n"/>
      <c r="J8" s="192" t="n"/>
      <c r="K8" s="192" t="n"/>
      <c r="L8" s="192" t="n"/>
      <c r="M8" s="192" t="n"/>
      <c r="N8" s="192" t="n"/>
      <c r="O8" s="192" t="n"/>
      <c r="P8" s="192" t="n"/>
      <c r="Q8" s="192" t="n"/>
    </row>
    <row r="9" ht="15.75" customHeight="1" s="251">
      <c r="A9" s="192" t="n"/>
      <c r="B9" s="197" t="inlineStr">
        <is>
          <t>Pre-tax cost of debt</t>
        </is>
      </c>
      <c r="C9" s="169" t="n">
        <v>0.05</v>
      </c>
      <c r="D9" s="198" t="inlineStr">
        <is>
          <t>Aug-2024 $500m 5.00% senior notes due 2034 (latest issue; Q2-26 10-Q Note 13); marginal 10-year cost ~5.0% (assumption)</t>
        </is>
      </c>
      <c r="E9" s="192" t="n"/>
      <c r="F9" s="192" t="n"/>
      <c r="G9" s="192" t="n"/>
      <c r="H9" s="192" t="n"/>
      <c r="I9" s="192" t="n"/>
      <c r="J9" s="192" t="n"/>
      <c r="K9" s="192" t="n"/>
      <c r="L9" s="192" t="n"/>
      <c r="M9" s="192" t="n"/>
      <c r="N9" s="192" t="n"/>
      <c r="O9" s="192" t="n"/>
      <c r="P9" s="192" t="n"/>
      <c r="Q9" s="192" t="n"/>
    </row>
    <row r="10" ht="15.75" customHeight="1" s="251">
      <c r="A10" s="192" t="n"/>
      <c r="B10" s="197" t="inlineStr">
        <is>
          <t>Tax rate</t>
        </is>
      </c>
      <c r="C10" s="169" t="n">
        <v>0.24</v>
      </c>
      <c r="D10" s="198" t="inlineStr">
        <is>
          <t>Model 2027E+ effective tax rate (FY26 ETR guidance 23–25%)</t>
        </is>
      </c>
      <c r="E10" s="192" t="n"/>
      <c r="F10" s="192" t="n"/>
      <c r="G10" s="192" t="n"/>
      <c r="H10" s="192" t="n"/>
      <c r="I10" s="192" t="n"/>
      <c r="J10" s="192" t="n"/>
      <c r="K10" s="192" t="n"/>
      <c r="L10" s="192" t="n"/>
      <c r="M10" s="192" t="n"/>
      <c r="N10" s="192" t="n"/>
      <c r="O10" s="192" t="n"/>
      <c r="P10" s="192" t="n"/>
      <c r="Q10" s="192" t="n"/>
    </row>
    <row r="11" ht="15.75" customHeight="1" s="251">
      <c r="A11" s="192" t="n"/>
      <c r="B11" s="197" t="inlineStr">
        <is>
          <t>After-tax cost of debt</t>
        </is>
      </c>
      <c r="C11" s="171">
        <f>C9*(1-C10)</f>
        <v>0.038</v>
      </c>
      <c r="D11" s="198" t="n"/>
      <c r="E11" s="192" t="n"/>
      <c r="F11" s="192" t="n"/>
      <c r="G11" s="192" t="n"/>
      <c r="H11" s="192" t="n"/>
      <c r="I11" s="192" t="n"/>
      <c r="J11" s="192" t="n"/>
      <c r="K11" s="192" t="n"/>
      <c r="L11" s="192" t="n"/>
      <c r="M11" s="192" t="n"/>
      <c r="N11" s="192" t="n"/>
      <c r="O11" s="192" t="n"/>
      <c r="P11" s="192" t="n"/>
      <c r="Q11" s="192" t="n"/>
    </row>
    <row r="12" ht="15.75" customHeight="1" s="251">
      <c r="A12" s="192" t="n"/>
      <c r="B12" s="197" t="inlineStr">
        <is>
          <t>Target D/V</t>
        </is>
      </c>
      <c r="C12" s="169" t="n">
        <v>0.08</v>
      </c>
      <c r="D12" s="198" t="inlineStr">
        <is>
          <t>Total debt ~$6.9bn at 30-Jun-2026 vs ~$82bn market cap ($470 × ~174m diluted shares); net debt ~1.3x Adjusted Operating Income</t>
        </is>
      </c>
      <c r="E12" s="192" t="n"/>
      <c r="F12" s="192" t="n"/>
      <c r="G12" s="192" t="n"/>
      <c r="H12" s="192" t="n"/>
      <c r="I12" s="192" t="n"/>
      <c r="J12" s="192" t="n"/>
      <c r="K12" s="192" t="n"/>
      <c r="L12" s="192" t="n"/>
      <c r="M12" s="192" t="n"/>
      <c r="N12" s="192" t="n"/>
      <c r="O12" s="192" t="n"/>
      <c r="P12" s="192" t="n"/>
      <c r="Q12" s="192" t="n"/>
    </row>
    <row r="13" ht="15.75" customHeight="1" s="251">
      <c r="A13" s="192" t="n"/>
      <c r="B13" s="199" t="inlineStr">
        <is>
          <t>WACC</t>
        </is>
      </c>
      <c r="C13" s="216">
        <f>C8*(1-C12)+C11*C12</f>
        <v>0.09274</v>
      </c>
      <c r="D13" s="198" t="n"/>
      <c r="E13" s="192" t="n"/>
      <c r="F13" s="192" t="n"/>
      <c r="G13" s="192" t="n"/>
      <c r="H13" s="192" t="n"/>
      <c r="I13" s="192" t="n"/>
      <c r="J13" s="192" t="n"/>
      <c r="K13" s="192" t="n"/>
      <c r="L13" s="192" t="n"/>
      <c r="M13" s="192" t="n"/>
      <c r="N13" s="192" t="n"/>
      <c r="O13" s="192" t="n"/>
      <c r="P13" s="192" t="n"/>
      <c r="Q13" s="192" t="n"/>
    </row>
    <row r="14" ht="15" customHeight="1" s="251">
      <c r="A14" s="192" t="n"/>
      <c r="B14" s="192" t="n"/>
      <c r="C14" s="192" t="n"/>
      <c r="D14" s="198" t="n"/>
      <c r="E14" s="192" t="n"/>
      <c r="F14" s="192" t="n"/>
      <c r="G14" s="192" t="n"/>
      <c r="H14" s="192" t="n"/>
      <c r="I14" s="192" t="n"/>
      <c r="J14" s="192" t="n"/>
      <c r="K14" s="192" t="n"/>
      <c r="L14" s="192" t="n"/>
      <c r="M14" s="192" t="n"/>
      <c r="N14" s="192" t="n"/>
      <c r="O14" s="192" t="n"/>
      <c r="P14" s="192" t="n"/>
      <c r="Q14" s="192" t="n"/>
    </row>
    <row r="15" ht="15.75" customHeight="1" s="251">
      <c r="A15" s="192" t="n"/>
      <c r="B15" s="197" t="inlineStr">
        <is>
          <t>Valuation date (live)</t>
        </is>
      </c>
      <c r="C15" s="172" t="str">
        <f>TODAY()</f>
        <v>2026-10-12 00:00:00</v>
      </c>
      <c r="D15" s="198" t="inlineStr">
        <is>
          <t>Periods = (31-Dec-Year − today) / 365.25; cash flows assumed at year-end. 2026E UFCF is shown but excluded from the sum (YE2026E net debt already reflects it)</t>
        </is>
      </c>
      <c r="E15" s="192" t="n"/>
      <c r="F15" s="192" t="n"/>
      <c r="G15" s="192" t="n"/>
      <c r="H15" s="192" t="n"/>
      <c r="I15" s="192" t="n"/>
      <c r="J15" s="192" t="n"/>
      <c r="K15" s="192" t="n"/>
      <c r="L15" s="192" t="n"/>
      <c r="M15" s="192" t="n"/>
      <c r="N15" s="192" t="n"/>
      <c r="O15" s="192" t="n"/>
      <c r="P15" s="192" t="n"/>
      <c r="Q15" s="192" t="n"/>
    </row>
    <row r="16" ht="15.75" customHeight="1" s="251">
      <c r="A16" s="192" t="n"/>
      <c r="B16" s="195" t="inlineStr">
        <is>
          <t>2. UNLEVERED FREE CASH FLOW BUILD (USDm)</t>
        </is>
      </c>
      <c r="C16" s="196" t="n"/>
      <c r="D16" s="196" t="n"/>
      <c r="E16" s="196" t="n"/>
      <c r="F16" s="196" t="n"/>
      <c r="G16" s="196" t="n"/>
      <c r="H16" s="196" t="n"/>
      <c r="I16" s="196" t="n"/>
      <c r="J16" s="196" t="n"/>
      <c r="K16" s="196" t="n"/>
      <c r="L16" s="196" t="n"/>
      <c r="M16" s="196" t="n"/>
      <c r="N16" s="196" t="n"/>
      <c r="O16" s="192" t="n"/>
      <c r="P16" s="201" t="n"/>
      <c r="Q16" s="201" t="n"/>
    </row>
    <row r="17" ht="15.75" customHeight="1" s="251">
      <c r="A17" s="192" t="n"/>
      <c r="B17" s="194" t="n"/>
      <c r="C17" s="194" t="n"/>
      <c r="D17" s="203" t="inlineStr">
        <is>
          <t>2026E</t>
        </is>
      </c>
      <c r="E17" s="203" t="inlineStr">
        <is>
          <t>2027E</t>
        </is>
      </c>
      <c r="F17" s="203" t="inlineStr">
        <is>
          <t>2028E</t>
        </is>
      </c>
      <c r="G17" s="203" t="inlineStr">
        <is>
          <t>2029E</t>
        </is>
      </c>
      <c r="H17" s="203" t="inlineStr">
        <is>
          <t>2030E</t>
        </is>
      </c>
      <c r="I17" s="203" t="inlineStr">
        <is>
          <t>2031E</t>
        </is>
      </c>
      <c r="J17" s="203" t="inlineStr">
        <is>
          <t>2032E</t>
        </is>
      </c>
      <c r="K17" s="203" t="inlineStr">
        <is>
          <t>2033E</t>
        </is>
      </c>
      <c r="L17" s="203" t="inlineStr">
        <is>
          <t>2034E</t>
        </is>
      </c>
      <c r="M17" s="203" t="inlineStr">
        <is>
          <t>2035E</t>
        </is>
      </c>
      <c r="N17" s="203" t="inlineStr">
        <is>
          <t>Terminal</t>
        </is>
      </c>
      <c r="O17" s="192" t="n"/>
      <c r="P17" s="204" t="inlineStr">
        <is>
          <t>CAGR 26–30E</t>
        </is>
      </c>
      <c r="Q17" s="204" t="inlineStr">
        <is>
          <t>CAGR 26–35E</t>
        </is>
      </c>
    </row>
    <row r="18" ht="15.75" customHeight="1" s="251">
      <c r="A18" s="192" t="n"/>
      <c r="B18" s="197" t="inlineStr">
        <is>
          <t>Adj. EBITA less restructuring &amp; other excluded cash items</t>
        </is>
      </c>
      <c r="C18" s="192" t="n"/>
      <c r="D18" s="173">
        <f>Model!CA224-Model!CA226</f>
        <v>3861.48199538074</v>
      </c>
      <c r="E18" s="173">
        <f>Model!CB224-Model!CB226</f>
        <v>4289.36980042413</v>
      </c>
      <c r="F18" s="173">
        <f>Model!CC224-Model!CC226</f>
        <v>4704.71049359008</v>
      </c>
      <c r="G18" s="173">
        <f>Model!CD224-Model!CD226</f>
        <v>5052.7480328474</v>
      </c>
      <c r="H18" s="173">
        <f>Model!CE224-Model!CE226</f>
        <v>5412.72467947324</v>
      </c>
      <c r="I18" s="174">
        <f>H18*(1+I$26)</f>
        <v>5791.61540703637</v>
      </c>
      <c r="J18" s="174">
        <f>I18*(1+J$26)</f>
        <v>6168.07040849373</v>
      </c>
      <c r="K18" s="174">
        <f>J18*(1+K$26)</f>
        <v>6538.15463300336</v>
      </c>
      <c r="L18" s="174">
        <f>K18*(1+L$26)</f>
        <v>6897.75313781854</v>
      </c>
      <c r="M18" s="174">
        <f>L18*(1+M$26)</f>
        <v>7242.64079470947</v>
      </c>
      <c r="N18" s="192" t="n"/>
      <c r="O18" s="192" t="n"/>
      <c r="P18" s="176">
        <f>(H18/D18)^(1/(COLUMNS(D18:H18)-1))-1</f>
        <v>0.0880916579413353</v>
      </c>
      <c r="Q18" s="176">
        <f>(M18/D18)^(1/(COLUMNS(D18:M18)-1))-1</f>
        <v>0.0723812567216482</v>
      </c>
    </row>
    <row r="19" ht="15.75" customHeight="1" s="251">
      <c r="A19" s="192" t="n"/>
      <c r="B19" s="197" t="inlineStr">
        <is>
          <t>× (1 − tax rate)</t>
        </is>
      </c>
      <c r="C19" s="192" t="n"/>
      <c r="D19" s="177">
        <f>1-$C$10</f>
        <v>0.76</v>
      </c>
      <c r="E19" s="177">
        <f>1-$C$10</f>
        <v>0.76</v>
      </c>
      <c r="F19" s="177">
        <f>1-$C$10</f>
        <v>0.76</v>
      </c>
      <c r="G19" s="177">
        <f>1-$C$10</f>
        <v>0.76</v>
      </c>
      <c r="H19" s="177">
        <f>1-$C$10</f>
        <v>0.76</v>
      </c>
      <c r="I19" s="177">
        <f>1-$C$10</f>
        <v>0.76</v>
      </c>
      <c r="J19" s="177">
        <f>1-$C$10</f>
        <v>0.76</v>
      </c>
      <c r="K19" s="177">
        <f>1-$C$10</f>
        <v>0.76</v>
      </c>
      <c r="L19" s="177">
        <f>1-$C$10</f>
        <v>0.76</v>
      </c>
      <c r="M19" s="177">
        <f>1-$C$10</f>
        <v>0.76</v>
      </c>
      <c r="N19" s="192" t="n"/>
      <c r="O19" s="192" t="n"/>
      <c r="P19" s="176" t="n"/>
      <c r="Q19" s="176" t="n"/>
    </row>
    <row r="20" ht="15.75" customHeight="1" s="251">
      <c r="A20" s="192" t="n"/>
      <c r="B20" s="199" t="inlineStr">
        <is>
          <t>NOPAT</t>
        </is>
      </c>
      <c r="C20" s="192" t="n"/>
      <c r="D20" s="174">
        <f>D18*D19</f>
        <v>2934.72631648936</v>
      </c>
      <c r="E20" s="174">
        <f>E18*E19</f>
        <v>3259.92104832234</v>
      </c>
      <c r="F20" s="174">
        <f>F18*F19</f>
        <v>3575.57997512846</v>
      </c>
      <c r="G20" s="174">
        <f>G18*G19</f>
        <v>3840.08850496403</v>
      </c>
      <c r="H20" s="174">
        <f>H18*H19</f>
        <v>4113.67075639966</v>
      </c>
      <c r="I20" s="174">
        <f>I18*I19</f>
        <v>4401.62770934764</v>
      </c>
      <c r="J20" s="174">
        <f>J18*J19</f>
        <v>4687.73351045524</v>
      </c>
      <c r="K20" s="174">
        <f>K18*K19</f>
        <v>4968.99752108255</v>
      </c>
      <c r="L20" s="174">
        <f>L18*L19</f>
        <v>5242.29238474209</v>
      </c>
      <c r="M20" s="174">
        <f>M18*M19</f>
        <v>5504.4070039792</v>
      </c>
      <c r="N20" s="192" t="n"/>
      <c r="O20" s="192" t="n"/>
      <c r="P20" s="176" t="n"/>
      <c r="Q20" s="176" t="n"/>
    </row>
    <row r="21" ht="15.75" customHeight="1" s="251">
      <c r="A21" s="192" t="n"/>
      <c r="B21" s="197" t="inlineStr">
        <is>
          <t>plus depreciation &amp; amortization excl. acquired intangibles</t>
        </is>
      </c>
      <c r="C21" s="192" t="n"/>
      <c r="D21" s="173">
        <f>Model!CA152</f>
        <v>278</v>
      </c>
      <c r="E21" s="173">
        <f>Model!CB152</f>
        <v>317.53591665363</v>
      </c>
      <c r="F21" s="173">
        <f>Model!CC152</f>
        <v>348.511389465819</v>
      </c>
      <c r="G21" s="173">
        <f>Model!CD152</f>
        <v>381.034843017274</v>
      </c>
      <c r="H21" s="173">
        <f>Model!CE152</f>
        <v>403.929007311705</v>
      </c>
      <c r="I21" s="174">
        <f>H21*(1+I$26)</f>
        <v>432.204037823525</v>
      </c>
      <c r="J21" s="174">
        <f>I21*(1+J$26)</f>
        <v>460.297300282054</v>
      </c>
      <c r="K21" s="174">
        <f>J21*(1+K$26)</f>
        <v>487.915138298977</v>
      </c>
      <c r="L21" s="174">
        <f>K21*(1+L$26)</f>
        <v>514.750470905421</v>
      </c>
      <c r="M21" s="174">
        <f>L21*(1+M$26)</f>
        <v>540.487994450692</v>
      </c>
      <c r="N21" s="192" t="n"/>
      <c r="O21" s="192" t="n"/>
      <c r="P21" s="176" t="n"/>
      <c r="Q21" s="176" t="n"/>
    </row>
    <row r="22" ht="15.75" customHeight="1" s="251">
      <c r="A22" s="192" t="n"/>
      <c r="B22" s="197" t="inlineStr">
        <is>
          <t>− Capex and acquisitions (M&amp;A lever 2027E–30E)</t>
        </is>
      </c>
      <c r="C22" s="192" t="n"/>
      <c r="D22" s="173">
        <f>Model!CA270</f>
        <v>-450</v>
      </c>
      <c r="E22" s="173">
        <f>Model!CB270+Model!CB271</f>
        <v>-658.66299072191</v>
      </c>
      <c r="F22" s="173">
        <f>Model!CC270+Model!CC271</f>
        <v>-670.961337115972</v>
      </c>
      <c r="G22" s="173">
        <f>Model!CD270+Model!CD271</f>
        <v>-701.361635549044</v>
      </c>
      <c r="H22" s="173">
        <f>Model!CE270+Model!CE271</f>
        <v>-731.485535936454</v>
      </c>
      <c r="I22" s="174">
        <f>Model!CE270*(1+I$26)</f>
        <v>-568.689523452006</v>
      </c>
      <c r="J22" s="174">
        <f>I22*(1+J$26)</f>
        <v>-605.654342476387</v>
      </c>
      <c r="K22" s="174">
        <f>J22*(1+K$26)</f>
        <v>-641.99360302497</v>
      </c>
      <c r="L22" s="174">
        <f>K22*(1+L$26)</f>
        <v>-677.303251191343</v>
      </c>
      <c r="M22" s="174">
        <f>L22*(1+M$26)</f>
        <v>-711.16841375091</v>
      </c>
      <c r="N22" s="192" t="n"/>
      <c r="O22" s="192" t="n"/>
      <c r="P22" s="176" t="n"/>
      <c r="Q22" s="176" t="n"/>
    </row>
    <row r="23" ht="15.75" customHeight="1" s="251">
      <c r="A23" s="192" t="n"/>
      <c r="B23" s="197" t="inlineStr">
        <is>
          <t>− Δ Working capital (CF statement)</t>
        </is>
      </c>
      <c r="C23" s="192" t="n"/>
      <c r="D23" s="173">
        <f>Model!CA268</f>
        <v>-7.86353506849287</v>
      </c>
      <c r="E23" s="173">
        <f>Model!CB268</f>
        <v>65.8117834428122</v>
      </c>
      <c r="F23" s="173">
        <f>Model!CC268</f>
        <v>66.4568895198192</v>
      </c>
      <c r="G23" s="173">
        <f>Model!CD268</f>
        <v>67.4803336725345</v>
      </c>
      <c r="H23" s="173">
        <f>Model!CE268</f>
        <v>66.8668057366565</v>
      </c>
      <c r="I23" s="174">
        <f>H23*(1+I$26)</f>
        <v>71.5474821382225</v>
      </c>
      <c r="J23" s="174">
        <f>I23*(1+J$26)</f>
        <v>76.1980684772069</v>
      </c>
      <c r="K23" s="174">
        <f>J23*(1+K$26)</f>
        <v>80.7699525858393</v>
      </c>
      <c r="L23" s="174">
        <f>K23*(1+L$26)</f>
        <v>85.2122999780605</v>
      </c>
      <c r="M23" s="174">
        <f>L23*(1+M$26)</f>
        <v>89.4729149769635</v>
      </c>
      <c r="N23" s="192" t="n"/>
      <c r="O23" s="192" t="n"/>
      <c r="P23" s="176" t="n"/>
      <c r="Q23" s="176" t="n"/>
    </row>
    <row r="24" ht="15.75" customHeight="1" s="251">
      <c r="A24" s="192" t="n"/>
      <c r="B24" s="217" t="inlineStr">
        <is>
          <t>Unlevered FCF</t>
        </is>
      </c>
      <c r="C24" s="218" t="n"/>
      <c r="D24" s="219">
        <f>D20+D21+D22+D23</f>
        <v>2754.86278142087</v>
      </c>
      <c r="E24" s="219">
        <f>E20+E21+E22+E23</f>
        <v>2984.60575769687</v>
      </c>
      <c r="F24" s="219">
        <f>F20+F21+F22+F23</f>
        <v>3319.58691699813</v>
      </c>
      <c r="G24" s="219">
        <f>G20+G21+G22+G23</f>
        <v>3587.24204610479</v>
      </c>
      <c r="H24" s="219">
        <f>H20+H21+H22+H23</f>
        <v>3852.98103351157</v>
      </c>
      <c r="I24" s="219">
        <f>I20+I21+I22+I23</f>
        <v>4336.68970585738</v>
      </c>
      <c r="J24" s="219">
        <f>J20+J21+J22+J23</f>
        <v>4618.57453673811</v>
      </c>
      <c r="K24" s="219">
        <f>K20+K21+K22+K23</f>
        <v>4895.6890089424</v>
      </c>
      <c r="L24" s="219">
        <f>L20+L21+L22+L23</f>
        <v>5164.95190443423</v>
      </c>
      <c r="M24" s="219">
        <f>M20+M21+M22+M23</f>
        <v>5423.19949965594</v>
      </c>
      <c r="N24" s="219">
        <f>M24*(1+$C$27)</f>
        <v>5640.12747964218</v>
      </c>
      <c r="O24" s="192" t="n"/>
      <c r="P24" s="181">
        <f>(H24/D24)^(1/(COLUMNS(D24:H24)-1))-1</f>
        <v>0.0874873777126441</v>
      </c>
      <c r="Q24" s="181">
        <f>(M24/D24)^(1/(COLUMNS(D24:M24)-1))-1</f>
        <v>0.0781618400982105</v>
      </c>
    </row>
    <row r="25" ht="15.75" customHeight="1" s="251">
      <c r="A25" s="192" t="n"/>
      <c r="B25" s="199" t="inlineStr">
        <is>
          <t>Terminal Value (Gordon Growth)</t>
        </is>
      </c>
      <c r="C25" s="192" t="n"/>
      <c r="D25" s="192" t="n"/>
      <c r="E25" s="192" t="n"/>
      <c r="F25" s="192" t="n"/>
      <c r="G25" s="192" t="n"/>
      <c r="H25" s="192" t="n"/>
      <c r="I25" s="192" t="n"/>
      <c r="J25" s="192" t="n"/>
      <c r="K25" s="192" t="n"/>
      <c r="L25" s="192" t="n"/>
      <c r="M25" s="192" t="n"/>
      <c r="N25" s="179">
        <f>N24/($C$13-$C$27)</f>
        <v>106942.121343234</v>
      </c>
      <c r="O25" s="192" t="n"/>
      <c r="P25" s="192" t="n"/>
      <c r="Q25" s="192" t="n"/>
    </row>
    <row r="26" ht="15.75" customHeight="1" s="251">
      <c r="A26" s="192" t="n"/>
      <c r="B26" s="197" t="inlineStr">
        <is>
          <t>Fade-period growth (2031E–35E; 7% → 5% linear)</t>
        </is>
      </c>
      <c r="C26" s="192" t="n"/>
      <c r="D26" s="192" t="n"/>
      <c r="E26" s="192" t="n"/>
      <c r="F26" s="192" t="n"/>
      <c r="G26" s="192" t="n"/>
      <c r="H26" s="192" t="n"/>
      <c r="I26" s="182" t="n">
        <v>0.07000000000000001</v>
      </c>
      <c r="J26" s="183">
        <f>I26+($M$26-$I$26)/4</f>
        <v>0.065</v>
      </c>
      <c r="K26" s="183">
        <f>J26+($M$26-$I$26)/4</f>
        <v>0.06</v>
      </c>
      <c r="L26" s="183">
        <f>K26+($M$26-$I$26)/4</f>
        <v>0.055</v>
      </c>
      <c r="M26" s="182" t="n">
        <v>0.05</v>
      </c>
      <c r="N26" s="192" t="n"/>
      <c r="O26" s="192" t="n"/>
      <c r="P26" s="192" t="n"/>
      <c r="Q26" s="192" t="n"/>
    </row>
    <row r="27" ht="15.75" customHeight="1" s="251">
      <c r="A27" s="192" t="n"/>
      <c r="B27" s="197" t="inlineStr">
        <is>
          <t>Terminal growth rate</t>
        </is>
      </c>
      <c r="C27" s="184" t="n">
        <v>0.04</v>
      </c>
      <c r="D27" s="192" t="n"/>
      <c r="E27" s="192" t="n"/>
      <c r="F27" s="192" t="n"/>
      <c r="G27" s="192" t="n"/>
      <c r="H27" s="192" t="n"/>
      <c r="I27" s="192" t="n"/>
      <c r="J27" s="192" t="n"/>
      <c r="K27" s="192" t="n"/>
      <c r="L27" s="192" t="n"/>
      <c r="M27" s="192" t="n"/>
      <c r="N27" s="192" t="n"/>
      <c r="O27" s="192" t="n"/>
      <c r="P27" s="192" t="n"/>
      <c r="Q27" s="192" t="n"/>
    </row>
    <row r="28" ht="15" customHeight="1" s="251">
      <c r="A28" s="192" t="n"/>
      <c r="B28" s="192" t="n"/>
      <c r="C28" s="192" t="n"/>
      <c r="D28" s="192" t="n"/>
      <c r="E28" s="192" t="n"/>
      <c r="F28" s="192" t="n"/>
      <c r="G28" s="192" t="n"/>
      <c r="H28" s="192" t="n"/>
      <c r="I28" s="192" t="n"/>
      <c r="J28" s="192" t="n"/>
      <c r="K28" s="192" t="n"/>
      <c r="L28" s="192" t="n"/>
      <c r="M28" s="192" t="n"/>
      <c r="N28" s="192" t="n"/>
      <c r="O28" s="192" t="n"/>
      <c r="P28" s="192" t="n"/>
      <c r="Q28" s="192" t="n"/>
    </row>
    <row r="29" ht="15.75" customHeight="1" s="251">
      <c r="A29" s="192" t="n"/>
      <c r="B29" s="197" t="inlineStr">
        <is>
          <t>Discount period (years)</t>
        </is>
      </c>
      <c r="C29" s="192" t="n"/>
      <c r="D29" s="177">
        <f>(DATE(2026,12,31)-$C$15)/365.25</f>
        <v>0.219028062970568</v>
      </c>
      <c r="E29" s="177">
        <f>(DATE(2027,12,31)-$C$15)/365.25</f>
        <v>1.21834360027379</v>
      </c>
      <c r="F29" s="177">
        <f>(DATE(2028,12,31)-$C$15)/365.25</f>
        <v>2.22039698836413</v>
      </c>
      <c r="G29" s="177">
        <f>(DATE(2029,12,31)-$C$15)/365.25</f>
        <v>3.21971252566735</v>
      </c>
      <c r="H29" s="177">
        <f>(DATE(2030,12,31)-$C$15)/365.25</f>
        <v>4.21902806297057</v>
      </c>
      <c r="I29" s="177">
        <f>(DATE(2031,12,31)-$C$15)/365.25</f>
        <v>5.21834360027379</v>
      </c>
      <c r="J29" s="177">
        <f>(DATE(2032,12,31)-$C$15)/365.25</f>
        <v>6.22039698836414</v>
      </c>
      <c r="K29" s="177">
        <f>(DATE(2033,12,31)-$C$15)/365.25</f>
        <v>7.21971252566735</v>
      </c>
      <c r="L29" s="177">
        <f>(DATE(2034,12,31)-$C$15)/365.25</f>
        <v>8.21902806297057</v>
      </c>
      <c r="M29" s="177">
        <f>(DATE(2035,12,31)-$C$15)/365.25</f>
        <v>9.21834360027379</v>
      </c>
      <c r="N29" s="177">
        <f>M29</f>
        <v>9.21834360027379</v>
      </c>
      <c r="O29" s="192" t="n"/>
      <c r="P29" s="192" t="n"/>
      <c r="Q29" s="192" t="n"/>
    </row>
    <row r="30" ht="15.75" customHeight="1" s="251">
      <c r="A30" s="192" t="n"/>
      <c r="B30" s="197" t="inlineStr">
        <is>
          <t>Discount factor</t>
        </is>
      </c>
      <c r="C30" s="192" t="n"/>
      <c r="D30" s="185">
        <f>1/(1+$C$13)^D29</f>
        <v>0.980762226664468</v>
      </c>
      <c r="E30" s="185">
        <f>1/(1+$C$13)^E29</f>
        <v>0.89758017872531</v>
      </c>
      <c r="F30" s="185">
        <f>1/(1+$C$13)^F29</f>
        <v>0.821253668695309</v>
      </c>
      <c r="G30" s="185">
        <f>1/(1+$C$13)^G29</f>
        <v>0.751600127620472</v>
      </c>
      <c r="H30" s="185">
        <f>1/(1+$C$13)^H29</f>
        <v>0.687854159283752</v>
      </c>
      <c r="I30" s="185">
        <f>1/(1+$C$13)^I29</f>
        <v>0.629514720735753</v>
      </c>
      <c r="J30" s="185">
        <f>1/(1+$C$13)^J29</f>
        <v>0.575983389735879</v>
      </c>
      <c r="K30" s="185">
        <f>1/(1+$C$13)^K29</f>
        <v>0.527132122186441</v>
      </c>
      <c r="L30" s="185">
        <f>1/(1+$C$13)^L29</f>
        <v>0.48242411012616</v>
      </c>
      <c r="M30" s="185">
        <f>1/(1+$C$13)^M29</f>
        <v>0.44150794883394</v>
      </c>
      <c r="N30" s="185">
        <f>1/(1+$C$13)^N29</f>
        <v>0.44150794883394</v>
      </c>
      <c r="O30" s="192" t="n"/>
      <c r="P30" s="192" t="n"/>
      <c r="Q30" s="192" t="n"/>
    </row>
    <row r="31" ht="15.75" customHeight="1" s="251">
      <c r="A31" s="192" t="n"/>
      <c r="B31" s="220" t="inlineStr">
        <is>
          <t>PV of UFCF</t>
        </is>
      </c>
      <c r="C31" s="221" t="n"/>
      <c r="D31" s="222">
        <f>D24*D30</f>
        <v>2701.8653556614</v>
      </c>
      <c r="E31" s="222">
        <f>E24*E30</f>
        <v>2678.92296941815</v>
      </c>
      <c r="F31" s="222">
        <f>F24*F30</f>
        <v>2726.22293413766</v>
      </c>
      <c r="G31" s="222">
        <f>G24*G30</f>
        <v>2696.17157965788</v>
      </c>
      <c r="H31" s="222">
        <f>H24*H30</f>
        <v>2650.28902954235</v>
      </c>
      <c r="I31" s="222">
        <f>I24*I30</f>
        <v>2730.01000910042</v>
      </c>
      <c r="J31" s="222">
        <f>J24*J30</f>
        <v>2660.22221741823</v>
      </c>
      <c r="K31" s="222">
        <f>K24*K30</f>
        <v>2580.67493684864</v>
      </c>
      <c r="L31" s="222">
        <f>L24*L30</f>
        <v>2491.6973263411</v>
      </c>
      <c r="M31" s="222">
        <f>M24*M30</f>
        <v>2394.38568721035</v>
      </c>
      <c r="N31" s="222">
        <f>N25*N30</f>
        <v>47215.7966382018</v>
      </c>
      <c r="O31" s="192" t="n"/>
      <c r="P31" s="192" t="n"/>
      <c r="Q31" s="192" t="n"/>
    </row>
    <row r="32" ht="15" customHeight="1" s="251">
      <c r="A32" s="192" t="n"/>
      <c r="B32" s="192" t="n"/>
      <c r="C32" s="192" t="n"/>
      <c r="D32" s="198" t="inlineStr">
        <is>
          <t>NOPAT basis (playbook 5.7): Adjusted EBITA = Adjusted Operating Income (which excludes D&amp;A, restructuring and other items) − depreciation and amortization of PP&amp;E / software, i.e. before acquired-intangible amortization; stock-based compensation is already expensed. Restructuring and the other items Moody's excludes (reserves, duplicate rent, asset abandonment) are deducted as cash costs in row 18. Row 21 adds back depreciation only. Row 22 includes bolt-on M&amp;A in 2027E–30E; the fade period and terminal value assume no new acquisitions. 2026E (column D) is excluded from the sum of PV because net debt is taken at YE2026E. Divestiture gains and contingent consideration (Regulatory Solutions) are excluded. Leases are treated as operating costs (not in net debt).</t>
        </is>
      </c>
      <c r="E32" s="192" t="n"/>
      <c r="F32" s="192" t="n"/>
      <c r="G32" s="192" t="n"/>
      <c r="H32" s="192" t="n"/>
      <c r="I32" s="192" t="n"/>
      <c r="J32" s="192" t="n"/>
      <c r="K32" s="192" t="n"/>
      <c r="L32" s="192" t="n"/>
      <c r="M32" s="192" t="n"/>
      <c r="N32" s="192" t="n"/>
      <c r="O32" s="192" t="n"/>
      <c r="P32" s="192" t="n"/>
      <c r="Q32" s="192" t="n"/>
    </row>
    <row r="33" ht="15.75" customHeight="1" s="251">
      <c r="A33" s="192" t="n"/>
      <c r="B33" s="195" t="inlineStr">
        <is>
          <t>IMPLIED ROIC — invested capital roll-forward (USDm)</t>
        </is>
      </c>
      <c r="C33" s="195" t="n"/>
      <c r="D33" s="195" t="n"/>
      <c r="E33" s="195" t="n"/>
      <c r="F33" s="195" t="n"/>
      <c r="G33" s="195" t="n"/>
      <c r="H33" s="195" t="n"/>
      <c r="I33" s="195" t="n"/>
      <c r="J33" s="195" t="n"/>
      <c r="K33" s="195" t="n"/>
      <c r="L33" s="195" t="n"/>
      <c r="M33" s="195" t="n"/>
      <c r="N33" s="195" t="n"/>
      <c r="O33" s="192" t="n"/>
      <c r="P33" s="192" t="n"/>
      <c r="Q33" s="192" t="n"/>
    </row>
    <row r="34" ht="15.75" customHeight="1" s="251">
      <c r="A34" s="192" t="n"/>
      <c r="B34" s="197" t="inlineStr">
        <is>
          <t>Opening invested capital</t>
        </is>
      </c>
      <c r="C34" s="192" t="n"/>
      <c r="D34" s="173">
        <f>Model!BV397</f>
        <v>8751</v>
      </c>
      <c r="E34" s="174">
        <f>D38</f>
        <v>8930.86353506849</v>
      </c>
      <c r="F34" s="174">
        <f>E38</f>
        <v>9206.17882569396</v>
      </c>
      <c r="G34" s="174">
        <f>F38</f>
        <v>9462.17188382429</v>
      </c>
      <c r="H34" s="174">
        <f>G38</f>
        <v>9715.01834268353</v>
      </c>
      <c r="I34" s="174">
        <f>H38</f>
        <v>9975.70806557162</v>
      </c>
      <c r="J34" s="174">
        <f>I38</f>
        <v>10040.6460690619</v>
      </c>
      <c r="K34" s="174">
        <f>J38</f>
        <v>10109.805042779</v>
      </c>
      <c r="L34" s="174">
        <f>K38</f>
        <v>10183.1135549192</v>
      </c>
      <c r="M34" s="174">
        <f>L38</f>
        <v>10260.454035227</v>
      </c>
      <c r="N34" s="174" t="n"/>
      <c r="O34" s="192" t="n"/>
      <c r="P34" s="192" t="n"/>
      <c r="Q34" s="192" t="n"/>
    </row>
    <row r="35" ht="15.75" customHeight="1" s="251">
      <c r="A35" s="192" t="n"/>
      <c r="B35" s="197" t="inlineStr">
        <is>
          <t>plus Capex and acquisitions</t>
        </is>
      </c>
      <c r="C35" s="192" t="n"/>
      <c r="D35" s="174">
        <f>-D22</f>
        <v>450</v>
      </c>
      <c r="E35" s="174">
        <f>-E22</f>
        <v>658.66299072191</v>
      </c>
      <c r="F35" s="174">
        <f>-F22</f>
        <v>670.961337115972</v>
      </c>
      <c r="G35" s="174">
        <f>-G22</f>
        <v>701.361635549044</v>
      </c>
      <c r="H35" s="174">
        <f>-H22</f>
        <v>731.485535936454</v>
      </c>
      <c r="I35" s="174">
        <f>-I22</f>
        <v>568.689523452006</v>
      </c>
      <c r="J35" s="174">
        <f>-J22</f>
        <v>605.654342476387</v>
      </c>
      <c r="K35" s="174">
        <f>-K22</f>
        <v>641.99360302497</v>
      </c>
      <c r="L35" s="174">
        <f>-L22</f>
        <v>677.303251191343</v>
      </c>
      <c r="M35" s="174">
        <f>-M22</f>
        <v>711.16841375091</v>
      </c>
      <c r="N35" s="174" t="n"/>
      <c r="O35" s="192" t="n"/>
      <c r="P35" s="192" t="n"/>
      <c r="Q35" s="192" t="n"/>
    </row>
    <row r="36" ht="15.75" customHeight="1" s="251">
      <c r="A36" s="192" t="n"/>
      <c r="B36" s="197" t="inlineStr">
        <is>
          <t>less DD&amp;A</t>
        </is>
      </c>
      <c r="C36" s="192" t="n"/>
      <c r="D36" s="174">
        <f>-D21</f>
        <v>-278</v>
      </c>
      <c r="E36" s="174">
        <f>-E21</f>
        <v>-317.53591665363</v>
      </c>
      <c r="F36" s="174">
        <f>-F21</f>
        <v>-348.511389465819</v>
      </c>
      <c r="G36" s="174">
        <f>-G21</f>
        <v>-381.034843017274</v>
      </c>
      <c r="H36" s="174">
        <f>-H21</f>
        <v>-403.929007311705</v>
      </c>
      <c r="I36" s="174">
        <f>-I21</f>
        <v>-432.204037823525</v>
      </c>
      <c r="J36" s="174">
        <f>-J21</f>
        <v>-460.297300282054</v>
      </c>
      <c r="K36" s="174">
        <f>-K21</f>
        <v>-487.915138298977</v>
      </c>
      <c r="L36" s="174">
        <f>-L21</f>
        <v>-514.750470905421</v>
      </c>
      <c r="M36" s="174">
        <f>-M21</f>
        <v>-540.487994450692</v>
      </c>
      <c r="N36" s="174" t="n"/>
      <c r="O36" s="192" t="n"/>
      <c r="P36" s="192" t="n"/>
      <c r="Q36" s="192" t="n"/>
    </row>
    <row r="37" ht="15.75" customHeight="1" s="251">
      <c r="A37" s="192" t="n"/>
      <c r="B37" s="197" t="inlineStr">
        <is>
          <t>plus Δ Working capital investment</t>
        </is>
      </c>
      <c r="C37" s="192" t="n"/>
      <c r="D37" s="174">
        <f>-D23</f>
        <v>7.86353506849287</v>
      </c>
      <c r="E37" s="174">
        <f>-E23</f>
        <v>-65.8117834428122</v>
      </c>
      <c r="F37" s="174">
        <f>-F23</f>
        <v>-66.4568895198192</v>
      </c>
      <c r="G37" s="174">
        <f>-G23</f>
        <v>-67.4803336725345</v>
      </c>
      <c r="H37" s="174">
        <f>-H23</f>
        <v>-66.8668057366565</v>
      </c>
      <c r="I37" s="174">
        <f>-I23</f>
        <v>-71.5474821382225</v>
      </c>
      <c r="J37" s="174">
        <f>-J23</f>
        <v>-76.1980684772069</v>
      </c>
      <c r="K37" s="174">
        <f>-K23</f>
        <v>-80.7699525858393</v>
      </c>
      <c r="L37" s="174">
        <f>-L23</f>
        <v>-85.2122999780605</v>
      </c>
      <c r="M37" s="174">
        <f>-M23</f>
        <v>-89.4729149769635</v>
      </c>
      <c r="N37" s="174" t="n"/>
      <c r="O37" s="192" t="n"/>
      <c r="P37" s="192" t="n"/>
      <c r="Q37" s="192" t="n"/>
    </row>
    <row r="38" ht="15.75" customHeight="1" s="251">
      <c r="A38" s="192" t="n"/>
      <c r="B38" s="223" t="inlineStr">
        <is>
          <t>Closing invested capital</t>
        </is>
      </c>
      <c r="C38" s="223" t="n"/>
      <c r="D38" s="224">
        <f>SUM(D34:D37)</f>
        <v>8930.86353506849</v>
      </c>
      <c r="E38" s="224">
        <f>SUM(E34:E37)</f>
        <v>9206.17882569396</v>
      </c>
      <c r="F38" s="224">
        <f>SUM(F34:F37)</f>
        <v>9462.17188382429</v>
      </c>
      <c r="G38" s="224">
        <f>SUM(G34:G37)</f>
        <v>9715.01834268353</v>
      </c>
      <c r="H38" s="224">
        <f>SUM(H34:H37)</f>
        <v>9975.70806557162</v>
      </c>
      <c r="I38" s="224">
        <f>SUM(I34:I37)</f>
        <v>10040.6460690619</v>
      </c>
      <c r="J38" s="224">
        <f>SUM(J34:J37)</f>
        <v>10109.805042779</v>
      </c>
      <c r="K38" s="224">
        <f>SUM(K34:K37)</f>
        <v>10183.1135549192</v>
      </c>
      <c r="L38" s="224">
        <f>SUM(L34:L37)</f>
        <v>10260.454035227</v>
      </c>
      <c r="M38" s="224">
        <f>SUM(M34:M37)</f>
        <v>10341.6615395503</v>
      </c>
      <c r="N38" s="178" t="n"/>
      <c r="O38" s="192" t="n"/>
      <c r="P38" s="192" t="n"/>
      <c r="Q38" s="192" t="n"/>
    </row>
    <row r="39" ht="15.75" customHeight="1" s="251">
      <c r="A39" s="192" t="n"/>
      <c r="B39" s="197" t="inlineStr">
        <is>
          <t>NOPAT (row 20)</t>
        </is>
      </c>
      <c r="C39" s="192" t="n"/>
      <c r="D39" s="174">
        <f>D20</f>
        <v>2934.72631648936</v>
      </c>
      <c r="E39" s="174">
        <f>E20</f>
        <v>3259.92104832234</v>
      </c>
      <c r="F39" s="174">
        <f>F20</f>
        <v>3575.57997512846</v>
      </c>
      <c r="G39" s="174">
        <f>G20</f>
        <v>3840.08850496403</v>
      </c>
      <c r="H39" s="174">
        <f>H20</f>
        <v>4113.67075639966</v>
      </c>
      <c r="I39" s="174">
        <f>I20</f>
        <v>4401.62770934764</v>
      </c>
      <c r="J39" s="174">
        <f>J20</f>
        <v>4687.73351045524</v>
      </c>
      <c r="K39" s="174">
        <f>K20</f>
        <v>4968.99752108255</v>
      </c>
      <c r="L39" s="174">
        <f>L20</f>
        <v>5242.29238474209</v>
      </c>
      <c r="M39" s="174">
        <f>M20</f>
        <v>5504.4070039792</v>
      </c>
      <c r="N39" s="174" t="n"/>
      <c r="O39" s="192" t="n"/>
      <c r="P39" s="192" t="n"/>
      <c r="Q39" s="192" t="n"/>
    </row>
    <row r="40" ht="15.75" customHeight="1" s="251">
      <c r="A40" s="192" t="n"/>
      <c r="B40" s="200" t="inlineStr">
        <is>
          <t>Implied ROIC (NOPAT / avg. invested capital)</t>
        </is>
      </c>
      <c r="C40" s="200" t="n"/>
      <c r="D40" s="180">
        <f>IFERROR(D39/AVERAGE(D34,D38),"")</f>
        <v>0.331947626523518</v>
      </c>
      <c r="E40" s="180">
        <f>IFERROR(E39/AVERAGE(E34,E38),"")</f>
        <v>0.359476587580214</v>
      </c>
      <c r="F40" s="180">
        <f>IFERROR(F39/AVERAGE(F34,F38),"")</f>
        <v>0.383063295817066</v>
      </c>
      <c r="G40" s="180">
        <f>IFERROR(G39/AVERAGE(G34,G38),"")</f>
        <v>0.400484999064778</v>
      </c>
      <c r="H40" s="180">
        <f>IFERROR(H39/AVERAGE(H34,H38),"")</f>
        <v>0.417828237629166</v>
      </c>
      <c r="I40" s="180">
        <f>IFERROR(I39/AVERAGE(I34,I38),"")</f>
        <v>0.439803140945801</v>
      </c>
      <c r="J40" s="180">
        <f>IFERROR(J39/AVERAGE(J34,J38),"")</f>
        <v>0.465273306730152</v>
      </c>
      <c r="K40" s="180">
        <f>IFERROR(K39/AVERAGE(K34,K38),"")</f>
        <v>0.489727241269887</v>
      </c>
      <c r="L40" s="180">
        <f>IFERROR(L39/AVERAGE(L34,L38),"")</f>
        <v>0.512854946831186</v>
      </c>
      <c r="M40" s="180">
        <f>IFERROR(M39/AVERAGE(M34,M38),"")</f>
        <v>0.534353570049681</v>
      </c>
      <c r="N40" s="180" t="n"/>
      <c r="O40" s="192" t="n"/>
      <c r="P40" s="192" t="n"/>
      <c r="Q40" s="192" t="n"/>
    </row>
    <row r="41" ht="15.75" customHeight="1" s="251">
      <c r="A41" s="192" t="n"/>
      <c r="B41" s="197" t="inlineStr">
        <is>
          <t>Reinvestment rate (net investment / NOPAT)</t>
        </is>
      </c>
      <c r="C41" s="192" t="n"/>
      <c r="D41" s="175">
        <f>IFERROR(SUM(D35:D37)/D39,"")</f>
        <v>0.0612880097397474</v>
      </c>
      <c r="E41" s="175">
        <f>IFERROR(SUM(E35:E37)/E39,"")</f>
        <v>0.0844545884837163</v>
      </c>
      <c r="F41" s="175">
        <f>IFERROR(SUM(F35:F37)/F39,"")</f>
        <v>0.071594834938949</v>
      </c>
      <c r="G41" s="175">
        <f>IFERROR(SUM(G35:G37)/G39,"")</f>
        <v>0.0658439144130104</v>
      </c>
      <c r="H41" s="175">
        <f>IFERROR(SUM(H35:H37)/H39,"")</f>
        <v>0.063371557503122</v>
      </c>
      <c r="I41" s="175">
        <f>IFERROR(SUM(I35:I37)/I39,"")</f>
        <v>0.0147531794550347</v>
      </c>
      <c r="J41" s="175">
        <f>IFERROR(SUM(J35:J37)/J39,"")</f>
        <v>0.0147531794550347</v>
      </c>
      <c r="K41" s="175">
        <f>IFERROR(SUM(K35:K37)/K39,"")</f>
        <v>0.0147531794550347</v>
      </c>
      <c r="L41" s="175">
        <f>IFERROR(SUM(L35:L37)/L39,"")</f>
        <v>0.0147531794550347</v>
      </c>
      <c r="M41" s="175">
        <f>IFERROR(SUM(M35:M37)/M39,"")</f>
        <v>0.0147531794550347</v>
      </c>
      <c r="N41" s="175" t="n"/>
      <c r="O41" s="192" t="n"/>
      <c r="P41" s="192" t="n"/>
      <c r="Q41" s="192" t="n"/>
    </row>
    <row r="42" ht="15.75" customHeight="1" s="251">
      <c r="A42" s="192" t="n"/>
      <c r="B42" s="197" t="inlineStr">
        <is>
          <t>Implied terminal RONIC (g / reinvestment rate)</t>
        </is>
      </c>
      <c r="C42" s="192" t="n"/>
      <c r="D42" s="175" t="n"/>
      <c r="E42" s="175" t="n"/>
      <c r="F42" s="175" t="n"/>
      <c r="G42" s="175" t="n"/>
      <c r="H42" s="175" t="n"/>
      <c r="I42" s="175" t="n"/>
      <c r="J42" s="175" t="n"/>
      <c r="K42" s="175" t="n"/>
      <c r="L42" s="175" t="n"/>
      <c r="M42" s="175" t="n"/>
      <c r="N42" s="175">
        <f>IFERROR($C$27/M41,"")</f>
        <v>2.71127997337208</v>
      </c>
      <c r="O42" s="192" t="n"/>
      <c r="P42" s="192" t="n"/>
      <c r="Q42" s="192" t="n"/>
    </row>
    <row r="43" ht="15" customHeight="1" s="251">
      <c r="A43" s="192" t="n"/>
      <c r="B43" s="192" t="n"/>
      <c r="C43" s="192" t="n"/>
      <c r="D43" s="198" t="inlineStr">
        <is>
          <t>Opening IC = Model 2025A book IC (equity incl. NCI + net debt), rolled forward through 2026E with capex + M&amp;A − depreciation + ΔWC.</t>
        </is>
      </c>
      <c r="E43" s="192" t="n"/>
      <c r="F43" s="192" t="n"/>
      <c r="G43" s="192" t="n"/>
      <c r="H43" s="192" t="n"/>
      <c r="I43" s="192" t="n"/>
      <c r="J43" s="192" t="n"/>
      <c r="K43" s="192" t="n"/>
      <c r="L43" s="192" t="n"/>
      <c r="M43" s="192" t="n"/>
      <c r="N43" s="192" t="n"/>
      <c r="O43" s="192" t="n"/>
      <c r="P43" s="192" t="n"/>
      <c r="Q43" s="192" t="n"/>
    </row>
    <row r="44" ht="15.75" customHeight="1" s="251">
      <c r="A44" s="192" t="n"/>
      <c r="B44" s="195" t="inlineStr">
        <is>
          <t>3. VALUATION SUMMARY</t>
        </is>
      </c>
      <c r="C44" s="196" t="n"/>
      <c r="D44" s="196" t="n"/>
      <c r="E44" s="196" t="n"/>
      <c r="F44" s="196" t="n"/>
      <c r="G44" s="196" t="n"/>
      <c r="H44" s="196" t="n"/>
      <c r="I44" s="196" t="n"/>
      <c r="J44" s="196" t="n"/>
      <c r="K44" s="196" t="n"/>
      <c r="L44" s="196" t="n"/>
      <c r="M44" s="196" t="n"/>
      <c r="N44" s="196" t="n"/>
      <c r="O44" s="192" t="n"/>
      <c r="P44" s="192" t="n"/>
      <c r="Q44" s="192" t="n"/>
    </row>
    <row r="45" ht="15.75" customHeight="1" s="251">
      <c r="A45" s="192" t="n"/>
      <c r="B45" s="197" t="inlineStr">
        <is>
          <t>Sum of PV (explicit 2027E–30E + fade; 2026E excluded)</t>
        </is>
      </c>
      <c r="C45" s="174">
        <f>SUM(E31:M31)</f>
        <v>23608.5966896748</v>
      </c>
      <c r="D45" s="192" t="n"/>
      <c r="E45" s="192" t="n"/>
      <c r="F45" s="192" t="n"/>
      <c r="G45" s="192" t="n"/>
      <c r="H45" s="192" t="n"/>
      <c r="I45" s="192" t="n"/>
      <c r="J45" s="192" t="n"/>
      <c r="K45" s="192" t="n"/>
      <c r="L45" s="192" t="n"/>
      <c r="M45" s="192" t="n"/>
      <c r="N45" s="192" t="n"/>
      <c r="O45" s="192" t="n"/>
      <c r="P45" s="192" t="n"/>
      <c r="Q45" s="192" t="n"/>
    </row>
    <row r="46" ht="15.75" customHeight="1" s="251">
      <c r="A46" s="192" t="n"/>
      <c r="B46" s="197" t="inlineStr">
        <is>
          <t>PV of Terminal Value</t>
        </is>
      </c>
      <c r="C46" s="174">
        <f>N31</f>
        <v>47215.7966382018</v>
      </c>
      <c r="D46" s="192" t="n"/>
      <c r="E46" s="192" t="n"/>
      <c r="F46" s="192" t="n"/>
      <c r="G46" s="192" t="n"/>
      <c r="H46" s="192" t="n"/>
      <c r="I46" s="192" t="n"/>
      <c r="J46" s="192" t="n"/>
      <c r="K46" s="192" t="n"/>
      <c r="L46" s="192" t="n"/>
      <c r="M46" s="192" t="n"/>
      <c r="N46" s="192" t="n"/>
      <c r="O46" s="192" t="n"/>
      <c r="P46" s="192" t="n"/>
      <c r="Q46" s="192" t="n"/>
    </row>
    <row r="47" ht="15.75" customHeight="1" s="251">
      <c r="A47" s="192" t="n"/>
      <c r="B47" s="199" t="inlineStr">
        <is>
          <t>Enterprise Value</t>
        </is>
      </c>
      <c r="C47" s="219">
        <f>C45+C46</f>
        <v>70824.3933278765</v>
      </c>
      <c r="D47" s="192" t="n"/>
      <c r="E47" s="192" t="n"/>
      <c r="F47" s="192" t="n"/>
      <c r="G47" s="192" t="n"/>
      <c r="H47" s="192" t="n"/>
      <c r="I47" s="192" t="n"/>
      <c r="J47" s="192" t="n"/>
      <c r="K47" s="192" t="n"/>
      <c r="L47" s="192" t="n"/>
      <c r="M47" s="192" t="n"/>
      <c r="N47" s="192" t="n"/>
      <c r="O47" s="192" t="n"/>
      <c r="P47" s="192" t="n"/>
      <c r="Q47" s="192" t="n"/>
    </row>
    <row r="48" ht="15.75" customHeight="1" s="251">
      <c r="A48" s="192" t="n"/>
      <c r="B48" s="197" t="inlineStr">
        <is>
          <t>Less: Net debt + NCI (Model 2026E year end)</t>
        </is>
      </c>
      <c r="C48" s="173">
        <f>Model!CA417+Model!CA332</f>
        <v>5134.04921857913</v>
      </c>
      <c r="D48" s="198" t="inlineStr">
        <is>
          <t>MCO: noncontrolling interests (ICRA, ~$0.15bn) deducted alongside net debt (total debt − cash − short-term investments) at YE2026E.</t>
        </is>
      </c>
      <c r="E48" s="192" t="n"/>
      <c r="F48" s="192" t="n"/>
      <c r="G48" s="192" t="n"/>
      <c r="H48" s="192" t="n"/>
      <c r="I48" s="192" t="n"/>
      <c r="J48" s="192" t="n"/>
      <c r="K48" s="192" t="n"/>
      <c r="L48" s="192" t="n"/>
      <c r="M48" s="192" t="n"/>
      <c r="N48" s="192" t="n"/>
      <c r="O48" s="192" t="n"/>
      <c r="P48" s="192" t="n"/>
      <c r="Q48" s="192" t="n"/>
    </row>
    <row r="49" ht="15.75" customHeight="1" s="251">
      <c r="A49" s="192" t="n"/>
      <c r="B49" s="199" t="inlineStr">
        <is>
          <t>Equity Value</t>
        </is>
      </c>
      <c r="C49" s="178">
        <f>C47-C48</f>
        <v>65690.3441092974</v>
      </c>
      <c r="D49" s="192" t="n"/>
      <c r="E49" s="192" t="n"/>
      <c r="F49" s="192" t="n"/>
      <c r="G49" s="192" t="n"/>
      <c r="H49" s="192" t="n"/>
      <c r="I49" s="192" t="n"/>
      <c r="J49" s="192" t="n"/>
      <c r="K49" s="192" t="n"/>
      <c r="L49" s="192" t="n"/>
      <c r="M49" s="192" t="n"/>
      <c r="N49" s="192" t="n"/>
      <c r="O49" s="192" t="n"/>
      <c r="P49" s="192" t="n"/>
      <c r="Q49" s="192" t="n"/>
    </row>
    <row r="50" ht="15.75" customHeight="1" s="251">
      <c r="A50" s="192" t="n"/>
      <c r="B50" s="197" t="inlineStr">
        <is>
          <t>Diluted shares (m, Model 2026E period end)</t>
        </is>
      </c>
      <c r="C50" s="186">
        <f>Model!CA424</f>
        <v>172.392553191489</v>
      </c>
      <c r="D50" s="192" t="n"/>
      <c r="E50" s="192" t="n"/>
      <c r="F50" s="192" t="n"/>
      <c r="G50" s="192" t="n"/>
      <c r="H50" s="192" t="n"/>
      <c r="I50" s="192" t="n"/>
      <c r="J50" s="192" t="n"/>
      <c r="K50" s="192" t="n"/>
      <c r="L50" s="192" t="n"/>
      <c r="M50" s="192" t="n"/>
      <c r="N50" s="192" t="n"/>
      <c r="O50" s="192" t="n"/>
      <c r="P50" s="192" t="n"/>
      <c r="Q50" s="192" t="n"/>
    </row>
    <row r="51" ht="15.75" customHeight="1" s="251">
      <c r="A51" s="192" t="n"/>
      <c r="B51" s="199" t="inlineStr">
        <is>
          <t>Implied share price ($)</t>
        </is>
      </c>
      <c r="C51" s="187">
        <f>C49/C50</f>
        <v>381.050938066508</v>
      </c>
      <c r="D51" s="192" t="n"/>
      <c r="E51" s="192" t="n"/>
      <c r="F51" s="192" t="n"/>
      <c r="G51" s="192" t="n"/>
      <c r="H51" s="192" t="n"/>
      <c r="I51" s="192" t="n"/>
      <c r="J51" s="192" t="n"/>
      <c r="K51" s="192" t="n"/>
      <c r="L51" s="192" t="n"/>
      <c r="M51" s="192" t="n"/>
      <c r="N51" s="192" t="n"/>
      <c r="O51" s="192" t="n"/>
      <c r="P51" s="192" t="n"/>
      <c r="Q51" s="192" t="n"/>
    </row>
    <row r="52" ht="15.75" customHeight="1" s="251">
      <c r="A52" s="192" t="n"/>
      <c r="B52" s="197" t="inlineStr">
        <is>
          <t>Current share price ($)</t>
        </is>
      </c>
      <c r="C52" s="188">
        <f>Model!CA423</f>
        <v>470</v>
      </c>
      <c r="D52" s="192" t="n"/>
      <c r="E52" s="192" t="n"/>
      <c r="F52" s="192" t="n"/>
      <c r="G52" s="192" t="n"/>
      <c r="H52" s="192" t="n"/>
      <c r="I52" s="192" t="n"/>
      <c r="J52" s="192" t="n"/>
      <c r="K52" s="192" t="n"/>
      <c r="L52" s="192" t="n"/>
      <c r="M52" s="192" t="n"/>
      <c r="N52" s="192" t="n"/>
      <c r="O52" s="192" t="n"/>
      <c r="P52" s="192" t="n"/>
      <c r="Q52" s="192" t="n"/>
    </row>
    <row r="53" ht="15.75" customHeight="1" s="251">
      <c r="A53" s="192" t="n"/>
      <c r="B53" s="199" t="inlineStr">
        <is>
          <t>Implied upside / (downside)</t>
        </is>
      </c>
      <c r="C53" s="189">
        <f>C51/C52-1</f>
        <v>-0.189253323262749</v>
      </c>
      <c r="D53" s="192" t="n"/>
      <c r="E53" s="192" t="n"/>
      <c r="F53" s="192" t="n"/>
      <c r="G53" s="192" t="n"/>
      <c r="H53" s="192" t="n"/>
      <c r="I53" s="192" t="n"/>
      <c r="J53" s="192" t="n"/>
      <c r="K53" s="192" t="n"/>
      <c r="L53" s="192" t="n"/>
      <c r="M53" s="192" t="n"/>
      <c r="N53" s="192" t="n"/>
      <c r="O53" s="192" t="n"/>
      <c r="P53" s="192" t="n"/>
      <c r="Q53" s="192" t="n"/>
    </row>
    <row r="54" ht="15.75" customHeight="1" s="251">
      <c r="A54" s="192" t="n"/>
      <c r="B54" s="197" t="inlineStr">
        <is>
          <t>Required discount to DCF value for target IRR</t>
        </is>
      </c>
      <c r="C54" s="175">
        <f>1-((1+C13)/(1+H54))^H55</f>
        <v>0.142059832384105</v>
      </c>
      <c r="D54" s="205" t="inlineStr">
        <is>
          <t>vs. current</t>
        </is>
      </c>
      <c r="E54" s="237" t="inlineStr">
        <is>
          <t>Target IRR</t>
        </is>
      </c>
      <c r="F54" s="192" t="n"/>
      <c r="G54" s="192" t="n"/>
      <c r="H54" s="182" t="n">
        <v>0.15</v>
      </c>
      <c r="I54" s="192" t="n"/>
      <c r="J54" s="192" t="n"/>
      <c r="K54" s="192" t="n"/>
      <c r="L54" s="192" t="n"/>
      <c r="M54" s="192" t="n"/>
      <c r="N54" s="192" t="n"/>
      <c r="O54" s="192" t="n"/>
      <c r="P54" s="192" t="n"/>
      <c r="Q54" s="192" t="n"/>
    </row>
    <row r="55" ht="15.75" customHeight="1" s="251">
      <c r="A55" s="192" t="n"/>
      <c r="B55" s="199" t="inlineStr">
        <is>
          <t>Max entry price for target IRR ($)</t>
        </is>
      </c>
      <c r="C55" s="190">
        <f>C51*(1-C54)</f>
        <v>326.918905674974</v>
      </c>
      <c r="D55" s="175">
        <f>C55/C52-1</f>
        <v>-0.304427860266013</v>
      </c>
      <c r="E55" s="237" t="inlineStr">
        <is>
          <t>Years for discount to close</t>
        </is>
      </c>
      <c r="F55" s="192" t="n"/>
      <c r="G55" s="192" t="n"/>
      <c r="H55" s="191" t="n">
        <v>3</v>
      </c>
      <c r="I55" s="192" t="n"/>
      <c r="J55" s="192" t="n"/>
      <c r="K55" s="192" t="n"/>
      <c r="L55" s="192" t="n"/>
      <c r="M55" s="192" t="n"/>
      <c r="N55" s="192" t="n"/>
      <c r="O55" s="192" t="n"/>
      <c r="P55" s="192" t="n"/>
      <c r="Q55" s="192" t="n"/>
    </row>
    <row r="56" ht="15" customHeight="1" s="251">
      <c r="A56" s="192" t="n"/>
      <c r="B56" s="192" t="n"/>
      <c r="C56" s="192" t="n"/>
      <c r="D56" s="192" t="n"/>
      <c r="E56" s="192" t="n"/>
      <c r="F56" s="192" t="n"/>
      <c r="G56" s="192" t="n"/>
      <c r="H56" s="192" t="n"/>
      <c r="I56" s="192" t="n"/>
      <c r="J56" s="192" t="n"/>
      <c r="K56" s="192" t="n"/>
      <c r="L56" s="192" t="n"/>
      <c r="M56" s="192" t="n"/>
      <c r="N56" s="192" t="n"/>
      <c r="O56" s="192" t="n"/>
      <c r="P56" s="192" t="n"/>
      <c r="Q56" s="192" t="n"/>
    </row>
    <row r="57" ht="15" customHeight="1" s="251">
      <c r="A57" s="192" t="n"/>
      <c r="B57" s="192" t="n"/>
      <c r="C57" s="192" t="n"/>
      <c r="D57" s="192" t="n"/>
      <c r="E57" s="192" t="n"/>
      <c r="F57" s="192" t="n"/>
      <c r="G57" s="192" t="n"/>
      <c r="H57" s="192" t="n"/>
      <c r="I57" s="192" t="n"/>
      <c r="J57" s="192" t="n"/>
      <c r="K57" s="192" t="n"/>
      <c r="L57" s="192" t="n"/>
      <c r="M57" s="192" t="n"/>
      <c r="N57" s="192" t="n"/>
      <c r="O57" s="192" t="n"/>
      <c r="P57" s="192" t="n"/>
      <c r="Q57" s="192" t="n"/>
    </row>
    <row r="58" ht="15.75" customHeight="1" s="251">
      <c r="A58" s="192" t="n"/>
      <c r="B58" s="195" t="inlineStr">
        <is>
          <t>4. SENSITIVITY: IMPLIED PRICE ($) — WACC × Terminal Growth</t>
        </is>
      </c>
      <c r="C58" s="196" t="n"/>
      <c r="D58" s="196" t="n"/>
      <c r="E58" s="196" t="n"/>
      <c r="F58" s="196" t="n"/>
      <c r="G58" s="196" t="n"/>
      <c r="H58" s="196" t="n"/>
      <c r="I58" s="196" t="n"/>
      <c r="J58" s="196" t="n"/>
      <c r="K58" s="196" t="n"/>
      <c r="L58" s="196" t="n"/>
      <c r="M58" s="196" t="n"/>
      <c r="N58" s="196" t="n"/>
      <c r="O58" s="192" t="n"/>
      <c r="P58" s="192" t="n"/>
      <c r="Q58" s="192" t="n"/>
    </row>
    <row r="59" ht="15" customHeight="1" s="251">
      <c r="A59" s="192" t="n"/>
      <c r="B59" s="192" t="n"/>
      <c r="C59" s="192" t="n"/>
      <c r="D59" s="192" t="n"/>
      <c r="E59" s="192" t="n"/>
      <c r="F59" s="192" t="n"/>
      <c r="G59" s="192" t="n"/>
      <c r="H59" s="192" t="n"/>
      <c r="I59" s="192" t="n"/>
      <c r="J59" s="192" t="n"/>
      <c r="K59" s="192" t="n"/>
      <c r="L59" s="192" t="n"/>
      <c r="M59" s="192" t="n"/>
      <c r="N59" s="192" t="n"/>
      <c r="O59" s="192" t="n"/>
      <c r="P59" s="192" t="n"/>
      <c r="Q59" s="192" t="n"/>
    </row>
    <row r="60" ht="15.75" customHeight="1" s="251">
      <c r="A60" s="192" t="n"/>
      <c r="B60" s="199" t="n"/>
      <c r="C60" s="192" t="n"/>
      <c r="D60" s="206" t="inlineStr">
        <is>
          <t>WACC →</t>
        </is>
      </c>
      <c r="E60" s="206" t="n"/>
      <c r="F60" s="206" t="n"/>
      <c r="G60" s="206" t="n"/>
      <c r="H60" s="206" t="n"/>
      <c r="I60" s="192" t="n"/>
      <c r="J60" s="192" t="n"/>
      <c r="K60" s="192" t="n"/>
      <c r="L60" s="192" t="n"/>
      <c r="M60" s="192" t="n"/>
      <c r="N60" s="192" t="n"/>
      <c r="O60" s="192" t="n"/>
      <c r="P60" s="192" t="n"/>
      <c r="Q60" s="192" t="n"/>
    </row>
    <row r="61" ht="15.75" customHeight="1" s="251">
      <c r="A61" s="192" t="n"/>
      <c r="B61" s="231" t="inlineStr">
        <is>
          <t>Terminal growth ↓</t>
        </is>
      </c>
      <c r="C61" s="227" t="n"/>
      <c r="D61" s="228">
        <f>F61-0.01</f>
        <v>0.08274</v>
      </c>
      <c r="E61" s="228">
        <f>F61-0.005</f>
        <v>0.08774</v>
      </c>
      <c r="F61" s="228">
        <f>$C$13</f>
        <v>0.09274</v>
      </c>
      <c r="G61" s="228">
        <f>F61+0.005</f>
        <v>0.09774</v>
      </c>
      <c r="H61" s="234">
        <f>F61+0.01</f>
        <v>0.10274</v>
      </c>
      <c r="I61" s="192" t="n"/>
      <c r="J61" s="192" t="n"/>
      <c r="K61" s="192" t="n"/>
      <c r="L61" s="192" t="n"/>
      <c r="M61" s="192" t="n"/>
      <c r="N61" s="192" t="n"/>
      <c r="O61" s="192" t="n"/>
      <c r="P61" s="192" t="n"/>
      <c r="Q61" s="192" t="n"/>
    </row>
    <row r="62" ht="15.75" customHeight="1" s="251">
      <c r="A62" s="192" t="n"/>
      <c r="B62" s="232">
        <f>B64-0.01</f>
        <v>0.03</v>
      </c>
      <c r="C62" s="192" t="n"/>
      <c r="D62" s="225">
        <f t="array" ref="D62">IFERROR((SUMPRODUCT($D$24:$M$24/(1+D$61)^$D$29:$M$29)+($M$24*(1+$B62)/(D$61-$B62))/(1+D$61)^$M$29-$C$48)/$C$50,"")</f>
        <v>424.767739079131</v>
      </c>
      <c r="E62" s="225">
        <f t="array" ref="E62">IFERROR((SUMPRODUCT($D$24:$M$24/(1+E$61)^$D$29:$M$29)+($M$24*(1+$B62)/(E$61-$B62))/(1+E$61)^$M$29-$C$48)/$C$50,"")</f>
        <v>384.587024585901</v>
      </c>
      <c r="F62" s="225">
        <f t="array" ref="F62">IFERROR((SUMPRODUCT($D$24:$M$24/(1+F$61)^$D$29:$M$29)+($M$24*(1+$B62)/(F$61-$B62))/(1+F$61)^$M$29-$C$48)/$C$50,"")</f>
        <v>350.855898771669</v>
      </c>
      <c r="G62" s="225">
        <f t="array" ref="G62">IFERROR((SUMPRODUCT($D$24:$M$24/(1+G$61)^$D$29:$M$29)+($M$24*(1+$B62)/(G$61-$B62))/(1+G$61)^$M$29-$C$48)/$C$50,"")</f>
        <v>322.144740969257</v>
      </c>
      <c r="H62" s="235">
        <f t="array" ref="H62">IFERROR((SUMPRODUCT($D$24:$M$24/(1+H$61)^$D$29:$M$29)+($M$24*(1+$B62)/(H$61-$B62))/(1+H$61)^$M$29-$C$48)/$C$50,"")</f>
        <v>297.41706240992</v>
      </c>
      <c r="I62" s="192" t="n"/>
      <c r="J62" s="192" t="n"/>
      <c r="K62" s="192" t="n"/>
      <c r="L62" s="192" t="n"/>
      <c r="M62" s="192" t="n"/>
      <c r="N62" s="192" t="n"/>
      <c r="O62" s="192" t="n"/>
      <c r="P62" s="192" t="n"/>
      <c r="Q62" s="192" t="n"/>
    </row>
    <row r="63" ht="15.75" customHeight="1" s="251">
      <c r="A63" s="192" t="n"/>
      <c r="B63" s="232">
        <f>B64-0.005</f>
        <v>0.035</v>
      </c>
      <c r="C63" s="192" t="n"/>
      <c r="D63" s="225">
        <f t="array" ref="D63">IFERROR((SUMPRODUCT($D$24:$M$24/(1+D$61)^$D$29:$M$29)+($M$24*(1+$B63)/(D$61-$B63))/(1+D$61)^$M$29-$C$48)/$C$50,"")</f>
        <v>457.272947752447</v>
      </c>
      <c r="E63" s="225">
        <f t="array" ref="E63">IFERROR((SUMPRODUCT($D$24:$M$24/(1+E$61)^$D$29:$M$29)+($M$24*(1+$B63)/(E$61-$B63))/(1+E$61)^$M$29-$C$48)/$C$50,"")</f>
        <v>410.46405056929</v>
      </c>
      <c r="F63" s="225">
        <f t="array" ref="F63">IFERROR((SUMPRODUCT($D$24:$M$24/(1+F$61)^$D$29:$M$29)+($M$24*(1+$B63)/(F$61-$B63))/(1+F$61)^$M$29-$C$48)/$C$50,"")</f>
        <v>371.803830859535</v>
      </c>
      <c r="G63" s="225">
        <f t="array" ref="G63">IFERROR((SUMPRODUCT($D$24:$M$24/(1+G$61)^$D$29:$M$29)+($M$24*(1+$B63)/(G$61-$B63))/(1+G$61)^$M$29-$C$48)/$C$50,"")</f>
        <v>339.342769144533</v>
      </c>
      <c r="H63" s="235">
        <f t="array" ref="H63">IFERROR((SUMPRODUCT($D$24:$M$24/(1+H$61)^$D$29:$M$29)+($M$24*(1+$B63)/(H$61-$B63))/(1+H$61)^$M$29-$C$48)/$C$50,"")</f>
        <v>311.706983595532</v>
      </c>
      <c r="I63" s="192" t="n"/>
      <c r="J63" s="192" t="n"/>
      <c r="K63" s="192" t="n"/>
      <c r="L63" s="192" t="n"/>
      <c r="M63" s="192" t="n"/>
      <c r="N63" s="192" t="n"/>
      <c r="O63" s="192" t="n"/>
      <c r="P63" s="192" t="n"/>
      <c r="Q63" s="192" t="n"/>
    </row>
    <row r="64" ht="15.75" customHeight="1" s="251">
      <c r="A64" s="192" t="n"/>
      <c r="B64" s="232">
        <f>$C$27</f>
        <v>0.04</v>
      </c>
      <c r="C64" s="192" t="n"/>
      <c r="D64" s="225">
        <f t="array" ref="D64">IFERROR((SUMPRODUCT($D$24:$M$24/(1+D$61)^$D$29:$M$29)+($M$24*(1+$B64)/(D$61-$B64))/(1+D$61)^$M$29-$C$48)/$C$50,"")</f>
        <v>497.383493036272</v>
      </c>
      <c r="E64" s="225">
        <f t="array" ref="E64">IFERROR((SUMPRODUCT($D$24:$M$24/(1+E$61)^$D$29:$M$29)+($M$24*(1+$B64)/(E$61-$B64))/(1+E$61)^$M$29-$C$48)/$C$50,"")</f>
        <v>441.761484173833</v>
      </c>
      <c r="F64" s="226">
        <f t="array" ref="F64">IFERROR((SUMPRODUCT($D$24:$M$24/(1+F$61)^$D$29:$M$29)+($M$24*(1+$B64)/(F$61-$B64))/(1+F$61)^$M$29-$C$48)/$C$50,"")</f>
        <v>396.723687878736</v>
      </c>
      <c r="G64" s="225">
        <f t="array" ref="G64">IFERROR((SUMPRODUCT($D$24:$M$24/(1+G$61)^$D$29:$M$29)+($M$24*(1+$B64)/(G$61-$B64))/(1+G$61)^$M$29-$C$48)/$C$50,"")</f>
        <v>359.519326619303</v>
      </c>
      <c r="H64" s="235">
        <f t="array" ref="H64">IFERROR((SUMPRODUCT($D$24:$M$24/(1+H$61)^$D$29:$M$29)+($M$24*(1+$B64)/(H$61-$B64))/(1+H$61)^$M$29-$C$48)/$C$50,"")</f>
        <v>328.274546028453</v>
      </c>
      <c r="I64" s="192" t="n"/>
      <c r="J64" s="192" t="n"/>
      <c r="K64" s="192" t="n"/>
      <c r="L64" s="192" t="n"/>
      <c r="M64" s="192" t="n"/>
      <c r="N64" s="192" t="n"/>
      <c r="O64" s="192" t="n"/>
      <c r="P64" s="192" t="n"/>
      <c r="Q64" s="192" t="n"/>
    </row>
    <row r="65" ht="15.75" customHeight="1" s="251">
      <c r="A65" s="192" t="n"/>
      <c r="B65" s="232">
        <f>B64+0.005</f>
        <v>0.045</v>
      </c>
      <c r="C65" s="192" t="n"/>
      <c r="D65" s="225">
        <f t="array" ref="D65">IFERROR((SUMPRODUCT($D$24:$M$24/(1+D$61)^$D$29:$M$29)+($M$24*(1+$B65)/(D$61-$B65))/(1+D$61)^$M$29-$C$48)/$C$50,"")</f>
        <v>548.122163726517</v>
      </c>
      <c r="E65" s="225">
        <f t="array" ref="E65">IFERROR((SUMPRODUCT($D$24:$M$24/(1+E$61)^$D$29:$M$29)+($M$24*(1+$B65)/(E$61-$B65))/(1+E$61)^$M$29-$C$48)/$C$50,"")</f>
        <v>480.381667802836</v>
      </c>
      <c r="F65" s="225">
        <f t="array" ref="F65">IFERROR((SUMPRODUCT($D$24:$M$24/(1+F$61)^$D$29:$M$29)+($M$24*(1+$B65)/(F$61-$B65))/(1+F$61)^$M$29-$C$48)/$C$50,"")</f>
        <v>426.863456297016</v>
      </c>
      <c r="G65" s="225">
        <f t="array" ref="G65">IFERROR((SUMPRODUCT($D$24:$M$24/(1+G$61)^$D$29:$M$29)+($M$24*(1+$B65)/(G$61-$B65))/(1+G$61)^$M$29-$C$48)/$C$50,"")</f>
        <v>383.521549144275</v>
      </c>
      <c r="H65" s="235">
        <f t="array" ref="H65">IFERROR((SUMPRODUCT($D$24:$M$24/(1+H$61)^$D$29:$M$29)+($M$24*(1+$B65)/(H$61-$B65))/(1+H$61)^$M$29-$C$48)/$C$50,"")</f>
        <v>347.711447296311</v>
      </c>
      <c r="I65" s="192" t="n"/>
      <c r="J65" s="192" t="n"/>
      <c r="K65" s="192" t="n"/>
      <c r="L65" s="192" t="n"/>
      <c r="M65" s="192" t="n"/>
      <c r="N65" s="192" t="n"/>
      <c r="O65" s="192" t="n"/>
      <c r="P65" s="192" t="n"/>
      <c r="Q65" s="192" t="n"/>
    </row>
    <row r="66" ht="15.75" customHeight="1" s="251">
      <c r="A66" s="192" t="n"/>
      <c r="B66" s="233">
        <f>B64+0.01</f>
        <v>0.05</v>
      </c>
      <c r="C66" s="229" t="n"/>
      <c r="D66" s="230">
        <f t="array" ref="D66">IFERROR((SUMPRODUCT($D$24:$M$24/(1+D$61)^$D$29:$M$29)+($M$24*(1+$B66)/(D$61-$B66))/(1+D$61)^$M$29-$C$48)/$C$50,"")</f>
        <v>614.358290339255</v>
      </c>
      <c r="E66" s="230">
        <f t="array" ref="E66">IFERROR((SUMPRODUCT($D$24:$M$24/(1+E$61)^$D$29:$M$29)+($M$24*(1+$B66)/(E$61-$B66))/(1+E$61)^$M$29-$C$48)/$C$50,"")</f>
        <v>529.235074438994</v>
      </c>
      <c r="F66" s="230">
        <f t="array" ref="F66">IFERROR((SUMPRODUCT($D$24:$M$24/(1+F$61)^$D$29:$M$29)+($M$24*(1+$B66)/(F$61-$B66))/(1+F$61)^$M$29-$C$48)/$C$50,"")</f>
        <v>464.05511250619</v>
      </c>
      <c r="G66" s="230">
        <f t="array" ref="G66">IFERROR((SUMPRODUCT($D$24:$M$24/(1+G$61)^$D$29:$M$29)+($M$24*(1+$B66)/(G$61-$B66))/(1+G$61)^$M$29-$C$48)/$C$50,"")</f>
        <v>412.551468050683</v>
      </c>
      <c r="H66" s="236">
        <f t="array" ref="H66">IFERROR((SUMPRODUCT($D$24:$M$24/(1+H$61)^$D$29:$M$29)+($M$24*(1+$B66)/(H$61-$B66))/(1+H$61)^$M$29-$C$48)/$C$50,"")</f>
        <v>370.83376784135</v>
      </c>
      <c r="I66" s="192" t="n"/>
      <c r="J66" s="192" t="n"/>
      <c r="K66" s="192" t="n"/>
      <c r="L66" s="192" t="n"/>
      <c r="M66" s="192" t="n"/>
      <c r="N66" s="192" t="n"/>
      <c r="O66" s="192" t="n"/>
      <c r="P66" s="192" t="n"/>
      <c r="Q66" s="192" t="n"/>
    </row>
    <row r="67" ht="15" customHeight="1" s="251">
      <c r="A67" s="192" t="n"/>
      <c r="B67" s="192" t="n"/>
      <c r="C67" s="192" t="n"/>
      <c r="D67" s="192" t="n"/>
      <c r="E67" s="192" t="n"/>
      <c r="F67" s="192" t="n"/>
      <c r="G67" s="192" t="n"/>
      <c r="H67" s="192" t="n"/>
      <c r="I67" s="192" t="n"/>
      <c r="J67" s="192" t="n"/>
      <c r="K67" s="192" t="n"/>
      <c r="L67" s="192" t="n"/>
      <c r="M67" s="192" t="n"/>
      <c r="N67" s="192" t="n"/>
      <c r="O67" s="192" t="n"/>
      <c r="P67" s="192" t="n"/>
      <c r="Q67" s="192" t="n"/>
    </row>
    <row r="68" ht="15" customHeight="1" s="251">
      <c r="A68" s="192" t="n"/>
      <c r="B68" s="192" t="n"/>
      <c r="C68" s="192" t="n"/>
      <c r="D68" s="192" t="n"/>
      <c r="E68" s="192" t="n"/>
      <c r="F68" s="192" t="n"/>
      <c r="G68" s="192" t="n"/>
      <c r="H68" s="192" t="n"/>
      <c r="I68" s="192" t="n"/>
      <c r="J68" s="192" t="n"/>
      <c r="K68" s="192" t="n"/>
      <c r="L68" s="192" t="n"/>
      <c r="M68" s="192" t="n"/>
      <c r="N68" s="192" t="n"/>
      <c r="O68" s="192" t="n"/>
      <c r="P68" s="192" t="n"/>
      <c r="Q68" s="192" t="n"/>
    </row>
    <row r="69" ht="15.75" customHeight="1" s="251">
      <c r="A69" s="192" t="n"/>
      <c r="B69" s="195" t="inlineStr">
        <is>
          <t>5. REVERSE DCF</t>
        </is>
      </c>
      <c r="C69" s="196" t="n"/>
      <c r="D69" s="196" t="n"/>
      <c r="E69" s="196" t="n"/>
      <c r="F69" s="196" t="n"/>
      <c r="G69" s="196" t="n"/>
      <c r="H69" s="196" t="n"/>
      <c r="I69" s="196" t="n"/>
      <c r="J69" s="196" t="n"/>
      <c r="K69" s="196" t="n"/>
      <c r="L69" s="196" t="n"/>
      <c r="M69" s="196" t="n"/>
      <c r="N69" s="196" t="n"/>
      <c r="O69" s="192" t="n"/>
      <c r="P69" s="192" t="n"/>
      <c r="Q69" s="192" t="n"/>
    </row>
    <row r="70" ht="15" customHeight="1" s="251">
      <c r="A70" s="192" t="n"/>
      <c r="B70" s="198" t="inlineStr">
        <is>
          <t>To solve for the market-implied path: Data ▸ What-If Analysis ▸ Goal Seek — set C51 to the current price (C52) by changing C27 (terminal growth) or the fade-period growth inputs (I26:M26).</t>
        </is>
      </c>
      <c r="C70" s="192" t="n"/>
      <c r="D70" s="192" t="n"/>
      <c r="E70" s="192" t="n"/>
      <c r="F70" s="192" t="n"/>
      <c r="G70" s="192" t="n"/>
      <c r="H70" s="192" t="n"/>
      <c r="I70" s="192" t="n"/>
      <c r="J70" s="192" t="n"/>
      <c r="K70" s="192" t="n"/>
      <c r="L70" s="192" t="n"/>
      <c r="M70" s="192" t="n"/>
      <c r="N70" s="192" t="n"/>
      <c r="O70" s="192" t="n"/>
      <c r="P70" s="192" t="n"/>
      <c r="Q70" s="192" t="n"/>
    </row>
    <row r="71" ht="15" customHeight="1" s="251">
      <c r="A71" s="192" t="n"/>
      <c r="B71" s="192" t="n"/>
      <c r="C71" s="192" t="n"/>
      <c r="D71" s="192" t="n"/>
      <c r="E71" s="192" t="n"/>
      <c r="F71" s="192" t="n"/>
      <c r="G71" s="192" t="n"/>
      <c r="H71" s="192" t="n"/>
      <c r="I71" s="192" t="n"/>
      <c r="J71" s="192" t="n"/>
      <c r="K71" s="192" t="n"/>
      <c r="L71" s="192" t="n"/>
      <c r="M71" s="192" t="n"/>
      <c r="N71" s="192" t="n"/>
      <c r="O71" s="192" t="n"/>
      <c r="P71" s="192" t="n"/>
      <c r="Q71" s="192" t="n"/>
    </row>
    <row r="72" ht="15.75" customHeight="1" s="251">
      <c r="A72" s="192" t="n"/>
      <c r="B72" s="195" t="inlineStr">
        <is>
          <t>6. MAUBOUSSIN EV / NOPAT — TWO-STAGE FRAMEWORK</t>
        </is>
      </c>
      <c r="C72" s="196" t="n"/>
      <c r="D72" s="196" t="n"/>
      <c r="E72" s="196" t="n"/>
      <c r="F72" s="196" t="n"/>
      <c r="G72" s="196" t="n"/>
      <c r="H72" s="196" t="n"/>
      <c r="I72" s="196" t="n"/>
      <c r="J72" s="196" t="n"/>
      <c r="K72" s="196" t="n"/>
      <c r="L72" s="196" t="n"/>
      <c r="M72" s="196" t="n"/>
      <c r="N72" s="196" t="n"/>
      <c r="O72" s="192" t="n"/>
      <c r="P72" s="192" t="n"/>
      <c r="Q72" s="192" t="n"/>
    </row>
    <row r="73" ht="15" customHeight="1" s="251">
      <c r="A73" s="192" t="n"/>
      <c r="B73" s="198" t="inlineStr">
        <is>
          <t>EV/NOPAT  =  1/r  +  [g × (1 − r/ROIIC) / (r × (r − g))] × [1 − ((1+g)/(1+r))^N]</t>
        </is>
      </c>
      <c r="C73" s="192" t="n"/>
      <c r="D73" s="192" t="n"/>
      <c r="E73" s="192" t="n"/>
      <c r="F73" s="192" t="n"/>
      <c r="G73" s="192" t="n"/>
      <c r="H73" s="192" t="n"/>
      <c r="I73" s="192" t="n"/>
      <c r="J73" s="192" t="n"/>
      <c r="K73" s="192" t="n"/>
      <c r="L73" s="192" t="n"/>
      <c r="M73" s="192" t="n"/>
      <c r="N73" s="192" t="n"/>
      <c r="O73" s="192" t="n"/>
      <c r="P73" s="192" t="n"/>
      <c r="Q73" s="192" t="n"/>
    </row>
    <row r="74" ht="15" customHeight="1" s="251">
      <c r="A74" s="192" t="n"/>
      <c r="B74" s="198" t="inlineStr">
        <is>
          <t>Formula source: Mauboussin &amp; Rappaport, "Expectations Investing" (2021); Counterpoint Global, "What Does a Price-Earnings Multiple Mean?" (2020).</t>
        </is>
      </c>
      <c r="C74" s="192" t="n"/>
      <c r="D74" s="192" t="n"/>
      <c r="E74" s="192" t="n"/>
      <c r="F74" s="192" t="n"/>
      <c r="G74" s="192" t="n"/>
      <c r="H74" s="192" t="n"/>
      <c r="I74" s="192" t="n"/>
      <c r="J74" s="192" t="n"/>
      <c r="K74" s="192" t="n"/>
      <c r="L74" s="192" t="n"/>
      <c r="M74" s="192" t="n"/>
      <c r="N74" s="192" t="n"/>
      <c r="O74" s="192" t="n"/>
      <c r="P74" s="192" t="n"/>
      <c r="Q74" s="192" t="n"/>
    </row>
    <row r="75" ht="15" customHeight="1" s="251">
      <c r="A75" s="192" t="n"/>
      <c r="B75" s="192" t="n"/>
      <c r="C75" s="192" t="n"/>
      <c r="D75" s="192" t="n"/>
      <c r="E75" s="192" t="n"/>
      <c r="F75" s="192" t="n"/>
      <c r="G75" s="192" t="n"/>
      <c r="H75" s="192" t="n"/>
      <c r="I75" s="192" t="n"/>
      <c r="J75" s="192" t="n"/>
      <c r="K75" s="192" t="n"/>
      <c r="L75" s="192" t="n"/>
      <c r="M75" s="192" t="n"/>
      <c r="N75" s="192" t="n"/>
      <c r="O75" s="192" t="n"/>
      <c r="P75" s="192" t="n"/>
      <c r="Q75" s="192" t="n"/>
    </row>
    <row r="76" ht="15.75" customHeight="1" s="251">
      <c r="A76" s="192" t="n"/>
      <c r="B76" s="195" t="inlineStr">
        <is>
          <t>Input</t>
        </is>
      </c>
      <c r="C76" s="207" t="inlineStr">
        <is>
          <t>Value</t>
        </is>
      </c>
      <c r="D76" s="195" t="inlineStr">
        <is>
          <t>Rationale (Moody's characteristics)</t>
        </is>
      </c>
      <c r="E76" s="196" t="n"/>
      <c r="F76" s="196" t="n"/>
      <c r="G76" s="196" t="n"/>
      <c r="H76" s="196" t="n"/>
      <c r="I76" s="196" t="n"/>
      <c r="J76" s="196" t="n"/>
      <c r="K76" s="196" t="n"/>
      <c r="L76" s="196" t="n"/>
      <c r="M76" s="196" t="n"/>
      <c r="N76" s="196" t="n"/>
      <c r="O76" s="192" t="n"/>
      <c r="P76" s="192" t="n"/>
      <c r="Q76" s="192" t="n"/>
    </row>
    <row r="77" ht="15.75" customHeight="1" s="251">
      <c r="A77" s="192" t="n"/>
      <c r="B77" s="197" t="inlineStr">
        <is>
          <t>r  (Cost of capital / WACC)</t>
        </is>
      </c>
      <c r="C77" s="238">
        <f>$C$13</f>
        <v>0.09274</v>
      </c>
      <c r="D77" s="198" t="inlineStr">
        <is>
          <t>Linked from Section 1 WACC build</t>
        </is>
      </c>
      <c r="E77" s="192" t="n"/>
      <c r="F77" s="192" t="n"/>
      <c r="G77" s="192" t="n"/>
      <c r="H77" s="192" t="n"/>
      <c r="I77" s="192" t="n"/>
      <c r="J77" s="192" t="n"/>
      <c r="K77" s="192" t="n"/>
      <c r="L77" s="192" t="n"/>
      <c r="M77" s="192" t="n"/>
      <c r="N77" s="192" t="n"/>
      <c r="O77" s="192" t="n"/>
      <c r="P77" s="192" t="n"/>
      <c r="Q77" s="192" t="n"/>
    </row>
    <row r="78" ht="15.75" customHeight="1" s="251">
      <c r="A78" s="192" t="n"/>
      <c r="B78" s="197" t="inlineStr">
        <is>
          <t>g  (NOPAT growth, Stage 1)</t>
        </is>
      </c>
      <c r="C78" s="239" t="n">
        <v>0.08</v>
      </c>
      <c r="D78" s="198" t="inlineStr">
        <is>
          <t>Model Adjusted EBITA CAGR 2025–30E: mid- to high-single-digit revenue growth (issuance cycle + recurring MA) with margin expansion → ~8% NOPAT growth</t>
        </is>
      </c>
      <c r="E78" s="192" t="n"/>
      <c r="F78" s="192" t="n"/>
      <c r="G78" s="192" t="n"/>
      <c r="H78" s="192" t="n"/>
      <c r="I78" s="192" t="n"/>
      <c r="J78" s="192" t="n"/>
      <c r="K78" s="192" t="n"/>
      <c r="L78" s="192" t="n"/>
      <c r="M78" s="192" t="n"/>
      <c r="N78" s="192" t="n"/>
      <c r="O78" s="192" t="n"/>
      <c r="P78" s="192" t="n"/>
      <c r="Q78" s="192" t="n"/>
    </row>
    <row r="79" ht="15.75" customHeight="1" s="251">
      <c r="A79" s="192" t="n"/>
      <c r="B79" s="197" t="inlineStr">
        <is>
          <t>ROIIC  (Return on incremental invested capital)</t>
        </is>
      </c>
      <c r="C79" s="239" t="n">
        <v>0.4</v>
      </c>
      <c r="D79" s="198" t="inlineStr">
        <is>
          <t>Ratings duopoly with S&amp;P (NRSRO certification, issuer-pays model) and data / analytics with high renewal rates; incremental capital needs are small (capex ~5% of revenue), so returns on incremental capital are very high; large acquisitions (BvD, RMS) earned much lower returns on purchase price</t>
        </is>
      </c>
      <c r="E79" s="192" t="n"/>
      <c r="F79" s="192" t="n"/>
      <c r="G79" s="192" t="n"/>
      <c r="H79" s="192" t="n"/>
      <c r="I79" s="192" t="n"/>
      <c r="J79" s="192" t="n"/>
      <c r="K79" s="192" t="n"/>
      <c r="L79" s="192" t="n"/>
      <c r="M79" s="192" t="n"/>
      <c r="N79" s="192" t="n"/>
      <c r="O79" s="192" t="n"/>
      <c r="P79" s="192" t="n"/>
      <c r="Q79" s="192" t="n"/>
    </row>
    <row r="80" ht="15.75" customHeight="1" s="251">
      <c r="A80" s="192" t="n"/>
      <c r="B80" s="197" t="inlineStr">
        <is>
          <t>N  (Years of value creation / CAP)</t>
        </is>
      </c>
      <c r="C80" s="208" t="n">
        <v>20</v>
      </c>
      <c r="D80" s="198" t="inlineStr">
        <is>
          <t>Regulatory and reputational moat in ratings (decades of track record, investor mandates) and embedded MA workflow data; risks: regulation, issuance cyclicality, AI-driven disintermediation of research</t>
        </is>
      </c>
      <c r="E80" s="192" t="n"/>
      <c r="F80" s="192" t="n"/>
      <c r="G80" s="192" t="n"/>
      <c r="H80" s="192" t="n"/>
      <c r="I80" s="192" t="n"/>
      <c r="J80" s="192" t="n"/>
      <c r="K80" s="192" t="n"/>
      <c r="L80" s="192" t="n"/>
      <c r="M80" s="192" t="n"/>
      <c r="N80" s="192" t="n"/>
      <c r="O80" s="192" t="n"/>
      <c r="P80" s="192" t="n"/>
      <c r="Q80" s="192" t="n"/>
    </row>
    <row r="81" ht="15" customHeight="1" s="251">
      <c r="A81" s="192" t="n"/>
      <c r="B81" s="192" t="n"/>
      <c r="C81" s="192" t="n"/>
      <c r="D81" s="192" t="n"/>
      <c r="E81" s="192" t="n"/>
      <c r="F81" s="192" t="n"/>
      <c r="G81" s="192" t="n"/>
      <c r="H81" s="192" t="n"/>
      <c r="I81" s="192" t="n"/>
      <c r="J81" s="192" t="n"/>
      <c r="K81" s="192" t="n"/>
      <c r="L81" s="192" t="n"/>
      <c r="M81" s="192" t="n"/>
      <c r="N81" s="192" t="n"/>
      <c r="O81" s="192" t="n"/>
      <c r="P81" s="192" t="n"/>
      <c r="Q81" s="192" t="n"/>
    </row>
    <row r="82" ht="15.75" customHeight="1" s="251">
      <c r="A82" s="192" t="n"/>
      <c r="B82" s="195" t="inlineStr">
        <is>
          <t>Calculation</t>
        </is>
      </c>
      <c r="C82" s="207" t="inlineStr">
        <is>
          <t>Value</t>
        </is>
      </c>
      <c r="D82" s="192" t="n"/>
      <c r="E82" s="192" t="n"/>
      <c r="F82" s="192" t="n"/>
      <c r="G82" s="192" t="n"/>
      <c r="H82" s="192" t="n"/>
      <c r="I82" s="192" t="n"/>
      <c r="J82" s="192" t="n"/>
      <c r="K82" s="192" t="n"/>
      <c r="L82" s="192" t="n"/>
      <c r="M82" s="192" t="n"/>
      <c r="N82" s="192" t="n"/>
      <c r="O82" s="192" t="n"/>
      <c r="P82" s="192" t="n"/>
      <c r="Q82" s="192" t="n"/>
    </row>
    <row r="83" ht="15.75" customHeight="1" s="251">
      <c r="A83" s="192" t="n"/>
      <c r="B83" s="197" t="inlineStr">
        <is>
          <t>Steady-state component:  1 / r</t>
        </is>
      </c>
      <c r="C83" s="240">
        <f>1/C77</f>
        <v>10.7828337287039</v>
      </c>
      <c r="D83" s="192" t="n"/>
      <c r="E83" s="192" t="n"/>
      <c r="F83" s="192" t="n"/>
      <c r="G83" s="192" t="n"/>
      <c r="H83" s="192" t="n"/>
      <c r="I83" s="192" t="n"/>
      <c r="J83" s="192" t="n"/>
      <c r="K83" s="192" t="n"/>
      <c r="L83" s="192" t="n"/>
      <c r="M83" s="192" t="n"/>
      <c r="N83" s="192" t="n"/>
      <c r="O83" s="192" t="n"/>
      <c r="P83" s="192" t="n"/>
      <c r="Q83" s="192" t="n"/>
    </row>
    <row r="84" ht="15.75" customHeight="1" s="251">
      <c r="A84" s="192" t="n"/>
      <c r="B84" s="197" t="inlineStr">
        <is>
          <t>Value-creation factor: 1 − r / ROIIC</t>
        </is>
      </c>
      <c r="C84" s="241">
        <f>1-C77/C79</f>
        <v>0.76815</v>
      </c>
      <c r="D84" s="192" t="n"/>
      <c r="E84" s="192" t="n"/>
      <c r="F84" s="192" t="n"/>
      <c r="G84" s="192" t="n"/>
      <c r="H84" s="192" t="n"/>
      <c r="I84" s="192" t="n"/>
      <c r="J84" s="192" t="n"/>
      <c r="K84" s="192" t="n"/>
      <c r="L84" s="192" t="n"/>
      <c r="M84" s="192" t="n"/>
      <c r="N84" s="192" t="n"/>
      <c r="O84" s="192" t="n"/>
      <c r="P84" s="192" t="n"/>
      <c r="Q84" s="192" t="n"/>
    </row>
    <row r="85" ht="15.75" customHeight="1" s="251">
      <c r="A85" s="192" t="n"/>
      <c r="B85" s="197" t="inlineStr">
        <is>
          <t>Growth multiplier: g × (1 − r/ROIIC) / (r × (r − g))</t>
        </is>
      </c>
      <c r="C85" s="241">
        <f>C78*C84/(C77*(C77-C78))</f>
        <v>52.0115147799303</v>
      </c>
      <c r="D85" s="192" t="n"/>
      <c r="E85" s="192" t="n"/>
      <c r="F85" s="192" t="n"/>
      <c r="G85" s="192" t="n"/>
      <c r="H85" s="192" t="n"/>
      <c r="I85" s="192" t="n"/>
      <c r="J85" s="192" t="n"/>
      <c r="K85" s="192" t="n"/>
      <c r="L85" s="192" t="n"/>
      <c r="M85" s="192" t="n"/>
      <c r="N85" s="192" t="n"/>
      <c r="O85" s="192" t="n"/>
      <c r="P85" s="192" t="n"/>
      <c r="Q85" s="192" t="n"/>
    </row>
    <row r="86" ht="15.75" customHeight="1" s="251">
      <c r="A86" s="192" t="n"/>
      <c r="B86" s="197" t="inlineStr">
        <is>
          <t>Time decay: 1 − ((1+g)/(1+r))^N</t>
        </is>
      </c>
      <c r="C86" s="242">
        <f>1-((1+C78)/(1+C77))^C80</f>
        <v>0.209069554295415</v>
      </c>
      <c r="D86" s="192" t="n"/>
      <c r="E86" s="192" t="n"/>
      <c r="F86" s="192" t="n"/>
      <c r="G86" s="192" t="n"/>
      <c r="H86" s="192" t="n"/>
      <c r="I86" s="192" t="n"/>
      <c r="J86" s="192" t="n"/>
      <c r="K86" s="192" t="n"/>
      <c r="L86" s="192" t="n"/>
      <c r="M86" s="192" t="n"/>
      <c r="N86" s="192" t="n"/>
      <c r="O86" s="192" t="n"/>
      <c r="P86" s="192" t="n"/>
      <c r="Q86" s="192" t="n"/>
    </row>
    <row r="87" ht="15.75" customHeight="1" s="251">
      <c r="A87" s="192" t="n"/>
      <c r="B87" s="197" t="inlineStr">
        <is>
          <t>PVGO component (growth value)</t>
        </is>
      </c>
      <c r="C87" s="240">
        <f>C85*C86</f>
        <v>10.8740242132694</v>
      </c>
      <c r="D87" s="192" t="n"/>
      <c r="E87" s="192" t="n"/>
      <c r="F87" s="192" t="n"/>
      <c r="G87" s="192" t="n"/>
      <c r="H87" s="192" t="n"/>
      <c r="I87" s="192" t="n"/>
      <c r="J87" s="192" t="n"/>
      <c r="K87" s="192" t="n"/>
      <c r="L87" s="192" t="n"/>
      <c r="M87" s="192" t="n"/>
      <c r="N87" s="192" t="n"/>
      <c r="O87" s="192" t="n"/>
      <c r="P87" s="192" t="n"/>
      <c r="Q87" s="192" t="n"/>
    </row>
    <row r="88" ht="15.75" customHeight="1" s="251">
      <c r="A88" s="192" t="n"/>
      <c r="B88" s="202" t="inlineStr">
        <is>
          <t>Mauboussin EV / NOPAT (steady-state + PVGO)</t>
        </is>
      </c>
      <c r="C88" s="304">
        <f>C83+C87</f>
        <v>21.6568579419733</v>
      </c>
      <c r="D88" s="192" t="n"/>
      <c r="E88" s="192" t="n"/>
      <c r="F88" s="192" t="n"/>
      <c r="G88" s="192" t="n"/>
      <c r="H88" s="192" t="n"/>
      <c r="I88" s="192" t="n"/>
      <c r="J88" s="192" t="n"/>
      <c r="K88" s="192" t="n"/>
      <c r="L88" s="192" t="n"/>
      <c r="M88" s="192" t="n"/>
      <c r="N88" s="192" t="n"/>
      <c r="O88" s="192" t="n"/>
      <c r="P88" s="192" t="n"/>
      <c r="Q88" s="192" t="n"/>
    </row>
    <row r="89" ht="15" customHeight="1" s="251">
      <c r="A89" s="192" t="n"/>
      <c r="B89" s="192" t="n"/>
      <c r="C89" s="192" t="n"/>
      <c r="D89" s="192" t="n"/>
      <c r="E89" s="192" t="n"/>
      <c r="F89" s="192" t="n"/>
      <c r="G89" s="192" t="n"/>
      <c r="H89" s="192" t="n"/>
      <c r="I89" s="192" t="n"/>
      <c r="J89" s="192" t="n"/>
      <c r="K89" s="192" t="n"/>
      <c r="L89" s="192" t="n"/>
      <c r="M89" s="192" t="n"/>
      <c r="N89" s="192" t="n"/>
      <c r="O89" s="192" t="n"/>
      <c r="P89" s="192" t="n"/>
      <c r="Q89" s="192" t="n"/>
    </row>
    <row r="90" ht="15.75" customHeight="1" s="251">
      <c r="A90" s="192" t="n"/>
      <c r="B90" s="195" t="inlineStr">
        <is>
          <t>VALUATION  —  Applied to 2028E NOPAT</t>
        </is>
      </c>
      <c r="C90" s="207" t="inlineStr">
        <is>
          <t>USDm</t>
        </is>
      </c>
      <c r="D90" s="192" t="n"/>
      <c r="E90" s="192" t="n"/>
      <c r="F90" s="192" t="n"/>
      <c r="G90" s="192" t="n"/>
      <c r="H90" s="192" t="n"/>
      <c r="I90" s="192" t="n"/>
      <c r="J90" s="192" t="n"/>
      <c r="K90" s="192" t="n"/>
      <c r="L90" s="192" t="n"/>
      <c r="M90" s="192" t="n"/>
      <c r="N90" s="192" t="n"/>
      <c r="O90" s="192" t="n"/>
      <c r="P90" s="192" t="n"/>
      <c r="Q90" s="192" t="n"/>
    </row>
    <row r="91" ht="15.75" customHeight="1" s="251">
      <c r="A91" s="192" t="n"/>
      <c r="B91" s="197" t="inlineStr">
        <is>
          <t>2028E Adj. EBITA less restructuring &amp; other excluded cash items</t>
        </is>
      </c>
      <c r="C91" s="209">
        <f>Model!CC224-Model!CC226</f>
        <v>4704.71049359008</v>
      </c>
      <c r="D91" s="192" t="n"/>
      <c r="E91" s="192" t="n"/>
      <c r="F91" s="192" t="n"/>
      <c r="G91" s="192" t="n"/>
      <c r="H91" s="192" t="n"/>
      <c r="I91" s="192" t="n"/>
      <c r="J91" s="192" t="n"/>
      <c r="K91" s="192" t="n"/>
      <c r="L91" s="192" t="n"/>
      <c r="M91" s="192" t="n"/>
      <c r="N91" s="192" t="n"/>
      <c r="O91" s="192" t="n"/>
      <c r="P91" s="192" t="n"/>
      <c r="Q91" s="192" t="n"/>
    </row>
    <row r="92" ht="15.75" customHeight="1" s="251">
      <c r="A92" s="192" t="n"/>
      <c r="B92" s="197" t="inlineStr">
        <is>
          <t>Tax rate (from WACC build)</t>
        </is>
      </c>
      <c r="C92" s="210">
        <f>$C$10</f>
        <v>0.24</v>
      </c>
      <c r="D92" s="192" t="n"/>
      <c r="E92" s="192" t="n"/>
      <c r="F92" s="192" t="n"/>
      <c r="G92" s="192" t="n"/>
      <c r="H92" s="192" t="n"/>
      <c r="I92" s="192" t="n"/>
      <c r="J92" s="192" t="n"/>
      <c r="K92" s="192" t="n"/>
      <c r="L92" s="192" t="n"/>
      <c r="M92" s="192" t="n"/>
      <c r="N92" s="192" t="n"/>
      <c r="O92" s="192" t="n"/>
      <c r="P92" s="192" t="n"/>
      <c r="Q92" s="192" t="n"/>
    </row>
    <row r="93" ht="15.75" customHeight="1" s="251">
      <c r="A93" s="192" t="n"/>
      <c r="B93" s="197" t="inlineStr">
        <is>
          <t>2028E NOPAT</t>
        </is>
      </c>
      <c r="C93" s="211">
        <f>C91*(1-C92)</f>
        <v>3575.57997512846</v>
      </c>
      <c r="D93" s="192" t="n"/>
      <c r="E93" s="192" t="n"/>
      <c r="F93" s="192" t="n"/>
      <c r="G93" s="192" t="n"/>
      <c r="H93" s="192" t="n"/>
      <c r="I93" s="192" t="n"/>
      <c r="J93" s="192" t="n"/>
      <c r="K93" s="192" t="n"/>
      <c r="L93" s="192" t="n"/>
      <c r="M93" s="192" t="n"/>
      <c r="N93" s="192" t="n"/>
      <c r="O93" s="192" t="n"/>
      <c r="P93" s="192" t="n"/>
      <c r="Q93" s="192" t="n"/>
    </row>
    <row r="94" ht="15.75" customHeight="1" s="251">
      <c r="A94" s="192" t="n"/>
      <c r="B94" s="197" t="inlineStr">
        <is>
          <t>× Mauboussin EV/NOPAT multiple</t>
        </is>
      </c>
      <c r="C94" s="305">
        <f>C88</f>
        <v>21.6568579419733</v>
      </c>
      <c r="D94" s="192" t="n"/>
      <c r="E94" s="192" t="n"/>
      <c r="F94" s="192" t="n"/>
      <c r="G94" s="192" t="n"/>
      <c r="H94" s="192" t="n"/>
      <c r="I94" s="192" t="n"/>
      <c r="J94" s="192" t="n"/>
      <c r="K94" s="192" t="n"/>
      <c r="L94" s="192" t="n"/>
      <c r="M94" s="192" t="n"/>
      <c r="N94" s="192" t="n"/>
      <c r="O94" s="192" t="n"/>
      <c r="P94" s="192" t="n"/>
      <c r="Q94" s="192" t="n"/>
    </row>
    <row r="95" ht="15.75" customHeight="1" s="251">
      <c r="A95" s="192" t="n"/>
      <c r="B95" s="197" t="inlineStr">
        <is>
          <t>Implied Enterprise Value (2028E basis)</t>
        </is>
      </c>
      <c r="C95" s="211">
        <f>C93*C94</f>
        <v>77435.8275815217</v>
      </c>
      <c r="D95" s="192" t="n"/>
      <c r="E95" s="192" t="n"/>
      <c r="F95" s="192" t="n"/>
      <c r="G95" s="192" t="n"/>
      <c r="H95" s="192" t="n"/>
      <c r="I95" s="192" t="n"/>
      <c r="J95" s="192" t="n"/>
      <c r="K95" s="192" t="n"/>
      <c r="L95" s="192" t="n"/>
      <c r="M95" s="192" t="n"/>
      <c r="N95" s="192" t="n"/>
      <c r="O95" s="192" t="n"/>
      <c r="P95" s="192" t="n"/>
      <c r="Q95" s="192" t="n"/>
    </row>
    <row r="96" ht="15.75" customHeight="1" s="251">
      <c r="A96" s="192" t="n"/>
      <c r="B96" s="197" t="inlineStr">
        <is>
          <t>Less: YE2027 net debt + NCI (Model)</t>
        </is>
      </c>
      <c r="C96" s="209">
        <f>Model!CB417+Model!CB332</f>
        <v>5976.6321463472</v>
      </c>
      <c r="D96" s="192" t="n"/>
      <c r="E96" s="192" t="n"/>
      <c r="F96" s="192" t="n"/>
      <c r="G96" s="192" t="n"/>
      <c r="H96" s="192" t="n"/>
      <c r="I96" s="192" t="n"/>
      <c r="J96" s="192" t="n"/>
      <c r="K96" s="192" t="n"/>
      <c r="L96" s="192" t="n"/>
      <c r="M96" s="192" t="n"/>
      <c r="N96" s="192" t="n"/>
      <c r="O96" s="192" t="n"/>
      <c r="P96" s="192" t="n"/>
      <c r="Q96" s="192" t="n"/>
    </row>
    <row r="97" ht="15.75" customHeight="1" s="251">
      <c r="A97" s="192" t="n"/>
      <c r="B97" s="197" t="inlineStr">
        <is>
          <t>Implied Equity Value</t>
        </is>
      </c>
      <c r="C97" s="211">
        <f>C95-C96</f>
        <v>71459.1954351745</v>
      </c>
      <c r="D97" s="192" t="n"/>
      <c r="E97" s="192" t="n"/>
      <c r="F97" s="192" t="n"/>
      <c r="G97" s="192" t="n"/>
      <c r="H97" s="192" t="n"/>
      <c r="I97" s="192" t="n"/>
      <c r="J97" s="192" t="n"/>
      <c r="K97" s="192" t="n"/>
      <c r="L97" s="192" t="n"/>
      <c r="M97" s="192" t="n"/>
      <c r="N97" s="192" t="n"/>
      <c r="O97" s="192" t="n"/>
      <c r="P97" s="192" t="n"/>
      <c r="Q97" s="192" t="n"/>
    </row>
    <row r="98" ht="15.75" customHeight="1" s="251">
      <c r="A98" s="192" t="n"/>
      <c r="B98" s="197" t="inlineStr">
        <is>
          <t>Diluted shares 2028E (m, Model)</t>
        </is>
      </c>
      <c r="C98" s="212">
        <f>Model!CC424</f>
        <v>162.183455745518</v>
      </c>
      <c r="D98" s="192" t="n"/>
      <c r="E98" s="192" t="n"/>
      <c r="F98" s="192" t="n"/>
      <c r="G98" s="192" t="n"/>
      <c r="H98" s="192" t="n"/>
      <c r="I98" s="192" t="n"/>
      <c r="J98" s="192" t="n"/>
      <c r="K98" s="192" t="n"/>
      <c r="L98" s="192" t="n"/>
      <c r="M98" s="192" t="n"/>
      <c r="N98" s="192" t="n"/>
      <c r="O98" s="192" t="n"/>
      <c r="P98" s="192" t="n"/>
      <c r="Q98" s="192" t="n"/>
    </row>
    <row r="99" ht="15.75" customHeight="1" s="251">
      <c r="A99" s="192" t="n"/>
      <c r="B99" s="202" t="inlineStr">
        <is>
          <t>Implied share price 2028 ($)</t>
        </is>
      </c>
      <c r="C99" s="213">
        <f>C97/C98</f>
        <v>440.607182198049</v>
      </c>
      <c r="D99" s="192" t="n"/>
      <c r="E99" s="192" t="n"/>
      <c r="F99" s="192" t="n"/>
      <c r="G99" s="192" t="n"/>
      <c r="H99" s="192" t="n"/>
      <c r="I99" s="192" t="n"/>
      <c r="J99" s="192" t="n"/>
      <c r="K99" s="192" t="n"/>
      <c r="L99" s="192" t="n"/>
      <c r="M99" s="192" t="n"/>
      <c r="N99" s="192" t="n"/>
      <c r="O99" s="192" t="n"/>
      <c r="P99" s="192" t="n"/>
      <c r="Q99" s="192" t="n"/>
    </row>
    <row r="100" ht="15" customHeight="1" s="251">
      <c r="A100" s="192" t="n"/>
      <c r="B100" s="192" t="n"/>
      <c r="C100" s="192" t="n"/>
      <c r="D100" s="192" t="n"/>
      <c r="E100" s="192" t="n"/>
      <c r="F100" s="192" t="n"/>
      <c r="G100" s="192" t="n"/>
      <c r="H100" s="192" t="n"/>
      <c r="I100" s="192" t="n"/>
      <c r="J100" s="192" t="n"/>
      <c r="K100" s="192" t="n"/>
      <c r="L100" s="192" t="n"/>
      <c r="M100" s="192" t="n"/>
      <c r="N100" s="192" t="n"/>
      <c r="O100" s="192" t="n"/>
      <c r="P100" s="192" t="n"/>
      <c r="Q100" s="192" t="n"/>
    </row>
    <row r="101" ht="15.75" customHeight="1" s="251">
      <c r="A101" s="192" t="n"/>
      <c r="B101" s="197" t="inlineStr">
        <is>
          <t>Current share price ($)</t>
        </is>
      </c>
      <c r="C101" s="214">
        <f>C52</f>
        <v>470</v>
      </c>
      <c r="D101" s="192" t="n"/>
      <c r="E101" s="192" t="n"/>
      <c r="F101" s="192" t="n"/>
      <c r="G101" s="192" t="n"/>
      <c r="H101" s="192" t="n"/>
      <c r="I101" s="192" t="n"/>
      <c r="J101" s="192" t="n"/>
      <c r="K101" s="192" t="n"/>
      <c r="L101" s="192" t="n"/>
      <c r="M101" s="192" t="n"/>
      <c r="N101" s="192" t="n"/>
      <c r="O101" s="192" t="n"/>
      <c r="P101" s="192" t="n"/>
      <c r="Q101" s="192" t="n"/>
    </row>
    <row r="102" ht="15.75" customHeight="1" s="251">
      <c r="A102" s="192" t="n"/>
      <c r="B102" s="199" t="inlineStr">
        <is>
          <t>Implied upside / (downside)</t>
        </is>
      </c>
      <c r="C102" s="245">
        <f>C99/C101-1</f>
        <v>-0.0625379102169178</v>
      </c>
      <c r="D102" s="192" t="n"/>
      <c r="E102" s="192" t="n"/>
      <c r="F102" s="192" t="n"/>
      <c r="G102" s="192" t="n"/>
      <c r="H102" s="192" t="n"/>
      <c r="I102" s="192" t="n"/>
      <c r="J102" s="192" t="n"/>
      <c r="K102" s="192" t="n"/>
      <c r="L102" s="192" t="n"/>
      <c r="M102" s="192" t="n"/>
      <c r="N102" s="192" t="n"/>
      <c r="O102" s="192" t="n"/>
      <c r="P102" s="192" t="n"/>
      <c r="Q102" s="192" t="n"/>
    </row>
    <row r="103" ht="15" customHeight="1" s="251">
      <c r="A103" s="192" t="n"/>
      <c r="B103" s="192" t="n"/>
      <c r="C103" s="192" t="n"/>
      <c r="D103" s="192" t="n"/>
      <c r="E103" s="192" t="n"/>
      <c r="F103" s="192" t="n"/>
      <c r="G103" s="192" t="n"/>
      <c r="H103" s="192" t="n"/>
      <c r="I103" s="192" t="n"/>
      <c r="J103" s="192" t="n"/>
      <c r="K103" s="192" t="n"/>
      <c r="L103" s="192" t="n"/>
      <c r="M103" s="192" t="n"/>
      <c r="N103" s="192" t="n"/>
      <c r="O103" s="192" t="n"/>
      <c r="P103" s="192" t="n"/>
      <c r="Q103" s="192" t="n"/>
    </row>
    <row r="104" ht="15.75" customHeight="1" s="251">
      <c r="A104" s="192" t="n"/>
      <c r="B104" s="195" t="inlineStr">
        <is>
          <t>MARKET-IMPLIED EV/NOPAT TODAY</t>
        </is>
      </c>
      <c r="C104" s="207" t="inlineStr">
        <is>
          <t>USDm</t>
        </is>
      </c>
      <c r="D104" s="192" t="n"/>
      <c r="E104" s="192" t="n"/>
      <c r="F104" s="192" t="n"/>
      <c r="G104" s="192" t="n"/>
      <c r="H104" s="192" t="n"/>
      <c r="I104" s="192" t="n"/>
      <c r="J104" s="192" t="n"/>
      <c r="K104" s="192" t="n"/>
      <c r="L104" s="192" t="n"/>
      <c r="M104" s="192" t="n"/>
      <c r="N104" s="192" t="n"/>
      <c r="O104" s="192" t="n"/>
      <c r="P104" s="192" t="n"/>
      <c r="Q104" s="192" t="n"/>
    </row>
    <row r="105" ht="15.75" customHeight="1" s="251">
      <c r="A105" s="192" t="n"/>
      <c r="B105" s="197" t="inlineStr">
        <is>
          <t>Current market cap (spot × diluted shares)</t>
        </is>
      </c>
      <c r="C105" s="211">
        <f>C52*C50</f>
        <v>81024.5</v>
      </c>
      <c r="D105" s="192" t="n"/>
      <c r="E105" s="192" t="n"/>
      <c r="F105" s="192" t="n"/>
      <c r="G105" s="192" t="n"/>
      <c r="H105" s="192" t="n"/>
      <c r="I105" s="192" t="n"/>
      <c r="J105" s="192" t="n"/>
      <c r="K105" s="192" t="n"/>
      <c r="L105" s="192" t="n"/>
      <c r="M105" s="192" t="n"/>
      <c r="N105" s="192" t="n"/>
      <c r="O105" s="192" t="n"/>
      <c r="P105" s="192" t="n"/>
      <c r="Q105" s="192" t="n"/>
    </row>
    <row r="106" ht="15.75" customHeight="1" s="251">
      <c r="A106" s="192" t="n"/>
      <c r="B106" s="197" t="inlineStr">
        <is>
          <t>Plus: YE2026 net debt + NCI</t>
        </is>
      </c>
      <c r="C106" s="211">
        <f>C48</f>
        <v>5134.04921857913</v>
      </c>
      <c r="D106" s="192" t="n"/>
      <c r="E106" s="192" t="n"/>
      <c r="F106" s="192" t="n"/>
      <c r="G106" s="192" t="n"/>
      <c r="H106" s="192" t="n"/>
      <c r="I106" s="192" t="n"/>
      <c r="J106" s="192" t="n"/>
      <c r="K106" s="192" t="n"/>
      <c r="L106" s="192" t="n"/>
      <c r="M106" s="192" t="n"/>
      <c r="N106" s="192" t="n"/>
      <c r="O106" s="192" t="n"/>
      <c r="P106" s="192" t="n"/>
      <c r="Q106" s="192" t="n"/>
    </row>
    <row r="107" ht="15.75" customHeight="1" s="251">
      <c r="A107" s="192" t="n"/>
      <c r="B107" s="197" t="inlineStr">
        <is>
          <t>Implied Enterprise Value (today)</t>
        </is>
      </c>
      <c r="C107" s="211">
        <f>C105+C106</f>
        <v>86158.5492185791</v>
      </c>
      <c r="D107" s="192" t="n"/>
      <c r="E107" s="192" t="n"/>
      <c r="F107" s="192" t="n"/>
      <c r="G107" s="192" t="n"/>
      <c r="H107" s="192" t="n"/>
      <c r="I107" s="192" t="n"/>
      <c r="J107" s="192" t="n"/>
      <c r="K107" s="192" t="n"/>
      <c r="L107" s="192" t="n"/>
      <c r="M107" s="192" t="n"/>
      <c r="N107" s="192" t="n"/>
      <c r="O107" s="192" t="n"/>
      <c r="P107" s="192" t="n"/>
      <c r="Q107" s="192" t="n"/>
    </row>
    <row r="108" ht="15.75" customHeight="1" s="251">
      <c r="A108" s="192" t="n"/>
      <c r="B108" s="202" t="inlineStr">
        <is>
          <t>MCO market-implied EV/NOPAT (on 2028E NOPAT)</t>
        </is>
      </c>
      <c r="C108" s="306">
        <f>C107/C93</f>
        <v>24.096384311886</v>
      </c>
      <c r="D108" s="192" t="n"/>
      <c r="E108" s="192" t="n"/>
      <c r="F108" s="192" t="n"/>
      <c r="G108" s="192" t="n"/>
      <c r="H108" s="192" t="n"/>
      <c r="I108" s="192" t="n"/>
      <c r="J108" s="192" t="n"/>
      <c r="K108" s="192" t="n"/>
      <c r="L108" s="192" t="n"/>
      <c r="M108" s="192" t="n"/>
      <c r="N108" s="192" t="n"/>
      <c r="O108" s="192" t="n"/>
      <c r="P108" s="192" t="n"/>
      <c r="Q108" s="192" t="n"/>
    </row>
    <row r="109" ht="15" customHeight="1" s="251">
      <c r="A109" s="192" t="n"/>
      <c r="B109" s="192" t="n"/>
      <c r="C109" s="192" t="n"/>
      <c r="D109" s="192" t="n"/>
      <c r="E109" s="192" t="n"/>
      <c r="F109" s="192" t="n"/>
      <c r="G109" s="192" t="n"/>
      <c r="H109" s="192" t="n"/>
      <c r="I109" s="192" t="n"/>
      <c r="J109" s="192" t="n"/>
      <c r="K109" s="192" t="n"/>
      <c r="L109" s="192" t="n"/>
      <c r="M109" s="192" t="n"/>
      <c r="N109" s="192" t="n"/>
      <c r="O109" s="192" t="n"/>
      <c r="P109" s="192" t="n"/>
      <c r="Q109" s="192" t="n"/>
    </row>
    <row r="110" ht="15.75" customHeight="1" s="251">
      <c r="A110" s="192" t="n"/>
      <c r="B110" s="199" t="inlineStr">
        <is>
          <t>Multiple gap (Mauboussin − Market)</t>
        </is>
      </c>
      <c r="C110" s="247">
        <f>C88-C108</f>
        <v>-2.43952636991265</v>
      </c>
      <c r="D110" s="192" t="n"/>
      <c r="E110" s="192" t="n"/>
      <c r="F110" s="192" t="n"/>
      <c r="G110" s="192" t="n"/>
      <c r="H110" s="192" t="n"/>
      <c r="I110" s="192" t="n"/>
      <c r="J110" s="192" t="n"/>
      <c r="K110" s="192" t="n"/>
      <c r="L110" s="192" t="n"/>
      <c r="M110" s="192" t="n"/>
      <c r="N110" s="192" t="n"/>
      <c r="O110" s="192" t="n"/>
      <c r="P110" s="192" t="n"/>
      <c r="Q110" s="192" t="n"/>
    </row>
    <row r="111" ht="15.75" customHeight="1" s="251">
      <c r="A111" s="192" t="n"/>
      <c r="B111" s="197" t="inlineStr">
        <is>
          <t>Implied re-rating headroom</t>
        </is>
      </c>
      <c r="C111" s="215">
        <f>C88/C108-1</f>
        <v>-0.101240349520376</v>
      </c>
      <c r="D111" s="192" t="n"/>
      <c r="E111" s="192" t="n"/>
      <c r="F111" s="192" t="n"/>
      <c r="G111" s="192" t="n"/>
      <c r="H111" s="192" t="n"/>
      <c r="I111" s="192" t="n"/>
      <c r="J111" s="192" t="n"/>
      <c r="K111" s="192" t="n"/>
      <c r="L111" s="192" t="n"/>
      <c r="M111" s="192" t="n"/>
      <c r="N111" s="192" t="n"/>
      <c r="O111" s="192" t="n"/>
      <c r="P111" s="192" t="n"/>
      <c r="Q111" s="192" t="n"/>
    </row>
    <row r="112" ht="15" customHeight="1" s="251">
      <c r="A112" s="192" t="n"/>
      <c r="B112" s="192" t="n"/>
      <c r="C112" s="192" t="n"/>
      <c r="D112" s="192" t="n"/>
      <c r="E112" s="192" t="n"/>
      <c r="F112" s="192" t="n"/>
      <c r="G112" s="192" t="n"/>
      <c r="H112" s="192" t="n"/>
      <c r="I112" s="192" t="n"/>
      <c r="J112" s="192" t="n"/>
      <c r="K112" s="192" t="n"/>
      <c r="L112" s="192" t="n"/>
      <c r="M112" s="192" t="n"/>
      <c r="N112" s="192" t="n"/>
      <c r="O112" s="192" t="n"/>
      <c r="P112" s="192" t="n"/>
      <c r="Q112" s="192" t="n"/>
    </row>
    <row r="113" ht="15" customHeight="1" s="251">
      <c r="A113" s="192" t="n"/>
      <c r="B113" s="192" t="n"/>
      <c r="C113" s="192" t="n"/>
      <c r="D113" s="192" t="n"/>
      <c r="E113" s="192" t="n"/>
      <c r="F113" s="192" t="n"/>
      <c r="G113" s="192" t="n"/>
      <c r="H113" s="192" t="n"/>
      <c r="I113" s="192" t="n"/>
      <c r="J113" s="192" t="n"/>
      <c r="K113" s="192" t="n"/>
      <c r="L113" s="192" t="n"/>
      <c r="M113" s="192" t="n"/>
      <c r="N113" s="192" t="n"/>
      <c r="O113" s="192" t="n"/>
      <c r="P113" s="192" t="n"/>
      <c r="Q113" s="192" t="n"/>
    </row>
    <row r="114" ht="15" customHeight="1" s="251">
      <c r="A114" s="192" t="n"/>
      <c r="B114" s="192" t="n"/>
      <c r="C114" s="192" t="n"/>
      <c r="D114" s="192" t="n"/>
      <c r="E114" s="192" t="n"/>
      <c r="F114" s="192" t="n"/>
      <c r="G114" s="192" t="n"/>
      <c r="H114" s="192" t="n"/>
      <c r="I114" s="192" t="n"/>
      <c r="J114" s="192" t="n"/>
      <c r="K114" s="192" t="n"/>
      <c r="L114" s="192" t="n"/>
      <c r="M114" s="192" t="n"/>
      <c r="N114" s="192" t="n"/>
      <c r="O114" s="192" t="n"/>
      <c r="P114" s="192" t="n"/>
      <c r="Q114" s="192" t="n"/>
    </row>
    <row r="115" ht="15" customHeight="1" s="251">
      <c r="A115" s="192" t="n"/>
      <c r="B115" s="192" t="n"/>
      <c r="C115" s="192" t="n"/>
      <c r="D115" s="192" t="n"/>
      <c r="E115" s="192" t="n"/>
      <c r="F115" s="192" t="n"/>
      <c r="G115" s="192" t="n"/>
      <c r="H115" s="192" t="n"/>
      <c r="I115" s="192" t="n"/>
      <c r="J115" s="192" t="n"/>
      <c r="K115" s="192" t="n"/>
      <c r="L115" s="192" t="n"/>
      <c r="M115" s="192" t="n"/>
      <c r="N115" s="192" t="n"/>
      <c r="O115" s="192" t="n"/>
      <c r="P115" s="192" t="n"/>
      <c r="Q115" s="192" t="n"/>
    </row>
    <row r="116">
      <c r="A116" s="192" t="n"/>
      <c r="B116" s="192" t="n"/>
      <c r="C116" s="192" t="n"/>
      <c r="D116" s="192" t="n"/>
      <c r="E116" s="192" t="n"/>
      <c r="F116" s="192" t="n"/>
      <c r="G116" s="192" t="n"/>
      <c r="H116" s="192" t="n"/>
      <c r="I116" s="192" t="n"/>
      <c r="J116" s="192" t="n"/>
      <c r="K116" s="192" t="n"/>
      <c r="L116" s="192" t="n"/>
      <c r="M116" s="192" t="n"/>
      <c r="N116" s="192" t="n"/>
      <c r="O116" s="192" t="n"/>
      <c r="P116" s="192" t="n"/>
      <c r="Q116" s="192" t="n"/>
    </row>
    <row r="117" ht="15" customHeight="1" s="251">
      <c r="A117" s="192" t="n"/>
      <c r="B117" s="192" t="n"/>
      <c r="C117" s="192" t="n"/>
      <c r="D117" s="192" t="n"/>
      <c r="E117" s="192" t="n"/>
      <c r="F117" s="192" t="n"/>
      <c r="G117" s="192" t="n"/>
      <c r="H117" s="192" t="n"/>
      <c r="I117" s="192" t="n"/>
      <c r="J117" s="192" t="n"/>
      <c r="K117" s="192" t="n"/>
      <c r="L117" s="192" t="n"/>
      <c r="M117" s="192" t="n"/>
      <c r="N117" s="192" t="n"/>
      <c r="O117" s="192" t="n"/>
      <c r="P117" s="192" t="n"/>
      <c r="Q117" s="192" t="n"/>
    </row>
    <row r="118" ht="15" customHeight="1" s="251">
      <c r="A118" s="192" t="n"/>
      <c r="B118" s="192" t="n"/>
      <c r="C118" s="192" t="n"/>
      <c r="D118" s="192" t="n"/>
      <c r="E118" s="192" t="n"/>
      <c r="F118" s="192" t="n"/>
      <c r="G118" s="192" t="n"/>
      <c r="H118" s="192" t="n"/>
      <c r="I118" s="192" t="n"/>
      <c r="J118" s="192" t="n"/>
      <c r="K118" s="192" t="n"/>
      <c r="L118" s="192" t="n"/>
      <c r="M118" s="192" t="n"/>
      <c r="N118" s="192" t="n"/>
      <c r="O118" s="192" t="n"/>
      <c r="P118" s="192" t="n"/>
      <c r="Q118" s="192" t="n"/>
    </row>
    <row r="119">
      <c r="A119" s="192" t="n"/>
      <c r="B119" s="192" t="n"/>
      <c r="C119" s="192" t="n"/>
      <c r="D119" s="192" t="n"/>
      <c r="E119" s="192" t="n"/>
      <c r="F119" s="192" t="n"/>
      <c r="G119" s="192" t="n"/>
      <c r="H119" s="192" t="n"/>
      <c r="I119" s="192" t="n"/>
      <c r="J119" s="192" t="n"/>
      <c r="K119" s="192" t="n"/>
      <c r="L119" s="192" t="n"/>
      <c r="M119" s="192" t="n"/>
      <c r="N119" s="192" t="n"/>
      <c r="O119" s="192" t="n"/>
      <c r="P119" s="192" t="n"/>
      <c r="Q119" s="192" t="n"/>
    </row>
    <row r="120">
      <c r="A120" s="192" t="n"/>
      <c r="B120" s="192" t="n"/>
      <c r="C120" s="192" t="n"/>
      <c r="D120" s="192" t="n"/>
      <c r="E120" s="192" t="n"/>
      <c r="F120" s="192" t="n"/>
      <c r="G120" s="192" t="n"/>
      <c r="H120" s="192" t="n"/>
      <c r="I120" s="192" t="n"/>
      <c r="J120" s="192" t="n"/>
      <c r="K120" s="192" t="n"/>
      <c r="L120" s="192" t="n"/>
      <c r="M120" s="192" t="n"/>
      <c r="N120" s="192" t="n"/>
      <c r="O120" s="192" t="n"/>
      <c r="P120" s="192" t="n"/>
      <c r="Q120" s="192" t="n"/>
    </row>
    <row r="121">
      <c r="A121" s="192" t="n"/>
      <c r="B121" s="192" t="n"/>
      <c r="C121" s="192" t="n"/>
      <c r="D121" s="192" t="n"/>
      <c r="E121" s="192" t="n"/>
      <c r="F121" s="192" t="n"/>
      <c r="G121" s="192" t="n"/>
      <c r="H121" s="192" t="n"/>
      <c r="I121" s="192" t="n"/>
      <c r="J121" s="192" t="n"/>
      <c r="K121" s="192" t="n"/>
      <c r="L121" s="192" t="n"/>
      <c r="M121" s="192" t="n"/>
      <c r="N121" s="192" t="n"/>
      <c r="O121" s="192" t="n"/>
      <c r="P121" s="192" t="n"/>
      <c r="Q121" s="192" t="n"/>
    </row>
    <row r="122">
      <c r="A122" s="192" t="n"/>
      <c r="B122" s="192" t="n"/>
      <c r="C122" s="192" t="n"/>
      <c r="D122" s="192" t="n"/>
      <c r="E122" s="192" t="n"/>
      <c r="F122" s="192" t="n"/>
      <c r="G122" s="192" t="n"/>
      <c r="H122" s="192" t="n"/>
      <c r="I122" s="192" t="n"/>
      <c r="J122" s="192" t="n"/>
      <c r="K122" s="192" t="n"/>
      <c r="L122" s="192" t="n"/>
      <c r="M122" s="192" t="n"/>
      <c r="N122" s="192" t="n"/>
      <c r="O122" s="192" t="n"/>
      <c r="P122" s="192" t="n"/>
      <c r="Q122" s="192" t="n"/>
    </row>
    <row r="123">
      <c r="A123" s="192" t="n"/>
      <c r="B123" s="192" t="n"/>
      <c r="C123" s="192" t="n"/>
      <c r="D123" s="192" t="n"/>
      <c r="E123" s="192" t="n"/>
      <c r="F123" s="192" t="n"/>
      <c r="G123" s="192" t="n"/>
      <c r="H123" s="192" t="n"/>
      <c r="I123" s="192" t="n"/>
      <c r="J123" s="192" t="n"/>
      <c r="K123" s="192" t="n"/>
      <c r="L123" s="192" t="n"/>
      <c r="M123" s="192" t="n"/>
      <c r="N123" s="192" t="n"/>
      <c r="O123" s="192" t="n"/>
      <c r="P123" s="192" t="n"/>
      <c r="Q123" s="192" t="n"/>
    </row>
    <row r="124">
      <c r="A124" s="192" t="n"/>
      <c r="B124" s="192" t="n"/>
      <c r="C124" s="192" t="n"/>
      <c r="D124" s="192" t="n"/>
      <c r="E124" s="192" t="n"/>
      <c r="F124" s="192" t="n"/>
      <c r="G124" s="192" t="n"/>
      <c r="H124" s="192" t="n"/>
      <c r="I124" s="192" t="n"/>
      <c r="J124" s="192" t="n"/>
      <c r="K124" s="192" t="n"/>
      <c r="L124" s="192" t="n"/>
      <c r="M124" s="192" t="n"/>
      <c r="N124" s="192" t="n"/>
      <c r="O124" s="192" t="n"/>
      <c r="P124" s="192" t="n"/>
      <c r="Q124" s="192" t="n"/>
    </row>
    <row r="125">
      <c r="A125" s="192" t="n"/>
      <c r="B125" s="192" t="n"/>
      <c r="C125" s="192" t="n"/>
      <c r="D125" s="192" t="n"/>
      <c r="E125" s="192" t="n"/>
      <c r="F125" s="192" t="n"/>
      <c r="G125" s="192" t="n"/>
      <c r="H125" s="192" t="n"/>
      <c r="I125" s="192" t="n"/>
      <c r="J125" s="192" t="n"/>
      <c r="K125" s="192" t="n"/>
      <c r="L125" s="192" t="n"/>
      <c r="M125" s="192" t="n"/>
      <c r="N125" s="192" t="n"/>
      <c r="O125" s="192" t="n"/>
      <c r="P125" s="192" t="n"/>
      <c r="Q125" s="192" t="n"/>
    </row>
    <row r="126">
      <c r="A126" s="192" t="n"/>
      <c r="B126" s="192" t="n"/>
      <c r="C126" s="192" t="n"/>
      <c r="D126" s="192" t="n"/>
      <c r="E126" s="192" t="n"/>
      <c r="F126" s="192" t="n"/>
      <c r="G126" s="192" t="n"/>
      <c r="H126" s="192" t="n"/>
      <c r="I126" s="192" t="n"/>
      <c r="J126" s="192" t="n"/>
      <c r="K126" s="192" t="n"/>
      <c r="L126" s="192" t="n"/>
      <c r="M126" s="192" t="n"/>
      <c r="N126" s="192" t="n"/>
      <c r="O126" s="192" t="n"/>
      <c r="P126" s="192" t="n"/>
      <c r="Q126" s="192" t="n"/>
    </row>
    <row r="127">
      <c r="A127" s="192" t="n"/>
      <c r="B127" s="192" t="n"/>
      <c r="C127" s="192" t="n"/>
      <c r="D127" s="192" t="n"/>
      <c r="E127" s="192" t="n"/>
      <c r="F127" s="192" t="n"/>
      <c r="G127" s="192" t="n"/>
      <c r="H127" s="192" t="n"/>
      <c r="I127" s="192" t="n"/>
      <c r="J127" s="192" t="n"/>
      <c r="K127" s="192" t="n"/>
      <c r="L127" s="192" t="n"/>
      <c r="M127" s="192" t="n"/>
      <c r="N127" s="192" t="n"/>
      <c r="O127" s="192" t="n"/>
      <c r="P127" s="192" t="n"/>
      <c r="Q127" s="192" t="n"/>
    </row>
    <row r="128">
      <c r="A128" s="192" t="n"/>
      <c r="B128" s="192" t="n"/>
      <c r="C128" s="192" t="n"/>
      <c r="D128" s="192" t="n"/>
      <c r="E128" s="192" t="n"/>
      <c r="F128" s="192" t="n"/>
      <c r="G128" s="192" t="n"/>
      <c r="H128" s="192" t="n"/>
      <c r="I128" s="192" t="n"/>
      <c r="J128" s="192" t="n"/>
      <c r="K128" s="192" t="n"/>
      <c r="L128" s="192" t="n"/>
      <c r="M128" s="192" t="n"/>
      <c r="N128" s="192" t="n"/>
      <c r="O128" s="192" t="n"/>
      <c r="P128" s="192" t="n"/>
      <c r="Q128" s="192" t="n"/>
    </row>
    <row r="129">
      <c r="A129" s="192" t="n"/>
      <c r="B129" s="192" t="n"/>
      <c r="C129" s="192" t="n"/>
      <c r="D129" s="192" t="n"/>
      <c r="E129" s="192" t="n"/>
      <c r="F129" s="192" t="n"/>
      <c r="G129" s="192" t="n"/>
      <c r="H129" s="192" t="n"/>
      <c r="I129" s="192" t="n"/>
      <c r="J129" s="192" t="n"/>
      <c r="K129" s="192" t="n"/>
      <c r="L129" s="192" t="n"/>
      <c r="M129" s="192" t="n"/>
      <c r="N129" s="192" t="n"/>
      <c r="O129" s="192" t="n"/>
      <c r="P129" s="192" t="n"/>
      <c r="Q129" s="192" t="n"/>
    </row>
    <row r="130">
      <c r="A130" s="192" t="n"/>
      <c r="B130" s="192" t="n"/>
      <c r="C130" s="192" t="n"/>
      <c r="D130" s="192" t="n"/>
      <c r="E130" s="192" t="n"/>
      <c r="F130" s="192" t="n"/>
      <c r="G130" s="192" t="n"/>
      <c r="H130" s="192" t="n"/>
      <c r="I130" s="192" t="n"/>
      <c r="J130" s="192" t="n"/>
      <c r="K130" s="192" t="n"/>
      <c r="L130" s="192" t="n"/>
      <c r="M130" s="192" t="n"/>
      <c r="N130" s="192" t="n"/>
      <c r="O130" s="192" t="n"/>
      <c r="P130" s="192" t="n"/>
      <c r="Q130" s="192" t="n"/>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V21"/>
  <sheetViews>
    <sheetView zoomScale="70" zoomScaleNormal="70" workbookViewId="0">
      <selection activeCell="A1" sqref="A1"/>
    </sheetView>
  </sheetViews>
  <sheetFormatPr baseColWidth="8" defaultColWidth="8.5703125" defaultRowHeight="15"/>
  <cols>
    <col width="30" customWidth="1" style="251" min="2" max="2"/>
  </cols>
  <sheetData>
    <row r="2" ht="17.25" customHeight="1" s="251">
      <c r="B2" s="107" t="inlineStr">
        <is>
          <t>Moody's Corporation — Operating Performance (2011–2025) and Model Forecast (2026E–2030E)</t>
        </is>
      </c>
    </row>
    <row r="3" ht="15" customHeight="1" s="251">
      <c r="B3" s="4" t="inlineStr">
        <is>
          <t>USDm · Linked to Model. Bars = contribution of each segment to total revenue growth (pp). Adjusted Operating Income = company definition (Adjusted EBITDA; before 2012 the model applies the current definition). Book ROIC is not charted (invested capital is near zero or negative after debt-funded buybacks); FCF conversion is shown instead.</t>
        </is>
      </c>
    </row>
    <row r="7" ht="15" customHeight="1" s="251">
      <c r="C7" s="10" t="n">
        <v>2011</v>
      </c>
      <c r="D7" s="10" t="n">
        <v>2012</v>
      </c>
      <c r="E7" s="10" t="n">
        <v>2013</v>
      </c>
      <c r="F7" s="10" t="n">
        <v>2014</v>
      </c>
      <c r="G7" s="10" t="n">
        <v>2015</v>
      </c>
      <c r="H7" s="10" t="n">
        <v>2016</v>
      </c>
      <c r="I7" s="10" t="n">
        <v>2017</v>
      </c>
      <c r="J7" s="10" t="n">
        <v>2018</v>
      </c>
      <c r="K7" s="10" t="n">
        <v>2019</v>
      </c>
      <c r="L7" s="10" t="n">
        <v>2020</v>
      </c>
      <c r="M7" s="10" t="n">
        <v>2021</v>
      </c>
      <c r="N7" s="10" t="n">
        <v>2022</v>
      </c>
      <c r="O7" s="10" t="n">
        <v>2023</v>
      </c>
      <c r="P7" s="10" t="n">
        <v>2024</v>
      </c>
      <c r="Q7" s="10" t="n">
        <v>2025</v>
      </c>
      <c r="R7" s="10" t="inlineStr">
        <is>
          <t>2026E</t>
        </is>
      </c>
      <c r="S7" s="10" t="inlineStr">
        <is>
          <t>2027E</t>
        </is>
      </c>
      <c r="T7" s="10" t="inlineStr">
        <is>
          <t>2028E</t>
        </is>
      </c>
      <c r="U7" s="10" t="inlineStr">
        <is>
          <t>2029E</t>
        </is>
      </c>
      <c r="V7" s="10" t="inlineStr">
        <is>
          <t>2030E</t>
        </is>
      </c>
    </row>
    <row r="8" ht="15" customHeight="1" s="251">
      <c r="B8" t="inlineStr">
        <is>
          <t>MIS contribution to growth (pp)</t>
        </is>
      </c>
      <c r="C8" s="108">
        <f>IFERROR(Model!H91+0,0)</f>
        <v>0.0806594488188976</v>
      </c>
      <c r="D8" s="108">
        <f>IFERROR(Model!I91+0,0)</f>
        <v>0.139387030297716</v>
      </c>
      <c r="E8" s="108">
        <f>IFERROR(Model!N91+0,0)</f>
        <v>0.0632164963557119</v>
      </c>
      <c r="F8" s="108">
        <f>IFERROR(Model!S91+0,0)</f>
        <v>0.0694365012615644</v>
      </c>
      <c r="G8" s="108">
        <f>IFERROR(Model!X91+0,0)</f>
        <v>0.0205140509252317</v>
      </c>
      <c r="H8" s="108">
        <f>IFERROR(Model!AC91+0,0)</f>
        <v>0.0105036590615582</v>
      </c>
      <c r="I8" s="108">
        <f>IFERROR(Model!AH91+0,0)</f>
        <v>0.111813994783863</v>
      </c>
      <c r="J8" s="108">
        <f>IFERROR(Model!AM91+0,0)</f>
        <v>-0.0146047905615948</v>
      </c>
      <c r="K8" s="108">
        <f>IFERROR(Model!AR91+0,0)</f>
        <v>0.0365993652508611</v>
      </c>
      <c r="L8" s="108">
        <f>IFERROR(Model!AW91+0,0)</f>
        <v>0.0863532822530545</v>
      </c>
      <c r="M8" s="108">
        <f>IFERROR(Model!BB91+0,0)</f>
        <v>0.0968162353379259</v>
      </c>
      <c r="N8" s="108">
        <f>IFERROR(Model!BG91+0,0)</f>
        <v>-0.17899646188485</v>
      </c>
      <c r="O8" s="108">
        <f>IFERROR(Model!BL91+0,0)</f>
        <v>0.0294440380395026</v>
      </c>
      <c r="P8" s="108">
        <f>IFERROR(Model!BQ91+0,0)</f>
        <v>0.157707910750507</v>
      </c>
      <c r="Q8" s="108">
        <f>IFERROR(Model!BV91+0,0)</f>
        <v>0.0459932279909707</v>
      </c>
      <c r="R8" s="108">
        <f>IFERROR(Model!CA91+0,0)</f>
        <v>0.0426949987043276</v>
      </c>
      <c r="S8" s="108">
        <f>IFERROR(Model!CB91+0,0)</f>
        <v>0.034663076525929</v>
      </c>
      <c r="T8" s="108">
        <f>IFERROR(Model!CC91+0,0)</f>
        <v>0.0299408707215369</v>
      </c>
      <c r="U8" s="108">
        <f>IFERROR(Model!CD91+0,0)</f>
        <v>0.0287549844084698</v>
      </c>
      <c r="V8" s="108">
        <f>IFERROR(Model!CE91+0,0)</f>
        <v>0.0256584396799027</v>
      </c>
    </row>
    <row r="9" ht="15" customHeight="1" s="251">
      <c r="B9" t="inlineStr">
        <is>
          <t>MA contribution to growth (pp)</t>
        </is>
      </c>
      <c r="C9" s="108">
        <f>IFERROR(Model!H92+0,0)</f>
        <v>0.0417322834645669</v>
      </c>
      <c r="D9" s="108">
        <f>IFERROR(Model!I92+0,0)</f>
        <v>0.0577454290349454</v>
      </c>
      <c r="E9" s="108">
        <f>IFERROR(Model!N92+0,0)</f>
        <v>0.0254917042083288</v>
      </c>
      <c r="F9" s="108">
        <f>IFERROR(Model!S92+0,0)</f>
        <v>0.0522792262405383</v>
      </c>
      <c r="G9" s="108">
        <f>IFERROR(Model!X92+0,0)</f>
        <v>0.0245328854632157</v>
      </c>
      <c r="H9" s="108">
        <f>IFERROR(Model!AC92+0,0)</f>
        <v>0.0238484718037022</v>
      </c>
      <c r="I9" s="108">
        <f>IFERROR(Model!AH92+0,0)</f>
        <v>0.0546307086177237</v>
      </c>
      <c r="J9" s="108">
        <f>IFERROR(Model!AM92+0,0)</f>
        <v>0.071358911538736</v>
      </c>
      <c r="K9" s="108">
        <f>IFERROR(Model!AR92+0,0)</f>
        <v>0.0503522632633309</v>
      </c>
      <c r="L9" s="108">
        <f>IFERROR(Model!AW92+0,0)</f>
        <v>0.0258852764547525</v>
      </c>
      <c r="M9" s="108">
        <f>IFERROR(Model!BB92+0,0)</f>
        <v>0.0608825172221188</v>
      </c>
      <c r="N9" s="108">
        <f>IFERROR(Model!BG92+0,0)</f>
        <v>0.0583788999678353</v>
      </c>
      <c r="O9" s="108">
        <f>IFERROR(Model!BL92+0,0)</f>
        <v>0.0524871982443307</v>
      </c>
      <c r="P9" s="108">
        <f>IFERROR(Model!BQ92+0,0)</f>
        <v>0.0403989181879648</v>
      </c>
      <c r="Q9" s="108">
        <f>IFERROR(Model!BV92+0,0)</f>
        <v>0.0428893905191874</v>
      </c>
      <c r="R9" s="108">
        <f>IFERROR(Model!CA92+0,0)</f>
        <v>0.0233156258097953</v>
      </c>
      <c r="S9" s="108">
        <f>IFERROR(Model!CB92+0,0)</f>
        <v>0.037409155796705</v>
      </c>
      <c r="T9" s="108">
        <f>IFERROR(Model!CC92+0,0)</f>
        <v>0.0379451381968922</v>
      </c>
      <c r="U9" s="108">
        <f>IFERROR(Model!CD92+0,0)</f>
        <v>0.0357944722820405</v>
      </c>
      <c r="V9" s="108">
        <f>IFERROR(Model!CE92+0,0)</f>
        <v>0.0344257355969334</v>
      </c>
    </row>
    <row r="11" ht="15" customHeight="1" s="251">
      <c r="C11" s="10">
        <f>C7</f>
        <v>2011</v>
      </c>
      <c r="D11" s="10">
        <f>D7</f>
        <v>2012</v>
      </c>
      <c r="E11" s="10">
        <f>E7</f>
        <v>2013</v>
      </c>
      <c r="F11" s="10">
        <f>F7</f>
        <v>2014</v>
      </c>
      <c r="G11" s="10">
        <f>G7</f>
        <v>2015</v>
      </c>
      <c r="H11" s="10">
        <f>H7</f>
        <v>2016</v>
      </c>
      <c r="I11" s="10">
        <f>I7</f>
        <v>2017</v>
      </c>
      <c r="J11" s="10">
        <f>J7</f>
        <v>2018</v>
      </c>
      <c r="K11" s="10">
        <f>K7</f>
        <v>2019</v>
      </c>
      <c r="L11" s="10">
        <f>L7</f>
        <v>2020</v>
      </c>
      <c r="M11" s="10">
        <f>M7</f>
        <v>2021</v>
      </c>
      <c r="N11" s="10">
        <f>N7</f>
        <v>2022</v>
      </c>
      <c r="O11" s="10">
        <f>O7</f>
        <v>2023</v>
      </c>
      <c r="P11" s="10">
        <f>P7</f>
        <v>2024</v>
      </c>
      <c r="Q11" s="10">
        <f>Q7</f>
        <v>2025</v>
      </c>
      <c r="R11" s="10" t="str">
        <f>R7</f>
        <v>2026E</v>
      </c>
      <c r="S11" s="10" t="str">
        <f>S7</f>
        <v>2027E</v>
      </c>
      <c r="T11" s="10" t="str">
        <f>T7</f>
        <v>2028E</v>
      </c>
      <c r="U11" s="10" t="str">
        <f>U7</f>
        <v>2029E</v>
      </c>
      <c r="V11" s="10" t="str">
        <f>V7</f>
        <v>2030E</v>
      </c>
    </row>
    <row r="12" ht="15" customHeight="1" s="251">
      <c r="B12" t="inlineStr">
        <is>
          <t>Adjusted Operating Income</t>
        </is>
      </c>
      <c r="C12" s="106">
        <f>Model!H219</f>
        <v>967.6</v>
      </c>
      <c r="D12" s="106">
        <f>Model!I219</f>
        <v>1183.1</v>
      </c>
      <c r="E12" s="106">
        <f>Model!N219</f>
        <v>1328</v>
      </c>
      <c r="F12" s="106">
        <f>Model!S219</f>
        <v>1534.7</v>
      </c>
      <c r="G12" s="106">
        <f>Model!X219</f>
        <v>1586.9</v>
      </c>
      <c r="H12" s="106">
        <f>Model!AC219</f>
        <v>1641.2</v>
      </c>
      <c r="I12" s="106">
        <f>Model!AH219</f>
        <v>1989.9</v>
      </c>
      <c r="J12" s="106">
        <f>Model!AM219</f>
        <v>2117.1</v>
      </c>
      <c r="K12" s="106">
        <f>Model!AR219</f>
        <v>2291</v>
      </c>
      <c r="L12" s="106">
        <f>Model!AW219</f>
        <v>2667</v>
      </c>
      <c r="M12" s="106">
        <f>Model!BB219</f>
        <v>3101</v>
      </c>
      <c r="N12" s="106">
        <f>Model!BG219</f>
        <v>2328</v>
      </c>
      <c r="O12" s="106">
        <f>Model!BL219</f>
        <v>2597</v>
      </c>
      <c r="P12" s="106">
        <f>Model!BQ219</f>
        <v>3408</v>
      </c>
      <c r="Q12" s="106">
        <f>Model!BV219</f>
        <v>3942</v>
      </c>
      <c r="R12" s="106">
        <f>Model!CA219</f>
        <v>4319.48199538074</v>
      </c>
      <c r="S12" s="106">
        <f>Model!CB219</f>
        <v>4686.90571707776</v>
      </c>
      <c r="T12" s="106">
        <f>Model!CC219</f>
        <v>5053.2218830559</v>
      </c>
      <c r="U12" s="106">
        <f>Model!CD219</f>
        <v>5433.78287586468</v>
      </c>
      <c r="V12" s="106">
        <f>Model!CE219</f>
        <v>5816.65368678495</v>
      </c>
    </row>
    <row r="13" ht="15" customHeight="1" s="251">
      <c r="B13" t="inlineStr">
        <is>
          <t>Operating income (GAAP)</t>
        </is>
      </c>
      <c r="C13" s="106">
        <f>Model!H170</f>
        <v>888.4</v>
      </c>
      <c r="D13" s="106">
        <f>Model!I170</f>
        <v>1077.4</v>
      </c>
      <c r="E13" s="106">
        <f>Model!N170</f>
        <v>1234.6</v>
      </c>
      <c r="F13" s="106">
        <f>Model!S170</f>
        <v>1439.1</v>
      </c>
      <c r="G13" s="106">
        <f>Model!X170</f>
        <v>1473.4</v>
      </c>
      <c r="H13" s="106">
        <f>Model!AC170</f>
        <v>638.7</v>
      </c>
      <c r="I13" s="106">
        <f>Model!AH170</f>
        <v>1809.1</v>
      </c>
      <c r="J13" s="106">
        <f>Model!AM170</f>
        <v>1868.2</v>
      </c>
      <c r="K13" s="106">
        <f>Model!AR170</f>
        <v>1998</v>
      </c>
      <c r="L13" s="106">
        <f>Model!AW170</f>
        <v>2388</v>
      </c>
      <c r="M13" s="106">
        <f>Model!BB170</f>
        <v>2844</v>
      </c>
      <c r="N13" s="106">
        <f>Model!BG170</f>
        <v>1883</v>
      </c>
      <c r="O13" s="106">
        <f>Model!BL170</f>
        <v>2137</v>
      </c>
      <c r="P13" s="106">
        <f>Model!BQ170</f>
        <v>2875</v>
      </c>
      <c r="Q13" s="106">
        <f>Model!BV170</f>
        <v>3351</v>
      </c>
      <c r="R13" s="106">
        <f>Model!CA170</f>
        <v>3654.48199538074</v>
      </c>
      <c r="S13" s="106">
        <f>Model!CB170</f>
        <v>4091.70313375746</v>
      </c>
      <c r="T13" s="106">
        <f>Model!CC170</f>
        <v>4514.71049359008</v>
      </c>
      <c r="U13" s="106">
        <f>Model!CD170</f>
        <v>4889.41469951407</v>
      </c>
      <c r="V13" s="106">
        <f>Model!CE170</f>
        <v>5268.05801280658</v>
      </c>
    </row>
    <row r="14" ht="15" customHeight="1" s="251">
      <c r="B14" t="inlineStr">
        <is>
          <t>Adj. Operating Margin %</t>
        </is>
      </c>
      <c r="C14" s="108">
        <f>Model!H255</f>
        <v>0.424255710965931</v>
      </c>
      <c r="D14" s="108">
        <f>Model!I255</f>
        <v>0.433322345529795</v>
      </c>
      <c r="E14" s="108">
        <f>Model!N255</f>
        <v>0.446761984861228</v>
      </c>
      <c r="F14" s="108">
        <f>Model!S255</f>
        <v>0.460276519809255</v>
      </c>
      <c r="G14" s="108">
        <f>Model!X255</f>
        <v>0.455416846032429</v>
      </c>
      <c r="H14" s="108">
        <f>Model!AC255</f>
        <v>0.45535763831086</v>
      </c>
      <c r="I14" s="108">
        <f>Model!AH255</f>
        <v>0.473323660236436</v>
      </c>
      <c r="J14" s="108">
        <f>Model!AM255</f>
        <v>0.476534539806874</v>
      </c>
      <c r="K14" s="108">
        <f>Model!AR255</f>
        <v>0.474425346862705</v>
      </c>
      <c r="L14" s="108">
        <f>Model!AW255</f>
        <v>0.496555576242785</v>
      </c>
      <c r="M14" s="108">
        <f>Model!BB255</f>
        <v>0.498713412672885</v>
      </c>
      <c r="N14" s="108">
        <f>Model!BG255</f>
        <v>0.425749817117776</v>
      </c>
      <c r="O14" s="108">
        <f>Model!BL255</f>
        <v>0.438979039891819</v>
      </c>
      <c r="P14" s="108">
        <f>Model!BQ255</f>
        <v>0.480812641083521</v>
      </c>
      <c r="Q14" s="108">
        <f>Model!BV255</f>
        <v>0.51075408136823</v>
      </c>
      <c r="R14" s="108">
        <f>Model!CA255</f>
        <v>0.525007322467385</v>
      </c>
      <c r="S14" s="108">
        <f>Model!CB255</f>
        <v>0.531368569555706</v>
      </c>
      <c r="T14" s="108">
        <f>Model!CC255</f>
        <v>0.536479481946473</v>
      </c>
      <c r="U14" s="108">
        <f>Model!CD255</f>
        <v>0.541902540061138</v>
      </c>
      <c r="V14" s="108">
        <f>Model!CE255</f>
        <v>0.547207148030497</v>
      </c>
    </row>
    <row r="15" ht="15" customHeight="1" s="251">
      <c r="B15" t="inlineStr">
        <is>
          <t>GAAP Op. Margin %</t>
        </is>
      </c>
      <c r="C15" s="108">
        <f>Model!H256</f>
        <v>0.389529530407331</v>
      </c>
      <c r="D15" s="108">
        <f>Model!I256</f>
        <v>0.394608651063986</v>
      </c>
      <c r="E15" s="108">
        <f>Model!N256</f>
        <v>0.415340622371741</v>
      </c>
      <c r="F15" s="108">
        <f>Model!S256</f>
        <v>0.431604834597967</v>
      </c>
      <c r="G15" s="108">
        <f>Model!X256</f>
        <v>0.422844023532788</v>
      </c>
      <c r="H15" s="108">
        <f>Model!AC256</f>
        <v>0.177209921757949</v>
      </c>
      <c r="I15" s="108">
        <f>Model!AH256</f>
        <v>0.430318022882424</v>
      </c>
      <c r="J15" s="108">
        <f>Model!AM256</f>
        <v>0.420510050194701</v>
      </c>
      <c r="K15" s="108">
        <f>Model!AR256</f>
        <v>0.413750258852765</v>
      </c>
      <c r="L15" s="108">
        <f>Model!AW256</f>
        <v>0.444609942282629</v>
      </c>
      <c r="M15" s="108">
        <f>Model!BB256</f>
        <v>0.457381794789321</v>
      </c>
      <c r="N15" s="108">
        <f>Model!BG256</f>
        <v>0.344367227505487</v>
      </c>
      <c r="O15" s="108">
        <f>Model!BL256</f>
        <v>0.361223799864774</v>
      </c>
      <c r="P15" s="108">
        <f>Model!BQ256</f>
        <v>0.405615124153499</v>
      </c>
      <c r="Q15" s="108">
        <f>Model!BV256</f>
        <v>0.434179839336616</v>
      </c>
      <c r="R15" s="108">
        <f>Model!CA256</f>
        <v>0.444180531242379</v>
      </c>
      <c r="S15" s="108">
        <f>Model!CB256</f>
        <v>0.463888666099922</v>
      </c>
      <c r="T15" s="108">
        <f>Model!CC256</f>
        <v>0.479307974751901</v>
      </c>
      <c r="U15" s="108">
        <f>Model!CD256</f>
        <v>0.487613566020029</v>
      </c>
      <c r="V15" s="108">
        <f>Model!CE256</f>
        <v>0.49559749575541</v>
      </c>
    </row>
    <row r="17" ht="15" customHeight="1" s="251">
      <c r="C17" s="10">
        <f>C7</f>
        <v>2011</v>
      </c>
      <c r="D17" s="10">
        <f>D7</f>
        <v>2012</v>
      </c>
      <c r="E17" s="10">
        <f>E7</f>
        <v>2013</v>
      </c>
      <c r="F17" s="10">
        <f>F7</f>
        <v>2014</v>
      </c>
      <c r="G17" s="10">
        <f>G7</f>
        <v>2015</v>
      </c>
      <c r="H17" s="10">
        <f>H7</f>
        <v>2016</v>
      </c>
      <c r="I17" s="10">
        <f>I7</f>
        <v>2017</v>
      </c>
      <c r="J17" s="10">
        <f>J7</f>
        <v>2018</v>
      </c>
      <c r="K17" s="10">
        <f>K7</f>
        <v>2019</v>
      </c>
      <c r="L17" s="10">
        <f>L7</f>
        <v>2020</v>
      </c>
      <c r="M17" s="10">
        <f>M7</f>
        <v>2021</v>
      </c>
      <c r="N17" s="10">
        <f>N7</f>
        <v>2022</v>
      </c>
      <c r="O17" s="10">
        <f>O7</f>
        <v>2023</v>
      </c>
      <c r="P17" s="10">
        <f>P7</f>
        <v>2024</v>
      </c>
      <c r="Q17" s="10">
        <f>Q7</f>
        <v>2025</v>
      </c>
      <c r="R17" s="10" t="str">
        <f>R7</f>
        <v>2026E</v>
      </c>
      <c r="S17" s="10" t="str">
        <f>S7</f>
        <v>2027E</v>
      </c>
      <c r="T17" s="10" t="str">
        <f>T7</f>
        <v>2028E</v>
      </c>
      <c r="U17" s="10" t="str">
        <f>U7</f>
        <v>2029E</v>
      </c>
      <c r="V17" s="10" t="str">
        <f>V7</f>
        <v>2030E</v>
      </c>
    </row>
    <row r="18" ht="15" customHeight="1" s="251">
      <c r="B18" t="inlineStr">
        <is>
          <t>FCF conversion (FCF / adj. net income)</t>
        </is>
      </c>
      <c r="C18" s="108">
        <f>IFERROR(Model!H293+0,0)</f>
        <v>1.30333097094259</v>
      </c>
      <c r="D18" s="108">
        <f>IFERROR(Model!I293+0,0)</f>
        <v>1.14842945151092</v>
      </c>
      <c r="E18" s="108">
        <f>IFERROR(Model!N293+0,0)</f>
        <v>1.08424504305722</v>
      </c>
      <c r="F18" s="108">
        <f>IFERROR(Model!S293+0,0)</f>
        <v>1.04437833490248</v>
      </c>
      <c r="G18" s="108">
        <f>IFERROR(Model!X293+0,0)</f>
        <v>1.13783078961994</v>
      </c>
      <c r="H18" s="108">
        <f>IFERROR(Model!AC293+0,0)</f>
        <v>1.18105464597066</v>
      </c>
      <c r="I18" s="108">
        <f>IFERROR(Model!AH293+0,0)</f>
        <v>0.55749809046932</v>
      </c>
      <c r="J18" s="108">
        <f>IFERROR(Model!AM293+0,0)</f>
        <v>0.954393538504387</v>
      </c>
      <c r="K18" s="108">
        <f>IFERROR(Model!AR293+0,0)</f>
        <v>1.01133501259446</v>
      </c>
      <c r="L18" s="108">
        <f>IFERROR(Model!AW293+0,0)</f>
        <v>1.06350858927642</v>
      </c>
      <c r="M18" s="108">
        <f>IFERROR(Model!BB293+0,0)</f>
        <v>0.808142052836726</v>
      </c>
      <c r="N18" s="108">
        <f>IFERROR(Model!BG293+0,0)</f>
        <v>0.752844500632111</v>
      </c>
      <c r="O18" s="108">
        <f>IFERROR(Model!BL293+0,0)</f>
        <v>1.03183315038419</v>
      </c>
      <c r="P18" s="108">
        <f>IFERROR(Model!BQ293+0,0)</f>
        <v>1.10618692408951</v>
      </c>
      <c r="Q18" s="108">
        <f>IFERROR(Model!BV293+0,0)</f>
        <v>0.958317826572386</v>
      </c>
      <c r="R18" s="108">
        <f>IFERROR(Model!CA293+0,0)</f>
        <v>1.00401657753622</v>
      </c>
      <c r="S18" s="108">
        <f>IFERROR(Model!CB293+0,0)</f>
        <v>1.05099882637515</v>
      </c>
      <c r="T18" s="108">
        <f>IFERROR(Model!CC293+0,0)</f>
        <v>1.07620920284922</v>
      </c>
      <c r="U18" s="108">
        <f>IFERROR(Model!CD293+0,0)</f>
        <v>1.07517865181785</v>
      </c>
      <c r="V18" s="108">
        <f>IFERROR(Model!CE293+0,0)</f>
        <v>1.07185175574544</v>
      </c>
    </row>
    <row r="19" ht="15" customHeight="1" s="251">
      <c r="B19" t="inlineStr">
        <is>
          <t>Adj. EBITA margin %</t>
        </is>
      </c>
      <c r="C19" s="108">
        <f>IFERROR(Model!H225+0,0)</f>
        <v>0.398517998859999</v>
      </c>
      <c r="D19" s="108">
        <f>IFERROR(Model!I225+0,0)</f>
        <v>0.410101454052668</v>
      </c>
      <c r="E19" s="108">
        <f>IFERROR(Model!N225+0,0)</f>
        <v>0.424760302775442</v>
      </c>
      <c r="F19" s="108">
        <f>IFERROR(Model!S225+0,0)</f>
        <v>0.440122364514291</v>
      </c>
      <c r="G19" s="108">
        <f>IFERROR(Model!X225+0,0)</f>
        <v>0.431998852059119</v>
      </c>
      <c r="H19" s="108">
        <f>IFERROR(Model!AC225+0,0)</f>
        <v>0.429693135786027</v>
      </c>
      <c r="I19" s="108">
        <f>IFERROR(Model!AH225+0,0)</f>
        <v>0.450274731809424</v>
      </c>
      <c r="J19" s="108">
        <f>IFERROR(Model!AM225+0,0)</f>
        <v>0.456231570891575</v>
      </c>
      <c r="K19" s="108">
        <f>IFERROR(Model!AR225+0,0)</f>
        <v>0.454338372333817</v>
      </c>
      <c r="L19" s="108">
        <f>IFERROR(Model!AW225+0,0)</f>
        <v>0.478681809718861</v>
      </c>
      <c r="M19" s="108">
        <f>IFERROR(Model!BB225+0,0)</f>
        <v>0.482791894499839</v>
      </c>
      <c r="N19" s="108">
        <f>IFERROR(Model!BG225+0,0)</f>
        <v>0.401792245793709</v>
      </c>
      <c r="O19" s="108">
        <f>IFERROR(Model!BL225+0,0)</f>
        <v>0.409398242055443</v>
      </c>
      <c r="P19" s="108">
        <f>IFERROR(Model!BQ225+0,0)</f>
        <v>0.447940180586907</v>
      </c>
      <c r="Q19" s="108">
        <f>IFERROR(Model!BV225+0,0)</f>
        <v>0.476418761337134</v>
      </c>
      <c r="R19" s="108">
        <f>IFERROR(Model!CA225+0,0)</f>
        <v>0.491218077413924</v>
      </c>
      <c r="S19" s="108">
        <f>IFERROR(Model!CB225+0,0)</f>
        <v>0.495368569555706</v>
      </c>
      <c r="T19" s="108">
        <f>IFERROR(Model!CC225+0,0)</f>
        <v>0.499479481946473</v>
      </c>
      <c r="U19" s="108">
        <f>IFERROR(Model!CD225+0,0)</f>
        <v>0.503902540061138</v>
      </c>
      <c r="V19" s="108">
        <f>IFERROR(Model!CE225+0,0)</f>
        <v>0.509207148030497</v>
      </c>
    </row>
    <row r="20" ht="15" customHeight="1" s="251">
      <c r="B20" t="inlineStr">
        <is>
          <t>Adj. Operating Margin %</t>
        </is>
      </c>
      <c r="C20" s="108">
        <f>IFERROR(Model!H255+0,0)</f>
        <v>0.424255710965931</v>
      </c>
      <c r="D20" s="108">
        <f>IFERROR(Model!I255+0,0)</f>
        <v>0.433322345529795</v>
      </c>
      <c r="E20" s="108">
        <f>IFERROR(Model!N255+0,0)</f>
        <v>0.446761984861228</v>
      </c>
      <c r="F20" s="108">
        <f>IFERROR(Model!S255+0,0)</f>
        <v>0.460276519809255</v>
      </c>
      <c r="G20" s="108">
        <f>IFERROR(Model!X255+0,0)</f>
        <v>0.455416846032429</v>
      </c>
      <c r="H20" s="108">
        <f>IFERROR(Model!AC255+0,0)</f>
        <v>0.45535763831086</v>
      </c>
      <c r="I20" s="108">
        <f>IFERROR(Model!AH255+0,0)</f>
        <v>0.473323660236436</v>
      </c>
      <c r="J20" s="108">
        <f>IFERROR(Model!AM255+0,0)</f>
        <v>0.476534539806874</v>
      </c>
      <c r="K20" s="108">
        <f>IFERROR(Model!AR255+0,0)</f>
        <v>0.474425346862705</v>
      </c>
      <c r="L20" s="108">
        <f>IFERROR(Model!AW255+0,0)</f>
        <v>0.496555576242785</v>
      </c>
      <c r="M20" s="108">
        <f>IFERROR(Model!BB255+0,0)</f>
        <v>0.498713412672885</v>
      </c>
      <c r="N20" s="108">
        <f>IFERROR(Model!BG255+0,0)</f>
        <v>0.425749817117776</v>
      </c>
      <c r="O20" s="108">
        <f>IFERROR(Model!BL255+0,0)</f>
        <v>0.438979039891819</v>
      </c>
      <c r="P20" s="108">
        <f>IFERROR(Model!BQ255+0,0)</f>
        <v>0.480812641083521</v>
      </c>
      <c r="Q20" s="108">
        <f>IFERROR(Model!BV255+0,0)</f>
        <v>0.51075408136823</v>
      </c>
      <c r="R20" s="108">
        <f>IFERROR(Model!CA255+0,0)</f>
        <v>0.525007322467385</v>
      </c>
      <c r="S20" s="108">
        <f>IFERROR(Model!CB255+0,0)</f>
        <v>0.531368569555706</v>
      </c>
      <c r="T20" s="108">
        <f>IFERROR(Model!CC255+0,0)</f>
        <v>0.536479481946473</v>
      </c>
      <c r="U20" s="108">
        <f>IFERROR(Model!CD255+0,0)</f>
        <v>0.541902540061138</v>
      </c>
      <c r="V20" s="108">
        <f>IFERROR(Model!CE255+0,0)</f>
        <v>0.547207148030497</v>
      </c>
    </row>
    <row r="21" ht="15" customHeight="1" s="251">
      <c r="B21" t="inlineStr">
        <is>
          <t>FCF margin %</t>
        </is>
      </c>
      <c r="C21" s="108">
        <f>IFERROR(Model!H292+0,0)</f>
        <v>0.322532555794274</v>
      </c>
      <c r="D21" s="108">
        <f>IFERROR(Model!I292+0,0)</f>
        <v>0.284986997765813</v>
      </c>
      <c r="E21" s="108">
        <f>IFERROR(Model!N292+0,0)</f>
        <v>0.297560975609756</v>
      </c>
      <c r="F21" s="108">
        <f>IFERROR(Model!S292+0,0)</f>
        <v>0.283117895810215</v>
      </c>
      <c r="G21" s="108">
        <f>IFERROR(Model!X292+0,0)</f>
        <v>0.305524465490027</v>
      </c>
      <c r="H21" s="108">
        <f>IFERROR(Model!AC292+0,0)</f>
        <v>0.3082237389712</v>
      </c>
      <c r="I21" s="108">
        <f>IFERROR(Model!AH292+0,0)</f>
        <v>0.156252229965986</v>
      </c>
      <c r="J21" s="108">
        <f>IFERROR(Model!AM292+0,0)</f>
        <v>0.308528597474509</v>
      </c>
      <c r="K21" s="108">
        <f>IFERROR(Model!AR292+0,0)</f>
        <v>0.332574031890661</v>
      </c>
      <c r="L21" s="108">
        <f>IFERROR(Model!AW292+0,0)</f>
        <v>0.380376093837274</v>
      </c>
      <c r="M21" s="108">
        <f>IFERROR(Model!BB292+0,0)</f>
        <v>0.300096494049534</v>
      </c>
      <c r="N21" s="108">
        <f>IFERROR(Model!BG292+0,0)</f>
        <v>0.21781272860278</v>
      </c>
      <c r="O21" s="108">
        <f>IFERROR(Model!BL292+0,0)</f>
        <v>0.317782285327924</v>
      </c>
      <c r="P21" s="108">
        <f>IFERROR(Model!BQ292+0,0)</f>
        <v>0.355671557562077</v>
      </c>
      <c r="Q21" s="108">
        <f>IFERROR(Model!BV292+0,0)</f>
        <v>0.333635656905934</v>
      </c>
      <c r="R21" s="108">
        <f>IFERROR(Model!CA292+0,0)</f>
        <v>0.356578970378606</v>
      </c>
      <c r="S21" s="108">
        <f>IFERROR(Model!CB292+0,0)</f>
        <v>0.373682949805399</v>
      </c>
      <c r="T21" s="108">
        <f>IFERROR(Model!CC292+0,0)</f>
        <v>0.384083455002632</v>
      </c>
      <c r="U21" s="108">
        <f>IFERROR(Model!CD292+0,0)</f>
        <v>0.386765282450175</v>
      </c>
      <c r="V21" s="108">
        <f>IFERROR(Model!CE292+0,0)</f>
        <v>0.388626779198553</v>
      </c>
    </row>
  </sheetData>
  <pageMargins left="0.75" right="0.75" top="1" bottom="1"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2026-10-04T02:35:31Z</dcterms:created>
  <dcterms:modified xmlns:dcterms="http://purl.org/dc/terms/" xmlns:xsi="http://www.w3.org/2001/XMLSchema-instance" xsi:type="dcterms:W3CDTF">2026-10-12T22:44:49Z</dcterms:modified>
  <cp:lastModifiedBy>Payton Liske</cp:lastModifiedBy>
  <cp:revision>3</cp:revision>
</cp:coreProperties>
</file>