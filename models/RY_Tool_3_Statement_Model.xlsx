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LB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\-"/>
    <numFmt numFmtId="165" formatCode="0.0%;(0.0%);\-"/>
    <numFmt numFmtId="166" formatCode="0.0&quot; yrs&quot;;(0.0);\-"/>
    <numFmt numFmtId="167" formatCode="0.00&quot;x&quot;;(0.00&quot;x&quot;);\-"/>
    <numFmt numFmtId="168" formatCode="0&quot; days&quot;;(0);\-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color rgb="FF595959"/>
      <sz val="10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color rgb="FF000000"/>
      <sz val="12"/>
    </font>
    <font>
      <name val="Calibri"/>
      <color rgb="FF0000FF"/>
      <sz val="12"/>
    </font>
    <font>
      <name val="Calibri"/>
      <color rgb="FF404040"/>
      <sz val="11"/>
    </font>
    <font>
      <name val="Calibri"/>
      <b val="1"/>
      <color rgb="FF000000"/>
      <sz val="12"/>
    </font>
    <font>
      <name val="Calibri"/>
      <color rgb="FF404040"/>
      <sz val="12"/>
    </font>
    <font>
      <name val="Calibri"/>
      <b val="1"/>
      <color rgb="FF404040"/>
      <sz val="12"/>
    </font>
    <font>
      <name val="Calibri"/>
      <b val="1"/>
      <color rgb="FF000000"/>
      <sz val="11"/>
    </font>
    <font>
      <name val="Calibri"/>
      <b val="1"/>
      <color rgb="FF0000FF"/>
      <sz val="11"/>
    </font>
    <font>
      <name val="Calibri"/>
      <color rgb="FF0000FF"/>
      <sz val="11"/>
    </font>
    <font>
      <name val="Calibri"/>
      <i val="1"/>
      <color rgb="FF595959"/>
      <sz val="9"/>
    </font>
    <font>
      <name val="Calibri"/>
      <color rgb="FF595959"/>
      <sz val="9"/>
    </font>
    <font>
      <name val="Calibri"/>
      <i val="1"/>
      <color rgb="FF595959"/>
      <sz val="10"/>
    </font>
    <font>
      <name val="Calibri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52796F"/>
      </patternFill>
    </fill>
    <fill>
      <patternFill patternType="solid">
        <fgColor rgb="FFCAD2C5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top style="thin">
        <color rgb="FF000000"/>
      </top>
    </border>
    <border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righ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0" pivotButton="0" quotePrefix="0" xfId="0"/>
    <xf numFmtId="165" fontId="6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164" fontId="9" fillId="4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right" vertical="center"/>
    </xf>
    <xf numFmtId="0" fontId="11" fillId="0" borderId="0" pivotButton="0" quotePrefix="0" xfId="0"/>
    <xf numFmtId="165" fontId="9" fillId="0" borderId="0" applyAlignment="1" pivotButton="0" quotePrefix="0" xfId="0">
      <alignment horizontal="right" vertical="center"/>
    </xf>
    <xf numFmtId="164" fontId="9" fillId="4" borderId="2" applyAlignment="1" pivotButton="0" quotePrefix="0" xfId="0">
      <alignment horizontal="left" vertical="center"/>
    </xf>
    <xf numFmtId="164" fontId="9" fillId="4" borderId="2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0" pivotButton="0" quotePrefix="0" xfId="0"/>
    <xf numFmtId="168" fontId="6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5" fontId="14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165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7" fontId="14" fillId="5" borderId="0" applyAlignment="1" pivotButton="0" quotePrefix="0" xfId="0">
      <alignment horizontal="right" vertical="center"/>
    </xf>
    <xf numFmtId="165" fontId="14" fillId="5" borderId="0" applyAlignment="1" pivotButton="0" quotePrefix="0" xfId="0">
      <alignment horizontal="right" vertical="center"/>
    </xf>
    <xf numFmtId="164" fontId="14" fillId="5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" fontId="14" fillId="5" borderId="0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0" fillId="2" borderId="0" pivotButton="0" quotePrefix="0" xfId="0"/>
    <xf numFmtId="0" fontId="17" fillId="0" borderId="0" applyAlignment="1" pivotButton="0" quotePrefix="0" xfId="0">
      <alignment horizontal="left" vertical="center"/>
    </xf>
    <xf numFmtId="1" fontId="17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7" fontId="12" fillId="4" borderId="0" applyAlignment="1" pivotButton="0" quotePrefix="0" xfId="0">
      <alignment horizontal="right" vertical="center"/>
    </xf>
    <xf numFmtId="165" fontId="12" fillId="4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167" fontId="4" fillId="3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4" customWidth="1" min="1" max="1"/>
    <col width="4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  <col width="58" customWidth="1" min="9" max="9"/>
  </cols>
  <sheetData>
    <row r="2">
      <c r="B2" s="1" t="inlineStr">
        <is>
          <t>R. &amp; Y. Tool and Die Co. Limited — Three-Statement Financial Model</t>
        </is>
      </c>
    </row>
    <row r="3" ht="13" customHeight="1">
      <c r="B3" s="2" t="inlineStr">
        <is>
          <t>Unaudited · extracted from Annual Compilation Financial Statements prepared by GD Barkwell Chartered Professional Accountant · Canadian dollars (whole $) · fiscal year ends December 31</t>
        </is>
      </c>
    </row>
    <row r="4" ht="13" customHeight="1">
      <c r="B4" s="2" t="inlineStr">
        <is>
          <t>Income Statement &amp; Balance Sheet are as reported. The Cash Flow Statement is IMPLIED — derived from the year-over-year change in every balance sheet account plus net income and non-cash amortization. FY2021 cash flow is not computable (no FY2020 balance sheet).</t>
        </is>
      </c>
    </row>
    <row r="6">
      <c r="A6" s="3" t="n"/>
      <c r="B6" s="4" t="inlineStr">
        <is>
          <t>(C$)</t>
        </is>
      </c>
      <c r="C6" s="5" t="inlineStr">
        <is>
          <t>FY2021</t>
        </is>
      </c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6" t="inlineStr">
        <is>
          <t>'21–'25 CAGR</t>
        </is>
      </c>
      <c r="I6" s="7" t="inlineStr">
        <is>
          <t>Notes &amp; assumptions</t>
        </is>
      </c>
    </row>
    <row r="8" ht="18" customHeight="1">
      <c r="A8" s="8" t="n"/>
      <c r="B8" s="8" t="inlineStr">
        <is>
          <t>INCOME STATEMENT</t>
        </is>
      </c>
      <c r="C8" s="8" t="n"/>
      <c r="D8" s="8" t="n"/>
      <c r="E8" s="8" t="n"/>
      <c r="F8" s="8" t="n"/>
      <c r="G8" s="8" t="n"/>
      <c r="H8" s="8" t="n"/>
      <c r="I8" s="8" t="n"/>
    </row>
    <row r="9">
      <c r="B9" s="9" t="inlineStr">
        <is>
          <t>Revenue</t>
        </is>
      </c>
      <c r="C9" s="10" t="n">
        <v>1125192</v>
      </c>
      <c r="D9" s="10" t="n">
        <v>1129492</v>
      </c>
      <c r="E9" s="10" t="n">
        <v>1294937</v>
      </c>
      <c r="F9" s="10" t="n">
        <v>1481483</v>
      </c>
      <c r="G9" s="10" t="n">
        <v>1669107</v>
      </c>
      <c r="H9" s="11">
        <f>IFERROR((G9/C9)^(1/4)-1,"")</f>
        <v/>
      </c>
      <c r="I9" s="12" t="inlineStr">
        <is>
          <t>Reported net sales.</t>
        </is>
      </c>
    </row>
    <row r="10">
      <c r="B10" s="9" t="inlineStr">
        <is>
          <t>Cost of sales (schedule)</t>
        </is>
      </c>
      <c r="C10" s="13">
        <f>C86</f>
        <v/>
      </c>
      <c r="D10" s="13">
        <f>D86</f>
        <v/>
      </c>
      <c r="E10" s="13">
        <f>E86</f>
        <v/>
      </c>
      <c r="F10" s="13">
        <f>F86</f>
        <v/>
      </c>
      <c r="G10" s="13">
        <f>G86</f>
        <v/>
      </c>
      <c r="I10" s="12" t="inlineStr">
        <is>
          <t>Links to Cost of Sales schedule total below.</t>
        </is>
      </c>
    </row>
    <row r="11">
      <c r="B11" s="14" t="inlineStr">
        <is>
          <t>Gross margin</t>
        </is>
      </c>
      <c r="C11" s="15">
        <f>C9-C10</f>
        <v/>
      </c>
      <c r="D11" s="15">
        <f>D9-D10</f>
        <v/>
      </c>
      <c r="E11" s="15">
        <f>E9-E10</f>
        <v/>
      </c>
      <c r="F11" s="15">
        <f>F9-F10</f>
        <v/>
      </c>
      <c r="G11" s="15">
        <f>G9-G10</f>
        <v/>
      </c>
      <c r="H11" s="11">
        <f>IFERROR((G11/C11)^(1/4)-1,"")</f>
        <v/>
      </c>
    </row>
    <row r="12">
      <c r="B12" s="16" t="inlineStr">
        <is>
          <t xml:space="preserve">  Gross margin %</t>
        </is>
      </c>
      <c r="C12" s="17">
        <f>IFERROR(C11/C9,0)</f>
        <v/>
      </c>
      <c r="D12" s="17">
        <f>IFERROR(D11/D9,0)</f>
        <v/>
      </c>
      <c r="E12" s="17">
        <f>IFERROR(E11/E9,0)</f>
        <v/>
      </c>
      <c r="F12" s="17">
        <f>IFERROR(F11/F9,0)</f>
        <v/>
      </c>
      <c r="G12" s="17">
        <f>IFERROR(G11/G9,0)</f>
        <v/>
      </c>
    </row>
    <row r="13">
      <c r="B13" s="9" t="inlineStr">
        <is>
          <t>Other income</t>
        </is>
      </c>
      <c r="C13" s="10" t="n">
        <v>60379</v>
      </c>
      <c r="D13" s="10" t="n">
        <v>587</v>
      </c>
      <c r="E13" s="10" t="n">
        <v>477</v>
      </c>
      <c r="F13" s="10" t="n">
        <v>1956</v>
      </c>
      <c r="G13" s="10" t="n">
        <v>605</v>
      </c>
      <c r="I13" s="12" t="inlineStr">
        <is>
          <t>2021 includes $60,000 COVID grants.</t>
        </is>
      </c>
    </row>
    <row r="14">
      <c r="B14" s="14" t="inlineStr">
        <is>
          <t>Gross margin plus other income</t>
        </is>
      </c>
      <c r="C14" s="15">
        <f>C11+C13</f>
        <v/>
      </c>
      <c r="D14" s="15">
        <f>D11+D13</f>
        <v/>
      </c>
      <c r="E14" s="15">
        <f>E11+E13</f>
        <v/>
      </c>
      <c r="F14" s="15">
        <f>F11+F13</f>
        <v/>
      </c>
      <c r="G14" s="15">
        <f>G11+G13</f>
        <v/>
      </c>
    </row>
    <row r="16">
      <c r="A16" s="18" t="n"/>
      <c r="B16" s="18" t="inlineStr">
        <is>
          <t>General and administrative expenses</t>
        </is>
      </c>
      <c r="C16" s="18" t="n"/>
      <c r="D16" s="18" t="n"/>
      <c r="E16" s="18" t="n"/>
      <c r="F16" s="18" t="n"/>
      <c r="G16" s="18" t="n"/>
      <c r="H16" s="18" t="n"/>
      <c r="I16" s="18" t="n"/>
    </row>
    <row r="17">
      <c r="B17" s="9" t="inlineStr">
        <is>
          <t xml:space="preserve">  Management salaries and bonuses</t>
        </is>
      </c>
      <c r="C17" s="10" t="n">
        <v>160000</v>
      </c>
      <c r="D17" s="10" t="n">
        <v>204000</v>
      </c>
      <c r="E17" s="10" t="n">
        <v>195352</v>
      </c>
      <c r="F17" s="10" t="n">
        <v>166000</v>
      </c>
      <c r="G17" s="10" t="n">
        <v>186000</v>
      </c>
    </row>
    <row r="18">
      <c r="B18" s="9" t="inlineStr">
        <is>
          <t xml:space="preserve">  Bank charges and interest</t>
        </is>
      </c>
      <c r="C18" s="10" t="n">
        <v>1781</v>
      </c>
      <c r="D18" s="10" t="n">
        <v>1403</v>
      </c>
      <c r="E18" s="10" t="n">
        <v>2222</v>
      </c>
      <c r="F18" s="10" t="n">
        <v>1532</v>
      </c>
      <c r="G18" s="10" t="n">
        <v>8832</v>
      </c>
    </row>
    <row r="19">
      <c r="B19" s="9" t="inlineStr">
        <is>
          <t xml:space="preserve">  Amortization — office equipment</t>
        </is>
      </c>
      <c r="C19" s="10" t="n">
        <v>11240</v>
      </c>
      <c r="D19" s="10" t="n">
        <v>10505</v>
      </c>
      <c r="E19" s="10" t="n">
        <v>8563</v>
      </c>
      <c r="F19" s="10" t="n">
        <v>7845</v>
      </c>
      <c r="G19" s="10" t="n">
        <v>7176</v>
      </c>
      <c r="I19" s="12" t="inlineStr">
        <is>
          <t>Non-cash; added back in cash flow.</t>
        </is>
      </c>
    </row>
    <row r="20">
      <c r="B20" s="9" t="inlineStr">
        <is>
          <t xml:space="preserve">  Advertising, promotion and sponsorship</t>
        </is>
      </c>
      <c r="C20" s="10" t="n">
        <v>553</v>
      </c>
      <c r="D20" s="10" t="n">
        <v>1560</v>
      </c>
      <c r="E20" s="10" t="n">
        <v>929</v>
      </c>
      <c r="F20" s="10" t="n">
        <v>1400</v>
      </c>
      <c r="G20" s="10" t="n">
        <v>8035</v>
      </c>
    </row>
    <row r="21">
      <c r="B21" s="9" t="inlineStr">
        <is>
          <t xml:space="preserve">  Meals and entertainment</t>
        </is>
      </c>
      <c r="C21" s="10" t="n">
        <v>9714</v>
      </c>
      <c r="D21" s="10" t="n">
        <v>15156</v>
      </c>
      <c r="E21" s="10" t="n">
        <v>19809</v>
      </c>
      <c r="F21" s="10" t="n">
        <v>21560</v>
      </c>
      <c r="G21" s="10" t="n">
        <v>19662</v>
      </c>
    </row>
    <row r="22">
      <c r="B22" s="9" t="inlineStr">
        <is>
          <t xml:space="preserve">  Telecommunication</t>
        </is>
      </c>
      <c r="C22" s="10" t="n">
        <v>8407</v>
      </c>
      <c r="D22" s="10" t="n">
        <v>7686</v>
      </c>
      <c r="E22" s="10" t="n">
        <v>8182</v>
      </c>
      <c r="F22" s="10" t="n">
        <v>9193</v>
      </c>
      <c r="G22" s="10" t="n">
        <v>10163</v>
      </c>
    </row>
    <row r="23">
      <c r="B23" s="9" t="inlineStr">
        <is>
          <t xml:space="preserve">  Computer technology</t>
        </is>
      </c>
      <c r="C23" s="10" t="n">
        <v>21431</v>
      </c>
      <c r="D23" s="10" t="n">
        <v>31221</v>
      </c>
      <c r="E23" s="10" t="n">
        <v>18723</v>
      </c>
      <c r="F23" s="10" t="n">
        <v>11399</v>
      </c>
      <c r="G23" s="10" t="n">
        <v>14170</v>
      </c>
    </row>
    <row r="24">
      <c r="B24" s="9" t="inlineStr">
        <is>
          <t xml:space="preserve">  Office and miscellaneous</t>
        </is>
      </c>
      <c r="C24" s="10" t="n">
        <v>12767</v>
      </c>
      <c r="D24" s="10" t="n">
        <v>16609</v>
      </c>
      <c r="E24" s="10" t="n">
        <v>18360</v>
      </c>
      <c r="F24" s="10" t="n">
        <v>13520</v>
      </c>
      <c r="G24" s="10" t="n">
        <v>14490</v>
      </c>
    </row>
    <row r="25">
      <c r="B25" s="9" t="inlineStr">
        <is>
          <t xml:space="preserve">  Office equipment leases</t>
        </is>
      </c>
      <c r="C25" s="10" t="n">
        <v>684</v>
      </c>
      <c r="D25" s="10" t="n">
        <v>-210</v>
      </c>
      <c r="E25" s="10" t="n">
        <v>750</v>
      </c>
      <c r="F25" s="10" t="n">
        <v>547</v>
      </c>
      <c r="G25" s="10" t="n">
        <v>1519</v>
      </c>
    </row>
    <row r="26">
      <c r="B26" s="9" t="inlineStr">
        <is>
          <t xml:space="preserve">  Consulting fees</t>
        </is>
      </c>
      <c r="C26" s="10" t="n">
        <v>0</v>
      </c>
      <c r="D26" s="10" t="n">
        <v>0</v>
      </c>
      <c r="E26" s="10" t="n">
        <v>0</v>
      </c>
      <c r="F26" s="10" t="n">
        <v>31645</v>
      </c>
      <c r="G26" s="10" t="n">
        <v>37254</v>
      </c>
    </row>
    <row r="27">
      <c r="B27" s="9" t="inlineStr">
        <is>
          <t xml:space="preserve">  ISO Quality Management System certification</t>
        </is>
      </c>
      <c r="C27" s="10" t="n">
        <v>0</v>
      </c>
      <c r="D27" s="10" t="n">
        <v>0</v>
      </c>
      <c r="E27" s="10" t="n">
        <v>0</v>
      </c>
      <c r="F27" s="10" t="n">
        <v>4308</v>
      </c>
      <c r="G27" s="10" t="n">
        <v>5592</v>
      </c>
    </row>
    <row r="28">
      <c r="B28" s="9" t="inlineStr">
        <is>
          <t xml:space="preserve">  Accounting and bookkeeping fees</t>
        </is>
      </c>
      <c r="C28" s="10" t="n">
        <v>11697</v>
      </c>
      <c r="D28" s="10" t="n">
        <v>14792</v>
      </c>
      <c r="E28" s="10" t="n">
        <v>18060</v>
      </c>
      <c r="F28" s="10" t="n">
        <v>9252</v>
      </c>
      <c r="G28" s="10" t="n">
        <v>8963</v>
      </c>
    </row>
    <row r="29">
      <c r="B29" s="14" t="inlineStr">
        <is>
          <t>Total general and administrative expenses</t>
        </is>
      </c>
      <c r="C29" s="15">
        <f>SUM(C17:C28)</f>
        <v/>
      </c>
      <c r="D29" s="15">
        <f>SUM(D17:D28)</f>
        <v/>
      </c>
      <c r="E29" s="15">
        <f>SUM(E17:E28)</f>
        <v/>
      </c>
      <c r="F29" s="15">
        <f>SUM(F17:F28)</f>
        <v/>
      </c>
      <c r="G29" s="15">
        <f>SUM(G17:G28)</f>
        <v/>
      </c>
    </row>
    <row r="31">
      <c r="B31" s="19" t="inlineStr">
        <is>
          <t>Net income before income taxes</t>
        </is>
      </c>
      <c r="C31" s="20">
        <f>C14-C29</f>
        <v/>
      </c>
      <c r="D31" s="20">
        <f>D14-D29</f>
        <v/>
      </c>
      <c r="E31" s="20">
        <f>E14-E29</f>
        <v/>
      </c>
      <c r="F31" s="20">
        <f>F14-F29</f>
        <v/>
      </c>
      <c r="G31" s="20">
        <f>G14-G29</f>
        <v/>
      </c>
    </row>
    <row r="32">
      <c r="B32" s="9" t="inlineStr">
        <is>
          <t xml:space="preserve">  Income taxes — current</t>
        </is>
      </c>
      <c r="C32" s="10" t="n">
        <v>28643</v>
      </c>
      <c r="D32" s="10" t="n">
        <v>10179</v>
      </c>
      <c r="E32" s="10" t="n">
        <v>16792</v>
      </c>
      <c r="F32" s="10" t="n">
        <v>30672</v>
      </c>
      <c r="G32" s="10" t="n">
        <v>34327</v>
      </c>
    </row>
    <row r="33">
      <c r="B33" s="9" t="inlineStr">
        <is>
          <t xml:space="preserve">  Income taxes — deferred (recovery)</t>
        </is>
      </c>
      <c r="C33" s="10" t="n">
        <v>0</v>
      </c>
      <c r="D33" s="10" t="n">
        <v>-5949</v>
      </c>
      <c r="E33" s="10" t="n">
        <v>-5879</v>
      </c>
      <c r="F33" s="10" t="n">
        <v>-3362</v>
      </c>
      <c r="G33" s="10" t="n">
        <v>-849</v>
      </c>
      <c r="I33" s="12" t="inlineStr">
        <is>
          <t>Non-cash; equals the change in the future income tax liability.</t>
        </is>
      </c>
    </row>
    <row r="34">
      <c r="B34" s="14" t="inlineStr">
        <is>
          <t>Total income taxes</t>
        </is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B35" s="16" t="inlineStr">
        <is>
          <t xml:space="preserve">  Effective tax rate</t>
        </is>
      </c>
      <c r="C35" s="17">
        <f>IFERROR(C34/C31,0)</f>
        <v/>
      </c>
      <c r="D35" s="17">
        <f>IFERROR(D34/D31,0)</f>
        <v/>
      </c>
      <c r="E35" s="17">
        <f>IFERROR(E34/E31,0)</f>
        <v/>
      </c>
      <c r="F35" s="17">
        <f>IFERROR(F34/F31,0)</f>
        <v/>
      </c>
      <c r="G35" s="17">
        <f>IFERROR(G34/G31,0)</f>
        <v/>
      </c>
    </row>
    <row r="36">
      <c r="B36" s="19" t="inlineStr">
        <is>
          <t>Net income for the year</t>
        </is>
      </c>
      <c r="C36" s="20">
        <f>C31-C34</f>
        <v/>
      </c>
      <c r="D36" s="20">
        <f>D31-D34</f>
        <v/>
      </c>
      <c r="E36" s="20">
        <f>E31-E34</f>
        <v/>
      </c>
      <c r="F36" s="20">
        <f>F31-F34</f>
        <v/>
      </c>
      <c r="G36" s="20">
        <f>G31-G34</f>
        <v/>
      </c>
      <c r="H36" s="11">
        <f>IFERROR((G36/C36)^(1/4)-1,"")</f>
        <v/>
      </c>
    </row>
    <row r="38">
      <c r="A38" s="18" t="n"/>
      <c r="B38" s="18" t="inlineStr">
        <is>
          <t>Net income → EBITDA − capex bridge (bottom-up)</t>
        </is>
      </c>
      <c r="C38" s="18" t="n"/>
      <c r="D38" s="18" t="n"/>
      <c r="E38" s="18" t="n"/>
      <c r="F38" s="18" t="n"/>
      <c r="G38" s="18" t="n"/>
      <c r="H38" s="18" t="n"/>
      <c r="I38" s="18" t="n"/>
    </row>
    <row r="39">
      <c r="B39" s="9" t="inlineStr">
        <is>
          <t xml:space="preserve">  Net income for the year</t>
        </is>
      </c>
      <c r="C39" s="13">
        <f>C36</f>
        <v/>
      </c>
      <c r="D39" s="13">
        <f>D36</f>
        <v/>
      </c>
      <c r="E39" s="13">
        <f>E36</f>
        <v/>
      </c>
      <c r="F39" s="13">
        <f>F36</f>
        <v/>
      </c>
      <c r="G39" s="13">
        <f>G36</f>
        <v/>
      </c>
    </row>
    <row r="40">
      <c r="B40" s="9" t="inlineStr">
        <is>
          <t xml:space="preserve">  Add: income taxes</t>
        </is>
      </c>
      <c r="C40" s="13">
        <f>C34</f>
        <v/>
      </c>
      <c r="D40" s="13">
        <f>D34</f>
        <v/>
      </c>
      <c r="E40" s="13">
        <f>E34</f>
        <v/>
      </c>
      <c r="F40" s="13">
        <f>F34</f>
        <v/>
      </c>
      <c r="G40" s="13">
        <f>G34</f>
        <v/>
      </c>
    </row>
    <row r="41">
      <c r="B41" s="9" t="inlineStr">
        <is>
          <t xml:space="preserve">  Add: bank charges and interest</t>
        </is>
      </c>
      <c r="C41" s="13">
        <f>C18</f>
        <v/>
      </c>
      <c r="D41" s="13">
        <f>D18</f>
        <v/>
      </c>
      <c r="E41" s="13">
        <f>E18</f>
        <v/>
      </c>
      <c r="F41" s="13">
        <f>F18</f>
        <v/>
      </c>
      <c r="G41" s="13">
        <f>G18</f>
        <v/>
      </c>
      <c r="I41" s="12" t="inlineStr">
        <is>
          <t>Interest is bundled within bank charges &amp; interest.</t>
        </is>
      </c>
    </row>
    <row r="42">
      <c r="B42" s="14" t="inlineStr">
        <is>
          <t xml:space="preserve">  = EBIT</t>
        </is>
      </c>
      <c r="C42" s="15">
        <f>C36+C34+C18</f>
        <v/>
      </c>
      <c r="D42" s="15">
        <f>D36+D34+D18</f>
        <v/>
      </c>
      <c r="E42" s="15">
        <f>E36+E34+E18</f>
        <v/>
      </c>
      <c r="F42" s="15">
        <f>F36+F34+F18</f>
        <v/>
      </c>
      <c r="G42" s="15">
        <f>G36+G34+G18</f>
        <v/>
      </c>
    </row>
    <row r="43">
      <c r="B43" s="9" t="inlineStr">
        <is>
          <t xml:space="preserve">  Add: amortization — office equipment</t>
        </is>
      </c>
      <c r="C43" s="13">
        <f>C19</f>
        <v/>
      </c>
      <c r="D43" s="13">
        <f>D19</f>
        <v/>
      </c>
      <c r="E43" s="13">
        <f>E19</f>
        <v/>
      </c>
      <c r="F43" s="13">
        <f>F19</f>
        <v/>
      </c>
      <c r="G43" s="13">
        <f>G19</f>
        <v/>
      </c>
    </row>
    <row r="44">
      <c r="B44" s="9" t="inlineStr">
        <is>
          <t xml:space="preserve">  Add: amortization — building and shop equipment</t>
        </is>
      </c>
      <c r="C44" s="13">
        <f>C84</f>
        <v/>
      </c>
      <c r="D44" s="13">
        <f>D84</f>
        <v/>
      </c>
      <c r="E44" s="13">
        <f>E84</f>
        <v/>
      </c>
      <c r="F44" s="13">
        <f>F84</f>
        <v/>
      </c>
      <c r="G44" s="13">
        <f>G84</f>
        <v/>
      </c>
    </row>
    <row r="45">
      <c r="B45" s="14" t="inlineStr">
        <is>
          <t xml:space="preserve">  = EBITDA</t>
        </is>
      </c>
      <c r="C45" s="15">
        <f>C42+C19+C84</f>
        <v/>
      </c>
      <c r="D45" s="15">
        <f>D42+D19+D84</f>
        <v/>
      </c>
      <c r="E45" s="15">
        <f>E42+E19+E84</f>
        <v/>
      </c>
      <c r="F45" s="15">
        <f>F42+F19+F84</f>
        <v/>
      </c>
      <c r="G45" s="15">
        <f>G42+G19+G84</f>
        <v/>
      </c>
    </row>
    <row r="46">
      <c r="B46" s="16" t="inlineStr">
        <is>
          <t xml:space="preserve">  EBITDA margin %</t>
        </is>
      </c>
      <c r="C46" s="17">
        <f>IFERROR(C45/C9,0)</f>
        <v/>
      </c>
      <c r="D46" s="17">
        <f>IFERROR(D45/D9,0)</f>
        <v/>
      </c>
      <c r="E46" s="17">
        <f>IFERROR(E45/E9,0)</f>
        <v/>
      </c>
      <c r="F46" s="17">
        <f>IFERROR(F45/F9,0)</f>
        <v/>
      </c>
      <c r="G46" s="17">
        <f>IFERROR(G45/G9,0)</f>
        <v/>
      </c>
    </row>
    <row r="47">
      <c r="B47" s="16" t="inlineStr">
        <is>
          <t xml:space="preserve">  Incremental EBITDA % (ΔEBITDA / ΔRevenue)</t>
        </is>
      </c>
      <c r="C47" s="17" t="n"/>
      <c r="D47" s="17">
        <f>IFERROR((D45-C45)/(D9-C9),"")</f>
        <v/>
      </c>
      <c r="E47" s="17">
        <f>IFERROR((E45-D45)/(E9-D9),"")</f>
        <v/>
      </c>
      <c r="F47" s="17">
        <f>IFERROR((F45-E45)/(F9-E9),"")</f>
        <v/>
      </c>
      <c r="G47" s="17">
        <f>IFERROR((G45-F45)/(G9-F9),"")</f>
        <v/>
      </c>
      <c r="I47" s="12" t="inlineStr">
        <is>
          <t>Drop-through of incremental revenue to EBITDA; needs a prior year, so FY2021 is n/a.</t>
        </is>
      </c>
    </row>
    <row r="48">
      <c r="B48" s="9" t="inlineStr">
        <is>
          <t xml:space="preserve">  Less: capital expenditures (implied)</t>
        </is>
      </c>
      <c r="C48" s="13" t="n"/>
      <c r="D48" s="13">
        <f>D130</f>
        <v/>
      </c>
      <c r="E48" s="13">
        <f>E130</f>
        <v/>
      </c>
      <c r="F48" s="13">
        <f>F130</f>
        <v/>
      </c>
      <c r="G48" s="13">
        <f>G130</f>
        <v/>
      </c>
      <c r="I48" s="12" t="inlineStr">
        <is>
          <t>From the implied cash flow; requires prior-year PP&amp;E, so FY2021 is n/a.</t>
        </is>
      </c>
    </row>
    <row r="49">
      <c r="B49" s="19" t="inlineStr">
        <is>
          <t xml:space="preserve">  = EBITDA − capex</t>
        </is>
      </c>
      <c r="C49" s="20" t="n"/>
      <c r="D49" s="20">
        <f>D45+D130</f>
        <v/>
      </c>
      <c r="E49" s="20">
        <f>E45+E130</f>
        <v/>
      </c>
      <c r="F49" s="20">
        <f>F45+F130</f>
        <v/>
      </c>
      <c r="G49" s="20">
        <f>G45+G130</f>
        <v/>
      </c>
    </row>
    <row r="51">
      <c r="A51" s="18" t="n"/>
      <c r="B51" s="18" t="inlineStr">
        <is>
          <t>Retained earnings reconciliation</t>
        </is>
      </c>
      <c r="C51" s="18" t="n"/>
      <c r="D51" s="18" t="n"/>
      <c r="E51" s="18" t="n"/>
      <c r="F51" s="18" t="n"/>
      <c r="G51" s="18" t="n"/>
      <c r="H51" s="18" t="n"/>
      <c r="I51" s="18" t="n"/>
    </row>
    <row r="52">
      <c r="B52" s="9" t="inlineStr">
        <is>
          <t xml:space="preserve">  Retained earnings, beginning of year</t>
        </is>
      </c>
      <c r="C52" s="10" t="n">
        <v>670703</v>
      </c>
      <c r="D52" s="13">
        <f>C55</f>
        <v/>
      </c>
      <c r="E52" s="13">
        <f>D55</f>
        <v/>
      </c>
      <c r="F52" s="13">
        <f>E55</f>
        <v/>
      </c>
      <c r="G52" s="13">
        <f>F55</f>
        <v/>
      </c>
    </row>
    <row r="53">
      <c r="B53" s="9" t="inlineStr">
        <is>
          <t xml:space="preserve">  Net income for the year</t>
        </is>
      </c>
      <c r="C53" s="13">
        <f>C36</f>
        <v/>
      </c>
      <c r="D53" s="13">
        <f>D36</f>
        <v/>
      </c>
      <c r="E53" s="13">
        <f>E36</f>
        <v/>
      </c>
      <c r="F53" s="13">
        <f>F36</f>
        <v/>
      </c>
      <c r="G53" s="13">
        <f>G36</f>
        <v/>
      </c>
    </row>
    <row r="54">
      <c r="B54" s="9" t="inlineStr">
        <is>
          <t xml:space="preserve">  Dividends</t>
        </is>
      </c>
      <c r="C54" s="10" t="n">
        <v>0</v>
      </c>
      <c r="D54" s="10" t="n">
        <v>0</v>
      </c>
      <c r="E54" s="10" t="n">
        <v>170000</v>
      </c>
      <c r="F54" s="10" t="n">
        <v>0</v>
      </c>
      <c r="G54" s="10" t="n">
        <v>0</v>
      </c>
    </row>
    <row r="55">
      <c r="B55" s="14" t="inlineStr">
        <is>
          <t>Retained earnings, end of year</t>
        </is>
      </c>
      <c r="C55" s="15">
        <f>C52+C53-C54</f>
        <v/>
      </c>
      <c r="D55" s="15">
        <f>D52+D53-D54</f>
        <v/>
      </c>
      <c r="E55" s="15">
        <f>E52+E53-E54</f>
        <v/>
      </c>
      <c r="F55" s="15">
        <f>F52+F53-F54</f>
        <v/>
      </c>
      <c r="G55" s="15">
        <f>G52+G53-G54</f>
        <v/>
      </c>
    </row>
    <row r="57">
      <c r="A57" s="18" t="n"/>
      <c r="B57" s="18" t="inlineStr">
        <is>
          <t>Growth &amp; margins</t>
        </is>
      </c>
      <c r="C57" s="18" t="n"/>
      <c r="D57" s="18" t="n"/>
      <c r="E57" s="18" t="n"/>
      <c r="F57" s="18" t="n"/>
      <c r="G57" s="18" t="n"/>
      <c r="H57" s="18" t="n"/>
      <c r="I57" s="18" t="n"/>
    </row>
    <row r="58">
      <c r="B58" s="16" t="inlineStr">
        <is>
          <t xml:space="preserve">  Revenue y/y %</t>
        </is>
      </c>
      <c r="C58" s="17">
        <f>IFERROR(C9/C9-1,"")</f>
        <v/>
      </c>
      <c r="D58" s="17">
        <f>IFERROR(D9/C9-1,"")</f>
        <v/>
      </c>
      <c r="E58" s="17">
        <f>IFERROR(E9/D9-1,"")</f>
        <v/>
      </c>
      <c r="F58" s="17">
        <f>IFERROR(F9/E9-1,"")</f>
        <v/>
      </c>
      <c r="G58" s="17">
        <f>IFERROR(G9/F9-1,"")</f>
        <v/>
      </c>
    </row>
    <row r="59">
      <c r="B59" s="16" t="inlineStr">
        <is>
          <t xml:space="preserve">  Gross margin y/y %</t>
        </is>
      </c>
      <c r="C59" s="17">
        <f>IFERROR(C11/C11-1,"")</f>
        <v/>
      </c>
      <c r="D59" s="17">
        <f>IFERROR(D11/C11-1,"")</f>
        <v/>
      </c>
      <c r="E59" s="17">
        <f>IFERROR(E11/D11-1,"")</f>
        <v/>
      </c>
      <c r="F59" s="17">
        <f>IFERROR(F11/E11-1,"")</f>
        <v/>
      </c>
      <c r="G59" s="17">
        <f>IFERROR(G11/F11-1,"")</f>
        <v/>
      </c>
    </row>
    <row r="60">
      <c r="B60" s="16" t="inlineStr">
        <is>
          <t xml:space="preserve">  Net income y/y %</t>
        </is>
      </c>
      <c r="C60" s="17">
        <f>IFERROR(C36/C36-1,"")</f>
        <v/>
      </c>
      <c r="D60" s="17">
        <f>IFERROR(D36/C36-1,"")</f>
        <v/>
      </c>
      <c r="E60" s="17">
        <f>IFERROR(E36/D36-1,"")</f>
        <v/>
      </c>
      <c r="F60" s="17">
        <f>IFERROR(F36/E36-1,"")</f>
        <v/>
      </c>
      <c r="G60" s="17">
        <f>IFERROR(G36/F36-1,"")</f>
        <v/>
      </c>
    </row>
    <row r="61">
      <c r="B61" s="16" t="inlineStr">
        <is>
          <t xml:space="preserve">  G&amp;A % of revenue</t>
        </is>
      </c>
      <c r="C61" s="17">
        <f>IFERROR(C29/C9,0)</f>
        <v/>
      </c>
      <c r="D61" s="17">
        <f>IFERROR(D29/D9,0)</f>
        <v/>
      </c>
      <c r="E61" s="17">
        <f>IFERROR(E29/E9,0)</f>
        <v/>
      </c>
      <c r="F61" s="17">
        <f>IFERROR(F29/F9,0)</f>
        <v/>
      </c>
      <c r="G61" s="17">
        <f>IFERROR(G29/G9,0)</f>
        <v/>
      </c>
    </row>
    <row r="62">
      <c r="B62" s="16" t="inlineStr">
        <is>
          <t xml:space="preserve">  Net income margin %</t>
        </is>
      </c>
      <c r="C62" s="17">
        <f>IFERROR(C36/C9,0)</f>
        <v/>
      </c>
      <c r="D62" s="17">
        <f>IFERROR(D36/D9,0)</f>
        <v/>
      </c>
      <c r="E62" s="17">
        <f>IFERROR(E36/E9,0)</f>
        <v/>
      </c>
      <c r="F62" s="17">
        <f>IFERROR(F36/F9,0)</f>
        <v/>
      </c>
      <c r="G62" s="17">
        <f>IFERROR(G36/G9,0)</f>
        <v/>
      </c>
    </row>
    <row r="64" ht="18" customHeight="1">
      <c r="A64" s="8" t="n"/>
      <c r="B64" s="8" t="inlineStr">
        <is>
          <t>COST OF SALES SCHEDULE</t>
        </is>
      </c>
      <c r="C64" s="8" t="n"/>
      <c r="D64" s="8" t="n"/>
      <c r="E64" s="8" t="n"/>
      <c r="F64" s="8" t="n"/>
      <c r="G64" s="8" t="n"/>
      <c r="H64" s="8" t="n"/>
      <c r="I64" s="8" t="n"/>
    </row>
    <row r="65">
      <c r="A65" s="18" t="n"/>
      <c r="B65" s="18" t="inlineStr">
        <is>
          <t>Direct costs</t>
        </is>
      </c>
      <c r="C65" s="18" t="n"/>
      <c r="D65" s="18" t="n"/>
      <c r="E65" s="18" t="n"/>
      <c r="F65" s="18" t="n"/>
      <c r="G65" s="18" t="n"/>
      <c r="H65" s="18" t="n"/>
      <c r="I65" s="18" t="n"/>
    </row>
    <row r="66">
      <c r="B66" s="9" t="inlineStr">
        <is>
          <t xml:space="preserve">  Direct wages</t>
        </is>
      </c>
      <c r="C66" s="10" t="n">
        <v>155912</v>
      </c>
      <c r="D66" s="10" t="n">
        <v>207400</v>
      </c>
      <c r="E66" s="10" t="n">
        <v>124776</v>
      </c>
      <c r="F66" s="10" t="n">
        <v>246407</v>
      </c>
      <c r="G66" s="10" t="n">
        <v>331037</v>
      </c>
    </row>
    <row r="67">
      <c r="B67" s="9" t="inlineStr">
        <is>
          <t xml:space="preserve">  Materials, supplies and miscellaneous</t>
        </is>
      </c>
      <c r="C67" s="10" t="n">
        <v>196164</v>
      </c>
      <c r="D67" s="10" t="n">
        <v>234466</v>
      </c>
      <c r="E67" s="10" t="n">
        <v>423028</v>
      </c>
      <c r="F67" s="10" t="n">
        <v>320248</v>
      </c>
      <c r="G67" s="10" t="n">
        <v>233181</v>
      </c>
    </row>
    <row r="68">
      <c r="B68" s="9" t="inlineStr">
        <is>
          <t xml:space="preserve">  Subcontracts</t>
        </is>
      </c>
      <c r="C68" s="10" t="n">
        <v>123993</v>
      </c>
      <c r="D68" s="10" t="n">
        <v>124289</v>
      </c>
      <c r="E68" s="10" t="n">
        <v>156114</v>
      </c>
      <c r="F68" s="10" t="n">
        <v>208375</v>
      </c>
      <c r="G68" s="10" t="n">
        <v>242821</v>
      </c>
    </row>
    <row r="69">
      <c r="B69" s="14" t="inlineStr">
        <is>
          <t>Total direct costs</t>
        </is>
      </c>
      <c r="C69" s="15">
        <f>SUM(C66:C68)</f>
        <v/>
      </c>
      <c r="D69" s="15">
        <f>SUM(D66:D68)</f>
        <v/>
      </c>
      <c r="E69" s="15">
        <f>SUM(E66:E68)</f>
        <v/>
      </c>
      <c r="F69" s="15">
        <f>SUM(F66:F68)</f>
        <v/>
      </c>
      <c r="G69" s="15">
        <f>SUM(G66:G68)</f>
        <v/>
      </c>
    </row>
    <row r="70">
      <c r="A70" s="18" t="n"/>
      <c r="B70" s="18" t="inlineStr">
        <is>
          <t>Direct costs as % of revenue</t>
        </is>
      </c>
      <c r="C70" s="18" t="n"/>
      <c r="D70" s="18" t="n"/>
      <c r="E70" s="18" t="n"/>
      <c r="F70" s="18" t="n"/>
      <c r="G70" s="18" t="n"/>
      <c r="H70" s="18" t="n"/>
      <c r="I70" s="18" t="n"/>
    </row>
    <row r="71">
      <c r="B71" s="16" t="inlineStr">
        <is>
          <t xml:space="preserve">  Direct wages % of revenue</t>
        </is>
      </c>
      <c r="C71" s="17">
        <f>IFERROR(C66/C9,0)</f>
        <v/>
      </c>
      <c r="D71" s="17">
        <f>IFERROR(D66/D9,0)</f>
        <v/>
      </c>
      <c r="E71" s="17">
        <f>IFERROR(E66/E9,0)</f>
        <v/>
      </c>
      <c r="F71" s="17">
        <f>IFERROR(F66/F9,0)</f>
        <v/>
      </c>
      <c r="G71" s="17">
        <f>IFERROR(G66/G9,0)</f>
        <v/>
      </c>
    </row>
    <row r="72">
      <c r="B72" s="16" t="inlineStr">
        <is>
          <t xml:space="preserve">  Materials, supplies and miscellaneous % of revenue</t>
        </is>
      </c>
      <c r="C72" s="17">
        <f>IFERROR(C67/C9,0)</f>
        <v/>
      </c>
      <c r="D72" s="17">
        <f>IFERROR(D67/D9,0)</f>
        <v/>
      </c>
      <c r="E72" s="17">
        <f>IFERROR(E67/E9,0)</f>
        <v/>
      </c>
      <c r="F72" s="17">
        <f>IFERROR(F67/F9,0)</f>
        <v/>
      </c>
      <c r="G72" s="17">
        <f>IFERROR(G67/G9,0)</f>
        <v/>
      </c>
    </row>
    <row r="73">
      <c r="B73" s="16" t="inlineStr">
        <is>
          <t xml:space="preserve">  Subcontracts % of revenue</t>
        </is>
      </c>
      <c r="C73" s="17">
        <f>IFERROR(C68/C9,0)</f>
        <v/>
      </c>
      <c r="D73" s="17">
        <f>IFERROR(D68/D9,0)</f>
        <v/>
      </c>
      <c r="E73" s="17">
        <f>IFERROR(E68/E9,0)</f>
        <v/>
      </c>
      <c r="F73" s="17">
        <f>IFERROR(F68/F9,0)</f>
        <v/>
      </c>
      <c r="G73" s="17">
        <f>IFERROR(G68/G9,0)</f>
        <v/>
      </c>
    </row>
    <row r="74">
      <c r="B74" s="21" t="inlineStr">
        <is>
          <t xml:space="preserve">  Total direct costs % of revenue</t>
        </is>
      </c>
      <c r="C74" s="22">
        <f>IFERROR(C69/C9,0)</f>
        <v/>
      </c>
      <c r="D74" s="22">
        <f>IFERROR(D69/D9,0)</f>
        <v/>
      </c>
      <c r="E74" s="22">
        <f>IFERROR(E69/E9,0)</f>
        <v/>
      </c>
      <c r="F74" s="22">
        <f>IFERROR(F69/F9,0)</f>
        <v/>
      </c>
      <c r="G74" s="22">
        <f>IFERROR(G69/G9,0)</f>
        <v/>
      </c>
    </row>
    <row r="75">
      <c r="A75" s="18" t="n"/>
      <c r="B75" s="18" t="inlineStr">
        <is>
          <t>Indirect costs</t>
        </is>
      </c>
      <c r="C75" s="18" t="n"/>
      <c r="D75" s="18" t="n"/>
      <c r="E75" s="18" t="n"/>
      <c r="F75" s="18" t="n"/>
      <c r="G75" s="18" t="n"/>
      <c r="H75" s="18" t="n"/>
      <c r="I75" s="18" t="n"/>
    </row>
    <row r="76">
      <c r="B76" s="9" t="inlineStr">
        <is>
          <t xml:space="preserve">  Employee group benefits</t>
        </is>
      </c>
      <c r="C76" s="10" t="n">
        <v>6052</v>
      </c>
      <c r="D76" s="10" t="n">
        <v>5039</v>
      </c>
      <c r="E76" s="10" t="n">
        <v>9316</v>
      </c>
      <c r="F76" s="10" t="n">
        <v>7971</v>
      </c>
      <c r="G76" s="10" t="n">
        <v>18149</v>
      </c>
    </row>
    <row r="77">
      <c r="B77" s="9" t="inlineStr">
        <is>
          <t xml:space="preserve">  WSIB</t>
        </is>
      </c>
      <c r="C77" s="10" t="n">
        <v>1840</v>
      </c>
      <c r="D77" s="10" t="n">
        <v>1078</v>
      </c>
      <c r="E77" s="10" t="n">
        <v>3724</v>
      </c>
      <c r="F77" s="10" t="n">
        <v>2996</v>
      </c>
      <c r="G77" s="10" t="n">
        <v>-47</v>
      </c>
    </row>
    <row r="78">
      <c r="B78" s="9" t="inlineStr">
        <is>
          <t xml:space="preserve">  Insurance and property tax</t>
        </is>
      </c>
      <c r="C78" s="10" t="n">
        <v>28591</v>
      </c>
      <c r="D78" s="10" t="n">
        <v>33771</v>
      </c>
      <c r="E78" s="10" t="n">
        <v>29558</v>
      </c>
      <c r="F78" s="10" t="n">
        <v>33572</v>
      </c>
      <c r="G78" s="10" t="n">
        <v>29258</v>
      </c>
    </row>
    <row r="79">
      <c r="B79" s="9" t="inlineStr">
        <is>
          <t xml:space="preserve">  Utilities</t>
        </is>
      </c>
      <c r="C79" s="10" t="n">
        <v>21844</v>
      </c>
      <c r="D79" s="10" t="n">
        <v>24879</v>
      </c>
      <c r="E79" s="10" t="n">
        <v>25382</v>
      </c>
      <c r="F79" s="10" t="n">
        <v>25785</v>
      </c>
      <c r="G79" s="10" t="n">
        <v>25115</v>
      </c>
    </row>
    <row r="80">
      <c r="B80" s="9" t="inlineStr">
        <is>
          <t xml:space="preserve">  Repairs and maintenance — equipment</t>
        </is>
      </c>
      <c r="C80" s="10" t="n">
        <v>29368</v>
      </c>
      <c r="D80" s="10" t="n">
        <v>47451</v>
      </c>
      <c r="E80" s="10" t="n">
        <v>39527</v>
      </c>
      <c r="F80" s="10" t="n">
        <v>13007</v>
      </c>
      <c r="G80" s="10" t="n">
        <v>21655</v>
      </c>
    </row>
    <row r="81">
      <c r="B81" s="9" t="inlineStr">
        <is>
          <t xml:space="preserve">  Repairs and maintenance — buildings</t>
        </is>
      </c>
      <c r="C81" s="10" t="n">
        <v>35600</v>
      </c>
      <c r="D81" s="10" t="n">
        <v>22714</v>
      </c>
      <c r="E81" s="10" t="n">
        <v>34750</v>
      </c>
      <c r="F81" s="10" t="n">
        <v>50649</v>
      </c>
      <c r="G81" s="10" t="n">
        <v>141141</v>
      </c>
    </row>
    <row r="82">
      <c r="B82" s="9" t="inlineStr">
        <is>
          <t xml:space="preserve">  Freight and duty</t>
        </is>
      </c>
      <c r="C82" s="10" t="n">
        <v>23583</v>
      </c>
      <c r="D82" s="10" t="n">
        <v>14673</v>
      </c>
      <c r="E82" s="10" t="n">
        <v>18134</v>
      </c>
      <c r="F82" s="10" t="n">
        <v>23910</v>
      </c>
      <c r="G82" s="10" t="n">
        <v>22757</v>
      </c>
    </row>
    <row r="83">
      <c r="B83" s="9" t="inlineStr">
        <is>
          <t xml:space="preserve">  Truck and travel</t>
        </is>
      </c>
      <c r="C83" s="10" t="n">
        <v>4307</v>
      </c>
      <c r="D83" s="10" t="n">
        <v>10175</v>
      </c>
      <c r="E83" s="10" t="n">
        <v>7805</v>
      </c>
      <c r="F83" s="10" t="n">
        <v>11969</v>
      </c>
      <c r="G83" s="10" t="n">
        <v>11486</v>
      </c>
    </row>
    <row r="84">
      <c r="B84" s="9" t="inlineStr">
        <is>
          <t xml:space="preserve">  Amortization — building and shop equipment</t>
        </is>
      </c>
      <c r="C84" s="10" t="n">
        <v>89055</v>
      </c>
      <c r="D84" s="10" t="n">
        <v>74522</v>
      </c>
      <c r="E84" s="10" t="n">
        <v>53208</v>
      </c>
      <c r="F84" s="10" t="n">
        <v>45953</v>
      </c>
      <c r="G84" s="10" t="n">
        <v>42284</v>
      </c>
      <c r="I84" s="12" t="inlineStr">
        <is>
          <t>Non-cash; added back in cash flow.</t>
        </is>
      </c>
    </row>
    <row r="85">
      <c r="B85" s="14" t="inlineStr">
        <is>
          <t>Total indirect costs</t>
        </is>
      </c>
      <c r="C85" s="15">
        <f>SUM(C76:C84)</f>
        <v/>
      </c>
      <c r="D85" s="15">
        <f>SUM(D76:D84)</f>
        <v/>
      </c>
      <c r="E85" s="15">
        <f>SUM(E76:E84)</f>
        <v/>
      </c>
      <c r="F85" s="15">
        <f>SUM(F76:F84)</f>
        <v/>
      </c>
      <c r="G85" s="15">
        <f>SUM(G76:G84)</f>
        <v/>
      </c>
    </row>
    <row r="86">
      <c r="B86" s="19" t="inlineStr">
        <is>
          <t>Total cost of sales</t>
        </is>
      </c>
      <c r="C86" s="20">
        <f>C69+C85</f>
        <v/>
      </c>
      <c r="D86" s="20">
        <f>D69+D85</f>
        <v/>
      </c>
      <c r="E86" s="20">
        <f>E69+E85</f>
        <v/>
      </c>
      <c r="F86" s="20">
        <f>F69+F85</f>
        <v/>
      </c>
      <c r="G86" s="20">
        <f>G69+G85</f>
        <v/>
      </c>
    </row>
    <row r="88" ht="18" customHeight="1">
      <c r="A88" s="8" t="n"/>
      <c r="B88" s="8" t="inlineStr">
        <is>
          <t>BALANCE SHEET</t>
        </is>
      </c>
      <c r="C88" s="8" t="n"/>
      <c r="D88" s="8" t="n"/>
      <c r="E88" s="8" t="n"/>
      <c r="F88" s="8" t="n"/>
      <c r="G88" s="8" t="n"/>
      <c r="H88" s="8" t="n"/>
      <c r="I88" s="8" t="n"/>
    </row>
    <row r="89">
      <c r="A89" s="18" t="n"/>
      <c r="B89" s="18" t="inlineStr">
        <is>
          <t>Assets — current</t>
        </is>
      </c>
      <c r="C89" s="18" t="n"/>
      <c r="D89" s="18" t="n"/>
      <c r="E89" s="18" t="n"/>
      <c r="F89" s="18" t="n"/>
      <c r="G89" s="18" t="n"/>
      <c r="H89" s="18" t="n"/>
      <c r="I89" s="18" t="n"/>
    </row>
    <row r="90">
      <c r="B90" s="9" t="inlineStr">
        <is>
          <t xml:space="preserve">  Cash in bank</t>
        </is>
      </c>
      <c r="C90" s="10" t="n">
        <v>301695</v>
      </c>
      <c r="D90" s="10" t="n">
        <v>331894</v>
      </c>
      <c r="E90" s="10" t="n">
        <v>323927</v>
      </c>
      <c r="F90" s="10" t="n">
        <v>451664</v>
      </c>
      <c r="G90" s="10" t="n">
        <v>700989</v>
      </c>
    </row>
    <row r="91">
      <c r="B91" s="9" t="inlineStr">
        <is>
          <t xml:space="preserve">  Accounts receivable</t>
        </is>
      </c>
      <c r="C91" s="10" t="n">
        <v>174456</v>
      </c>
      <c r="D91" s="10" t="n">
        <v>102521</v>
      </c>
      <c r="E91" s="10" t="n">
        <v>172686</v>
      </c>
      <c r="F91" s="10" t="n">
        <v>283263</v>
      </c>
      <c r="G91" s="10" t="n">
        <v>249660</v>
      </c>
    </row>
    <row r="92">
      <c r="B92" s="9" t="inlineStr">
        <is>
          <t xml:space="preserve">  Government sales tax recoverable</t>
        </is>
      </c>
      <c r="C92" s="10" t="n">
        <v>10746</v>
      </c>
      <c r="D92" s="10" t="n">
        <v>8957</v>
      </c>
      <c r="E92" s="10" t="n">
        <v>11269</v>
      </c>
      <c r="F92" s="10" t="n">
        <v>4041</v>
      </c>
      <c r="G92" s="10" t="n">
        <v>10200</v>
      </c>
    </row>
    <row r="93">
      <c r="B93" s="9" t="inlineStr">
        <is>
          <t xml:space="preserve">  Due from director</t>
        </is>
      </c>
      <c r="C93" s="10" t="n">
        <v>121461</v>
      </c>
      <c r="D93" s="10" t="n">
        <v>243508</v>
      </c>
      <c r="E93" s="10" t="n">
        <v>0</v>
      </c>
      <c r="F93" s="10" t="n">
        <v>0</v>
      </c>
      <c r="G93" s="10" t="n">
        <v>6193</v>
      </c>
    </row>
    <row r="94">
      <c r="B94" s="9" t="inlineStr">
        <is>
          <t xml:space="preserve">  Due from KEL Tooling, non-interest bearing</t>
        </is>
      </c>
      <c r="C94" s="10" t="n">
        <v>0</v>
      </c>
      <c r="D94" s="10" t="n">
        <v>0</v>
      </c>
      <c r="E94" s="10" t="n">
        <v>23308</v>
      </c>
      <c r="F94" s="10" t="n">
        <v>16108</v>
      </c>
      <c r="G94" s="10" t="n">
        <v>8908</v>
      </c>
    </row>
    <row r="95">
      <c r="B95" s="14" t="inlineStr">
        <is>
          <t>Total current assets</t>
        </is>
      </c>
      <c r="C95" s="15">
        <f>SUM(C90:C94)</f>
        <v/>
      </c>
      <c r="D95" s="15">
        <f>SUM(D90:D94)</f>
        <v/>
      </c>
      <c r="E95" s="15">
        <f>SUM(E90:E94)</f>
        <v/>
      </c>
      <c r="F95" s="15">
        <f>SUM(F90:F94)</f>
        <v/>
      </c>
      <c r="G95" s="15">
        <f>SUM(G90:G94)</f>
        <v/>
      </c>
    </row>
    <row r="96">
      <c r="B96" s="9" t="inlineStr">
        <is>
          <t>Due from Related Group of Companies</t>
        </is>
      </c>
      <c r="C96" s="10" t="n">
        <v>24277</v>
      </c>
      <c r="D96" s="10" t="n">
        <v>24277</v>
      </c>
      <c r="E96" s="10" t="n">
        <v>12780</v>
      </c>
      <c r="F96" s="10" t="n">
        <v>16132</v>
      </c>
      <c r="G96" s="10" t="n">
        <v>18139</v>
      </c>
    </row>
    <row r="97">
      <c r="B97" s="9" t="inlineStr">
        <is>
          <t>Land, buildings and equipment, net</t>
        </is>
      </c>
      <c r="C97" s="10" t="n">
        <v>570987</v>
      </c>
      <c r="D97" s="10" t="n">
        <v>513774</v>
      </c>
      <c r="E97" s="10" t="n">
        <v>441755</v>
      </c>
      <c r="F97" s="10" t="n">
        <v>403824</v>
      </c>
      <c r="G97" s="10" t="n">
        <v>502314</v>
      </c>
      <c r="I97" s="12" t="inlineStr">
        <is>
          <t>Net of accumulated amortization.</t>
        </is>
      </c>
    </row>
    <row r="98">
      <c r="B98" s="23" t="inlineStr">
        <is>
          <t>TOTAL ASSETS</t>
        </is>
      </c>
      <c r="C98" s="24">
        <f>C95+C96+C97</f>
        <v/>
      </c>
      <c r="D98" s="24">
        <f>D95+D96+D97</f>
        <v/>
      </c>
      <c r="E98" s="24">
        <f>E95+E96+E97</f>
        <v/>
      </c>
      <c r="F98" s="24">
        <f>F95+F96+F97</f>
        <v/>
      </c>
      <c r="G98" s="24">
        <f>G95+G96+G97</f>
        <v/>
      </c>
    </row>
    <row r="100">
      <c r="A100" s="18" t="n"/>
      <c r="B100" s="18" t="inlineStr">
        <is>
          <t>Liabilities — current</t>
        </is>
      </c>
      <c r="C100" s="18" t="n"/>
      <c r="D100" s="18" t="n"/>
      <c r="E100" s="18" t="n"/>
      <c r="F100" s="18" t="n"/>
      <c r="G100" s="18" t="n"/>
      <c r="H100" s="18" t="n"/>
      <c r="I100" s="18" t="n"/>
    </row>
    <row r="101">
      <c r="B101" s="9" t="inlineStr">
        <is>
          <t xml:space="preserve">  Bank loan</t>
        </is>
      </c>
      <c r="C101" s="10" t="n">
        <v>25000</v>
      </c>
      <c r="D101" s="10" t="n">
        <v>11500</v>
      </c>
      <c r="E101" s="10" t="n">
        <v>0</v>
      </c>
      <c r="F101" s="10" t="n">
        <v>0</v>
      </c>
      <c r="G101" s="10" t="n">
        <v>155242</v>
      </c>
    </row>
    <row r="102">
      <c r="B102" s="9" t="inlineStr">
        <is>
          <t xml:space="preserve">  Accounts payable and accrued liabilities</t>
        </is>
      </c>
      <c r="C102" s="10" t="n">
        <v>246579</v>
      </c>
      <c r="D102" s="10" t="n">
        <v>269806</v>
      </c>
      <c r="E102" s="10" t="n">
        <v>157001</v>
      </c>
      <c r="F102" s="10" t="n">
        <v>148733</v>
      </c>
      <c r="G102" s="10" t="n">
        <v>152022</v>
      </c>
    </row>
    <row r="103">
      <c r="B103" s="9" t="inlineStr">
        <is>
          <t xml:space="preserve">  Payroll deductions payable</t>
        </is>
      </c>
      <c r="C103" s="10" t="n">
        <v>2687</v>
      </c>
      <c r="D103" s="10" t="n">
        <v>26638</v>
      </c>
      <c r="E103" s="10" t="n">
        <v>6158</v>
      </c>
      <c r="F103" s="10" t="n">
        <v>6157</v>
      </c>
      <c r="G103" s="10" t="n">
        <v>10936</v>
      </c>
    </row>
    <row r="104">
      <c r="B104" s="9" t="inlineStr">
        <is>
          <t xml:space="preserve">  Income tax payable</t>
        </is>
      </c>
      <c r="C104" s="10" t="n">
        <v>37030</v>
      </c>
      <c r="D104" s="10" t="n">
        <v>10179</v>
      </c>
      <c r="E104" s="10" t="n">
        <v>16792</v>
      </c>
      <c r="F104" s="10" t="n">
        <v>30644</v>
      </c>
      <c r="G104" s="10" t="n">
        <v>629</v>
      </c>
    </row>
    <row r="105">
      <c r="B105" s="9" t="inlineStr">
        <is>
          <t xml:space="preserve">  Due to KEL Tooling, non-interest bearing</t>
        </is>
      </c>
      <c r="C105" s="10" t="n">
        <v>2239</v>
      </c>
      <c r="D105" s="10" t="n">
        <v>0</v>
      </c>
      <c r="E105" s="10" t="n">
        <v>0</v>
      </c>
      <c r="F105" s="10" t="n">
        <v>0</v>
      </c>
      <c r="G105" s="10" t="n">
        <v>0</v>
      </c>
    </row>
    <row r="106">
      <c r="B106" s="9" t="inlineStr">
        <is>
          <t xml:space="preserve">  Due to director</t>
        </is>
      </c>
      <c r="C106" s="10" t="n">
        <v>0</v>
      </c>
      <c r="D106" s="10" t="n">
        <v>0</v>
      </c>
      <c r="E106" s="10" t="n">
        <v>6616</v>
      </c>
      <c r="F106" s="10" t="n">
        <v>6616</v>
      </c>
      <c r="G106" s="10" t="n">
        <v>0</v>
      </c>
    </row>
    <row r="107">
      <c r="B107" s="14" t="inlineStr">
        <is>
          <t>Total current liabilities</t>
        </is>
      </c>
      <c r="C107" s="15">
        <f>SUM(C101:C106)</f>
        <v/>
      </c>
      <c r="D107" s="15">
        <f>SUM(D101:D106)</f>
        <v/>
      </c>
      <c r="E107" s="15">
        <f>SUM(E101:E106)</f>
        <v/>
      </c>
      <c r="F107" s="15">
        <f>SUM(F101:F106)</f>
        <v/>
      </c>
      <c r="G107" s="15">
        <f>SUM(G101:G106)</f>
        <v/>
      </c>
    </row>
    <row r="108">
      <c r="B108" s="9" t="inlineStr">
        <is>
          <t>Future income tax liability</t>
        </is>
      </c>
      <c r="C108" s="10" t="n">
        <v>16039</v>
      </c>
      <c r="D108" s="10" t="n">
        <v>10090</v>
      </c>
      <c r="E108" s="10" t="n">
        <v>4211</v>
      </c>
      <c r="F108" s="10" t="n">
        <v>849</v>
      </c>
      <c r="G108" s="10" t="n">
        <v>0</v>
      </c>
    </row>
    <row r="109">
      <c r="B109" s="14" t="inlineStr">
        <is>
          <t>Total liabilities</t>
        </is>
      </c>
      <c r="C109" s="15">
        <f>C107+C108</f>
        <v/>
      </c>
      <c r="D109" s="15">
        <f>D107+D108</f>
        <v/>
      </c>
      <c r="E109" s="15">
        <f>E107+E108</f>
        <v/>
      </c>
      <c r="F109" s="15">
        <f>F107+F108</f>
        <v/>
      </c>
      <c r="G109" s="15">
        <f>G107+G108</f>
        <v/>
      </c>
    </row>
    <row r="110">
      <c r="A110" s="18" t="n"/>
      <c r="B110" s="18" t="inlineStr">
        <is>
          <t>Shareholders' equity</t>
        </is>
      </c>
      <c r="C110" s="18" t="n"/>
      <c r="D110" s="18" t="n"/>
      <c r="E110" s="18" t="n"/>
      <c r="F110" s="18" t="n"/>
      <c r="G110" s="18" t="n"/>
      <c r="H110" s="18" t="n"/>
      <c r="I110" s="18" t="n"/>
    </row>
    <row r="111">
      <c r="B111" s="9" t="inlineStr">
        <is>
          <t xml:space="preserve">  Share capital</t>
        </is>
      </c>
      <c r="C111" s="10" t="n">
        <v>1000</v>
      </c>
      <c r="D111" s="10" t="n">
        <v>1000</v>
      </c>
      <c r="E111" s="10" t="n">
        <v>1000</v>
      </c>
      <c r="F111" s="10" t="n">
        <v>1000</v>
      </c>
      <c r="G111" s="10" t="n">
        <v>1000</v>
      </c>
    </row>
    <row r="112">
      <c r="B112" s="9" t="inlineStr">
        <is>
          <t xml:space="preserve">  Retained earnings</t>
        </is>
      </c>
      <c r="C112" s="13">
        <f>C55</f>
        <v/>
      </c>
      <c r="D112" s="13">
        <f>D55</f>
        <v/>
      </c>
      <c r="E112" s="13">
        <f>E55</f>
        <v/>
      </c>
      <c r="F112" s="13">
        <f>F55</f>
        <v/>
      </c>
      <c r="G112" s="13">
        <f>G55</f>
        <v/>
      </c>
      <c r="I112" s="12" t="inlineStr">
        <is>
          <t>Links to retained earnings, end of year (Income Statement).</t>
        </is>
      </c>
    </row>
    <row r="113">
      <c r="B113" s="14" t="inlineStr">
        <is>
          <t>Total shareholders' equity</t>
        </is>
      </c>
      <c r="C113" s="15">
        <f>C111+C112</f>
        <v/>
      </c>
      <c r="D113" s="15">
        <f>D111+D112</f>
        <v/>
      </c>
      <c r="E113" s="15">
        <f>E111+E112</f>
        <v/>
      </c>
      <c r="F113" s="15">
        <f>F111+F112</f>
        <v/>
      </c>
      <c r="G113" s="15">
        <f>G111+G112</f>
        <v/>
      </c>
    </row>
    <row r="114">
      <c r="B114" s="23" t="inlineStr">
        <is>
          <t>TOTAL LIABILITIES AND EQUITY</t>
        </is>
      </c>
      <c r="C114" s="24">
        <f>C109+C113</f>
        <v/>
      </c>
      <c r="D114" s="24">
        <f>D109+D113</f>
        <v/>
      </c>
      <c r="E114" s="24">
        <f>E109+E113</f>
        <v/>
      </c>
      <c r="F114" s="24">
        <f>F109+F113</f>
        <v/>
      </c>
      <c r="G114" s="24">
        <f>G109+G113</f>
        <v/>
      </c>
    </row>
    <row r="115">
      <c r="B115" s="9" t="inlineStr">
        <is>
          <t>Balance check (Total assets − Total liabilities &amp; equity)</t>
        </is>
      </c>
      <c r="C115" s="13">
        <f>C98-C114</f>
        <v/>
      </c>
      <c r="D115" s="13">
        <f>D98-D114</f>
        <v/>
      </c>
      <c r="E115" s="13">
        <f>E98-E114</f>
        <v/>
      </c>
      <c r="F115" s="13">
        <f>F98-F114</f>
        <v/>
      </c>
      <c r="G115" s="13">
        <f>G98-G114</f>
        <v/>
      </c>
    </row>
    <row r="117" ht="18" customHeight="1">
      <c r="A117" s="8" t="n"/>
      <c r="B117" s="8" t="inlineStr">
        <is>
          <t>CASH FLOW STATEMENT (implied from balance sheet &amp; income statement)</t>
        </is>
      </c>
      <c r="C117" s="8" t="n"/>
      <c r="D117" s="8" t="n"/>
      <c r="E117" s="8" t="n"/>
      <c r="F117" s="8" t="n"/>
      <c r="G117" s="8" t="n"/>
      <c r="H117" s="8" t="n"/>
      <c r="I117" s="8" t="n"/>
    </row>
    <row r="118">
      <c r="A118" s="18" t="n"/>
      <c r="B118" s="18" t="inlineStr">
        <is>
          <t>Operating activities</t>
        </is>
      </c>
      <c r="C118" s="18" t="n"/>
      <c r="D118" s="18" t="n"/>
      <c r="E118" s="18" t="n"/>
      <c r="F118" s="18" t="n"/>
      <c r="G118" s="18" t="n"/>
      <c r="H118" s="18" t="n"/>
      <c r="I118" s="18" t="n"/>
    </row>
    <row r="119">
      <c r="B119" s="9" t="inlineStr">
        <is>
          <t xml:space="preserve">  Net income for the year</t>
        </is>
      </c>
      <c r="C119" s="13" t="n"/>
      <c r="D119" s="13">
        <f>D36</f>
        <v/>
      </c>
      <c r="E119" s="13">
        <f>E36</f>
        <v/>
      </c>
      <c r="F119" s="13">
        <f>F36</f>
        <v/>
      </c>
      <c r="G119" s="13">
        <f>G36</f>
        <v/>
      </c>
    </row>
    <row r="120">
      <c r="B120" s="9" t="inlineStr">
        <is>
          <t xml:space="preserve">  Add: amortization — office equipment</t>
        </is>
      </c>
      <c r="C120" s="13" t="n"/>
      <c r="D120" s="13">
        <f>D19</f>
        <v/>
      </c>
      <c r="E120" s="13">
        <f>E19</f>
        <v/>
      </c>
      <c r="F120" s="13">
        <f>F19</f>
        <v/>
      </c>
      <c r="G120" s="13">
        <f>G19</f>
        <v/>
      </c>
    </row>
    <row r="121">
      <c r="B121" s="9" t="inlineStr">
        <is>
          <t xml:space="preserve">  Add: amortization — building and shop equipment</t>
        </is>
      </c>
      <c r="C121" s="13" t="n"/>
      <c r="D121" s="13">
        <f>D84</f>
        <v/>
      </c>
      <c r="E121" s="13">
        <f>E84</f>
        <v/>
      </c>
      <c r="F121" s="13">
        <f>F84</f>
        <v/>
      </c>
      <c r="G121" s="13">
        <f>G84</f>
        <v/>
      </c>
    </row>
    <row r="122">
      <c r="B122" s="9" t="inlineStr">
        <is>
          <t xml:space="preserve">  Increase / (decrease) in future income tax liability</t>
        </is>
      </c>
      <c r="C122" s="13" t="n"/>
      <c r="D122" s="13">
        <f>D108-C108</f>
        <v/>
      </c>
      <c r="E122" s="13">
        <f>E108-D108</f>
        <v/>
      </c>
      <c r="F122" s="13">
        <f>F108-E108</f>
        <v/>
      </c>
      <c r="G122" s="13">
        <f>G108-F108</f>
        <v/>
      </c>
    </row>
    <row r="123">
      <c r="B123" s="9" t="inlineStr">
        <is>
          <t xml:space="preserve">  (Increase) / decrease in accounts receivable</t>
        </is>
      </c>
      <c r="C123" s="13" t="n"/>
      <c r="D123" s="13">
        <f>-(D91-C91)</f>
        <v/>
      </c>
      <c r="E123" s="13">
        <f>-(E91-D91)</f>
        <v/>
      </c>
      <c r="F123" s="13">
        <f>-(F91-E91)</f>
        <v/>
      </c>
      <c r="G123" s="13">
        <f>-(G91-F91)</f>
        <v/>
      </c>
    </row>
    <row r="124">
      <c r="B124" s="9" t="inlineStr">
        <is>
          <t xml:space="preserve">  (Increase) / decrease in government sales tax recoverable</t>
        </is>
      </c>
      <c r="C124" s="13" t="n"/>
      <c r="D124" s="13">
        <f>-(D92-C92)</f>
        <v/>
      </c>
      <c r="E124" s="13">
        <f>-(E92-D92)</f>
        <v/>
      </c>
      <c r="F124" s="13">
        <f>-(F92-E92)</f>
        <v/>
      </c>
      <c r="G124" s="13">
        <f>-(G92-F92)</f>
        <v/>
      </c>
    </row>
    <row r="125">
      <c r="B125" s="9" t="inlineStr">
        <is>
          <t xml:space="preserve">  Increase / (decrease) in accounts payable and accrued liabilities</t>
        </is>
      </c>
      <c r="C125" s="13" t="n"/>
      <c r="D125" s="13">
        <f>D102-C102</f>
        <v/>
      </c>
      <c r="E125" s="13">
        <f>E102-D102</f>
        <v/>
      </c>
      <c r="F125" s="13">
        <f>F102-E102</f>
        <v/>
      </c>
      <c r="G125" s="13">
        <f>G102-F102</f>
        <v/>
      </c>
    </row>
    <row r="126">
      <c r="B126" s="9" t="inlineStr">
        <is>
          <t xml:space="preserve">  Increase / (decrease) in payroll deductions payable</t>
        </is>
      </c>
      <c r="C126" s="13" t="n"/>
      <c r="D126" s="13">
        <f>D103-C103</f>
        <v/>
      </c>
      <c r="E126" s="13">
        <f>E103-D103</f>
        <v/>
      </c>
      <c r="F126" s="13">
        <f>F103-E103</f>
        <v/>
      </c>
      <c r="G126" s="13">
        <f>G103-F103</f>
        <v/>
      </c>
    </row>
    <row r="127">
      <c r="B127" s="9" t="inlineStr">
        <is>
          <t xml:space="preserve">  Increase / (decrease) in income tax payable</t>
        </is>
      </c>
      <c r="C127" s="13" t="n"/>
      <c r="D127" s="13">
        <f>D104-C104</f>
        <v/>
      </c>
      <c r="E127" s="13">
        <f>E104-D104</f>
        <v/>
      </c>
      <c r="F127" s="13">
        <f>F104-E104</f>
        <v/>
      </c>
      <c r="G127" s="13">
        <f>G104-F104</f>
        <v/>
      </c>
    </row>
    <row r="128">
      <c r="B128" s="14" t="inlineStr">
        <is>
          <t>Net cash from operating activities</t>
        </is>
      </c>
      <c r="C128" s="15" t="n"/>
      <c r="D128" s="15">
        <f>SUM(D119:D127)</f>
        <v/>
      </c>
      <c r="E128" s="15">
        <f>SUM(E119:E127)</f>
        <v/>
      </c>
      <c r="F128" s="15">
        <f>SUM(F119:F127)</f>
        <v/>
      </c>
      <c r="G128" s="15">
        <f>SUM(G119:G127)</f>
        <v/>
      </c>
    </row>
    <row r="129">
      <c r="A129" s="18" t="n"/>
      <c r="B129" s="18" t="inlineStr">
        <is>
          <t>Investing activities</t>
        </is>
      </c>
      <c r="C129" s="18" t="n"/>
      <c r="D129" s="18" t="n"/>
      <c r="E129" s="18" t="n"/>
      <c r="F129" s="18" t="n"/>
      <c r="G129" s="18" t="n"/>
      <c r="H129" s="18" t="n"/>
      <c r="I129" s="18" t="n"/>
    </row>
    <row r="130">
      <c r="B130" s="9" t="inlineStr">
        <is>
          <t xml:space="preserve">  Purchase of land, buildings and equipment (implied)</t>
        </is>
      </c>
      <c r="C130" s="13" t="n"/>
      <c r="D130" s="13">
        <f>-((D97-C97)+D19+D84)</f>
        <v/>
      </c>
      <c r="E130" s="13">
        <f>-((E97-D97)+E19+E84)</f>
        <v/>
      </c>
      <c r="F130" s="13">
        <f>-((F97-E97)+F19+F84)</f>
        <v/>
      </c>
      <c r="G130" s="13">
        <f>-((G97-F97)+G19+G84)</f>
        <v/>
      </c>
      <c r="I130" s="12" t="inlineStr">
        <is>
          <t>Implied capex = Δ net PP&amp;E + total amortization. A positive figure here is a cash inflow (net disposals &gt; additions), as in FY2023.</t>
        </is>
      </c>
    </row>
    <row r="131">
      <c r="B131" s="14" t="inlineStr">
        <is>
          <t>Net cash from investing activities</t>
        </is>
      </c>
      <c r="C131" s="15" t="n"/>
      <c r="D131" s="15">
        <f>SUM(D130:D130)</f>
        <v/>
      </c>
      <c r="E131" s="15">
        <f>SUM(E130:E130)</f>
        <v/>
      </c>
      <c r="F131" s="15">
        <f>SUM(F130:F130)</f>
        <v/>
      </c>
      <c r="G131" s="15">
        <f>SUM(G130:G130)</f>
        <v/>
      </c>
    </row>
    <row r="132">
      <c r="A132" s="18" t="n"/>
      <c r="B132" s="18" t="inlineStr">
        <is>
          <t>Financing activities</t>
        </is>
      </c>
      <c r="C132" s="18" t="n"/>
      <c r="D132" s="18" t="n"/>
      <c r="E132" s="18" t="n"/>
      <c r="F132" s="18" t="n"/>
      <c r="G132" s="18" t="n"/>
      <c r="H132" s="18" t="n"/>
      <c r="I132" s="18" t="n"/>
    </row>
    <row r="133">
      <c r="B133" s="9" t="inlineStr">
        <is>
          <t xml:space="preserve">  Increase / (decrease) in bank loan</t>
        </is>
      </c>
      <c r="C133" s="13" t="n"/>
      <c r="D133" s="13">
        <f>D101-C101</f>
        <v/>
      </c>
      <c r="E133" s="13">
        <f>E101-D101</f>
        <v/>
      </c>
      <c r="F133" s="13">
        <f>F101-E101</f>
        <v/>
      </c>
      <c r="G133" s="13">
        <f>G101-F101</f>
        <v/>
      </c>
    </row>
    <row r="134">
      <c r="B134" s="9" t="inlineStr">
        <is>
          <t xml:space="preserve">  Increase / (decrease) in due to director</t>
        </is>
      </c>
      <c r="C134" s="13" t="n"/>
      <c r="D134" s="13">
        <f>D106-C106</f>
        <v/>
      </c>
      <c r="E134" s="13">
        <f>E106-D106</f>
        <v/>
      </c>
      <c r="F134" s="13">
        <f>F106-E106</f>
        <v/>
      </c>
      <c r="G134" s="13">
        <f>G106-F106</f>
        <v/>
      </c>
    </row>
    <row r="135">
      <c r="B135" s="9" t="inlineStr">
        <is>
          <t xml:space="preserve">  Increase / (decrease) in due to KEL Tooling</t>
        </is>
      </c>
      <c r="C135" s="13" t="n"/>
      <c r="D135" s="13">
        <f>D105-C105</f>
        <v/>
      </c>
      <c r="E135" s="13">
        <f>E105-D105</f>
        <v/>
      </c>
      <c r="F135" s="13">
        <f>F105-E105</f>
        <v/>
      </c>
      <c r="G135" s="13">
        <f>G105-F105</f>
        <v/>
      </c>
    </row>
    <row r="136">
      <c r="B136" s="9" t="inlineStr">
        <is>
          <t xml:space="preserve">  (Increase) / decrease in due from Related Group of Companies</t>
        </is>
      </c>
      <c r="C136" s="13" t="n"/>
      <c r="D136" s="13">
        <f>-(D96-C96)</f>
        <v/>
      </c>
      <c r="E136" s="13">
        <f>-(E96-D96)</f>
        <v/>
      </c>
      <c r="F136" s="13">
        <f>-(F96-E96)</f>
        <v/>
      </c>
      <c r="G136" s="13">
        <f>-(G96-F96)</f>
        <v/>
      </c>
      <c r="I136" s="12" t="inlineStr">
        <is>
          <t>Related-party advances — reclassified to financing.</t>
        </is>
      </c>
    </row>
    <row r="137">
      <c r="B137" s="9" t="inlineStr">
        <is>
          <t xml:space="preserve">  (Increase) / decrease in due from director</t>
        </is>
      </c>
      <c r="C137" s="13" t="n"/>
      <c r="D137" s="13">
        <f>-(D93-C93)</f>
        <v/>
      </c>
      <c r="E137" s="13">
        <f>-(E93-D93)</f>
        <v/>
      </c>
      <c r="F137" s="13">
        <f>-(F93-E93)</f>
        <v/>
      </c>
      <c r="G137" s="13">
        <f>-(G93-F93)</f>
        <v/>
      </c>
    </row>
    <row r="138">
      <c r="B138" s="9" t="inlineStr">
        <is>
          <t xml:space="preserve">  (Increase) / decrease in due from KEL Tooling</t>
        </is>
      </c>
      <c r="C138" s="13" t="n"/>
      <c r="D138" s="13">
        <f>-(D94-C94)</f>
        <v/>
      </c>
      <c r="E138" s="13">
        <f>-(E94-D94)</f>
        <v/>
      </c>
      <c r="F138" s="13">
        <f>-(F94-E94)</f>
        <v/>
      </c>
      <c r="G138" s="13">
        <f>-(G94-F94)</f>
        <v/>
      </c>
    </row>
    <row r="139">
      <c r="B139" s="9" t="inlineStr">
        <is>
          <t xml:space="preserve">  Dividends paid</t>
        </is>
      </c>
      <c r="C139" s="13" t="n"/>
      <c r="D139" s="13">
        <f>-D54</f>
        <v/>
      </c>
      <c r="E139" s="13">
        <f>-E54</f>
        <v/>
      </c>
      <c r="F139" s="13">
        <f>-F54</f>
        <v/>
      </c>
      <c r="G139" s="13">
        <f>-G54</f>
        <v/>
      </c>
    </row>
    <row r="140">
      <c r="B140" s="9" t="inlineStr">
        <is>
          <t xml:space="preserve">  Issuance of share capital</t>
        </is>
      </c>
      <c r="C140" s="13" t="n"/>
      <c r="D140" s="13">
        <f>D111-C111</f>
        <v/>
      </c>
      <c r="E140" s="13">
        <f>E111-D111</f>
        <v/>
      </c>
      <c r="F140" s="13">
        <f>F111-E111</f>
        <v/>
      </c>
      <c r="G140" s="13">
        <f>G111-F111</f>
        <v/>
      </c>
    </row>
    <row r="141">
      <c r="B141" s="14" t="inlineStr">
        <is>
          <t>Net cash from financing activities</t>
        </is>
      </c>
      <c r="C141" s="15" t="n"/>
      <c r="D141" s="15">
        <f>SUM(D133:D140)</f>
        <v/>
      </c>
      <c r="E141" s="15">
        <f>SUM(E133:E140)</f>
        <v/>
      </c>
      <c r="F141" s="15">
        <f>SUM(F133:F140)</f>
        <v/>
      </c>
      <c r="G141" s="15">
        <f>SUM(G133:G140)</f>
        <v/>
      </c>
    </row>
    <row r="142">
      <c r="B142" s="19" t="inlineStr">
        <is>
          <t>Net change in cash</t>
        </is>
      </c>
      <c r="C142" s="20">
        <f>C128+C131+C141</f>
        <v/>
      </c>
      <c r="D142" s="20">
        <f>D128+D131+D141</f>
        <v/>
      </c>
      <c r="E142" s="20">
        <f>E128+E131+E141</f>
        <v/>
      </c>
      <c r="F142" s="20">
        <f>F128+F131+F141</f>
        <v/>
      </c>
      <c r="G142" s="20">
        <f>G128+G131+G141</f>
        <v/>
      </c>
    </row>
    <row r="143">
      <c r="B143" s="9" t="inlineStr">
        <is>
          <t>Cash, beginning of year</t>
        </is>
      </c>
      <c r="C143" s="13" t="n"/>
      <c r="D143" s="13">
        <f>C90</f>
        <v/>
      </c>
      <c r="E143" s="13">
        <f>D90</f>
        <v/>
      </c>
      <c r="F143" s="13">
        <f>E90</f>
        <v/>
      </c>
      <c r="G143" s="13">
        <f>F90</f>
        <v/>
      </c>
    </row>
    <row r="144">
      <c r="B144" s="14" t="inlineStr">
        <is>
          <t>Cash, end of year</t>
        </is>
      </c>
      <c r="C144" s="15" t="n"/>
      <c r="D144" s="15">
        <f>D143+D142</f>
        <v/>
      </c>
      <c r="E144" s="15">
        <f>E143+E142</f>
        <v/>
      </c>
      <c r="F144" s="15">
        <f>F143+F142</f>
        <v/>
      </c>
      <c r="G144" s="15">
        <f>G143+G142</f>
        <v/>
      </c>
    </row>
    <row r="145">
      <c r="B145" s="9" t="inlineStr">
        <is>
          <t>Tie-out check (implied ending cash − balance sheet cash)</t>
        </is>
      </c>
      <c r="C145" s="13">
        <f>C144-C90</f>
        <v/>
      </c>
      <c r="D145" s="13">
        <f>D144-D90</f>
        <v/>
      </c>
      <c r="E145" s="13">
        <f>E144-E90</f>
        <v/>
      </c>
      <c r="F145" s="13">
        <f>F144-F90</f>
        <v/>
      </c>
      <c r="G145" s="13">
        <f>G144-G90</f>
        <v/>
      </c>
    </row>
    <row r="147" ht="18" customHeight="1">
      <c r="A147" s="8" t="n"/>
      <c r="B147" s="8" t="inlineStr">
        <is>
          <t>AMORTIZATION &amp; PP&amp;E SCHEDULE</t>
        </is>
      </c>
      <c r="C147" s="8" t="n"/>
      <c r="D147" s="8" t="n"/>
      <c r="E147" s="8" t="n"/>
      <c r="F147" s="8" t="n"/>
      <c r="G147" s="8" t="n"/>
      <c r="H147" s="8" t="n"/>
      <c r="I147" s="8" t="n"/>
    </row>
    <row r="148">
      <c r="A148" s="18" t="n"/>
      <c r="B148" s="18" t="inlineStr">
        <is>
          <t>Amortization (depreciation) by category</t>
        </is>
      </c>
      <c r="C148" s="18" t="n"/>
      <c r="D148" s="18" t="n"/>
      <c r="E148" s="18" t="n"/>
      <c r="F148" s="18" t="n"/>
      <c r="G148" s="18" t="n"/>
      <c r="H148" s="18" t="n"/>
      <c r="I148" s="18" t="n"/>
    </row>
    <row r="149">
      <c r="B149" s="9" t="inlineStr">
        <is>
          <t xml:space="preserve">  Amortization — office equipment (G&amp;A)</t>
        </is>
      </c>
      <c r="C149" s="13">
        <f>C19</f>
        <v/>
      </c>
      <c r="D149" s="13">
        <f>D19</f>
        <v/>
      </c>
      <c r="E149" s="13">
        <f>E19</f>
        <v/>
      </c>
      <c r="F149" s="13">
        <f>F19</f>
        <v/>
      </c>
      <c r="G149" s="13">
        <f>G19</f>
        <v/>
      </c>
    </row>
    <row r="150">
      <c r="B150" s="9" t="inlineStr">
        <is>
          <t xml:space="preserve">  Amortization — building and shop equipment (COGS)</t>
        </is>
      </c>
      <c r="C150" s="13">
        <f>C84</f>
        <v/>
      </c>
      <c r="D150" s="13">
        <f>D84</f>
        <v/>
      </c>
      <c r="E150" s="13">
        <f>E84</f>
        <v/>
      </c>
      <c r="F150" s="13">
        <f>F84</f>
        <v/>
      </c>
      <c r="G150" s="13">
        <f>G84</f>
        <v/>
      </c>
    </row>
    <row r="151">
      <c r="B151" s="14" t="inlineStr">
        <is>
          <t>Total amortization (D&amp;A)</t>
        </is>
      </c>
      <c r="C151" s="15">
        <f>C19+C84</f>
        <v/>
      </c>
      <c r="D151" s="15">
        <f>D19+D84</f>
        <v/>
      </c>
      <c r="E151" s="15">
        <f>E19+E84</f>
        <v/>
      </c>
      <c r="F151" s="15">
        <f>F19+F84</f>
        <v/>
      </c>
      <c r="G151" s="15">
        <f>G19+G84</f>
        <v/>
      </c>
    </row>
    <row r="152">
      <c r="A152" s="18" t="n"/>
      <c r="B152" s="18" t="inlineStr">
        <is>
          <t>PP&amp;E rollforward (net book value)</t>
        </is>
      </c>
      <c r="C152" s="18" t="n"/>
      <c r="D152" s="18" t="n"/>
      <c r="E152" s="18" t="n"/>
      <c r="F152" s="18" t="n"/>
      <c r="G152" s="18" t="n"/>
      <c r="H152" s="18" t="n"/>
      <c r="I152" s="18" t="n"/>
    </row>
    <row r="153">
      <c r="B153" s="9" t="inlineStr">
        <is>
          <t xml:space="preserve">  PP&amp;E, beginning of year</t>
        </is>
      </c>
      <c r="C153" s="13" t="n"/>
      <c r="D153" s="13">
        <f>C97</f>
        <v/>
      </c>
      <c r="E153" s="13">
        <f>D97</f>
        <v/>
      </c>
      <c r="F153" s="13">
        <f>E97</f>
        <v/>
      </c>
      <c r="G153" s="13">
        <f>F97</f>
        <v/>
      </c>
    </row>
    <row r="154">
      <c r="B154" s="9" t="inlineStr">
        <is>
          <t xml:space="preserve">  Add: capital expenditures (implied)</t>
        </is>
      </c>
      <c r="C154" s="13" t="n"/>
      <c r="D154" s="13">
        <f>-D130</f>
        <v/>
      </c>
      <c r="E154" s="13">
        <f>-E130</f>
        <v/>
      </c>
      <c r="F154" s="13">
        <f>-F130</f>
        <v/>
      </c>
      <c r="G154" s="13">
        <f>-G130</f>
        <v/>
      </c>
    </row>
    <row r="155">
      <c r="B155" s="9" t="inlineStr">
        <is>
          <t xml:space="preserve">  Less: total amortization</t>
        </is>
      </c>
      <c r="C155" s="13" t="n"/>
      <c r="D155" s="13">
        <f>-(D19+D84)</f>
        <v/>
      </c>
      <c r="E155" s="13">
        <f>-(E19+E84)</f>
        <v/>
      </c>
      <c r="F155" s="13">
        <f>-(F19+F84)</f>
        <v/>
      </c>
      <c r="G155" s="13">
        <f>-(G19+G84)</f>
        <v/>
      </c>
    </row>
    <row r="156">
      <c r="B156" s="14" t="inlineStr">
        <is>
          <t xml:space="preserve">  PP&amp;E, end of year</t>
        </is>
      </c>
      <c r="C156" s="15" t="n"/>
      <c r="D156" s="15">
        <f>D153+D154+D155</f>
        <v/>
      </c>
      <c r="E156" s="15">
        <f>E153+E154+E155</f>
        <v/>
      </c>
      <c r="F156" s="15">
        <f>F153+F154+F155</f>
        <v/>
      </c>
      <c r="G156" s="15">
        <f>G153+G154+G155</f>
        <v/>
      </c>
    </row>
    <row r="157">
      <c r="B157" s="9" t="inlineStr">
        <is>
          <t xml:space="preserve">  Check (rollforward − balance sheet PP&amp;E)</t>
        </is>
      </c>
      <c r="C157" s="13" t="n"/>
      <c r="D157" s="13">
        <f>D156-D97</f>
        <v/>
      </c>
      <c r="E157" s="13">
        <f>E156-E97</f>
        <v/>
      </c>
      <c r="F157" s="13">
        <f>F156-F97</f>
        <v/>
      </c>
      <c r="G157" s="13">
        <f>G156-G97</f>
        <v/>
      </c>
    </row>
    <row r="158">
      <c r="A158" s="18" t="n"/>
      <c r="B158" s="18" t="inlineStr">
        <is>
          <t>Implied useful-life analysis</t>
        </is>
      </c>
      <c r="C158" s="18" t="n"/>
      <c r="D158" s="18" t="n"/>
      <c r="E158" s="18" t="n"/>
      <c r="F158" s="18" t="n"/>
      <c r="G158" s="18" t="n"/>
      <c r="H158" s="18" t="n"/>
      <c r="I158" s="18" t="n"/>
    </row>
    <row r="159">
      <c r="B159" s="9" t="inlineStr">
        <is>
          <t xml:space="preserve">  Net PP&amp;E, end of year</t>
        </is>
      </c>
      <c r="C159" s="13">
        <f>C97</f>
        <v/>
      </c>
      <c r="D159" s="13">
        <f>D97</f>
        <v/>
      </c>
      <c r="E159" s="13">
        <f>E97</f>
        <v/>
      </c>
      <c r="F159" s="13">
        <f>F97</f>
        <v/>
      </c>
      <c r="G159" s="13">
        <f>G97</f>
        <v/>
      </c>
    </row>
    <row r="160">
      <c r="B160" s="9" t="inlineStr">
        <is>
          <t xml:space="preserve">  Total amortization (D&amp;A)</t>
        </is>
      </c>
      <c r="C160" s="13">
        <f>C151</f>
        <v/>
      </c>
      <c r="D160" s="13">
        <f>D151</f>
        <v/>
      </c>
      <c r="E160" s="13">
        <f>E151</f>
        <v/>
      </c>
      <c r="F160" s="13">
        <f>F151</f>
        <v/>
      </c>
      <c r="G160" s="13">
        <f>G151</f>
        <v/>
      </c>
    </row>
    <row r="161">
      <c r="B161" s="16" t="inlineStr">
        <is>
          <t xml:space="preserve">  Implied depreciation rate (D&amp;A / beginning net PP&amp;E)</t>
        </is>
      </c>
      <c r="C161" s="17" t="n"/>
      <c r="D161" s="17">
        <f>IFERROR(D151/C97,"")</f>
        <v/>
      </c>
      <c r="E161" s="17">
        <f>IFERROR(E151/D97,"")</f>
        <v/>
      </c>
      <c r="F161" s="17">
        <f>IFERROR(F151/E97,"")</f>
        <v/>
      </c>
      <c r="G161" s="17">
        <f>IFERROR(G151/F97,"")</f>
        <v/>
      </c>
      <c r="I161" s="12" t="inlineStr">
        <is>
          <t>Annual amortization as a % of opening net book value.</t>
        </is>
      </c>
    </row>
    <row r="162">
      <c r="B162" s="16" t="inlineStr">
        <is>
          <t xml:space="preserve">  Implied remaining useful life (net PP&amp;E / D&amp;A)</t>
        </is>
      </c>
      <c r="C162" s="25">
        <f>IFERROR(C97/C151,"")</f>
        <v/>
      </c>
      <c r="D162" s="25">
        <f>IFERROR(D97/D151,"")</f>
        <v/>
      </c>
      <c r="E162" s="25">
        <f>IFERROR(E97/E151,"")</f>
        <v/>
      </c>
      <c r="F162" s="25">
        <f>IFERROR(F97/F151,"")</f>
        <v/>
      </c>
      <c r="G162" s="25">
        <f>IFERROR(G97/G151,"")</f>
        <v/>
      </c>
      <c r="I162" s="12" t="inlineStr">
        <is>
          <t>Years of amortization remaining at the current run-rate on the net book value.</t>
        </is>
      </c>
    </row>
    <row r="163">
      <c r="B163" s="16" t="inlineStr">
        <is>
          <t xml:space="preserve">  Capex intensity (implied capex / D&amp;A)</t>
        </is>
      </c>
      <c r="C163" s="26" t="n"/>
      <c r="D163" s="26">
        <f>IFERROR(-D130/D151,"")</f>
        <v/>
      </c>
      <c r="E163" s="26">
        <f>IFERROR(-E130/E151,"")</f>
        <v/>
      </c>
      <c r="F163" s="26">
        <f>IFERROR(-F130/F151,"")</f>
        <v/>
      </c>
      <c r="G163" s="26">
        <f>IFERROR(-G130/G151,"")</f>
        <v/>
      </c>
      <c r="I163" s="12" t="inlineStr">
        <is>
          <t>Reinvestment ratio: &gt;1x grows the asset base, &lt;1x shrinks it.</t>
        </is>
      </c>
    </row>
    <row r="164">
      <c r="B164" s="16" t="inlineStr">
        <is>
          <t xml:space="preserve">  Capex % of revenue</t>
        </is>
      </c>
      <c r="C164" s="17" t="n"/>
      <c r="D164" s="17">
        <f>IFERROR(-D130/D9,"")</f>
        <v/>
      </c>
      <c r="E164" s="17">
        <f>IFERROR(-E130/E9,"")</f>
        <v/>
      </c>
      <c r="F164" s="17">
        <f>IFERROR(-F130/F9,"")</f>
        <v/>
      </c>
      <c r="G164" s="17">
        <f>IFERROR(-G130/G9,"")</f>
        <v/>
      </c>
    </row>
    <row r="166" ht="18" customHeight="1">
      <c r="A166" s="8" t="n"/>
      <c r="B166" s="8" t="inlineStr">
        <is>
          <t>RATIO ANALYSIS &amp; FREE CASH FLOW</t>
        </is>
      </c>
      <c r="C166" s="8" t="n"/>
      <c r="D166" s="8" t="n"/>
      <c r="E166" s="8" t="n"/>
      <c r="F166" s="8" t="n"/>
      <c r="G166" s="8" t="n"/>
      <c r="H166" s="8" t="n"/>
      <c r="I166" s="8" t="n"/>
    </row>
    <row r="167">
      <c r="A167" s="18" t="n"/>
      <c r="B167" s="18" t="inlineStr">
        <is>
          <t>Cash generation</t>
        </is>
      </c>
      <c r="C167" s="18" t="n"/>
      <c r="D167" s="18" t="n"/>
      <c r="E167" s="18" t="n"/>
      <c r="F167" s="18" t="n"/>
      <c r="G167" s="18" t="n"/>
      <c r="H167" s="18" t="n"/>
      <c r="I167" s="18" t="n"/>
    </row>
    <row r="168">
      <c r="B168" s="9" t="inlineStr">
        <is>
          <t xml:space="preserve">  Free cash flow (CFO − capex)</t>
        </is>
      </c>
      <c r="C168" s="13">
        <f>C128+C130</f>
        <v/>
      </c>
      <c r="D168" s="13">
        <f>D128+D130</f>
        <v/>
      </c>
      <c r="E168" s="13">
        <f>E128+E130</f>
        <v/>
      </c>
      <c r="F168" s="13">
        <f>F128+F130</f>
        <v/>
      </c>
      <c r="G168" s="13">
        <f>G128+G130</f>
        <v/>
      </c>
    </row>
    <row r="169">
      <c r="B169" s="16" t="inlineStr">
        <is>
          <t xml:space="preserve">  FCF conversion (FCF / net income)</t>
        </is>
      </c>
      <c r="C169" s="26" t="n"/>
      <c r="D169" s="26">
        <f>IFERROR((D128+D130)/D36,"")</f>
        <v/>
      </c>
      <c r="E169" s="26">
        <f>IFERROR((E128+E130)/E36,"")</f>
        <v/>
      </c>
      <c r="F169" s="26">
        <f>IFERROR((F128+F130)/F36,"")</f>
        <v/>
      </c>
      <c r="G169" s="26">
        <f>IFERROR((G128+G130)/G36,"")</f>
        <v/>
      </c>
    </row>
    <row r="170">
      <c r="B170" s="16" t="inlineStr">
        <is>
          <t xml:space="preserve">  Capex % of revenue</t>
        </is>
      </c>
      <c r="C170" s="17" t="n"/>
      <c r="D170" s="17">
        <f>IFERROR(-D130/D9,"")</f>
        <v/>
      </c>
      <c r="E170" s="17">
        <f>IFERROR(-E130/E9,"")</f>
        <v/>
      </c>
      <c r="F170" s="17">
        <f>IFERROR(-F130/F9,"")</f>
        <v/>
      </c>
      <c r="G170" s="17">
        <f>IFERROR(-G130/G9,"")</f>
        <v/>
      </c>
    </row>
    <row r="171">
      <c r="A171" s="18" t="n"/>
      <c r="B171" s="18" t="inlineStr">
        <is>
          <t>Returns</t>
        </is>
      </c>
      <c r="C171" s="18" t="n"/>
      <c r="D171" s="18" t="n"/>
      <c r="E171" s="18" t="n"/>
      <c r="F171" s="18" t="n"/>
      <c r="G171" s="18" t="n"/>
      <c r="H171" s="18" t="n"/>
      <c r="I171" s="18" t="n"/>
    </row>
    <row r="172">
      <c r="B172" s="9" t="inlineStr">
        <is>
          <t>Operating earnings (EBIT)</t>
        </is>
      </c>
      <c r="C172" s="13">
        <f>C31+C18</f>
        <v/>
      </c>
      <c r="D172" s="13">
        <f>D31+D18</f>
        <v/>
      </c>
      <c r="E172" s="13">
        <f>E31+E18</f>
        <v/>
      </c>
      <c r="F172" s="13">
        <f>F31+F18</f>
        <v/>
      </c>
      <c r="G172" s="13">
        <f>G31+G18</f>
        <v/>
      </c>
    </row>
    <row r="173">
      <c r="B173" s="9" t="inlineStr">
        <is>
          <t>Normalised tax rate</t>
        </is>
      </c>
      <c r="C173" s="17">
        <f>C35</f>
        <v/>
      </c>
      <c r="D173" s="17">
        <f>D35</f>
        <v/>
      </c>
      <c r="E173" s="17">
        <f>E35</f>
        <v/>
      </c>
      <c r="F173" s="17">
        <f>F35</f>
        <v/>
      </c>
      <c r="G173" s="17">
        <f>G35</f>
        <v/>
      </c>
    </row>
    <row r="174">
      <c r="B174" s="9" t="inlineStr">
        <is>
          <t>NOPAT = EBIT × (1 − tax rate)</t>
        </is>
      </c>
      <c r="C174" s="13">
        <f>C172*(1-C173)</f>
        <v/>
      </c>
      <c r="D174" s="13">
        <f>D172*(1-D173)</f>
        <v/>
      </c>
      <c r="E174" s="13">
        <f>E172*(1-E173)</f>
        <v/>
      </c>
      <c r="F174" s="13">
        <f>F172*(1-F173)</f>
        <v/>
      </c>
      <c r="G174" s="13">
        <f>G172*(1-G173)</f>
        <v/>
      </c>
    </row>
    <row r="175">
      <c r="B175" s="9" t="inlineStr">
        <is>
          <t>Invested capital (Equity + Net debt)</t>
        </is>
      </c>
      <c r="C175" s="13">
        <f>C176+C177</f>
        <v/>
      </c>
      <c r="D175" s="13">
        <f>D176+D177</f>
        <v/>
      </c>
      <c r="E175" s="13">
        <f>E176+E177</f>
        <v/>
      </c>
      <c r="F175" s="13">
        <f>F176+F177</f>
        <v/>
      </c>
      <c r="G175" s="13">
        <f>G176+G177</f>
        <v/>
      </c>
    </row>
    <row r="176">
      <c r="B176" s="9" t="inlineStr">
        <is>
          <t xml:space="preserve">  Total equity</t>
        </is>
      </c>
      <c r="C176" s="13">
        <f>C113</f>
        <v/>
      </c>
      <c r="D176" s="13">
        <f>D113</f>
        <v/>
      </c>
      <c r="E176" s="13">
        <f>E113</f>
        <v/>
      </c>
      <c r="F176" s="13">
        <f>F113</f>
        <v/>
      </c>
      <c r="G176" s="13">
        <f>G113</f>
        <v/>
      </c>
    </row>
    <row r="177">
      <c r="B177" s="9" t="inlineStr">
        <is>
          <t xml:space="preserve">  Net debt (bank loan − cash)</t>
        </is>
      </c>
      <c r="C177" s="13">
        <f>C101-C90</f>
        <v/>
      </c>
      <c r="D177" s="13">
        <f>D101-D90</f>
        <v/>
      </c>
      <c r="E177" s="13">
        <f>E101-E90</f>
        <v/>
      </c>
      <c r="F177" s="13">
        <f>F101-F90</f>
        <v/>
      </c>
      <c r="G177" s="13">
        <f>G101-G90</f>
        <v/>
      </c>
    </row>
    <row r="178">
      <c r="B178" s="14" t="inlineStr">
        <is>
          <t>ROIC = NOPAT / Invested capital</t>
        </is>
      </c>
      <c r="C178" s="27">
        <f>IFERROR(C174/C175,0)</f>
        <v/>
      </c>
      <c r="D178" s="27">
        <f>IFERROR(D174/D175,0)</f>
        <v/>
      </c>
      <c r="E178" s="27">
        <f>IFERROR(E174/E175,0)</f>
        <v/>
      </c>
      <c r="F178" s="27">
        <f>IFERROR(F174/F175,0)</f>
        <v/>
      </c>
      <c r="G178" s="27">
        <f>IFERROR(G174/G175,0)</f>
        <v/>
      </c>
    </row>
    <row r="179">
      <c r="B179" s="16" t="inlineStr">
        <is>
          <t xml:space="preserve">  Operating margin</t>
        </is>
      </c>
      <c r="C179" s="17">
        <f>IFERROR(C172/C9,0)</f>
        <v/>
      </c>
      <c r="D179" s="17">
        <f>IFERROR(D172/D9,0)</f>
        <v/>
      </c>
      <c r="E179" s="17">
        <f>IFERROR(E172/E9,0)</f>
        <v/>
      </c>
      <c r="F179" s="17">
        <f>IFERROR(F172/F9,0)</f>
        <v/>
      </c>
      <c r="G179" s="17">
        <f>IFERROR(G172/G9,0)</f>
        <v/>
      </c>
    </row>
    <row r="180">
      <c r="B180" s="16" t="inlineStr">
        <is>
          <t xml:space="preserve">  Capital turnover (Sales / IC)</t>
        </is>
      </c>
      <c r="C180" s="26">
        <f>IFERROR(C9/C175,0)</f>
        <v/>
      </c>
      <c r="D180" s="26">
        <f>IFERROR(D9/D175,0)</f>
        <v/>
      </c>
      <c r="E180" s="26">
        <f>IFERROR(E9/E175,0)</f>
        <v/>
      </c>
      <c r="F180" s="26">
        <f>IFERROR(F9/F175,0)</f>
        <v/>
      </c>
      <c r="G180" s="26">
        <f>IFERROR(G9/G175,0)</f>
        <v/>
      </c>
    </row>
    <row r="181">
      <c r="B181" s="16" t="inlineStr">
        <is>
          <t xml:space="preserve">  Tax burden (1 − tax rate)</t>
        </is>
      </c>
      <c r="C181" s="17">
        <f>1-C173</f>
        <v/>
      </c>
      <c r="D181" s="17">
        <f>1-D173</f>
        <v/>
      </c>
      <c r="E181" s="17">
        <f>1-E173</f>
        <v/>
      </c>
      <c r="F181" s="17">
        <f>1-F173</f>
        <v/>
      </c>
      <c r="G181" s="17">
        <f>1-G173</f>
        <v/>
      </c>
    </row>
    <row r="182">
      <c r="B182" s="16" t="inlineStr">
        <is>
          <t xml:space="preserve">  Check: Margin × Turnover × Tax burden</t>
        </is>
      </c>
      <c r="C182" s="17">
        <f>C179*C180*C181</f>
        <v/>
      </c>
      <c r="D182" s="17">
        <f>D179*D180*D181</f>
        <v/>
      </c>
      <c r="E182" s="17">
        <f>E179*E180*E181</f>
        <v/>
      </c>
      <c r="F182" s="17">
        <f>F179*F180*F181</f>
        <v/>
      </c>
      <c r="G182" s="17">
        <f>G179*G180*G181</f>
        <v/>
      </c>
    </row>
    <row r="183">
      <c r="A183" s="18" t="n"/>
      <c r="B183" s="18" t="inlineStr">
        <is>
          <t>RONTA decomposition</t>
        </is>
      </c>
      <c r="C183" s="18" t="n"/>
      <c r="D183" s="18" t="n"/>
      <c r="E183" s="18" t="n"/>
      <c r="F183" s="18" t="n"/>
      <c r="G183" s="18" t="n"/>
      <c r="H183" s="18" t="n"/>
      <c r="I183" s="18" t="n"/>
    </row>
    <row r="184">
      <c r="B184" s="9" t="inlineStr">
        <is>
          <t>EBIT before special items</t>
        </is>
      </c>
      <c r="C184" s="13">
        <f>C172</f>
        <v/>
      </c>
      <c r="D184" s="13">
        <f>D172</f>
        <v/>
      </c>
      <c r="E184" s="13">
        <f>E172</f>
        <v/>
      </c>
      <c r="F184" s="13">
        <f>F172</f>
        <v/>
      </c>
      <c r="G184" s="13">
        <f>G172</f>
        <v/>
      </c>
    </row>
    <row r="185">
      <c r="B185" s="9" t="inlineStr">
        <is>
          <t>NOPAT = EBIT × (1 − tax rate)</t>
        </is>
      </c>
      <c r="C185" s="13">
        <f>C184*(1-C173)</f>
        <v/>
      </c>
      <c r="D185" s="13">
        <f>D184*(1-D173)</f>
        <v/>
      </c>
      <c r="E185" s="13">
        <f>E184*(1-E173)</f>
        <v/>
      </c>
      <c r="F185" s="13">
        <f>F184*(1-F173)</f>
        <v/>
      </c>
      <c r="G185" s="13">
        <f>G184*(1-G173)</f>
        <v/>
      </c>
    </row>
    <row r="186">
      <c r="B186" s="28" t="inlineStr">
        <is>
          <t>Net tangible assets (NTA):</t>
        </is>
      </c>
    </row>
    <row r="187">
      <c r="B187" s="9" t="inlineStr">
        <is>
          <t xml:space="preserve">  Total assets</t>
        </is>
      </c>
      <c r="C187" s="13">
        <f>C98</f>
        <v/>
      </c>
      <c r="D187" s="13">
        <f>D98</f>
        <v/>
      </c>
      <c r="E187" s="13">
        <f>E98</f>
        <v/>
      </c>
      <c r="F187" s="13">
        <f>F98</f>
        <v/>
      </c>
      <c r="G187" s="13">
        <f>G98</f>
        <v/>
      </c>
    </row>
    <row r="188">
      <c r="B188" s="9" t="inlineStr">
        <is>
          <t xml:space="preserve">  − Intangible assets (none)</t>
        </is>
      </c>
      <c r="C188" s="13">
        <f>0</f>
        <v/>
      </c>
      <c r="D188" s="13">
        <f>0</f>
        <v/>
      </c>
      <c r="E188" s="13">
        <f>0</f>
        <v/>
      </c>
      <c r="F188" s="13">
        <f>0</f>
        <v/>
      </c>
      <c r="G188" s="13">
        <f>0</f>
        <v/>
      </c>
    </row>
    <row r="189">
      <c r="B189" s="9" t="inlineStr">
        <is>
          <t xml:space="preserve">  − Non-interest-bearing current liabilities</t>
        </is>
      </c>
      <c r="C189" s="13">
        <f>-(C107-C101)</f>
        <v/>
      </c>
      <c r="D189" s="13">
        <f>-(D107-D101)</f>
        <v/>
      </c>
      <c r="E189" s="13">
        <f>-(E107-E101)</f>
        <v/>
      </c>
      <c r="F189" s="13">
        <f>-(F107-F101)</f>
        <v/>
      </c>
      <c r="G189" s="13">
        <f>-(G107-G101)</f>
        <v/>
      </c>
      <c r="I189" s="12" t="inlineStr">
        <is>
          <t>Current liabilities excluding the interest-bearing bank loan.</t>
        </is>
      </c>
    </row>
    <row r="190">
      <c r="B190" s="9" t="inlineStr">
        <is>
          <t xml:space="preserve">  − Cash</t>
        </is>
      </c>
      <c r="C190" s="13">
        <f>-C90</f>
        <v/>
      </c>
      <c r="D190" s="13">
        <f>-D90</f>
        <v/>
      </c>
      <c r="E190" s="13">
        <f>-E90</f>
        <v/>
      </c>
      <c r="F190" s="13">
        <f>-F90</f>
        <v/>
      </c>
      <c r="G190" s="13">
        <f>-G90</f>
        <v/>
      </c>
    </row>
    <row r="191">
      <c r="B191" s="14" t="inlineStr">
        <is>
          <t xml:space="preserve">  = Net tangible assets</t>
        </is>
      </c>
      <c r="C191" s="15">
        <f>C187+C188+C189+C190</f>
        <v/>
      </c>
      <c r="D191" s="15">
        <f>D187+D188+D189+D190</f>
        <v/>
      </c>
      <c r="E191" s="15">
        <f>E187+E188+E189+E190</f>
        <v/>
      </c>
      <c r="F191" s="15">
        <f>F187+F188+F189+F190</f>
        <v/>
      </c>
      <c r="G191" s="15">
        <f>G187+G188+G189+G190</f>
        <v/>
      </c>
    </row>
    <row r="192">
      <c r="B192" s="28" t="inlineStr">
        <is>
          <t>RONTA = NOPAT / NTA</t>
        </is>
      </c>
      <c r="C192" s="22">
        <f>IFERROR(C185/C191,0)</f>
        <v/>
      </c>
      <c r="D192" s="22">
        <f>IFERROR(D185/D191,0)</f>
        <v/>
      </c>
      <c r="E192" s="22">
        <f>IFERROR(E185/E191,0)</f>
        <v/>
      </c>
      <c r="F192" s="22">
        <f>IFERROR(F185/F191,0)</f>
        <v/>
      </c>
      <c r="G192" s="22">
        <f>IFERROR(G185/G191,0)</f>
        <v/>
      </c>
    </row>
    <row r="193">
      <c r="A193" s="18" t="n"/>
      <c r="B193" s="18" t="inlineStr">
        <is>
          <t>Return on Equity (ROE)</t>
        </is>
      </c>
      <c r="C193" s="18" t="n"/>
      <c r="D193" s="18" t="n"/>
      <c r="E193" s="18" t="n"/>
      <c r="F193" s="18" t="n"/>
      <c r="G193" s="18" t="n"/>
      <c r="H193" s="18" t="n"/>
      <c r="I193" s="18" t="n"/>
    </row>
    <row r="194">
      <c r="B194" s="9" t="inlineStr">
        <is>
          <t>Net income (profit for the year)</t>
        </is>
      </c>
      <c r="C194" s="13">
        <f>C36</f>
        <v/>
      </c>
      <c r="D194" s="13">
        <f>D36</f>
        <v/>
      </c>
      <c r="E194" s="13">
        <f>E36</f>
        <v/>
      </c>
      <c r="F194" s="13">
        <f>F36</f>
        <v/>
      </c>
      <c r="G194" s="13">
        <f>G36</f>
        <v/>
      </c>
    </row>
    <row r="195">
      <c r="B195" s="9" t="inlineStr">
        <is>
          <t>Total equity</t>
        </is>
      </c>
      <c r="C195" s="13">
        <f>C113</f>
        <v/>
      </c>
      <c r="D195" s="13">
        <f>D113</f>
        <v/>
      </c>
      <c r="E195" s="13">
        <f>E113</f>
        <v/>
      </c>
      <c r="F195" s="13">
        <f>F113</f>
        <v/>
      </c>
      <c r="G195" s="13">
        <f>G113</f>
        <v/>
      </c>
    </row>
    <row r="196">
      <c r="B196" s="28" t="inlineStr">
        <is>
          <t>ROE = Net income / Equity</t>
        </is>
      </c>
      <c r="C196" s="22">
        <f>IFERROR(C194/C195,0)</f>
        <v/>
      </c>
      <c r="D196" s="22">
        <f>IFERROR(D194/D195,0)</f>
        <v/>
      </c>
      <c r="E196" s="22">
        <f>IFERROR(E194/E195,0)</f>
        <v/>
      </c>
      <c r="F196" s="22">
        <f>IFERROR(F194/F195,0)</f>
        <v/>
      </c>
      <c r="G196" s="22">
        <f>IFERROR(G194/G195,0)</f>
        <v/>
      </c>
    </row>
    <row r="197">
      <c r="B197" s="9" t="inlineStr">
        <is>
          <t>Return on assets (NI / total assets)</t>
        </is>
      </c>
      <c r="C197" s="17">
        <f>IFERROR(C36/C98,0)</f>
        <v/>
      </c>
      <c r="D197" s="17">
        <f>IFERROR(D36/D98,0)</f>
        <v/>
      </c>
      <c r="E197" s="17">
        <f>IFERROR(E36/E98,0)</f>
        <v/>
      </c>
      <c r="F197" s="17">
        <f>IFERROR(F36/F98,0)</f>
        <v/>
      </c>
      <c r="G197" s="17">
        <f>IFERROR(G36/G98,0)</f>
        <v/>
      </c>
    </row>
    <row r="198">
      <c r="A198" s="18" t="n"/>
      <c r="B198" s="18" t="inlineStr">
        <is>
          <t>Leverage</t>
        </is>
      </c>
      <c r="C198" s="18" t="n"/>
      <c r="D198" s="18" t="n"/>
      <c r="E198" s="18" t="n"/>
      <c r="F198" s="18" t="n"/>
      <c r="G198" s="18" t="n"/>
      <c r="H198" s="18" t="n"/>
      <c r="I198" s="18" t="n"/>
    </row>
    <row r="199">
      <c r="B199" s="9" t="inlineStr">
        <is>
          <t>Net debt (bank loan − cash)</t>
        </is>
      </c>
      <c r="C199" s="13">
        <f>C101-C90</f>
        <v/>
      </c>
      <c r="D199" s="13">
        <f>D101-D90</f>
        <v/>
      </c>
      <c r="E199" s="13">
        <f>E101-E90</f>
        <v/>
      </c>
      <c r="F199" s="13">
        <f>F101-F90</f>
        <v/>
      </c>
      <c r="G199" s="13">
        <f>G101-G90</f>
        <v/>
      </c>
    </row>
    <row r="200">
      <c r="B200" s="9" t="inlineStr">
        <is>
          <t>EBITDA (Operating earnings + D&amp;A)</t>
        </is>
      </c>
      <c r="C200" s="13">
        <f>C172+C19+C84</f>
        <v/>
      </c>
      <c r="D200" s="13">
        <f>D172+D19+D84</f>
        <v/>
      </c>
      <c r="E200" s="13">
        <f>E172+E19+E84</f>
        <v/>
      </c>
      <c r="F200" s="13">
        <f>F172+F19+F84</f>
        <v/>
      </c>
      <c r="G200" s="13">
        <f>G172+G19+G84</f>
        <v/>
      </c>
    </row>
    <row r="201">
      <c r="B201" s="9" t="inlineStr">
        <is>
          <t>Net debt / EBITDA  (x)</t>
        </is>
      </c>
      <c r="C201" s="26">
        <f>IFERROR(C199/C200,"")</f>
        <v/>
      </c>
      <c r="D201" s="26">
        <f>IFERROR(D199/D200,"")</f>
        <v/>
      </c>
      <c r="E201" s="26">
        <f>IFERROR(E199/E200,"")</f>
        <v/>
      </c>
      <c r="F201" s="26">
        <f>IFERROR(F199/F200,"")</f>
        <v/>
      </c>
      <c r="G201" s="26">
        <f>IFERROR(G199/G200,"")</f>
        <v/>
      </c>
    </row>
    <row r="202">
      <c r="B202" s="9" t="inlineStr">
        <is>
          <t>Interest coverage (EBIT / interest expense)</t>
        </is>
      </c>
      <c r="C202" s="26">
        <f>IFERROR(C172/C18,"")</f>
        <v/>
      </c>
      <c r="D202" s="26">
        <f>IFERROR(D172/D18,"")</f>
        <v/>
      </c>
      <c r="E202" s="26">
        <f>IFERROR(E172/E18,"")</f>
        <v/>
      </c>
      <c r="F202" s="26">
        <f>IFERROR(F172/F18,"")</f>
        <v/>
      </c>
      <c r="G202" s="26">
        <f>IFERROR(G172/G18,"")</f>
        <v/>
      </c>
    </row>
    <row r="203">
      <c r="B203" s="9" t="inlineStr">
        <is>
          <t>Debt / equity (bank loan / equity)</t>
        </is>
      </c>
      <c r="C203" s="26">
        <f>IFERROR(C101/C113,0)</f>
        <v/>
      </c>
      <c r="D203" s="26">
        <f>IFERROR(D101/D113,0)</f>
        <v/>
      </c>
      <c r="E203" s="26">
        <f>IFERROR(E101/E113,0)</f>
        <v/>
      </c>
      <c r="F203" s="26">
        <f>IFERROR(F101/F113,0)</f>
        <v/>
      </c>
      <c r="G203" s="26">
        <f>IFERROR(G101/G113,0)</f>
        <v/>
      </c>
    </row>
    <row r="204">
      <c r="A204" s="18" t="n"/>
      <c r="B204" s="18" t="inlineStr">
        <is>
          <t>Liquidity &amp; working capital</t>
        </is>
      </c>
      <c r="C204" s="18" t="n"/>
      <c r="D204" s="18" t="n"/>
      <c r="E204" s="18" t="n"/>
      <c r="F204" s="18" t="n"/>
      <c r="G204" s="18" t="n"/>
      <c r="H204" s="18" t="n"/>
      <c r="I204" s="18" t="n"/>
    </row>
    <row r="205">
      <c r="B205" s="9" t="inlineStr">
        <is>
          <t>Current ratio (CA / CL)</t>
        </is>
      </c>
      <c r="C205" s="26">
        <f>IFERROR(C95/C107,"")</f>
        <v/>
      </c>
      <c r="D205" s="26">
        <f>IFERROR(D95/D107,"")</f>
        <v/>
      </c>
      <c r="E205" s="26">
        <f>IFERROR(E95/E107,"")</f>
        <v/>
      </c>
      <c r="F205" s="26">
        <f>IFERROR(F95/F107,"")</f>
        <v/>
      </c>
      <c r="G205" s="26">
        <f>IFERROR(G95/G107,"")</f>
        <v/>
      </c>
    </row>
    <row r="206">
      <c r="B206" s="9" t="inlineStr">
        <is>
          <t>Quick ratio ((cash + A/R) / CL)</t>
        </is>
      </c>
      <c r="C206" s="26">
        <f>IFERROR((C90+C91)/C107,"")</f>
        <v/>
      </c>
      <c r="D206" s="26">
        <f>IFERROR((D90+D91)/D107,"")</f>
        <v/>
      </c>
      <c r="E206" s="26">
        <f>IFERROR((E90+E91)/E107,"")</f>
        <v/>
      </c>
      <c r="F206" s="26">
        <f>IFERROR((F90+F91)/F107,"")</f>
        <v/>
      </c>
      <c r="G206" s="26">
        <f>IFERROR((G90+G91)/G107,"")</f>
        <v/>
      </c>
    </row>
    <row r="207">
      <c r="B207" s="9" t="inlineStr">
        <is>
          <t>DSO (A/R / revenue × 365)</t>
        </is>
      </c>
      <c r="C207" s="29">
        <f>IFERROR(C91/C9*365,"")</f>
        <v/>
      </c>
      <c r="D207" s="29">
        <f>IFERROR(D91/D9*365,"")</f>
        <v/>
      </c>
      <c r="E207" s="29">
        <f>IFERROR(E91/E9*365,"")</f>
        <v/>
      </c>
      <c r="F207" s="29">
        <f>IFERROR(F91/F9*365,"")</f>
        <v/>
      </c>
      <c r="G207" s="29">
        <f>IFERROR(G91/G9*365,"")</f>
        <v/>
      </c>
    </row>
    <row r="208">
      <c r="B208" s="9" t="inlineStr">
        <is>
          <t>DPO (A/P / cost of sales × 365)</t>
        </is>
      </c>
      <c r="C208" s="29">
        <f>IFERROR(C102/C10*365,"")</f>
        <v/>
      </c>
      <c r="D208" s="29">
        <f>IFERROR(D102/D10*365,"")</f>
        <v/>
      </c>
      <c r="E208" s="29">
        <f>IFERROR(E102/E10*365,"")</f>
        <v/>
      </c>
      <c r="F208" s="29">
        <f>IFERROR(F102/F10*365,"")</f>
        <v/>
      </c>
      <c r="G208" s="29">
        <f>IFERROR(G102/G10*365,"")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4" customWidth="1" min="1" max="1"/>
    <col width="46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2">
      <c r="B2" s="30" t="inlineStr">
        <is>
          <t>R. &amp; Y. Tool and Die Co. Limited — LBO / IRR Model</t>
        </is>
      </c>
    </row>
    <row r="3">
      <c r="B3" s="31" t="inlineStr">
        <is>
          <t>Owner-earnings LBO built off the FY2021–FY2025 financials (Model tab). Canadian dollars, whole $. Gold cells are toggles.</t>
        </is>
      </c>
    </row>
    <row r="4">
      <c r="B4" s="31" t="inlineStr">
        <is>
          <t>Interest accrues on beginning-of-year debt (no circularity). Excess free cash sweeps to debt paydown; no interim distributions, so equity is entry-in / exit-out. Base-case operating assumptions default to FY21–25 history.</t>
        </is>
      </c>
    </row>
    <row r="5">
      <c r="B5" s="32" t="inlineStr">
        <is>
          <t>SCENARIO  (Base / Bull / Bear):</t>
        </is>
      </c>
      <c r="C5" s="33" t="inlineStr">
        <is>
          <t>Base</t>
        </is>
      </c>
      <c r="H5" s="34" t="inlineStr">
        <is>
          <t>SCENARIO INPUTS</t>
        </is>
      </c>
      <c r="J5" s="35" t="inlineStr">
        <is>
          <t>Bear</t>
        </is>
      </c>
      <c r="K5" s="35" t="inlineStr">
        <is>
          <t>Base</t>
        </is>
      </c>
      <c r="L5" s="35" t="inlineStr">
        <is>
          <t>Bull</t>
        </is>
      </c>
    </row>
    <row r="6">
      <c r="H6" s="36" t="inlineStr">
        <is>
          <t>Revenue growth (%/yr)</t>
        </is>
      </c>
      <c r="J6" s="37" t="n">
        <v>0.04</v>
      </c>
      <c r="K6" s="37" t="n">
        <v>0.1</v>
      </c>
      <c r="L6" s="37" t="n">
        <v>0.14</v>
      </c>
    </row>
    <row r="7">
      <c r="A7" s="4" t="n"/>
      <c r="B7" s="38" t="inlineStr">
        <is>
          <t>ENTRY, FINANCING &amp; OPERATING ASSUMPTIONS</t>
        </is>
      </c>
      <c r="C7" s="4" t="n"/>
      <c r="D7" s="4" t="n"/>
      <c r="E7" s="4" t="n"/>
      <c r="F7" s="4" t="n"/>
      <c r="G7" s="4" t="n"/>
      <c r="H7" s="8" t="inlineStr">
        <is>
          <t>EBITDA margin (%)</t>
        </is>
      </c>
      <c r="I7" s="4" t="n"/>
      <c r="J7" s="39" t="n">
        <v>0.12</v>
      </c>
      <c r="K7" s="39" t="n">
        <v>0.16</v>
      </c>
      <c r="L7" s="39" t="n">
        <v>0.19</v>
      </c>
    </row>
    <row r="8">
      <c r="A8" s="40" t="n"/>
      <c r="B8" s="41" t="inlineStr">
        <is>
          <t>Entry (base year = FY2025)</t>
        </is>
      </c>
      <c r="C8" s="40" t="n"/>
      <c r="D8" s="40" t="n"/>
      <c r="E8" s="40" t="n"/>
      <c r="F8" s="40" t="n"/>
      <c r="G8" s="40" t="n"/>
      <c r="H8" s="18" t="inlineStr">
        <is>
          <t>Capex (% of revenue)</t>
        </is>
      </c>
      <c r="I8" s="40" t="n"/>
      <c r="J8" s="42" t="n">
        <v>0.06</v>
      </c>
      <c r="K8" s="42" t="n">
        <v>0.04</v>
      </c>
      <c r="L8" s="42" t="n">
        <v>0.03</v>
      </c>
    </row>
    <row r="9">
      <c r="B9" s="36" t="inlineStr">
        <is>
          <t>Entry LTM EBITDA (FY2025)</t>
        </is>
      </c>
      <c r="C9" s="43">
        <f>'Model'!G45</f>
        <v/>
      </c>
      <c r="D9" s="44" t="inlineStr">
        <is>
          <t>Linked from Model — EBITDA bridge.</t>
        </is>
      </c>
      <c r="H9" s="45" t="inlineStr">
        <is>
          <t>Historical FY21–25 anchor:</t>
        </is>
      </c>
    </row>
    <row r="10">
      <c r="B10" s="36" t="inlineStr">
        <is>
          <t>Entry LTM revenue (FY2025)</t>
        </is>
      </c>
      <c r="C10" s="43">
        <f>'Model'!G9</f>
        <v/>
      </c>
      <c r="H10" s="45" t="inlineStr">
        <is>
          <t>rev CAGR ~10% · avg EBITDA margin ~17% · avg capex ~3–4%</t>
        </is>
      </c>
    </row>
    <row r="11">
      <c r="B11" s="36" t="inlineStr">
        <is>
          <t>Entry EV / EBITDA multiple  (x)</t>
        </is>
      </c>
      <c r="C11" s="46" t="n">
        <v>6</v>
      </c>
      <c r="D11" s="44" t="inlineStr">
        <is>
          <t>Purchase multiple.</t>
        </is>
      </c>
    </row>
    <row r="12">
      <c r="B12" s="36" t="inlineStr">
        <is>
          <t>Enterprise value at entry</t>
        </is>
      </c>
      <c r="C12" s="43">
        <f>C9*C11</f>
        <v/>
      </c>
    </row>
    <row r="13">
      <c r="A13" s="40" t="n"/>
      <c r="B13" s="41" t="inlineStr">
        <is>
          <t>Financing (toggles)</t>
        </is>
      </c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B14" s="36" t="inlineStr">
        <is>
          <t>Entry leverage — Debt / EBITDA (x)</t>
        </is>
      </c>
      <c r="C14" s="46" t="n">
        <v>2.5</v>
      </c>
      <c r="D14" s="44" t="inlineStr">
        <is>
          <t>DEBT toggle — turns of EBITDA financed with debt.</t>
        </is>
      </c>
    </row>
    <row r="15">
      <c r="B15" s="36" t="inlineStr">
        <is>
          <t>New debt raised at entry</t>
        </is>
      </c>
      <c r="C15" s="43">
        <f>C14*C9</f>
        <v/>
      </c>
      <c r="D15" s="44">
        <f> leverage × entry EBITDA.</f>
        <v/>
      </c>
    </row>
    <row r="16">
      <c r="B16" s="36" t="inlineStr">
        <is>
          <t>Interest rate on debt  (%)</t>
        </is>
      </c>
      <c r="C16" s="47" t="n">
        <v>0.1</v>
      </c>
      <c r="D16" s="44" t="inlineStr">
        <is>
          <t>INTEREST toggle — accrues on opening debt.</t>
        </is>
      </c>
    </row>
    <row r="17">
      <c r="B17" s="36" t="inlineStr">
        <is>
          <t>Mandatory amortization (% opening debt/yr)</t>
        </is>
      </c>
      <c r="C17" s="47" t="n">
        <v>0.05</v>
      </c>
    </row>
    <row r="18">
      <c r="B18" s="36" t="inlineStr">
        <is>
          <t>Cash sweep (% of FCF after mandatory)</t>
        </is>
      </c>
      <c r="C18" s="47" t="n">
        <v>0.75</v>
      </c>
    </row>
    <row r="19">
      <c r="B19" s="36" t="inlineStr">
        <is>
          <t>Minimum / opening cash on balance sheet</t>
        </is>
      </c>
      <c r="C19" s="48" t="n">
        <v>50000</v>
      </c>
      <c r="D19" s="44" t="inlineStr">
        <is>
          <t>CASH toggle — cash funded onto the B/S at close and held as a floor.</t>
        </is>
      </c>
    </row>
    <row r="20">
      <c r="B20" s="36" t="inlineStr">
        <is>
          <t>Transaction &amp; financing fees (% of EV)</t>
        </is>
      </c>
      <c r="C20" s="47" t="n">
        <v>0.02</v>
      </c>
    </row>
    <row r="21">
      <c r="A21" s="40" t="n"/>
      <c r="B21" s="41" t="inlineStr">
        <is>
          <t>Operating (scenario-driven; base = FY21–25 history)</t>
        </is>
      </c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B22" s="36" t="inlineStr">
        <is>
          <t>Revenue growth  (%/yr)</t>
        </is>
      </c>
      <c r="C22" s="49">
        <f>INDEX($J6:$L6,MATCH($C$5,$J$5:$L$5,0))</f>
        <v/>
      </c>
      <c r="D22" s="44" t="inlineStr">
        <is>
          <t>Driven by the scenario selector (C5).</t>
        </is>
      </c>
    </row>
    <row r="23">
      <c r="B23" s="36" t="inlineStr">
        <is>
          <t>EBITDA margin  (%)</t>
        </is>
      </c>
      <c r="C23" s="49">
        <f>INDEX($J7:$L7,MATCH($C$5,$J$5:$L$5,0))</f>
        <v/>
      </c>
    </row>
    <row r="24">
      <c r="B24" s="36" t="inlineStr">
        <is>
          <t>Capex  (% of revenue)</t>
        </is>
      </c>
      <c r="C24" s="49">
        <f>INDEX($J8:$L8,MATCH($C$5,$J$5:$L$5,0))</f>
        <v/>
      </c>
    </row>
    <row r="25">
      <c r="B25" s="36" t="inlineStr">
        <is>
          <t>D&amp;A  (% of revenue)</t>
        </is>
      </c>
      <c r="C25" s="47" t="n">
        <v>0.04</v>
      </c>
      <c r="D25" s="44" t="inlineStr">
        <is>
          <t>Roughly the FY25 run-rate; drives the tax shield.</t>
        </is>
      </c>
    </row>
    <row r="26">
      <c r="B26" s="36" t="inlineStr">
        <is>
          <t>Cash tax rate  (%)</t>
        </is>
      </c>
      <c r="C26" s="47" t="n">
        <v>0.15</v>
      </c>
      <c r="D26" s="44" t="inlineStr">
        <is>
          <t>≈ FY25 effective rate / CDN small-business rate.</t>
        </is>
      </c>
    </row>
    <row r="27">
      <c r="B27" s="36" t="inlineStr">
        <is>
          <t>Δ Net working capital (% of Δrevenue)</t>
        </is>
      </c>
      <c r="C27" s="47" t="n">
        <v>0.05</v>
      </c>
    </row>
    <row r="28">
      <c r="B28" s="36" t="inlineStr">
        <is>
          <t>Exit year  (1–5)</t>
        </is>
      </c>
      <c r="C28" s="50" t="n">
        <v>5</v>
      </c>
    </row>
    <row r="29">
      <c r="B29" s="36" t="inlineStr">
        <is>
          <t>Exit EV / EBITDA multiple  (x)</t>
        </is>
      </c>
      <c r="C29" s="46" t="n">
        <v>6</v>
      </c>
      <c r="D29" s="44" t="inlineStr">
        <is>
          <t>Default = entry multiple (no multiple expansion).</t>
        </is>
      </c>
    </row>
    <row r="31">
      <c r="A31" s="4" t="n"/>
      <c r="B31" s="38" t="inlineStr">
        <is>
          <t>SOURCES &amp; USES OF FUNDS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>
      <c r="A32" s="40" t="n"/>
      <c r="B32" s="41" t="inlineStr">
        <is>
          <t>Uses</t>
        </is>
      </c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B33" s="36" t="inlineStr">
        <is>
          <t>Purchase of enterprise value</t>
        </is>
      </c>
      <c r="C33" s="43">
        <f>C12</f>
        <v/>
      </c>
    </row>
    <row r="34">
      <c r="B34" s="36" t="inlineStr">
        <is>
          <t>Cash funded to balance sheet</t>
        </is>
      </c>
      <c r="C34" s="43">
        <f>C19</f>
        <v/>
      </c>
    </row>
    <row r="35">
      <c r="B35" s="36" t="inlineStr">
        <is>
          <t>Transaction &amp; financing fees</t>
        </is>
      </c>
      <c r="C35" s="43">
        <f>C20*C12</f>
        <v/>
      </c>
    </row>
    <row r="36">
      <c r="B36" s="32" t="inlineStr">
        <is>
          <t>Total uses</t>
        </is>
      </c>
      <c r="C36" s="51">
        <f>SUM(C33:C35)</f>
        <v/>
      </c>
    </row>
    <row r="37">
      <c r="A37" s="40" t="n"/>
      <c r="B37" s="41" t="inlineStr">
        <is>
          <t>Sources</t>
        </is>
      </c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B38" s="36" t="inlineStr">
        <is>
          <t>New debt raised</t>
        </is>
      </c>
      <c r="C38" s="43">
        <f>C15</f>
        <v/>
      </c>
    </row>
    <row r="39">
      <c r="B39" s="32" t="inlineStr">
        <is>
          <t>Sponsor equity (plug)</t>
        </is>
      </c>
      <c r="C39" s="52">
        <f>C36-C38</f>
        <v/>
      </c>
    </row>
    <row r="40">
      <c r="B40" s="32" t="inlineStr">
        <is>
          <t>Total sources</t>
        </is>
      </c>
      <c r="C40" s="51">
        <f>C38+C39</f>
        <v/>
      </c>
    </row>
    <row r="41">
      <c r="B41" s="36" t="inlineStr">
        <is>
          <t>Check (sources − uses)</t>
        </is>
      </c>
      <c r="C41" s="43">
        <f>C40-C36</f>
        <v/>
      </c>
      <c r="D41" s="44" t="inlineStr">
        <is>
          <t>Must be 0.</t>
        </is>
      </c>
    </row>
    <row r="42">
      <c r="B42" s="36" t="inlineStr">
        <is>
          <t>Entry net debt (debt − opening cash)</t>
        </is>
      </c>
      <c r="C42" s="43">
        <f>C38-C34</f>
        <v/>
      </c>
    </row>
    <row r="45">
      <c r="A45" s="4" t="n"/>
      <c r="B45" s="38" t="inlineStr">
        <is>
          <t>OWNER-EARNINGS PROJECTION, DEBT SCHEDULE &amp; FREE CASH FLOW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>
      <c r="A46" s="53" t="n"/>
      <c r="B46" s="7" t="inlineStr">
        <is>
          <t>($)</t>
        </is>
      </c>
      <c r="C46" s="6" t="inlineStr">
        <is>
          <t>FY2021</t>
        </is>
      </c>
      <c r="D46" s="6" t="inlineStr">
        <is>
          <t>FY2022</t>
        </is>
      </c>
      <c r="E46" s="6" t="inlineStr">
        <is>
          <t>FY2023</t>
        </is>
      </c>
      <c r="F46" s="6" t="inlineStr">
        <is>
          <t>FY2024</t>
        </is>
      </c>
      <c r="G46" s="6" t="inlineStr">
        <is>
          <t>FY2025  (entry)</t>
        </is>
      </c>
      <c r="H46" s="6" t="inlineStr">
        <is>
          <t>FY2026E</t>
        </is>
      </c>
      <c r="I46" s="6" t="inlineStr">
        <is>
          <t>FY2027E</t>
        </is>
      </c>
      <c r="J46" s="6" t="inlineStr">
        <is>
          <t>FY2028E</t>
        </is>
      </c>
      <c r="K46" s="6" t="inlineStr">
        <is>
          <t>FY2029E</t>
        </is>
      </c>
      <c r="L46" s="6" t="inlineStr">
        <is>
          <t>FY2030E</t>
        </is>
      </c>
    </row>
    <row r="47">
      <c r="B47" s="54" t="inlineStr">
        <is>
          <t>Hold year (0 = entry)</t>
        </is>
      </c>
      <c r="G47" s="55" t="n">
        <v>0</v>
      </c>
      <c r="H47" s="55" t="n">
        <v>1</v>
      </c>
      <c r="I47" s="55" t="n">
        <v>2</v>
      </c>
      <c r="J47" s="55" t="n">
        <v>3</v>
      </c>
      <c r="K47" s="55" t="n">
        <v>4</v>
      </c>
      <c r="L47" s="55" t="n">
        <v>5</v>
      </c>
    </row>
    <row r="48">
      <c r="B48" s="32" t="inlineStr">
        <is>
          <t>Revenue</t>
        </is>
      </c>
      <c r="C48" s="52">
        <f>'Model'!C9</f>
        <v/>
      </c>
      <c r="D48" s="52">
        <f>'Model'!D9</f>
        <v/>
      </c>
      <c r="E48" s="52">
        <f>'Model'!E9</f>
        <v/>
      </c>
      <c r="F48" s="52">
        <f>'Model'!F9</f>
        <v/>
      </c>
      <c r="G48" s="52">
        <f>'Model'!G9</f>
        <v/>
      </c>
      <c r="H48" s="52">
        <f>G48*(1+$C$22)</f>
        <v/>
      </c>
      <c r="I48" s="52">
        <f>H48*(1+$C$22)</f>
        <v/>
      </c>
      <c r="J48" s="52">
        <f>I48*(1+$C$22)</f>
        <v/>
      </c>
      <c r="K48" s="52">
        <f>J48*(1+$C$22)</f>
        <v/>
      </c>
      <c r="L48" s="52">
        <f>K48*(1+$C$22)</f>
        <v/>
      </c>
    </row>
    <row r="49">
      <c r="B49" s="36" t="inlineStr">
        <is>
          <t xml:space="preserve">   Revenue growth %</t>
        </is>
      </c>
      <c r="D49" s="56">
        <f>IFERROR(D48/C48-1,"")</f>
        <v/>
      </c>
      <c r="E49" s="56">
        <f>IFERROR(E48/D48-1,"")</f>
        <v/>
      </c>
      <c r="F49" s="56">
        <f>IFERROR(F48/E48-1,"")</f>
        <v/>
      </c>
      <c r="G49" s="56">
        <f>IFERROR(G48/F48-1,"")</f>
        <v/>
      </c>
      <c r="H49" s="56">
        <f>IFERROR(H48/G48-1,"")</f>
        <v/>
      </c>
      <c r="I49" s="56">
        <f>IFERROR(I48/H48-1,"")</f>
        <v/>
      </c>
      <c r="J49" s="56">
        <f>IFERROR(J48/I48-1,"")</f>
        <v/>
      </c>
      <c r="K49" s="56">
        <f>IFERROR(K48/J48-1,"")</f>
        <v/>
      </c>
      <c r="L49" s="56">
        <f>IFERROR(L48/K48-1,"")</f>
        <v/>
      </c>
    </row>
    <row r="50">
      <c r="B50" s="32" t="inlineStr">
        <is>
          <t>EBITDA</t>
        </is>
      </c>
      <c r="C50" s="51">
        <f>'Model'!C45</f>
        <v/>
      </c>
      <c r="D50" s="51">
        <f>'Model'!D45</f>
        <v/>
      </c>
      <c r="E50" s="51">
        <f>'Model'!E45</f>
        <v/>
      </c>
      <c r="F50" s="51">
        <f>'Model'!F45</f>
        <v/>
      </c>
      <c r="G50" s="51">
        <f>'Model'!G45</f>
        <v/>
      </c>
      <c r="H50" s="51">
        <f>H48*$C$23</f>
        <v/>
      </c>
      <c r="I50" s="51">
        <f>I48*$C$23</f>
        <v/>
      </c>
      <c r="J50" s="51">
        <f>J48*$C$23</f>
        <v/>
      </c>
      <c r="K50" s="51">
        <f>K48*$C$23</f>
        <v/>
      </c>
      <c r="L50" s="51">
        <f>L48*$C$23</f>
        <v/>
      </c>
    </row>
    <row r="51">
      <c r="B51" s="36" t="inlineStr">
        <is>
          <t xml:space="preserve">   EBITDA margin %</t>
        </is>
      </c>
      <c r="C51" s="56">
        <f>IFERROR(C50/C48,"")</f>
        <v/>
      </c>
      <c r="D51" s="56">
        <f>IFERROR(D50/D48,"")</f>
        <v/>
      </c>
      <c r="E51" s="56">
        <f>IFERROR(E50/E48,"")</f>
        <v/>
      </c>
      <c r="F51" s="56">
        <f>IFERROR(F50/F48,"")</f>
        <v/>
      </c>
      <c r="G51" s="56">
        <f>IFERROR(G50/G48,"")</f>
        <v/>
      </c>
      <c r="H51" s="56">
        <f>IFERROR(H50/H48,"")</f>
        <v/>
      </c>
      <c r="I51" s="56">
        <f>IFERROR(I50/I48,"")</f>
        <v/>
      </c>
      <c r="J51" s="56">
        <f>IFERROR(J50/J48,"")</f>
        <v/>
      </c>
      <c r="K51" s="56">
        <f>IFERROR(K50/K48,"")</f>
        <v/>
      </c>
      <c r="L51" s="56">
        <f>IFERROR(L50/L48,"")</f>
        <v/>
      </c>
    </row>
    <row r="52">
      <c r="B52" s="36" t="inlineStr">
        <is>
          <t>Depreciation &amp; amortization</t>
        </is>
      </c>
      <c r="C52" s="43">
        <f>'Model'!C151</f>
        <v/>
      </c>
      <c r="D52" s="43">
        <f>'Model'!D151</f>
        <v/>
      </c>
      <c r="E52" s="43">
        <f>'Model'!E151</f>
        <v/>
      </c>
      <c r="F52" s="43">
        <f>'Model'!F151</f>
        <v/>
      </c>
      <c r="G52" s="43">
        <f>'Model'!G151</f>
        <v/>
      </c>
      <c r="H52" s="43">
        <f>H48*$C$25</f>
        <v/>
      </c>
      <c r="I52" s="43">
        <f>I48*$C$25</f>
        <v/>
      </c>
      <c r="J52" s="43">
        <f>J48*$C$25</f>
        <v/>
      </c>
      <c r="K52" s="43">
        <f>K48*$C$25</f>
        <v/>
      </c>
      <c r="L52" s="43">
        <f>L48*$C$25</f>
        <v/>
      </c>
    </row>
    <row r="53">
      <c r="B53" s="32" t="inlineStr">
        <is>
          <t>EBIT</t>
        </is>
      </c>
      <c r="C53" s="51">
        <f>C50-C52</f>
        <v/>
      </c>
      <c r="D53" s="51">
        <f>D50-D52</f>
        <v/>
      </c>
      <c r="E53" s="51">
        <f>E50-E52</f>
        <v/>
      </c>
      <c r="F53" s="51">
        <f>F50-F52</f>
        <v/>
      </c>
      <c r="G53" s="51">
        <f>G50-G52</f>
        <v/>
      </c>
      <c r="H53" s="51">
        <f>H50-H52</f>
        <v/>
      </c>
      <c r="I53" s="51">
        <f>I50-I52</f>
        <v/>
      </c>
      <c r="J53" s="51">
        <f>J50-J52</f>
        <v/>
      </c>
      <c r="K53" s="51">
        <f>K50-K52</f>
        <v/>
      </c>
      <c r="L53" s="51">
        <f>L50-L52</f>
        <v/>
      </c>
    </row>
    <row r="54">
      <c r="B54" s="36" t="inlineStr">
        <is>
          <t>Interest expense (on opening debt)</t>
        </is>
      </c>
      <c r="H54" s="43">
        <f>$C$16*H64</f>
        <v/>
      </c>
      <c r="I54" s="43">
        <f>$C$16*I64</f>
        <v/>
      </c>
      <c r="J54" s="43">
        <f>$C$16*J64</f>
        <v/>
      </c>
      <c r="K54" s="43">
        <f>$C$16*K64</f>
        <v/>
      </c>
      <c r="L54" s="43">
        <f>$C$16*L64</f>
        <v/>
      </c>
    </row>
    <row r="55">
      <c r="B55" s="32" t="inlineStr">
        <is>
          <t>Pre-tax profit (EBT)</t>
        </is>
      </c>
      <c r="H55" s="51">
        <f>H53-H54</f>
        <v/>
      </c>
      <c r="I55" s="51">
        <f>I53-I54</f>
        <v/>
      </c>
      <c r="J55" s="51">
        <f>J53-J54</f>
        <v/>
      </c>
      <c r="K55" s="51">
        <f>K53-K54</f>
        <v/>
      </c>
      <c r="L55" s="51">
        <f>L53-L54</f>
        <v/>
      </c>
    </row>
    <row r="56">
      <c r="B56" s="36" t="inlineStr">
        <is>
          <t>Cash taxes</t>
        </is>
      </c>
      <c r="H56" s="43">
        <f>-MAX(H55*$C$26,0)</f>
        <v/>
      </c>
      <c r="I56" s="43">
        <f>-MAX(I55*$C$26,0)</f>
        <v/>
      </c>
      <c r="J56" s="43">
        <f>-MAX(J55*$C$26,0)</f>
        <v/>
      </c>
      <c r="K56" s="43">
        <f>-MAX(K55*$C$26,0)</f>
        <v/>
      </c>
      <c r="L56" s="43">
        <f>-MAX(L55*$C$26,0)</f>
        <v/>
      </c>
    </row>
    <row r="57">
      <c r="B57" s="32" t="inlineStr">
        <is>
          <t>Net profit after tax</t>
        </is>
      </c>
      <c r="H57" s="51">
        <f>H55+H56</f>
        <v/>
      </c>
      <c r="I57" s="51">
        <f>I55+I56</f>
        <v/>
      </c>
      <c r="J57" s="51">
        <f>J55+J56</f>
        <v/>
      </c>
      <c r="K57" s="51">
        <f>K55+K56</f>
        <v/>
      </c>
      <c r="L57" s="51">
        <f>L55+L56</f>
        <v/>
      </c>
    </row>
    <row r="58">
      <c r="B58" s="36" t="inlineStr">
        <is>
          <t xml:space="preserve">   (+) D&amp;A</t>
        </is>
      </c>
      <c r="H58" s="43">
        <f>H52</f>
        <v/>
      </c>
      <c r="I58" s="43">
        <f>I52</f>
        <v/>
      </c>
      <c r="J58" s="43">
        <f>J52</f>
        <v/>
      </c>
      <c r="K58" s="43">
        <f>K52</f>
        <v/>
      </c>
      <c r="L58" s="43">
        <f>L52</f>
        <v/>
      </c>
    </row>
    <row r="59">
      <c r="B59" s="36" t="inlineStr">
        <is>
          <t xml:space="preserve">   (−) Capex</t>
        </is>
      </c>
      <c r="H59" s="43">
        <f>-H48*$C$24</f>
        <v/>
      </c>
      <c r="I59" s="43">
        <f>-I48*$C$24</f>
        <v/>
      </c>
      <c r="J59" s="43">
        <f>-J48*$C$24</f>
        <v/>
      </c>
      <c r="K59" s="43">
        <f>-K48*$C$24</f>
        <v/>
      </c>
      <c r="L59" s="43">
        <f>-L48*$C$24</f>
        <v/>
      </c>
    </row>
    <row r="60">
      <c r="B60" s="36" t="inlineStr">
        <is>
          <t xml:space="preserve">   (−) Δ Net working capital</t>
        </is>
      </c>
      <c r="H60" s="43">
        <f>-(H48-G48)*$C$27</f>
        <v/>
      </c>
      <c r="I60" s="43">
        <f>-(I48-H48)*$C$27</f>
        <v/>
      </c>
      <c r="J60" s="43">
        <f>-(J48-I48)*$C$27</f>
        <v/>
      </c>
      <c r="K60" s="43">
        <f>-(K48-J48)*$C$27</f>
        <v/>
      </c>
      <c r="L60" s="43">
        <f>-(L48-K48)*$C$27</f>
        <v/>
      </c>
    </row>
    <row r="61">
      <c r="B61" s="32" t="inlineStr">
        <is>
          <t>Levered free cash flow (owner earnings)</t>
        </is>
      </c>
      <c r="H61" s="51">
        <f>H57+H58+H59+H60</f>
        <v/>
      </c>
      <c r="I61" s="51">
        <f>I57+I58+I59+I60</f>
        <v/>
      </c>
      <c r="J61" s="51">
        <f>J57+J58+J59+J60</f>
        <v/>
      </c>
      <c r="K61" s="51">
        <f>K57+K58+K59+K60</f>
        <v/>
      </c>
      <c r="L61" s="51">
        <f>L57+L58+L59+L60</f>
        <v/>
      </c>
    </row>
    <row r="63">
      <c r="A63" s="40" t="n"/>
      <c r="B63" s="41" t="inlineStr">
        <is>
          <t>Debt schedule</t>
        </is>
      </c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B64" s="36" t="inlineStr">
        <is>
          <t>Beginning debt</t>
        </is>
      </c>
      <c r="H64" s="43">
        <f>G67</f>
        <v/>
      </c>
      <c r="I64" s="43">
        <f>H67</f>
        <v/>
      </c>
      <c r="J64" s="43">
        <f>I67</f>
        <v/>
      </c>
      <c r="K64" s="43">
        <f>J67</f>
        <v/>
      </c>
      <c r="L64" s="43">
        <f>K67</f>
        <v/>
      </c>
    </row>
    <row r="65">
      <c r="B65" s="36" t="inlineStr">
        <is>
          <t xml:space="preserve">   (−) Mandatory amortization</t>
        </is>
      </c>
      <c r="H65" s="43">
        <f>-MIN(H64,$C$17*$C$15)</f>
        <v/>
      </c>
      <c r="I65" s="43">
        <f>-MIN(I64,$C$17*$C$15)</f>
        <v/>
      </c>
      <c r="J65" s="43">
        <f>-MIN(J64,$C$17*$C$15)</f>
        <v/>
      </c>
      <c r="K65" s="43">
        <f>-MIN(K64,$C$17*$C$15)</f>
        <v/>
      </c>
      <c r="L65" s="43">
        <f>-MIN(L64,$C$17*$C$15)</f>
        <v/>
      </c>
    </row>
    <row r="66">
      <c r="B66" s="36" t="inlineStr">
        <is>
          <t xml:space="preserve">   (−) Cash sweep</t>
        </is>
      </c>
      <c r="H66" s="43">
        <f>-MIN(MAX(H61+H65,0)*$C$18,H64+H65)</f>
        <v/>
      </c>
      <c r="I66" s="43">
        <f>-MIN(MAX(I61+I65,0)*$C$18,I64+I65)</f>
        <v/>
      </c>
      <c r="J66" s="43">
        <f>-MIN(MAX(J61+J65,0)*$C$18,J64+J65)</f>
        <v/>
      </c>
      <c r="K66" s="43">
        <f>-MIN(MAX(K61+K65,0)*$C$18,K64+K65)</f>
        <v/>
      </c>
      <c r="L66" s="43">
        <f>-MIN(MAX(L61+L65,0)*$C$18,L64+L65)</f>
        <v/>
      </c>
    </row>
    <row r="67">
      <c r="B67" s="32" t="inlineStr">
        <is>
          <t>Ending debt</t>
        </is>
      </c>
      <c r="G67" s="43">
        <f>$C$15</f>
        <v/>
      </c>
      <c r="H67" s="51">
        <f>H64+H65+H66</f>
        <v/>
      </c>
      <c r="I67" s="51">
        <f>I64+I65+I66</f>
        <v/>
      </c>
      <c r="J67" s="51">
        <f>J64+J65+J66</f>
        <v/>
      </c>
      <c r="K67" s="51">
        <f>K64+K65+K66</f>
        <v/>
      </c>
      <c r="L67" s="51">
        <f>L64+L65+L66</f>
        <v/>
      </c>
    </row>
    <row r="69">
      <c r="A69" s="40" t="n"/>
      <c r="B69" s="41" t="inlineStr">
        <is>
          <t>Cash &amp; leverage</t>
        </is>
      </c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</row>
    <row r="70">
      <c r="B70" s="36" t="inlineStr">
        <is>
          <t>Beginning cash</t>
        </is>
      </c>
      <c r="H70" s="43">
        <f>G72</f>
        <v/>
      </c>
      <c r="I70" s="43">
        <f>H72</f>
        <v/>
      </c>
      <c r="J70" s="43">
        <f>I72</f>
        <v/>
      </c>
      <c r="K70" s="43">
        <f>J72</f>
        <v/>
      </c>
      <c r="L70" s="43">
        <f>K72</f>
        <v/>
      </c>
    </row>
    <row r="71">
      <c r="B71" s="36" t="inlineStr">
        <is>
          <t xml:space="preserve">   (+) FCF after debt paydown</t>
        </is>
      </c>
      <c r="H71" s="43">
        <f>H61+H65+H66</f>
        <v/>
      </c>
      <c r="I71" s="43">
        <f>I61+I65+I66</f>
        <v/>
      </c>
      <c r="J71" s="43">
        <f>J61+J65+J66</f>
        <v/>
      </c>
      <c r="K71" s="43">
        <f>K61+K65+K66</f>
        <v/>
      </c>
      <c r="L71" s="43">
        <f>L61+L65+L66</f>
        <v/>
      </c>
    </row>
    <row r="72">
      <c r="B72" s="32" t="inlineStr">
        <is>
          <t>Ending cash</t>
        </is>
      </c>
      <c r="G72" s="43">
        <f>$C$19</f>
        <v/>
      </c>
      <c r="H72" s="51">
        <f>H70+H71</f>
        <v/>
      </c>
      <c r="I72" s="51">
        <f>I70+I71</f>
        <v/>
      </c>
      <c r="J72" s="51">
        <f>J70+J71</f>
        <v/>
      </c>
      <c r="K72" s="51">
        <f>K70+K71</f>
        <v/>
      </c>
      <c r="L72" s="51">
        <f>L70+L71</f>
        <v/>
      </c>
    </row>
    <row r="73">
      <c r="B73" s="36" t="inlineStr">
        <is>
          <t>Net debt (debt − cash)</t>
        </is>
      </c>
      <c r="G73" s="43">
        <f>G67-G72</f>
        <v/>
      </c>
      <c r="H73" s="43">
        <f>H67-H72</f>
        <v/>
      </c>
      <c r="I73" s="43">
        <f>I67-I72</f>
        <v/>
      </c>
      <c r="J73" s="43">
        <f>J67-J72</f>
        <v/>
      </c>
      <c r="K73" s="43">
        <f>K67-K72</f>
        <v/>
      </c>
      <c r="L73" s="43">
        <f>L67-L72</f>
        <v/>
      </c>
    </row>
    <row r="74">
      <c r="B74" s="36" t="inlineStr">
        <is>
          <t xml:space="preserve">   Net debt / EBITDA  (x)</t>
        </is>
      </c>
      <c r="G74" s="57">
        <f>IFERROR(G73/G50,"")</f>
        <v/>
      </c>
      <c r="H74" s="57">
        <f>IFERROR(H73/H50,"")</f>
        <v/>
      </c>
      <c r="I74" s="57">
        <f>IFERROR(I73/I50,"")</f>
        <v/>
      </c>
      <c r="J74" s="57">
        <f>IFERROR(J73/J50,"")</f>
        <v/>
      </c>
      <c r="K74" s="57">
        <f>IFERROR(K73/K50,"")</f>
        <v/>
      </c>
      <c r="L74" s="57">
        <f>IFERROR(L73/L50,"")</f>
        <v/>
      </c>
    </row>
    <row r="76">
      <c r="A76" s="4" t="n"/>
      <c r="B76" s="38" t="inlineStr">
        <is>
          <t>RETURNS — EXIT &amp; IRR</t>
        </is>
      </c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>
      <c r="B77" s="36" t="inlineStr">
        <is>
          <t>Hold period (years)</t>
        </is>
      </c>
      <c r="C77" s="58">
        <f>C28</f>
        <v/>
      </c>
    </row>
    <row r="78">
      <c r="B78" s="36" t="inlineStr">
        <is>
          <t>Exit-year EBITDA</t>
        </is>
      </c>
      <c r="C78" s="43">
        <f>INDEX($G50:$L50,1,$C$28+1)</f>
        <v/>
      </c>
    </row>
    <row r="79">
      <c r="B79" s="36" t="inlineStr">
        <is>
          <t>Exit EV / EBITDA multiple  (x)</t>
        </is>
      </c>
      <c r="C79" s="59">
        <f>C29</f>
        <v/>
      </c>
    </row>
    <row r="80">
      <c r="B80" s="36" t="inlineStr">
        <is>
          <t>Exit enterprise value</t>
        </is>
      </c>
      <c r="C80" s="43">
        <f>C78*C79</f>
        <v/>
      </c>
    </row>
    <row r="81">
      <c r="B81" s="36" t="inlineStr">
        <is>
          <t>(−) Net debt at exit</t>
        </is>
      </c>
      <c r="C81" s="43">
        <f>INDEX($G73:$L73,1,$C$28+1)</f>
        <v/>
      </c>
    </row>
    <row r="82">
      <c r="B82" s="32" t="inlineStr">
        <is>
          <t>Exit equity value</t>
        </is>
      </c>
      <c r="C82" s="51">
        <f>C80-C81</f>
        <v/>
      </c>
    </row>
    <row r="83">
      <c r="B83" s="36" t="inlineStr">
        <is>
          <t>Entry sponsor equity</t>
        </is>
      </c>
      <c r="C83" s="43">
        <f>C39</f>
        <v/>
      </c>
    </row>
    <row r="84">
      <c r="B84" s="32" t="inlineStr">
        <is>
          <t>MOIC  (x)</t>
        </is>
      </c>
      <c r="C84" s="60">
        <f>IFERROR(C82/C83,"")</f>
        <v/>
      </c>
    </row>
    <row r="85">
      <c r="B85" s="32" t="inlineStr">
        <is>
          <t>IRR  (equity, closed form)</t>
        </is>
      </c>
      <c r="C85" s="61">
        <f>IFERROR((C82/C83)^(1/C77)-1,"")</f>
        <v/>
      </c>
    </row>
    <row r="87">
      <c r="A87" s="40" t="n"/>
      <c r="B87" s="41" t="inlineStr">
        <is>
          <t>Equity cash flows (Year 0 → exit)   —   live =IRR()</t>
        </is>
      </c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</row>
    <row r="88">
      <c r="B88" s="36" t="inlineStr">
        <is>
          <t>Sponsor equity cash flow</t>
        </is>
      </c>
      <c r="G88" s="43">
        <f>-C39</f>
        <v/>
      </c>
      <c r="H88" s="43">
        <f>IF($C$28=1,$C$82,0)</f>
        <v/>
      </c>
      <c r="I88" s="43">
        <f>IF($C$28=2,$C$82,0)</f>
        <v/>
      </c>
      <c r="J88" s="43">
        <f>IF($C$28=3,$C$82,0)</f>
        <v/>
      </c>
      <c r="K88" s="43">
        <f>IF($C$28=4,$C$82,0)</f>
        <v/>
      </c>
      <c r="L88" s="43">
        <f>IF($C$28=5,$C$82,0)</f>
        <v/>
      </c>
    </row>
    <row r="89">
      <c r="B89" s="32" t="inlineStr">
        <is>
          <t>IRR  =IRR(equity cash flows)</t>
        </is>
      </c>
      <c r="C89" s="61">
        <f>IFERROR(IRR(G88:L88),"")</f>
        <v/>
      </c>
      <c r="D89" s="62" t="inlineStr">
        <is>
          <t>Matches the closed-form IRR above; add interim dividends to G88:L88 to extend.</t>
        </is>
      </c>
    </row>
    <row r="92">
      <c r="A92" s="4" t="n"/>
      <c r="B92" s="38" t="inlineStr">
        <is>
          <t>IRR SENSITIVITY — ENTRY (down) × EXIT (across) EV/EBITDA MULTIPLE</t>
        </is>
      </c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>
      <c r="B93" s="62" t="inlineStr">
        <is>
          <t>Holds the current operating scenario, leverage, interest and cash fixed; only the multiples vary. Live case is highlighted by your C11 / C29 inputs.</t>
        </is>
      </c>
    </row>
    <row r="94">
      <c r="C94" s="63" t="inlineStr">
        <is>
          <t>Entry ↓ / Exit →</t>
        </is>
      </c>
      <c r="D94" s="64" t="n">
        <v>5</v>
      </c>
      <c r="E94" s="64" t="n">
        <v>5.5</v>
      </c>
      <c r="F94" s="64" t="n">
        <v>6</v>
      </c>
      <c r="G94" s="64" t="n">
        <v>6.5</v>
      </c>
      <c r="H94" s="64" t="n">
        <v>7</v>
      </c>
    </row>
    <row r="95">
      <c r="C95" s="64" t="n">
        <v>5</v>
      </c>
      <c r="D95" s="65">
        <f>IFERROR(((D$94*$C$78-$C$81)/($C95*$C$9*(1+$C$20)+$C$19-$C$15))^(1/$C$28)-1,"")</f>
        <v/>
      </c>
      <c r="E95" s="65">
        <f>IFERROR(((E$94*$C$78-$C$81)/($C95*$C$9*(1+$C$20)+$C$19-$C$15))^(1/$C$28)-1,"")</f>
        <v/>
      </c>
      <c r="F95" s="65">
        <f>IFERROR(((F$94*$C$78-$C$81)/($C95*$C$9*(1+$C$20)+$C$19-$C$15))^(1/$C$28)-1,"")</f>
        <v/>
      </c>
      <c r="G95" s="65">
        <f>IFERROR(((G$94*$C$78-$C$81)/($C95*$C$9*(1+$C$20)+$C$19-$C$15))^(1/$C$28)-1,"")</f>
        <v/>
      </c>
      <c r="H95" s="65">
        <f>IFERROR(((H$94*$C$78-$C$81)/($C95*$C$9*(1+$C$20)+$C$19-$C$15))^(1/$C$28)-1,"")</f>
        <v/>
      </c>
    </row>
    <row r="96">
      <c r="C96" s="64" t="n">
        <v>5.5</v>
      </c>
      <c r="D96" s="65">
        <f>IFERROR(((D$94*$C$78-$C$81)/($C96*$C$9*(1+$C$20)+$C$19-$C$15))^(1/$C$28)-1,"")</f>
        <v/>
      </c>
      <c r="E96" s="65">
        <f>IFERROR(((E$94*$C$78-$C$81)/($C96*$C$9*(1+$C$20)+$C$19-$C$15))^(1/$C$28)-1,"")</f>
        <v/>
      </c>
      <c r="F96" s="65">
        <f>IFERROR(((F$94*$C$78-$C$81)/($C96*$C$9*(1+$C$20)+$C$19-$C$15))^(1/$C$28)-1,"")</f>
        <v/>
      </c>
      <c r="G96" s="65">
        <f>IFERROR(((G$94*$C$78-$C$81)/($C96*$C$9*(1+$C$20)+$C$19-$C$15))^(1/$C$28)-1,"")</f>
        <v/>
      </c>
      <c r="H96" s="65">
        <f>IFERROR(((H$94*$C$78-$C$81)/($C96*$C$9*(1+$C$20)+$C$19-$C$15))^(1/$C$28)-1,"")</f>
        <v/>
      </c>
    </row>
    <row r="97">
      <c r="C97" s="64" t="n">
        <v>6</v>
      </c>
      <c r="D97" s="65">
        <f>IFERROR(((D$94*$C$78-$C$81)/($C97*$C$9*(1+$C$20)+$C$19-$C$15))^(1/$C$28)-1,"")</f>
        <v/>
      </c>
      <c r="E97" s="65">
        <f>IFERROR(((E$94*$C$78-$C$81)/($C97*$C$9*(1+$C$20)+$C$19-$C$15))^(1/$C$28)-1,"")</f>
        <v/>
      </c>
      <c r="F97" s="65">
        <f>IFERROR(((F$94*$C$78-$C$81)/($C97*$C$9*(1+$C$20)+$C$19-$C$15))^(1/$C$28)-1,"")</f>
        <v/>
      </c>
      <c r="G97" s="65">
        <f>IFERROR(((G$94*$C$78-$C$81)/($C97*$C$9*(1+$C$20)+$C$19-$C$15))^(1/$C$28)-1,"")</f>
        <v/>
      </c>
      <c r="H97" s="65">
        <f>IFERROR(((H$94*$C$78-$C$81)/($C97*$C$9*(1+$C$20)+$C$19-$C$15))^(1/$C$28)-1,"")</f>
        <v/>
      </c>
    </row>
    <row r="98">
      <c r="C98" s="64" t="n">
        <v>6.5</v>
      </c>
      <c r="D98" s="65">
        <f>IFERROR(((D$94*$C$78-$C$81)/($C98*$C$9*(1+$C$20)+$C$19-$C$15))^(1/$C$28)-1,"")</f>
        <v/>
      </c>
      <c r="E98" s="65">
        <f>IFERROR(((E$94*$C$78-$C$81)/($C98*$C$9*(1+$C$20)+$C$19-$C$15))^(1/$C$28)-1,"")</f>
        <v/>
      </c>
      <c r="F98" s="65">
        <f>IFERROR(((F$94*$C$78-$C$81)/($C98*$C$9*(1+$C$20)+$C$19-$C$15))^(1/$C$28)-1,"")</f>
        <v/>
      </c>
      <c r="G98" s="65">
        <f>IFERROR(((G$94*$C$78-$C$81)/($C98*$C$9*(1+$C$20)+$C$19-$C$15))^(1/$C$28)-1,"")</f>
        <v/>
      </c>
      <c r="H98" s="65">
        <f>IFERROR(((H$94*$C$78-$C$81)/($C98*$C$9*(1+$C$20)+$C$19-$C$15))^(1/$C$28)-1,"")</f>
        <v/>
      </c>
    </row>
    <row r="99">
      <c r="C99" s="64" t="n">
        <v>7</v>
      </c>
      <c r="D99" s="65">
        <f>IFERROR(((D$94*$C$78-$C$81)/($C99*$C$9*(1+$C$20)+$C$19-$C$15))^(1/$C$28)-1,"")</f>
        <v/>
      </c>
      <c r="E99" s="65">
        <f>IFERROR(((E$94*$C$78-$C$81)/($C99*$C$9*(1+$C$20)+$C$19-$C$15))^(1/$C$28)-1,"")</f>
        <v/>
      </c>
      <c r="F99" s="65">
        <f>IFERROR(((F$94*$C$78-$C$81)/($C99*$C$9*(1+$C$20)+$C$19-$C$15))^(1/$C$28)-1,"")</f>
        <v/>
      </c>
      <c r="G99" s="65">
        <f>IFERROR(((G$94*$C$78-$C$81)/($C99*$C$9*(1+$C$20)+$C$19-$C$15))^(1/$C$28)-1,"")</f>
        <v/>
      </c>
      <c r="H99" s="65">
        <f>IFERROR(((H$94*$C$78-$C$81)/($C99*$C$9*(1+$C$20)+$C$19-$C$15))^(1/$C$28)-1,"")</f>
        <v/>
      </c>
    </row>
    <row r="102">
      <c r="A102" s="4" t="n"/>
      <c r="B102" s="38" t="inlineStr">
        <is>
          <t>MOIC SENSITIVITY — ENTRY (down) × EXIT (across) EV/EBITDA MULTIPLE</t>
        </is>
      </c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>
      <c r="C103" s="63" t="inlineStr">
        <is>
          <t>Entry ↓ / Exit →</t>
        </is>
      </c>
      <c r="D103" s="64" t="n">
        <v>5</v>
      </c>
      <c r="E103" s="64" t="n">
        <v>5.5</v>
      </c>
      <c r="F103" s="64" t="n">
        <v>6</v>
      </c>
      <c r="G103" s="64" t="n">
        <v>6.5</v>
      </c>
      <c r="H103" s="64" t="n">
        <v>7</v>
      </c>
    </row>
    <row r="104">
      <c r="C104" s="64" t="n">
        <v>5</v>
      </c>
      <c r="D104" s="66">
        <f>IFERROR((D$103*$C$78-$C$81)/($C104*$C$9*(1+$C$20)+$C$19-$C$15),"")</f>
        <v/>
      </c>
      <c r="E104" s="66">
        <f>IFERROR((E$103*$C$78-$C$81)/($C104*$C$9*(1+$C$20)+$C$19-$C$15),"")</f>
        <v/>
      </c>
      <c r="F104" s="66">
        <f>IFERROR((F$103*$C$78-$C$81)/($C104*$C$9*(1+$C$20)+$C$19-$C$15),"")</f>
        <v/>
      </c>
      <c r="G104" s="66">
        <f>IFERROR((G$103*$C$78-$C$81)/($C104*$C$9*(1+$C$20)+$C$19-$C$15),"")</f>
        <v/>
      </c>
      <c r="H104" s="66">
        <f>IFERROR((H$103*$C$78-$C$81)/($C104*$C$9*(1+$C$20)+$C$19-$C$15),"")</f>
        <v/>
      </c>
    </row>
    <row r="105">
      <c r="C105" s="64" t="n">
        <v>5.5</v>
      </c>
      <c r="D105" s="66">
        <f>IFERROR((D$103*$C$78-$C$81)/($C105*$C$9*(1+$C$20)+$C$19-$C$15),"")</f>
        <v/>
      </c>
      <c r="E105" s="66">
        <f>IFERROR((E$103*$C$78-$C$81)/($C105*$C$9*(1+$C$20)+$C$19-$C$15),"")</f>
        <v/>
      </c>
      <c r="F105" s="66">
        <f>IFERROR((F$103*$C$78-$C$81)/($C105*$C$9*(1+$C$20)+$C$19-$C$15),"")</f>
        <v/>
      </c>
      <c r="G105" s="66">
        <f>IFERROR((G$103*$C$78-$C$81)/($C105*$C$9*(1+$C$20)+$C$19-$C$15),"")</f>
        <v/>
      </c>
      <c r="H105" s="66">
        <f>IFERROR((H$103*$C$78-$C$81)/($C105*$C$9*(1+$C$20)+$C$19-$C$15),"")</f>
        <v/>
      </c>
    </row>
    <row r="106">
      <c r="C106" s="64" t="n">
        <v>6</v>
      </c>
      <c r="D106" s="66">
        <f>IFERROR((D$103*$C$78-$C$81)/($C106*$C$9*(1+$C$20)+$C$19-$C$15),"")</f>
        <v/>
      </c>
      <c r="E106" s="66">
        <f>IFERROR((E$103*$C$78-$C$81)/($C106*$C$9*(1+$C$20)+$C$19-$C$15),"")</f>
        <v/>
      </c>
      <c r="F106" s="66">
        <f>IFERROR((F$103*$C$78-$C$81)/($C106*$C$9*(1+$C$20)+$C$19-$C$15),"")</f>
        <v/>
      </c>
      <c r="G106" s="66">
        <f>IFERROR((G$103*$C$78-$C$81)/($C106*$C$9*(1+$C$20)+$C$19-$C$15),"")</f>
        <v/>
      </c>
      <c r="H106" s="66">
        <f>IFERROR((H$103*$C$78-$C$81)/($C106*$C$9*(1+$C$20)+$C$19-$C$15),"")</f>
        <v/>
      </c>
    </row>
    <row r="107">
      <c r="C107" s="64" t="n">
        <v>6.5</v>
      </c>
      <c r="D107" s="66">
        <f>IFERROR((D$103*$C$78-$C$81)/($C107*$C$9*(1+$C$20)+$C$19-$C$15),"")</f>
        <v/>
      </c>
      <c r="E107" s="66">
        <f>IFERROR((E$103*$C$78-$C$81)/($C107*$C$9*(1+$C$20)+$C$19-$C$15),"")</f>
        <v/>
      </c>
      <c r="F107" s="66">
        <f>IFERROR((F$103*$C$78-$C$81)/($C107*$C$9*(1+$C$20)+$C$19-$C$15),"")</f>
        <v/>
      </c>
      <c r="G107" s="66">
        <f>IFERROR((G$103*$C$78-$C$81)/($C107*$C$9*(1+$C$20)+$C$19-$C$15),"")</f>
        <v/>
      </c>
      <c r="H107" s="66">
        <f>IFERROR((H$103*$C$78-$C$81)/($C107*$C$9*(1+$C$20)+$C$19-$C$15),"")</f>
        <v/>
      </c>
    </row>
    <row r="108">
      <c r="C108" s="64" t="n">
        <v>7</v>
      </c>
      <c r="D108" s="66">
        <f>IFERROR((D$103*$C$78-$C$81)/($C108*$C$9*(1+$C$20)+$C$19-$C$15),"")</f>
        <v/>
      </c>
      <c r="E108" s="66">
        <f>IFERROR((E$103*$C$78-$C$81)/($C108*$C$9*(1+$C$20)+$C$19-$C$15),"")</f>
        <v/>
      </c>
      <c r="F108" s="66">
        <f>IFERROR((F$103*$C$78-$C$81)/($C108*$C$9*(1+$C$20)+$C$19-$C$15),"")</f>
        <v/>
      </c>
      <c r="G108" s="66">
        <f>IFERROR((G$103*$C$78-$C$81)/($C108*$C$9*(1+$C$20)+$C$19-$C$15),"")</f>
        <v/>
      </c>
      <c r="H108" s="66">
        <f>IFERROR((H$103*$C$78-$C$81)/($C108*$C$9*(1+$C$20)+$C$19-$C$15),"")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2026-07-14T16:39:54Z</dcterms:created>
  <dcterms:modified xsi:type="dcterms:W3CDTF">2026-07-14T16:39:54Z</dcterms:modified>
</cp:coreProperties>
</file>