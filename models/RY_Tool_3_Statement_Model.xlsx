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\-"/>
    <numFmt numFmtId="165" formatCode="0.0%;(0.0%);\-"/>
    <numFmt numFmtId="166" formatCode="0.00&quot;x&quot;;(0.00&quot;x&quot;);\-"/>
    <numFmt numFmtId="167" formatCode="0&quot; days&quot;;(0);\-"/>
  </numFmts>
  <fonts count="11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color rgb="FF595959"/>
      <sz val="10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color rgb="FF000000"/>
      <sz val="12"/>
    </font>
    <font>
      <name val="Calibri"/>
      <color rgb="FF0000FF"/>
      <sz val="12"/>
    </font>
    <font>
      <name val="Calibri"/>
      <color rgb="FF404040"/>
      <sz val="11"/>
    </font>
    <font>
      <name val="Calibri"/>
      <b val="1"/>
      <color rgb="FF000000"/>
      <sz val="12"/>
    </font>
    <font>
      <name val="Calibri"/>
      <color rgb="FF404040"/>
      <sz val="12"/>
    </font>
  </fonts>
  <fills count="5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52796F"/>
      </patternFill>
    </fill>
    <fill>
      <patternFill patternType="solid">
        <fgColor rgb="FFCAD2C5"/>
      </patternFill>
    </fill>
  </fills>
  <borders count="3">
    <border>
      <left/>
      <right/>
      <top/>
      <bottom/>
      <diagonal/>
    </border>
    <border>
      <top style="thin">
        <color rgb="FF000000"/>
      </top>
    </border>
    <border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6" fillId="0" borderId="0" pivotButton="0" quotePrefix="0" xfId="0"/>
    <xf numFmtId="164" fontId="7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4" fontId="6" fillId="0" borderId="0" applyAlignment="1" pivotButton="0" quotePrefix="0" xfId="0">
      <alignment horizontal="righ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0" pivotButton="0" quotePrefix="0" xfId="0"/>
    <xf numFmtId="165" fontId="6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164" fontId="9" fillId="4" borderId="1" applyAlignment="1" pivotButton="0" quotePrefix="0" xfId="0">
      <alignment horizontal="left" vertical="center"/>
    </xf>
    <xf numFmtId="164" fontId="9" fillId="4" borderId="1" applyAlignment="1" pivotButton="0" quotePrefix="0" xfId="0">
      <alignment horizontal="right" vertical="center"/>
    </xf>
    <xf numFmtId="164" fontId="9" fillId="4" borderId="2" applyAlignment="1" pivotButton="0" quotePrefix="0" xfId="0">
      <alignment horizontal="left" vertical="center"/>
    </xf>
    <xf numFmtId="164" fontId="9" fillId="4" borderId="2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14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4" customWidth="1" min="1" max="1"/>
    <col width="44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  <col width="58" customWidth="1" min="9" max="9"/>
  </cols>
  <sheetData>
    <row r="2">
      <c r="B2" s="1" t="inlineStr">
        <is>
          <t>R. &amp; Y. Tool and Die Co. Limited — Three-Statement Financial Model</t>
        </is>
      </c>
    </row>
    <row r="3" ht="13" customHeight="1">
      <c r="B3" s="2" t="inlineStr">
        <is>
          <t>Unaudited · extracted from Annual Compilation Financial Statements prepared by GD Barkwell Chartered Professional Accountant · Canadian dollars (whole $) · fiscal year ends December 31</t>
        </is>
      </c>
    </row>
    <row r="4" ht="13" customHeight="1">
      <c r="B4" s="2" t="inlineStr">
        <is>
          <t>Income Statement &amp; Balance Sheet are as reported. The Cash Flow Statement is IMPLIED — derived from the year-over-year change in every balance sheet account plus net income and non-cash amortization. FY2021 cash flow is not computable (no FY2020 balance sheet).</t>
        </is>
      </c>
    </row>
    <row r="6">
      <c r="A6" s="3" t="n"/>
      <c r="B6" s="4" t="inlineStr">
        <is>
          <t>(C$)</t>
        </is>
      </c>
      <c r="C6" s="5" t="inlineStr">
        <is>
          <t>FY2021</t>
        </is>
      </c>
      <c r="D6" s="5" t="inlineStr">
        <is>
          <t>FY2022</t>
        </is>
      </c>
      <c r="E6" s="5" t="inlineStr">
        <is>
          <t>FY2023</t>
        </is>
      </c>
      <c r="F6" s="5" t="inlineStr">
        <is>
          <t>FY2024</t>
        </is>
      </c>
      <c r="G6" s="5" t="inlineStr">
        <is>
          <t>FY2025</t>
        </is>
      </c>
      <c r="H6" s="6" t="inlineStr">
        <is>
          <t>'21–'25 CAGR</t>
        </is>
      </c>
      <c r="I6" s="7" t="inlineStr">
        <is>
          <t>Notes &amp; assumptions</t>
        </is>
      </c>
    </row>
    <row r="8" ht="18" customHeight="1">
      <c r="A8" s="8" t="n"/>
      <c r="B8" s="8" t="inlineStr">
        <is>
          <t>INCOME STATEMENT</t>
        </is>
      </c>
      <c r="C8" s="8" t="n"/>
      <c r="D8" s="8" t="n"/>
      <c r="E8" s="8" t="n"/>
      <c r="F8" s="8" t="n"/>
      <c r="G8" s="8" t="n"/>
      <c r="H8" s="8" t="n"/>
      <c r="I8" s="8" t="n"/>
    </row>
    <row r="9">
      <c r="B9" s="9" t="inlineStr">
        <is>
          <t>Revenue</t>
        </is>
      </c>
      <c r="C9" s="10" t="n">
        <v>1125192</v>
      </c>
      <c r="D9" s="10" t="n">
        <v>1129492</v>
      </c>
      <c r="E9" s="10" t="n">
        <v>1294937</v>
      </c>
      <c r="F9" s="10" t="n">
        <v>1481483</v>
      </c>
      <c r="G9" s="10" t="n">
        <v>1669107</v>
      </c>
      <c r="H9" s="11">
        <f>IFERROR((G9/C9)^(1/4)-1,"")</f>
        <v/>
      </c>
      <c r="I9" s="12" t="inlineStr">
        <is>
          <t>Reported net sales.</t>
        </is>
      </c>
    </row>
    <row r="10">
      <c r="B10" s="9" t="inlineStr">
        <is>
          <t>Cost of sales (schedule)</t>
        </is>
      </c>
      <c r="C10" s="13">
        <f>C68</f>
        <v/>
      </c>
      <c r="D10" s="13">
        <f>D68</f>
        <v/>
      </c>
      <c r="E10" s="13">
        <f>E68</f>
        <v/>
      </c>
      <c r="F10" s="13">
        <f>F68</f>
        <v/>
      </c>
      <c r="G10" s="13">
        <f>G68</f>
        <v/>
      </c>
      <c r="I10" s="12" t="inlineStr">
        <is>
          <t>Links to Cost of Sales schedule total below.</t>
        </is>
      </c>
    </row>
    <row r="11">
      <c r="B11" s="14" t="inlineStr">
        <is>
          <t>Gross margin</t>
        </is>
      </c>
      <c r="C11" s="15">
        <f>C9-C10</f>
        <v/>
      </c>
      <c r="D11" s="15">
        <f>D9-D10</f>
        <v/>
      </c>
      <c r="E11" s="15">
        <f>E9-E10</f>
        <v/>
      </c>
      <c r="F11" s="15">
        <f>F9-F10</f>
        <v/>
      </c>
      <c r="G11" s="15">
        <f>G9-G10</f>
        <v/>
      </c>
      <c r="H11" s="11">
        <f>IFERROR((G11/C11)^(1/4)-1,"")</f>
        <v/>
      </c>
    </row>
    <row r="12">
      <c r="B12" s="16" t="inlineStr">
        <is>
          <t xml:space="preserve">  Gross margin %</t>
        </is>
      </c>
      <c r="C12" s="17">
        <f>IFERROR(C11/C9,0)</f>
        <v/>
      </c>
      <c r="D12" s="17">
        <f>IFERROR(D11/D9,0)</f>
        <v/>
      </c>
      <c r="E12" s="17">
        <f>IFERROR(E11/E9,0)</f>
        <v/>
      </c>
      <c r="F12" s="17">
        <f>IFERROR(F11/F9,0)</f>
        <v/>
      </c>
      <c r="G12" s="17">
        <f>IFERROR(G11/G9,0)</f>
        <v/>
      </c>
    </row>
    <row r="13">
      <c r="B13" s="9" t="inlineStr">
        <is>
          <t>Other income</t>
        </is>
      </c>
      <c r="C13" s="10" t="n">
        <v>60379</v>
      </c>
      <c r="D13" s="10" t="n">
        <v>587</v>
      </c>
      <c r="E13" s="10" t="n">
        <v>477</v>
      </c>
      <c r="F13" s="10" t="n">
        <v>1956</v>
      </c>
      <c r="G13" s="10" t="n">
        <v>605</v>
      </c>
      <c r="I13" s="12" t="inlineStr">
        <is>
          <t>2021 includes $60,000 COVID grants.</t>
        </is>
      </c>
    </row>
    <row r="14">
      <c r="B14" s="14" t="inlineStr">
        <is>
          <t>Gross margin plus other income</t>
        </is>
      </c>
      <c r="C14" s="15">
        <f>C11+C13</f>
        <v/>
      </c>
      <c r="D14" s="15">
        <f>D11+D13</f>
        <v/>
      </c>
      <c r="E14" s="15">
        <f>E11+E13</f>
        <v/>
      </c>
      <c r="F14" s="15">
        <f>F11+F13</f>
        <v/>
      </c>
      <c r="G14" s="15">
        <f>G11+G13</f>
        <v/>
      </c>
    </row>
    <row r="16">
      <c r="A16" s="18" t="n"/>
      <c r="B16" s="18" t="inlineStr">
        <is>
          <t>General and administrative expenses</t>
        </is>
      </c>
      <c r="C16" s="18" t="n"/>
      <c r="D16" s="18" t="n"/>
      <c r="E16" s="18" t="n"/>
      <c r="F16" s="18" t="n"/>
      <c r="G16" s="18" t="n"/>
      <c r="H16" s="18" t="n"/>
      <c r="I16" s="18" t="n"/>
    </row>
    <row r="17">
      <c r="B17" s="9" t="inlineStr">
        <is>
          <t xml:space="preserve">  Management salaries and bonuses</t>
        </is>
      </c>
      <c r="C17" s="10" t="n">
        <v>160000</v>
      </c>
      <c r="D17" s="10" t="n">
        <v>204000</v>
      </c>
      <c r="E17" s="10" t="n">
        <v>195352</v>
      </c>
      <c r="F17" s="10" t="n">
        <v>166000</v>
      </c>
      <c r="G17" s="10" t="n">
        <v>186000</v>
      </c>
    </row>
    <row r="18">
      <c r="B18" s="9" t="inlineStr">
        <is>
          <t xml:space="preserve">  Bank charges and interest</t>
        </is>
      </c>
      <c r="C18" s="10" t="n">
        <v>1781</v>
      </c>
      <c r="D18" s="10" t="n">
        <v>1403</v>
      </c>
      <c r="E18" s="10" t="n">
        <v>2222</v>
      </c>
      <c r="F18" s="10" t="n">
        <v>1532</v>
      </c>
      <c r="G18" s="10" t="n">
        <v>8832</v>
      </c>
    </row>
    <row r="19">
      <c r="B19" s="9" t="inlineStr">
        <is>
          <t xml:space="preserve">  Amortization — office equipment</t>
        </is>
      </c>
      <c r="C19" s="10" t="n">
        <v>11240</v>
      </c>
      <c r="D19" s="10" t="n">
        <v>10505</v>
      </c>
      <c r="E19" s="10" t="n">
        <v>8563</v>
      </c>
      <c r="F19" s="10" t="n">
        <v>7845</v>
      </c>
      <c r="G19" s="10" t="n">
        <v>7176</v>
      </c>
      <c r="I19" s="12" t="inlineStr">
        <is>
          <t>Non-cash; added back in cash flow.</t>
        </is>
      </c>
    </row>
    <row r="20">
      <c r="B20" s="9" t="inlineStr">
        <is>
          <t xml:space="preserve">  Advertising, promotion and sponsorship</t>
        </is>
      </c>
      <c r="C20" s="10" t="n">
        <v>553</v>
      </c>
      <c r="D20" s="10" t="n">
        <v>1560</v>
      </c>
      <c r="E20" s="10" t="n">
        <v>929</v>
      </c>
      <c r="F20" s="10" t="n">
        <v>1400</v>
      </c>
      <c r="G20" s="10" t="n">
        <v>8035</v>
      </c>
    </row>
    <row r="21">
      <c r="B21" s="9" t="inlineStr">
        <is>
          <t xml:space="preserve">  Meals and entertainment</t>
        </is>
      </c>
      <c r="C21" s="10" t="n">
        <v>9714</v>
      </c>
      <c r="D21" s="10" t="n">
        <v>15156</v>
      </c>
      <c r="E21" s="10" t="n">
        <v>19809</v>
      </c>
      <c r="F21" s="10" t="n">
        <v>21560</v>
      </c>
      <c r="G21" s="10" t="n">
        <v>19662</v>
      </c>
    </row>
    <row r="22">
      <c r="B22" s="9" t="inlineStr">
        <is>
          <t xml:space="preserve">  Telecommunication</t>
        </is>
      </c>
      <c r="C22" s="10" t="n">
        <v>8407</v>
      </c>
      <c r="D22" s="10" t="n">
        <v>7686</v>
      </c>
      <c r="E22" s="10" t="n">
        <v>8182</v>
      </c>
      <c r="F22" s="10" t="n">
        <v>9193</v>
      </c>
      <c r="G22" s="10" t="n">
        <v>10163</v>
      </c>
    </row>
    <row r="23">
      <c r="B23" s="9" t="inlineStr">
        <is>
          <t xml:space="preserve">  Computer technology</t>
        </is>
      </c>
      <c r="C23" s="10" t="n">
        <v>21431</v>
      </c>
      <c r="D23" s="10" t="n">
        <v>31221</v>
      </c>
      <c r="E23" s="10" t="n">
        <v>18723</v>
      </c>
      <c r="F23" s="10" t="n">
        <v>11399</v>
      </c>
      <c r="G23" s="10" t="n">
        <v>14170</v>
      </c>
    </row>
    <row r="24">
      <c r="B24" s="9" t="inlineStr">
        <is>
          <t xml:space="preserve">  Office and miscellaneous</t>
        </is>
      </c>
      <c r="C24" s="10" t="n">
        <v>12767</v>
      </c>
      <c r="D24" s="10" t="n">
        <v>16609</v>
      </c>
      <c r="E24" s="10" t="n">
        <v>18360</v>
      </c>
      <c r="F24" s="10" t="n">
        <v>13520</v>
      </c>
      <c r="G24" s="10" t="n">
        <v>14490</v>
      </c>
    </row>
    <row r="25">
      <c r="B25" s="9" t="inlineStr">
        <is>
          <t xml:space="preserve">  Office equipment leases</t>
        </is>
      </c>
      <c r="C25" s="10" t="n">
        <v>684</v>
      </c>
      <c r="D25" s="10" t="n">
        <v>-210</v>
      </c>
      <c r="E25" s="10" t="n">
        <v>750</v>
      </c>
      <c r="F25" s="10" t="n">
        <v>547</v>
      </c>
      <c r="G25" s="10" t="n">
        <v>1519</v>
      </c>
    </row>
    <row r="26">
      <c r="B26" s="9" t="inlineStr">
        <is>
          <t xml:space="preserve">  Consulting fees</t>
        </is>
      </c>
      <c r="C26" s="10" t="n">
        <v>0</v>
      </c>
      <c r="D26" s="10" t="n">
        <v>0</v>
      </c>
      <c r="E26" s="10" t="n">
        <v>0</v>
      </c>
      <c r="F26" s="10" t="n">
        <v>31645</v>
      </c>
      <c r="G26" s="10" t="n">
        <v>37254</v>
      </c>
    </row>
    <row r="27">
      <c r="B27" s="9" t="inlineStr">
        <is>
          <t xml:space="preserve">  ISO Quality Management System certification</t>
        </is>
      </c>
      <c r="C27" s="10" t="n">
        <v>0</v>
      </c>
      <c r="D27" s="10" t="n">
        <v>0</v>
      </c>
      <c r="E27" s="10" t="n">
        <v>0</v>
      </c>
      <c r="F27" s="10" t="n">
        <v>4308</v>
      </c>
      <c r="G27" s="10" t="n">
        <v>5592</v>
      </c>
    </row>
    <row r="28">
      <c r="B28" s="9" t="inlineStr">
        <is>
          <t xml:space="preserve">  Accounting and bookkeeping fees</t>
        </is>
      </c>
      <c r="C28" s="10" t="n">
        <v>11697</v>
      </c>
      <c r="D28" s="10" t="n">
        <v>14792</v>
      </c>
      <c r="E28" s="10" t="n">
        <v>18060</v>
      </c>
      <c r="F28" s="10" t="n">
        <v>9252</v>
      </c>
      <c r="G28" s="10" t="n">
        <v>8963</v>
      </c>
    </row>
    <row r="29">
      <c r="B29" s="14" t="inlineStr">
        <is>
          <t>Total general and administrative expenses</t>
        </is>
      </c>
      <c r="C29" s="15">
        <f>SUM(C17:C28)</f>
        <v/>
      </c>
      <c r="D29" s="15">
        <f>SUM(D17:D28)</f>
        <v/>
      </c>
      <c r="E29" s="15">
        <f>SUM(E17:E28)</f>
        <v/>
      </c>
      <c r="F29" s="15">
        <f>SUM(F17:F28)</f>
        <v/>
      </c>
      <c r="G29" s="15">
        <f>SUM(G17:G28)</f>
        <v/>
      </c>
    </row>
    <row r="31">
      <c r="B31" s="19" t="inlineStr">
        <is>
          <t>Net income before income taxes</t>
        </is>
      </c>
      <c r="C31" s="20">
        <f>C14-C29</f>
        <v/>
      </c>
      <c r="D31" s="20">
        <f>D14-D29</f>
        <v/>
      </c>
      <c r="E31" s="20">
        <f>E14-E29</f>
        <v/>
      </c>
      <c r="F31" s="20">
        <f>F14-F29</f>
        <v/>
      </c>
      <c r="G31" s="20">
        <f>G14-G29</f>
        <v/>
      </c>
    </row>
    <row r="32">
      <c r="B32" s="9" t="inlineStr">
        <is>
          <t xml:space="preserve">  Income taxes — current</t>
        </is>
      </c>
      <c r="C32" s="10" t="n">
        <v>28643</v>
      </c>
      <c r="D32" s="10" t="n">
        <v>10179</v>
      </c>
      <c r="E32" s="10" t="n">
        <v>16792</v>
      </c>
      <c r="F32" s="10" t="n">
        <v>30672</v>
      </c>
      <c r="G32" s="10" t="n">
        <v>34327</v>
      </c>
    </row>
    <row r="33">
      <c r="B33" s="9" t="inlineStr">
        <is>
          <t xml:space="preserve">  Income taxes — deferred (recovery)</t>
        </is>
      </c>
      <c r="C33" s="10" t="n">
        <v>0</v>
      </c>
      <c r="D33" s="10" t="n">
        <v>-5949</v>
      </c>
      <c r="E33" s="10" t="n">
        <v>-5879</v>
      </c>
      <c r="F33" s="10" t="n">
        <v>-3362</v>
      </c>
      <c r="G33" s="10" t="n">
        <v>-849</v>
      </c>
      <c r="I33" s="12" t="inlineStr">
        <is>
          <t>Non-cash; equals the change in the future income tax liability.</t>
        </is>
      </c>
    </row>
    <row r="34">
      <c r="B34" s="14" t="inlineStr">
        <is>
          <t>Total income taxes</t>
        </is>
      </c>
      <c r="C34" s="15">
        <f>C32+C33</f>
        <v/>
      </c>
      <c r="D34" s="15">
        <f>D32+D33</f>
        <v/>
      </c>
      <c r="E34" s="15">
        <f>E32+E33</f>
        <v/>
      </c>
      <c r="F34" s="15">
        <f>F32+F33</f>
        <v/>
      </c>
      <c r="G34" s="15">
        <f>G32+G33</f>
        <v/>
      </c>
    </row>
    <row r="35">
      <c r="B35" s="16" t="inlineStr">
        <is>
          <t xml:space="preserve">  Effective tax rate</t>
        </is>
      </c>
      <c r="C35" s="17">
        <f>IFERROR(C34/C31,0)</f>
        <v/>
      </c>
      <c r="D35" s="17">
        <f>IFERROR(D34/D31,0)</f>
        <v/>
      </c>
      <c r="E35" s="17">
        <f>IFERROR(E34/E31,0)</f>
        <v/>
      </c>
      <c r="F35" s="17">
        <f>IFERROR(F34/F31,0)</f>
        <v/>
      </c>
      <c r="G35" s="17">
        <f>IFERROR(G34/G31,0)</f>
        <v/>
      </c>
    </row>
    <row r="36">
      <c r="B36" s="19" t="inlineStr">
        <is>
          <t>Net income for the year</t>
        </is>
      </c>
      <c r="C36" s="20">
        <f>C31-C34</f>
        <v/>
      </c>
      <c r="D36" s="20">
        <f>D31-D34</f>
        <v/>
      </c>
      <c r="E36" s="20">
        <f>E31-E34</f>
        <v/>
      </c>
      <c r="F36" s="20">
        <f>F31-F34</f>
        <v/>
      </c>
      <c r="G36" s="20">
        <f>G31-G34</f>
        <v/>
      </c>
      <c r="H36" s="11">
        <f>IFERROR((G36/C36)^(1/4)-1,"")</f>
        <v/>
      </c>
    </row>
    <row r="38">
      <c r="A38" s="18" t="n"/>
      <c r="B38" s="18" t="inlineStr">
        <is>
          <t>Retained earnings reconciliation</t>
        </is>
      </c>
      <c r="C38" s="18" t="n"/>
      <c r="D38" s="18" t="n"/>
      <c r="E38" s="18" t="n"/>
      <c r="F38" s="18" t="n"/>
      <c r="G38" s="18" t="n"/>
      <c r="H38" s="18" t="n"/>
      <c r="I38" s="18" t="n"/>
    </row>
    <row r="39">
      <c r="B39" s="9" t="inlineStr">
        <is>
          <t xml:space="preserve">  Retained earnings, beginning of year</t>
        </is>
      </c>
      <c r="C39" s="10" t="n">
        <v>670703</v>
      </c>
      <c r="D39" s="13">
        <f>C42</f>
        <v/>
      </c>
      <c r="E39" s="13">
        <f>D42</f>
        <v/>
      </c>
      <c r="F39" s="13">
        <f>E42</f>
        <v/>
      </c>
      <c r="G39" s="13">
        <f>F42</f>
        <v/>
      </c>
    </row>
    <row r="40">
      <c r="B40" s="9" t="inlineStr">
        <is>
          <t xml:space="preserve">  Net income for the year</t>
        </is>
      </c>
      <c r="C40" s="13">
        <f>C36</f>
        <v/>
      </c>
      <c r="D40" s="13">
        <f>D36</f>
        <v/>
      </c>
      <c r="E40" s="13">
        <f>E36</f>
        <v/>
      </c>
      <c r="F40" s="13">
        <f>F36</f>
        <v/>
      </c>
      <c r="G40" s="13">
        <f>G36</f>
        <v/>
      </c>
    </row>
    <row r="41">
      <c r="B41" s="9" t="inlineStr">
        <is>
          <t xml:space="preserve">  Dividends</t>
        </is>
      </c>
      <c r="C41" s="10" t="n">
        <v>0</v>
      </c>
      <c r="D41" s="10" t="n">
        <v>0</v>
      </c>
      <c r="E41" s="10" t="n">
        <v>170000</v>
      </c>
      <c r="F41" s="10" t="n">
        <v>0</v>
      </c>
      <c r="G41" s="10" t="n">
        <v>0</v>
      </c>
    </row>
    <row r="42">
      <c r="B42" s="14" t="inlineStr">
        <is>
          <t>Retained earnings, end of year</t>
        </is>
      </c>
      <c r="C42" s="15">
        <f>C39+C40-C41</f>
        <v/>
      </c>
      <c r="D42" s="15">
        <f>D39+D40-D41</f>
        <v/>
      </c>
      <c r="E42" s="15">
        <f>E39+E40-E41</f>
        <v/>
      </c>
      <c r="F42" s="15">
        <f>F39+F40-F41</f>
        <v/>
      </c>
      <c r="G42" s="15">
        <f>G39+G40-G41</f>
        <v/>
      </c>
    </row>
    <row r="44">
      <c r="A44" s="18" t="n"/>
      <c r="B44" s="18" t="inlineStr">
        <is>
          <t>Growth &amp; margins</t>
        </is>
      </c>
      <c r="C44" s="18" t="n"/>
      <c r="D44" s="18" t="n"/>
      <c r="E44" s="18" t="n"/>
      <c r="F44" s="18" t="n"/>
      <c r="G44" s="18" t="n"/>
      <c r="H44" s="18" t="n"/>
      <c r="I44" s="18" t="n"/>
    </row>
    <row r="45">
      <c r="B45" s="16" t="inlineStr">
        <is>
          <t xml:space="preserve">  Revenue y/y %</t>
        </is>
      </c>
      <c r="C45" s="17">
        <f>IFERROR(C9/C9-1,"")</f>
        <v/>
      </c>
      <c r="D45" s="17">
        <f>IFERROR(D9/C9-1,"")</f>
        <v/>
      </c>
      <c r="E45" s="17">
        <f>IFERROR(E9/D9-1,"")</f>
        <v/>
      </c>
      <c r="F45" s="17">
        <f>IFERROR(F9/E9-1,"")</f>
        <v/>
      </c>
      <c r="G45" s="17">
        <f>IFERROR(G9/F9-1,"")</f>
        <v/>
      </c>
    </row>
    <row r="46">
      <c r="B46" s="16" t="inlineStr">
        <is>
          <t xml:space="preserve">  Gross margin y/y %</t>
        </is>
      </c>
      <c r="C46" s="17">
        <f>IFERROR(C11/C11-1,"")</f>
        <v/>
      </c>
      <c r="D46" s="17">
        <f>IFERROR(D11/C11-1,"")</f>
        <v/>
      </c>
      <c r="E46" s="17">
        <f>IFERROR(E11/D11-1,"")</f>
        <v/>
      </c>
      <c r="F46" s="17">
        <f>IFERROR(F11/E11-1,"")</f>
        <v/>
      </c>
      <c r="G46" s="17">
        <f>IFERROR(G11/F11-1,"")</f>
        <v/>
      </c>
    </row>
    <row r="47">
      <c r="B47" s="16" t="inlineStr">
        <is>
          <t xml:space="preserve">  Net income y/y %</t>
        </is>
      </c>
      <c r="C47" s="17">
        <f>IFERROR(C36/C36-1,"")</f>
        <v/>
      </c>
      <c r="D47" s="17">
        <f>IFERROR(D36/C36-1,"")</f>
        <v/>
      </c>
      <c r="E47" s="17">
        <f>IFERROR(E36/D36-1,"")</f>
        <v/>
      </c>
      <c r="F47" s="17">
        <f>IFERROR(F36/E36-1,"")</f>
        <v/>
      </c>
      <c r="G47" s="17">
        <f>IFERROR(G36/F36-1,"")</f>
        <v/>
      </c>
    </row>
    <row r="48">
      <c r="B48" s="16" t="inlineStr">
        <is>
          <t xml:space="preserve">  G&amp;A % of revenue</t>
        </is>
      </c>
      <c r="C48" s="17">
        <f>IFERROR(C29/C9,0)</f>
        <v/>
      </c>
      <c r="D48" s="17">
        <f>IFERROR(D29/D9,0)</f>
        <v/>
      </c>
      <c r="E48" s="17">
        <f>IFERROR(E29/E9,0)</f>
        <v/>
      </c>
      <c r="F48" s="17">
        <f>IFERROR(F29/F9,0)</f>
        <v/>
      </c>
      <c r="G48" s="17">
        <f>IFERROR(G29/G9,0)</f>
        <v/>
      </c>
    </row>
    <row r="49">
      <c r="B49" s="16" t="inlineStr">
        <is>
          <t xml:space="preserve">  Net income margin %</t>
        </is>
      </c>
      <c r="C49" s="17">
        <f>IFERROR(C36/C9,0)</f>
        <v/>
      </c>
      <c r="D49" s="17">
        <f>IFERROR(D36/D9,0)</f>
        <v/>
      </c>
      <c r="E49" s="17">
        <f>IFERROR(E36/E9,0)</f>
        <v/>
      </c>
      <c r="F49" s="17">
        <f>IFERROR(F36/F9,0)</f>
        <v/>
      </c>
      <c r="G49" s="17">
        <f>IFERROR(G36/G9,0)</f>
        <v/>
      </c>
    </row>
    <row r="51" ht="18" customHeight="1">
      <c r="A51" s="8" t="n"/>
      <c r="B51" s="8" t="inlineStr">
        <is>
          <t>COST OF SALES SCHEDULE</t>
        </is>
      </c>
      <c r="C51" s="8" t="n"/>
      <c r="D51" s="8" t="n"/>
      <c r="E51" s="8" t="n"/>
      <c r="F51" s="8" t="n"/>
      <c r="G51" s="8" t="n"/>
      <c r="H51" s="8" t="n"/>
      <c r="I51" s="8" t="n"/>
    </row>
    <row r="52">
      <c r="A52" s="18" t="n"/>
      <c r="B52" s="18" t="inlineStr">
        <is>
          <t>Direct costs</t>
        </is>
      </c>
      <c r="C52" s="18" t="n"/>
      <c r="D52" s="18" t="n"/>
      <c r="E52" s="18" t="n"/>
      <c r="F52" s="18" t="n"/>
      <c r="G52" s="18" t="n"/>
      <c r="H52" s="18" t="n"/>
      <c r="I52" s="18" t="n"/>
    </row>
    <row r="53">
      <c r="B53" s="9" t="inlineStr">
        <is>
          <t xml:space="preserve">  Direct wages</t>
        </is>
      </c>
      <c r="C53" s="10" t="n">
        <v>155912</v>
      </c>
      <c r="D53" s="10" t="n">
        <v>207400</v>
      </c>
      <c r="E53" s="10" t="n">
        <v>124776</v>
      </c>
      <c r="F53" s="10" t="n">
        <v>246407</v>
      </c>
      <c r="G53" s="10" t="n">
        <v>331037</v>
      </c>
    </row>
    <row r="54">
      <c r="B54" s="9" t="inlineStr">
        <is>
          <t xml:space="preserve">  Materials, supplies and miscellaneous</t>
        </is>
      </c>
      <c r="C54" s="10" t="n">
        <v>196164</v>
      </c>
      <c r="D54" s="10" t="n">
        <v>234466</v>
      </c>
      <c r="E54" s="10" t="n">
        <v>423028</v>
      </c>
      <c r="F54" s="10" t="n">
        <v>320248</v>
      </c>
      <c r="G54" s="10" t="n">
        <v>233181</v>
      </c>
    </row>
    <row r="55">
      <c r="B55" s="9" t="inlineStr">
        <is>
          <t xml:space="preserve">  Subcontracts</t>
        </is>
      </c>
      <c r="C55" s="10" t="n">
        <v>123993</v>
      </c>
      <c r="D55" s="10" t="n">
        <v>124289</v>
      </c>
      <c r="E55" s="10" t="n">
        <v>156114</v>
      </c>
      <c r="F55" s="10" t="n">
        <v>208375</v>
      </c>
      <c r="G55" s="10" t="n">
        <v>242821</v>
      </c>
    </row>
    <row r="56">
      <c r="B56" s="14" t="inlineStr">
        <is>
          <t>Total direct costs</t>
        </is>
      </c>
      <c r="C56" s="15">
        <f>SUM(C53:C55)</f>
        <v/>
      </c>
      <c r="D56" s="15">
        <f>SUM(D53:D55)</f>
        <v/>
      </c>
      <c r="E56" s="15">
        <f>SUM(E53:E55)</f>
        <v/>
      </c>
      <c r="F56" s="15">
        <f>SUM(F53:F55)</f>
        <v/>
      </c>
      <c r="G56" s="15">
        <f>SUM(G53:G55)</f>
        <v/>
      </c>
    </row>
    <row r="57">
      <c r="A57" s="18" t="n"/>
      <c r="B57" s="18" t="inlineStr">
        <is>
          <t>Indirect costs</t>
        </is>
      </c>
      <c r="C57" s="18" t="n"/>
      <c r="D57" s="18" t="n"/>
      <c r="E57" s="18" t="n"/>
      <c r="F57" s="18" t="n"/>
      <c r="G57" s="18" t="n"/>
      <c r="H57" s="18" t="n"/>
      <c r="I57" s="18" t="n"/>
    </row>
    <row r="58">
      <c r="B58" s="9" t="inlineStr">
        <is>
          <t xml:space="preserve">  Employee group benefits</t>
        </is>
      </c>
      <c r="C58" s="10" t="n">
        <v>6052</v>
      </c>
      <c r="D58" s="10" t="n">
        <v>5039</v>
      </c>
      <c r="E58" s="10" t="n">
        <v>9316</v>
      </c>
      <c r="F58" s="10" t="n">
        <v>7971</v>
      </c>
      <c r="G58" s="10" t="n">
        <v>18149</v>
      </c>
    </row>
    <row r="59">
      <c r="B59" s="9" t="inlineStr">
        <is>
          <t xml:space="preserve">  WSIB</t>
        </is>
      </c>
      <c r="C59" s="10" t="n">
        <v>1840</v>
      </c>
      <c r="D59" s="10" t="n">
        <v>1078</v>
      </c>
      <c r="E59" s="10" t="n">
        <v>3724</v>
      </c>
      <c r="F59" s="10" t="n">
        <v>2996</v>
      </c>
      <c r="G59" s="10" t="n">
        <v>-47</v>
      </c>
    </row>
    <row r="60">
      <c r="B60" s="9" t="inlineStr">
        <is>
          <t xml:space="preserve">  Insurance and property tax</t>
        </is>
      </c>
      <c r="C60" s="10" t="n">
        <v>28591</v>
      </c>
      <c r="D60" s="10" t="n">
        <v>33771</v>
      </c>
      <c r="E60" s="10" t="n">
        <v>29558</v>
      </c>
      <c r="F60" s="10" t="n">
        <v>33572</v>
      </c>
      <c r="G60" s="10" t="n">
        <v>29258</v>
      </c>
    </row>
    <row r="61">
      <c r="B61" s="9" t="inlineStr">
        <is>
          <t xml:space="preserve">  Utilities</t>
        </is>
      </c>
      <c r="C61" s="10" t="n">
        <v>21844</v>
      </c>
      <c r="D61" s="10" t="n">
        <v>24879</v>
      </c>
      <c r="E61" s="10" t="n">
        <v>25382</v>
      </c>
      <c r="F61" s="10" t="n">
        <v>25785</v>
      </c>
      <c r="G61" s="10" t="n">
        <v>25115</v>
      </c>
    </row>
    <row r="62">
      <c r="B62" s="9" t="inlineStr">
        <is>
          <t xml:space="preserve">  Repairs and maintenance — equipment</t>
        </is>
      </c>
      <c r="C62" s="10" t="n">
        <v>29368</v>
      </c>
      <c r="D62" s="10" t="n">
        <v>47451</v>
      </c>
      <c r="E62" s="10" t="n">
        <v>39527</v>
      </c>
      <c r="F62" s="10" t="n">
        <v>13007</v>
      </c>
      <c r="G62" s="10" t="n">
        <v>21655</v>
      </c>
    </row>
    <row r="63">
      <c r="B63" s="9" t="inlineStr">
        <is>
          <t xml:space="preserve">  Repairs and maintenance — buildings</t>
        </is>
      </c>
      <c r="C63" s="10" t="n">
        <v>35600</v>
      </c>
      <c r="D63" s="10" t="n">
        <v>22714</v>
      </c>
      <c r="E63" s="10" t="n">
        <v>34750</v>
      </c>
      <c r="F63" s="10" t="n">
        <v>50649</v>
      </c>
      <c r="G63" s="10" t="n">
        <v>141141</v>
      </c>
    </row>
    <row r="64">
      <c r="B64" s="9" t="inlineStr">
        <is>
          <t xml:space="preserve">  Freight and duty</t>
        </is>
      </c>
      <c r="C64" s="10" t="n">
        <v>23583</v>
      </c>
      <c r="D64" s="10" t="n">
        <v>14673</v>
      </c>
      <c r="E64" s="10" t="n">
        <v>18134</v>
      </c>
      <c r="F64" s="10" t="n">
        <v>23910</v>
      </c>
      <c r="G64" s="10" t="n">
        <v>22757</v>
      </c>
    </row>
    <row r="65">
      <c r="B65" s="9" t="inlineStr">
        <is>
          <t xml:space="preserve">  Truck and travel</t>
        </is>
      </c>
      <c r="C65" s="10" t="n">
        <v>4307</v>
      </c>
      <c r="D65" s="10" t="n">
        <v>10175</v>
      </c>
      <c r="E65" s="10" t="n">
        <v>7805</v>
      </c>
      <c r="F65" s="10" t="n">
        <v>11969</v>
      </c>
      <c r="G65" s="10" t="n">
        <v>11486</v>
      </c>
    </row>
    <row r="66">
      <c r="B66" s="9" t="inlineStr">
        <is>
          <t xml:space="preserve">  Amortization — building and shop equipment</t>
        </is>
      </c>
      <c r="C66" s="10" t="n">
        <v>89055</v>
      </c>
      <c r="D66" s="10" t="n">
        <v>74522</v>
      </c>
      <c r="E66" s="10" t="n">
        <v>53208</v>
      </c>
      <c r="F66" s="10" t="n">
        <v>45953</v>
      </c>
      <c r="G66" s="10" t="n">
        <v>42284</v>
      </c>
      <c r="I66" s="12" t="inlineStr">
        <is>
          <t>Non-cash; added back in cash flow.</t>
        </is>
      </c>
    </row>
    <row r="67">
      <c r="B67" s="14" t="inlineStr">
        <is>
          <t>Total indirect costs</t>
        </is>
      </c>
      <c r="C67" s="15">
        <f>SUM(C58:C66)</f>
        <v/>
      </c>
      <c r="D67" s="15">
        <f>SUM(D58:D66)</f>
        <v/>
      </c>
      <c r="E67" s="15">
        <f>SUM(E58:E66)</f>
        <v/>
      </c>
      <c r="F67" s="15">
        <f>SUM(F58:F66)</f>
        <v/>
      </c>
      <c r="G67" s="15">
        <f>SUM(G58:G66)</f>
        <v/>
      </c>
    </row>
    <row r="68">
      <c r="B68" s="19" t="inlineStr">
        <is>
          <t>Total cost of sales</t>
        </is>
      </c>
      <c r="C68" s="20">
        <f>C56+C67</f>
        <v/>
      </c>
      <c r="D68" s="20">
        <f>D56+D67</f>
        <v/>
      </c>
      <c r="E68" s="20">
        <f>E56+E67</f>
        <v/>
      </c>
      <c r="F68" s="20">
        <f>F56+F67</f>
        <v/>
      </c>
      <c r="G68" s="20">
        <f>G56+G67</f>
        <v/>
      </c>
    </row>
    <row r="70" ht="18" customHeight="1">
      <c r="A70" s="8" t="n"/>
      <c r="B70" s="8" t="inlineStr">
        <is>
          <t>BALANCE SHEET</t>
        </is>
      </c>
      <c r="C70" s="8" t="n"/>
      <c r="D70" s="8" t="n"/>
      <c r="E70" s="8" t="n"/>
      <c r="F70" s="8" t="n"/>
      <c r="G70" s="8" t="n"/>
      <c r="H70" s="8" t="n"/>
      <c r="I70" s="8" t="n"/>
    </row>
    <row r="71">
      <c r="A71" s="18" t="n"/>
      <c r="B71" s="18" t="inlineStr">
        <is>
          <t>Assets — current</t>
        </is>
      </c>
      <c r="C71" s="18" t="n"/>
      <c r="D71" s="18" t="n"/>
      <c r="E71" s="18" t="n"/>
      <c r="F71" s="18" t="n"/>
      <c r="G71" s="18" t="n"/>
      <c r="H71" s="18" t="n"/>
      <c r="I71" s="18" t="n"/>
    </row>
    <row r="72">
      <c r="B72" s="9" t="inlineStr">
        <is>
          <t xml:space="preserve">  Cash in bank</t>
        </is>
      </c>
      <c r="C72" s="10" t="n">
        <v>301695</v>
      </c>
      <c r="D72" s="10" t="n">
        <v>331894</v>
      </c>
      <c r="E72" s="10" t="n">
        <v>323927</v>
      </c>
      <c r="F72" s="10" t="n">
        <v>451664</v>
      </c>
      <c r="G72" s="10" t="n">
        <v>700989</v>
      </c>
    </row>
    <row r="73">
      <c r="B73" s="9" t="inlineStr">
        <is>
          <t xml:space="preserve">  Accounts receivable</t>
        </is>
      </c>
      <c r="C73" s="10" t="n">
        <v>174456</v>
      </c>
      <c r="D73" s="10" t="n">
        <v>102521</v>
      </c>
      <c r="E73" s="10" t="n">
        <v>172686</v>
      </c>
      <c r="F73" s="10" t="n">
        <v>283263</v>
      </c>
      <c r="G73" s="10" t="n">
        <v>249660</v>
      </c>
    </row>
    <row r="74">
      <c r="B74" s="9" t="inlineStr">
        <is>
          <t xml:space="preserve">  Government sales tax recoverable</t>
        </is>
      </c>
      <c r="C74" s="10" t="n">
        <v>10746</v>
      </c>
      <c r="D74" s="10" t="n">
        <v>8957</v>
      </c>
      <c r="E74" s="10" t="n">
        <v>11269</v>
      </c>
      <c r="F74" s="10" t="n">
        <v>4041</v>
      </c>
      <c r="G74" s="10" t="n">
        <v>10200</v>
      </c>
    </row>
    <row r="75">
      <c r="B75" s="9" t="inlineStr">
        <is>
          <t xml:space="preserve">  Due from director</t>
        </is>
      </c>
      <c r="C75" s="10" t="n">
        <v>121461</v>
      </c>
      <c r="D75" s="10" t="n">
        <v>243508</v>
      </c>
      <c r="E75" s="10" t="n">
        <v>0</v>
      </c>
      <c r="F75" s="10" t="n">
        <v>0</v>
      </c>
      <c r="G75" s="10" t="n">
        <v>6193</v>
      </c>
    </row>
    <row r="76">
      <c r="B76" s="9" t="inlineStr">
        <is>
          <t xml:space="preserve">  Due from KEL Tooling, non-interest bearing</t>
        </is>
      </c>
      <c r="C76" s="10" t="n">
        <v>0</v>
      </c>
      <c r="D76" s="10" t="n">
        <v>0</v>
      </c>
      <c r="E76" s="10" t="n">
        <v>23308</v>
      </c>
      <c r="F76" s="10" t="n">
        <v>16108</v>
      </c>
      <c r="G76" s="10" t="n">
        <v>8908</v>
      </c>
    </row>
    <row r="77">
      <c r="B77" s="14" t="inlineStr">
        <is>
          <t>Total current assets</t>
        </is>
      </c>
      <c r="C77" s="15">
        <f>SUM(C72:C76)</f>
        <v/>
      </c>
      <c r="D77" s="15">
        <f>SUM(D72:D76)</f>
        <v/>
      </c>
      <c r="E77" s="15">
        <f>SUM(E72:E76)</f>
        <v/>
      </c>
      <c r="F77" s="15">
        <f>SUM(F72:F76)</f>
        <v/>
      </c>
      <c r="G77" s="15">
        <f>SUM(G72:G76)</f>
        <v/>
      </c>
    </row>
    <row r="78">
      <c r="B78" s="9" t="inlineStr">
        <is>
          <t>Due from Related Group of Companies</t>
        </is>
      </c>
      <c r="C78" s="10" t="n">
        <v>24277</v>
      </c>
      <c r="D78" s="10" t="n">
        <v>24277</v>
      </c>
      <c r="E78" s="10" t="n">
        <v>12780</v>
      </c>
      <c r="F78" s="10" t="n">
        <v>16132</v>
      </c>
      <c r="G78" s="10" t="n">
        <v>18139</v>
      </c>
    </row>
    <row r="79">
      <c r="B79" s="9" t="inlineStr">
        <is>
          <t>Land, buildings and equipment, net</t>
        </is>
      </c>
      <c r="C79" s="10" t="n">
        <v>570987</v>
      </c>
      <c r="D79" s="10" t="n">
        <v>513774</v>
      </c>
      <c r="E79" s="10" t="n">
        <v>441755</v>
      </c>
      <c r="F79" s="10" t="n">
        <v>403824</v>
      </c>
      <c r="G79" s="10" t="n">
        <v>502314</v>
      </c>
      <c r="I79" s="12" t="inlineStr">
        <is>
          <t>Net of accumulated amortization.</t>
        </is>
      </c>
    </row>
    <row r="80">
      <c r="B80" s="21" t="inlineStr">
        <is>
          <t>TOTAL ASSETS</t>
        </is>
      </c>
      <c r="C80" s="22">
        <f>C77+C78+C79</f>
        <v/>
      </c>
      <c r="D80" s="22">
        <f>D77+D78+D79</f>
        <v/>
      </c>
      <c r="E80" s="22">
        <f>E77+E78+E79</f>
        <v/>
      </c>
      <c r="F80" s="22">
        <f>F77+F78+F79</f>
        <v/>
      </c>
      <c r="G80" s="22">
        <f>G77+G78+G79</f>
        <v/>
      </c>
    </row>
    <row r="82">
      <c r="A82" s="18" t="n"/>
      <c r="B82" s="18" t="inlineStr">
        <is>
          <t>Liabilities — current</t>
        </is>
      </c>
      <c r="C82" s="18" t="n"/>
      <c r="D82" s="18" t="n"/>
      <c r="E82" s="18" t="n"/>
      <c r="F82" s="18" t="n"/>
      <c r="G82" s="18" t="n"/>
      <c r="H82" s="18" t="n"/>
      <c r="I82" s="18" t="n"/>
    </row>
    <row r="83">
      <c r="B83" s="9" t="inlineStr">
        <is>
          <t xml:space="preserve">  Bank loan</t>
        </is>
      </c>
      <c r="C83" s="10" t="n">
        <v>25000</v>
      </c>
      <c r="D83" s="10" t="n">
        <v>11500</v>
      </c>
      <c r="E83" s="10" t="n">
        <v>0</v>
      </c>
      <c r="F83" s="10" t="n">
        <v>0</v>
      </c>
      <c r="G83" s="10" t="n">
        <v>155242</v>
      </c>
    </row>
    <row r="84">
      <c r="B84" s="9" t="inlineStr">
        <is>
          <t xml:space="preserve">  Accounts payable and accrued liabilities</t>
        </is>
      </c>
      <c r="C84" s="10" t="n">
        <v>246579</v>
      </c>
      <c r="D84" s="10" t="n">
        <v>269806</v>
      </c>
      <c r="E84" s="10" t="n">
        <v>157001</v>
      </c>
      <c r="F84" s="10" t="n">
        <v>148733</v>
      </c>
      <c r="G84" s="10" t="n">
        <v>152022</v>
      </c>
    </row>
    <row r="85">
      <c r="B85" s="9" t="inlineStr">
        <is>
          <t xml:space="preserve">  Payroll deductions payable</t>
        </is>
      </c>
      <c r="C85" s="10" t="n">
        <v>2687</v>
      </c>
      <c r="D85" s="10" t="n">
        <v>26638</v>
      </c>
      <c r="E85" s="10" t="n">
        <v>6158</v>
      </c>
      <c r="F85" s="10" t="n">
        <v>6157</v>
      </c>
      <c r="G85" s="10" t="n">
        <v>10936</v>
      </c>
    </row>
    <row r="86">
      <c r="B86" s="9" t="inlineStr">
        <is>
          <t xml:space="preserve">  Income tax payable</t>
        </is>
      </c>
      <c r="C86" s="10" t="n">
        <v>37030</v>
      </c>
      <c r="D86" s="10" t="n">
        <v>10179</v>
      </c>
      <c r="E86" s="10" t="n">
        <v>16792</v>
      </c>
      <c r="F86" s="10" t="n">
        <v>30644</v>
      </c>
      <c r="G86" s="10" t="n">
        <v>629</v>
      </c>
    </row>
    <row r="87">
      <c r="B87" s="9" t="inlineStr">
        <is>
          <t xml:space="preserve">  Due to KEL Tooling, non-interest bearing</t>
        </is>
      </c>
      <c r="C87" s="10" t="n">
        <v>2239</v>
      </c>
      <c r="D87" s="10" t="n">
        <v>0</v>
      </c>
      <c r="E87" s="10" t="n">
        <v>0</v>
      </c>
      <c r="F87" s="10" t="n">
        <v>0</v>
      </c>
      <c r="G87" s="10" t="n">
        <v>0</v>
      </c>
    </row>
    <row r="88">
      <c r="B88" s="9" t="inlineStr">
        <is>
          <t xml:space="preserve">  Due to director</t>
        </is>
      </c>
      <c r="C88" s="10" t="n">
        <v>0</v>
      </c>
      <c r="D88" s="10" t="n">
        <v>0</v>
      </c>
      <c r="E88" s="10" t="n">
        <v>6616</v>
      </c>
      <c r="F88" s="10" t="n">
        <v>6616</v>
      </c>
      <c r="G88" s="10" t="n">
        <v>0</v>
      </c>
    </row>
    <row r="89">
      <c r="B89" s="14" t="inlineStr">
        <is>
          <t>Total current liabilities</t>
        </is>
      </c>
      <c r="C89" s="15">
        <f>SUM(C83:C88)</f>
        <v/>
      </c>
      <c r="D89" s="15">
        <f>SUM(D83:D88)</f>
        <v/>
      </c>
      <c r="E89" s="15">
        <f>SUM(E83:E88)</f>
        <v/>
      </c>
      <c r="F89" s="15">
        <f>SUM(F83:F88)</f>
        <v/>
      </c>
      <c r="G89" s="15">
        <f>SUM(G83:G88)</f>
        <v/>
      </c>
    </row>
    <row r="90">
      <c r="B90" s="9" t="inlineStr">
        <is>
          <t>Future income tax liability</t>
        </is>
      </c>
      <c r="C90" s="10" t="n">
        <v>16039</v>
      </c>
      <c r="D90" s="10" t="n">
        <v>10090</v>
      </c>
      <c r="E90" s="10" t="n">
        <v>4211</v>
      </c>
      <c r="F90" s="10" t="n">
        <v>849</v>
      </c>
      <c r="G90" s="10" t="n">
        <v>0</v>
      </c>
    </row>
    <row r="91">
      <c r="B91" s="14" t="inlineStr">
        <is>
          <t>Total liabilities</t>
        </is>
      </c>
      <c r="C91" s="15">
        <f>C89+C90</f>
        <v/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</row>
    <row r="92">
      <c r="A92" s="18" t="n"/>
      <c r="B92" s="18" t="inlineStr">
        <is>
          <t>Shareholders' equity</t>
        </is>
      </c>
      <c r="C92" s="18" t="n"/>
      <c r="D92" s="18" t="n"/>
      <c r="E92" s="18" t="n"/>
      <c r="F92" s="18" t="n"/>
      <c r="G92" s="18" t="n"/>
      <c r="H92" s="18" t="n"/>
      <c r="I92" s="18" t="n"/>
    </row>
    <row r="93">
      <c r="B93" s="9" t="inlineStr">
        <is>
          <t xml:space="preserve">  Share capital</t>
        </is>
      </c>
      <c r="C93" s="10" t="n">
        <v>1000</v>
      </c>
      <c r="D93" s="10" t="n">
        <v>1000</v>
      </c>
      <c r="E93" s="10" t="n">
        <v>1000</v>
      </c>
      <c r="F93" s="10" t="n">
        <v>1000</v>
      </c>
      <c r="G93" s="10" t="n">
        <v>1000</v>
      </c>
    </row>
    <row r="94">
      <c r="B94" s="9" t="inlineStr">
        <is>
          <t xml:space="preserve">  Retained earnings</t>
        </is>
      </c>
      <c r="C94" s="13">
        <f>C42</f>
        <v/>
      </c>
      <c r="D94" s="13">
        <f>D42</f>
        <v/>
      </c>
      <c r="E94" s="13">
        <f>E42</f>
        <v/>
      </c>
      <c r="F94" s="13">
        <f>F42</f>
        <v/>
      </c>
      <c r="G94" s="13">
        <f>G42</f>
        <v/>
      </c>
      <c r="I94" s="12" t="inlineStr">
        <is>
          <t>Links to retained earnings, end of year (Income Statement).</t>
        </is>
      </c>
    </row>
    <row r="95">
      <c r="B95" s="14" t="inlineStr">
        <is>
          <t>Total shareholders' equity</t>
        </is>
      </c>
      <c r="C95" s="15">
        <f>C93+C94</f>
        <v/>
      </c>
      <c r="D95" s="15">
        <f>D93+D94</f>
        <v/>
      </c>
      <c r="E95" s="15">
        <f>E93+E94</f>
        <v/>
      </c>
      <c r="F95" s="15">
        <f>F93+F94</f>
        <v/>
      </c>
      <c r="G95" s="15">
        <f>G93+G94</f>
        <v/>
      </c>
    </row>
    <row r="96">
      <c r="B96" s="21" t="inlineStr">
        <is>
          <t>TOTAL LIABILITIES AND EQUITY</t>
        </is>
      </c>
      <c r="C96" s="22">
        <f>C91+C95</f>
        <v/>
      </c>
      <c r="D96" s="22">
        <f>D91+D95</f>
        <v/>
      </c>
      <c r="E96" s="22">
        <f>E91+E95</f>
        <v/>
      </c>
      <c r="F96" s="22">
        <f>F91+F95</f>
        <v/>
      </c>
      <c r="G96" s="22">
        <f>G91+G95</f>
        <v/>
      </c>
    </row>
    <row r="97">
      <c r="B97" s="9" t="inlineStr">
        <is>
          <t>Balance check (Total assets − Total liabilities &amp; equity)</t>
        </is>
      </c>
      <c r="C97" s="13">
        <f>C80-C96</f>
        <v/>
      </c>
      <c r="D97" s="13">
        <f>D80-D96</f>
        <v/>
      </c>
      <c r="E97" s="13">
        <f>E80-E96</f>
        <v/>
      </c>
      <c r="F97" s="13">
        <f>F80-F96</f>
        <v/>
      </c>
      <c r="G97" s="13">
        <f>G80-G96</f>
        <v/>
      </c>
    </row>
    <row r="99" ht="18" customHeight="1">
      <c r="A99" s="8" t="n"/>
      <c r="B99" s="8" t="inlineStr">
        <is>
          <t>CASH FLOW STATEMENT (implied from balance sheet &amp; income statement)</t>
        </is>
      </c>
      <c r="C99" s="8" t="n"/>
      <c r="D99" s="8" t="n"/>
      <c r="E99" s="8" t="n"/>
      <c r="F99" s="8" t="n"/>
      <c r="G99" s="8" t="n"/>
      <c r="H99" s="8" t="n"/>
      <c r="I99" s="8" t="n"/>
    </row>
    <row r="100">
      <c r="A100" s="18" t="n"/>
      <c r="B100" s="18" t="inlineStr">
        <is>
          <t>Operating activities</t>
        </is>
      </c>
      <c r="C100" s="18" t="n"/>
      <c r="D100" s="18" t="n"/>
      <c r="E100" s="18" t="n"/>
      <c r="F100" s="18" t="n"/>
      <c r="G100" s="18" t="n"/>
      <c r="H100" s="18" t="n"/>
      <c r="I100" s="18" t="n"/>
    </row>
    <row r="101">
      <c r="B101" s="9" t="inlineStr">
        <is>
          <t xml:space="preserve">  Net income for the year</t>
        </is>
      </c>
      <c r="C101" s="13" t="n"/>
      <c r="D101" s="13">
        <f>D36</f>
        <v/>
      </c>
      <c r="E101" s="13">
        <f>E36</f>
        <v/>
      </c>
      <c r="F101" s="13">
        <f>F36</f>
        <v/>
      </c>
      <c r="G101" s="13">
        <f>G36</f>
        <v/>
      </c>
    </row>
    <row r="102">
      <c r="B102" s="9" t="inlineStr">
        <is>
          <t xml:space="preserve">  Add: amortization — office equipment</t>
        </is>
      </c>
      <c r="C102" s="13" t="n"/>
      <c r="D102" s="13">
        <f>D19</f>
        <v/>
      </c>
      <c r="E102" s="13">
        <f>E19</f>
        <v/>
      </c>
      <c r="F102" s="13">
        <f>F19</f>
        <v/>
      </c>
      <c r="G102" s="13">
        <f>G19</f>
        <v/>
      </c>
    </row>
    <row r="103">
      <c r="B103" s="9" t="inlineStr">
        <is>
          <t xml:space="preserve">  Add: amortization — building and shop equipment</t>
        </is>
      </c>
      <c r="C103" s="13" t="n"/>
      <c r="D103" s="13">
        <f>D66</f>
        <v/>
      </c>
      <c r="E103" s="13">
        <f>E66</f>
        <v/>
      </c>
      <c r="F103" s="13">
        <f>F66</f>
        <v/>
      </c>
      <c r="G103" s="13">
        <f>G66</f>
        <v/>
      </c>
    </row>
    <row r="104">
      <c r="B104" s="9" t="inlineStr">
        <is>
          <t xml:space="preserve">  Increase / (decrease) in future income tax liability</t>
        </is>
      </c>
      <c r="C104" s="13" t="n"/>
      <c r="D104" s="13">
        <f>D90-C90</f>
        <v/>
      </c>
      <c r="E104" s="13">
        <f>E90-D90</f>
        <v/>
      </c>
      <c r="F104" s="13">
        <f>F90-E90</f>
        <v/>
      </c>
      <c r="G104" s="13">
        <f>G90-F90</f>
        <v/>
      </c>
    </row>
    <row r="105">
      <c r="B105" s="9" t="inlineStr">
        <is>
          <t xml:space="preserve">  (Increase) / decrease in accounts receivable</t>
        </is>
      </c>
      <c r="C105" s="13" t="n"/>
      <c r="D105" s="13">
        <f>-(D73-C73)</f>
        <v/>
      </c>
      <c r="E105" s="13">
        <f>-(E73-D73)</f>
        <v/>
      </c>
      <c r="F105" s="13">
        <f>-(F73-E73)</f>
        <v/>
      </c>
      <c r="G105" s="13">
        <f>-(G73-F73)</f>
        <v/>
      </c>
    </row>
    <row r="106">
      <c r="B106" s="9" t="inlineStr">
        <is>
          <t xml:space="preserve">  (Increase) / decrease in government sales tax recoverable</t>
        </is>
      </c>
      <c r="C106" s="13" t="n"/>
      <c r="D106" s="13">
        <f>-(D74-C74)</f>
        <v/>
      </c>
      <c r="E106" s="13">
        <f>-(E74-D74)</f>
        <v/>
      </c>
      <c r="F106" s="13">
        <f>-(F74-E74)</f>
        <v/>
      </c>
      <c r="G106" s="13">
        <f>-(G74-F74)</f>
        <v/>
      </c>
    </row>
    <row r="107">
      <c r="B107" s="9" t="inlineStr">
        <is>
          <t xml:space="preserve">  Increase / (decrease) in accounts payable and accrued liabilities</t>
        </is>
      </c>
      <c r="C107" s="13" t="n"/>
      <c r="D107" s="13">
        <f>D84-C84</f>
        <v/>
      </c>
      <c r="E107" s="13">
        <f>E84-D84</f>
        <v/>
      </c>
      <c r="F107" s="13">
        <f>F84-E84</f>
        <v/>
      </c>
      <c r="G107" s="13">
        <f>G84-F84</f>
        <v/>
      </c>
    </row>
    <row r="108">
      <c r="B108" s="9" t="inlineStr">
        <is>
          <t xml:space="preserve">  Increase / (decrease) in payroll deductions payable</t>
        </is>
      </c>
      <c r="C108" s="13" t="n"/>
      <c r="D108" s="13">
        <f>D85-C85</f>
        <v/>
      </c>
      <c r="E108" s="13">
        <f>E85-D85</f>
        <v/>
      </c>
      <c r="F108" s="13">
        <f>F85-E85</f>
        <v/>
      </c>
      <c r="G108" s="13">
        <f>G85-F85</f>
        <v/>
      </c>
    </row>
    <row r="109">
      <c r="B109" s="9" t="inlineStr">
        <is>
          <t xml:space="preserve">  Increase / (decrease) in income tax payable</t>
        </is>
      </c>
      <c r="C109" s="13" t="n"/>
      <c r="D109" s="13">
        <f>D86-C86</f>
        <v/>
      </c>
      <c r="E109" s="13">
        <f>E86-D86</f>
        <v/>
      </c>
      <c r="F109" s="13">
        <f>F86-E86</f>
        <v/>
      </c>
      <c r="G109" s="13">
        <f>G86-F86</f>
        <v/>
      </c>
    </row>
    <row r="110">
      <c r="B110" s="14" t="inlineStr">
        <is>
          <t>Net cash from operating activities</t>
        </is>
      </c>
      <c r="C110" s="15" t="n"/>
      <c r="D110" s="15">
        <f>SUM(D101:D109)</f>
        <v/>
      </c>
      <c r="E110" s="15">
        <f>SUM(E101:E109)</f>
        <v/>
      </c>
      <c r="F110" s="15">
        <f>SUM(F101:F109)</f>
        <v/>
      </c>
      <c r="G110" s="15">
        <f>SUM(G101:G109)</f>
        <v/>
      </c>
    </row>
    <row r="111">
      <c r="A111" s="18" t="n"/>
      <c r="B111" s="18" t="inlineStr">
        <is>
          <t>Investing activities</t>
        </is>
      </c>
      <c r="C111" s="18" t="n"/>
      <c r="D111" s="18" t="n"/>
      <c r="E111" s="18" t="n"/>
      <c r="F111" s="18" t="n"/>
      <c r="G111" s="18" t="n"/>
      <c r="H111" s="18" t="n"/>
      <c r="I111" s="18" t="n"/>
    </row>
    <row r="112">
      <c r="B112" s="9" t="inlineStr">
        <is>
          <t xml:space="preserve">  Purchase of land, buildings and equipment (implied)</t>
        </is>
      </c>
      <c r="C112" s="13" t="n"/>
      <c r="D112" s="13">
        <f>-((D79-C79)+D19+D66)</f>
        <v/>
      </c>
      <c r="E112" s="13">
        <f>-((E79-D79)+E19+E66)</f>
        <v/>
      </c>
      <c r="F112" s="13">
        <f>-((F79-E79)+F19+F66)</f>
        <v/>
      </c>
      <c r="G112" s="13">
        <f>-((G79-F79)+G19+G66)</f>
        <v/>
      </c>
      <c r="I112" s="12" t="inlineStr">
        <is>
          <t>Implied capex = Δ net PP&amp;E + total amortization (office + building/shop).</t>
        </is>
      </c>
    </row>
    <row r="113">
      <c r="B113" s="9" t="inlineStr">
        <is>
          <t xml:space="preserve">  (Increase) / decrease in due from Related Group of Companies</t>
        </is>
      </c>
      <c r="C113" s="13" t="n"/>
      <c r="D113" s="13">
        <f>-(D78-C78)</f>
        <v/>
      </c>
      <c r="E113" s="13">
        <f>-(E78-D78)</f>
        <v/>
      </c>
      <c r="F113" s="13">
        <f>-(F78-E78)</f>
        <v/>
      </c>
      <c r="G113" s="13">
        <f>-(G78-F78)</f>
        <v/>
      </c>
    </row>
    <row r="114">
      <c r="B114" s="9" t="inlineStr">
        <is>
          <t xml:space="preserve">  (Increase) / decrease in due from director</t>
        </is>
      </c>
      <c r="C114" s="13" t="n"/>
      <c r="D114" s="13">
        <f>-(D75-C75)</f>
        <v/>
      </c>
      <c r="E114" s="13">
        <f>-(E75-D75)</f>
        <v/>
      </c>
      <c r="F114" s="13">
        <f>-(F75-E75)</f>
        <v/>
      </c>
      <c r="G114" s="13">
        <f>-(G75-F75)</f>
        <v/>
      </c>
    </row>
    <row r="115">
      <c r="B115" s="9" t="inlineStr">
        <is>
          <t xml:space="preserve">  (Increase) / decrease in due from KEL Tooling</t>
        </is>
      </c>
      <c r="C115" s="13" t="n"/>
      <c r="D115" s="13">
        <f>-(D76-C76)</f>
        <v/>
      </c>
      <c r="E115" s="13">
        <f>-(E76-D76)</f>
        <v/>
      </c>
      <c r="F115" s="13">
        <f>-(F76-E76)</f>
        <v/>
      </c>
      <c r="G115" s="13">
        <f>-(G76-F76)</f>
        <v/>
      </c>
    </row>
    <row r="116">
      <c r="B116" s="14" t="inlineStr">
        <is>
          <t>Net cash from investing activities</t>
        </is>
      </c>
      <c r="C116" s="15" t="n"/>
      <c r="D116" s="15">
        <f>SUM(D112:D115)</f>
        <v/>
      </c>
      <c r="E116" s="15">
        <f>SUM(E112:E115)</f>
        <v/>
      </c>
      <c r="F116" s="15">
        <f>SUM(F112:F115)</f>
        <v/>
      </c>
      <c r="G116" s="15">
        <f>SUM(G112:G115)</f>
        <v/>
      </c>
    </row>
    <row r="117">
      <c r="A117" s="18" t="n"/>
      <c r="B117" s="18" t="inlineStr">
        <is>
          <t>Financing activities</t>
        </is>
      </c>
      <c r="C117" s="18" t="n"/>
      <c r="D117" s="18" t="n"/>
      <c r="E117" s="18" t="n"/>
      <c r="F117" s="18" t="n"/>
      <c r="G117" s="18" t="n"/>
      <c r="H117" s="18" t="n"/>
      <c r="I117" s="18" t="n"/>
    </row>
    <row r="118">
      <c r="B118" s="9" t="inlineStr">
        <is>
          <t xml:space="preserve">  Increase / (decrease) in bank loan</t>
        </is>
      </c>
      <c r="C118" s="13" t="n"/>
      <c r="D118" s="13">
        <f>D83-C83</f>
        <v/>
      </c>
      <c r="E118" s="13">
        <f>E83-D83</f>
        <v/>
      </c>
      <c r="F118" s="13">
        <f>F83-E83</f>
        <v/>
      </c>
      <c r="G118" s="13">
        <f>G83-F83</f>
        <v/>
      </c>
    </row>
    <row r="119">
      <c r="B119" s="9" t="inlineStr">
        <is>
          <t xml:space="preserve">  Increase / (decrease) in due to director</t>
        </is>
      </c>
      <c r="C119" s="13" t="n"/>
      <c r="D119" s="13">
        <f>D88-C88</f>
        <v/>
      </c>
      <c r="E119" s="13">
        <f>E88-D88</f>
        <v/>
      </c>
      <c r="F119" s="13">
        <f>F88-E88</f>
        <v/>
      </c>
      <c r="G119" s="13">
        <f>G88-F88</f>
        <v/>
      </c>
    </row>
    <row r="120">
      <c r="B120" s="9" t="inlineStr">
        <is>
          <t xml:space="preserve">  Increase / (decrease) in due to KEL Tooling</t>
        </is>
      </c>
      <c r="C120" s="13" t="n"/>
      <c r="D120" s="13">
        <f>D87-C87</f>
        <v/>
      </c>
      <c r="E120" s="13">
        <f>E87-D87</f>
        <v/>
      </c>
      <c r="F120" s="13">
        <f>F87-E87</f>
        <v/>
      </c>
      <c r="G120" s="13">
        <f>G87-F87</f>
        <v/>
      </c>
    </row>
    <row r="121">
      <c r="B121" s="9" t="inlineStr">
        <is>
          <t xml:space="preserve">  Dividends paid</t>
        </is>
      </c>
      <c r="C121" s="13" t="n"/>
      <c r="D121" s="13">
        <f>-D41</f>
        <v/>
      </c>
      <c r="E121" s="13">
        <f>-E41</f>
        <v/>
      </c>
      <c r="F121" s="13">
        <f>-F41</f>
        <v/>
      </c>
      <c r="G121" s="13">
        <f>-G41</f>
        <v/>
      </c>
    </row>
    <row r="122">
      <c r="B122" s="9" t="inlineStr">
        <is>
          <t xml:space="preserve">  Issuance of share capital</t>
        </is>
      </c>
      <c r="C122" s="13" t="n"/>
      <c r="D122" s="13">
        <f>D93-C93</f>
        <v/>
      </c>
      <c r="E122" s="13">
        <f>E93-D93</f>
        <v/>
      </c>
      <c r="F122" s="13">
        <f>F93-E93</f>
        <v/>
      </c>
      <c r="G122" s="13">
        <f>G93-F93</f>
        <v/>
      </c>
    </row>
    <row r="123">
      <c r="B123" s="14" t="inlineStr">
        <is>
          <t>Net cash from financing activities</t>
        </is>
      </c>
      <c r="C123" s="15" t="n"/>
      <c r="D123" s="15">
        <f>SUM(D118:D122)</f>
        <v/>
      </c>
      <c r="E123" s="15">
        <f>SUM(E118:E122)</f>
        <v/>
      </c>
      <c r="F123" s="15">
        <f>SUM(F118:F122)</f>
        <v/>
      </c>
      <c r="G123" s="15">
        <f>SUM(G118:G122)</f>
        <v/>
      </c>
    </row>
    <row r="124">
      <c r="B124" s="19" t="inlineStr">
        <is>
          <t>Net change in cash</t>
        </is>
      </c>
      <c r="C124" s="20">
        <f>C110+C116+C123</f>
        <v/>
      </c>
      <c r="D124" s="20">
        <f>D110+D116+D123</f>
        <v/>
      </c>
      <c r="E124" s="20">
        <f>E110+E116+E123</f>
        <v/>
      </c>
      <c r="F124" s="20">
        <f>F110+F116+F123</f>
        <v/>
      </c>
      <c r="G124" s="20">
        <f>G110+G116+G123</f>
        <v/>
      </c>
    </row>
    <row r="125">
      <c r="B125" s="9" t="inlineStr">
        <is>
          <t>Cash, beginning of year</t>
        </is>
      </c>
      <c r="C125" s="13" t="n"/>
      <c r="D125" s="13">
        <f>C72</f>
        <v/>
      </c>
      <c r="E125" s="13">
        <f>D72</f>
        <v/>
      </c>
      <c r="F125" s="13">
        <f>E72</f>
        <v/>
      </c>
      <c r="G125" s="13">
        <f>F72</f>
        <v/>
      </c>
    </row>
    <row r="126">
      <c r="B126" s="14" t="inlineStr">
        <is>
          <t>Cash, end of year</t>
        </is>
      </c>
      <c r="C126" s="15" t="n"/>
      <c r="D126" s="15">
        <f>D125+D124</f>
        <v/>
      </c>
      <c r="E126" s="15">
        <f>E125+E124</f>
        <v/>
      </c>
      <c r="F126" s="15">
        <f>F125+F124</f>
        <v/>
      </c>
      <c r="G126" s="15">
        <f>G125+G124</f>
        <v/>
      </c>
    </row>
    <row r="127">
      <c r="B127" s="9" t="inlineStr">
        <is>
          <t>Tie-out check (implied ending cash − balance sheet cash)</t>
        </is>
      </c>
      <c r="C127" s="13">
        <f>C126-C72</f>
        <v/>
      </c>
      <c r="D127" s="13">
        <f>D126-D72</f>
        <v/>
      </c>
      <c r="E127" s="13">
        <f>E126-E72</f>
        <v/>
      </c>
      <c r="F127" s="13">
        <f>F126-F72</f>
        <v/>
      </c>
      <c r="G127" s="13">
        <f>G126-G72</f>
        <v/>
      </c>
    </row>
    <row r="129" ht="18" customHeight="1">
      <c r="A129" s="8" t="n"/>
      <c r="B129" s="8" t="inlineStr">
        <is>
          <t>RATIO ANALYSIS &amp; FREE CASH FLOW</t>
        </is>
      </c>
      <c r="C129" s="8" t="n"/>
      <c r="D129" s="8" t="n"/>
      <c r="E129" s="8" t="n"/>
      <c r="F129" s="8" t="n"/>
      <c r="G129" s="8" t="n"/>
      <c r="H129" s="8" t="n"/>
      <c r="I129" s="8" t="n"/>
    </row>
    <row r="130">
      <c r="A130" s="18" t="n"/>
      <c r="B130" s="18" t="inlineStr">
        <is>
          <t>Cash generation</t>
        </is>
      </c>
      <c r="C130" s="18" t="n"/>
      <c r="D130" s="18" t="n"/>
      <c r="E130" s="18" t="n"/>
      <c r="F130" s="18" t="n"/>
      <c r="G130" s="18" t="n"/>
      <c r="H130" s="18" t="n"/>
      <c r="I130" s="18" t="n"/>
    </row>
    <row r="131">
      <c r="B131" s="9" t="inlineStr">
        <is>
          <t xml:space="preserve">  Free cash flow (CFO − capex)</t>
        </is>
      </c>
      <c r="C131" s="13">
        <f>C110+C112</f>
        <v/>
      </c>
      <c r="D131" s="13">
        <f>D110+D112</f>
        <v/>
      </c>
      <c r="E131" s="13">
        <f>E110+E112</f>
        <v/>
      </c>
      <c r="F131" s="13">
        <f>F110+F112</f>
        <v/>
      </c>
      <c r="G131" s="13">
        <f>G110+G112</f>
        <v/>
      </c>
    </row>
    <row r="132">
      <c r="B132" s="16" t="inlineStr">
        <is>
          <t xml:space="preserve">  FCF conversion (FCF / net income)</t>
        </is>
      </c>
      <c r="C132" s="23" t="n"/>
      <c r="D132" s="23">
        <f>IFERROR((D110+D112)/D36,"")</f>
        <v/>
      </c>
      <c r="E132" s="23">
        <f>IFERROR((E110+E112)/E36,"")</f>
        <v/>
      </c>
      <c r="F132" s="23">
        <f>IFERROR((F110+F112)/F36,"")</f>
        <v/>
      </c>
      <c r="G132" s="23">
        <f>IFERROR((G110+G112)/G36,"")</f>
        <v/>
      </c>
    </row>
    <row r="133">
      <c r="B133" s="16" t="inlineStr">
        <is>
          <t xml:space="preserve">  Capex % of revenue</t>
        </is>
      </c>
      <c r="C133" s="17" t="n"/>
      <c r="D133" s="17">
        <f>IFERROR(-D112/D9,"")</f>
        <v/>
      </c>
      <c r="E133" s="17">
        <f>IFERROR(-E112/E9,"")</f>
        <v/>
      </c>
      <c r="F133" s="17">
        <f>IFERROR(-F112/F9,"")</f>
        <v/>
      </c>
      <c r="G133" s="17">
        <f>IFERROR(-G112/G9,"")</f>
        <v/>
      </c>
    </row>
    <row r="134">
      <c r="A134" s="18" t="n"/>
      <c r="B134" s="18" t="inlineStr">
        <is>
          <t>Profitability &amp; returns (on ending balances)</t>
        </is>
      </c>
      <c r="C134" s="18" t="n"/>
      <c r="D134" s="18" t="n"/>
      <c r="E134" s="18" t="n"/>
      <c r="F134" s="18" t="n"/>
      <c r="G134" s="18" t="n"/>
      <c r="H134" s="18" t="n"/>
      <c r="I134" s="18" t="n"/>
    </row>
    <row r="135">
      <c r="B135" s="16" t="inlineStr">
        <is>
          <t xml:space="preserve">  Gross margin %</t>
        </is>
      </c>
      <c r="C135" s="17">
        <f>IFERROR(C11/C9,0)</f>
        <v/>
      </c>
      <c r="D135" s="17">
        <f>IFERROR(D11/D9,0)</f>
        <v/>
      </c>
      <c r="E135" s="17">
        <f>IFERROR(E11/E9,0)</f>
        <v/>
      </c>
      <c r="F135" s="17">
        <f>IFERROR(F11/F9,0)</f>
        <v/>
      </c>
      <c r="G135" s="17">
        <f>IFERROR(G11/G9,0)</f>
        <v/>
      </c>
    </row>
    <row r="136">
      <c r="B136" s="9" t="inlineStr">
        <is>
          <t xml:space="preserve">  EBIT (NIBT + bank charges &amp; interest)</t>
        </is>
      </c>
      <c r="C136" s="13">
        <f>C31+C18</f>
        <v/>
      </c>
      <c r="D136" s="13">
        <f>D31+D18</f>
        <v/>
      </c>
      <c r="E136" s="13">
        <f>E31+E18</f>
        <v/>
      </c>
      <c r="F136" s="13">
        <f>F31+F18</f>
        <v/>
      </c>
      <c r="G136" s="13">
        <f>G31+G18</f>
        <v/>
      </c>
      <c r="I136" s="12" t="inlineStr">
        <is>
          <t>Interest is bundled in bank charges &amp; interest.</t>
        </is>
      </c>
    </row>
    <row r="137">
      <c r="B137" s="16" t="inlineStr">
        <is>
          <t xml:space="preserve">  Operating margin (EBIT %)</t>
        </is>
      </c>
      <c r="C137" s="17">
        <f>IFERROR((C31+C18)/C9,0)</f>
        <v/>
      </c>
      <c r="D137" s="17">
        <f>IFERROR((D31+D18)/D9,0)</f>
        <v/>
      </c>
      <c r="E137" s="17">
        <f>IFERROR((E31+E18)/E9,0)</f>
        <v/>
      </c>
      <c r="F137" s="17">
        <f>IFERROR((F31+F18)/F9,0)</f>
        <v/>
      </c>
      <c r="G137" s="17">
        <f>IFERROR((G31+G18)/G9,0)</f>
        <v/>
      </c>
    </row>
    <row r="138">
      <c r="B138" s="16" t="inlineStr">
        <is>
          <t xml:space="preserve">  Return on assets (NI / total assets)</t>
        </is>
      </c>
      <c r="C138" s="17">
        <f>IFERROR(C36/C80,0)</f>
        <v/>
      </c>
      <c r="D138" s="17">
        <f>IFERROR(D36/D80,0)</f>
        <v/>
      </c>
      <c r="E138" s="17">
        <f>IFERROR(E36/E80,0)</f>
        <v/>
      </c>
      <c r="F138" s="17">
        <f>IFERROR(F36/F80,0)</f>
        <v/>
      </c>
      <c r="G138" s="17">
        <f>IFERROR(G36/G80,0)</f>
        <v/>
      </c>
    </row>
    <row r="139">
      <c r="B139" s="16" t="inlineStr">
        <is>
          <t xml:space="preserve">  Return on equity (NI / total equity)</t>
        </is>
      </c>
      <c r="C139" s="17">
        <f>IFERROR(C36/C95,0)</f>
        <v/>
      </c>
      <c r="D139" s="17">
        <f>IFERROR(D36/D95,0)</f>
        <v/>
      </c>
      <c r="E139" s="17">
        <f>IFERROR(E36/E95,0)</f>
        <v/>
      </c>
      <c r="F139" s="17">
        <f>IFERROR(F36/F95,0)</f>
        <v/>
      </c>
      <c r="G139" s="17">
        <f>IFERROR(G36/G95,0)</f>
        <v/>
      </c>
    </row>
    <row r="140">
      <c r="A140" s="18" t="n"/>
      <c r="B140" s="18" t="inlineStr">
        <is>
          <t>Liquidity &amp; leverage</t>
        </is>
      </c>
      <c r="C140" s="18" t="n"/>
      <c r="D140" s="18" t="n"/>
      <c r="E140" s="18" t="n"/>
      <c r="F140" s="18" t="n"/>
      <c r="G140" s="18" t="n"/>
      <c r="H140" s="18" t="n"/>
      <c r="I140" s="18" t="n"/>
    </row>
    <row r="141">
      <c r="B141" s="16" t="inlineStr">
        <is>
          <t xml:space="preserve">  Current ratio (CA / CL)</t>
        </is>
      </c>
      <c r="C141" s="23">
        <f>IFERROR(C77/C89,"")</f>
        <v/>
      </c>
      <c r="D141" s="23">
        <f>IFERROR(D77/D89,"")</f>
        <v/>
      </c>
      <c r="E141" s="23">
        <f>IFERROR(E77/E89,"")</f>
        <v/>
      </c>
      <c r="F141" s="23">
        <f>IFERROR(F77/F89,"")</f>
        <v/>
      </c>
      <c r="G141" s="23">
        <f>IFERROR(G77/G89,"")</f>
        <v/>
      </c>
    </row>
    <row r="142">
      <c r="B142" s="16" t="inlineStr">
        <is>
          <t xml:space="preserve">  Quick ratio ((cash + A/R) / CL)</t>
        </is>
      </c>
      <c r="C142" s="23">
        <f>IFERROR((C72+C73)/C89,"")</f>
        <v/>
      </c>
      <c r="D142" s="23">
        <f>IFERROR((D72+D73)/D89,"")</f>
        <v/>
      </c>
      <c r="E142" s="23">
        <f>IFERROR((E72+E73)/E89,"")</f>
        <v/>
      </c>
      <c r="F142" s="23">
        <f>IFERROR((F72+F73)/F89,"")</f>
        <v/>
      </c>
      <c r="G142" s="23">
        <f>IFERROR((G72+G73)/G89,"")</f>
        <v/>
      </c>
    </row>
    <row r="143">
      <c r="B143" s="9" t="inlineStr">
        <is>
          <t xml:space="preserve">  Net debt (bank loan − cash)</t>
        </is>
      </c>
      <c r="C143" s="13">
        <f>C83-C72</f>
        <v/>
      </c>
      <c r="D143" s="13">
        <f>D83-D72</f>
        <v/>
      </c>
      <c r="E143" s="13">
        <f>E83-E72</f>
        <v/>
      </c>
      <c r="F143" s="13">
        <f>F83-F72</f>
        <v/>
      </c>
      <c r="G143" s="13">
        <f>G83-G72</f>
        <v/>
      </c>
    </row>
    <row r="144">
      <c r="B144" s="16" t="inlineStr">
        <is>
          <t xml:space="preserve">  Debt / equity (bank loan / equity)</t>
        </is>
      </c>
      <c r="C144" s="23">
        <f>IFERROR(C83/C95,0)</f>
        <v/>
      </c>
      <c r="D144" s="23">
        <f>IFERROR(D83/D95,0)</f>
        <v/>
      </c>
      <c r="E144" s="23">
        <f>IFERROR(E83/E95,0)</f>
        <v/>
      </c>
      <c r="F144" s="23">
        <f>IFERROR(F83/F95,0)</f>
        <v/>
      </c>
      <c r="G144" s="23">
        <f>IFERROR(G83/G95,0)</f>
        <v/>
      </c>
    </row>
    <row r="145">
      <c r="B145" s="16" t="inlineStr">
        <is>
          <t xml:space="preserve">  DSO (A/R / revenue × 365)</t>
        </is>
      </c>
      <c r="C145" s="24">
        <f>IFERROR(C73/C9*365,"")</f>
        <v/>
      </c>
      <c r="D145" s="24">
        <f>IFERROR(D73/D9*365,"")</f>
        <v/>
      </c>
      <c r="E145" s="24">
        <f>IFERROR(E73/E9*365,"")</f>
        <v/>
      </c>
      <c r="F145" s="24">
        <f>IFERROR(F73/F9*365,"")</f>
        <v/>
      </c>
      <c r="G145" s="24">
        <f>IFERROR(G73/G9*365,"")</f>
        <v/>
      </c>
    </row>
    <row r="146">
      <c r="B146" s="16" t="inlineStr">
        <is>
          <t xml:space="preserve">  DPO (A/P / cost of sales × 365)</t>
        </is>
      </c>
      <c r="C146" s="24">
        <f>IFERROR(C84/C10*365,"")</f>
        <v/>
      </c>
      <c r="D146" s="24">
        <f>IFERROR(D84/D10*365,"")</f>
        <v/>
      </c>
      <c r="E146" s="24">
        <f>IFERROR(E84/E10*365,"")</f>
        <v/>
      </c>
      <c r="F146" s="24">
        <f>IFERROR(F84/F10*365,"")</f>
        <v/>
      </c>
      <c r="G146" s="24">
        <f>IFERROR(G84/G10*365,"")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2026-07-14T11:38:05Z</dcterms:created>
  <dcterms:modified xsi:type="dcterms:W3CDTF">2026-07-14T11:38:05Z</dcterms:modified>
</cp:coreProperties>
</file>