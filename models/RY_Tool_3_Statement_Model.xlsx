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\-"/>
    <numFmt numFmtId="165" formatCode="0.0%;(0.0%);\-"/>
    <numFmt numFmtId="166" formatCode="0.0&quot; yrs&quot;;(0.0);\-"/>
    <numFmt numFmtId="167" formatCode="0.00&quot;x&quot;;(0.00&quot;x&quot;);\-"/>
    <numFmt numFmtId="168" formatCode="0&quot; days&quot;;(0);\-"/>
  </numFmts>
  <fonts count="12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color rgb="FF595959"/>
      <sz val="10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2"/>
    </font>
    <font>
      <name val="Calibri"/>
      <color rgb="FF0000FF"/>
      <sz val="12"/>
    </font>
    <font>
      <name val="Calibri"/>
      <color rgb="FF404040"/>
      <sz val="11"/>
    </font>
    <font>
      <name val="Calibri"/>
      <b val="1"/>
      <color rgb="FF000000"/>
      <sz val="12"/>
    </font>
    <font>
      <name val="Calibri"/>
      <color rgb="FF404040"/>
      <sz val="12"/>
    </font>
    <font>
      <name val="Calibri"/>
      <b val="1"/>
      <color rgb="FF404040"/>
      <sz val="12"/>
    </font>
  </fonts>
  <fills count="5">
    <fill>
      <patternFill/>
    </fill>
    <fill>
      <patternFill patternType="gray125"/>
    </fill>
    <fill>
      <patternFill patternType="solid">
        <fgColor rgb="FF2F3E46"/>
      </patternFill>
    </fill>
    <fill>
      <patternFill patternType="solid">
        <fgColor rgb="FF52796F"/>
      </patternFill>
    </fill>
    <fill>
      <patternFill patternType="solid">
        <fgColor rgb="FFCAD2C5"/>
      </patternFill>
    </fill>
  </fills>
  <borders count="3">
    <border>
      <left/>
      <right/>
      <top/>
      <bottom/>
      <diagonal/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0" borderId="0" pivotButton="0" quotePrefix="0" xfId="0"/>
    <xf numFmtId="164" fontId="7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right" vertical="center"/>
    </xf>
    <xf numFmtId="0" fontId="9" fillId="0" borderId="1" pivotButton="0" quotePrefix="0" xfId="0"/>
    <xf numFmtId="164" fontId="9" fillId="0" borderId="1" applyAlignment="1" pivotButton="0" quotePrefix="0" xfId="0">
      <alignment horizontal="right" vertical="center"/>
    </xf>
    <xf numFmtId="0" fontId="10" fillId="0" borderId="0" pivotButton="0" quotePrefix="0" xfId="0"/>
    <xf numFmtId="165" fontId="6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right" vertical="center"/>
    </xf>
    <xf numFmtId="0" fontId="11" fillId="0" borderId="0" pivotButton="0" quotePrefix="0" xfId="0"/>
    <xf numFmtId="165" fontId="9" fillId="0" borderId="0" applyAlignment="1" pivotButton="0" quotePrefix="0" xfId="0">
      <alignment horizontal="right" vertical="center"/>
    </xf>
    <xf numFmtId="164" fontId="9" fillId="4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9" fillId="0" borderId="0" pivotButton="0" quotePrefix="0" xfId="0"/>
    <xf numFmtId="168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4" customWidth="1" min="1" max="1"/>
    <col width="44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2" customWidth="1" min="8" max="8"/>
    <col width="58" customWidth="1" min="9" max="9"/>
  </cols>
  <sheetData>
    <row r="2">
      <c r="B2" s="1" t="inlineStr">
        <is>
          <t>R. &amp; Y. Tool and Die Co. Limited — Three-Statement Financial Model</t>
        </is>
      </c>
    </row>
    <row r="3" ht="13" customHeight="1">
      <c r="B3" s="2" t="inlineStr">
        <is>
          <t>Unaudited · extracted from Annual Compilation Financial Statements prepared by GD Barkwell Chartered Professional Accountant · Canadian dollars (whole $) · fiscal year ends December 31</t>
        </is>
      </c>
    </row>
    <row r="4" ht="13" customHeight="1">
      <c r="B4" s="2" t="inlineStr">
        <is>
          <t>Income Statement &amp; Balance Sheet are as reported. The Cash Flow Statement is IMPLIED — derived from the year-over-year change in every balance sheet account plus net income and non-cash amortization. FY2021 cash flow is not computable (no FY2020 balance sheet).</t>
        </is>
      </c>
    </row>
    <row r="6">
      <c r="A6" s="3" t="n"/>
      <c r="B6" s="4" t="inlineStr">
        <is>
          <t>(C$)</t>
        </is>
      </c>
      <c r="C6" s="5" t="inlineStr">
        <is>
          <t>FY2021</t>
        </is>
      </c>
      <c r="D6" s="5" t="inlineStr">
        <is>
          <t>FY2022</t>
        </is>
      </c>
      <c r="E6" s="5" t="inlineStr">
        <is>
          <t>FY2023</t>
        </is>
      </c>
      <c r="F6" s="5" t="inlineStr">
        <is>
          <t>FY2024</t>
        </is>
      </c>
      <c r="G6" s="5" t="inlineStr">
        <is>
          <t>FY2025</t>
        </is>
      </c>
      <c r="H6" s="6" t="inlineStr">
        <is>
          <t>'21–'25 CAGR</t>
        </is>
      </c>
      <c r="I6" s="7" t="inlineStr">
        <is>
          <t>Notes &amp; assumptions</t>
        </is>
      </c>
    </row>
    <row r="8" ht="18" customHeight="1">
      <c r="A8" s="8" t="n"/>
      <c r="B8" s="8" t="inlineStr">
        <is>
          <t>INCOME STATEMENT</t>
        </is>
      </c>
      <c r="C8" s="8" t="n"/>
      <c r="D8" s="8" t="n"/>
      <c r="E8" s="8" t="n"/>
      <c r="F8" s="8" t="n"/>
      <c r="G8" s="8" t="n"/>
      <c r="H8" s="8" t="n"/>
      <c r="I8" s="8" t="n"/>
    </row>
    <row r="9">
      <c r="B9" s="9" t="inlineStr">
        <is>
          <t>Revenue</t>
        </is>
      </c>
      <c r="C9" s="10" t="n">
        <v>1125192</v>
      </c>
      <c r="D9" s="10" t="n">
        <v>1129492</v>
      </c>
      <c r="E9" s="10" t="n">
        <v>1294937</v>
      </c>
      <c r="F9" s="10" t="n">
        <v>1481483</v>
      </c>
      <c r="G9" s="10" t="n">
        <v>1669107</v>
      </c>
      <c r="H9" s="11">
        <f>IFERROR((G9/C9)^(1/4)-1,"")</f>
        <v/>
      </c>
      <c r="I9" s="12" t="inlineStr">
        <is>
          <t>Reported net sales.</t>
        </is>
      </c>
    </row>
    <row r="10">
      <c r="B10" s="9" t="inlineStr">
        <is>
          <t>Cost of sales (schedule)</t>
        </is>
      </c>
      <c r="C10" s="13">
        <f>C84</f>
        <v/>
      </c>
      <c r="D10" s="13">
        <f>D84</f>
        <v/>
      </c>
      <c r="E10" s="13">
        <f>E84</f>
        <v/>
      </c>
      <c r="F10" s="13">
        <f>F84</f>
        <v/>
      </c>
      <c r="G10" s="13">
        <f>G84</f>
        <v/>
      </c>
      <c r="I10" s="12" t="inlineStr">
        <is>
          <t>Links to Cost of Sales schedule total below.</t>
        </is>
      </c>
    </row>
    <row r="11">
      <c r="B11" s="14" t="inlineStr">
        <is>
          <t>Gross margin</t>
        </is>
      </c>
      <c r="C11" s="15">
        <f>C9-C10</f>
        <v/>
      </c>
      <c r="D11" s="15">
        <f>D9-D10</f>
        <v/>
      </c>
      <c r="E11" s="15">
        <f>E9-E10</f>
        <v/>
      </c>
      <c r="F11" s="15">
        <f>F9-F10</f>
        <v/>
      </c>
      <c r="G11" s="15">
        <f>G9-G10</f>
        <v/>
      </c>
      <c r="H11" s="11">
        <f>IFERROR((G11/C11)^(1/4)-1,"")</f>
        <v/>
      </c>
    </row>
    <row r="12">
      <c r="B12" s="16" t="inlineStr">
        <is>
          <t xml:space="preserve">  Gross margin %</t>
        </is>
      </c>
      <c r="C12" s="17">
        <f>IFERROR(C11/C9,0)</f>
        <v/>
      </c>
      <c r="D12" s="17">
        <f>IFERROR(D11/D9,0)</f>
        <v/>
      </c>
      <c r="E12" s="17">
        <f>IFERROR(E11/E9,0)</f>
        <v/>
      </c>
      <c r="F12" s="17">
        <f>IFERROR(F11/F9,0)</f>
        <v/>
      </c>
      <c r="G12" s="17">
        <f>IFERROR(G11/G9,0)</f>
        <v/>
      </c>
    </row>
    <row r="13">
      <c r="B13" s="9" t="inlineStr">
        <is>
          <t>Other income</t>
        </is>
      </c>
      <c r="C13" s="10" t="n">
        <v>60379</v>
      </c>
      <c r="D13" s="10" t="n">
        <v>587</v>
      </c>
      <c r="E13" s="10" t="n">
        <v>477</v>
      </c>
      <c r="F13" s="10" t="n">
        <v>1956</v>
      </c>
      <c r="G13" s="10" t="n">
        <v>605</v>
      </c>
      <c r="I13" s="12" t="inlineStr">
        <is>
          <t>2021 includes $60,000 COVID grants.</t>
        </is>
      </c>
    </row>
    <row r="14">
      <c r="B14" s="14" t="inlineStr">
        <is>
          <t>Gross margin plus other income</t>
        </is>
      </c>
      <c r="C14" s="15">
        <f>C11+C13</f>
        <v/>
      </c>
      <c r="D14" s="15">
        <f>D11+D13</f>
        <v/>
      </c>
      <c r="E14" s="15">
        <f>E11+E13</f>
        <v/>
      </c>
      <c r="F14" s="15">
        <f>F11+F13</f>
        <v/>
      </c>
      <c r="G14" s="15">
        <f>G11+G13</f>
        <v/>
      </c>
    </row>
    <row r="16">
      <c r="A16" s="18" t="n"/>
      <c r="B16" s="18" t="inlineStr">
        <is>
          <t>General and administrative expenses</t>
        </is>
      </c>
      <c r="C16" s="18" t="n"/>
      <c r="D16" s="18" t="n"/>
      <c r="E16" s="18" t="n"/>
      <c r="F16" s="18" t="n"/>
      <c r="G16" s="18" t="n"/>
      <c r="H16" s="18" t="n"/>
      <c r="I16" s="18" t="n"/>
    </row>
    <row r="17">
      <c r="B17" s="9" t="inlineStr">
        <is>
          <t xml:space="preserve">  Management salaries and bonuses</t>
        </is>
      </c>
      <c r="C17" s="10" t="n">
        <v>160000</v>
      </c>
      <c r="D17" s="10" t="n">
        <v>204000</v>
      </c>
      <c r="E17" s="10" t="n">
        <v>195352</v>
      </c>
      <c r="F17" s="10" t="n">
        <v>166000</v>
      </c>
      <c r="G17" s="10" t="n">
        <v>186000</v>
      </c>
    </row>
    <row r="18">
      <c r="B18" s="9" t="inlineStr">
        <is>
          <t xml:space="preserve">  Bank charges and interest</t>
        </is>
      </c>
      <c r="C18" s="10" t="n">
        <v>1781</v>
      </c>
      <c r="D18" s="10" t="n">
        <v>1403</v>
      </c>
      <c r="E18" s="10" t="n">
        <v>2222</v>
      </c>
      <c r="F18" s="10" t="n">
        <v>1532</v>
      </c>
      <c r="G18" s="10" t="n">
        <v>8832</v>
      </c>
    </row>
    <row r="19">
      <c r="B19" s="9" t="inlineStr">
        <is>
          <t xml:space="preserve">  Amortization — office equipment</t>
        </is>
      </c>
      <c r="C19" s="10" t="n">
        <v>11240</v>
      </c>
      <c r="D19" s="10" t="n">
        <v>10505</v>
      </c>
      <c r="E19" s="10" t="n">
        <v>8563</v>
      </c>
      <c r="F19" s="10" t="n">
        <v>7845</v>
      </c>
      <c r="G19" s="10" t="n">
        <v>7176</v>
      </c>
      <c r="I19" s="12" t="inlineStr">
        <is>
          <t>Non-cash; added back in cash flow.</t>
        </is>
      </c>
    </row>
    <row r="20">
      <c r="B20" s="9" t="inlineStr">
        <is>
          <t xml:space="preserve">  Advertising, promotion and sponsorship</t>
        </is>
      </c>
      <c r="C20" s="10" t="n">
        <v>553</v>
      </c>
      <c r="D20" s="10" t="n">
        <v>1560</v>
      </c>
      <c r="E20" s="10" t="n">
        <v>929</v>
      </c>
      <c r="F20" s="10" t="n">
        <v>1400</v>
      </c>
      <c r="G20" s="10" t="n">
        <v>8035</v>
      </c>
    </row>
    <row r="21">
      <c r="B21" s="9" t="inlineStr">
        <is>
          <t xml:space="preserve">  Meals and entertainment</t>
        </is>
      </c>
      <c r="C21" s="10" t="n">
        <v>9714</v>
      </c>
      <c r="D21" s="10" t="n">
        <v>15156</v>
      </c>
      <c r="E21" s="10" t="n">
        <v>19809</v>
      </c>
      <c r="F21" s="10" t="n">
        <v>21560</v>
      </c>
      <c r="G21" s="10" t="n">
        <v>19662</v>
      </c>
    </row>
    <row r="22">
      <c r="B22" s="9" t="inlineStr">
        <is>
          <t xml:space="preserve">  Telecommunication</t>
        </is>
      </c>
      <c r="C22" s="10" t="n">
        <v>8407</v>
      </c>
      <c r="D22" s="10" t="n">
        <v>7686</v>
      </c>
      <c r="E22" s="10" t="n">
        <v>8182</v>
      </c>
      <c r="F22" s="10" t="n">
        <v>9193</v>
      </c>
      <c r="G22" s="10" t="n">
        <v>10163</v>
      </c>
    </row>
    <row r="23">
      <c r="B23" s="9" t="inlineStr">
        <is>
          <t xml:space="preserve">  Computer technology</t>
        </is>
      </c>
      <c r="C23" s="10" t="n">
        <v>21431</v>
      </c>
      <c r="D23" s="10" t="n">
        <v>31221</v>
      </c>
      <c r="E23" s="10" t="n">
        <v>18723</v>
      </c>
      <c r="F23" s="10" t="n">
        <v>11399</v>
      </c>
      <c r="G23" s="10" t="n">
        <v>14170</v>
      </c>
    </row>
    <row r="24">
      <c r="B24" s="9" t="inlineStr">
        <is>
          <t xml:space="preserve">  Office and miscellaneous</t>
        </is>
      </c>
      <c r="C24" s="10" t="n">
        <v>12767</v>
      </c>
      <c r="D24" s="10" t="n">
        <v>16609</v>
      </c>
      <c r="E24" s="10" t="n">
        <v>18360</v>
      </c>
      <c r="F24" s="10" t="n">
        <v>13520</v>
      </c>
      <c r="G24" s="10" t="n">
        <v>14490</v>
      </c>
    </row>
    <row r="25">
      <c r="B25" s="9" t="inlineStr">
        <is>
          <t xml:space="preserve">  Office equipment leases</t>
        </is>
      </c>
      <c r="C25" s="10" t="n">
        <v>684</v>
      </c>
      <c r="D25" s="10" t="n">
        <v>-210</v>
      </c>
      <c r="E25" s="10" t="n">
        <v>750</v>
      </c>
      <c r="F25" s="10" t="n">
        <v>547</v>
      </c>
      <c r="G25" s="10" t="n">
        <v>1519</v>
      </c>
    </row>
    <row r="26">
      <c r="B26" s="9" t="inlineStr">
        <is>
          <t xml:space="preserve">  Consulting fees</t>
        </is>
      </c>
      <c r="C26" s="10" t="n">
        <v>0</v>
      </c>
      <c r="D26" s="10" t="n">
        <v>0</v>
      </c>
      <c r="E26" s="10" t="n">
        <v>0</v>
      </c>
      <c r="F26" s="10" t="n">
        <v>31645</v>
      </c>
      <c r="G26" s="10" t="n">
        <v>37254</v>
      </c>
    </row>
    <row r="27">
      <c r="B27" s="9" t="inlineStr">
        <is>
          <t xml:space="preserve">  ISO Quality Management System certification</t>
        </is>
      </c>
      <c r="C27" s="10" t="n">
        <v>0</v>
      </c>
      <c r="D27" s="10" t="n">
        <v>0</v>
      </c>
      <c r="E27" s="10" t="n">
        <v>0</v>
      </c>
      <c r="F27" s="10" t="n">
        <v>4308</v>
      </c>
      <c r="G27" s="10" t="n">
        <v>5592</v>
      </c>
    </row>
    <row r="28">
      <c r="B28" s="9" t="inlineStr">
        <is>
          <t xml:space="preserve">  Accounting and bookkeeping fees</t>
        </is>
      </c>
      <c r="C28" s="10" t="n">
        <v>11697</v>
      </c>
      <c r="D28" s="10" t="n">
        <v>14792</v>
      </c>
      <c r="E28" s="10" t="n">
        <v>18060</v>
      </c>
      <c r="F28" s="10" t="n">
        <v>9252</v>
      </c>
      <c r="G28" s="10" t="n">
        <v>8963</v>
      </c>
    </row>
    <row r="29">
      <c r="B29" s="14" t="inlineStr">
        <is>
          <t>Total general and administrative expenses</t>
        </is>
      </c>
      <c r="C29" s="15">
        <f>SUM(C17:C28)</f>
        <v/>
      </c>
      <c r="D29" s="15">
        <f>SUM(D17:D28)</f>
        <v/>
      </c>
      <c r="E29" s="15">
        <f>SUM(E17:E28)</f>
        <v/>
      </c>
      <c r="F29" s="15">
        <f>SUM(F17:F28)</f>
        <v/>
      </c>
      <c r="G29" s="15">
        <f>SUM(G17:G28)</f>
        <v/>
      </c>
    </row>
    <row r="31">
      <c r="B31" s="19" t="inlineStr">
        <is>
          <t>Net income before income taxes</t>
        </is>
      </c>
      <c r="C31" s="20">
        <f>C14-C29</f>
        <v/>
      </c>
      <c r="D31" s="20">
        <f>D14-D29</f>
        <v/>
      </c>
      <c r="E31" s="20">
        <f>E14-E29</f>
        <v/>
      </c>
      <c r="F31" s="20">
        <f>F14-F29</f>
        <v/>
      </c>
      <c r="G31" s="20">
        <f>G14-G29</f>
        <v/>
      </c>
    </row>
    <row r="32">
      <c r="B32" s="9" t="inlineStr">
        <is>
          <t xml:space="preserve">  Income taxes — current</t>
        </is>
      </c>
      <c r="C32" s="10" t="n">
        <v>28643</v>
      </c>
      <c r="D32" s="10" t="n">
        <v>10179</v>
      </c>
      <c r="E32" s="10" t="n">
        <v>16792</v>
      </c>
      <c r="F32" s="10" t="n">
        <v>30672</v>
      </c>
      <c r="G32" s="10" t="n">
        <v>34327</v>
      </c>
    </row>
    <row r="33">
      <c r="B33" s="9" t="inlineStr">
        <is>
          <t xml:space="preserve">  Income taxes — deferred (recovery)</t>
        </is>
      </c>
      <c r="C33" s="10" t="n">
        <v>0</v>
      </c>
      <c r="D33" s="10" t="n">
        <v>-5949</v>
      </c>
      <c r="E33" s="10" t="n">
        <v>-5879</v>
      </c>
      <c r="F33" s="10" t="n">
        <v>-3362</v>
      </c>
      <c r="G33" s="10" t="n">
        <v>-849</v>
      </c>
      <c r="I33" s="12" t="inlineStr">
        <is>
          <t>Non-cash; equals the change in the future income tax liability.</t>
        </is>
      </c>
    </row>
    <row r="34">
      <c r="B34" s="14" t="inlineStr">
        <is>
          <t>Total income taxes</t>
        </is>
      </c>
      <c r="C34" s="15">
        <f>C32+C33</f>
        <v/>
      </c>
      <c r="D34" s="15">
        <f>D32+D33</f>
        <v/>
      </c>
      <c r="E34" s="15">
        <f>E32+E33</f>
        <v/>
      </c>
      <c r="F34" s="15">
        <f>F32+F33</f>
        <v/>
      </c>
      <c r="G34" s="15">
        <f>G32+G33</f>
        <v/>
      </c>
    </row>
    <row r="35">
      <c r="B35" s="16" t="inlineStr">
        <is>
          <t xml:space="preserve">  Effective tax rate</t>
        </is>
      </c>
      <c r="C35" s="17">
        <f>IFERROR(C34/C31,0)</f>
        <v/>
      </c>
      <c r="D35" s="17">
        <f>IFERROR(D34/D31,0)</f>
        <v/>
      </c>
      <c r="E35" s="17">
        <f>IFERROR(E34/E31,0)</f>
        <v/>
      </c>
      <c r="F35" s="17">
        <f>IFERROR(F34/F31,0)</f>
        <v/>
      </c>
      <c r="G35" s="17">
        <f>IFERROR(G34/G31,0)</f>
        <v/>
      </c>
    </row>
    <row r="36">
      <c r="B36" s="19" t="inlineStr">
        <is>
          <t>Net income for the year</t>
        </is>
      </c>
      <c r="C36" s="20">
        <f>C31-C34</f>
        <v/>
      </c>
      <c r="D36" s="20">
        <f>D31-D34</f>
        <v/>
      </c>
      <c r="E36" s="20">
        <f>E31-E34</f>
        <v/>
      </c>
      <c r="F36" s="20">
        <f>F31-F34</f>
        <v/>
      </c>
      <c r="G36" s="20">
        <f>G31-G34</f>
        <v/>
      </c>
      <c r="H36" s="11">
        <f>IFERROR((G36/C36)^(1/4)-1,"")</f>
        <v/>
      </c>
    </row>
    <row r="38">
      <c r="A38" s="18" t="n"/>
      <c r="B38" s="18" t="inlineStr">
        <is>
          <t>Net income → EBITDA − capex bridge (bottom-up)</t>
        </is>
      </c>
      <c r="C38" s="18" t="n"/>
      <c r="D38" s="18" t="n"/>
      <c r="E38" s="18" t="n"/>
      <c r="F38" s="18" t="n"/>
      <c r="G38" s="18" t="n"/>
      <c r="H38" s="18" t="n"/>
      <c r="I38" s="18" t="n"/>
    </row>
    <row r="39">
      <c r="B39" s="9" t="inlineStr">
        <is>
          <t xml:space="preserve">  Net income for the year</t>
        </is>
      </c>
      <c r="C39" s="13">
        <f>C36</f>
        <v/>
      </c>
      <c r="D39" s="13">
        <f>D36</f>
        <v/>
      </c>
      <c r="E39" s="13">
        <f>E36</f>
        <v/>
      </c>
      <c r="F39" s="13">
        <f>F36</f>
        <v/>
      </c>
      <c r="G39" s="13">
        <f>G36</f>
        <v/>
      </c>
    </row>
    <row r="40">
      <c r="B40" s="9" t="inlineStr">
        <is>
          <t xml:space="preserve">  Add: income taxes</t>
        </is>
      </c>
      <c r="C40" s="13">
        <f>C34</f>
        <v/>
      </c>
      <c r="D40" s="13">
        <f>D34</f>
        <v/>
      </c>
      <c r="E40" s="13">
        <f>E34</f>
        <v/>
      </c>
      <c r="F40" s="13">
        <f>F34</f>
        <v/>
      </c>
      <c r="G40" s="13">
        <f>G34</f>
        <v/>
      </c>
    </row>
    <row r="41">
      <c r="B41" s="9" t="inlineStr">
        <is>
          <t xml:space="preserve">  Add: bank charges and interest</t>
        </is>
      </c>
      <c r="C41" s="13">
        <f>C18</f>
        <v/>
      </c>
      <c r="D41" s="13">
        <f>D18</f>
        <v/>
      </c>
      <c r="E41" s="13">
        <f>E18</f>
        <v/>
      </c>
      <c r="F41" s="13">
        <f>F18</f>
        <v/>
      </c>
      <c r="G41" s="13">
        <f>G18</f>
        <v/>
      </c>
      <c r="I41" s="12" t="inlineStr">
        <is>
          <t>Interest is bundled within bank charges &amp; interest.</t>
        </is>
      </c>
    </row>
    <row r="42">
      <c r="B42" s="14" t="inlineStr">
        <is>
          <t xml:space="preserve">  = EBIT</t>
        </is>
      </c>
      <c r="C42" s="15">
        <f>C36+C34+C18</f>
        <v/>
      </c>
      <c r="D42" s="15">
        <f>D36+D34+D18</f>
        <v/>
      </c>
      <c r="E42" s="15">
        <f>E36+E34+E18</f>
        <v/>
      </c>
      <c r="F42" s="15">
        <f>F36+F34+F18</f>
        <v/>
      </c>
      <c r="G42" s="15">
        <f>G36+G34+G18</f>
        <v/>
      </c>
    </row>
    <row r="43">
      <c r="B43" s="9" t="inlineStr">
        <is>
          <t xml:space="preserve">  Add: amortization — office equipment</t>
        </is>
      </c>
      <c r="C43" s="13">
        <f>C19</f>
        <v/>
      </c>
      <c r="D43" s="13">
        <f>D19</f>
        <v/>
      </c>
      <c r="E43" s="13">
        <f>E19</f>
        <v/>
      </c>
      <c r="F43" s="13">
        <f>F19</f>
        <v/>
      </c>
      <c r="G43" s="13">
        <f>G19</f>
        <v/>
      </c>
    </row>
    <row r="44">
      <c r="B44" s="9" t="inlineStr">
        <is>
          <t xml:space="preserve">  Add: amortization — building and shop equipment</t>
        </is>
      </c>
      <c r="C44" s="13">
        <f>C82</f>
        <v/>
      </c>
      <c r="D44" s="13">
        <f>D82</f>
        <v/>
      </c>
      <c r="E44" s="13">
        <f>E82</f>
        <v/>
      </c>
      <c r="F44" s="13">
        <f>F82</f>
        <v/>
      </c>
      <c r="G44" s="13">
        <f>G82</f>
        <v/>
      </c>
    </row>
    <row r="45">
      <c r="B45" s="14" t="inlineStr">
        <is>
          <t xml:space="preserve">  = EBITDA</t>
        </is>
      </c>
      <c r="C45" s="15">
        <f>C42+C19+C82</f>
        <v/>
      </c>
      <c r="D45" s="15">
        <f>D42+D19+D82</f>
        <v/>
      </c>
      <c r="E45" s="15">
        <f>E42+E19+E82</f>
        <v/>
      </c>
      <c r="F45" s="15">
        <f>F42+F19+F82</f>
        <v/>
      </c>
      <c r="G45" s="15">
        <f>G42+G19+G82</f>
        <v/>
      </c>
    </row>
    <row r="46">
      <c r="B46" s="9" t="inlineStr">
        <is>
          <t xml:space="preserve">  Less: capital expenditures (implied)</t>
        </is>
      </c>
      <c r="C46" s="13" t="n"/>
      <c r="D46" s="13">
        <f>D128</f>
        <v/>
      </c>
      <c r="E46" s="13">
        <f>E128</f>
        <v/>
      </c>
      <c r="F46" s="13">
        <f>F128</f>
        <v/>
      </c>
      <c r="G46" s="13">
        <f>G128</f>
        <v/>
      </c>
      <c r="I46" s="12" t="inlineStr">
        <is>
          <t>From the implied cash flow; requires prior-year PP&amp;E, so FY2021 is n/a.</t>
        </is>
      </c>
    </row>
    <row r="47">
      <c r="B47" s="19" t="inlineStr">
        <is>
          <t xml:space="preserve">  = EBITDA − capex</t>
        </is>
      </c>
      <c r="C47" s="20" t="n"/>
      <c r="D47" s="20">
        <f>D45+D128</f>
        <v/>
      </c>
      <c r="E47" s="20">
        <f>E45+E128</f>
        <v/>
      </c>
      <c r="F47" s="20">
        <f>F45+F128</f>
        <v/>
      </c>
      <c r="G47" s="20">
        <f>G45+G128</f>
        <v/>
      </c>
    </row>
    <row r="49">
      <c r="A49" s="18" t="n"/>
      <c r="B49" s="18" t="inlineStr">
        <is>
          <t>Retained earnings reconciliation</t>
        </is>
      </c>
      <c r="C49" s="18" t="n"/>
      <c r="D49" s="18" t="n"/>
      <c r="E49" s="18" t="n"/>
      <c r="F49" s="18" t="n"/>
      <c r="G49" s="18" t="n"/>
      <c r="H49" s="18" t="n"/>
      <c r="I49" s="18" t="n"/>
    </row>
    <row r="50">
      <c r="B50" s="9" t="inlineStr">
        <is>
          <t xml:space="preserve">  Retained earnings, beginning of year</t>
        </is>
      </c>
      <c r="C50" s="10" t="n">
        <v>670703</v>
      </c>
      <c r="D50" s="13">
        <f>C53</f>
        <v/>
      </c>
      <c r="E50" s="13">
        <f>D53</f>
        <v/>
      </c>
      <c r="F50" s="13">
        <f>E53</f>
        <v/>
      </c>
      <c r="G50" s="13">
        <f>F53</f>
        <v/>
      </c>
    </row>
    <row r="51">
      <c r="B51" s="9" t="inlineStr">
        <is>
          <t xml:space="preserve">  Net income for the year</t>
        </is>
      </c>
      <c r="C51" s="13">
        <f>C36</f>
        <v/>
      </c>
      <c r="D51" s="13">
        <f>D36</f>
        <v/>
      </c>
      <c r="E51" s="13">
        <f>E36</f>
        <v/>
      </c>
      <c r="F51" s="13">
        <f>F36</f>
        <v/>
      </c>
      <c r="G51" s="13">
        <f>G36</f>
        <v/>
      </c>
    </row>
    <row r="52">
      <c r="B52" s="9" t="inlineStr">
        <is>
          <t xml:space="preserve">  Dividends</t>
        </is>
      </c>
      <c r="C52" s="10" t="n">
        <v>0</v>
      </c>
      <c r="D52" s="10" t="n">
        <v>0</v>
      </c>
      <c r="E52" s="10" t="n">
        <v>170000</v>
      </c>
      <c r="F52" s="10" t="n">
        <v>0</v>
      </c>
      <c r="G52" s="10" t="n">
        <v>0</v>
      </c>
    </row>
    <row r="53">
      <c r="B53" s="14" t="inlineStr">
        <is>
          <t>Retained earnings, end of year</t>
        </is>
      </c>
      <c r="C53" s="15">
        <f>C50+C51-C52</f>
        <v/>
      </c>
      <c r="D53" s="15">
        <f>D50+D51-D52</f>
        <v/>
      </c>
      <c r="E53" s="15">
        <f>E50+E51-E52</f>
        <v/>
      </c>
      <c r="F53" s="15">
        <f>F50+F51-F52</f>
        <v/>
      </c>
      <c r="G53" s="15">
        <f>G50+G51-G52</f>
        <v/>
      </c>
    </row>
    <row r="55">
      <c r="A55" s="18" t="n"/>
      <c r="B55" s="18" t="inlineStr">
        <is>
          <t>Growth &amp; margins</t>
        </is>
      </c>
      <c r="C55" s="18" t="n"/>
      <c r="D55" s="18" t="n"/>
      <c r="E55" s="18" t="n"/>
      <c r="F55" s="18" t="n"/>
      <c r="G55" s="18" t="n"/>
      <c r="H55" s="18" t="n"/>
      <c r="I55" s="18" t="n"/>
    </row>
    <row r="56">
      <c r="B56" s="16" t="inlineStr">
        <is>
          <t xml:space="preserve">  Revenue y/y %</t>
        </is>
      </c>
      <c r="C56" s="17">
        <f>IFERROR(C9/C9-1,"")</f>
        <v/>
      </c>
      <c r="D56" s="17">
        <f>IFERROR(D9/C9-1,"")</f>
        <v/>
      </c>
      <c r="E56" s="17">
        <f>IFERROR(E9/D9-1,"")</f>
        <v/>
      </c>
      <c r="F56" s="17">
        <f>IFERROR(F9/E9-1,"")</f>
        <v/>
      </c>
      <c r="G56" s="17">
        <f>IFERROR(G9/F9-1,"")</f>
        <v/>
      </c>
    </row>
    <row r="57">
      <c r="B57" s="16" t="inlineStr">
        <is>
          <t xml:space="preserve">  Gross margin y/y %</t>
        </is>
      </c>
      <c r="C57" s="17">
        <f>IFERROR(C11/C11-1,"")</f>
        <v/>
      </c>
      <c r="D57" s="17">
        <f>IFERROR(D11/C11-1,"")</f>
        <v/>
      </c>
      <c r="E57" s="17">
        <f>IFERROR(E11/D11-1,"")</f>
        <v/>
      </c>
      <c r="F57" s="17">
        <f>IFERROR(F11/E11-1,"")</f>
        <v/>
      </c>
      <c r="G57" s="17">
        <f>IFERROR(G11/F11-1,"")</f>
        <v/>
      </c>
    </row>
    <row r="58">
      <c r="B58" s="16" t="inlineStr">
        <is>
          <t xml:space="preserve">  Net income y/y %</t>
        </is>
      </c>
      <c r="C58" s="17">
        <f>IFERROR(C36/C36-1,"")</f>
        <v/>
      </c>
      <c r="D58" s="17">
        <f>IFERROR(D36/C36-1,"")</f>
        <v/>
      </c>
      <c r="E58" s="17">
        <f>IFERROR(E36/D36-1,"")</f>
        <v/>
      </c>
      <c r="F58" s="17">
        <f>IFERROR(F36/E36-1,"")</f>
        <v/>
      </c>
      <c r="G58" s="17">
        <f>IFERROR(G36/F36-1,"")</f>
        <v/>
      </c>
    </row>
    <row r="59">
      <c r="B59" s="16" t="inlineStr">
        <is>
          <t xml:space="preserve">  G&amp;A % of revenue</t>
        </is>
      </c>
      <c r="C59" s="17">
        <f>IFERROR(C29/C9,0)</f>
        <v/>
      </c>
      <c r="D59" s="17">
        <f>IFERROR(D29/D9,0)</f>
        <v/>
      </c>
      <c r="E59" s="17">
        <f>IFERROR(E29/E9,0)</f>
        <v/>
      </c>
      <c r="F59" s="17">
        <f>IFERROR(F29/F9,0)</f>
        <v/>
      </c>
      <c r="G59" s="17">
        <f>IFERROR(G29/G9,0)</f>
        <v/>
      </c>
    </row>
    <row r="60">
      <c r="B60" s="16" t="inlineStr">
        <is>
          <t xml:space="preserve">  Net income margin %</t>
        </is>
      </c>
      <c r="C60" s="17">
        <f>IFERROR(C36/C9,0)</f>
        <v/>
      </c>
      <c r="D60" s="17">
        <f>IFERROR(D36/D9,0)</f>
        <v/>
      </c>
      <c r="E60" s="17">
        <f>IFERROR(E36/E9,0)</f>
        <v/>
      </c>
      <c r="F60" s="17">
        <f>IFERROR(F36/F9,0)</f>
        <v/>
      </c>
      <c r="G60" s="17">
        <f>IFERROR(G36/G9,0)</f>
        <v/>
      </c>
    </row>
    <row r="62" ht="18" customHeight="1">
      <c r="A62" s="8" t="n"/>
      <c r="B62" s="8" t="inlineStr">
        <is>
          <t>COST OF SALES SCHEDULE</t>
        </is>
      </c>
      <c r="C62" s="8" t="n"/>
      <c r="D62" s="8" t="n"/>
      <c r="E62" s="8" t="n"/>
      <c r="F62" s="8" t="n"/>
      <c r="G62" s="8" t="n"/>
      <c r="H62" s="8" t="n"/>
      <c r="I62" s="8" t="n"/>
    </row>
    <row r="63">
      <c r="A63" s="18" t="n"/>
      <c r="B63" s="18" t="inlineStr">
        <is>
          <t>Direct costs</t>
        </is>
      </c>
      <c r="C63" s="18" t="n"/>
      <c r="D63" s="18" t="n"/>
      <c r="E63" s="18" t="n"/>
      <c r="F63" s="18" t="n"/>
      <c r="G63" s="18" t="n"/>
      <c r="H63" s="18" t="n"/>
      <c r="I63" s="18" t="n"/>
    </row>
    <row r="64">
      <c r="B64" s="9" t="inlineStr">
        <is>
          <t xml:space="preserve">  Direct wages</t>
        </is>
      </c>
      <c r="C64" s="10" t="n">
        <v>155912</v>
      </c>
      <c r="D64" s="10" t="n">
        <v>207400</v>
      </c>
      <c r="E64" s="10" t="n">
        <v>124776</v>
      </c>
      <c r="F64" s="10" t="n">
        <v>246407</v>
      </c>
      <c r="G64" s="10" t="n">
        <v>331037</v>
      </c>
    </row>
    <row r="65">
      <c r="B65" s="9" t="inlineStr">
        <is>
          <t xml:space="preserve">  Materials, supplies and miscellaneous</t>
        </is>
      </c>
      <c r="C65" s="10" t="n">
        <v>196164</v>
      </c>
      <c r="D65" s="10" t="n">
        <v>234466</v>
      </c>
      <c r="E65" s="10" t="n">
        <v>423028</v>
      </c>
      <c r="F65" s="10" t="n">
        <v>320248</v>
      </c>
      <c r="G65" s="10" t="n">
        <v>233181</v>
      </c>
    </row>
    <row r="66">
      <c r="B66" s="9" t="inlineStr">
        <is>
          <t xml:space="preserve">  Subcontracts</t>
        </is>
      </c>
      <c r="C66" s="10" t="n">
        <v>123993</v>
      </c>
      <c r="D66" s="10" t="n">
        <v>124289</v>
      </c>
      <c r="E66" s="10" t="n">
        <v>156114</v>
      </c>
      <c r="F66" s="10" t="n">
        <v>208375</v>
      </c>
      <c r="G66" s="10" t="n">
        <v>242821</v>
      </c>
    </row>
    <row r="67">
      <c r="B67" s="14" t="inlineStr">
        <is>
          <t>Total direct costs</t>
        </is>
      </c>
      <c r="C67" s="15">
        <f>SUM(C64:C66)</f>
        <v/>
      </c>
      <c r="D67" s="15">
        <f>SUM(D64:D66)</f>
        <v/>
      </c>
      <c r="E67" s="15">
        <f>SUM(E64:E66)</f>
        <v/>
      </c>
      <c r="F67" s="15">
        <f>SUM(F64:F66)</f>
        <v/>
      </c>
      <c r="G67" s="15">
        <f>SUM(G64:G66)</f>
        <v/>
      </c>
    </row>
    <row r="68">
      <c r="A68" s="18" t="n"/>
      <c r="B68" s="18" t="inlineStr">
        <is>
          <t>Direct costs as % of revenue</t>
        </is>
      </c>
      <c r="C68" s="18" t="n"/>
      <c r="D68" s="18" t="n"/>
      <c r="E68" s="18" t="n"/>
      <c r="F68" s="18" t="n"/>
      <c r="G68" s="18" t="n"/>
      <c r="H68" s="18" t="n"/>
      <c r="I68" s="18" t="n"/>
    </row>
    <row r="69">
      <c r="B69" s="16" t="inlineStr">
        <is>
          <t xml:space="preserve">  Direct wages % of revenue</t>
        </is>
      </c>
      <c r="C69" s="17">
        <f>IFERROR(C64/C9,0)</f>
        <v/>
      </c>
      <c r="D69" s="17">
        <f>IFERROR(D64/D9,0)</f>
        <v/>
      </c>
      <c r="E69" s="17">
        <f>IFERROR(E64/E9,0)</f>
        <v/>
      </c>
      <c r="F69" s="17">
        <f>IFERROR(F64/F9,0)</f>
        <v/>
      </c>
      <c r="G69" s="17">
        <f>IFERROR(G64/G9,0)</f>
        <v/>
      </c>
    </row>
    <row r="70">
      <c r="B70" s="16" t="inlineStr">
        <is>
          <t xml:space="preserve">  Materials, supplies and miscellaneous % of revenue</t>
        </is>
      </c>
      <c r="C70" s="17">
        <f>IFERROR(C65/C9,0)</f>
        <v/>
      </c>
      <c r="D70" s="17">
        <f>IFERROR(D65/D9,0)</f>
        <v/>
      </c>
      <c r="E70" s="17">
        <f>IFERROR(E65/E9,0)</f>
        <v/>
      </c>
      <c r="F70" s="17">
        <f>IFERROR(F65/F9,0)</f>
        <v/>
      </c>
      <c r="G70" s="17">
        <f>IFERROR(G65/G9,0)</f>
        <v/>
      </c>
    </row>
    <row r="71">
      <c r="B71" s="16" t="inlineStr">
        <is>
          <t xml:space="preserve">  Subcontracts % of revenue</t>
        </is>
      </c>
      <c r="C71" s="17">
        <f>IFERROR(C66/C9,0)</f>
        <v/>
      </c>
      <c r="D71" s="17">
        <f>IFERROR(D66/D9,0)</f>
        <v/>
      </c>
      <c r="E71" s="17">
        <f>IFERROR(E66/E9,0)</f>
        <v/>
      </c>
      <c r="F71" s="17">
        <f>IFERROR(F66/F9,0)</f>
        <v/>
      </c>
      <c r="G71" s="17">
        <f>IFERROR(G66/G9,0)</f>
        <v/>
      </c>
    </row>
    <row r="72">
      <c r="B72" s="21" t="inlineStr">
        <is>
          <t xml:space="preserve">  Total direct costs % of revenue</t>
        </is>
      </c>
      <c r="C72" s="22">
        <f>IFERROR(C67/C9,0)</f>
        <v/>
      </c>
      <c r="D72" s="22">
        <f>IFERROR(D67/D9,0)</f>
        <v/>
      </c>
      <c r="E72" s="22">
        <f>IFERROR(E67/E9,0)</f>
        <v/>
      </c>
      <c r="F72" s="22">
        <f>IFERROR(F67/F9,0)</f>
        <v/>
      </c>
      <c r="G72" s="22">
        <f>IFERROR(G67/G9,0)</f>
        <v/>
      </c>
    </row>
    <row r="73">
      <c r="A73" s="18" t="n"/>
      <c r="B73" s="18" t="inlineStr">
        <is>
          <t>Indirect costs</t>
        </is>
      </c>
      <c r="C73" s="18" t="n"/>
      <c r="D73" s="18" t="n"/>
      <c r="E73" s="18" t="n"/>
      <c r="F73" s="18" t="n"/>
      <c r="G73" s="18" t="n"/>
      <c r="H73" s="18" t="n"/>
      <c r="I73" s="18" t="n"/>
    </row>
    <row r="74">
      <c r="B74" s="9" t="inlineStr">
        <is>
          <t xml:space="preserve">  Employee group benefits</t>
        </is>
      </c>
      <c r="C74" s="10" t="n">
        <v>6052</v>
      </c>
      <c r="D74" s="10" t="n">
        <v>5039</v>
      </c>
      <c r="E74" s="10" t="n">
        <v>9316</v>
      </c>
      <c r="F74" s="10" t="n">
        <v>7971</v>
      </c>
      <c r="G74" s="10" t="n">
        <v>18149</v>
      </c>
    </row>
    <row r="75">
      <c r="B75" s="9" t="inlineStr">
        <is>
          <t xml:space="preserve">  WSIB</t>
        </is>
      </c>
      <c r="C75" s="10" t="n">
        <v>1840</v>
      </c>
      <c r="D75" s="10" t="n">
        <v>1078</v>
      </c>
      <c r="E75" s="10" t="n">
        <v>3724</v>
      </c>
      <c r="F75" s="10" t="n">
        <v>2996</v>
      </c>
      <c r="G75" s="10" t="n">
        <v>-47</v>
      </c>
    </row>
    <row r="76">
      <c r="B76" s="9" t="inlineStr">
        <is>
          <t xml:space="preserve">  Insurance and property tax</t>
        </is>
      </c>
      <c r="C76" s="10" t="n">
        <v>28591</v>
      </c>
      <c r="D76" s="10" t="n">
        <v>33771</v>
      </c>
      <c r="E76" s="10" t="n">
        <v>29558</v>
      </c>
      <c r="F76" s="10" t="n">
        <v>33572</v>
      </c>
      <c r="G76" s="10" t="n">
        <v>29258</v>
      </c>
    </row>
    <row r="77">
      <c r="B77" s="9" t="inlineStr">
        <is>
          <t xml:space="preserve">  Utilities</t>
        </is>
      </c>
      <c r="C77" s="10" t="n">
        <v>21844</v>
      </c>
      <c r="D77" s="10" t="n">
        <v>24879</v>
      </c>
      <c r="E77" s="10" t="n">
        <v>25382</v>
      </c>
      <c r="F77" s="10" t="n">
        <v>25785</v>
      </c>
      <c r="G77" s="10" t="n">
        <v>25115</v>
      </c>
    </row>
    <row r="78">
      <c r="B78" s="9" t="inlineStr">
        <is>
          <t xml:space="preserve">  Repairs and maintenance — equipment</t>
        </is>
      </c>
      <c r="C78" s="10" t="n">
        <v>29368</v>
      </c>
      <c r="D78" s="10" t="n">
        <v>47451</v>
      </c>
      <c r="E78" s="10" t="n">
        <v>39527</v>
      </c>
      <c r="F78" s="10" t="n">
        <v>13007</v>
      </c>
      <c r="G78" s="10" t="n">
        <v>21655</v>
      </c>
    </row>
    <row r="79">
      <c r="B79" s="9" t="inlineStr">
        <is>
          <t xml:space="preserve">  Repairs and maintenance — buildings</t>
        </is>
      </c>
      <c r="C79" s="10" t="n">
        <v>35600</v>
      </c>
      <c r="D79" s="10" t="n">
        <v>22714</v>
      </c>
      <c r="E79" s="10" t="n">
        <v>34750</v>
      </c>
      <c r="F79" s="10" t="n">
        <v>50649</v>
      </c>
      <c r="G79" s="10" t="n">
        <v>141141</v>
      </c>
    </row>
    <row r="80">
      <c r="B80" s="9" t="inlineStr">
        <is>
          <t xml:space="preserve">  Freight and duty</t>
        </is>
      </c>
      <c r="C80" s="10" t="n">
        <v>23583</v>
      </c>
      <c r="D80" s="10" t="n">
        <v>14673</v>
      </c>
      <c r="E80" s="10" t="n">
        <v>18134</v>
      </c>
      <c r="F80" s="10" t="n">
        <v>23910</v>
      </c>
      <c r="G80" s="10" t="n">
        <v>22757</v>
      </c>
    </row>
    <row r="81">
      <c r="B81" s="9" t="inlineStr">
        <is>
          <t xml:space="preserve">  Truck and travel</t>
        </is>
      </c>
      <c r="C81" s="10" t="n">
        <v>4307</v>
      </c>
      <c r="D81" s="10" t="n">
        <v>10175</v>
      </c>
      <c r="E81" s="10" t="n">
        <v>7805</v>
      </c>
      <c r="F81" s="10" t="n">
        <v>11969</v>
      </c>
      <c r="G81" s="10" t="n">
        <v>11486</v>
      </c>
    </row>
    <row r="82">
      <c r="B82" s="9" t="inlineStr">
        <is>
          <t xml:space="preserve">  Amortization — building and shop equipment</t>
        </is>
      </c>
      <c r="C82" s="10" t="n">
        <v>89055</v>
      </c>
      <c r="D82" s="10" t="n">
        <v>74522</v>
      </c>
      <c r="E82" s="10" t="n">
        <v>53208</v>
      </c>
      <c r="F82" s="10" t="n">
        <v>45953</v>
      </c>
      <c r="G82" s="10" t="n">
        <v>42284</v>
      </c>
      <c r="I82" s="12" t="inlineStr">
        <is>
          <t>Non-cash; added back in cash flow.</t>
        </is>
      </c>
    </row>
    <row r="83">
      <c r="B83" s="14" t="inlineStr">
        <is>
          <t>Total indirect costs</t>
        </is>
      </c>
      <c r="C83" s="15">
        <f>SUM(C74:C82)</f>
        <v/>
      </c>
      <c r="D83" s="15">
        <f>SUM(D74:D82)</f>
        <v/>
      </c>
      <c r="E83" s="15">
        <f>SUM(E74:E82)</f>
        <v/>
      </c>
      <c r="F83" s="15">
        <f>SUM(F74:F82)</f>
        <v/>
      </c>
      <c r="G83" s="15">
        <f>SUM(G74:G82)</f>
        <v/>
      </c>
    </row>
    <row r="84">
      <c r="B84" s="19" t="inlineStr">
        <is>
          <t>Total cost of sales</t>
        </is>
      </c>
      <c r="C84" s="20">
        <f>C67+C83</f>
        <v/>
      </c>
      <c r="D84" s="20">
        <f>D67+D83</f>
        <v/>
      </c>
      <c r="E84" s="20">
        <f>E67+E83</f>
        <v/>
      </c>
      <c r="F84" s="20">
        <f>F67+F83</f>
        <v/>
      </c>
      <c r="G84" s="20">
        <f>G67+G83</f>
        <v/>
      </c>
    </row>
    <row r="86" ht="18" customHeight="1">
      <c r="A86" s="8" t="n"/>
      <c r="B86" s="8" t="inlineStr">
        <is>
          <t>BALANCE SHEET</t>
        </is>
      </c>
      <c r="C86" s="8" t="n"/>
      <c r="D86" s="8" t="n"/>
      <c r="E86" s="8" t="n"/>
      <c r="F86" s="8" t="n"/>
      <c r="G86" s="8" t="n"/>
      <c r="H86" s="8" t="n"/>
      <c r="I86" s="8" t="n"/>
    </row>
    <row r="87">
      <c r="A87" s="18" t="n"/>
      <c r="B87" s="18" t="inlineStr">
        <is>
          <t>Assets — current</t>
        </is>
      </c>
      <c r="C87" s="18" t="n"/>
      <c r="D87" s="18" t="n"/>
      <c r="E87" s="18" t="n"/>
      <c r="F87" s="18" t="n"/>
      <c r="G87" s="18" t="n"/>
      <c r="H87" s="18" t="n"/>
      <c r="I87" s="18" t="n"/>
    </row>
    <row r="88">
      <c r="B88" s="9" t="inlineStr">
        <is>
          <t xml:space="preserve">  Cash in bank</t>
        </is>
      </c>
      <c r="C88" s="10" t="n">
        <v>301695</v>
      </c>
      <c r="D88" s="10" t="n">
        <v>331894</v>
      </c>
      <c r="E88" s="10" t="n">
        <v>323927</v>
      </c>
      <c r="F88" s="10" t="n">
        <v>451664</v>
      </c>
      <c r="G88" s="10" t="n">
        <v>700989</v>
      </c>
    </row>
    <row r="89">
      <c r="B89" s="9" t="inlineStr">
        <is>
          <t xml:space="preserve">  Accounts receivable</t>
        </is>
      </c>
      <c r="C89" s="10" t="n">
        <v>174456</v>
      </c>
      <c r="D89" s="10" t="n">
        <v>102521</v>
      </c>
      <c r="E89" s="10" t="n">
        <v>172686</v>
      </c>
      <c r="F89" s="10" t="n">
        <v>283263</v>
      </c>
      <c r="G89" s="10" t="n">
        <v>249660</v>
      </c>
    </row>
    <row r="90">
      <c r="B90" s="9" t="inlineStr">
        <is>
          <t xml:space="preserve">  Government sales tax recoverable</t>
        </is>
      </c>
      <c r="C90" s="10" t="n">
        <v>10746</v>
      </c>
      <c r="D90" s="10" t="n">
        <v>8957</v>
      </c>
      <c r="E90" s="10" t="n">
        <v>11269</v>
      </c>
      <c r="F90" s="10" t="n">
        <v>4041</v>
      </c>
      <c r="G90" s="10" t="n">
        <v>10200</v>
      </c>
    </row>
    <row r="91">
      <c r="B91" s="9" t="inlineStr">
        <is>
          <t xml:space="preserve">  Due from director</t>
        </is>
      </c>
      <c r="C91" s="10" t="n">
        <v>121461</v>
      </c>
      <c r="D91" s="10" t="n">
        <v>243508</v>
      </c>
      <c r="E91" s="10" t="n">
        <v>0</v>
      </c>
      <c r="F91" s="10" t="n">
        <v>0</v>
      </c>
      <c r="G91" s="10" t="n">
        <v>6193</v>
      </c>
    </row>
    <row r="92">
      <c r="B92" s="9" t="inlineStr">
        <is>
          <t xml:space="preserve">  Due from KEL Tooling, non-interest bearing</t>
        </is>
      </c>
      <c r="C92" s="10" t="n">
        <v>0</v>
      </c>
      <c r="D92" s="10" t="n">
        <v>0</v>
      </c>
      <c r="E92" s="10" t="n">
        <v>23308</v>
      </c>
      <c r="F92" s="10" t="n">
        <v>16108</v>
      </c>
      <c r="G92" s="10" t="n">
        <v>8908</v>
      </c>
    </row>
    <row r="93">
      <c r="B93" s="14" t="inlineStr">
        <is>
          <t>Total current assets</t>
        </is>
      </c>
      <c r="C93" s="15">
        <f>SUM(C88:C92)</f>
        <v/>
      </c>
      <c r="D93" s="15">
        <f>SUM(D88:D92)</f>
        <v/>
      </c>
      <c r="E93" s="15">
        <f>SUM(E88:E92)</f>
        <v/>
      </c>
      <c r="F93" s="15">
        <f>SUM(F88:F92)</f>
        <v/>
      </c>
      <c r="G93" s="15">
        <f>SUM(G88:G92)</f>
        <v/>
      </c>
    </row>
    <row r="94">
      <c r="B94" s="9" t="inlineStr">
        <is>
          <t>Due from Related Group of Companies</t>
        </is>
      </c>
      <c r="C94" s="10" t="n">
        <v>24277</v>
      </c>
      <c r="D94" s="10" t="n">
        <v>24277</v>
      </c>
      <c r="E94" s="10" t="n">
        <v>12780</v>
      </c>
      <c r="F94" s="10" t="n">
        <v>16132</v>
      </c>
      <c r="G94" s="10" t="n">
        <v>18139</v>
      </c>
    </row>
    <row r="95">
      <c r="B95" s="9" t="inlineStr">
        <is>
          <t>Land, buildings and equipment, net</t>
        </is>
      </c>
      <c r="C95" s="10" t="n">
        <v>570987</v>
      </c>
      <c r="D95" s="10" t="n">
        <v>513774</v>
      </c>
      <c r="E95" s="10" t="n">
        <v>441755</v>
      </c>
      <c r="F95" s="10" t="n">
        <v>403824</v>
      </c>
      <c r="G95" s="10" t="n">
        <v>502314</v>
      </c>
      <c r="I95" s="12" t="inlineStr">
        <is>
          <t>Net of accumulated amortization.</t>
        </is>
      </c>
    </row>
    <row r="96">
      <c r="B96" s="23" t="inlineStr">
        <is>
          <t>TOTAL ASSETS</t>
        </is>
      </c>
      <c r="C96" s="24">
        <f>C93+C94+C95</f>
        <v/>
      </c>
      <c r="D96" s="24">
        <f>D93+D94+D95</f>
        <v/>
      </c>
      <c r="E96" s="24">
        <f>E93+E94+E95</f>
        <v/>
      </c>
      <c r="F96" s="24">
        <f>F93+F94+F95</f>
        <v/>
      </c>
      <c r="G96" s="24">
        <f>G93+G94+G95</f>
        <v/>
      </c>
    </row>
    <row r="98">
      <c r="A98" s="18" t="n"/>
      <c r="B98" s="18" t="inlineStr">
        <is>
          <t>Liabilities — current</t>
        </is>
      </c>
      <c r="C98" s="18" t="n"/>
      <c r="D98" s="18" t="n"/>
      <c r="E98" s="18" t="n"/>
      <c r="F98" s="18" t="n"/>
      <c r="G98" s="18" t="n"/>
      <c r="H98" s="18" t="n"/>
      <c r="I98" s="18" t="n"/>
    </row>
    <row r="99">
      <c r="B99" s="9" t="inlineStr">
        <is>
          <t xml:space="preserve">  Bank loan</t>
        </is>
      </c>
      <c r="C99" s="10" t="n">
        <v>25000</v>
      </c>
      <c r="D99" s="10" t="n">
        <v>11500</v>
      </c>
      <c r="E99" s="10" t="n">
        <v>0</v>
      </c>
      <c r="F99" s="10" t="n">
        <v>0</v>
      </c>
      <c r="G99" s="10" t="n">
        <v>155242</v>
      </c>
    </row>
    <row r="100">
      <c r="B100" s="9" t="inlineStr">
        <is>
          <t xml:space="preserve">  Accounts payable and accrued liabilities</t>
        </is>
      </c>
      <c r="C100" s="10" t="n">
        <v>246579</v>
      </c>
      <c r="D100" s="10" t="n">
        <v>269806</v>
      </c>
      <c r="E100" s="10" t="n">
        <v>157001</v>
      </c>
      <c r="F100" s="10" t="n">
        <v>148733</v>
      </c>
      <c r="G100" s="10" t="n">
        <v>152022</v>
      </c>
    </row>
    <row r="101">
      <c r="B101" s="9" t="inlineStr">
        <is>
          <t xml:space="preserve">  Payroll deductions payable</t>
        </is>
      </c>
      <c r="C101" s="10" t="n">
        <v>2687</v>
      </c>
      <c r="D101" s="10" t="n">
        <v>26638</v>
      </c>
      <c r="E101" s="10" t="n">
        <v>6158</v>
      </c>
      <c r="F101" s="10" t="n">
        <v>6157</v>
      </c>
      <c r="G101" s="10" t="n">
        <v>10936</v>
      </c>
    </row>
    <row r="102">
      <c r="B102" s="9" t="inlineStr">
        <is>
          <t xml:space="preserve">  Income tax payable</t>
        </is>
      </c>
      <c r="C102" s="10" t="n">
        <v>37030</v>
      </c>
      <c r="D102" s="10" t="n">
        <v>10179</v>
      </c>
      <c r="E102" s="10" t="n">
        <v>16792</v>
      </c>
      <c r="F102" s="10" t="n">
        <v>30644</v>
      </c>
      <c r="G102" s="10" t="n">
        <v>629</v>
      </c>
    </row>
    <row r="103">
      <c r="B103" s="9" t="inlineStr">
        <is>
          <t xml:space="preserve">  Due to KEL Tooling, non-interest bearing</t>
        </is>
      </c>
      <c r="C103" s="10" t="n">
        <v>2239</v>
      </c>
      <c r="D103" s="10" t="n">
        <v>0</v>
      </c>
      <c r="E103" s="10" t="n">
        <v>0</v>
      </c>
      <c r="F103" s="10" t="n">
        <v>0</v>
      </c>
      <c r="G103" s="10" t="n">
        <v>0</v>
      </c>
    </row>
    <row r="104">
      <c r="B104" s="9" t="inlineStr">
        <is>
          <t xml:space="preserve">  Due to director</t>
        </is>
      </c>
      <c r="C104" s="10" t="n">
        <v>0</v>
      </c>
      <c r="D104" s="10" t="n">
        <v>0</v>
      </c>
      <c r="E104" s="10" t="n">
        <v>6616</v>
      </c>
      <c r="F104" s="10" t="n">
        <v>6616</v>
      </c>
      <c r="G104" s="10" t="n">
        <v>0</v>
      </c>
    </row>
    <row r="105">
      <c r="B105" s="14" t="inlineStr">
        <is>
          <t>Total current liabilities</t>
        </is>
      </c>
      <c r="C105" s="15">
        <f>SUM(C99:C104)</f>
        <v/>
      </c>
      <c r="D105" s="15">
        <f>SUM(D99:D104)</f>
        <v/>
      </c>
      <c r="E105" s="15">
        <f>SUM(E99:E104)</f>
        <v/>
      </c>
      <c r="F105" s="15">
        <f>SUM(F99:F104)</f>
        <v/>
      </c>
      <c r="G105" s="15">
        <f>SUM(G99:G104)</f>
        <v/>
      </c>
    </row>
    <row r="106">
      <c r="B106" s="9" t="inlineStr">
        <is>
          <t>Future income tax liability</t>
        </is>
      </c>
      <c r="C106" s="10" t="n">
        <v>16039</v>
      </c>
      <c r="D106" s="10" t="n">
        <v>10090</v>
      </c>
      <c r="E106" s="10" t="n">
        <v>4211</v>
      </c>
      <c r="F106" s="10" t="n">
        <v>849</v>
      </c>
      <c r="G106" s="10" t="n">
        <v>0</v>
      </c>
    </row>
    <row r="107">
      <c r="B107" s="14" t="inlineStr">
        <is>
          <t>Total liabilities</t>
        </is>
      </c>
      <c r="C107" s="15">
        <f>C105+C106</f>
        <v/>
      </c>
      <c r="D107" s="15">
        <f>D105+D106</f>
        <v/>
      </c>
      <c r="E107" s="15">
        <f>E105+E106</f>
        <v/>
      </c>
      <c r="F107" s="15">
        <f>F105+F106</f>
        <v/>
      </c>
      <c r="G107" s="15">
        <f>G105+G106</f>
        <v/>
      </c>
    </row>
    <row r="108">
      <c r="A108" s="18" t="n"/>
      <c r="B108" s="18" t="inlineStr">
        <is>
          <t>Shareholders' equity</t>
        </is>
      </c>
      <c r="C108" s="18" t="n"/>
      <c r="D108" s="18" t="n"/>
      <c r="E108" s="18" t="n"/>
      <c r="F108" s="18" t="n"/>
      <c r="G108" s="18" t="n"/>
      <c r="H108" s="18" t="n"/>
      <c r="I108" s="18" t="n"/>
    </row>
    <row r="109">
      <c r="B109" s="9" t="inlineStr">
        <is>
          <t xml:space="preserve">  Share capital</t>
        </is>
      </c>
      <c r="C109" s="10" t="n">
        <v>1000</v>
      </c>
      <c r="D109" s="10" t="n">
        <v>1000</v>
      </c>
      <c r="E109" s="10" t="n">
        <v>1000</v>
      </c>
      <c r="F109" s="10" t="n">
        <v>1000</v>
      </c>
      <c r="G109" s="10" t="n">
        <v>1000</v>
      </c>
    </row>
    <row r="110">
      <c r="B110" s="9" t="inlineStr">
        <is>
          <t xml:space="preserve">  Retained earnings</t>
        </is>
      </c>
      <c r="C110" s="13">
        <f>C53</f>
        <v/>
      </c>
      <c r="D110" s="13">
        <f>D53</f>
        <v/>
      </c>
      <c r="E110" s="13">
        <f>E53</f>
        <v/>
      </c>
      <c r="F110" s="13">
        <f>F53</f>
        <v/>
      </c>
      <c r="G110" s="13">
        <f>G53</f>
        <v/>
      </c>
      <c r="I110" s="12" t="inlineStr">
        <is>
          <t>Links to retained earnings, end of year (Income Statement).</t>
        </is>
      </c>
    </row>
    <row r="111">
      <c r="B111" s="14" t="inlineStr">
        <is>
          <t>Total shareholders' equity</t>
        </is>
      </c>
      <c r="C111" s="15">
        <f>C109+C110</f>
        <v/>
      </c>
      <c r="D111" s="15">
        <f>D109+D110</f>
        <v/>
      </c>
      <c r="E111" s="15">
        <f>E109+E110</f>
        <v/>
      </c>
      <c r="F111" s="15">
        <f>F109+F110</f>
        <v/>
      </c>
      <c r="G111" s="15">
        <f>G109+G110</f>
        <v/>
      </c>
    </row>
    <row r="112">
      <c r="B112" s="23" t="inlineStr">
        <is>
          <t>TOTAL LIABILITIES AND EQUITY</t>
        </is>
      </c>
      <c r="C112" s="24">
        <f>C107+C111</f>
        <v/>
      </c>
      <c r="D112" s="24">
        <f>D107+D111</f>
        <v/>
      </c>
      <c r="E112" s="24">
        <f>E107+E111</f>
        <v/>
      </c>
      <c r="F112" s="24">
        <f>F107+F111</f>
        <v/>
      </c>
      <c r="G112" s="24">
        <f>G107+G111</f>
        <v/>
      </c>
    </row>
    <row r="113">
      <c r="B113" s="9" t="inlineStr">
        <is>
          <t>Balance check (Total assets − Total liabilities &amp; equity)</t>
        </is>
      </c>
      <c r="C113" s="13">
        <f>C96-C112</f>
        <v/>
      </c>
      <c r="D113" s="13">
        <f>D96-D112</f>
        <v/>
      </c>
      <c r="E113" s="13">
        <f>E96-E112</f>
        <v/>
      </c>
      <c r="F113" s="13">
        <f>F96-F112</f>
        <v/>
      </c>
      <c r="G113" s="13">
        <f>G96-G112</f>
        <v/>
      </c>
    </row>
    <row r="115" ht="18" customHeight="1">
      <c r="A115" s="8" t="n"/>
      <c r="B115" s="8" t="inlineStr">
        <is>
          <t>CASH FLOW STATEMENT (implied from balance sheet &amp; income statement)</t>
        </is>
      </c>
      <c r="C115" s="8" t="n"/>
      <c r="D115" s="8" t="n"/>
      <c r="E115" s="8" t="n"/>
      <c r="F115" s="8" t="n"/>
      <c r="G115" s="8" t="n"/>
      <c r="H115" s="8" t="n"/>
      <c r="I115" s="8" t="n"/>
    </row>
    <row r="116">
      <c r="A116" s="18" t="n"/>
      <c r="B116" s="18" t="inlineStr">
        <is>
          <t>Operating activities</t>
        </is>
      </c>
      <c r="C116" s="18" t="n"/>
      <c r="D116" s="18" t="n"/>
      <c r="E116" s="18" t="n"/>
      <c r="F116" s="18" t="n"/>
      <c r="G116" s="18" t="n"/>
      <c r="H116" s="18" t="n"/>
      <c r="I116" s="18" t="n"/>
    </row>
    <row r="117">
      <c r="B117" s="9" t="inlineStr">
        <is>
          <t xml:space="preserve">  Net income for the year</t>
        </is>
      </c>
      <c r="C117" s="13" t="n"/>
      <c r="D117" s="13">
        <f>D36</f>
        <v/>
      </c>
      <c r="E117" s="13">
        <f>E36</f>
        <v/>
      </c>
      <c r="F117" s="13">
        <f>F36</f>
        <v/>
      </c>
      <c r="G117" s="13">
        <f>G36</f>
        <v/>
      </c>
    </row>
    <row r="118">
      <c r="B118" s="9" t="inlineStr">
        <is>
          <t xml:space="preserve">  Add: amortization — office equipment</t>
        </is>
      </c>
      <c r="C118" s="13" t="n"/>
      <c r="D118" s="13">
        <f>D19</f>
        <v/>
      </c>
      <c r="E118" s="13">
        <f>E19</f>
        <v/>
      </c>
      <c r="F118" s="13">
        <f>F19</f>
        <v/>
      </c>
      <c r="G118" s="13">
        <f>G19</f>
        <v/>
      </c>
    </row>
    <row r="119">
      <c r="B119" s="9" t="inlineStr">
        <is>
          <t xml:space="preserve">  Add: amortization — building and shop equipment</t>
        </is>
      </c>
      <c r="C119" s="13" t="n"/>
      <c r="D119" s="13">
        <f>D82</f>
        <v/>
      </c>
      <c r="E119" s="13">
        <f>E82</f>
        <v/>
      </c>
      <c r="F119" s="13">
        <f>F82</f>
        <v/>
      </c>
      <c r="G119" s="13">
        <f>G82</f>
        <v/>
      </c>
    </row>
    <row r="120">
      <c r="B120" s="9" t="inlineStr">
        <is>
          <t xml:space="preserve">  Increase / (decrease) in future income tax liability</t>
        </is>
      </c>
      <c r="C120" s="13" t="n"/>
      <c r="D120" s="13">
        <f>D106-C106</f>
        <v/>
      </c>
      <c r="E120" s="13">
        <f>E106-D106</f>
        <v/>
      </c>
      <c r="F120" s="13">
        <f>F106-E106</f>
        <v/>
      </c>
      <c r="G120" s="13">
        <f>G106-F106</f>
        <v/>
      </c>
    </row>
    <row r="121">
      <c r="B121" s="9" t="inlineStr">
        <is>
          <t xml:space="preserve">  (Increase) / decrease in accounts receivable</t>
        </is>
      </c>
      <c r="C121" s="13" t="n"/>
      <c r="D121" s="13">
        <f>-(D89-C89)</f>
        <v/>
      </c>
      <c r="E121" s="13">
        <f>-(E89-D89)</f>
        <v/>
      </c>
      <c r="F121" s="13">
        <f>-(F89-E89)</f>
        <v/>
      </c>
      <c r="G121" s="13">
        <f>-(G89-F89)</f>
        <v/>
      </c>
    </row>
    <row r="122">
      <c r="B122" s="9" t="inlineStr">
        <is>
          <t xml:space="preserve">  (Increase) / decrease in government sales tax recoverable</t>
        </is>
      </c>
      <c r="C122" s="13" t="n"/>
      <c r="D122" s="13">
        <f>-(D90-C90)</f>
        <v/>
      </c>
      <c r="E122" s="13">
        <f>-(E90-D90)</f>
        <v/>
      </c>
      <c r="F122" s="13">
        <f>-(F90-E90)</f>
        <v/>
      </c>
      <c r="G122" s="13">
        <f>-(G90-F90)</f>
        <v/>
      </c>
    </row>
    <row r="123">
      <c r="B123" s="9" t="inlineStr">
        <is>
          <t xml:space="preserve">  Increase / (decrease) in accounts payable and accrued liabilities</t>
        </is>
      </c>
      <c r="C123" s="13" t="n"/>
      <c r="D123" s="13">
        <f>D100-C100</f>
        <v/>
      </c>
      <c r="E123" s="13">
        <f>E100-D100</f>
        <v/>
      </c>
      <c r="F123" s="13">
        <f>F100-E100</f>
        <v/>
      </c>
      <c r="G123" s="13">
        <f>G100-F100</f>
        <v/>
      </c>
    </row>
    <row r="124">
      <c r="B124" s="9" t="inlineStr">
        <is>
          <t xml:space="preserve">  Increase / (decrease) in payroll deductions payable</t>
        </is>
      </c>
      <c r="C124" s="13" t="n"/>
      <c r="D124" s="13">
        <f>D101-C101</f>
        <v/>
      </c>
      <c r="E124" s="13">
        <f>E101-D101</f>
        <v/>
      </c>
      <c r="F124" s="13">
        <f>F101-E101</f>
        <v/>
      </c>
      <c r="G124" s="13">
        <f>G101-F101</f>
        <v/>
      </c>
    </row>
    <row r="125">
      <c r="B125" s="9" t="inlineStr">
        <is>
          <t xml:space="preserve">  Increase / (decrease) in income tax payable</t>
        </is>
      </c>
      <c r="C125" s="13" t="n"/>
      <c r="D125" s="13">
        <f>D102-C102</f>
        <v/>
      </c>
      <c r="E125" s="13">
        <f>E102-D102</f>
        <v/>
      </c>
      <c r="F125" s="13">
        <f>F102-E102</f>
        <v/>
      </c>
      <c r="G125" s="13">
        <f>G102-F102</f>
        <v/>
      </c>
    </row>
    <row r="126">
      <c r="B126" s="14" t="inlineStr">
        <is>
          <t>Net cash from operating activities</t>
        </is>
      </c>
      <c r="C126" s="15" t="n"/>
      <c r="D126" s="15">
        <f>SUM(D117:D125)</f>
        <v/>
      </c>
      <c r="E126" s="15">
        <f>SUM(E117:E125)</f>
        <v/>
      </c>
      <c r="F126" s="15">
        <f>SUM(F117:F125)</f>
        <v/>
      </c>
      <c r="G126" s="15">
        <f>SUM(G117:G125)</f>
        <v/>
      </c>
    </row>
    <row r="127">
      <c r="A127" s="18" t="n"/>
      <c r="B127" s="18" t="inlineStr">
        <is>
          <t>Investing activities</t>
        </is>
      </c>
      <c r="C127" s="18" t="n"/>
      <c r="D127" s="18" t="n"/>
      <c r="E127" s="18" t="n"/>
      <c r="F127" s="18" t="n"/>
      <c r="G127" s="18" t="n"/>
      <c r="H127" s="18" t="n"/>
      <c r="I127" s="18" t="n"/>
    </row>
    <row r="128">
      <c r="B128" s="9" t="inlineStr">
        <is>
          <t xml:space="preserve">  Purchase of land, buildings and equipment (implied)</t>
        </is>
      </c>
      <c r="C128" s="13" t="n"/>
      <c r="D128" s="13">
        <f>-((D95-C95)+D19+D82)</f>
        <v/>
      </c>
      <c r="E128" s="13">
        <f>-((E95-D95)+E19+E82)</f>
        <v/>
      </c>
      <c r="F128" s="13">
        <f>-((F95-E95)+F19+F82)</f>
        <v/>
      </c>
      <c r="G128" s="13">
        <f>-((G95-F95)+G19+G82)</f>
        <v/>
      </c>
      <c r="I128" s="12" t="inlineStr">
        <is>
          <t>Implied capex = Δ net PP&amp;E + total amortization. A positive figure here is a cash inflow (net disposals &gt; additions), as in FY2023.</t>
        </is>
      </c>
    </row>
    <row r="129">
      <c r="B129" s="14" t="inlineStr">
        <is>
          <t>Net cash from investing activities</t>
        </is>
      </c>
      <c r="C129" s="15" t="n"/>
      <c r="D129" s="15">
        <f>SUM(D128:D128)</f>
        <v/>
      </c>
      <c r="E129" s="15">
        <f>SUM(E128:E128)</f>
        <v/>
      </c>
      <c r="F129" s="15">
        <f>SUM(F128:F128)</f>
        <v/>
      </c>
      <c r="G129" s="15">
        <f>SUM(G128:G128)</f>
        <v/>
      </c>
    </row>
    <row r="130">
      <c r="A130" s="18" t="n"/>
      <c r="B130" s="18" t="inlineStr">
        <is>
          <t>Financing activities</t>
        </is>
      </c>
      <c r="C130" s="18" t="n"/>
      <c r="D130" s="18" t="n"/>
      <c r="E130" s="18" t="n"/>
      <c r="F130" s="18" t="n"/>
      <c r="G130" s="18" t="n"/>
      <c r="H130" s="18" t="n"/>
      <c r="I130" s="18" t="n"/>
    </row>
    <row r="131">
      <c r="B131" s="9" t="inlineStr">
        <is>
          <t xml:space="preserve">  Increase / (decrease) in bank loan</t>
        </is>
      </c>
      <c r="C131" s="13" t="n"/>
      <c r="D131" s="13">
        <f>D99-C99</f>
        <v/>
      </c>
      <c r="E131" s="13">
        <f>E99-D99</f>
        <v/>
      </c>
      <c r="F131" s="13">
        <f>F99-E99</f>
        <v/>
      </c>
      <c r="G131" s="13">
        <f>G99-F99</f>
        <v/>
      </c>
    </row>
    <row r="132">
      <c r="B132" s="9" t="inlineStr">
        <is>
          <t xml:space="preserve">  Increase / (decrease) in due to director</t>
        </is>
      </c>
      <c r="C132" s="13" t="n"/>
      <c r="D132" s="13">
        <f>D104-C104</f>
        <v/>
      </c>
      <c r="E132" s="13">
        <f>E104-D104</f>
        <v/>
      </c>
      <c r="F132" s="13">
        <f>F104-E104</f>
        <v/>
      </c>
      <c r="G132" s="13">
        <f>G104-F104</f>
        <v/>
      </c>
    </row>
    <row r="133">
      <c r="B133" s="9" t="inlineStr">
        <is>
          <t xml:space="preserve">  Increase / (decrease) in due to KEL Tooling</t>
        </is>
      </c>
      <c r="C133" s="13" t="n"/>
      <c r="D133" s="13">
        <f>D103-C103</f>
        <v/>
      </c>
      <c r="E133" s="13">
        <f>E103-D103</f>
        <v/>
      </c>
      <c r="F133" s="13">
        <f>F103-E103</f>
        <v/>
      </c>
      <c r="G133" s="13">
        <f>G103-F103</f>
        <v/>
      </c>
    </row>
    <row r="134">
      <c r="B134" s="9" t="inlineStr">
        <is>
          <t xml:space="preserve">  (Increase) / decrease in due from Related Group of Companies</t>
        </is>
      </c>
      <c r="C134" s="13" t="n"/>
      <c r="D134" s="13">
        <f>-(D94-C94)</f>
        <v/>
      </c>
      <c r="E134" s="13">
        <f>-(E94-D94)</f>
        <v/>
      </c>
      <c r="F134" s="13">
        <f>-(F94-E94)</f>
        <v/>
      </c>
      <c r="G134" s="13">
        <f>-(G94-F94)</f>
        <v/>
      </c>
      <c r="I134" s="12" t="inlineStr">
        <is>
          <t>Related-party advances — reclassified to financing.</t>
        </is>
      </c>
    </row>
    <row r="135">
      <c r="B135" s="9" t="inlineStr">
        <is>
          <t xml:space="preserve">  (Increase) / decrease in due from director</t>
        </is>
      </c>
      <c r="C135" s="13" t="n"/>
      <c r="D135" s="13">
        <f>-(D91-C91)</f>
        <v/>
      </c>
      <c r="E135" s="13">
        <f>-(E91-D91)</f>
        <v/>
      </c>
      <c r="F135" s="13">
        <f>-(F91-E91)</f>
        <v/>
      </c>
      <c r="G135" s="13">
        <f>-(G91-F91)</f>
        <v/>
      </c>
    </row>
    <row r="136">
      <c r="B136" s="9" t="inlineStr">
        <is>
          <t xml:space="preserve">  (Increase) / decrease in due from KEL Tooling</t>
        </is>
      </c>
      <c r="C136" s="13" t="n"/>
      <c r="D136" s="13">
        <f>-(D92-C92)</f>
        <v/>
      </c>
      <c r="E136" s="13">
        <f>-(E92-D92)</f>
        <v/>
      </c>
      <c r="F136" s="13">
        <f>-(F92-E92)</f>
        <v/>
      </c>
      <c r="G136" s="13">
        <f>-(G92-F92)</f>
        <v/>
      </c>
    </row>
    <row r="137">
      <c r="B137" s="9" t="inlineStr">
        <is>
          <t xml:space="preserve">  Dividends paid</t>
        </is>
      </c>
      <c r="C137" s="13" t="n"/>
      <c r="D137" s="13">
        <f>-D52</f>
        <v/>
      </c>
      <c r="E137" s="13">
        <f>-E52</f>
        <v/>
      </c>
      <c r="F137" s="13">
        <f>-F52</f>
        <v/>
      </c>
      <c r="G137" s="13">
        <f>-G52</f>
        <v/>
      </c>
    </row>
    <row r="138">
      <c r="B138" s="9" t="inlineStr">
        <is>
          <t xml:space="preserve">  Issuance of share capital</t>
        </is>
      </c>
      <c r="C138" s="13" t="n"/>
      <c r="D138" s="13">
        <f>D109-C109</f>
        <v/>
      </c>
      <c r="E138" s="13">
        <f>E109-D109</f>
        <v/>
      </c>
      <c r="F138" s="13">
        <f>F109-E109</f>
        <v/>
      </c>
      <c r="G138" s="13">
        <f>G109-F109</f>
        <v/>
      </c>
    </row>
    <row r="139">
      <c r="B139" s="14" t="inlineStr">
        <is>
          <t>Net cash from financing activities</t>
        </is>
      </c>
      <c r="C139" s="15" t="n"/>
      <c r="D139" s="15">
        <f>SUM(D131:D138)</f>
        <v/>
      </c>
      <c r="E139" s="15">
        <f>SUM(E131:E138)</f>
        <v/>
      </c>
      <c r="F139" s="15">
        <f>SUM(F131:F138)</f>
        <v/>
      </c>
      <c r="G139" s="15">
        <f>SUM(G131:G138)</f>
        <v/>
      </c>
    </row>
    <row r="140">
      <c r="B140" s="19" t="inlineStr">
        <is>
          <t>Net change in cash</t>
        </is>
      </c>
      <c r="C140" s="20">
        <f>C126+C129+C139</f>
        <v/>
      </c>
      <c r="D140" s="20">
        <f>D126+D129+D139</f>
        <v/>
      </c>
      <c r="E140" s="20">
        <f>E126+E129+E139</f>
        <v/>
      </c>
      <c r="F140" s="20">
        <f>F126+F129+F139</f>
        <v/>
      </c>
      <c r="G140" s="20">
        <f>G126+G129+G139</f>
        <v/>
      </c>
    </row>
    <row r="141">
      <c r="B141" s="9" t="inlineStr">
        <is>
          <t>Cash, beginning of year</t>
        </is>
      </c>
      <c r="C141" s="13" t="n"/>
      <c r="D141" s="13">
        <f>C88</f>
        <v/>
      </c>
      <c r="E141" s="13">
        <f>D88</f>
        <v/>
      </c>
      <c r="F141" s="13">
        <f>E88</f>
        <v/>
      </c>
      <c r="G141" s="13">
        <f>F88</f>
        <v/>
      </c>
    </row>
    <row r="142">
      <c r="B142" s="14" t="inlineStr">
        <is>
          <t>Cash, end of year</t>
        </is>
      </c>
      <c r="C142" s="15" t="n"/>
      <c r="D142" s="15">
        <f>D141+D140</f>
        <v/>
      </c>
      <c r="E142" s="15">
        <f>E141+E140</f>
        <v/>
      </c>
      <c r="F142" s="15">
        <f>F141+F140</f>
        <v/>
      </c>
      <c r="G142" s="15">
        <f>G141+G140</f>
        <v/>
      </c>
    </row>
    <row r="143">
      <c r="B143" s="9" t="inlineStr">
        <is>
          <t>Tie-out check (implied ending cash − balance sheet cash)</t>
        </is>
      </c>
      <c r="C143" s="13">
        <f>C142-C88</f>
        <v/>
      </c>
      <c r="D143" s="13">
        <f>D142-D88</f>
        <v/>
      </c>
      <c r="E143" s="13">
        <f>E142-E88</f>
        <v/>
      </c>
      <c r="F143" s="13">
        <f>F142-F88</f>
        <v/>
      </c>
      <c r="G143" s="13">
        <f>G142-G88</f>
        <v/>
      </c>
    </row>
    <row r="145" ht="18" customHeight="1">
      <c r="A145" s="8" t="n"/>
      <c r="B145" s="8" t="inlineStr">
        <is>
          <t>AMORTIZATION &amp; PP&amp;E SCHEDULE</t>
        </is>
      </c>
      <c r="C145" s="8" t="n"/>
      <c r="D145" s="8" t="n"/>
      <c r="E145" s="8" t="n"/>
      <c r="F145" s="8" t="n"/>
      <c r="G145" s="8" t="n"/>
      <c r="H145" s="8" t="n"/>
      <c r="I145" s="8" t="n"/>
    </row>
    <row r="146">
      <c r="A146" s="18" t="n"/>
      <c r="B146" s="18" t="inlineStr">
        <is>
          <t>Amortization (depreciation) by category</t>
        </is>
      </c>
      <c r="C146" s="18" t="n"/>
      <c r="D146" s="18" t="n"/>
      <c r="E146" s="18" t="n"/>
      <c r="F146" s="18" t="n"/>
      <c r="G146" s="18" t="n"/>
      <c r="H146" s="18" t="n"/>
      <c r="I146" s="18" t="n"/>
    </row>
    <row r="147">
      <c r="B147" s="9" t="inlineStr">
        <is>
          <t xml:space="preserve">  Amortization — office equipment (G&amp;A)</t>
        </is>
      </c>
      <c r="C147" s="13">
        <f>C19</f>
        <v/>
      </c>
      <c r="D147" s="13">
        <f>D19</f>
        <v/>
      </c>
      <c r="E147" s="13">
        <f>E19</f>
        <v/>
      </c>
      <c r="F147" s="13">
        <f>F19</f>
        <v/>
      </c>
      <c r="G147" s="13">
        <f>G19</f>
        <v/>
      </c>
    </row>
    <row r="148">
      <c r="B148" s="9" t="inlineStr">
        <is>
          <t xml:space="preserve">  Amortization — building and shop equipment (COGS)</t>
        </is>
      </c>
      <c r="C148" s="13">
        <f>C82</f>
        <v/>
      </c>
      <c r="D148" s="13">
        <f>D82</f>
        <v/>
      </c>
      <c r="E148" s="13">
        <f>E82</f>
        <v/>
      </c>
      <c r="F148" s="13">
        <f>F82</f>
        <v/>
      </c>
      <c r="G148" s="13">
        <f>G82</f>
        <v/>
      </c>
    </row>
    <row r="149">
      <c r="B149" s="14" t="inlineStr">
        <is>
          <t>Total amortization (D&amp;A)</t>
        </is>
      </c>
      <c r="C149" s="15">
        <f>C19+C82</f>
        <v/>
      </c>
      <c r="D149" s="15">
        <f>D19+D82</f>
        <v/>
      </c>
      <c r="E149" s="15">
        <f>E19+E82</f>
        <v/>
      </c>
      <c r="F149" s="15">
        <f>F19+F82</f>
        <v/>
      </c>
      <c r="G149" s="15">
        <f>G19+G82</f>
        <v/>
      </c>
    </row>
    <row r="150">
      <c r="A150" s="18" t="n"/>
      <c r="B150" s="18" t="inlineStr">
        <is>
          <t>PP&amp;E rollforward (net book value)</t>
        </is>
      </c>
      <c r="C150" s="18" t="n"/>
      <c r="D150" s="18" t="n"/>
      <c r="E150" s="18" t="n"/>
      <c r="F150" s="18" t="n"/>
      <c r="G150" s="18" t="n"/>
      <c r="H150" s="18" t="n"/>
      <c r="I150" s="18" t="n"/>
    </row>
    <row r="151">
      <c r="B151" s="9" t="inlineStr">
        <is>
          <t xml:space="preserve">  PP&amp;E, beginning of year</t>
        </is>
      </c>
      <c r="C151" s="13" t="n"/>
      <c r="D151" s="13">
        <f>C95</f>
        <v/>
      </c>
      <c r="E151" s="13">
        <f>D95</f>
        <v/>
      </c>
      <c r="F151" s="13">
        <f>E95</f>
        <v/>
      </c>
      <c r="G151" s="13">
        <f>F95</f>
        <v/>
      </c>
    </row>
    <row r="152">
      <c r="B152" s="9" t="inlineStr">
        <is>
          <t xml:space="preserve">  Add: capital expenditures (implied)</t>
        </is>
      </c>
      <c r="C152" s="13" t="n"/>
      <c r="D152" s="13">
        <f>-D128</f>
        <v/>
      </c>
      <c r="E152" s="13">
        <f>-E128</f>
        <v/>
      </c>
      <c r="F152" s="13">
        <f>-F128</f>
        <v/>
      </c>
      <c r="G152" s="13">
        <f>-G128</f>
        <v/>
      </c>
    </row>
    <row r="153">
      <c r="B153" s="9" t="inlineStr">
        <is>
          <t xml:space="preserve">  Less: total amortization</t>
        </is>
      </c>
      <c r="C153" s="13" t="n"/>
      <c r="D153" s="13">
        <f>-(D19+D82)</f>
        <v/>
      </c>
      <c r="E153" s="13">
        <f>-(E19+E82)</f>
        <v/>
      </c>
      <c r="F153" s="13">
        <f>-(F19+F82)</f>
        <v/>
      </c>
      <c r="G153" s="13">
        <f>-(G19+G82)</f>
        <v/>
      </c>
    </row>
    <row r="154">
      <c r="B154" s="14" t="inlineStr">
        <is>
          <t xml:space="preserve">  PP&amp;E, end of year</t>
        </is>
      </c>
      <c r="C154" s="15" t="n"/>
      <c r="D154" s="15">
        <f>D151+D152+D153</f>
        <v/>
      </c>
      <c r="E154" s="15">
        <f>E151+E152+E153</f>
        <v/>
      </c>
      <c r="F154" s="15">
        <f>F151+F152+F153</f>
        <v/>
      </c>
      <c r="G154" s="15">
        <f>G151+G152+G153</f>
        <v/>
      </c>
    </row>
    <row r="155">
      <c r="B155" s="9" t="inlineStr">
        <is>
          <t xml:space="preserve">  Check (rollforward − balance sheet PP&amp;E)</t>
        </is>
      </c>
      <c r="C155" s="13" t="n"/>
      <c r="D155" s="13">
        <f>D154-D95</f>
        <v/>
      </c>
      <c r="E155" s="13">
        <f>E154-E95</f>
        <v/>
      </c>
      <c r="F155" s="13">
        <f>F154-F95</f>
        <v/>
      </c>
      <c r="G155" s="13">
        <f>G154-G95</f>
        <v/>
      </c>
    </row>
    <row r="156">
      <c r="A156" s="18" t="n"/>
      <c r="B156" s="18" t="inlineStr">
        <is>
          <t>Implied useful-life analysis</t>
        </is>
      </c>
      <c r="C156" s="18" t="n"/>
      <c r="D156" s="18" t="n"/>
      <c r="E156" s="18" t="n"/>
      <c r="F156" s="18" t="n"/>
      <c r="G156" s="18" t="n"/>
      <c r="H156" s="18" t="n"/>
      <c r="I156" s="18" t="n"/>
    </row>
    <row r="157">
      <c r="B157" s="9" t="inlineStr">
        <is>
          <t xml:space="preserve">  Net PP&amp;E, end of year</t>
        </is>
      </c>
      <c r="C157" s="13">
        <f>C95</f>
        <v/>
      </c>
      <c r="D157" s="13">
        <f>D95</f>
        <v/>
      </c>
      <c r="E157" s="13">
        <f>E95</f>
        <v/>
      </c>
      <c r="F157" s="13">
        <f>F95</f>
        <v/>
      </c>
      <c r="G157" s="13">
        <f>G95</f>
        <v/>
      </c>
    </row>
    <row r="158">
      <c r="B158" s="9" t="inlineStr">
        <is>
          <t xml:space="preserve">  Total amortization (D&amp;A)</t>
        </is>
      </c>
      <c r="C158" s="13">
        <f>C149</f>
        <v/>
      </c>
      <c r="D158" s="13">
        <f>D149</f>
        <v/>
      </c>
      <c r="E158" s="13">
        <f>E149</f>
        <v/>
      </c>
      <c r="F158" s="13">
        <f>F149</f>
        <v/>
      </c>
      <c r="G158" s="13">
        <f>G149</f>
        <v/>
      </c>
    </row>
    <row r="159">
      <c r="B159" s="16" t="inlineStr">
        <is>
          <t xml:space="preserve">  Implied depreciation rate (D&amp;A / beginning net PP&amp;E)</t>
        </is>
      </c>
      <c r="C159" s="17" t="n"/>
      <c r="D159" s="17">
        <f>IFERROR(D149/C95,"")</f>
        <v/>
      </c>
      <c r="E159" s="17">
        <f>IFERROR(E149/D95,"")</f>
        <v/>
      </c>
      <c r="F159" s="17">
        <f>IFERROR(F149/E95,"")</f>
        <v/>
      </c>
      <c r="G159" s="17">
        <f>IFERROR(G149/F95,"")</f>
        <v/>
      </c>
      <c r="I159" s="12" t="inlineStr">
        <is>
          <t>Annual amortization as a % of opening net book value.</t>
        </is>
      </c>
    </row>
    <row r="160">
      <c r="B160" s="16" t="inlineStr">
        <is>
          <t xml:space="preserve">  Implied remaining useful life (net PP&amp;E / D&amp;A)</t>
        </is>
      </c>
      <c r="C160" s="25">
        <f>IFERROR(C95/C149,"")</f>
        <v/>
      </c>
      <c r="D160" s="25">
        <f>IFERROR(D95/D149,"")</f>
        <v/>
      </c>
      <c r="E160" s="25">
        <f>IFERROR(E95/E149,"")</f>
        <v/>
      </c>
      <c r="F160" s="25">
        <f>IFERROR(F95/F149,"")</f>
        <v/>
      </c>
      <c r="G160" s="25">
        <f>IFERROR(G95/G149,"")</f>
        <v/>
      </c>
      <c r="I160" s="12" t="inlineStr">
        <is>
          <t>Years of amortization remaining at the current run-rate on the net book value.</t>
        </is>
      </c>
    </row>
    <row r="161">
      <c r="B161" s="16" t="inlineStr">
        <is>
          <t xml:space="preserve">  Capex intensity (implied capex / D&amp;A)</t>
        </is>
      </c>
      <c r="C161" s="26" t="n"/>
      <c r="D161" s="26">
        <f>IFERROR(-D128/D149,"")</f>
        <v/>
      </c>
      <c r="E161" s="26">
        <f>IFERROR(-E128/E149,"")</f>
        <v/>
      </c>
      <c r="F161" s="26">
        <f>IFERROR(-F128/F149,"")</f>
        <v/>
      </c>
      <c r="G161" s="26">
        <f>IFERROR(-G128/G149,"")</f>
        <v/>
      </c>
      <c r="I161" s="12" t="inlineStr">
        <is>
          <t>Reinvestment ratio: &gt;1x grows the asset base, &lt;1x shrinks it.</t>
        </is>
      </c>
    </row>
    <row r="162">
      <c r="B162" s="16" t="inlineStr">
        <is>
          <t xml:space="preserve">  Capex % of revenue</t>
        </is>
      </c>
      <c r="C162" s="17" t="n"/>
      <c r="D162" s="17">
        <f>IFERROR(-D128/D9,"")</f>
        <v/>
      </c>
      <c r="E162" s="17">
        <f>IFERROR(-E128/E9,"")</f>
        <v/>
      </c>
      <c r="F162" s="17">
        <f>IFERROR(-F128/F9,"")</f>
        <v/>
      </c>
      <c r="G162" s="17">
        <f>IFERROR(-G128/G9,"")</f>
        <v/>
      </c>
    </row>
    <row r="164" ht="18" customHeight="1">
      <c r="A164" s="8" t="n"/>
      <c r="B164" s="8" t="inlineStr">
        <is>
          <t>RATIO ANALYSIS &amp; FREE CASH FLOW</t>
        </is>
      </c>
      <c r="C164" s="8" t="n"/>
      <c r="D164" s="8" t="n"/>
      <c r="E164" s="8" t="n"/>
      <c r="F164" s="8" t="n"/>
      <c r="G164" s="8" t="n"/>
      <c r="H164" s="8" t="n"/>
      <c r="I164" s="8" t="n"/>
    </row>
    <row r="165">
      <c r="A165" s="18" t="n"/>
      <c r="B165" s="18" t="inlineStr">
        <is>
          <t>Cash generation</t>
        </is>
      </c>
      <c r="C165" s="18" t="n"/>
      <c r="D165" s="18" t="n"/>
      <c r="E165" s="18" t="n"/>
      <c r="F165" s="18" t="n"/>
      <c r="G165" s="18" t="n"/>
      <c r="H165" s="18" t="n"/>
      <c r="I165" s="18" t="n"/>
    </row>
    <row r="166">
      <c r="B166" s="9" t="inlineStr">
        <is>
          <t xml:space="preserve">  Free cash flow (CFO − capex)</t>
        </is>
      </c>
      <c r="C166" s="13">
        <f>C126+C128</f>
        <v/>
      </c>
      <c r="D166" s="13">
        <f>D126+D128</f>
        <v/>
      </c>
      <c r="E166" s="13">
        <f>E126+E128</f>
        <v/>
      </c>
      <c r="F166" s="13">
        <f>F126+F128</f>
        <v/>
      </c>
      <c r="G166" s="13">
        <f>G126+G128</f>
        <v/>
      </c>
    </row>
    <row r="167">
      <c r="B167" s="16" t="inlineStr">
        <is>
          <t xml:space="preserve">  FCF conversion (FCF / net income)</t>
        </is>
      </c>
      <c r="C167" s="26" t="n"/>
      <c r="D167" s="26">
        <f>IFERROR((D126+D128)/D36,"")</f>
        <v/>
      </c>
      <c r="E167" s="26">
        <f>IFERROR((E126+E128)/E36,"")</f>
        <v/>
      </c>
      <c r="F167" s="26">
        <f>IFERROR((F126+F128)/F36,"")</f>
        <v/>
      </c>
      <c r="G167" s="26">
        <f>IFERROR((G126+G128)/G36,"")</f>
        <v/>
      </c>
    </row>
    <row r="168">
      <c r="B168" s="16" t="inlineStr">
        <is>
          <t xml:space="preserve">  Capex % of revenue</t>
        </is>
      </c>
      <c r="C168" s="17" t="n"/>
      <c r="D168" s="17">
        <f>IFERROR(-D128/D9,"")</f>
        <v/>
      </c>
      <c r="E168" s="17">
        <f>IFERROR(-E128/E9,"")</f>
        <v/>
      </c>
      <c r="F168" s="17">
        <f>IFERROR(-F128/F9,"")</f>
        <v/>
      </c>
      <c r="G168" s="17">
        <f>IFERROR(-G128/G9,"")</f>
        <v/>
      </c>
    </row>
    <row r="169">
      <c r="A169" s="18" t="n"/>
      <c r="B169" s="18" t="inlineStr">
        <is>
          <t>Returns</t>
        </is>
      </c>
      <c r="C169" s="18" t="n"/>
      <c r="D169" s="18" t="n"/>
      <c r="E169" s="18" t="n"/>
      <c r="F169" s="18" t="n"/>
      <c r="G169" s="18" t="n"/>
      <c r="H169" s="18" t="n"/>
      <c r="I169" s="18" t="n"/>
    </row>
    <row r="170">
      <c r="B170" s="9" t="inlineStr">
        <is>
          <t>Operating earnings (EBIT)</t>
        </is>
      </c>
      <c r="C170" s="13">
        <f>C31+C18</f>
        <v/>
      </c>
      <c r="D170" s="13">
        <f>D31+D18</f>
        <v/>
      </c>
      <c r="E170" s="13">
        <f>E31+E18</f>
        <v/>
      </c>
      <c r="F170" s="13">
        <f>F31+F18</f>
        <v/>
      </c>
      <c r="G170" s="13">
        <f>G31+G18</f>
        <v/>
      </c>
    </row>
    <row r="171">
      <c r="B171" s="9" t="inlineStr">
        <is>
          <t>Normalised tax rate</t>
        </is>
      </c>
      <c r="C171" s="17">
        <f>C35</f>
        <v/>
      </c>
      <c r="D171" s="17">
        <f>D35</f>
        <v/>
      </c>
      <c r="E171" s="17">
        <f>E35</f>
        <v/>
      </c>
      <c r="F171" s="17">
        <f>F35</f>
        <v/>
      </c>
      <c r="G171" s="17">
        <f>G35</f>
        <v/>
      </c>
    </row>
    <row r="172">
      <c r="B172" s="9" t="inlineStr">
        <is>
          <t>NOPAT = EBIT × (1 − tax rate)</t>
        </is>
      </c>
      <c r="C172" s="13">
        <f>C170*(1-C171)</f>
        <v/>
      </c>
      <c r="D172" s="13">
        <f>D170*(1-D171)</f>
        <v/>
      </c>
      <c r="E172" s="13">
        <f>E170*(1-E171)</f>
        <v/>
      </c>
      <c r="F172" s="13">
        <f>F170*(1-F171)</f>
        <v/>
      </c>
      <c r="G172" s="13">
        <f>G170*(1-G171)</f>
        <v/>
      </c>
    </row>
    <row r="173">
      <c r="B173" s="9" t="inlineStr">
        <is>
          <t>Invested capital (Equity + Net debt)</t>
        </is>
      </c>
      <c r="C173" s="13">
        <f>C174+C175</f>
        <v/>
      </c>
      <c r="D173" s="13">
        <f>D174+D175</f>
        <v/>
      </c>
      <c r="E173" s="13">
        <f>E174+E175</f>
        <v/>
      </c>
      <c r="F173" s="13">
        <f>F174+F175</f>
        <v/>
      </c>
      <c r="G173" s="13">
        <f>G174+G175</f>
        <v/>
      </c>
    </row>
    <row r="174">
      <c r="B174" s="9" t="inlineStr">
        <is>
          <t xml:space="preserve">  Total equity</t>
        </is>
      </c>
      <c r="C174" s="13">
        <f>C111</f>
        <v/>
      </c>
      <c r="D174" s="13">
        <f>D111</f>
        <v/>
      </c>
      <c r="E174" s="13">
        <f>E111</f>
        <v/>
      </c>
      <c r="F174" s="13">
        <f>F111</f>
        <v/>
      </c>
      <c r="G174" s="13">
        <f>G111</f>
        <v/>
      </c>
    </row>
    <row r="175">
      <c r="B175" s="9" t="inlineStr">
        <is>
          <t xml:space="preserve">  Net debt (bank loan − cash)</t>
        </is>
      </c>
      <c r="C175" s="13">
        <f>C99-C88</f>
        <v/>
      </c>
      <c r="D175" s="13">
        <f>D99-D88</f>
        <v/>
      </c>
      <c r="E175" s="13">
        <f>E99-E88</f>
        <v/>
      </c>
      <c r="F175" s="13">
        <f>F99-F88</f>
        <v/>
      </c>
      <c r="G175" s="13">
        <f>G99-G88</f>
        <v/>
      </c>
    </row>
    <row r="176">
      <c r="B176" s="14" t="inlineStr">
        <is>
          <t>ROIC = NOPAT / Invested capital</t>
        </is>
      </c>
      <c r="C176" s="27">
        <f>IFERROR(C172/C173,0)</f>
        <v/>
      </c>
      <c r="D176" s="27">
        <f>IFERROR(D172/D173,0)</f>
        <v/>
      </c>
      <c r="E176" s="27">
        <f>IFERROR(E172/E173,0)</f>
        <v/>
      </c>
      <c r="F176" s="27">
        <f>IFERROR(F172/F173,0)</f>
        <v/>
      </c>
      <c r="G176" s="27">
        <f>IFERROR(G172/G173,0)</f>
        <v/>
      </c>
    </row>
    <row r="177">
      <c r="B177" s="16" t="inlineStr">
        <is>
          <t xml:space="preserve">  Operating margin</t>
        </is>
      </c>
      <c r="C177" s="17">
        <f>IFERROR(C170/C9,0)</f>
        <v/>
      </c>
      <c r="D177" s="17">
        <f>IFERROR(D170/D9,0)</f>
        <v/>
      </c>
      <c r="E177" s="17">
        <f>IFERROR(E170/E9,0)</f>
        <v/>
      </c>
      <c r="F177" s="17">
        <f>IFERROR(F170/F9,0)</f>
        <v/>
      </c>
      <c r="G177" s="17">
        <f>IFERROR(G170/G9,0)</f>
        <v/>
      </c>
    </row>
    <row r="178">
      <c r="B178" s="16" t="inlineStr">
        <is>
          <t xml:space="preserve">  Capital turnover (Sales / IC)</t>
        </is>
      </c>
      <c r="C178" s="26">
        <f>IFERROR(C9/C173,0)</f>
        <v/>
      </c>
      <c r="D178" s="26">
        <f>IFERROR(D9/D173,0)</f>
        <v/>
      </c>
      <c r="E178" s="26">
        <f>IFERROR(E9/E173,0)</f>
        <v/>
      </c>
      <c r="F178" s="26">
        <f>IFERROR(F9/F173,0)</f>
        <v/>
      </c>
      <c r="G178" s="26">
        <f>IFERROR(G9/G173,0)</f>
        <v/>
      </c>
    </row>
    <row r="179">
      <c r="B179" s="16" t="inlineStr">
        <is>
          <t xml:space="preserve">  Tax burden (1 − tax rate)</t>
        </is>
      </c>
      <c r="C179" s="17">
        <f>1-C171</f>
        <v/>
      </c>
      <c r="D179" s="17">
        <f>1-D171</f>
        <v/>
      </c>
      <c r="E179" s="17">
        <f>1-E171</f>
        <v/>
      </c>
      <c r="F179" s="17">
        <f>1-F171</f>
        <v/>
      </c>
      <c r="G179" s="17">
        <f>1-G171</f>
        <v/>
      </c>
    </row>
    <row r="180">
      <c r="B180" s="16" t="inlineStr">
        <is>
          <t xml:space="preserve">  Check: Margin × Turnover × Tax burden</t>
        </is>
      </c>
      <c r="C180" s="17">
        <f>C177*C178*C179</f>
        <v/>
      </c>
      <c r="D180" s="17">
        <f>D177*D178*D179</f>
        <v/>
      </c>
      <c r="E180" s="17">
        <f>E177*E178*E179</f>
        <v/>
      </c>
      <c r="F180" s="17">
        <f>F177*F178*F179</f>
        <v/>
      </c>
      <c r="G180" s="17">
        <f>G177*G178*G179</f>
        <v/>
      </c>
    </row>
    <row r="181">
      <c r="A181" s="18" t="n"/>
      <c r="B181" s="18" t="inlineStr">
        <is>
          <t>RONTA decomposition</t>
        </is>
      </c>
      <c r="C181" s="18" t="n"/>
      <c r="D181" s="18" t="n"/>
      <c r="E181" s="18" t="n"/>
      <c r="F181" s="18" t="n"/>
      <c r="G181" s="18" t="n"/>
      <c r="H181" s="18" t="n"/>
      <c r="I181" s="18" t="n"/>
    </row>
    <row r="182">
      <c r="B182" s="9" t="inlineStr">
        <is>
          <t>EBIT before special items</t>
        </is>
      </c>
      <c r="C182" s="13">
        <f>C170</f>
        <v/>
      </c>
      <c r="D182" s="13">
        <f>D170</f>
        <v/>
      </c>
      <c r="E182" s="13">
        <f>E170</f>
        <v/>
      </c>
      <c r="F182" s="13">
        <f>F170</f>
        <v/>
      </c>
      <c r="G182" s="13">
        <f>G170</f>
        <v/>
      </c>
    </row>
    <row r="183">
      <c r="B183" s="9" t="inlineStr">
        <is>
          <t>NOPAT = EBIT × (1 − tax rate)</t>
        </is>
      </c>
      <c r="C183" s="13">
        <f>C182*(1-C171)</f>
        <v/>
      </c>
      <c r="D183" s="13">
        <f>D182*(1-D171)</f>
        <v/>
      </c>
      <c r="E183" s="13">
        <f>E182*(1-E171)</f>
        <v/>
      </c>
      <c r="F183" s="13">
        <f>F182*(1-F171)</f>
        <v/>
      </c>
      <c r="G183" s="13">
        <f>G182*(1-G171)</f>
        <v/>
      </c>
    </row>
    <row r="184">
      <c r="B184" s="28" t="inlineStr">
        <is>
          <t>Net tangible assets (NTA):</t>
        </is>
      </c>
    </row>
    <row r="185">
      <c r="B185" s="9" t="inlineStr">
        <is>
          <t xml:space="preserve">  Total assets</t>
        </is>
      </c>
      <c r="C185" s="13">
        <f>C96</f>
        <v/>
      </c>
      <c r="D185" s="13">
        <f>D96</f>
        <v/>
      </c>
      <c r="E185" s="13">
        <f>E96</f>
        <v/>
      </c>
      <c r="F185" s="13">
        <f>F96</f>
        <v/>
      </c>
      <c r="G185" s="13">
        <f>G96</f>
        <v/>
      </c>
    </row>
    <row r="186">
      <c r="B186" s="9" t="inlineStr">
        <is>
          <t xml:space="preserve">  − Intangible assets (none)</t>
        </is>
      </c>
      <c r="C186" s="13">
        <f>0</f>
        <v/>
      </c>
      <c r="D186" s="13">
        <f>0</f>
        <v/>
      </c>
      <c r="E186" s="13">
        <f>0</f>
        <v/>
      </c>
      <c r="F186" s="13">
        <f>0</f>
        <v/>
      </c>
      <c r="G186" s="13">
        <f>0</f>
        <v/>
      </c>
    </row>
    <row r="187">
      <c r="B187" s="9" t="inlineStr">
        <is>
          <t xml:space="preserve">  − Non-interest-bearing current liabilities</t>
        </is>
      </c>
      <c r="C187" s="13">
        <f>-(C105-C99)</f>
        <v/>
      </c>
      <c r="D187" s="13">
        <f>-(D105-D99)</f>
        <v/>
      </c>
      <c r="E187" s="13">
        <f>-(E105-E99)</f>
        <v/>
      </c>
      <c r="F187" s="13">
        <f>-(F105-F99)</f>
        <v/>
      </c>
      <c r="G187" s="13">
        <f>-(G105-G99)</f>
        <v/>
      </c>
      <c r="I187" s="12" t="inlineStr">
        <is>
          <t>Current liabilities excluding the interest-bearing bank loan.</t>
        </is>
      </c>
    </row>
    <row r="188">
      <c r="B188" s="9" t="inlineStr">
        <is>
          <t xml:space="preserve">  − Cash</t>
        </is>
      </c>
      <c r="C188" s="13">
        <f>-C88</f>
        <v/>
      </c>
      <c r="D188" s="13">
        <f>-D88</f>
        <v/>
      </c>
      <c r="E188" s="13">
        <f>-E88</f>
        <v/>
      </c>
      <c r="F188" s="13">
        <f>-F88</f>
        <v/>
      </c>
      <c r="G188" s="13">
        <f>-G88</f>
        <v/>
      </c>
    </row>
    <row r="189">
      <c r="B189" s="14" t="inlineStr">
        <is>
          <t xml:space="preserve">  = Net tangible assets</t>
        </is>
      </c>
      <c r="C189" s="15">
        <f>C185+C186+C187+C188</f>
        <v/>
      </c>
      <c r="D189" s="15">
        <f>D185+D186+D187+D188</f>
        <v/>
      </c>
      <c r="E189" s="15">
        <f>E185+E186+E187+E188</f>
        <v/>
      </c>
      <c r="F189" s="15">
        <f>F185+F186+F187+F188</f>
        <v/>
      </c>
      <c r="G189" s="15">
        <f>G185+G186+G187+G188</f>
        <v/>
      </c>
    </row>
    <row r="190">
      <c r="B190" s="28" t="inlineStr">
        <is>
          <t>RONTA = NOPAT / NTA</t>
        </is>
      </c>
      <c r="C190" s="22">
        <f>IFERROR(C183/C189,0)</f>
        <v/>
      </c>
      <c r="D190" s="22">
        <f>IFERROR(D183/D189,0)</f>
        <v/>
      </c>
      <c r="E190" s="22">
        <f>IFERROR(E183/E189,0)</f>
        <v/>
      </c>
      <c r="F190" s="22">
        <f>IFERROR(F183/F189,0)</f>
        <v/>
      </c>
      <c r="G190" s="22">
        <f>IFERROR(G183/G189,0)</f>
        <v/>
      </c>
    </row>
    <row r="191">
      <c r="A191" s="18" t="n"/>
      <c r="B191" s="18" t="inlineStr">
        <is>
          <t>Return on Equity (ROE)</t>
        </is>
      </c>
      <c r="C191" s="18" t="n"/>
      <c r="D191" s="18" t="n"/>
      <c r="E191" s="18" t="n"/>
      <c r="F191" s="18" t="n"/>
      <c r="G191" s="18" t="n"/>
      <c r="H191" s="18" t="n"/>
      <c r="I191" s="18" t="n"/>
    </row>
    <row r="192">
      <c r="B192" s="9" t="inlineStr">
        <is>
          <t>Net income (profit for the year)</t>
        </is>
      </c>
      <c r="C192" s="13">
        <f>C36</f>
        <v/>
      </c>
      <c r="D192" s="13">
        <f>D36</f>
        <v/>
      </c>
      <c r="E192" s="13">
        <f>E36</f>
        <v/>
      </c>
      <c r="F192" s="13">
        <f>F36</f>
        <v/>
      </c>
      <c r="G192" s="13">
        <f>G36</f>
        <v/>
      </c>
    </row>
    <row r="193">
      <c r="B193" s="9" t="inlineStr">
        <is>
          <t>Total equity</t>
        </is>
      </c>
      <c r="C193" s="13">
        <f>C111</f>
        <v/>
      </c>
      <c r="D193" s="13">
        <f>D111</f>
        <v/>
      </c>
      <c r="E193" s="13">
        <f>E111</f>
        <v/>
      </c>
      <c r="F193" s="13">
        <f>F111</f>
        <v/>
      </c>
      <c r="G193" s="13">
        <f>G111</f>
        <v/>
      </c>
    </row>
    <row r="194">
      <c r="B194" s="28" t="inlineStr">
        <is>
          <t>ROE = Net income / Equity</t>
        </is>
      </c>
      <c r="C194" s="22">
        <f>IFERROR(C192/C193,0)</f>
        <v/>
      </c>
      <c r="D194" s="22">
        <f>IFERROR(D192/D193,0)</f>
        <v/>
      </c>
      <c r="E194" s="22">
        <f>IFERROR(E192/E193,0)</f>
        <v/>
      </c>
      <c r="F194" s="22">
        <f>IFERROR(F192/F193,0)</f>
        <v/>
      </c>
      <c r="G194" s="22">
        <f>IFERROR(G192/G193,0)</f>
        <v/>
      </c>
    </row>
    <row r="195">
      <c r="B195" s="9" t="inlineStr">
        <is>
          <t>Return on assets (NI / total assets)</t>
        </is>
      </c>
      <c r="C195" s="17">
        <f>IFERROR(C36/C96,0)</f>
        <v/>
      </c>
      <c r="D195" s="17">
        <f>IFERROR(D36/D96,0)</f>
        <v/>
      </c>
      <c r="E195" s="17">
        <f>IFERROR(E36/E96,0)</f>
        <v/>
      </c>
      <c r="F195" s="17">
        <f>IFERROR(F36/F96,0)</f>
        <v/>
      </c>
      <c r="G195" s="17">
        <f>IFERROR(G36/G96,0)</f>
        <v/>
      </c>
    </row>
    <row r="196">
      <c r="A196" s="18" t="n"/>
      <c r="B196" s="18" t="inlineStr">
        <is>
          <t>Leverage</t>
        </is>
      </c>
      <c r="C196" s="18" t="n"/>
      <c r="D196" s="18" t="n"/>
      <c r="E196" s="18" t="n"/>
      <c r="F196" s="18" t="n"/>
      <c r="G196" s="18" t="n"/>
      <c r="H196" s="18" t="n"/>
      <c r="I196" s="18" t="n"/>
    </row>
    <row r="197">
      <c r="B197" s="9" t="inlineStr">
        <is>
          <t>Net debt (bank loan − cash)</t>
        </is>
      </c>
      <c r="C197" s="13">
        <f>C99-C88</f>
        <v/>
      </c>
      <c r="D197" s="13">
        <f>D99-D88</f>
        <v/>
      </c>
      <c r="E197" s="13">
        <f>E99-E88</f>
        <v/>
      </c>
      <c r="F197" s="13">
        <f>F99-F88</f>
        <v/>
      </c>
      <c r="G197" s="13">
        <f>G99-G88</f>
        <v/>
      </c>
    </row>
    <row r="198">
      <c r="B198" s="9" t="inlineStr">
        <is>
          <t>EBITDA (Operating earnings + D&amp;A)</t>
        </is>
      </c>
      <c r="C198" s="13">
        <f>C170+C19+C82</f>
        <v/>
      </c>
      <c r="D198" s="13">
        <f>D170+D19+D82</f>
        <v/>
      </c>
      <c r="E198" s="13">
        <f>E170+E19+E82</f>
        <v/>
      </c>
      <c r="F198" s="13">
        <f>F170+F19+F82</f>
        <v/>
      </c>
      <c r="G198" s="13">
        <f>G170+G19+G82</f>
        <v/>
      </c>
    </row>
    <row r="199">
      <c r="B199" s="9" t="inlineStr">
        <is>
          <t>Net debt / EBITDA  (x)</t>
        </is>
      </c>
      <c r="C199" s="26">
        <f>IFERROR(C197/C198,"")</f>
        <v/>
      </c>
      <c r="D199" s="26">
        <f>IFERROR(D197/D198,"")</f>
        <v/>
      </c>
      <c r="E199" s="26">
        <f>IFERROR(E197/E198,"")</f>
        <v/>
      </c>
      <c r="F199" s="26">
        <f>IFERROR(F197/F198,"")</f>
        <v/>
      </c>
      <c r="G199" s="26">
        <f>IFERROR(G197/G198,"")</f>
        <v/>
      </c>
    </row>
    <row r="200">
      <c r="B200" s="9" t="inlineStr">
        <is>
          <t>Interest coverage (EBIT / interest expense)</t>
        </is>
      </c>
      <c r="C200" s="26">
        <f>IFERROR(C170/C18,"")</f>
        <v/>
      </c>
      <c r="D200" s="26">
        <f>IFERROR(D170/D18,"")</f>
        <v/>
      </c>
      <c r="E200" s="26">
        <f>IFERROR(E170/E18,"")</f>
        <v/>
      </c>
      <c r="F200" s="26">
        <f>IFERROR(F170/F18,"")</f>
        <v/>
      </c>
      <c r="G200" s="26">
        <f>IFERROR(G170/G18,"")</f>
        <v/>
      </c>
    </row>
    <row r="201">
      <c r="B201" s="9" t="inlineStr">
        <is>
          <t>Debt / equity (bank loan / equity)</t>
        </is>
      </c>
      <c r="C201" s="26">
        <f>IFERROR(C99/C111,0)</f>
        <v/>
      </c>
      <c r="D201" s="26">
        <f>IFERROR(D99/D111,0)</f>
        <v/>
      </c>
      <c r="E201" s="26">
        <f>IFERROR(E99/E111,0)</f>
        <v/>
      </c>
      <c r="F201" s="26">
        <f>IFERROR(F99/F111,0)</f>
        <v/>
      </c>
      <c r="G201" s="26">
        <f>IFERROR(G99/G111,0)</f>
        <v/>
      </c>
    </row>
    <row r="202">
      <c r="A202" s="18" t="n"/>
      <c r="B202" s="18" t="inlineStr">
        <is>
          <t>Liquidity &amp; working capital</t>
        </is>
      </c>
      <c r="C202" s="18" t="n"/>
      <c r="D202" s="18" t="n"/>
      <c r="E202" s="18" t="n"/>
      <c r="F202" s="18" t="n"/>
      <c r="G202" s="18" t="n"/>
      <c r="H202" s="18" t="n"/>
      <c r="I202" s="18" t="n"/>
    </row>
    <row r="203">
      <c r="B203" s="9" t="inlineStr">
        <is>
          <t>Current ratio (CA / CL)</t>
        </is>
      </c>
      <c r="C203" s="26">
        <f>IFERROR(C93/C105,"")</f>
        <v/>
      </c>
      <c r="D203" s="26">
        <f>IFERROR(D93/D105,"")</f>
        <v/>
      </c>
      <c r="E203" s="26">
        <f>IFERROR(E93/E105,"")</f>
        <v/>
      </c>
      <c r="F203" s="26">
        <f>IFERROR(F93/F105,"")</f>
        <v/>
      </c>
      <c r="G203" s="26">
        <f>IFERROR(G93/G105,"")</f>
        <v/>
      </c>
    </row>
    <row r="204">
      <c r="B204" s="9" t="inlineStr">
        <is>
          <t>Quick ratio ((cash + A/R) / CL)</t>
        </is>
      </c>
      <c r="C204" s="26">
        <f>IFERROR((C88+C89)/C105,"")</f>
        <v/>
      </c>
      <c r="D204" s="26">
        <f>IFERROR((D88+D89)/D105,"")</f>
        <v/>
      </c>
      <c r="E204" s="26">
        <f>IFERROR((E88+E89)/E105,"")</f>
        <v/>
      </c>
      <c r="F204" s="26">
        <f>IFERROR((F88+F89)/F105,"")</f>
        <v/>
      </c>
      <c r="G204" s="26">
        <f>IFERROR((G88+G89)/G105,"")</f>
        <v/>
      </c>
    </row>
    <row r="205">
      <c r="B205" s="9" t="inlineStr">
        <is>
          <t>DSO (A/R / revenue × 365)</t>
        </is>
      </c>
      <c r="C205" s="29">
        <f>IFERROR(C89/C9*365,"")</f>
        <v/>
      </c>
      <c r="D205" s="29">
        <f>IFERROR(D89/D9*365,"")</f>
        <v/>
      </c>
      <c r="E205" s="29">
        <f>IFERROR(E89/E9*365,"")</f>
        <v/>
      </c>
      <c r="F205" s="29">
        <f>IFERROR(F89/F9*365,"")</f>
        <v/>
      </c>
      <c r="G205" s="29">
        <f>IFERROR(G89/G9*365,"")</f>
        <v/>
      </c>
    </row>
    <row r="206">
      <c r="B206" s="9" t="inlineStr">
        <is>
          <t>DPO (A/P / cost of sales × 365)</t>
        </is>
      </c>
      <c r="C206" s="29">
        <f>IFERROR(C100/C10*365,"")</f>
        <v/>
      </c>
      <c r="D206" s="29">
        <f>IFERROR(D100/D10*365,"")</f>
        <v/>
      </c>
      <c r="E206" s="29">
        <f>IFERROR(E100/E10*365,"")</f>
        <v/>
      </c>
      <c r="F206" s="29">
        <f>IFERROR(F100/F10*365,"")</f>
        <v/>
      </c>
      <c r="G206" s="29">
        <f>IFERROR(G100/G10*365,"")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2026-07-14T12:06:43Z</dcterms:created>
  <dcterms:modified xsi:type="dcterms:W3CDTF">2026-07-14T12:06:43Z</dcterms:modified>
</cp:coreProperties>
</file>