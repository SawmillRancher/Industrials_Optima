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1" authorId="0">
      <text>
        <r>
          <rPr>
            <sz val="10"/>
            <rFont val="Arial"/>
            <family val="2"/>
          </rPr>
          <t xml:space="preserve">Source: earnings releases (Form 8-K Ex. 99.1), 'Disaggregated Revenues'. Q1/23–Q3/25 = recast comparatives in the Q4-25/2026 releases (current basis). 2015–2022 (black) = legacy 'CoStar Suite/CoStar' + 'Information Services' (≈ current basis; the recast moved Information Services into CoStar).</t>
        </r>
      </text>
    </comment>
    <comment ref="B14" authorId="0">
      <text>
        <r>
          <rPr>
            <sz val="10"/>
            <rFont val="Arial"/>
            <family val="2"/>
          </rPr>
          <t xml:space="preserve">Source: earnings releases. Q1/20–Q4/22 (black) = legacy LoopNet line (identical definition; first broken out in the Q3-21 release).</t>
        </r>
      </text>
    </comment>
    <comment ref="B17" authorId="0">
      <text>
        <r>
          <rPr>
            <sz val="10"/>
            <rFont val="Arial"/>
            <family val="2"/>
          </rPr>
          <t xml:space="preserve">Source: Q4-25 / 2026 earnings releases (recast Q1/23+). Legacy 'Other Marketplaces' less Land.com (moved to Residential).</t>
        </r>
      </text>
    </comment>
    <comment ref="B22" authorId="0">
      <text>
        <r>
          <rPr>
            <sz val="10"/>
            <rFont val="Arial"/>
            <family val="2"/>
          </rPr>
          <t xml:space="preserve">Source: Q4-25 and 2026 earnings releases, 'Results of Segments' (recast Q1/24+; segments changed from geographic to product-portfolio basis in Q4-25).</t>
        </r>
      </text>
    </comment>
    <comment ref="B28" authorId="0">
      <text>
        <r>
          <rPr>
            <sz val="10"/>
            <rFont val="Arial"/>
            <family val="2"/>
          </rPr>
          <t xml:space="preserve">Source: Q4-25 / 2026 earnings releases (recast Q1/23+) = legacy Multifamily + Residential + Land.com (from Other Marketplaces). Domain (Australia) consolidated from Aug-2025.</t>
        </r>
      </text>
    </comment>
    <comment ref="B31" authorId="0">
      <text>
        <r>
          <rPr>
            <sz val="10"/>
            <rFont val="Arial"/>
            <family val="2"/>
          </rPr>
          <t xml:space="preserve">Source: Q4-25 and 2026 earnings releases (recast Q1/24+). Q2/26 first positive quarter (+$12m) as Homes.com net investment is cut.</t>
        </r>
      </text>
    </comment>
    <comment ref="B37" authorId="0">
      <text>
        <r>
          <rPr>
            <sz val="10"/>
            <rFont val="Arial"/>
            <family val="2"/>
          </rPr>
          <t xml:space="preserve">Source: earnings releases ('Revenues by type' / 'Disaggregated revenues'). Renamed 'CoStar' in Q2-21.</t>
        </r>
      </text>
    </comment>
    <comment ref="B46" authorId="0">
      <text>
        <r>
          <rPr>
            <sz val="10"/>
            <rFont val="Arial"/>
            <family val="2"/>
          </rPr>
          <t xml:space="preserve">Source: earnings releases, segment tables. Geographic segments discontinued in Q4-25.</t>
        </r>
      </text>
    </comment>
    <comment ref="B104" authorId="0">
      <text>
        <r>
          <rPr>
            <sz val="10"/>
            <rFont val="Arial"/>
            <family val="2"/>
          </rPr>
          <t xml:space="preserve">Source: earnings releases — 'net new bookings' (annualised net change in subscription contracts incl. cancellations). Pre-2016: 'annualized net new sales' on annual subscription contracts (definitions vary). Q4 figures often only given for the year.</t>
        </r>
      </text>
    </comment>
    <comment ref="B105" authorId="0">
      <text>
        <r>
          <rPr>
            <sz val="10"/>
            <rFont val="Arial"/>
            <family val="2"/>
          </rPr>
          <t xml:space="preserve">Source: dei:EntityCommonStockSharesOutstanding on each 10-Q / 10-K cover (as of the cover date, shortly after period end). Pre-June-2021 counts × 10 for the 10-for-1 split.</t>
        </r>
      </text>
    </comment>
    <comment ref="B121" authorId="0">
      <text>
        <r>
          <rPr>
            <sz val="10"/>
            <rFont val="Arial"/>
            <family val="2"/>
          </rPr>
          <t xml:space="preserve">Source: Forms 10-K / 10-Q (XBRL statements; 2006–2010 from 10-K HTML). Q4 = FY (10-K) − 9M (Q3 10-Q). USD millions.</t>
        </r>
      </text>
    </comment>
    <comment ref="B144" authorId="0">
      <text>
        <r>
          <rPr>
            <sz val="10"/>
            <rFont val="Arial"/>
            <family val="2"/>
          </rPr>
          <t xml:space="preserve">Source: 10-K/10-Q income statements; Q4 from earnings releases. Pre-split periods × 10.</t>
        </r>
      </text>
    </comment>
    <comment ref="B154" authorId="0">
      <text>
        <r>
          <rPr>
            <sz val="10"/>
            <rFont val="Arial"/>
            <family val="2"/>
          </rPr>
          <t xml:space="preserve">Source: earnings releases, 'Reconciliation of net income to EBITDA' ('purchase amortization' to 2016).</t>
        </r>
      </text>
    </comment>
    <comment ref="B162" authorId="0">
      <text>
        <r>
          <rPr>
            <sz val="10"/>
            <rFont val="Arial"/>
            <family val="2"/>
          </rPr>
          <t xml:space="preserve">Source: earnings releases, 'Reconciliation of EBITDA to Adjusted EBITDA' (first published with Q1-10 results; FY2009 comparatives in the Feb-11 release).</t>
        </r>
      </text>
    </comment>
    <comment ref="B183" authorId="0">
      <text>
        <r>
          <rPr>
            <sz val="10"/>
            <rFont val="Arial"/>
            <family val="2"/>
          </rPr>
          <t xml:space="preserve">Source: earnings releases, 'Reconciliation of net income to non-GAAP net income / Adjusted Net Income' (first published with FY2009 results). 2006–08 (black) = model applies the definition (no published figure).</t>
        </r>
      </text>
    </comment>
    <comment ref="B219" authorId="0">
      <text>
        <r>
          <rPr>
            <sz val="10"/>
            <rFont val="Arial"/>
            <family val="2"/>
          </rPr>
          <t xml:space="preserve">Source: 10-K / 10-Q cash-flow statements (year-to-date; discrete quarters = YTD − prior YTD).</t>
        </r>
      </text>
    </comment>
    <comment ref="B269" authorId="0">
      <text>
        <r>
          <rPr>
            <sz val="10"/>
            <rFont val="Arial"/>
            <family val="2"/>
          </rPr>
          <t xml:space="preserve">Source: 10-K / 10-Q balance sheets (XBRL; 2005–2010 from 10-K HTML). 'Derived' lines = reported subtotal less the lines shown.</t>
        </r>
      </text>
    </comment>
    <comment ref="CF2" authorId="0">
      <text>
        <r>
          <rPr>
            <sz val="10"/>
            <rFont val="Arial"/>
            <family val="2"/>
          </rPr>
          <t xml:space="preserve">Scenario toggle. Choose Bull / Base / Bear. Drives: FY26 guidance end-points (revenue &amp; Adjusted EBITDA calibration, net income/EPS memo), 2H/26 buybacks, the 2027E–30E product-line growth &amp; segment margin levers, Zonda growth/margin, M&amp;A spend and the leverage floor for buybacks.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7" authorId="0">
      <text>
        <r>
          <rPr>
            <sz val="10"/>
            <rFont val="Arial"/>
            <family val="2"/>
          </rPr>
          <t xml:space="preserve">P/E on Adjusted EPS. CSGP traded at ~50–90x adjusted EPS in 2019–24 (high-growth, Homes.com investment phase) and ~23x 2026E at $30.78. Base 22x, Bull 28x, Bear 16x applied to 2029E–30E (Bear 2028E–30E).</t>
        </r>
      </text>
    </comment>
  </commentList>
</comments>
</file>

<file path=xl/sharedStrings.xml><?xml version="1.0" encoding="utf-8"?>
<sst xmlns="http://schemas.openxmlformats.org/spreadsheetml/2006/main" count="1013" uniqueCount="832">
  <si>
    <t xml:space="preserve">SCENARIO SWITCH ▼ (Bull / Base / Bear) — drives all scenario-linked forecast drivers</t>
  </si>
  <si>
    <t xml:space="preserve">CoStar Group, Inc. (NASDAQ: CSGP) — 3-Statement Financial Model</t>
  </si>
  <si>
    <t xml:space="preserve">Base</t>
  </si>
  <si>
    <t xml:space="preserve">US GAAP as reported · USD millions (per-share data in USD; shares in millions, split-adjusted for the 10-for-1 split of June 2021) · Source: CoStar Group Forms 10-K / 10-Q (XBRL statements; 2006–2010 from 10-K HTML) and Form 8-K earnings releases (Ex. 99.1), deal 8-Ks (Zonda, May/Aug-2026), Form 4 (share price), SEC EDGAR CIK 0001057352 (investor-relations releases are the same documents as filed on EDGAR)</t>
  </si>
  <si>
    <t xml:space="preserve">Basis notes: calendar fiscal year. Q4 = FY (10-K) − 9M (Q3 10-Q); quarterly cash flows = YTD − prior YTD. Revenue lines: current basis (CoStar · LoopNet · Other CRE · Residential) recast from Q1/23 in the Q4-25 release; legacy product lines 2015–Q3/25 and North America / International segments 2007–Q3/25 kept as memo. Adjusted EBITDA / Adjusted Net Income per company definitions in force (EBITDA only to 2008; non-GAAP net income from FY2009). Acquisitions: LoopNet Apr-2012, Apartments.com Apr-2014, ForRent Feb-2018, STR Oct-2019, Ten-X Jun-2020, Homesnap Dec-2020, Homes.com May-2021, OnTheMarket Dec-2023, Matterport Feb-2025, Domain Aug-2025; Zonda closed 21-Aug-2026 — excluded from company FY26 guidance, modelled separately from Q3/26E.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</si>
  <si>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</si>
  <si>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</si>
  <si>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</si>
  <si>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</si>
  <si>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</si>
  <si>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</si>
  <si>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</si>
  <si>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</si>
  <si>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</si>
  <si>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</si>
  <si>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</si>
  <si>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</si>
  <si>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</si>
  <si>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</si>
  <si>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</si>
  <si>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</si>
  <si>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</si>
  <si>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</si>
  <si>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</si>
  <si>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</si>
  <si>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</si>
  <si>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</si>
  <si>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</si>
  <si>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</si>
  <si>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</si>
  <si>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</si>
  <si>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</si>
  <si>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</si>
  <si>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</si>
  <si>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</si>
  <si>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</si>
  <si>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</si>
  <si>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</si>
  <si>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</si>
  <si>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</si>
  <si>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</si>
  <si>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</si>
  <si>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</si>
  <si>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</si>
  <si>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</si>
  <si>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</si>
  <si>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</si>
  <si>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</si>
  <si>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</si>
  <si>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</si>
  <si>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</si>
  <si>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</si>
  <si>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</si>
  <si>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</si>
  <si>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</si>
  <si>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</si>
  <si>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</si>
  <si>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</si>
  <si>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</si>
  <si>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</si>
  <si>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</si>
  <si>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</si>
  <si>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</si>
  <si>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</si>
  <si>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</si>
  <si>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</si>
  <si>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</si>
  <si>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</si>
  <si>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</si>
  <si>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</si>
  <si>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 / avg</t>
  </si>
  <si>
    <t xml:space="preserve">10Y CAGR / avg</t>
  </si>
  <si>
    <t xml:space="preserve">19Y CAGR / avg</t>
  </si>
  <si>
    <t xml:space="preserve">25-'30</t>
  </si>
  <si>
    <t xml:space="preserve">20-'25</t>
  </si>
  <si>
    <t xml:space="preserve">15-'25</t>
  </si>
  <si>
    <t xml:space="preserve">06-'25</t>
  </si>
  <si>
    <t xml:space="preserve">SEGMENT REVENUE BUILD — COMMERCIAL REAL ESTATE · RESIDENTIAL REAL ESTATE · ZONDA → SEGMENT ADJUSTED EBITDA</t>
  </si>
  <si>
    <t xml:space="preserve">SEGMENT BUILD — modelling logic (product-line revenues → segment Adjusted EBITDA margin → consolidated Adjusted EBITDA → GAAP P&amp;L)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</si>
  <si>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</si>
  <si>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</si>
  <si>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</si>
  <si>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lever header). Outlook block = high / mid / low end of the FY26 ranges.</t>
  </si>
  <si>
    <t xml:space="preserve">Commercial Real Estate (CoStar · LoopNet · Other CRE) — current reporting basis (Q4-25 recast, history from Q1/23)</t>
  </si>
  <si>
    <t xml:space="preserve">COMMERCIAL REAL ESTATE — modelling logic</t>
  </si>
  <si>
    <t xml:space="preserve">  CoStar (subscription data &amp; analytics, incl. Information Services)</t>
  </si>
  <si>
    <t xml:space="preserve">Q3/26E = Q2/26 × (1 + 1H/26 average q/q + outlook calibration Δ); Q4/26E = Q2/26 × ((1+g)² + 2Δ). 2027E+: prior year × (1 + scenario lever COSTAR_growth).</t>
  </si>
  <si>
    <t xml:space="preserve">FY26 outlook — Q2-26 release (28-Jul-26); legacy CoStar, excludes Zonda</t>
  </si>
  <si>
    <t xml:space="preserve">High</t>
  </si>
  <si>
    <t xml:space="preserve">Mid</t>
  </si>
  <si>
    <t xml:space="preserve">Low</t>
  </si>
  <si>
    <t xml:space="preserve">Company guidance pre-dates the Zonda closing (21-Aug-26) — the model adds Zonda separately.</t>
  </si>
  <si>
    <t xml:space="preserve">    y/y %</t>
  </si>
  <si>
    <t xml:space="preserve">2015–22 mapped from legacy lines (CoStar Suite + Information Services).</t>
  </si>
  <si>
    <t xml:space="preserve">  FY26 revenues ($m)</t>
  </si>
  <si>
    <t xml:space="preserve">Revised to $3.715–3.755bn in the Q2-26 release (from $3.78–3.82bn on 7-Jan-26 / 24-Feb-26).</t>
  </si>
  <si>
    <t xml:space="preserve">    Sequential q/q % (Q3/Q4-26E: 1H/26 average q/q before outlook calibration)</t>
  </si>
  <si>
    <t xml:space="preserve">  FY26 Adjusted EBITDA ($m)</t>
  </si>
  <si>
    <t xml:space="preserve">Affirmed $780–820m (raised +$30m at the mid-point vs Feb-26). Check vs model (segment calibration below sums to this).</t>
  </si>
  <si>
    <t xml:space="preserve">  LoopNet (commercial property marketplace)</t>
  </si>
  <si>
    <t xml:space="preserve">As CoStar. 2027E+: scenario lever LOOPNET_growth.</t>
  </si>
  <si>
    <t xml:space="preserve">  FY26 net income ($m, guidance reconciliation)</t>
  </si>
  <si>
    <t xml:space="preserve">Q2-26 release forward-looking reconciliation (memo only).</t>
  </si>
  <si>
    <t xml:space="preserve">  FY26 Adjusted EPS ($)</t>
  </si>
  <si>
    <t xml:space="preserve">On 405m shares; 26% non-GAAP tax rate (memo; model Adjusted EPS shown in the bridge).</t>
  </si>
  <si>
    <t xml:space="preserve">  FY26 Commercial Real Estate Adjusted EBITDA ($m)</t>
  </si>
  <si>
    <t xml:space="preserve">Segment guidance (Q2-26 release) — drives the CRE margin calibration.</t>
  </si>
  <si>
    <t xml:space="preserve">  Other Commercial Real Estate (Matterport from Feb-25, STR, Ten-X, BizBuySell, Realla)</t>
  </si>
  <si>
    <t xml:space="preserve">As CoStar. 2027E+: scenario lever OCRE_growth. Q1/25 → Q2/25 step-up = Matterport (closed 28-Feb-2025).</t>
  </si>
  <si>
    <t xml:space="preserve">  FY26 Residential Real Estate Adjusted EBITDA ($m)</t>
  </si>
  <si>
    <t xml:space="preserve">Segment guidance — drives the Residential margin calibration. CRE + Residential = consolidated guide.</t>
  </si>
  <si>
    <t xml:space="preserve">FY26 point estimates (all cases; Q2-26 guidance reconciliation)</t>
  </si>
  <si>
    <t xml:space="preserve">  Stock-based compensation ($m)</t>
  </si>
  <si>
    <t xml:space="preserve">Guidance reconciliation (FY).</t>
  </si>
  <si>
    <t xml:space="preserve">  Commercial Real Estate — revenues</t>
  </si>
  <si>
    <t xml:space="preserve">  Amortization of acquired intangible assets ($m)</t>
  </si>
  <si>
    <t xml:space="preserve">$108m in cost of revenues + $143m in operating expenses.</t>
  </si>
  <si>
    <t xml:space="preserve">  Depreciation &amp; other amortization ($m)</t>
  </si>
  <si>
    <t xml:space="preserve">  Commercial Real Estate — Adjusted EBITDA (segment)</t>
  </si>
  <si>
    <t xml:space="preserve">  Interest income, net ($m)</t>
  </si>
  <si>
    <t xml:space="preserve">Pre-Zonda cash balance (deal closed after guidance).</t>
  </si>
  <si>
    <t xml:space="preserve">  Adjusted EBITDA margin before outlook calibration % (Q3/Q4-26E helper)</t>
  </si>
  <si>
    <t xml:space="preserve">Prior-year quarter margin + (1H/26 − 1H/25 margin drift).</t>
  </si>
  <si>
    <t xml:space="preserve">  Other expense, net ($m)</t>
  </si>
  <si>
    <t xml:space="preserve">  Adjusted EBITDA margin %</t>
  </si>
  <si>
    <t xml:space="preserve">Q3/Q4-26E: margin before calibration + CRE outlook calibration Δ (Group block; to segment guidance). 2027E+: scenario lever CRE_margin.</t>
  </si>
  <si>
    <t xml:space="preserve">  Income tax expense ($m, mid-point)</t>
  </si>
  <si>
    <t xml:space="preserve">$87–98m.</t>
  </si>
  <si>
    <t xml:space="preserve">  Memo: Commercial Real Estate — EBITDA (segment, as reported)</t>
  </si>
  <si>
    <t xml:space="preserve">  GAAP tax rate (implied)</t>
  </si>
  <si>
    <t xml:space="preserve">Tax $92.5m / pre-tax $325m = 28.5%.</t>
  </si>
  <si>
    <t xml:space="preserve">  Acquisition &amp; integration related costs ($m)</t>
  </si>
  <si>
    <t xml:space="preserve">Excludes Zonda closing costs (estimated separately in the Zonda block).</t>
  </si>
  <si>
    <t xml:space="preserve">Residential Real Estate (Apartments.com network · Homes.com · Domain from Aug-25 · OnTheMarket · Land.com) — excludes Zonda</t>
  </si>
  <si>
    <t xml:space="preserve">RESIDENTIAL REAL ESTATE — modelling logic</t>
  </si>
  <si>
    <t xml:space="preserve">  Restructuring &amp; related costs ($m)</t>
  </si>
  <si>
    <t xml:space="preserve">  Residential Real Estate — revenues (legacy, ex-Zonda)</t>
  </si>
  <si>
    <t xml:space="preserve">Q3/Q4-26E as CoStar (sequential). 2027E+: scenario lever RESI_growth. Q3/26 y/y growth flatters as Domain (Aug-25) anniversaries.</t>
  </si>
  <si>
    <t xml:space="preserve">  Settlements &amp; impairments ($m)</t>
  </si>
  <si>
    <t xml:space="preserve">Q2-26 credit (litigation accrual release).</t>
  </si>
  <si>
    <t xml:space="preserve">  Adjusted diluted shares (m)</t>
  </si>
  <si>
    <t xml:space="preserve">Q3/26 guidance (memo; mid-point used for SBC, D&amp;A, amortization, interest, other, acquisition costs)</t>
  </si>
  <si>
    <t xml:space="preserve">  Residential Real Estate — Adjusted EBITDA (segment, ex-Zonda)</t>
  </si>
  <si>
    <t xml:space="preserve">  Q3/26 revenues ($m)</t>
  </si>
  <si>
    <t xml:space="preserve">Memo check only — FY calibration drives the Q3/Q4 split.</t>
  </si>
  <si>
    <t xml:space="preserve">Prior-year quarter margin + 1H margin drift (+22pp: Homes.com marketing cut). Q4 seasonally strongest (lower marketing).</t>
  </si>
  <si>
    <t xml:space="preserve">  Q3/26 Adjusted EBITDA ($m)</t>
  </si>
  <si>
    <t xml:space="preserve">Memo check only.</t>
  </si>
  <si>
    <t xml:space="preserve">2027E+: scenario lever RESI_margin (Homes.com net investment −$100m+ p.a.; Adjusted EBITDA positive 2030 per company).</t>
  </si>
  <si>
    <t xml:space="preserve">  Q3/26 stock-based compensation ($m)</t>
  </si>
  <si>
    <t xml:space="preserve">  Memo: Residential Real Estate — EBITDA (segment, as reported)</t>
  </si>
  <si>
    <t xml:space="preserve">  Q3/26 amortization of acquired intangibles ($m)</t>
  </si>
  <si>
    <t xml:space="preserve">  Q3/26 depreciation &amp; other amortization ($m)</t>
  </si>
  <si>
    <t xml:space="preserve">Legacy product lines &amp; geographic segments (as originally reported; memo — not forecast)</t>
  </si>
  <si>
    <t xml:space="preserve">LEGACY DISCLOSURE — product lines 2015–Q3/25 (first disclosed Q1/15 comparatives); North America / International segments 2007–Q3/25</t>
  </si>
  <si>
    <t xml:space="preserve">  Q3/26 interest income, net ($m)</t>
  </si>
  <si>
    <t xml:space="preserve">  Memo: CoStar Suite / CoStar (Q1/15–Q3/25)</t>
  </si>
  <si>
    <t xml:space="preserve">  Q3/26 other expense, net ($m)</t>
  </si>
  <si>
    <t xml:space="preserve">  Memo: Information Services (Q1/15–Q3/25)</t>
  </si>
  <si>
    <t xml:space="preserve">  Q3/26 acquisition &amp; integration costs ($m)</t>
  </si>
  <si>
    <t xml:space="preserve">  Memo: Multifamily — Apartments.com network (Q1/15–Q3/25)</t>
  </si>
  <si>
    <t xml:space="preserve">  2H/26 share repurchases ($m)</t>
  </si>
  <si>
    <t xml:space="preserve">2026 plan $700m under the $1.5bn authorization (1H/26: $587m). Bull = $1.0bn for the year.</t>
  </si>
  <si>
    <t xml:space="preserve">    Multifamily y/y %</t>
  </si>
  <si>
    <t xml:space="preserve">  Minimum net debt / Adjusted EBITDA (x) — buyback floor 2027E+</t>
  </si>
  <si>
    <t xml:space="preserve">CoStar has historically run net cash; Base lets net debt drift to 0.5x via buybacks.</t>
  </si>
  <si>
    <t xml:space="preserve">  Memo: Commercial property &amp; land (LoopNet, Land.com, Ten-X, BizBuySell; Q1/15–Q2/21)</t>
  </si>
  <si>
    <t xml:space="preserve">Medium-term targets (7-Jan-26 release) — memo, not forced</t>
  </si>
  <si>
    <t xml:space="preserve">  Memo: LoopNet (Q1/20–Q3/25)</t>
  </si>
  <si>
    <t xml:space="preserve">  Revenue CAGR 2025–28 (~15%)</t>
  </si>
  <si>
    <t xml:space="preserve">Model shows the gap in the Group block.</t>
  </si>
  <si>
    <t xml:space="preserve">  Memo: Residential — Homes.com, Homesnap, OnTheMarket (Q1/20–Q3/25)</t>
  </si>
  <si>
    <t xml:space="preserve">  2028 Adjusted EBITDA ($m)</t>
  </si>
  <si>
    <t xml:space="preserve">Homes.com: revenue &gt; expenses exiting 2029; positive Adjusted EBITDA in 2030.</t>
  </si>
  <si>
    <t xml:space="preserve">  Memo: Other Marketplaces / Other revenues (Ten-X, Land.com, BizBuySell; 2025 incl. Matterport &amp; Domain)</t>
  </si>
  <si>
    <t xml:space="preserve">  Check: Σ legacy product lines vs consolidated revenues (should be 0)</t>
  </si>
  <si>
    <t xml:space="preserve">COSTAR_growth (CoStar revenues y/y)</t>
  </si>
  <si>
    <t xml:space="preserve">Δ →</t>
  </si>
  <si>
    <t xml:space="preserve">CoStar (incl. Information Services) grew 8.6% y/y in 1H/26 (61 straight quarters of double-digit group growth). AI products (Rent Benchmark), France entry.</t>
  </si>
  <si>
    <t xml:space="preserve">  Memo: North America (United States to Q1/14) — revenues (external)</t>
  </si>
  <si>
    <t xml:space="preserve">  2027E</t>
  </si>
  <si>
    <t xml:space="preserve">  Memo: International — revenues (external)</t>
  </si>
  <si>
    <t xml:space="preserve">  2028E</t>
  </si>
  <si>
    <t xml:space="preserve">  Memo: North America — EBITDA</t>
  </si>
  <si>
    <t xml:space="preserve">  2029E</t>
  </si>
  <si>
    <t xml:space="preserve">  Memo: International — EBITDA</t>
  </si>
  <si>
    <t xml:space="preserve">  2030E</t>
  </si>
  <si>
    <t xml:space="preserve">  Check: Σ geographic segment EBITDA vs consolidated EBITDA (should be 0; ±0.1 rounding)</t>
  </si>
  <si>
    <t xml:space="preserve">LOOPNET_growth (LoopNet revenues y/y)</t>
  </si>
  <si>
    <t xml:space="preserve">1H/26 +15% y/y; marketplace ad pricing + diamond/platinum listings.</t>
  </si>
  <si>
    <t xml:space="preserve">Zonda — new-home data, analytics &amp; marketplaces (NewHomeSource, Livabl); acquired 21-Aug-2026 for $800m cash; Residential segment</t>
  </si>
  <si>
    <t xml:space="preserve">ZONDA — modelling logic (closed 21-Aug-2026; NOT in company FY26 guidance)</t>
  </si>
  <si>
    <t xml:space="preserve">  Memo: Zonda standalone revenues (pre-acquisition; not consolidated)</t>
  </si>
  <si>
    <t xml:space="preserve">Closing release (8-K Ex. 99.1, 21-Aug-2026): ~$170m revenue in 2025 at a 23% Adjusted EBITDA margin; 3,000+ customers; 104% net retention.</t>
  </si>
  <si>
    <t xml:space="preserve">  Memo: Zonda standalone Adjusted EBITDA margin (FY2025)</t>
  </si>
  <si>
    <t xml:space="preserve">  Days consolidated in period (closing 21-Aug-2026)</t>
  </si>
  <si>
    <t xml:space="preserve">41 days in Q3/26 (21-Aug → 30-Sep), full Q4/26.</t>
  </si>
  <si>
    <t xml:space="preserve">OCRE_growth (Other Commercial RE revenues y/y)</t>
  </si>
  <si>
    <t xml:space="preserve">Matterport, STR, Ten-X, BizBuySell, Realla.</t>
  </si>
  <si>
    <t xml:space="preserve">  Revenue growth y/y %</t>
  </si>
  <si>
    <t xml:space="preserve">2026E run-rate = FY2025 × (1 + 8%) (input). 2027E+: scenario lever ZONDA_growth.</t>
  </si>
  <si>
    <t xml:space="preserve">  Annual revenue run-rate (standalone basis)</t>
  </si>
  <si>
    <t xml:space="preserve">  Revenues (consolidated from closing)</t>
  </si>
  <si>
    <t xml:space="preserve">2026E = FY2025 standalone margin (23%). 2027E+: scenario lever ZONDA_margin (cost &amp; cross-sell synergies).</t>
  </si>
  <si>
    <t xml:space="preserve">  Adjusted EBITDA contribution</t>
  </si>
  <si>
    <t xml:space="preserve">RESI_growth (Residential RE revenues y/y, ex-Zonda)</t>
  </si>
  <si>
    <t xml:space="preserve">Apartments.com (~70% of segment), Homes.com (31k+ agent subscribers, ~$100m run-rate), Domain, OnTheMarket, Land.com.</t>
  </si>
  <si>
    <t xml:space="preserve">  Standalone depreciation &amp; other amortization % of revenues</t>
  </si>
  <si>
    <t xml:space="preserve">Estimate (capitalised software, equipment); no standalone financials filed.</t>
  </si>
  <si>
    <t xml:space="preserve">  Standalone depreciation &amp; other amortization (within D&amp;A)</t>
  </si>
  <si>
    <t xml:space="preserve">  Amortization of acquired intangibles (estimated purchase-price allocation)</t>
  </si>
  <si>
    <t xml:space="preserve">$320m acquired intangibles (40% of consideration; estimate) over 10 years straight-line → $32m p.a. Replace with the PPA in the Q3-26 10-Q.</t>
  </si>
  <si>
    <t xml:space="preserve">  Transaction &amp; integration costs (added back in Adjusted EBITDA / Adjusted Net Income)</t>
  </si>
  <si>
    <t xml:space="preserve">Estimate: advisory (BofA, Latham) &amp; closing costs $8m in Q3/26, integration $2m Q4/26 and $5m in 2027.</t>
  </si>
  <si>
    <t xml:space="preserve">CRE_margin (Commercial RE Adjusted EBITDA margin)</t>
  </si>
  <si>
    <t xml:space="preserve">FY26 guide ~35%; FY25 37.2%. Operating leverage on a largely fixed research/data cost base.</t>
  </si>
  <si>
    <t xml:space="preserve">Future acquisitions (M&amp;A lever — bolt-ons, unallocated; deals closed from 2027E)</t>
  </si>
  <si>
    <t xml:space="preserve">M&amp;A LEVER — acquired revenues = spend ÷ EV/sales; mid-year convention</t>
  </si>
  <si>
    <t xml:space="preserve">  Acquisition spend (USDm, scenario)</t>
  </si>
  <si>
    <t xml:space="preserve">Scenario lever M&amp;A_spend. CoStar deployed $0.1–2.3bn p.a. on acquisitions in 2018–25 (ForRent, STR, Ten-X, Homes.com, Matterport, Domain) plus Zonda ($0.8bn) in 2026.</t>
  </si>
  <si>
    <t xml:space="preserve">  Purchase multiple — EV / sales (x)</t>
  </si>
  <si>
    <t xml:space="preserve">  Annualised revenues acquired in the year</t>
  </si>
  <si>
    <t xml:space="preserve">  Growth of acquired businesses after acquisition %</t>
  </si>
  <si>
    <t xml:space="preserve">RESI_margin (Residential RE Adjusted EBITDA margin, ex-Zonda)</t>
  </si>
  <si>
    <t xml:space="preserve">FY26 guide ~6.7%; Homes.com net investment to fall by $100m+ p.a. to 2030 (7-Jan-26). Apartments.com margins ~40%+.</t>
  </si>
  <si>
    <t xml:space="preserve">  Run-rate revenues of businesses acquired (year end)</t>
  </si>
  <si>
    <t xml:space="preserve">  Revenues from future acquisitions</t>
  </si>
  <si>
    <t xml:space="preserve">Mid-year convention: deals close evenly through the year (half a year of revenues in year 1).</t>
  </si>
  <si>
    <t xml:space="preserve">  Adjusted EBITDA margin of acquired businesses %</t>
  </si>
  <si>
    <t xml:space="preserve">  Adjusted EBITDA from future acquisitions</t>
  </si>
  <si>
    <t xml:space="preserve">  Acquired intangibles % of spend (balance = goodwill)</t>
  </si>
  <si>
    <t xml:space="preserve">Asset-light information / marketplace targets: consideration mostly goodwill &amp; intangibles.</t>
  </si>
  <si>
    <t xml:space="preserve">ZONDA_growth (Zonda revenues y/y)</t>
  </si>
  <si>
    <t xml:space="preserve">Majority subscription; 104% net customer retention (deal release).</t>
  </si>
  <si>
    <t xml:space="preserve">  Intangible amortization life (years)</t>
  </si>
  <si>
    <t xml:space="preserve">  Acquired intangibles (gross) in the year</t>
  </si>
  <si>
    <t xml:space="preserve">  Cumulative acquired intangibles (gross)</t>
  </si>
  <si>
    <t xml:space="preserve">  Amortization of future-acquisition intangibles</t>
  </si>
  <si>
    <t xml:space="preserve">  Goodwill from future acquisitions</t>
  </si>
  <si>
    <t xml:space="preserve">ZONDA_margin (Zonda Adjusted EBITDA margin)</t>
  </si>
  <si>
    <t xml:space="preserve">FY2025 ~23% (closing release 21-Aug-26); cross-sell / cost synergies.</t>
  </si>
  <si>
    <t xml:space="preserve">Group Total — revenues &amp; Adjusted EBITDA (segment build) → outlook calibration</t>
  </si>
  <si>
    <t xml:space="preserve">GROUP TOTAL (CONSOLIDATED) — modelling logic</t>
  </si>
  <si>
    <t xml:space="preserve">Revenues (segment build)</t>
  </si>
  <si>
    <t xml:space="preserve">Σ CoStar + LoopNet + Other CRE + Residential + Zonda + future M&amp;A. Segment detail available from Q1/23 (revenues) and Q1/24 (Adjusted EBITDA).</t>
  </si>
  <si>
    <t xml:space="preserve">Adjusted EBITDA (segment build)</t>
  </si>
  <si>
    <t xml:space="preserve">M&amp;A_spend (future acquisitions, $m p.a.)</t>
  </si>
  <si>
    <t xml:space="preserve">Base: no further deals after Zonda (capital returned via buybacks). Bull adds $0.5bn p.a. of bolt-ons.</t>
  </si>
  <si>
    <t xml:space="preserve">  Check: segment build vs consolidated revenues (should be 0; ±1 rounding — recast segment data in whole $m)</t>
  </si>
  <si>
    <t xml:space="preserve">  Check: segment build vs Adjusted EBITDA bridge (should be 0; ±1 rounding — recast segment data in whole $m)</t>
  </si>
  <si>
    <t xml:space="preserve">  Memo: revenues — legacy CoStar (ex-Zonda &amp; future M&amp;A)</t>
  </si>
  <si>
    <t xml:space="preserve">  Memo: FY26 revenue guidance — legacy ex-Zonda (scenario end-point)</t>
  </si>
  <si>
    <t xml:space="preserve">Q2-26 release (28-Jul-26): $3.715–3.755bn. Drives the revenue-outlook calibration below.</t>
  </si>
  <si>
    <t xml:space="preserve">  Legacy revenues before revenue calibration (Q3/Q4-26E helper)</t>
  </si>
  <si>
    <t xml:space="preserve">  Revenue sensitivity to +1.00 of sequential growth (Q3+Q4 helper)</t>
  </si>
  <si>
    <t xml:space="preserve">  Outlook calibration: Δ sequential growth applied to all legacy product lines (Q3/Q4-26E)</t>
  </si>
  <si>
    <t xml:space="preserve">Solves the uniform growth shift Δ (linearised: +Δ × Q2 base in Q3, +2Δ × Q2 base in Q4) so that legacy FY26 revenues = the guidance end-point of the active scenario.</t>
  </si>
  <si>
    <t xml:space="preserve">  Check: legacy FY26 revenues vs guidance end-point (should be 0)</t>
  </si>
  <si>
    <t xml:space="preserve">  Memo: Adjusted EBITDA — legacy CoStar (ex-Zonda &amp; future M&amp;A)</t>
  </si>
  <si>
    <t xml:space="preserve">  Memo: FY26 Adjusted EBITDA guidance — legacy ex-Zonda (scenario end-point)</t>
  </si>
  <si>
    <t xml:space="preserve">$780–820m affirmed (Q2-26 release).</t>
  </si>
  <si>
    <t xml:space="preserve">  Legacy Adjusted EBITDA before margin calibration (Q3/Q4-26E helper)</t>
  </si>
  <si>
    <t xml:space="preserve">  Outlook calibration: Δ segment Adjusted EBITDA margin, Q3/Q4-26E (Q3/26E col. = Commercial RE; Q4/26E col. = Residential RE)</t>
  </si>
  <si>
    <t xml:space="preserve">Solves the margin shift per segment so FY26 segment Adjusted EBITDA = segment guidance end-points (CRE $670–690m; Residential $110–130m; total = $780–820m consolidated guide) for the active scenario.</t>
  </si>
  <si>
    <t xml:space="preserve">  Check: legacy FY26 Adjusted EBITDA vs guidance end-point (should be 0)</t>
  </si>
  <si>
    <t xml:space="preserve">  Memo: Q3/26E legacy revenues / Adjusted EBITDA vs Q3 guidance mid-point ($940m / $200m)</t>
  </si>
  <si>
    <t xml:space="preserve">Q3/26E column = revenue gap; Q4/26E column = Q3/26E Adjusted EBITDA gap (memo — not forced).</t>
  </si>
  <si>
    <t xml:space="preserve">  Check: FY26E segment Adjusted EBITDA vs segment guidance end-points (should be 0; Q3/26E col. = CRE, Q4/26E col. = Residential)</t>
  </si>
  <si>
    <t xml:space="preserve">  Memo: medium-term targets — 2028E Adjusted EBITDA vs $1.25bn target (2028E col.); revenue CAGR 2025–28E vs ~15% (2029E col.)</t>
  </si>
  <si>
    <t xml:space="preserve">2029E column shows the CAGR gap in percentage points.</t>
  </si>
  <si>
    <t xml:space="preserve">Operating KPIs (as stated in earnings releases)</t>
  </si>
  <si>
    <t xml:space="preserve">KPIs — not forecast</t>
  </si>
  <si>
    <t xml:space="preserve">  Net new bookings (USDm, annualised; as stated)</t>
  </si>
  <si>
    <t xml:space="preserve">  Common shares outstanding (10-Q/10-K cover date; m; split-adjusted)</t>
  </si>
  <si>
    <t xml:space="preserve">Cost drivers &amp; non-cash items (forecast inputs)</t>
  </si>
  <si>
    <t xml:space="preserve">COST DRIVERS — inputs that drive forecast cost lines (blue = input)</t>
  </si>
  <si>
    <t xml:space="preserve">  Cost of revenues % of revenues (incl. acquired-intangible amortization in cost of revenues)</t>
  </si>
  <si>
    <t xml:space="preserve">Q3/Q4-26E: 1H/26 ratio (21.6%). 2027E+: 21.0% input (scale on data/research costs; FY25 21.1%).</t>
  </si>
  <si>
    <t xml:space="preserve">  Software development % of revenues</t>
  </si>
  <si>
    <t xml:space="preserve">2027E+: 11.5% input (1H/26 12.1%; AI-driven efficiency).</t>
  </si>
  <si>
    <t xml:space="preserve">  General &amp; administrative % of revenues</t>
  </si>
  <si>
    <t xml:space="preserve">2027E+: 12.0% input (1H/26 13.2%; FY25 16.9% incl. litigation).</t>
  </si>
  <si>
    <t xml:space="preserve">  Selling &amp; marketing % of revenues (output — plug to the Adjusted EBITDA build)</t>
  </si>
  <si>
    <t xml:space="preserve">S&amp;M is the residual line: marketing (largely Homes.com/Apartments.com brand spend) is the swing cost that reconciles the GAAP P&amp;L to the segment Adjusted EBITDA build.</t>
  </si>
  <si>
    <t xml:space="preserve">  Stock-based compensation % of revenues</t>
  </si>
  <si>
    <t xml:space="preserve">Q3/26E = guidance $34m; Q4/26E = FY guide $156m − YTD. 2027E+: 4.0% input (FY25 6.0%, FY26E 4.2%).</t>
  </si>
  <si>
    <t xml:space="preserve">  Depreciation &amp; other amortization % of revenues</t>
  </si>
  <si>
    <t xml:space="preserve">Q3/26E = guidance $23m; Q4 = FY $77m − YTD (+ Zonda). 2027E+: 2.2% input (new campuses in service).</t>
  </si>
  <si>
    <t xml:space="preserve">  Amortization of acquired intangibles — legacy (USDm)</t>
  </si>
  <si>
    <t xml:space="preserve">2026E: guidance $251m (Q3 $62m). 2027E–30E: FY2025 10-K expected amortization ($219m / $193m / $179m / $147m) — excludes Zonda.</t>
  </si>
  <si>
    <t xml:space="preserve">  Amortization of acquired intangibles — total (legacy + Zonda + future M&amp;A)</t>
  </si>
  <si>
    <t xml:space="preserve">  Customer base amortization (operating expenses) share of total amortization</t>
  </si>
  <si>
    <t xml:space="preserve">Balance of acquired-intangible amortization sits in cost of revenues (technology, data).</t>
  </si>
  <si>
    <t xml:space="preserve">  Other D&amp;A in cash-flow D&amp;A (lessor activities in other income, debt-cost amortization; derived)</t>
  </si>
  <si>
    <t xml:space="preserve">Derived = cash-flow D&amp;A − EBITDA-bridge D&amp;A − acquired-intangible amortization (2024+: lessor D&amp;A in other income, $3–9m per quarter). Forecast input $4m/qtr, $14m p.a.</t>
  </si>
  <si>
    <t xml:space="preserve">  Acquisition &amp; integration costs — legacy (USDm; excl. Zonda)</t>
  </si>
  <si>
    <t xml:space="preserve">2026E: guidance $15m (Q3 $2m). 2027E+: $10m p.a. input.</t>
  </si>
  <si>
    <t xml:space="preserve">CONSOLIDATED STATEMENT OF OPERATIONS (US GAAP, as reported)</t>
  </si>
  <si>
    <t xml:space="preserve">CONSOLIDATED IS — forecast logic</t>
  </si>
  <si>
    <t xml:space="preserve">Revenues</t>
  </si>
  <si>
    <t xml:space="preserve">Forecast linked to the segment build.</t>
  </si>
  <si>
    <t xml:space="preserve">Cost of revenues (incl. amortization of acquired intangibles in cost of revenues)</t>
  </si>
  <si>
    <t xml:space="preserve">Forecast = revenues × cost-of-revenues % (driver).</t>
  </si>
  <si>
    <t xml:space="preserve">Gross profit (gross margin)</t>
  </si>
  <si>
    <t xml:space="preserve">  Gross margin %</t>
  </si>
  <si>
    <t xml:space="preserve">Selling &amp; marketing (excl. customer base amortization)</t>
  </si>
  <si>
    <t xml:space="preserve">Forecast = residual (gross profit − other opex − operating income implied by the Adjusted EBITDA build). Marketing is the swing cost (Homes.com).</t>
  </si>
  <si>
    <t xml:space="preserve">Software development</t>
  </si>
  <si>
    <t xml:space="preserve">General &amp; administrative (incl. litigation, settlements, acquisition &amp; restructuring costs)</t>
  </si>
  <si>
    <t xml:space="preserve">Customer base amortization (purchase amortization in operating expenses to 2016)</t>
  </si>
  <si>
    <t xml:space="preserve">Restructuring charge / gain on lease settlement, net (2005–2007)</t>
  </si>
  <si>
    <t xml:space="preserve">Total operating expenses</t>
  </si>
  <si>
    <t xml:space="preserve">Income (loss) from operations</t>
  </si>
  <si>
    <t xml:space="preserve">  Operating income implied by the Adjusted EBITDA build (forecast helper)</t>
  </si>
  <si>
    <t xml:space="preserve">Adjusted EBITDA (build) − SBC − acquisition, restructuring &amp; settlement items − D&amp;A − acquired-intangible amortization.</t>
  </si>
  <si>
    <t xml:space="preserve">Interest income (expense), net (incl. 'interest &amp; other' to Q1/20)</t>
  </si>
  <si>
    <t xml:space="preserve">Q3/26E = guidance $2m; Q4 = FY $13m − YTD (guidance pre-dates the $800m Zonda payment). 2027E+: yield × opening cash − note rate × opening notes − facility rate × opening facility − fees (opening balances avoid circularity).</t>
  </si>
  <si>
    <t xml:space="preserve">Other income (expense), net (incl. lessor income/D&amp;A, investment &amp; FX-forward gains, debt extinguishment)</t>
  </si>
  <si>
    <t xml:space="preserve">2026E = guidance (other expense $3m). 2027E+: −$4m p.a. input.</t>
  </si>
  <si>
    <t xml:space="preserve">Income (loss) before income taxes</t>
  </si>
  <si>
    <t xml:space="preserve">Income tax expense (benefit)</t>
  </si>
  <si>
    <t xml:space="preserve">Q3/Q4-26E at the FY26 guidance-implied GAAP rate (28.5%); 2027E+ input ETR.</t>
  </si>
  <si>
    <t xml:space="preserve">  Effective tax rate</t>
  </si>
  <si>
    <t xml:space="preserve">2027E+: 27% input (federal 21% + state; SBC shortfalls fading). FY25 77% (low pre-tax income, non-deductible items).</t>
  </si>
  <si>
    <t xml:space="preserve">Net income (loss)</t>
  </si>
  <si>
    <t xml:space="preserve">No material noncontrolling-interest share of earnings (Domain NCI recorded in equity).</t>
  </si>
  <si>
    <t xml:space="preserve">  Check: net income vs reported (should be 0)</t>
  </si>
  <si>
    <t xml:space="preserve">  Memo: net income (loss) as reported</t>
  </si>
  <si>
    <t xml:space="preserve">  Memo: depreciation &amp; amortization (total; cash-flow statement)</t>
  </si>
  <si>
    <t xml:space="preserve">Forecast = depreciation &amp; other amortization + acquired-intangible amortization + other D&amp;A (lessor).</t>
  </si>
  <si>
    <t xml:space="preserve">  Memo: stock-based compensation (cash-flow statement)</t>
  </si>
  <si>
    <t xml:space="preserve">(Earnings per share — split-adjusted for the 10-for-1 stock split of June 2021)</t>
  </si>
  <si>
    <t xml:space="preserve">  Weighted-average basic shares (m)</t>
  </si>
  <si>
    <t xml:space="preserve">Q3/Q4-26E: Q2/26 less 2H repurchases (spread evenly; time-weighted). 2027E+: average of beginning and ending shares (buyback schedule).</t>
  </si>
  <si>
    <t xml:space="preserve">  Weighted-average diluted shares (m)</t>
  </si>
  <si>
    <t xml:space="preserve">EPS – basic ($)</t>
  </si>
  <si>
    <t xml:space="preserve">EPS – diluted ($)</t>
  </si>
  <si>
    <t xml:space="preserve">EPS computed as net income / weighted diluted shares (may differ by ±$0.01 vs reported; anti-dilution in loss periods).</t>
  </si>
  <si>
    <t xml:space="preserve">  EPS – diluted y/y %</t>
  </si>
  <si>
    <t xml:space="preserve">  Memo: EPS – diluted as reported ($, split-adjusted)</t>
  </si>
  <si>
    <t xml:space="preserve">  Memo: FY26 net income guidance (scenario end-point; legacy, excl. Zonda)</t>
  </si>
  <si>
    <t xml:space="preserve">Compare with model net income (includes Zonda amortization, transaction costs and margin).</t>
  </si>
  <si>
    <t xml:space="preserve">RECONCILIATION: NET INCOME → EBITDA → ADJUSTED EBITDA (company definition)</t>
  </si>
  <si>
    <t xml:space="preserve">ADJUSTED EBITDA — per CoStar earnings-release reconciliations; company definition in force in each period (see definition row &amp; comments)</t>
  </si>
  <si>
    <t xml:space="preserve">Net income (loss) (GAAP)</t>
  </si>
  <si>
    <t xml:space="preserve">  (+) Amortization of acquired intangible assets (cost of revenues + operating expenses)</t>
  </si>
  <si>
    <t xml:space="preserve">  (+) Depreciation &amp; other amortization</t>
  </si>
  <si>
    <t xml:space="preserve">  (−) Interest income (expense), net</t>
  </si>
  <si>
    <t xml:space="preserve">  (−) Other income (expense), net (incl. loss on debt extinguishment 2017–19)</t>
  </si>
  <si>
    <t xml:space="preserve">  (+) Income tax expense (benefit)</t>
  </si>
  <si>
    <t xml:space="preserve">  = EBITDA</t>
  </si>
  <si>
    <t xml:space="preserve">  Company-published EBITDA</t>
  </si>
  <si>
    <t xml:space="preserve">  Check: model EBITDA vs company-published (should be 0; ±0.1 rounding in published subtotals tolerated)</t>
  </si>
  <si>
    <t xml:space="preserve">  (+) Stock-based compensation expense</t>
  </si>
  <si>
    <t xml:space="preserve">  (+) Acquisition &amp; integration related costs</t>
  </si>
  <si>
    <t xml:space="preserve">Forecast = legacy guidance/input + Zonda transaction &amp; integration costs + 2% of future M&amp;A spend.</t>
  </si>
  <si>
    <t xml:space="preserve">  (+) Restructuring &amp; related costs</t>
  </si>
  <si>
    <t xml:space="preserve">  (+/−) Settlements &amp; impairments (incl. judgments)</t>
  </si>
  <si>
    <t xml:space="preserve">  (+) Other company items (headquarters acquisition &amp; transition costs 2010–11)</t>
  </si>
  <si>
    <t xml:space="preserve">  Total adjusting items</t>
  </si>
  <si>
    <t xml:space="preserve">  = Adjusted EBITDA (model bridge)</t>
  </si>
  <si>
    <t xml:space="preserve">Historical bridge rebuilt from the company reconciliation in each period; forecast = net income + interest + other + tax + D&amp;A + amortization + SBC + acquisition, restructuring &amp; settlement items. Equals the segment build (check row in Group block).</t>
  </si>
  <si>
    <t xml:space="preserve">  Company-published Adjusted EBITDA (EBITDA to 2008)</t>
  </si>
  <si>
    <t xml:space="preserve">  Check: model bridge vs company-published (should be 0; ±0.1 rounding tolerated)</t>
  </si>
  <si>
    <t xml:space="preserve">  Definition basis (company Adjusted EBITDA definition in force)</t>
  </si>
  <si>
    <t xml:space="preserve">EBITDA only (no adjustments) 2006–08</t>
  </si>
  <si>
    <t xml:space="preserve">Adj. EBITDA introduced Q1-10 (FY09 comparatives): + SBC, acquisition, restructuring, settlements</t>
  </si>
  <si>
    <t xml:space="preserve">+ HQ acquisition &amp; transition costs (2010–11)</t>
  </si>
  <si>
    <t xml:space="preserve">EBITDA excludes loss on debt extinguishment</t>
  </si>
  <si>
    <t xml:space="preserve">Other income incl. lessor D&amp;A (excluded from bridge D&amp;A)</t>
  </si>
  <si>
    <t xml:space="preserve">Segments recast: CRE / Residential</t>
  </si>
  <si>
    <t xml:space="preserve">Definition changes are flagged in the column where they take effect.</t>
  </si>
  <si>
    <t xml:space="preserve">To adjusted EBIT:</t>
  </si>
  <si>
    <t xml:space="preserve">  (−) Depreciation &amp; amortization (incl. acquired-intangible amortization)</t>
  </si>
  <si>
    <t xml:space="preserve">  = Adjusted EBIT (model)</t>
  </si>
  <si>
    <t xml:space="preserve">  Adjusted EBIT margin %</t>
  </si>
  <si>
    <t xml:space="preserve">  Memo: Adjusted EBITDA pro forma — Zonda full year (2026E), for leverage &amp; valuation</t>
  </si>
  <si>
    <t xml:space="preserve">2026E adds Zonda's pre-closing days at its standalone margin (pro forma basis).</t>
  </si>
  <si>
    <t xml:space="preserve">RECONCILIATION: GAAP NET INCOME → ADJUSTED NET INCOME / ADJUSTED EPS (company definition)</t>
  </si>
  <si>
    <t xml:space="preserve">ADJUSTED NET INCOME — 'non-GAAP net income' to Q3-25, renamed 'Adjusted Net Income' in Q4-25; pre-tax adjustments taxed at an assumed rate (40% to 2011, 38% 2012–17, 25% 2018–21, 26% 2022+)</t>
  </si>
  <si>
    <t xml:space="preserve">  = Income (loss) before income taxes</t>
  </si>
  <si>
    <t xml:space="preserve">  (+) Amortization of acquired intangible assets (&amp; other related purchase-accounting costs)</t>
  </si>
  <si>
    <t xml:space="preserve">  (+) Acquisition &amp; integration related costs (in income from operations)</t>
  </si>
  <si>
    <t xml:space="preserve">  (+/−) Settlements &amp; impairments</t>
  </si>
  <si>
    <t xml:space="preserve">  (+/−) Other items (investment &amp; FX-forward gains, interest related to settlements, debt extinguishment, HQ costs)</t>
  </si>
  <si>
    <t xml:space="preserve">No other items forecast.</t>
  </si>
  <si>
    <t xml:space="preserve">  = Adjusted income before income taxes</t>
  </si>
  <si>
    <t xml:space="preserve">  Assumed tax rate (company: 40% to 2011, 38% 2012–17, 25% 2018–21, 26% 2022+)</t>
  </si>
  <si>
    <t xml:space="preserve">2026E+: 26% (company's assumed rate for 2026, 'approximates the statutory federal and state rate'). 2006–08: 40% (rate used when the measure was introduced).</t>
  </si>
  <si>
    <t xml:space="preserve">  (−) Assumed provision for income taxes</t>
  </si>
  <si>
    <t xml:space="preserve">  = Adjusted Net Income (model)</t>
  </si>
  <si>
    <t xml:space="preserve">  Company-published Adjusted (non-GAAP) Net Income</t>
  </si>
  <si>
    <t xml:space="preserve">  Check: model vs company-published (should be 0; ≤$0.6m rounding tolerated — 2024+ releases in whole $m)</t>
  </si>
  <si>
    <t xml:space="preserve">  Adjusted weighted-average diluted shares (m; incl. anti-dilutive shares in loss periods)</t>
  </si>
  <si>
    <t xml:space="preserve">Adjusted EPS – diluted ($) (model)</t>
  </si>
  <si>
    <t xml:space="preserve">  Company-published Adjusted (non-GAAP) EPS – diluted ($, split-adjusted)</t>
  </si>
  <si>
    <t xml:space="preserve">  Check: model vs company-published Adjusted EPS (should be 0.00; ±0.01 rounding)</t>
  </si>
  <si>
    <t xml:space="preserve">  Definition basis (company Adjusted Net Income definition in force)</t>
  </si>
  <si>
    <t xml:space="preserve">Model applies the definition (not published) 2006–08</t>
  </si>
  <si>
    <t xml:space="preserve">Non-GAAP NI introduced (40% assumed tax)</t>
  </si>
  <si>
    <t xml:space="preserve">Assumed tax 38%</t>
  </si>
  <si>
    <t xml:space="preserve">Assumed tax 25% (US tax reform)</t>
  </si>
  <si>
    <t xml:space="preserve">Assumed tax 26%</t>
  </si>
  <si>
    <t xml:space="preserve">Not published in Q4-24 release (recast Feb-26)</t>
  </si>
  <si>
    <t xml:space="preserve">+ gains/losses on Domain deal-contingent FX forwards</t>
  </si>
  <si>
    <t xml:space="preserve">Renamed 'Adjusted Net Income' / 'Adjusted EPS'</t>
  </si>
  <si>
    <t xml:space="preserve">  Memo: FY26 Adjusted EPS guidance (scenario end-point; legacy excl. Zonda)</t>
  </si>
  <si>
    <t xml:space="preserve">GROWTH &amp; MARGINS</t>
  </si>
  <si>
    <t xml:space="preserve">GROWTH &amp; MARGINS (consolidated) — forecast outputs</t>
  </si>
  <si>
    <t xml:space="preserve">  Revenues y/y %</t>
  </si>
  <si>
    <t xml:space="preserve">  Commercial Real Estate revenues y/y %</t>
  </si>
  <si>
    <t xml:space="preserve">  Residential Real Estate revenues y/y % (ex-Zonda)</t>
  </si>
  <si>
    <t xml:space="preserve">  Adjusted EBITDA y/y %</t>
  </si>
  <si>
    <t xml:space="preserve">  Income from operations y/y %</t>
  </si>
  <si>
    <t xml:space="preserve">  Net income y/y %</t>
  </si>
  <si>
    <t xml:space="preserve">  Adjusted EPS y/y %</t>
  </si>
  <si>
    <t xml:space="preserve">  Incremental Adjusted EBITDA margin (ΔAdj. EBITDA / ΔRevenues)</t>
  </si>
  <si>
    <t xml:space="preserve">  Operating margin (income from operations) %</t>
  </si>
  <si>
    <t xml:space="preserve">  Net margin %</t>
  </si>
  <si>
    <t xml:space="preserve">  Selling &amp; marketing % of revenues</t>
  </si>
  <si>
    <t xml:space="preserve">CONSOLIDATED STATEMENT OF CASH FLOWS</t>
  </si>
  <si>
    <t xml:space="preserve">CASH FLOW — forecast logic (annual; 2026E = 1H/26 actual + 2H estimate; quarters = discrete, derived from year-to-date statements)</t>
  </si>
  <si>
    <t xml:space="preserve">Adjustments:</t>
  </si>
  <si>
    <t xml:space="preserve">  Depreciation &amp; amortization</t>
  </si>
  <si>
    <t xml:space="preserve">  Stock-based compensation</t>
  </si>
  <si>
    <t xml:space="preserve">  Amortization of deferred commission costs (2018+, ASC 606)</t>
  </si>
  <si>
    <t xml:space="preserve">  Deferred income taxes</t>
  </si>
  <si>
    <t xml:space="preserve">No deferred tax forecast (2027E+ input 0).</t>
  </si>
  <si>
    <t xml:space="preserve">  Other non-cash items, net (derived: non-cash lease, credit losses, investment gains, debt costs, excess tax benefits)</t>
  </si>
  <si>
    <t xml:space="preserve">2026E = 1H actual; none forecast (offsets sit in lease and other balances held flat).</t>
  </si>
  <si>
    <t xml:space="preserve">  Changes in operating assets &amp; liabilities, net (incl. deferred commissions paid, litigation accrual)</t>
  </si>
  <si>
    <t xml:space="preserve">Linked to the balance sheet: −Δ(receivables, deferred commission costs incl. capitalised commissions) + Δ(deferred revenue, payables, accrued wages); 2026E excludes balances acquired with Zonda.</t>
  </si>
  <si>
    <t xml:space="preserve">Net cash provided by operating activities</t>
  </si>
  <si>
    <t xml:space="preserve">Purchases of property, equipment &amp; other assets (ex new campuses)</t>
  </si>
  <si>
    <t xml:space="preserve">2026E: 1H + 2H at the 1H capex/revenue ratio. 2027E+: revenues × capex % (schedule).</t>
  </si>
  <si>
    <t xml:space="preserve">Purchases of property &amp; equipment for new campuses (Richmond VA, Arlington HQ, other)</t>
  </si>
  <si>
    <t xml:space="preserve">Campus build-outs (Richmond campus, Arlington HQ purchase 2024). Schedule input.</t>
  </si>
  <si>
    <t xml:space="preserve">Cash paid for acquisitions, net of cash acquired</t>
  </si>
  <si>
    <t xml:space="preserve">2026E: Zonda $800m cash consideration net of estimated cash acquired. 2027E+: M&amp;A lever.</t>
  </si>
  <si>
    <t xml:space="preserve">Other investing activities, net (derived: investments, equity securities, asset sales)</t>
  </si>
  <si>
    <t xml:space="preserve">Net cash used in investing activities</t>
  </si>
  <si>
    <t xml:space="preserve">Proceeds from borrowings (senior notes, term loans, revolver)</t>
  </si>
  <si>
    <t xml:space="preserve">Repayments of debt</t>
  </si>
  <si>
    <t xml:space="preserve">Net issuance / (repayment) = change in total debt per the debt schedule ($1bn 2.80% senior notes due Jul-2030 refinanced at maturity).</t>
  </si>
  <si>
    <t xml:space="preserve">Proceeds from equity offerings, net (2011, 2012, 2014, 2017, 2020, 2022)</t>
  </si>
  <si>
    <t xml:space="preserve">Repurchases of common stock (program from 2025)</t>
  </si>
  <si>
    <t xml:space="preserve">2026E = 1H/26 actual ($587m) + 2H scenario amount; 2027E+ = leverage plug (surplus cash returned via buybacks down to the scenario net debt / Adj. EBITDA floor).</t>
  </si>
  <si>
    <t xml:space="preserve">Stock plans: option &amp; ESPP proceeds net of shares withheld for taxes (incl. excess tax benefits to 2016)</t>
  </si>
  <si>
    <t xml:space="preserve">Other financing activities, net (derived: debt costs, deferred consideration, NCI purchase, finance leases)</t>
  </si>
  <si>
    <t xml:space="preserve">Net cash provided by (used in) financing activities</t>
  </si>
  <si>
    <t xml:space="preserve">Effect of foreign-exchange rates on cash</t>
  </si>
  <si>
    <t xml:space="preserve">Net increase (decrease) in cash</t>
  </si>
  <si>
    <t xml:space="preserve">Cash — beginning of period (incl. restricted cash from 2020)</t>
  </si>
  <si>
    <t xml:space="preserve">Cash — end of period</t>
  </si>
  <si>
    <t xml:space="preserve">  Check: CFO + CFI + CFF + FX = change in cash (should be 0)</t>
  </si>
  <si>
    <t xml:space="preserve">  Check: beginning cash + change = ending cash (should be 0)</t>
  </si>
  <si>
    <t xml:space="preserve">  Check: Σ operating lines = CFO; Σ investing = CFI; Σ financing = CFF (should be 0)</t>
  </si>
  <si>
    <t xml:space="preserve">(Memo)</t>
  </si>
  <si>
    <t xml:space="preserve">Free cash flow (CFO − capex incl. campuses)</t>
  </si>
  <si>
    <t xml:space="preserve">CoStar does not publish a free-cash-flow measure in its releases; model definition = CFO − all purchases of PP&amp;E (incl. campus build-outs).</t>
  </si>
  <si>
    <t xml:space="preserve">  FCF y/y %</t>
  </si>
  <si>
    <t xml:space="preserve">  FCF % of revenues</t>
  </si>
  <si>
    <t xml:space="preserve">  FCF / Adjusted Net Income conversion %</t>
  </si>
  <si>
    <t xml:space="preserve">  FCF per diluted share ($)</t>
  </si>
  <si>
    <t xml:space="preserve">Capex ratios</t>
  </si>
  <si>
    <t xml:space="preserve">  Capex (incl. campuses) % of revenues</t>
  </si>
  <si>
    <t xml:space="preserve">  Capex / D&amp;A (x)</t>
  </si>
  <si>
    <t xml:space="preserve">SHARE BUYBACK SCHEDULE</t>
  </si>
  <si>
    <t xml:space="preserve">SHARES — $1.5bn authorization (Jan-26); 2026 plan $700m ($587m executed in 1H/26)</t>
  </si>
  <si>
    <t xml:space="preserve">  Avg buyback price ($)</t>
  </si>
  <si>
    <t xml:space="preserve">2026E = current share price (valuation input); appreciates at the schedule rate.</t>
  </si>
  <si>
    <t xml:space="preserve">  Buyback cash deployed (USDm)</t>
  </si>
  <si>
    <t xml:space="preserve">2026E row = 2H/26 buyback only (1H/26 repurchases already in Q1/Q2 share counts).</t>
  </si>
  <si>
    <t xml:space="preserve">  Implied shares repurchased (m)</t>
  </si>
  <si>
    <t xml:space="preserve">  Shares issued under equity plans (m)</t>
  </si>
  <si>
    <t xml:space="preserve">RSU vesting &amp; ESPP net of withholding (~2m p.a.).</t>
  </si>
  <si>
    <t xml:space="preserve">  Beginning shares outstanding (m)</t>
  </si>
  <si>
    <t xml:space="preserve">2026E begins from shares outstanding at the Q2-26 10-Q cover date (27-Jul-2026: 405.2m).</t>
  </si>
  <si>
    <t xml:space="preserve">  Ending shares outstanding (m)</t>
  </si>
  <si>
    <t xml:space="preserve">  % of shares repurchased</t>
  </si>
  <si>
    <t xml:space="preserve">  Dilutive securities (m; diluted − basic)</t>
  </si>
  <si>
    <t xml:space="preserve">CONSOLIDATED BALANCE SHEET</t>
  </si>
  <si>
    <t xml:space="preserve">BS FORECAST — 2026E rolled forward from the 30-Jun-2026 balance sheet (Q2/26) + Zonda purchase-price allocation + 2H flows; 2027E+ from prior year end</t>
  </si>
  <si>
    <t xml:space="preserve">ASSETS</t>
  </si>
  <si>
    <t xml:space="preserve">  Cash and cash equivalents</t>
  </si>
  <si>
    <t xml:space="preserve">  Restricted cash (2025+)</t>
  </si>
  <si>
    <t xml:space="preserve">  Short-term investments (to 2016)</t>
  </si>
  <si>
    <t xml:space="preserve">  Accounts receivable, net</t>
  </si>
  <si>
    <t xml:space="preserve">Receivables = revenues (2026E: pro forma full year incl. Zonda) × DSO / 365.</t>
  </si>
  <si>
    <t xml:space="preserve">  Other current assets (derived: prepaid, income-tax receivable, deferred taxes to 2016, debt costs)</t>
  </si>
  <si>
    <t xml:space="preserve">Total current assets</t>
  </si>
  <si>
    <t xml:space="preserve">  Property &amp; equipment, net</t>
  </si>
  <si>
    <t xml:space="preserve">PP&amp;E roll-forward: prior + capex (incl. campuses) − depreciation &amp; other amortization − other (lessor) D&amp;A + acquired PP&amp;E.</t>
  </si>
  <si>
    <t xml:space="preserve">  Goodwill</t>
  </si>
  <si>
    <t xml:space="preserve">2026E: + Zonda goodwill (estimated PPA).</t>
  </si>
  <si>
    <t xml:space="preserve">  Intangible assets, net</t>
  </si>
  <si>
    <t xml:space="preserve">Intangibles roll-forward: prior + acquired − amortization.</t>
  </si>
  <si>
    <t xml:space="preserve">  Lease right-of-use assets (2019+)</t>
  </si>
  <si>
    <t xml:space="preserve">  Deferred commission costs, net (2018+)</t>
  </si>
  <si>
    <t xml:space="preserve">  Other noncurrent assets (derived: deferred tax assets, long-term investments, deposits)</t>
  </si>
  <si>
    <t xml:space="preserve">TOTAL ASSETS</t>
  </si>
  <si>
    <t xml:space="preserve">LIABILITIES AND EQUITY</t>
  </si>
  <si>
    <t xml:space="preserve">  Accounts payable</t>
  </si>
  <si>
    <t xml:space="preserve">  Accrued wages &amp; commissions</t>
  </si>
  <si>
    <t xml:space="preserve">  Deferred revenue (current)</t>
  </si>
  <si>
    <t xml:space="preserve">  Current portion of long-term debt</t>
  </si>
  <si>
    <t xml:space="preserve">Forecast: next year's scheduled note maturities (2.80% notes due 15-Jul-2030 current at YE2029).</t>
  </si>
  <si>
    <t xml:space="preserve">  Lease liabilities — current (2019+)</t>
  </si>
  <si>
    <t xml:space="preserve">  Other current liabilities (derived: accrued expenses, litigation accrual, income taxes payable, other)</t>
  </si>
  <si>
    <t xml:space="preserve">Total current liabilities</t>
  </si>
  <si>
    <t xml:space="preserve">  Long-term debt, net (excl. current portion)</t>
  </si>
  <si>
    <t xml:space="preserve">  Deferred income taxes, net (liability)</t>
  </si>
  <si>
    <t xml:space="preserve">2026E: + Zonda deferred tax liability on acquired intangibles (estimated).</t>
  </si>
  <si>
    <t xml:space="preserve">  Lease &amp; other long-term liabilities (derived; incl. long-term income taxes payable, deferred rent / gain to 2019)</t>
  </si>
  <si>
    <t xml:space="preserve">Total liabilities</t>
  </si>
  <si>
    <t xml:space="preserve">  Stockholders' equity attributable to CoStar Group</t>
  </si>
  <si>
    <t xml:space="preserve">+ net income + stock-based compensation + stock-plan flows − share repurchases (treasury stock from 2025). 10-Qs from Q1-25 show only total equity (components in 10-K).</t>
  </si>
  <si>
    <t xml:space="preserve">    Memo: of which retained earnings / (accumulated deficit) (where disclosed)</t>
  </si>
  <si>
    <t xml:space="preserve">  Noncontrolling interests (Domain, from Q3/25)</t>
  </si>
  <si>
    <t xml:space="preserve">Total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</si>
  <si>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</si>
  <si>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</si>
  <si>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</si>
  <si>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</si>
  <si>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+ restricted cash vs cash-flow ending cash (should be 0; 2020+ cash-flow basis incl. restricted)</t>
  </si>
  <si>
    <t xml:space="preserve">WORKING CAPITAL &amp; CASH CONVERSION</t>
  </si>
  <si>
    <t xml:space="preserve">WORKING CAPITAL — forecast drivers (blue = input); CoStar runs negative working capital (subscriptions billed in advance)</t>
  </si>
  <si>
    <t xml:space="preserve">  Revenues — annualised / pro forma full-year basis (2026E incl. Zonda pre-closing)</t>
  </si>
  <si>
    <t xml:space="preserve">Quarters annualised (×4). 2026E adds Zonda revenues for the pre-closing days so year-end balances reflect a full-year run-rate.</t>
  </si>
  <si>
    <t xml:space="preserve">  DSO — receivables / revenues × 365</t>
  </si>
  <si>
    <t xml:space="preserve">Forecast inputs at FY2025 levels (DSO 26d; deferred commissions 5.5%; deferred revenue 6.3%; payables 1.2%; accrued wages 4.2% of revenues).</t>
  </si>
  <si>
    <t xml:space="preserve">  Deferred commission costs % of revenues</t>
  </si>
  <si>
    <t xml:space="preserve">  Deferred revenue % of revenues</t>
  </si>
  <si>
    <t xml:space="preserve">  Accounts payable % of revenues</t>
  </si>
  <si>
    <t xml:space="preserve">  Accrued wages &amp; commissions % of revenues</t>
  </si>
  <si>
    <t xml:space="preserve">  Amortization of deferred commissions % of revenues</t>
  </si>
  <si>
    <t xml:space="preserve">2027E+: 3.5% input (1H/26 3.3%; FY25 4.3%).</t>
  </si>
  <si>
    <t xml:space="preserve">  Operating NWC (receivables + deferred commissions − payables − accrued wages − deferred revenue)</t>
  </si>
  <si>
    <t xml:space="preserve">  NWC % of revenues</t>
  </si>
  <si>
    <t xml:space="preserve">  ΔNWC (y/y)</t>
  </si>
  <si>
    <t xml:space="preserve">BALANCE SHEET FORECAST SCHEDULES</t>
  </si>
  <si>
    <t xml:space="preserve">BS FORECAST SCHEDULES — explicit driver assumptions</t>
  </si>
  <si>
    <t xml:space="preserve">Zonda acquisition — consideration &amp; estimated purchase-price allocation (closed 21-Aug-2026; PPA not yet filed — model estimates)</t>
  </si>
  <si>
    <t xml:space="preserve">  Cash consideration</t>
  </si>
  <si>
    <t xml:space="preserve">Closing release (21-Aug-2026): $800m in cash (funded from cash on hand).</t>
  </si>
  <si>
    <t xml:space="preserve">  Cash acquired (estimate)</t>
  </si>
  <si>
    <t xml:space="preserve">  Accounts receivable acquired (estimate; ~45 days of revenues)</t>
  </si>
  <si>
    <t xml:space="preserve">  Other current assets acquired (estimate)</t>
  </si>
  <si>
    <t xml:space="preserve">  Property &amp; equipment / capitalised software (estimate)</t>
  </si>
  <si>
    <t xml:space="preserve">  Acquired intangible assets — customer relationships, data, technology, trade names (estimate: 40% of consideration)</t>
  </si>
  <si>
    <t xml:space="preserve">CoStar's recent deals: Matterport / Domain allocated ~35–45% of consideration to intangibles.</t>
  </si>
  <si>
    <t xml:space="preserve">  Weighted-average amortization life (years; estimate)</t>
  </si>
  <si>
    <t xml:space="preserve">  Deferred revenue assumed (estimate; subscription billing in advance)</t>
  </si>
  <si>
    <t xml:space="preserve">  Other liabilities assumed (estimate)</t>
  </si>
  <si>
    <t xml:space="preserve">  Deferred tax liability on intangibles (estimate: 26% × intangibles; stock deal assumed)</t>
  </si>
  <si>
    <t xml:space="preserve">  Goodwill (residual)</t>
  </si>
  <si>
    <t xml:space="preserve">  Check: assets acquired − liabilities assumed − consideration (should be 0)</t>
  </si>
  <si>
    <t xml:space="preserve">Capital expenditure, equity &amp; market inputs</t>
  </si>
  <si>
    <t xml:space="preserve">  Capex (ex campuses) % of revenues</t>
  </si>
  <si>
    <t xml:space="preserve">2027E+: 2.0% input (FY25 2.5%; 1H/26 1.6%).</t>
  </si>
  <si>
    <t xml:space="preserve">  New-campus capex (USDm; 2026E = 2H only)</t>
  </si>
  <si>
    <t xml:space="preserve">Richmond campus expansion / Arlington HQ fit-out tapering (FY24 $579m incl. HQ purchase; FY25 $307m; 1H/26 $83m).</t>
  </si>
  <si>
    <t xml:space="preserve">  Stock plans net cash flow (USDm; 2026E = 2H only)</t>
  </si>
  <si>
    <t xml:space="preserve">Option/ESPP proceeds less shares withheld for taxes.</t>
  </si>
  <si>
    <t xml:space="preserve">  Share-price appreciation % (buyback pricing)</t>
  </si>
  <si>
    <t xml:space="preserve">Debt schedule (2.80% senior notes due 15-Jul-2030; $750m revolving facility undrawn)</t>
  </si>
  <si>
    <t xml:space="preserve">  Total debt (current + long-term)</t>
  </si>
  <si>
    <t xml:space="preserve">Debt at 30-Jun-2026 $994m: $1,000m 2.80% senior notes due 15-Jul-2030 (issued Jul-2020) net of discount &amp; costs. Revolver ($750m) undrawn.</t>
  </si>
  <si>
    <t xml:space="preserve">  Scheduled note maturities (input, negative)</t>
  </si>
  <si>
    <t xml:space="preserve">  % of scheduled maturities refinanced (input)</t>
  </si>
  <si>
    <t xml:space="preserve">  Refinancing issuance</t>
  </si>
  <si>
    <t xml:space="preserve">  Senior notes outstanding (carrying value, year end)</t>
  </si>
  <si>
    <t xml:space="preserve">Carrying value held flat (discount/cost accretion ~$1m p.a. ignored).</t>
  </si>
  <si>
    <t xml:space="preserve">  Cash before revolver draws (opening cash + CFO + CFI + non-facility financing + FX)</t>
  </si>
  <si>
    <t xml:space="preserve">  Minimum cash balance (incl. restricted)</t>
  </si>
  <si>
    <t xml:space="preserve">  Revolving facility drawn (year end)</t>
  </si>
  <si>
    <t xml:space="preserve">Drawn/repaid so that cash ≥ minimum balance; surplus cash repays the facility first.</t>
  </si>
  <si>
    <t xml:space="preserve">  Net issuance / (repayment)</t>
  </si>
  <si>
    <t xml:space="preserve">  Interest rate on senior notes (opening balance) %</t>
  </si>
  <si>
    <t xml:space="preserve">2.80% coupon + ~0.2% discount/cost amortization; 2030E blends the Jul-2030 refinancing at ~5.5%.</t>
  </si>
  <si>
    <t xml:space="preserve">  Interest rate on revolving facility %</t>
  </si>
  <si>
    <t xml:space="preserve">  Interest income yield on opening cash %</t>
  </si>
  <si>
    <t xml:space="preserve">FY25 interest income $110m on ~$3–4bn average cash (~3.5%); assumes lower short rates.</t>
  </si>
  <si>
    <t xml:space="preserve">  Commitment &amp; other financing fees (USDm)</t>
  </si>
  <si>
    <t xml:space="preserve">Leverage-targeted buybacks (repurchases plug to the scenario net debt / Adjusted EBITDA floor)</t>
  </si>
  <si>
    <t xml:space="preserve">  Minimum net debt / Adjusted EBITDA (x) (scenario)</t>
  </si>
  <si>
    <t xml:space="preserve">Base 0.5x / Bull 1.0x / Bear 0.0x (net cash neutral). Buybacks absorb surplus cash; the revolver funds any shortfall vs the minimum cash balance.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</si>
  <si>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</si>
  <si>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</si>
  <si>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</si>
  <si>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 xml:space="preserve">Feeds the buyback schedule and the cash-flow repurchase line.</t>
  </si>
  <si>
    <t xml:space="preserve">Historical reference (driver context)</t>
  </si>
  <si>
    <t xml:space="preserve">  Total D&amp;A (cash-flow) % of revenues</t>
  </si>
  <si>
    <t xml:space="preserve">RATIO ANALYSIS</t>
  </si>
  <si>
    <t xml:space="preserve">RETURNS — annual columns (NOPAT on Adjusted EBIT at CoStar's assumed non-GAAP tax rate)</t>
  </si>
  <si>
    <t xml:space="preserve">DuPont decomposition of ROIC</t>
  </si>
  <si>
    <t xml:space="preserve">Adjusted EBIT (Adjusted EBITDA − D&amp;A incl. acquired-intangible amortization)</t>
  </si>
  <si>
    <t xml:space="preserve">Tax rate (company assumed non-GAAP rate; 40% 2006–08)</t>
  </si>
  <si>
    <t xml:space="preserve">GAAP ETR is distorted by non-deductible SBC and low pre-tax income (FY25 77%); the company's assumed rate is used for NOPAT.</t>
  </si>
  <si>
    <t xml:space="preserve">NOPAT = Adjusted EBIT × (1 − tax rate)</t>
  </si>
  <si>
    <t xml:space="preserve">Invested capital (IC) = Equity + Net debt</t>
  </si>
  <si>
    <t xml:space="preserve">  Total equity incl. NCI</t>
  </si>
  <si>
    <t xml:space="preserve">  Net debt = Total debt − Cash (incl. restricted &amp; short-term investments)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</si>
  <si>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</si>
  <si>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</si>
  <si>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</si>
  <si>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</si>
  <si>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</si>
  <si>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</si>
  <si>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</si>
  <si>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acquired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</si>
  <si>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</si>
  <si>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</si>
  <si>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</si>
  <si>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CoStar's net tangible assets are small (cash-rich, negative working capital), so RONTA is high and volatile; ROIC is the more meaningful return measure.</t>
  </si>
  <si>
    <t xml:space="preserve">Return on Equity (ROE)</t>
  </si>
  <si>
    <t xml:space="preserve">Net income</t>
  </si>
  <si>
    <t xml:space="preserve">Stockholders' equity attributable to CoStar Group</t>
  </si>
  <si>
    <t xml:space="preserve">ROE = Net income / Equity</t>
  </si>
  <si>
    <t xml:space="preserve">Leverage</t>
  </si>
  <si>
    <t xml:space="preserve">Net debt (negative = net cash)</t>
  </si>
  <si>
    <t xml:space="preserve">Adjusted EBITDA (2026E pro forma for Zonda full year)</t>
  </si>
  <si>
    <t xml:space="preserve">Net debt / Adjusted EBITDA (x)</t>
  </si>
  <si>
    <t xml:space="preserve">VALUATION</t>
  </si>
  <si>
    <t xml:space="preserve">VALUATION — share price input $30.78 (latest observable on EDGAR: Form 4 sale price, 7-Aug-2026); update to market</t>
  </si>
  <si>
    <t xml:space="preserve">Share price ($) — current</t>
  </si>
  <si>
    <t xml:space="preserve">Form 4 filed 10-Aug-2026 (director sale at $30.78 on 7-Aug-2026); CEO purchased at $29.89 on 4-Aug-2026. 2027E+ appreciates with the buyback-pricing input.</t>
  </si>
  <si>
    <t xml:space="preserve">Diluted shares at period end (m)</t>
  </si>
  <si>
    <t xml:space="preserve">Market capitalisation (USDm)</t>
  </si>
  <si>
    <t xml:space="preserve">Net debt (USDm)</t>
  </si>
  <si>
    <t xml:space="preserve">Noncontrolling interests (USDm)</t>
  </si>
  <si>
    <t xml:space="preserve">Enterprise value (USDm)</t>
  </si>
  <si>
    <t xml:space="preserve">Multiples</t>
  </si>
  <si>
    <t xml:space="preserve">  EV / Revenues (2026E pro forma)</t>
  </si>
  <si>
    <t xml:space="preserve">  EV / Adjusted EBITDA (2026E pro forma)</t>
  </si>
  <si>
    <t xml:space="preserve">  EV / (Adjusted EBITDA − SBC)</t>
  </si>
  <si>
    <t xml:space="preserve">CoStar adds back SBC (~4–6% of revenues) — EV / (Adj. EBITDA − SBC) is the cleaner cash multiple.</t>
  </si>
  <si>
    <t xml:space="preserve">  EV / Adjusted EBIT</t>
  </si>
  <si>
    <t xml:space="preserve">  EV / IC</t>
  </si>
  <si>
    <t xml:space="preserve">  P / E (GAAP diluted)</t>
  </si>
  <si>
    <t xml:space="preserve">  P / E (Adjusted EPS)</t>
  </si>
  <si>
    <t xml:space="preserve">  FCF yield</t>
  </si>
  <si>
    <t xml:space="preserve">  Buyback yield</t>
  </si>
  <si>
    <t xml:space="preserve">CoStar has never paid a cash dividend; capital is returned via repurchases.</t>
  </si>
  <si>
    <t xml:space="preserve">CoStar Group (CSGP) — Bull / Base / Bear Case P&amp;L Summary</t>
  </si>
  <si>
    <t xml:space="preserve">Share price ($):</t>
  </si>
  <si>
    <t xml:space="preserve">Adjusted figures (company current definition: Adjusted EBITDA adds back SBC; Adjusted EPS at a 26% assumed tax rate) · USD</t>
  </si>
  <si>
    <t xml:space="preserve">As of:</t>
  </si>
  <si>
    <t xml:space="preserve">Scenario:</t>
  </si>
  <si>
    <t xml:space="preserve">Snapshot (values) — Model run with switch = Bull, captured 06-Oct-2026; re-run to refresh</t>
  </si>
  <si>
    <t xml:space="preserve">Snapshot (values) — Model run with switch = Bear, captured 06-Oct-2026; re-run to refresh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</si>
  <si>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</si>
  <si>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</si>
  <si>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</si>
  <si>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</si>
  <si>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</si>
  <si>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</si>
  <si>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Revenues y/y %</t>
  </si>
  <si>
    <t xml:space="preserve">   Commercial Real Estate revenues y/y %</t>
  </si>
  <si>
    <t xml:space="preserve">   Residential Real Estate revenues y/y % (ex-Zonda)</t>
  </si>
  <si>
    <t xml:space="preserve">Adjusted EBITDA (company definition; adds back SBC)</t>
  </si>
  <si>
    <t xml:space="preserve">   Adjusted EBITDA margin %</t>
  </si>
  <si>
    <t xml:space="preserve">Income from Operations (GAAP)</t>
  </si>
  <si>
    <t xml:space="preserve">   Income from operations y/y %</t>
  </si>
  <si>
    <t xml:space="preserve">   Operating margin (GAAP) %</t>
  </si>
  <si>
    <t xml:space="preserve">Adjusted Net Income (company definition, 26% assumed tax)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</si>
  <si>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</si>
  <si>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</si>
  <si>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</si>
  <si>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</si>
  <si>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</si>
  <si>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</si>
  <si>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</si>
  <si>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 (CFO − capex incl. campuses)</t>
  </si>
  <si>
    <t xml:space="preserve">   FCF %</t>
  </si>
  <si>
    <t xml:space="preserve">   FCF / share ($)</t>
  </si>
  <si>
    <t xml:space="preserve">   FCF Yield (on PT)</t>
  </si>
  <si>
    <t xml:space="preserve">Adjusted EBITDA — pro forma (2026E incl. Zonda full year)</t>
  </si>
  <si>
    <t xml:space="preserve">   Adjusted EBITDA (pro forma) % of revenues</t>
  </si>
  <si>
    <t xml:space="preserve">Net Debt (negative = net cash)</t>
  </si>
  <si>
    <t xml:space="preserve">   Net Debt / Adjusted EBITDA (x)</t>
  </si>
  <si>
    <t xml:space="preserve">   Share repurchases ($m)</t>
  </si>
  <si>
    <t xml:space="preserve">   Implied avg buyback price ($)</t>
  </si>
  <si>
    <t xml:space="preserve">   Shares repurchased (m)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</si>
  <si>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</si>
  <si>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</si>
  <si>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</si>
  <si>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</si>
  <si>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</si>
  <si>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</si>
  <si>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COSTAR GROUP (CSGP)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</si>
  <si>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</si>
  <si>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</si>
  <si>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</si>
  <si>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</si>
  <si>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</si>
  <si>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</si>
  <si>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Information-services / online-marketplace peers (Verisk, MSCI, Zillow, Rightmove) ~0.8–1.4; elevated by Homes.com execution risk and 2026 share-price collapse</t>
  </si>
  <si>
    <t xml:space="preserve">Cost of equity</t>
  </si>
  <si>
    <t xml:space="preserve">Pre-tax cost of debt</t>
  </si>
  <si>
    <t xml:space="preserve">BBB- / Baa3; 2.80% 2030 notes trade wide of coupon; marginal cost ~5.5%</t>
  </si>
  <si>
    <t xml:space="preserve">Tax rate</t>
  </si>
  <si>
    <t xml:space="preserve">Company assumed non-GAAP rate (26%); model 2027E+ GAAP ETR 27%</t>
  </si>
  <si>
    <t xml:space="preserve">After-tax cost of debt</t>
  </si>
  <si>
    <t xml:space="preserve">Target D/V</t>
  </si>
  <si>
    <t xml:space="preserve">Net debt ~$0.3–0.9bn (0.5x Adj. EBITDA buyback floor) vs ~$12bn market cap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</si>
  <si>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</si>
  <si>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</si>
  <si>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</si>
  <si>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</si>
  <si>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</si>
  <si>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</si>
  <si>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</si>
  <si>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</si>
  <si>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</si>
  <si>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</si>
  <si>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</si>
  <si>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</si>
  <si>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Adj. EBIT less SBC and acquisition &amp; integration costs</t>
  </si>
  <si>
    <t xml:space="preserve">× (1 − tax rate)</t>
  </si>
  <si>
    <t xml:space="preserve">NOPAT</t>
  </si>
  <si>
    <t xml:space="preserve">plus D&amp;A (incl. acquired-intangible amortization)</t>
  </si>
  <si>
    <t xml:space="preserve">− Capex (incl. campuses) and acquisitions (Zonda 2026E; M&amp;A 2027E–30E)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</si>
  <si>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</si>
  <si>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</si>
  <si>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</si>
  <si>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10% → 6%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</si>
  <si>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</si>
  <si>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</si>
  <si>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</si>
  <si>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</si>
  <si>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CoStar's Adjusted EBITDA adds back stock-based compensation (~4% of revenues 2027E+); the DCF deducts SBC (a real cost) and acquisition costs from Adjusted EBIT. Adjusted EBIT deducts all D&amp;A incl. ~$0.2bn p.a. of acquired-intangible amortization (tax-effected), which is added back below NOPAT. 2026E includes the $0.8bn Zonda payment.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</si>
  <si>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</si>
  <si>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</si>
  <si>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</si>
  <si>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</si>
  <si>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</si>
  <si>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</si>
  <si>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</si>
  <si>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</si>
  <si>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</si>
  <si>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</si>
  <si>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2025A book IC (equity + net debt), rolled forward with capex, acquisitions (Zonda $0.8bn), D&amp;A and working capital.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</si>
  <si>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</si>
  <si>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</si>
  <si>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</si>
  <si>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</si>
  <si>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+ NCI (Model 2026E YE, post-Zonda)</t>
  </si>
  <si>
    <t xml:space="preserve">CSGP-specific: Domain NCI (Model BS) deducted alongside net debt; YE2026E net debt is after the $0.8bn Zonda payment and 2026 buybacks.</t>
  </si>
  <si>
    <t xml:space="preserve">Equity Value</t>
  </si>
  <si>
    <t xml:space="preserve">Diluted shares (m, Model 2026E YE)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</si>
  <si>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</si>
  <si>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</si>
  <si>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</si>
  <si>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</si>
  <si>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</si>
  <si>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</si>
  <si>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</si>
  <si>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</si>
  <si>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</si>
  <si>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</si>
  <si>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</si>
  <si>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</si>
  <si>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DCF!M26 (fade-end growth).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</si>
  <si>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</si>
  <si>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</si>
  <si>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(2014)</t>
  </si>
  <si>
    <t xml:space="preserve">Input</t>
  </si>
  <si>
    <t xml:space="preserve">Value</t>
  </si>
  <si>
    <t xml:space="preserve">Rationale (CoStar Group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</si>
  <si>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</si>
  <si>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</si>
  <si>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</si>
  <si>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Adjusted EBIT CAGR 2026–30E ~30% (Homes.com investment roll-off) normalising; 12% through-cycle subscription + marketplace growth.</t>
  </si>
  <si>
    <t xml:space="preserve">ROIIC  (Return on incremental invested capital)</t>
  </si>
  <si>
    <t xml:space="preserve">Asset-light subscription data (CoStar ~40% margins, ~90% renewal) and marketplaces; acquisitions (Matterport, Domain, Zonda) dilute incremental returns.</t>
  </si>
  <si>
    <t xml:space="preserve">N  (Years of value creation / CAP)</t>
  </si>
  <si>
    <t xml:space="preserve">Proprietary research database (35+ years), network effects in Apartments.com/LoopNet; AI disruption risk to listings portals caps duration.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</si>
  <si>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</si>
  <si>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</si>
  <si>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</si>
  <si>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</si>
  <si>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</si>
  <si>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</si>
  <si>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</si>
  <si>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</si>
  <si>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</si>
  <si>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 less SBC and acquisition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</si>
  <si>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</si>
  <si>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</si>
  <si>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</si>
  <si>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</si>
  <si>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</si>
  <si>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</si>
  <si>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</si>
  <si>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</si>
  <si>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</si>
  <si>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</si>
  <si>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+ NCI</t>
  </si>
  <si>
    <t xml:space="preserve">Implied Enterprise Value (today)</t>
  </si>
  <si>
    <t xml:space="preserve">CSGP market-implied EV/NOPAT (on 2028E NOPAT)</t>
  </si>
  <si>
    <t xml:space="preserve">Multiple gap (Mauboussin − Market)</t>
  </si>
  <si>
    <t xml:space="preserve">Implied re-rating headroom</t>
  </si>
  <si>
    <t xml:space="preserve">CoStar Group — Historical Operating Performance (2006–2025)</t>
  </si>
  <si>
    <t xml:space="preserve">All historicals · USDm · Linked to Model. Revenue growth vs Adjusted EBITDA growth; Adjusted EBITDA = company definition in force (EBITDA to 2008).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</si>
  <si>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</si>
  <si>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</si>
  <si>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</si>
  <si>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</si>
  <si>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</si>
  <si>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</si>
  <si>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</si>
  <si>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</si>
  <si>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</si>
  <si>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</si>
  <si>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</si>
  <si>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</si>
  <si>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</si>
  <si>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</si>
  <si>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</si>
  <si>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</si>
  <si>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</si>
  <si>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</si>
  <si>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</si>
  <si>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</si>
  <si>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Revenues y/y %</t>
  </si>
  <si>
    <t xml:space="preserve">Adjusted EBITDA y/y %</t>
  </si>
  <si>
    <t xml:space="preserve">Adjusted EBITDA</t>
  </si>
  <si>
    <t xml:space="preserve">Adj. EBITDA Margin %</t>
  </si>
  <si>
    <t xml:space="preserve">GAAP Op. Margin %</t>
  </si>
  <si>
    <t xml:space="preserve">Adj. EBITDA margin %</t>
  </si>
  <si>
    <t xml:space="preserve">FCF margin %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</si>
</sst>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0.00;\(0.00\);\-"/>
    <numFmt numFmtId="169" formatCode="#,##0.0;\(#,##0.0\);\-"/>
    <numFmt numFmtId="170" formatCode="0.0\x;\(0.0&quot;x)&quot;;\-"/>
    <numFmt numFmtId="171" formatCode="\+0.0%;\-0.0%"/>
    <numFmt numFmtId="172" formatCode="0\d;\(0&quot;)d&quot;;\-"/>
    <numFmt numFmtId="173" formatCode="dd\-mmm\-yyyy"/>
    <numFmt numFmtId="174" formatCode="0.00%"/>
    <numFmt numFmtId="175" formatCode="0.00"/>
    <numFmt numFmtId="176" formatCode="0.0%"/>
    <numFmt numFmtId="177" formatCode="0.000"/>
    <numFmt numFmtId="178" formatCode="#,##0.00"/>
    <numFmt numFmtId="179" formatCode="0"/>
    <numFmt numFmtId="180" formatCode="0.0\x"/>
    <numFmt numFmtId="181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2F3E46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40404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A6A6A6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sz val="10"/>
      <name val="Arial"/>
      <family val="2"/>
    </font>
    <font>
      <b val="true"/>
      <sz val="12"/>
      <color rgb="FF008000"/>
      <name val="Calibri"/>
      <family val="0"/>
      <charset val="1"/>
    </font>
    <font>
      <b val="true"/>
      <sz val="12"/>
      <color rgb="FF2F3E4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2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AD2C5"/>
      <rgbColor rgb="FF878787"/>
      <rgbColor rgb="FF84A98C"/>
      <rgbColor rgb="FFBE4B48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99CCFF"/>
      <rgbColor rgb="FFFF99CC"/>
      <rgbColor rgb="FFCC99FF"/>
      <rgbColor rgb="FFF5F5F5"/>
      <rgbColor rgb="FF4A7EBB"/>
      <rgbColor rgb="FF33CCCC"/>
      <rgbColor rgb="FF98B855"/>
      <rgbColor rgb="FFFFCC00"/>
      <rgbColor rgb="FFFF9900"/>
      <rgbColor rgb="FFFF6600"/>
      <rgbColor rgb="FF7D5FA0"/>
      <rgbColor rgb="FFA6A6A6"/>
      <rgbColor rgb="FF003366"/>
      <rgbColor rgb="FF52796F"/>
      <rgbColor rgb="FF003300"/>
      <rgbColor rgb="FF404040"/>
      <rgbColor rgb="FF993300"/>
      <rgbColor rgb="FFC0504D"/>
      <rgbColor rgb="FF59595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Growth: Revenues vs. Adjusted EBITDA,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Revenues y/y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</c:v>
                </c:pt>
                <c:pt idx="1">
                  <c:v>0.213457193386578</c:v>
                </c:pt>
                <c:pt idx="2">
                  <c:v>0.101776406213532</c:v>
                </c:pt>
                <c:pt idx="3">
                  <c:v>-0.0130350048016269</c:v>
                </c:pt>
                <c:pt idx="4">
                  <c:v>0.0791809557424199</c:v>
                </c:pt>
                <c:pt idx="5">
                  <c:v>0.112604967736233</c:v>
                </c:pt>
                <c:pt idx="6">
                  <c:v>0.390080162708848</c:v>
                </c:pt>
                <c:pt idx="7">
                  <c:v>0.260067555210096</c:v>
                </c:pt>
                <c:pt idx="8">
                  <c:v>0.30614614587373</c:v>
                </c:pt>
                <c:pt idx="9">
                  <c:v>0.235838704300478</c:v>
                </c:pt>
                <c:pt idx="10">
                  <c:v>0.176836704300864</c:v>
                </c:pt>
                <c:pt idx="11">
                  <c:v>0.152334562993207</c:v>
                </c:pt>
                <c:pt idx="12">
                  <c:v>0.234764771090828</c:v>
                </c:pt>
                <c:pt idx="13">
                  <c:v>0.17442642922828</c:v>
                </c:pt>
                <c:pt idx="14">
                  <c:v>0.185251468330429</c:v>
                </c:pt>
                <c:pt idx="15">
                  <c:v>0.171858188483676</c:v>
                </c:pt>
                <c:pt idx="16">
                  <c:v>0.122555275225229</c:v>
                </c:pt>
                <c:pt idx="17">
                  <c:v>0.124908873217042</c:v>
                </c:pt>
                <c:pt idx="18">
                  <c:v>0.114541751527495</c:v>
                </c:pt>
                <c:pt idx="19">
                  <c:v>0.186682260068709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Adjusted EBITDA y/y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</c:v>
                </c:pt>
                <c:pt idx="1">
                  <c:v>0.313209733487833</c:v>
                </c:pt>
                <c:pt idx="2">
                  <c:v>0.664431306803141</c:v>
                </c:pt>
                <c:pt idx="3">
                  <c:v>-0.03988407641061</c:v>
                </c:pt>
                <c:pt idx="4">
                  <c:v>-0.0554921593167931</c:v>
                </c:pt>
                <c:pt idx="5">
                  <c:v>0.109710232476568</c:v>
                </c:pt>
                <c:pt idx="6">
                  <c:v>0.517165083323089</c:v>
                </c:pt>
                <c:pt idx="7">
                  <c:v>0.582918586078381</c:v>
                </c:pt>
                <c:pt idx="8">
                  <c:v>0.378082932999905</c:v>
                </c:pt>
                <c:pt idx="9">
                  <c:v>-0.280302226372647</c:v>
                </c:pt>
                <c:pt idx="10">
                  <c:v>0.8838248304335</c:v>
                </c:pt>
                <c:pt idx="11">
                  <c:v>0.0949742096570942</c:v>
                </c:pt>
                <c:pt idx="12">
                  <c:v>0.494056256478073</c:v>
                </c:pt>
                <c:pt idx="13">
                  <c:v>0.212137160245154</c:v>
                </c:pt>
                <c:pt idx="14">
                  <c:v>0.0917426485099664</c:v>
                </c:pt>
                <c:pt idx="15">
                  <c:v>0.170326074774127</c:v>
                </c:pt>
                <c:pt idx="16">
                  <c:v>0.0372300002471391</c:v>
                </c:pt>
                <c:pt idx="17">
                  <c:v>-0.267770743889527</c:v>
                </c:pt>
                <c:pt idx="18">
                  <c:v>-0.510270490136262</c:v>
                </c:pt>
                <c:pt idx="19">
                  <c:v>0.835548172757476</c:v>
                </c:pt>
              </c:numCache>
            </c:numRef>
          </c:val>
        </c:ser>
        <c:gapWidth val="150"/>
        <c:overlap val="0"/>
        <c:axId val="93701005"/>
        <c:axId val="21079414"/>
      </c:barChart>
      <c:catAx>
        <c:axId val="937010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79414"/>
        <c:crosses val="autoZero"/>
        <c:auto val="1"/>
        <c:lblAlgn val="ctr"/>
        <c:lblOffset val="100"/>
        <c:noMultiLvlLbl val="0"/>
      </c:catAx>
      <c:valAx>
        <c:axId val="21079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010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Income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25.89</c:v>
                </c:pt>
                <c:pt idx="1">
                  <c:v>33.999</c:v>
                </c:pt>
                <c:pt idx="2">
                  <c:v>56.589</c:v>
                </c:pt>
                <c:pt idx="3">
                  <c:v>54.332</c:v>
                </c:pt>
                <c:pt idx="4">
                  <c:v>51.317</c:v>
                </c:pt>
                <c:pt idx="5">
                  <c:v>56.947</c:v>
                </c:pt>
                <c:pt idx="6">
                  <c:v>86.398</c:v>
                </c:pt>
                <c:pt idx="7">
                  <c:v>136.761</c:v>
                </c:pt>
                <c:pt idx="8">
                  <c:v>188.468</c:v>
                </c:pt>
                <c:pt idx="9">
                  <c:v>135.64</c:v>
                </c:pt>
                <c:pt idx="10">
                  <c:v>255.522</c:v>
                </c:pt>
                <c:pt idx="11">
                  <c:v>279.79</c:v>
                </c:pt>
                <c:pt idx="12">
                  <c:v>418.022</c:v>
                </c:pt>
                <c:pt idx="13">
                  <c:v>506.7</c:v>
                </c:pt>
                <c:pt idx="14">
                  <c:v>553.186</c:v>
                </c:pt>
                <c:pt idx="15">
                  <c:v>647.408</c:v>
                </c:pt>
                <c:pt idx="16">
                  <c:v>671.511</c:v>
                </c:pt>
                <c:pt idx="17">
                  <c:v>491.7</c:v>
                </c:pt>
                <c:pt idx="18">
                  <c:v>240.8</c:v>
                </c:pt>
                <c:pt idx="19">
                  <c:v>442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Income from Operations (GAAP)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14.081</c:v>
                </c:pt>
                <c:pt idx="1">
                  <c:v>17.852</c:v>
                </c:pt>
                <c:pt idx="2">
                  <c:v>39.788</c:v>
                </c:pt>
                <c:pt idx="3">
                  <c:v>31.835</c:v>
                </c:pt>
                <c:pt idx="4">
                  <c:v>22.775</c:v>
                </c:pt>
                <c:pt idx="5">
                  <c:v>21.771</c:v>
                </c:pt>
                <c:pt idx="6">
                  <c:v>27.44</c:v>
                </c:pt>
                <c:pt idx="7">
                  <c:v>54.154</c:v>
                </c:pt>
                <c:pt idx="8">
                  <c:v>80.878</c:v>
                </c:pt>
                <c:pt idx="9">
                  <c:v>11.455</c:v>
                </c:pt>
                <c:pt idx="10">
                  <c:v>144.905</c:v>
                </c:pt>
                <c:pt idx="11">
                  <c:v>173.816</c:v>
                </c:pt>
                <c:pt idx="12">
                  <c:v>273.564</c:v>
                </c:pt>
                <c:pt idx="13">
                  <c:v>363.547</c:v>
                </c:pt>
                <c:pt idx="14">
                  <c:v>289.202</c:v>
                </c:pt>
                <c:pt idx="15">
                  <c:v>432.337</c:v>
                </c:pt>
                <c:pt idx="16">
                  <c:v>450.949</c:v>
                </c:pt>
                <c:pt idx="17">
                  <c:v>282.3</c:v>
                </c:pt>
                <c:pt idx="18">
                  <c:v>4.69999999999982</c:v>
                </c:pt>
                <c:pt idx="19">
                  <c:v>-72</c:v>
                </c:pt>
              </c:numCache>
            </c:numRef>
          </c:val>
        </c:ser>
        <c:gapWidth val="150"/>
        <c:overlap val="0"/>
        <c:axId val="64747698"/>
        <c:axId val="60775785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0.162943941997243</c:v>
                </c:pt>
                <c:pt idx="1">
                  <c:v>0.176338787894505</c:v>
                </c:pt>
                <c:pt idx="2">
                  <c:v>0.266391436157192</c:v>
                </c:pt>
                <c:pt idx="3">
                  <c:v>0.259144611011213</c:v>
                </c:pt>
                <c:pt idx="4">
                  <c:v>0.226805445063202</c:v>
                </c:pt>
                <c:pt idx="5">
                  <c:v>0.226215350880678</c:v>
                </c:pt>
                <c:pt idx="6">
                  <c:v>0.246896575373783</c:v>
                </c:pt>
                <c:pt idx="7">
                  <c:v>0.310155734414652</c:v>
                </c:pt>
                <c:pt idx="8">
                  <c:v>0.327237748638738</c:v>
                </c:pt>
                <c:pt idx="9">
                  <c:v>0.190568784035158</c:v>
                </c:pt>
                <c:pt idx="10">
                  <c:v>0.30505354392751</c:v>
                </c:pt>
                <c:pt idx="11">
                  <c:v>0.289868735948945</c:v>
                </c:pt>
                <c:pt idx="12">
                  <c:v>0.350739030333134</c:v>
                </c:pt>
                <c:pt idx="13">
                  <c:v>0.362001230246928</c:v>
                </c:pt>
                <c:pt idx="14">
                  <c:v>0.333441630264632</c:v>
                </c:pt>
                <c:pt idx="15">
                  <c:v>0.333005681189835</c:v>
                </c:pt>
                <c:pt idx="16">
                  <c:v>0.307693964302586</c:v>
                </c:pt>
                <c:pt idx="17">
                  <c:v>0.200285132382892</c:v>
                </c:pt>
                <c:pt idx="18">
                  <c:v>0.088005262773189</c:v>
                </c:pt>
                <c:pt idx="19">
                  <c:v>0.136125654450262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0.0886216163485201</c:v>
                </c:pt>
                <c:pt idx="1">
                  <c:v>0.0925909597780141</c:v>
                </c:pt>
                <c:pt idx="2">
                  <c:v>0.187301109081665</c:v>
                </c:pt>
                <c:pt idx="3">
                  <c:v>0.151841800256607</c:v>
                </c:pt>
                <c:pt idx="4">
                  <c:v>0.100658534429417</c:v>
                </c:pt>
                <c:pt idx="5">
                  <c:v>0.0864827717706505</c:v>
                </c:pt>
                <c:pt idx="6">
                  <c:v>0.0784143386219194</c:v>
                </c:pt>
                <c:pt idx="7">
                  <c:v>0.122814059867148</c:v>
                </c:pt>
                <c:pt idx="8">
                  <c:v>0.140428797644183</c:v>
                </c:pt>
                <c:pt idx="9">
                  <c:v>0.0160938176137035</c:v>
                </c:pt>
                <c:pt idx="10">
                  <c:v>0.172994042715758</c:v>
                </c:pt>
                <c:pt idx="11">
                  <c:v>0.18007728727868</c:v>
                </c:pt>
                <c:pt idx="12">
                  <c:v>0.229532350197008</c:v>
                </c:pt>
                <c:pt idx="13">
                  <c:v>0.259728559803789</c:v>
                </c:pt>
                <c:pt idx="14">
                  <c:v>0.174321089752438</c:v>
                </c:pt>
                <c:pt idx="15">
                  <c:v>0.222380133066891</c:v>
                </c:pt>
                <c:pt idx="16">
                  <c:v>0.20662995171827</c:v>
                </c:pt>
                <c:pt idx="17">
                  <c:v>0.114989816700611</c:v>
                </c:pt>
                <c:pt idx="18">
                  <c:v>0.00171771069366268</c:v>
                </c:pt>
                <c:pt idx="19">
                  <c:v>-0.0221743147520788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7943207"/>
        <c:axId val="88872992"/>
      </c:lineChart>
      <c:catAx>
        <c:axId val="64747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75785"/>
        <c:crosses val="autoZero"/>
        <c:auto val="1"/>
        <c:lblAlgn val="ctr"/>
        <c:lblOffset val="100"/>
        <c:noMultiLvlLbl val="0"/>
      </c:catAx>
      <c:valAx>
        <c:axId val="60775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47698"/>
        <c:crosses val="autoZero"/>
        <c:crossBetween val="between"/>
      </c:valAx>
      <c:catAx>
        <c:axId val="4794320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72992"/>
        <c:crosses val="autoZero"/>
        <c:auto val="1"/>
        <c:lblAlgn val="ctr"/>
        <c:lblOffset val="100"/>
        <c:noMultiLvlLbl val="0"/>
      </c:catAx>
      <c:valAx>
        <c:axId val="8887299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4320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0.0918705552293339</c:v>
                </c:pt>
                <c:pt idx="1">
                  <c:v>0.113491348711048</c:v>
                </c:pt>
                <c:pt idx="2">
                  <c:v>0.220695010677538</c:v>
                </c:pt>
                <c:pt idx="3">
                  <c:v>0.178856215046004</c:v>
                </c:pt>
                <c:pt idx="4">
                  <c:v>0.131879212253829</c:v>
                </c:pt>
                <c:pt idx="5">
                  <c:v>0.239685818339947</c:v>
                </c:pt>
                <c:pt idx="6">
                  <c:v>0.0395532902685681</c:v>
                </c:pt>
                <c:pt idx="7">
                  <c:v>0.0726707747801909</c:v>
                </c:pt>
                <c:pt idx="8">
                  <c:v>0.0533851293515144</c:v>
                </c:pt>
                <c:pt idx="9">
                  <c:v>0.0239710129621129</c:v>
                </c:pt>
                <c:pt idx="10">
                  <c:v>0.0806279392336787</c:v>
                </c:pt>
                <c:pt idx="11">
                  <c:v>0.0930770593150237</c:v>
                </c:pt>
                <c:pt idx="12">
                  <c:v>0.132815923385892</c:v>
                </c:pt>
                <c:pt idx="13">
                  <c:v>0.136689555956626</c:v>
                </c:pt>
                <c:pt idx="14">
                  <c:v>0.125541505094465</c:v>
                </c:pt>
                <c:pt idx="15">
                  <c:v>0.134403601056923</c:v>
                </c:pt>
                <c:pt idx="16">
                  <c:v>0.138154903521214</c:v>
                </c:pt>
                <c:pt idx="17">
                  <c:v>0.0913233971476294</c:v>
                </c:pt>
                <c:pt idx="18">
                  <c:v>0.0234577165924852</c:v>
                </c:pt>
                <c:pt idx="19">
                  <c:v>0.0193945747608439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0.0370357706470279</c:v>
                </c:pt>
                <c:pt idx="1">
                  <c:v>0.0546375503083539</c:v>
                </c:pt>
                <c:pt idx="2">
                  <c:v>0.101803419204346</c:v>
                </c:pt>
                <c:pt idx="3">
                  <c:v>0.0925385324419242</c:v>
                </c:pt>
                <c:pt idx="4">
                  <c:v>0.0789282895518009</c:v>
                </c:pt>
                <c:pt idx="5">
                  <c:v>0.0443211115373598</c:v>
                </c:pt>
                <c:pt idx="6">
                  <c:v>0.172969717771503</c:v>
                </c:pt>
                <c:pt idx="7">
                  <c:v>0.19565732150258</c:v>
                </c:pt>
                <c:pt idx="8">
                  <c:v>0.121231395859032</c:v>
                </c:pt>
                <c:pt idx="9">
                  <c:v>0.075370359726932</c:v>
                </c:pt>
                <c:pt idx="10">
                  <c:v>0.188040520197921</c:v>
                </c:pt>
                <c:pt idx="11">
                  <c:v>0.106322100623123</c:v>
                </c:pt>
                <c:pt idx="12">
                  <c:v>0.202812289407098</c:v>
                </c:pt>
                <c:pt idx="13">
                  <c:v>0.237514270149749</c:v>
                </c:pt>
                <c:pt idx="14">
                  <c:v>0.0834258072642692</c:v>
                </c:pt>
                <c:pt idx="15">
                  <c:v>0.0927724465067326</c:v>
                </c:pt>
                <c:pt idx="16">
                  <c:v>0.0741684506822583</c:v>
                </c:pt>
                <c:pt idx="17">
                  <c:v>0.049324774462179</c:v>
                </c:pt>
                <c:pt idx="18">
                  <c:v>0.0157825095321831</c:v>
                </c:pt>
                <c:pt idx="19">
                  <c:v>0.0480987975300618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0.162943941997243</c:v>
                </c:pt>
                <c:pt idx="1">
                  <c:v>0.176338787894505</c:v>
                </c:pt>
                <c:pt idx="2">
                  <c:v>0.266391436157192</c:v>
                </c:pt>
                <c:pt idx="3">
                  <c:v>0.259144611011213</c:v>
                </c:pt>
                <c:pt idx="4">
                  <c:v>0.226805445063202</c:v>
                </c:pt>
                <c:pt idx="5">
                  <c:v>0.226215350880678</c:v>
                </c:pt>
                <c:pt idx="6">
                  <c:v>0.246896575373783</c:v>
                </c:pt>
                <c:pt idx="7">
                  <c:v>0.310155734414652</c:v>
                </c:pt>
                <c:pt idx="8">
                  <c:v>0.327237748638738</c:v>
                </c:pt>
                <c:pt idx="9">
                  <c:v>0.190568784035158</c:v>
                </c:pt>
                <c:pt idx="10">
                  <c:v>0.30505354392751</c:v>
                </c:pt>
                <c:pt idx="11">
                  <c:v>0.289868735948945</c:v>
                </c:pt>
                <c:pt idx="12">
                  <c:v>0.350739030333134</c:v>
                </c:pt>
                <c:pt idx="13">
                  <c:v>0.362001230246928</c:v>
                </c:pt>
                <c:pt idx="14">
                  <c:v>0.333441630264632</c:v>
                </c:pt>
                <c:pt idx="15">
                  <c:v>0.333005681189835</c:v>
                </c:pt>
                <c:pt idx="16">
                  <c:v>0.307693964302586</c:v>
                </c:pt>
                <c:pt idx="17">
                  <c:v>0.200285132382892</c:v>
                </c:pt>
                <c:pt idx="18">
                  <c:v>0.088005262773189</c:v>
                </c:pt>
                <c:pt idx="19">
                  <c:v>0.136125654450262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FCF margin %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0.12456494785668</c:v>
                </c:pt>
                <c:pt idx="1">
                  <c:v>0.194294753766759</c:v>
                </c:pt>
                <c:pt idx="2">
                  <c:v>0.175362946504227</c:v>
                </c:pt>
                <c:pt idx="3">
                  <c:v>0.138439084418031</c:v>
                </c:pt>
                <c:pt idx="4">
                  <c:v>-0.0799478476089455</c:v>
                </c:pt>
                <c:pt idx="5">
                  <c:v>0.042393281904202</c:v>
                </c:pt>
                <c:pt idx="6">
                  <c:v>0.203728681816104</c:v>
                </c:pt>
                <c:pt idx="7">
                  <c:v>0.202420721045577</c:v>
                </c:pt>
                <c:pt idx="8">
                  <c:v>0.202218649294366</c:v>
                </c:pt>
                <c:pt idx="9">
                  <c:v>0.135134679472409</c:v>
                </c:pt>
                <c:pt idx="10">
                  <c:v>0.211522987476571</c:v>
                </c:pt>
                <c:pt idx="11">
                  <c:v>0.217776074096329</c:v>
                </c:pt>
                <c:pt idx="12">
                  <c:v>0.256601601568006</c:v>
                </c:pt>
                <c:pt idx="13">
                  <c:v>0.294046876551651</c:v>
                </c:pt>
                <c:pt idx="14">
                  <c:v>0.263866176336739</c:v>
                </c:pt>
                <c:pt idx="15">
                  <c:v>0.144407152795459</c:v>
                </c:pt>
                <c:pt idx="16">
                  <c:v>0.176355011159738</c:v>
                </c:pt>
                <c:pt idx="17">
                  <c:v>0.14122199592668</c:v>
                </c:pt>
                <c:pt idx="18">
                  <c:v>-0.0896498793947811</c:v>
                </c:pt>
                <c:pt idx="19">
                  <c:v>0.0126270403449338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614211"/>
        <c:axId val="61436689"/>
      </c:lineChart>
      <c:catAx>
        <c:axId val="506142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36689"/>
        <c:crosses val="autoZero"/>
        <c:auto val="1"/>
        <c:lblAlgn val="ctr"/>
        <c:lblOffset val="100"/>
        <c:noMultiLvlLbl val="0"/>
      </c:catAx>
      <c:valAx>
        <c:axId val="61436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14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160920</xdr:rowOff>
    </xdr:from>
    <xdr:to>
      <xdr:col>13</xdr:col>
      <xdr:colOff>518760</xdr:colOff>
      <xdr:row>36</xdr:row>
      <xdr:rowOff>2880</xdr:rowOff>
    </xdr:to>
    <xdr:graphicFrame>
      <xdr:nvGraphicFramePr>
        <xdr:cNvPr id="0" name="Chart 1"/>
        <xdr:cNvGraphicFramePr/>
      </xdr:nvGraphicFramePr>
      <xdr:xfrm>
        <a:off x="611640" y="419112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42</xdr:row>
      <xdr:rowOff>160560</xdr:rowOff>
    </xdr:from>
    <xdr:to>
      <xdr:col>13</xdr:col>
      <xdr:colOff>518760</xdr:colOff>
      <xdr:row>57</xdr:row>
      <xdr:rowOff>2880</xdr:rowOff>
    </xdr:to>
    <xdr:graphicFrame>
      <xdr:nvGraphicFramePr>
        <xdr:cNvPr id="1" name="Chart 2"/>
        <xdr:cNvGraphicFramePr/>
      </xdr:nvGraphicFramePr>
      <xdr:xfrm>
        <a:off x="611640" y="819144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63</xdr:row>
      <xdr:rowOff>160920</xdr:rowOff>
    </xdr:from>
    <xdr:to>
      <xdr:col>13</xdr:col>
      <xdr:colOff>518760</xdr:colOff>
      <xdr:row>78</xdr:row>
      <xdr:rowOff>2880</xdr:rowOff>
    </xdr:to>
    <xdr:graphicFrame>
      <xdr:nvGraphicFramePr>
        <xdr:cNvPr id="2" name="Chart 3"/>
        <xdr:cNvGraphicFramePr/>
      </xdr:nvGraphicFramePr>
      <xdr:xfrm>
        <a:off x="611640" y="12192120"/>
        <a:ext cx="93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403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2.43"/>
    <col collapsed="false" customWidth="true" hidden="false" outlineLevel="0" max="2" min="2" style="0" width="78"/>
    <col collapsed="false" customWidth="true" hidden="false" outlineLevel="0" max="9" min="3" style="0" width="14.14"/>
    <col collapsed="false" customWidth="true" hidden="true" outlineLevel="1" max="13" min="10" style="0" width="9.57"/>
    <col collapsed="false" customWidth="true" hidden="false" outlineLevel="0" max="14" min="14" style="0" width="14.14"/>
    <col collapsed="false" customWidth="true" hidden="true" outlineLevel="1" max="18" min="15" style="0" width="9.57"/>
    <col collapsed="false" customWidth="true" hidden="false" outlineLevel="0" max="19" min="19" style="0" width="14.14"/>
    <col collapsed="false" customWidth="true" hidden="true" outlineLevel="1" max="23" min="20" style="0" width="9.57"/>
    <col collapsed="false" customWidth="true" hidden="false" outlineLevel="0" max="24" min="24" style="0" width="14.14"/>
    <col collapsed="false" customWidth="true" hidden="true" outlineLevel="1" max="28" min="25" style="0" width="9.57"/>
    <col collapsed="false" customWidth="true" hidden="false" outlineLevel="0" max="29" min="29" style="0" width="14.14"/>
    <col collapsed="false" customWidth="true" hidden="true" outlineLevel="1" max="33" min="30" style="0" width="9.57"/>
    <col collapsed="false" customWidth="true" hidden="false" outlineLevel="0" max="34" min="34" style="0" width="14.14"/>
    <col collapsed="false" customWidth="true" hidden="true" outlineLevel="1" max="38" min="35" style="0" width="9.57"/>
    <col collapsed="false" customWidth="true" hidden="false" outlineLevel="0" max="39" min="39" style="0" width="14.14"/>
    <col collapsed="false" customWidth="true" hidden="true" outlineLevel="1" max="43" min="40" style="0" width="9.57"/>
    <col collapsed="false" customWidth="true" hidden="false" outlineLevel="0" max="44" min="44" style="0" width="14.14"/>
    <col collapsed="false" customWidth="true" hidden="true" outlineLevel="1" max="48" min="45" style="0" width="9.57"/>
    <col collapsed="false" customWidth="true" hidden="false" outlineLevel="0" max="49" min="49" style="0" width="14.14"/>
    <col collapsed="false" customWidth="true" hidden="true" outlineLevel="1" max="53" min="50" style="0" width="9.57"/>
    <col collapsed="false" customWidth="true" hidden="false" outlineLevel="0" max="54" min="54" style="0" width="14.14"/>
    <col collapsed="false" customWidth="true" hidden="true" outlineLevel="1" max="58" min="55" style="0" width="9.57"/>
    <col collapsed="false" customWidth="true" hidden="false" outlineLevel="0" max="59" min="59" style="0" width="14.14"/>
    <col collapsed="false" customWidth="true" hidden="true" outlineLevel="1" max="63" min="60" style="0" width="9.57"/>
    <col collapsed="false" customWidth="true" hidden="false" outlineLevel="0" max="64" min="64" style="0" width="14.14"/>
    <col collapsed="false" customWidth="true" hidden="true" outlineLevel="1" max="68" min="65" style="0" width="9.57"/>
    <col collapsed="false" customWidth="true" hidden="false" outlineLevel="0" max="69" min="69" style="0" width="14.14"/>
    <col collapsed="false" customWidth="true" hidden="true" outlineLevel="1" max="73" min="70" style="0" width="9.57"/>
    <col collapsed="false" customWidth="true" hidden="false" outlineLevel="0" max="74" min="74" style="0" width="14.14"/>
    <col collapsed="false" customWidth="true" hidden="true" outlineLevel="1" max="78" min="75" style="0" width="9.57"/>
    <col collapsed="false" customWidth="true" hidden="false" outlineLevel="0" max="83" min="79" style="0" width="14.14"/>
    <col collapsed="false" customWidth="true" hidden="false" outlineLevel="0" max="84" min="84" style="0" width="86.86"/>
    <col collapsed="false" customWidth="true" hidden="false" outlineLevel="0" max="85" min="85" style="0" width="2"/>
    <col collapsed="false" customWidth="true" hidden="false" outlineLevel="0" max="89" min="86" style="0" width="14.14"/>
    <col collapsed="false" customWidth="true" hidden="false" outlineLevel="0" max="91" min="90" style="0" width="2"/>
    <col collapsed="false" customWidth="true" hidden="false" outlineLevel="0" max="92" min="92" style="0" width="62"/>
    <col collapsed="false" customWidth="true" hidden="false" outlineLevel="0" max="95" min="93" style="0" width="11.57"/>
    <col collapsed="false" customWidth="true" hidden="false" outlineLevel="0" max="96" min="96" style="0" width="70"/>
  </cols>
  <sheetData>
    <row r="1" customFormat="false" ht="15" hidden="false" customHeight="false" outlineLevel="0" collapsed="false">
      <c r="CF1" s="1" t="s">
        <v>0</v>
      </c>
    </row>
    <row r="2" customFormat="false" ht="21" hidden="false" customHeight="true" outlineLevel="0" collapsed="false">
      <c r="B2" s="2" t="s">
        <v>1</v>
      </c>
      <c r="CF2" s="3" t="s">
        <v>2</v>
      </c>
    </row>
    <row r="3" customFormat="false" ht="15" hidden="false" customHeight="false" outlineLevel="0" collapsed="false">
      <c r="B3" s="4" t="s">
        <v>3</v>
      </c>
    </row>
    <row r="4" customFormat="false" ht="15" hidden="false" customHeight="false" outlineLevel="0" collapsed="false">
      <c r="B4" s="5" t="s">
        <v>4</v>
      </c>
    </row>
    <row r="5" customFormat="false" ht="15" hidden="false" customHeight="false" outlineLevel="0" collapsed="false">
      <c r="BY5" s="6"/>
      <c r="BZ5" s="6"/>
      <c r="CA5" s="6"/>
      <c r="CB5" s="6"/>
      <c r="CC5" s="6"/>
      <c r="CD5" s="6"/>
      <c r="CE5" s="6"/>
      <c r="CH5" s="7" t="s">
        <v>5</v>
      </c>
      <c r="CI5" s="7" t="s">
        <v>6</v>
      </c>
      <c r="CJ5" s="7" t="s">
        <v>6</v>
      </c>
      <c r="CK5" s="7" t="s">
        <v>6</v>
      </c>
    </row>
    <row r="6" customFormat="false" ht="15" hidden="false" customHeight="false" outlineLevel="0" collapsed="false">
      <c r="B6" s="8" t="s">
        <v>7</v>
      </c>
      <c r="C6" s="9" t="n">
        <v>2006</v>
      </c>
      <c r="D6" s="9" t="n">
        <v>2007</v>
      </c>
      <c r="E6" s="9" t="n">
        <v>2008</v>
      </c>
      <c r="F6" s="9" t="n">
        <v>2009</v>
      </c>
      <c r="G6" s="9" t="n">
        <v>2010</v>
      </c>
      <c r="H6" s="9" t="n">
        <v>2011</v>
      </c>
      <c r="I6" s="9" t="n">
        <v>2012</v>
      </c>
      <c r="J6" s="9" t="s">
        <v>8</v>
      </c>
      <c r="K6" s="9" t="s">
        <v>9</v>
      </c>
      <c r="L6" s="9" t="s">
        <v>10</v>
      </c>
      <c r="M6" s="9" t="s">
        <v>11</v>
      </c>
      <c r="N6" s="9" t="n">
        <v>2013</v>
      </c>
      <c r="O6" s="9" t="s">
        <v>12</v>
      </c>
      <c r="P6" s="9" t="s">
        <v>13</v>
      </c>
      <c r="Q6" s="9" t="s">
        <v>14</v>
      </c>
      <c r="R6" s="9" t="s">
        <v>15</v>
      </c>
      <c r="S6" s="9" t="n">
        <v>2014</v>
      </c>
      <c r="T6" s="9" t="s">
        <v>16</v>
      </c>
      <c r="U6" s="9" t="s">
        <v>17</v>
      </c>
      <c r="V6" s="9" t="s">
        <v>18</v>
      </c>
      <c r="W6" s="9" t="s">
        <v>19</v>
      </c>
      <c r="X6" s="9" t="n">
        <v>2015</v>
      </c>
      <c r="Y6" s="9" t="s">
        <v>20</v>
      </c>
      <c r="Z6" s="9" t="s">
        <v>21</v>
      </c>
      <c r="AA6" s="9" t="s">
        <v>22</v>
      </c>
      <c r="AB6" s="9" t="s">
        <v>23</v>
      </c>
      <c r="AC6" s="9" t="n">
        <v>2016</v>
      </c>
      <c r="AD6" s="9" t="s">
        <v>24</v>
      </c>
      <c r="AE6" s="9" t="s">
        <v>25</v>
      </c>
      <c r="AF6" s="9" t="s">
        <v>26</v>
      </c>
      <c r="AG6" s="9" t="s">
        <v>27</v>
      </c>
      <c r="AH6" s="9" t="n">
        <v>2017</v>
      </c>
      <c r="AI6" s="9" t="s">
        <v>28</v>
      </c>
      <c r="AJ6" s="9" t="s">
        <v>29</v>
      </c>
      <c r="AK6" s="9" t="s">
        <v>30</v>
      </c>
      <c r="AL6" s="9" t="s">
        <v>31</v>
      </c>
      <c r="AM6" s="9" t="n">
        <v>2018</v>
      </c>
      <c r="AN6" s="9" t="s">
        <v>32</v>
      </c>
      <c r="AO6" s="9" t="s">
        <v>33</v>
      </c>
      <c r="AP6" s="9" t="s">
        <v>34</v>
      </c>
      <c r="AQ6" s="9" t="s">
        <v>35</v>
      </c>
      <c r="AR6" s="9" t="n">
        <v>2019</v>
      </c>
      <c r="AS6" s="9" t="s">
        <v>36</v>
      </c>
      <c r="AT6" s="9" t="s">
        <v>37</v>
      </c>
      <c r="AU6" s="9" t="s">
        <v>38</v>
      </c>
      <c r="AV6" s="9" t="s">
        <v>39</v>
      </c>
      <c r="AW6" s="9" t="n">
        <v>2020</v>
      </c>
      <c r="AX6" s="9" t="s">
        <v>40</v>
      </c>
      <c r="AY6" s="9" t="s">
        <v>41</v>
      </c>
      <c r="AZ6" s="9" t="s">
        <v>42</v>
      </c>
      <c r="BA6" s="9" t="s">
        <v>43</v>
      </c>
      <c r="BB6" s="9" t="n">
        <v>2021</v>
      </c>
      <c r="BC6" s="9" t="s">
        <v>44</v>
      </c>
      <c r="BD6" s="9" t="s">
        <v>45</v>
      </c>
      <c r="BE6" s="9" t="s">
        <v>46</v>
      </c>
      <c r="BF6" s="9" t="s">
        <v>47</v>
      </c>
      <c r="BG6" s="9" t="n">
        <v>2022</v>
      </c>
      <c r="BH6" s="9" t="s">
        <v>48</v>
      </c>
      <c r="BI6" s="9" t="s">
        <v>49</v>
      </c>
      <c r="BJ6" s="9" t="s">
        <v>50</v>
      </c>
      <c r="BK6" s="9" t="s">
        <v>51</v>
      </c>
      <c r="BL6" s="9" t="n">
        <v>2023</v>
      </c>
      <c r="BM6" s="9" t="s">
        <v>52</v>
      </c>
      <c r="BN6" s="9" t="s">
        <v>53</v>
      </c>
      <c r="BO6" s="9" t="s">
        <v>54</v>
      </c>
      <c r="BP6" s="9" t="s">
        <v>55</v>
      </c>
      <c r="BQ6" s="9" t="n">
        <v>2024</v>
      </c>
      <c r="BR6" s="9" t="s">
        <v>56</v>
      </c>
      <c r="BS6" s="9" t="s">
        <v>57</v>
      </c>
      <c r="BT6" s="9" t="s">
        <v>58</v>
      </c>
      <c r="BU6" s="9" t="s">
        <v>59</v>
      </c>
      <c r="BV6" s="9" t="n">
        <v>2025</v>
      </c>
      <c r="BW6" s="9" t="s">
        <v>60</v>
      </c>
      <c r="BX6" s="9" t="s">
        <v>61</v>
      </c>
      <c r="BY6" s="9" t="s">
        <v>62</v>
      </c>
      <c r="BZ6" s="9" t="s">
        <v>63</v>
      </c>
      <c r="CA6" s="9" t="s">
        <v>64</v>
      </c>
      <c r="CB6" s="9" t="s">
        <v>65</v>
      </c>
      <c r="CC6" s="9" t="s">
        <v>66</v>
      </c>
      <c r="CD6" s="9" t="s">
        <v>67</v>
      </c>
      <c r="CE6" s="9" t="s">
        <v>68</v>
      </c>
      <c r="CF6" s="9" t="s">
        <v>69</v>
      </c>
      <c r="CH6" s="9" t="s">
        <v>70</v>
      </c>
      <c r="CI6" s="9" t="s">
        <v>70</v>
      </c>
      <c r="CJ6" s="9" t="s">
        <v>71</v>
      </c>
      <c r="CK6" s="9" t="s">
        <v>72</v>
      </c>
    </row>
    <row r="7" customFormat="false" ht="15" hidden="false" customHeight="false" outlineLevel="0" collapsed="false">
      <c r="CH7" s="10" t="s">
        <v>73</v>
      </c>
      <c r="CI7" s="10" t="s">
        <v>74</v>
      </c>
      <c r="CJ7" s="10" t="s">
        <v>75</v>
      </c>
      <c r="CK7" s="10" t="s">
        <v>76</v>
      </c>
    </row>
    <row r="8" customFormat="false" ht="15" hidden="false" customHeight="true" outlineLevel="0" collapsed="false">
      <c r="B8" s="11" t="s">
        <v>77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 t="s">
        <v>78</v>
      </c>
    </row>
    <row r="9" customFormat="false" ht="15" hidden="false" customHeight="false" outlineLevel="0" collapsed="false">
      <c r="CN9" s="12" t="s">
        <v>79</v>
      </c>
      <c r="CO9" s="13" t="s">
        <v>80</v>
      </c>
      <c r="CP9" s="13" t="s">
        <v>2</v>
      </c>
      <c r="CQ9" s="13" t="s">
        <v>81</v>
      </c>
      <c r="CR9" s="14" t="s">
        <v>82</v>
      </c>
    </row>
    <row r="10" customFormat="false" ht="15" hidden="false" customHeight="true" outlineLevel="0" collapsed="false">
      <c r="B10" s="15" t="s">
        <v>83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6" t="s">
        <v>84</v>
      </c>
    </row>
    <row r="11" customFormat="false" ht="15" hidden="false" customHeight="true" outlineLevel="0" collapsed="false">
      <c r="B11" s="17" t="s">
        <v>85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 t="n">
        <f aca="false">IF(ISNUMBER(T37),N(T37)+N(T38),"")</f>
        <v>105.347</v>
      </c>
      <c r="U11" s="18" t="n">
        <f aca="false">IF(ISNUMBER(U37),N(U37)+N(U38),"")</f>
        <v>107.523</v>
      </c>
      <c r="V11" s="18" t="n">
        <f aca="false">IF(ISNUMBER(V37),N(V37)+N(V38),"")</f>
        <v>110.476</v>
      </c>
      <c r="W11" s="18" t="n">
        <f aca="false">IF(ISNUMBER(W37),N(W37)+N(W38),"")</f>
        <v>112.884</v>
      </c>
      <c r="X11" s="18" t="n">
        <f aca="false">IF(ISNUMBER(X37),N(X37)+N(X38),"")</f>
        <v>436.23</v>
      </c>
      <c r="Y11" s="18" t="n">
        <f aca="false">IF(ISNUMBER(Y37),N(Y37)+N(Y38),"")</f>
        <v>117.059</v>
      </c>
      <c r="Z11" s="18" t="n">
        <f aca="false">IF(ISNUMBER(Z37),N(Z37)+N(Z38),"")</f>
        <v>120.499</v>
      </c>
      <c r="AA11" s="18" t="n">
        <f aca="false">IF(ISNUMBER(AA37),N(AA37)+N(AA38),"")</f>
        <v>122.747</v>
      </c>
      <c r="AB11" s="18" t="n">
        <f aca="false">IF(ISNUMBER(AB37),N(AB37)+N(AB38),"")</f>
        <v>125.329</v>
      </c>
      <c r="AC11" s="18" t="n">
        <f aca="false">IF(ISNUMBER(AC37),N(AC37)+N(AC38),"")</f>
        <v>485.634</v>
      </c>
      <c r="AD11" s="18" t="n">
        <f aca="false">IF(ISNUMBER(AD37),N(AD37)+N(AD38),"")</f>
        <v>128.315</v>
      </c>
      <c r="AE11" s="18" t="n">
        <f aca="false">IF(ISNUMBER(AE37),N(AE37)+N(AE38),"")</f>
        <v>132.106</v>
      </c>
      <c r="AF11" s="18" t="n">
        <f aca="false">IF(ISNUMBER(AF37),N(AF37)+N(AF38),"")</f>
        <v>136.03</v>
      </c>
      <c r="AG11" s="18" t="n">
        <f aca="false">IF(ISNUMBER(AG37),N(AG37)+N(AG38),"")</f>
        <v>139.352</v>
      </c>
      <c r="AH11" s="18" t="n">
        <f aca="false">IF(ISNUMBER(AH37),N(AH37)+N(AH38),"")</f>
        <v>535.803</v>
      </c>
      <c r="AI11" s="18" t="n">
        <f aca="false">IF(ISNUMBER(AI37),N(AI37)+N(AI38),"")</f>
        <v>145.421</v>
      </c>
      <c r="AJ11" s="18" t="n">
        <f aca="false">IF(ISNUMBER(AJ37),N(AJ37)+N(AJ38),"")</f>
        <v>149.493</v>
      </c>
      <c r="AK11" s="18" t="n">
        <f aca="false">IF(ISNUMBER(AK37),N(AK37)+N(AK38),"")</f>
        <v>156.619</v>
      </c>
      <c r="AL11" s="18" t="n">
        <f aca="false">IF(ISNUMBER(AL37),N(AL37)+N(AL38),"")</f>
        <v>161.137</v>
      </c>
      <c r="AM11" s="18" t="n">
        <f aca="false">IF(ISNUMBER(AM37),N(AM37)+N(AM38),"")</f>
        <v>612.819</v>
      </c>
      <c r="AN11" s="18" t="n">
        <f aca="false">IF(ISNUMBER(AN37),N(AN37)+N(AN38),"")</f>
        <v>166.551</v>
      </c>
      <c r="AO11" s="18" t="n">
        <f aca="false">IF(ISNUMBER(AO37),N(AO37)+N(AO38),"")</f>
        <v>173.602</v>
      </c>
      <c r="AP11" s="18" t="n">
        <f aca="false">IF(ISNUMBER(AP37),N(AP37)+N(AP38),"")</f>
        <v>175.484</v>
      </c>
      <c r="AQ11" s="18" t="n">
        <f aca="false">IF(ISNUMBER(AQ37),N(AQ37)+N(AQ38),"")</f>
        <v>190.607</v>
      </c>
      <c r="AR11" s="18" t="n">
        <f aca="false">IF(ISNUMBER(AR37),N(AR37)+N(AR38),"")</f>
        <v>706.244</v>
      </c>
      <c r="AS11" s="18" t="n">
        <f aca="false">IF(ISNUMBER(AS37),N(AS37)+N(AS38),"")</f>
        <v>197.338</v>
      </c>
      <c r="AT11" s="18" t="n">
        <f aca="false">IF(ISNUMBER(AT37),N(AT37)+N(AT38),"")</f>
        <v>195.589</v>
      </c>
      <c r="AU11" s="18" t="n">
        <f aca="false">IF(ISNUMBER(AU37),N(AU37)+N(AU38),"")</f>
        <v>199.162</v>
      </c>
      <c r="AV11" s="18" t="n">
        <f aca="false">IF(ISNUMBER(AV37),N(AV37)+N(AV38),"")</f>
        <v>202.716</v>
      </c>
      <c r="AW11" s="18" t="n">
        <f aca="false">IF(ISNUMBER(AW37),N(AW37)+N(AW38),"")</f>
        <v>794.805</v>
      </c>
      <c r="AX11" s="18" t="n">
        <f aca="false">IF(ISNUMBER(AX37),N(AX37)+N(AX38),"")</f>
        <v>206.88</v>
      </c>
      <c r="AY11" s="18" t="n">
        <f aca="false">IF(ISNUMBER(AY37),N(AY37)+N(AY38),"")</f>
        <v>212.136</v>
      </c>
      <c r="AZ11" s="18" t="n">
        <f aca="false">IF(ISNUMBER(AZ37),N(AZ37)+N(AZ38),"")</f>
        <v>219.191</v>
      </c>
      <c r="BA11" s="18" t="n">
        <f aca="false">IF(ISNUMBER(BA37),N(BA37)+N(BA38),"")</f>
        <v>226.269</v>
      </c>
      <c r="BB11" s="18" t="n">
        <f aca="false">IF(ISNUMBER(BB37),N(BB37)+N(BB38),"")</f>
        <v>864.476</v>
      </c>
      <c r="BC11" s="18" t="n">
        <f aca="false">IF(ISNUMBER(BC37),N(BC37)+N(BC38),"")</f>
        <v>235.864</v>
      </c>
      <c r="BD11" s="18" t="n">
        <f aca="false">IF(ISNUMBER(BD37),N(BD37)+N(BD38),"")</f>
        <v>245.068</v>
      </c>
      <c r="BE11" s="18" t="n">
        <f aca="false">IF(ISNUMBER(BE37),N(BE37)+N(BE38),"")</f>
        <v>253.703</v>
      </c>
      <c r="BF11" s="18" t="n">
        <f aca="false">IF(ISNUMBER(BF37),N(BF37)+N(BF38),"")</f>
        <v>259.727</v>
      </c>
      <c r="BG11" s="18" t="n">
        <f aca="false">IF(ISNUMBER(BG37),N(BG37)+N(BG38),"")</f>
        <v>994.362</v>
      </c>
      <c r="BH11" s="19" t="n">
        <v>267</v>
      </c>
      <c r="BI11" s="19" t="n">
        <v>271</v>
      </c>
      <c r="BJ11" s="19" t="n">
        <v>278</v>
      </c>
      <c r="BK11" s="19" t="n">
        <v>280</v>
      </c>
      <c r="BL11" s="18" t="n">
        <f aca="false">IF(ISNUMBER(BL37),N(BL37)+N(BL38),"")</f>
        <v>1096.1</v>
      </c>
      <c r="BM11" s="19" t="n">
        <v>283</v>
      </c>
      <c r="BN11" s="19" t="n">
        <v>286</v>
      </c>
      <c r="BO11" s="19" t="n">
        <v>290</v>
      </c>
      <c r="BP11" s="19" t="n">
        <v>297</v>
      </c>
      <c r="BQ11" s="19" t="n">
        <v>1156</v>
      </c>
      <c r="BR11" s="19" t="n">
        <v>305</v>
      </c>
      <c r="BS11" s="19" t="n">
        <v>310</v>
      </c>
      <c r="BT11" s="19" t="n">
        <v>318</v>
      </c>
      <c r="BU11" s="19" t="n">
        <v>325</v>
      </c>
      <c r="BV11" s="19" t="n">
        <v>1259</v>
      </c>
      <c r="BW11" s="19" t="n">
        <v>331</v>
      </c>
      <c r="BX11" s="19" t="n">
        <v>337</v>
      </c>
      <c r="BY11" s="20" t="n">
        <f aca="false">BX11*(1+BY13+BY92)</f>
        <v>345.921344734856</v>
      </c>
      <c r="BZ11" s="20" t="n">
        <f aca="false">BX11*((1+BZ13)^2+2*BZ92)</f>
        <v>354.955476037169</v>
      </c>
      <c r="CA11" s="20" t="n">
        <f aca="false">SUM(BW11,BX11,BY11,BZ11)</f>
        <v>1368.87682077202</v>
      </c>
      <c r="CB11" s="20" t="n">
        <f aca="false">CA11*(1+CB12)</f>
        <v>1492.07573464151</v>
      </c>
      <c r="CC11" s="20" t="n">
        <f aca="false">CB11*(1+CC12)</f>
        <v>1626.36255075924</v>
      </c>
      <c r="CD11" s="20" t="n">
        <f aca="false">CC11*(1+CD12)</f>
        <v>1764.60336757378</v>
      </c>
      <c r="CE11" s="20" t="n">
        <f aca="false">CD11*(1+CE12)</f>
        <v>1905.77163697968</v>
      </c>
      <c r="CF11" s="21" t="s">
        <v>86</v>
      </c>
      <c r="CH11" s="22" t="n">
        <f aca="false">IFERROR((CE11/BV11)^(1/5)-1,"n/m")</f>
        <v>0.0864482027193536</v>
      </c>
      <c r="CI11" s="22" t="n">
        <f aca="false">IFERROR((BV11/AW11)^(1/5)-1,"n/m")</f>
        <v>0.0963596105220752</v>
      </c>
      <c r="CJ11" s="22" t="n">
        <f aca="false">IFERROR((BV11/X11)^(1/10)-1,"n/m")</f>
        <v>0.111811137120763</v>
      </c>
      <c r="CK11" s="22" t="str">
        <f aca="false">IFERROR((BV11/C11)^(1/19)-1,"n/m")</f>
        <v>n/m</v>
      </c>
      <c r="CN11" s="16" t="s">
        <v>87</v>
      </c>
      <c r="CO11" s="23" t="s">
        <v>88</v>
      </c>
      <c r="CP11" s="23" t="s">
        <v>89</v>
      </c>
      <c r="CQ11" s="23" t="s">
        <v>90</v>
      </c>
      <c r="CR11" s="14" t="s">
        <v>91</v>
      </c>
    </row>
    <row r="12" customFormat="false" ht="15" hidden="false" customHeight="true" outlineLevel="0" collapsed="false">
      <c r="B12" s="24" t="s">
        <v>92</v>
      </c>
      <c r="C12" s="25"/>
      <c r="D12" s="26" t="str">
        <f aca="false">IF(AND(ISNUMBER(D11),ISNUMBER(C11)),IFERROR(D11/C11-1,""),"")</f>
        <v/>
      </c>
      <c r="E12" s="26" t="str">
        <f aca="false">IF(AND(ISNUMBER(E11),ISNUMBER(D11)),IFERROR(E11/D11-1,""),"")</f>
        <v/>
      </c>
      <c r="F12" s="26" t="str">
        <f aca="false">IF(AND(ISNUMBER(F11),ISNUMBER(E11)),IFERROR(F11/E11-1,""),"")</f>
        <v/>
      </c>
      <c r="G12" s="26" t="str">
        <f aca="false">IF(AND(ISNUMBER(G11),ISNUMBER(F11)),IFERROR(G11/F11-1,""),"")</f>
        <v/>
      </c>
      <c r="H12" s="26" t="str">
        <f aca="false">IF(AND(ISNUMBER(H11),ISNUMBER(G11)),IFERROR(H11/G11-1,""),"")</f>
        <v/>
      </c>
      <c r="I12" s="26" t="str">
        <f aca="false">IF(AND(ISNUMBER(I11),ISNUMBER(H11)),IFERROR(I11/H11-1,""),"")</f>
        <v/>
      </c>
      <c r="J12" s="25"/>
      <c r="K12" s="25"/>
      <c r="L12" s="25"/>
      <c r="M12" s="25"/>
      <c r="N12" s="26" t="str">
        <f aca="false">IF(AND(ISNUMBER(N11),ISNUMBER(I11)),IFERROR(N11/I11-1,""),"")</f>
        <v/>
      </c>
      <c r="O12" s="26" t="str">
        <f aca="false">IF(AND(ISNUMBER(O11),ISNUMBER(J11)),IFERROR(O11/J11-1,""),"")</f>
        <v/>
      </c>
      <c r="P12" s="26" t="str">
        <f aca="false">IF(AND(ISNUMBER(P11),ISNUMBER(K11)),IFERROR(P11/K11-1,""),"")</f>
        <v/>
      </c>
      <c r="Q12" s="26" t="str">
        <f aca="false">IF(AND(ISNUMBER(Q11),ISNUMBER(L11)),IFERROR(Q11/L11-1,""),"")</f>
        <v/>
      </c>
      <c r="R12" s="26" t="str">
        <f aca="false">IF(AND(ISNUMBER(R11),ISNUMBER(M11)),IFERROR(R11/M11-1,""),"")</f>
        <v/>
      </c>
      <c r="S12" s="26" t="str">
        <f aca="false">IF(AND(ISNUMBER(S11),ISNUMBER(N11)),IFERROR(S11/N11-1,""),"")</f>
        <v/>
      </c>
      <c r="T12" s="26" t="str">
        <f aca="false">IF(AND(ISNUMBER(T11),ISNUMBER(O11)),IFERROR(T11/O11-1,""),"")</f>
        <v/>
      </c>
      <c r="U12" s="26" t="str">
        <f aca="false">IF(AND(ISNUMBER(U11),ISNUMBER(P11)),IFERROR(U11/P11-1,""),"")</f>
        <v/>
      </c>
      <c r="V12" s="26" t="str">
        <f aca="false">IF(AND(ISNUMBER(V11),ISNUMBER(Q11)),IFERROR(V11/Q11-1,""),"")</f>
        <v/>
      </c>
      <c r="W12" s="26" t="str">
        <f aca="false">IF(AND(ISNUMBER(W11),ISNUMBER(R11)),IFERROR(W11/R11-1,""),"")</f>
        <v/>
      </c>
      <c r="X12" s="26" t="str">
        <f aca="false">IF(AND(ISNUMBER(X11),ISNUMBER(S11)),IFERROR(X11/S11-1,""),"")</f>
        <v/>
      </c>
      <c r="Y12" s="26" t="n">
        <f aca="false">IF(AND(ISNUMBER(Y11),ISNUMBER(T11)),IFERROR(Y11/T11-1,""),"")</f>
        <v>0.111175448755066</v>
      </c>
      <c r="Z12" s="26" t="n">
        <f aca="false">IF(AND(ISNUMBER(Z11),ISNUMBER(U11)),IFERROR(Z11/U11-1,""),"")</f>
        <v>0.120681156589753</v>
      </c>
      <c r="AA12" s="26" t="n">
        <f aca="false">IF(AND(ISNUMBER(AA11),ISNUMBER(V11)),IFERROR(AA11/V11-1,""),"")</f>
        <v>0.111073898403273</v>
      </c>
      <c r="AB12" s="26" t="n">
        <f aca="false">IF(AND(ISNUMBER(AB11),ISNUMBER(W11)),IFERROR(AB11/W11-1,""),"")</f>
        <v>0.110245916161724</v>
      </c>
      <c r="AC12" s="26" t="n">
        <f aca="false">IF(AND(ISNUMBER(AC11),ISNUMBER(X11)),IFERROR(AC11/X11-1,""),"")</f>
        <v>0.113252183481191</v>
      </c>
      <c r="AD12" s="26" t="n">
        <f aca="false">IF(AND(ISNUMBER(AD11),ISNUMBER(Y11)),IFERROR(AD11/Y11-1,""),"")</f>
        <v>0.0961566389598407</v>
      </c>
      <c r="AE12" s="26" t="n">
        <f aca="false">IF(AND(ISNUMBER(AE11),ISNUMBER(Z11)),IFERROR(AE11/Z11-1,""),"")</f>
        <v>0.096324450825318</v>
      </c>
      <c r="AF12" s="26" t="n">
        <f aca="false">IF(AND(ISNUMBER(AF11),ISNUMBER(AA11)),IFERROR(AF11/AA11-1,""),"")</f>
        <v>0.108214457379814</v>
      </c>
      <c r="AG12" s="26" t="n">
        <f aca="false">IF(AND(ISNUMBER(AG11),ISNUMBER(AB11)),IFERROR(AG11/AB11-1,""),"")</f>
        <v>0.111889506818055</v>
      </c>
      <c r="AH12" s="26" t="n">
        <f aca="false">IF(AND(ISNUMBER(AH11),ISNUMBER(AC11)),IFERROR(AH11/AC11-1,""),"")</f>
        <v>0.10330619355317</v>
      </c>
      <c r="AI12" s="26" t="n">
        <f aca="false">IF(AND(ISNUMBER(AI11),ISNUMBER(AD11)),IFERROR(AI11/AD11-1,""),"")</f>
        <v>0.13331255114367</v>
      </c>
      <c r="AJ12" s="26" t="n">
        <f aca="false">IF(AND(ISNUMBER(AJ11),ISNUMBER(AE11)),IFERROR(AJ11/AE11-1,""),"")</f>
        <v>0.131614006933826</v>
      </c>
      <c r="AK12" s="26" t="n">
        <f aca="false">IF(AND(ISNUMBER(AK11),ISNUMBER(AF11)),IFERROR(AK11/AF11-1,""),"")</f>
        <v>0.151356318459163</v>
      </c>
      <c r="AL12" s="26" t="n">
        <f aca="false">IF(AND(ISNUMBER(AL11),ISNUMBER(AG11)),IFERROR(AL11/AG11-1,""),"")</f>
        <v>0.156330730811183</v>
      </c>
      <c r="AM12" s="26" t="n">
        <f aca="false">IF(AND(ISNUMBER(AM11),ISNUMBER(AH11)),IFERROR(AM11/AH11-1,""),"")</f>
        <v>0.143739396755897</v>
      </c>
      <c r="AN12" s="26" t="n">
        <f aca="false">IF(AND(ISNUMBER(AN11),ISNUMBER(AI11)),IFERROR(AN11/AI11-1,""),"")</f>
        <v>0.145302260333789</v>
      </c>
      <c r="AO12" s="26" t="n">
        <f aca="false">IF(AND(ISNUMBER(AO11),ISNUMBER(AJ11)),IFERROR(AO11/AJ11-1,""),"")</f>
        <v>0.161271765233154</v>
      </c>
      <c r="AP12" s="26" t="n">
        <f aca="false">IF(AND(ISNUMBER(AP11),ISNUMBER(AK11)),IFERROR(AP11/AK11-1,""),"")</f>
        <v>0.120451541639265</v>
      </c>
      <c r="AQ12" s="26" t="n">
        <f aca="false">IF(AND(ISNUMBER(AQ11),ISNUMBER(AL11)),IFERROR(AQ11/AL11-1,""),"")</f>
        <v>0.182887853193245</v>
      </c>
      <c r="AR12" s="26" t="n">
        <f aca="false">IF(AND(ISNUMBER(AR11),ISNUMBER(AM11)),IFERROR(AR11/AM11-1,""),"")</f>
        <v>0.152451213164083</v>
      </c>
      <c r="AS12" s="26" t="n">
        <f aca="false">IF(AND(ISNUMBER(AS11),ISNUMBER(AN11)),IFERROR(AS11/AN11-1,""),"")</f>
        <v>0.184850286098552</v>
      </c>
      <c r="AT12" s="26" t="n">
        <f aca="false">IF(AND(ISNUMBER(AT11),ISNUMBER(AO11)),IFERROR(AT11/AO11-1,""),"")</f>
        <v>0.126651766684716</v>
      </c>
      <c r="AU12" s="26" t="n">
        <f aca="false">IF(AND(ISNUMBER(AU11),ISNUMBER(AP11)),IFERROR(AU11/AP11-1,""),"")</f>
        <v>0.134929680198765</v>
      </c>
      <c r="AV12" s="26" t="n">
        <f aca="false">IF(AND(ISNUMBER(AV11),ISNUMBER(AQ11)),IFERROR(AV11/AQ11-1,""),"")</f>
        <v>0.0635286217190347</v>
      </c>
      <c r="AW12" s="26" t="n">
        <f aca="false">IF(AND(ISNUMBER(AW11),ISNUMBER(AR11)),IFERROR(AW11/AR11-1,""),"")</f>
        <v>0.125397171515794</v>
      </c>
      <c r="AX12" s="26" t="n">
        <f aca="false">IF(AND(ISNUMBER(AX11),ISNUMBER(AS11)),IFERROR(AX11/AS11-1,""),"")</f>
        <v>0.048353586232758</v>
      </c>
      <c r="AY12" s="26" t="n">
        <f aca="false">IF(AND(ISNUMBER(AY11),ISNUMBER(AT11)),IFERROR(AY11/AT11-1,""),"")</f>
        <v>0.0846008722371914</v>
      </c>
      <c r="AZ12" s="26" t="n">
        <f aca="false">IF(AND(ISNUMBER(AZ11),ISNUMBER(AU11)),IFERROR(AZ11/AU11-1,""),"")</f>
        <v>0.100566373103303</v>
      </c>
      <c r="BA12" s="26" t="n">
        <f aca="false">IF(AND(ISNUMBER(BA11),ISNUMBER(AV11)),IFERROR(BA11/AV11-1,""),"")</f>
        <v>0.116187178121115</v>
      </c>
      <c r="BB12" s="26" t="n">
        <f aca="false">IF(AND(ISNUMBER(BB11),ISNUMBER(AW11)),IFERROR(BB11/AW11-1,""),"")</f>
        <v>0.0876579790011385</v>
      </c>
      <c r="BC12" s="26" t="n">
        <f aca="false">IF(AND(ISNUMBER(BC11),ISNUMBER(AX11)),IFERROR(BC11/AX11-1,""),"")</f>
        <v>0.140100541376643</v>
      </c>
      <c r="BD12" s="26" t="n">
        <f aca="false">IF(AND(ISNUMBER(BD11),ISNUMBER(AY11)),IFERROR(BD11/AY11-1,""),"")</f>
        <v>0.155240034694724</v>
      </c>
      <c r="BE12" s="26" t="n">
        <f aca="false">IF(AND(ISNUMBER(BE11),ISNUMBER(AZ11)),IFERROR(BE11/AZ11-1,""),"")</f>
        <v>0.157451720189242</v>
      </c>
      <c r="BF12" s="26" t="n">
        <f aca="false">IF(AND(ISNUMBER(BF11),ISNUMBER(BA11)),IFERROR(BF11/BA11-1,""),"")</f>
        <v>0.147868245318625</v>
      </c>
      <c r="BG12" s="26" t="n">
        <f aca="false">IF(AND(ISNUMBER(BG11),ISNUMBER(BB11)),IFERROR(BG11/BB11-1,""),"")</f>
        <v>0.150248242866199</v>
      </c>
      <c r="BH12" s="26" t="n">
        <f aca="false">IF(AND(ISNUMBER(BH11),ISNUMBER(BC11)),IFERROR(BH11/BC11-1,""),"")</f>
        <v>0.132008275955635</v>
      </c>
      <c r="BI12" s="26" t="n">
        <f aca="false">IF(AND(ISNUMBER(BI11),ISNUMBER(BD11)),IFERROR(BI11/BD11-1,""),"")</f>
        <v>0.105815528751204</v>
      </c>
      <c r="BJ12" s="26" t="n">
        <f aca="false">IF(AND(ISNUMBER(BJ11),ISNUMBER(BE11)),IFERROR(BJ11/BE11-1,""),"")</f>
        <v>0.0957694627182177</v>
      </c>
      <c r="BK12" s="26" t="n">
        <f aca="false">IF(AND(ISNUMBER(BK11),ISNUMBER(BF11)),IFERROR(BK11/BF11-1,""),"")</f>
        <v>0.0780550347095221</v>
      </c>
      <c r="BL12" s="26" t="n">
        <f aca="false">IF(AND(ISNUMBER(BL11),ISNUMBER(BG11)),IFERROR(BL11/BG11-1,""),"")</f>
        <v>0.102314851130675</v>
      </c>
      <c r="BM12" s="26" t="n">
        <f aca="false">IF(AND(ISNUMBER(BM11),ISNUMBER(BH11)),IFERROR(BM11/BH11-1,""),"")</f>
        <v>0.0599250936329587</v>
      </c>
      <c r="BN12" s="26" t="n">
        <f aca="false">IF(AND(ISNUMBER(BN11),ISNUMBER(BI11)),IFERROR(BN11/BI11-1,""),"")</f>
        <v>0.055350553505535</v>
      </c>
      <c r="BO12" s="26" t="n">
        <f aca="false">IF(AND(ISNUMBER(BO11),ISNUMBER(BJ11)),IFERROR(BO11/BJ11-1,""),"")</f>
        <v>0.0431654676258992</v>
      </c>
      <c r="BP12" s="26" t="n">
        <f aca="false">IF(AND(ISNUMBER(BP11),ISNUMBER(BK11)),IFERROR(BP11/BK11-1,""),"")</f>
        <v>0.0607142857142857</v>
      </c>
      <c r="BQ12" s="26" t="n">
        <f aca="false">IF(AND(ISNUMBER(BQ11),ISNUMBER(BL11)),IFERROR(BQ11/BL11-1,""),"")</f>
        <v>0.0546482985129093</v>
      </c>
      <c r="BR12" s="26" t="n">
        <f aca="false">IF(AND(ISNUMBER(BR11),ISNUMBER(BM11)),IFERROR(BR11/BM11-1,""),"")</f>
        <v>0.0777385159010602</v>
      </c>
      <c r="BS12" s="26" t="n">
        <f aca="false">IF(AND(ISNUMBER(BS11),ISNUMBER(BN11)),IFERROR(BS11/BN11-1,""),"")</f>
        <v>0.083916083916084</v>
      </c>
      <c r="BT12" s="26" t="n">
        <f aca="false">IF(AND(ISNUMBER(BT11),ISNUMBER(BO11)),IFERROR(BT11/BO11-1,""),"")</f>
        <v>0.096551724137931</v>
      </c>
      <c r="BU12" s="26" t="n">
        <f aca="false">IF(AND(ISNUMBER(BU11),ISNUMBER(BP11)),IFERROR(BU11/BP11-1,""),"")</f>
        <v>0.0942760942760943</v>
      </c>
      <c r="BV12" s="26" t="n">
        <f aca="false">IF(AND(ISNUMBER(BV11),ISNUMBER(BQ11)),IFERROR(BV11/BQ11-1,""),"")</f>
        <v>0.0891003460207613</v>
      </c>
      <c r="BW12" s="26" t="n">
        <f aca="false">IF(AND(ISNUMBER(BW11),ISNUMBER(BR11)),IFERROR(BW11/BR11-1,""),"")</f>
        <v>0.0852459016393443</v>
      </c>
      <c r="BX12" s="26" t="n">
        <f aca="false">IF(AND(ISNUMBER(BX11),ISNUMBER(BS11)),IFERROR(BX11/BS11-1,""),"")</f>
        <v>0.0870967741935484</v>
      </c>
      <c r="BY12" s="27" t="n">
        <f aca="false">IF(AND(ISNUMBER(BY11),ISNUMBER(BT11)),IFERROR(BY11/BT11-1,""),"")</f>
        <v>0.0878029708643267</v>
      </c>
      <c r="BZ12" s="27" t="n">
        <f aca="false">IF(AND(ISNUMBER(BZ11),ISNUMBER(BU11)),IFERROR(BZ11/BU11-1,""),"")</f>
        <v>0.0921706954989809</v>
      </c>
      <c r="CA12" s="27" t="n">
        <f aca="false">IFERROR(CA11/BV11-1,"")</f>
        <v>0.0872730903669776</v>
      </c>
      <c r="CB12" s="27" t="n">
        <f aca="false">CHOOSE(MATCH($CF$2,{"Bull","Base","Bear"},0),$CO$46,$CP$46,$CQ$46)</f>
        <v>0.09</v>
      </c>
      <c r="CC12" s="27" t="n">
        <f aca="false">CHOOSE(MATCH($CF$2,{"Bull","Base","Bear"},0),$CO$47,$CP$47,$CQ$47)</f>
        <v>0.09</v>
      </c>
      <c r="CD12" s="27" t="n">
        <f aca="false">CHOOSE(MATCH($CF$2,{"Bull","Base","Bear"},0),$CO$48,$CP$48,$CQ$48)</f>
        <v>0.085</v>
      </c>
      <c r="CE12" s="27" t="n">
        <f aca="false">CHOOSE(MATCH($CF$2,{"Bull","Base","Bear"},0),$CO$49,$CP$49,$CQ$49)</f>
        <v>0.08</v>
      </c>
      <c r="CF12" s="28" t="s">
        <v>93</v>
      </c>
      <c r="CN12" s="29" t="s">
        <v>94</v>
      </c>
      <c r="CO12" s="30" t="n">
        <v>3755</v>
      </c>
      <c r="CP12" s="30" t="n">
        <v>3735</v>
      </c>
      <c r="CQ12" s="30" t="n">
        <v>3715</v>
      </c>
      <c r="CR12" s="14" t="s">
        <v>95</v>
      </c>
    </row>
    <row r="13" customFormat="false" ht="15" hidden="false" customHeight="true" outlineLevel="0" collapsed="false">
      <c r="B13" s="24" t="s">
        <v>96</v>
      </c>
      <c r="C13" s="25"/>
      <c r="D13" s="25"/>
      <c r="E13" s="25"/>
      <c r="F13" s="25"/>
      <c r="G13" s="25"/>
      <c r="H13" s="25"/>
      <c r="I13" s="25"/>
      <c r="J13" s="25"/>
      <c r="K13" s="26" t="str">
        <f aca="false">IF(AND(ISNUMBER(K11),ISNUMBER(J11)),IFERROR(K11/J11-1,""),"")</f>
        <v/>
      </c>
      <c r="L13" s="26" t="str">
        <f aca="false">IF(AND(ISNUMBER(L11),ISNUMBER(K11)),IFERROR(L11/K11-1,""),"")</f>
        <v/>
      </c>
      <c r="M13" s="26" t="str">
        <f aca="false">IF(AND(ISNUMBER(M11),ISNUMBER(L11)),IFERROR(M11/L11-1,""),"")</f>
        <v/>
      </c>
      <c r="N13" s="25"/>
      <c r="O13" s="26" t="str">
        <f aca="false">IF(AND(ISNUMBER(O11),ISNUMBER(M11)),IFERROR(O11/M11-1,""),"")</f>
        <v/>
      </c>
      <c r="P13" s="26" t="str">
        <f aca="false">IF(AND(ISNUMBER(P11),ISNUMBER(O11)),IFERROR(P11/O11-1,""),"")</f>
        <v/>
      </c>
      <c r="Q13" s="26" t="str">
        <f aca="false">IF(AND(ISNUMBER(Q11),ISNUMBER(P11)),IFERROR(Q11/P11-1,""),"")</f>
        <v/>
      </c>
      <c r="R13" s="26" t="str">
        <f aca="false">IF(AND(ISNUMBER(R11),ISNUMBER(Q11)),IFERROR(R11/Q11-1,""),"")</f>
        <v/>
      </c>
      <c r="S13" s="25"/>
      <c r="T13" s="26" t="str">
        <f aca="false">IF(AND(ISNUMBER(T11),ISNUMBER(R11)),IFERROR(T11/R11-1,""),"")</f>
        <v/>
      </c>
      <c r="U13" s="26" t="n">
        <f aca="false">IF(AND(ISNUMBER(U11),ISNUMBER(T11)),IFERROR(U11/T11-1,""),"")</f>
        <v>0.0206555478561326</v>
      </c>
      <c r="V13" s="26" t="n">
        <f aca="false">IF(AND(ISNUMBER(V11),ISNUMBER(U11)),IFERROR(V11/U11-1,""),"")</f>
        <v>0.0274638914464813</v>
      </c>
      <c r="W13" s="26" t="n">
        <f aca="false">IF(AND(ISNUMBER(W11),ISNUMBER(V11)),IFERROR(W11/V11-1,""),"")</f>
        <v>0.0217965893044643</v>
      </c>
      <c r="X13" s="25"/>
      <c r="Y13" s="26" t="n">
        <f aca="false">IF(AND(ISNUMBER(Y11),ISNUMBER(W11)),IFERROR(Y11/W11-1,""),"")</f>
        <v>0.0369848694234789</v>
      </c>
      <c r="Z13" s="26" t="n">
        <f aca="false">IF(AND(ISNUMBER(Z11),ISNUMBER(Y11)),IFERROR(Z11/Y11-1,""),"")</f>
        <v>0.029386890371522</v>
      </c>
      <c r="AA13" s="26" t="n">
        <f aca="false">IF(AND(ISNUMBER(AA11),ISNUMBER(Z11)),IFERROR(AA11/Z11-1,""),"")</f>
        <v>0.0186557564793068</v>
      </c>
      <c r="AB13" s="26" t="n">
        <f aca="false">IF(AND(ISNUMBER(AB11),ISNUMBER(AA11)),IFERROR(AB11/AA11-1,""),"")</f>
        <v>0.0210351373149649</v>
      </c>
      <c r="AC13" s="25"/>
      <c r="AD13" s="26" t="n">
        <f aca="false">IF(AND(ISNUMBER(AD11),ISNUMBER(AB11)),IFERROR(AD11/AB11-1,""),"")</f>
        <v>0.0238252918318984</v>
      </c>
      <c r="AE13" s="26" t="n">
        <f aca="false">IF(AND(ISNUMBER(AE11),ISNUMBER(AD11)),IFERROR(AE11/AD11-1,""),"")</f>
        <v>0.029544480380314</v>
      </c>
      <c r="AF13" s="26" t="n">
        <f aca="false">IF(AND(ISNUMBER(AF11),ISNUMBER(AE11)),IFERROR(AF11/AE11-1,""),"")</f>
        <v>0.0297034199809245</v>
      </c>
      <c r="AG13" s="26" t="n">
        <f aca="false">IF(AND(ISNUMBER(AG11),ISNUMBER(AF11)),IFERROR(AG11/AF11-1,""),"")</f>
        <v>0.0244210835845033</v>
      </c>
      <c r="AH13" s="25"/>
      <c r="AI13" s="26" t="n">
        <f aca="false">IF(AND(ISNUMBER(AI11),ISNUMBER(AG11)),IFERROR(AI11/AG11-1,""),"")</f>
        <v>0.0435515816062919</v>
      </c>
      <c r="AJ13" s="26" t="n">
        <f aca="false">IF(AND(ISNUMBER(AJ11),ISNUMBER(AI11)),IFERROR(AJ11/AI11-1,""),"")</f>
        <v>0.0280014578362138</v>
      </c>
      <c r="AK13" s="26" t="n">
        <f aca="false">IF(AND(ISNUMBER(AK11),ISNUMBER(AJ11)),IFERROR(AK11/AJ11-1,""),"")</f>
        <v>0.0476677837758288</v>
      </c>
      <c r="AL13" s="26" t="n">
        <f aca="false">IF(AND(ISNUMBER(AL11),ISNUMBER(AK11)),IFERROR(AL11/AK11-1,""),"")</f>
        <v>0.0288470747482745</v>
      </c>
      <c r="AM13" s="25"/>
      <c r="AN13" s="26" t="n">
        <f aca="false">IF(AND(ISNUMBER(AN11),ISNUMBER(AL11)),IFERROR(AN11/AL11-1,""),"")</f>
        <v>0.0335987389612564</v>
      </c>
      <c r="AO13" s="26" t="n">
        <f aca="false">IF(AND(ISNUMBER(AO11),ISNUMBER(AN11)),IFERROR(AO11/AN11-1,""),"")</f>
        <v>0.0423353807542435</v>
      </c>
      <c r="AP13" s="26" t="n">
        <f aca="false">IF(AND(ISNUMBER(AP11),ISNUMBER(AO11)),IFERROR(AP11/AO11-1,""),"")</f>
        <v>0.0108408889298512</v>
      </c>
      <c r="AQ13" s="26" t="n">
        <f aca="false">IF(AND(ISNUMBER(AQ11),ISNUMBER(AP11)),IFERROR(AQ11/AP11-1,""),"")</f>
        <v>0.0861787969273551</v>
      </c>
      <c r="AR13" s="25"/>
      <c r="AS13" s="26" t="n">
        <f aca="false">IF(AND(ISNUMBER(AS11),ISNUMBER(AQ11)),IFERROR(AS11/AQ11-1,""),"")</f>
        <v>0.0353134984549361</v>
      </c>
      <c r="AT13" s="26" t="n">
        <f aca="false">IF(AND(ISNUMBER(AT11),ISNUMBER(AS11)),IFERROR(AT11/AS11-1,""),"")</f>
        <v>-0.0088629660785049</v>
      </c>
      <c r="AU13" s="26" t="n">
        <f aca="false">IF(AND(ISNUMBER(AU11),ISNUMBER(AT11)),IFERROR(AU11/AT11-1,""),"")</f>
        <v>0.0182678985014495</v>
      </c>
      <c r="AV13" s="26" t="n">
        <f aca="false">IF(AND(ISNUMBER(AV11),ISNUMBER(AU11)),IFERROR(AV11/AU11-1,""),"")</f>
        <v>0.0178447695845594</v>
      </c>
      <c r="AW13" s="25"/>
      <c r="AX13" s="26" t="n">
        <f aca="false">IF(AND(ISNUMBER(AX11),ISNUMBER(AV11)),IFERROR(AX11/AV11-1,""),"")</f>
        <v>0.0205410525069554</v>
      </c>
      <c r="AY13" s="26" t="n">
        <f aca="false">IF(AND(ISNUMBER(AY11),ISNUMBER(AX11)),IFERROR(AY11/AX11-1,""),"")</f>
        <v>0.0254060324825987</v>
      </c>
      <c r="AZ13" s="26" t="n">
        <f aca="false">IF(AND(ISNUMBER(AZ11),ISNUMBER(AY11)),IFERROR(AZ11/AY11-1,""),"")</f>
        <v>0.0332569672285701</v>
      </c>
      <c r="BA13" s="26" t="n">
        <f aca="false">IF(AND(ISNUMBER(BA11),ISNUMBER(AZ11)),IFERROR(BA11/AZ11-1,""),"")</f>
        <v>0.0322914718213796</v>
      </c>
      <c r="BB13" s="25"/>
      <c r="BC13" s="26" t="n">
        <f aca="false">IF(AND(ISNUMBER(BC11),ISNUMBER(BA11)),IFERROR(BC11/BA11-1,""),"")</f>
        <v>0.0424052786727303</v>
      </c>
      <c r="BD13" s="26" t="n">
        <f aca="false">IF(AND(ISNUMBER(BD11),ISNUMBER(BC11)),IFERROR(BD11/BC11-1,""),"")</f>
        <v>0.0390224875351899</v>
      </c>
      <c r="BE13" s="26" t="n">
        <f aca="false">IF(AND(ISNUMBER(BE11),ISNUMBER(BD11)),IFERROR(BE11/BD11-1,""),"")</f>
        <v>0.035235118416113</v>
      </c>
      <c r="BF13" s="26" t="n">
        <f aca="false">IF(AND(ISNUMBER(BF11),ISNUMBER(BE11)),IFERROR(BF11/BE11-1,""),"")</f>
        <v>0.0237442994367429</v>
      </c>
      <c r="BG13" s="25"/>
      <c r="BH13" s="26" t="n">
        <f aca="false">IF(AND(ISNUMBER(BH11),ISNUMBER(BF11)),IFERROR(BH11/BF11-1,""),"")</f>
        <v>0.0280024795265799</v>
      </c>
      <c r="BI13" s="26" t="n">
        <f aca="false">IF(AND(ISNUMBER(BI11),ISNUMBER(BH11)),IFERROR(BI11/BH11-1,""),"")</f>
        <v>0.0149812734082397</v>
      </c>
      <c r="BJ13" s="26" t="n">
        <f aca="false">IF(AND(ISNUMBER(BJ11),ISNUMBER(BI11)),IFERROR(BJ11/BI11-1,""),"")</f>
        <v>0.0258302583025831</v>
      </c>
      <c r="BK13" s="26" t="n">
        <f aca="false">IF(AND(ISNUMBER(BK11),ISNUMBER(BJ11)),IFERROR(BK11/BJ11-1,""),"")</f>
        <v>0.0071942446043165</v>
      </c>
      <c r="BL13" s="25"/>
      <c r="BM13" s="26" t="n">
        <f aca="false">IF(AND(ISNUMBER(BM11),ISNUMBER(BK11)),IFERROR(BM11/BK11-1,""),"")</f>
        <v>0.0107142857142857</v>
      </c>
      <c r="BN13" s="26" t="n">
        <f aca="false">IF(AND(ISNUMBER(BN11),ISNUMBER(BM11)),IFERROR(BN11/BM11-1,""),"")</f>
        <v>0.010600706713781</v>
      </c>
      <c r="BO13" s="26" t="n">
        <f aca="false">IF(AND(ISNUMBER(BO11),ISNUMBER(BN11)),IFERROR(BO11/BN11-1,""),"")</f>
        <v>0.013986013986014</v>
      </c>
      <c r="BP13" s="26" t="n">
        <f aca="false">IF(AND(ISNUMBER(BP11),ISNUMBER(BO11)),IFERROR(BP11/BO11-1,""),"")</f>
        <v>0.0241379310344827</v>
      </c>
      <c r="BQ13" s="25"/>
      <c r="BR13" s="26" t="n">
        <f aca="false">IF(AND(ISNUMBER(BR11),ISNUMBER(BP11)),IFERROR(BR11/BP11-1,""),"")</f>
        <v>0.026936026936027</v>
      </c>
      <c r="BS13" s="26" t="n">
        <f aca="false">IF(AND(ISNUMBER(BS11),ISNUMBER(BR11)),IFERROR(BS11/BR11-1,""),"")</f>
        <v>0.0163934426229508</v>
      </c>
      <c r="BT13" s="26" t="n">
        <f aca="false">IF(AND(ISNUMBER(BT11),ISNUMBER(BS11)),IFERROR(BT11/BS11-1,""),"")</f>
        <v>0.0258064516129033</v>
      </c>
      <c r="BU13" s="26" t="n">
        <f aca="false">IF(AND(ISNUMBER(BU11),ISNUMBER(BT11)),IFERROR(BU11/BT11-1,""),"")</f>
        <v>0.0220125786163523</v>
      </c>
      <c r="BV13" s="25"/>
      <c r="BW13" s="26" t="n">
        <f aca="false">IF(AND(ISNUMBER(BW11),ISNUMBER(BU11)),IFERROR(BW11/BU11-1,""),"")</f>
        <v>0.0184615384615385</v>
      </c>
      <c r="BX13" s="26" t="n">
        <f aca="false">IF(AND(ISNUMBER(BX11),ISNUMBER(BW11)),IFERROR(BX11/BW11-1,""),"")</f>
        <v>0.0181268882175227</v>
      </c>
      <c r="BY13" s="27" t="n">
        <f aca="false">((BW11/BU11-1)+(BX11/BW11-1))/2</f>
        <v>0.0182942133395306</v>
      </c>
      <c r="BZ13" s="27" t="n">
        <f aca="false">BY13</f>
        <v>0.0182942133395306</v>
      </c>
      <c r="CA13" s="27"/>
      <c r="CB13" s="27"/>
      <c r="CC13" s="27"/>
      <c r="CD13" s="27"/>
      <c r="CE13" s="27"/>
      <c r="CF13" s="28"/>
      <c r="CN13" s="29" t="s">
        <v>97</v>
      </c>
      <c r="CO13" s="30" t="n">
        <v>820</v>
      </c>
      <c r="CP13" s="30" t="n">
        <v>800</v>
      </c>
      <c r="CQ13" s="30" t="n">
        <v>780</v>
      </c>
      <c r="CR13" s="14" t="s">
        <v>98</v>
      </c>
    </row>
    <row r="14" customFormat="false" ht="15" hidden="false" customHeight="true" outlineLevel="0" collapsed="false">
      <c r="B14" s="17" t="s">
        <v>99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 t="n">
        <f aca="false">IF(ISNUMBER(AS42),AS42,"")</f>
        <v>43.2</v>
      </c>
      <c r="AT14" s="18" t="n">
        <f aca="false">IF(ISNUMBER(AT42),AT42,"")</f>
        <v>43.32</v>
      </c>
      <c r="AU14" s="18" t="n">
        <f aca="false">IF(ISNUMBER(AU42),AU42,"")</f>
        <v>45.084</v>
      </c>
      <c r="AV14" s="18" t="n">
        <f aca="false">IF(ISNUMBER(AV42),AV42,"")</f>
        <v>48.201</v>
      </c>
      <c r="AW14" s="18" t="n">
        <f aca="false">IF(ISNUMBER(AW42),AW42,"")</f>
        <v>179.805</v>
      </c>
      <c r="AX14" s="18" t="n">
        <f aca="false">IF(ISNUMBER(AX42),AX42,"")</f>
        <v>49.23</v>
      </c>
      <c r="AY14" s="18" t="n">
        <f aca="false">IF(ISNUMBER(AY42),AY42,"")</f>
        <v>51.095</v>
      </c>
      <c r="AZ14" s="18" t="n">
        <f aca="false">IF(ISNUMBER(AZ42),AZ42,"")</f>
        <v>52.527</v>
      </c>
      <c r="BA14" s="18" t="n">
        <f aca="false">IF(ISNUMBER(BA42),BA42,"")</f>
        <v>54.659</v>
      </c>
      <c r="BB14" s="18" t="n">
        <f aca="false">IF(ISNUMBER(BB42),BB42,"")</f>
        <v>207.511</v>
      </c>
      <c r="BC14" s="18" t="n">
        <f aca="false">IF(ISNUMBER(BC42),BC42,"")</f>
        <v>54.447</v>
      </c>
      <c r="BD14" s="18" t="n">
        <f aca="false">IF(ISNUMBER(BD42),BD42,"")</f>
        <v>56.297</v>
      </c>
      <c r="BE14" s="18" t="n">
        <f aca="false">IF(ISNUMBER(BE42),BE42,"")</f>
        <v>58.901</v>
      </c>
      <c r="BF14" s="18" t="n">
        <f aca="false">IF(ISNUMBER(BF42),BF42,"")</f>
        <v>61.296</v>
      </c>
      <c r="BG14" s="18" t="n">
        <f aca="false">IF(ISNUMBER(BG42),BG42,"")</f>
        <v>230.941</v>
      </c>
      <c r="BH14" s="19" t="n">
        <v>63</v>
      </c>
      <c r="BI14" s="19" t="n">
        <v>66</v>
      </c>
      <c r="BJ14" s="19" t="n">
        <v>68</v>
      </c>
      <c r="BK14" s="19" t="n">
        <v>69</v>
      </c>
      <c r="BL14" s="18" t="n">
        <f aca="false">IF(ISNUMBER(BL42),BL42,"")</f>
        <v>264.8</v>
      </c>
      <c r="BM14" s="19" t="n">
        <v>69</v>
      </c>
      <c r="BN14" s="19" t="n">
        <v>70</v>
      </c>
      <c r="BO14" s="19" t="n">
        <v>71</v>
      </c>
      <c r="BP14" s="19" t="n">
        <v>72</v>
      </c>
      <c r="BQ14" s="19" t="n">
        <v>282</v>
      </c>
      <c r="BR14" s="19" t="n">
        <v>73</v>
      </c>
      <c r="BS14" s="19" t="n">
        <v>76</v>
      </c>
      <c r="BT14" s="19" t="n">
        <v>79</v>
      </c>
      <c r="BU14" s="19" t="n">
        <v>84</v>
      </c>
      <c r="BV14" s="19" t="n">
        <v>312</v>
      </c>
      <c r="BW14" s="19" t="n">
        <v>85</v>
      </c>
      <c r="BX14" s="19" t="n">
        <v>87</v>
      </c>
      <c r="BY14" s="20" t="n">
        <f aca="false">BX14*(1+BY16+BY92)</f>
        <v>89.2529264686597</v>
      </c>
      <c r="BZ14" s="20" t="n">
        <f aca="false">BX14*((1+BZ16)^2+2*BZ92)</f>
        <v>91.5331618167536</v>
      </c>
      <c r="CA14" s="20" t="n">
        <f aca="false">SUM(BW14,BX14,BY14,BZ14)</f>
        <v>352.786088285413</v>
      </c>
      <c r="CB14" s="20" t="n">
        <f aca="false">CA14*(1+CB15)</f>
        <v>395.120418879663</v>
      </c>
      <c r="CC14" s="20" t="n">
        <f aca="false">CB14*(1+CC15)</f>
        <v>438.583664956426</v>
      </c>
      <c r="CD14" s="20" t="n">
        <f aca="false">CC14*(1+CD15)</f>
        <v>482.442031452069</v>
      </c>
      <c r="CE14" s="20" t="n">
        <f aca="false">CD14*(1+CE15)</f>
        <v>525.861814282755</v>
      </c>
      <c r="CF14" s="21" t="s">
        <v>100</v>
      </c>
      <c r="CH14" s="22" t="n">
        <f aca="false">IFERROR((CE14/BV14)^(1/5)-1,"n/m")</f>
        <v>0.110052216361515</v>
      </c>
      <c r="CI14" s="22" t="n">
        <f aca="false">IFERROR((BV14/AW14)^(1/5)-1,"n/m")</f>
        <v>0.116530435309818</v>
      </c>
      <c r="CJ14" s="22" t="str">
        <f aca="false">IFERROR((BV14/X14)^(1/10)-1,"n/m")</f>
        <v>n/m</v>
      </c>
      <c r="CK14" s="22" t="str">
        <f aca="false">IFERROR((BV14/C14)^(1/19)-1,"n/m")</f>
        <v>n/m</v>
      </c>
      <c r="CN14" s="29" t="s">
        <v>101</v>
      </c>
      <c r="CO14" s="30" t="n">
        <v>247</v>
      </c>
      <c r="CP14" s="30" t="n">
        <v>232.5</v>
      </c>
      <c r="CQ14" s="30" t="n">
        <v>218</v>
      </c>
      <c r="CR14" s="14" t="s">
        <v>102</v>
      </c>
    </row>
    <row r="15" customFormat="false" ht="15" hidden="false" customHeight="true" outlineLevel="0" collapsed="false">
      <c r="B15" s="24" t="s">
        <v>92</v>
      </c>
      <c r="C15" s="25"/>
      <c r="D15" s="26" t="str">
        <f aca="false">IF(AND(ISNUMBER(D14),ISNUMBER(C14)),IFERROR(D14/C14-1,""),"")</f>
        <v/>
      </c>
      <c r="E15" s="26" t="str">
        <f aca="false">IF(AND(ISNUMBER(E14),ISNUMBER(D14)),IFERROR(E14/D14-1,""),"")</f>
        <v/>
      </c>
      <c r="F15" s="26" t="str">
        <f aca="false">IF(AND(ISNUMBER(F14),ISNUMBER(E14)),IFERROR(F14/E14-1,""),"")</f>
        <v/>
      </c>
      <c r="G15" s="26" t="str">
        <f aca="false">IF(AND(ISNUMBER(G14),ISNUMBER(F14)),IFERROR(G14/F14-1,""),"")</f>
        <v/>
      </c>
      <c r="H15" s="26" t="str">
        <f aca="false">IF(AND(ISNUMBER(H14),ISNUMBER(G14)),IFERROR(H14/G14-1,""),"")</f>
        <v/>
      </c>
      <c r="I15" s="26" t="str">
        <f aca="false">IF(AND(ISNUMBER(I14),ISNUMBER(H14)),IFERROR(I14/H14-1,""),"")</f>
        <v/>
      </c>
      <c r="J15" s="25"/>
      <c r="K15" s="25"/>
      <c r="L15" s="25"/>
      <c r="M15" s="25"/>
      <c r="N15" s="26" t="str">
        <f aca="false">IF(AND(ISNUMBER(N14),ISNUMBER(I14)),IFERROR(N14/I14-1,""),"")</f>
        <v/>
      </c>
      <c r="O15" s="26" t="str">
        <f aca="false">IF(AND(ISNUMBER(O14),ISNUMBER(J14)),IFERROR(O14/J14-1,""),"")</f>
        <v/>
      </c>
      <c r="P15" s="26" t="str">
        <f aca="false">IF(AND(ISNUMBER(P14),ISNUMBER(K14)),IFERROR(P14/K14-1,""),"")</f>
        <v/>
      </c>
      <c r="Q15" s="26" t="str">
        <f aca="false">IF(AND(ISNUMBER(Q14),ISNUMBER(L14)),IFERROR(Q14/L14-1,""),"")</f>
        <v/>
      </c>
      <c r="R15" s="26" t="str">
        <f aca="false">IF(AND(ISNUMBER(R14),ISNUMBER(M14)),IFERROR(R14/M14-1,""),"")</f>
        <v/>
      </c>
      <c r="S15" s="26" t="str">
        <f aca="false">IF(AND(ISNUMBER(S14),ISNUMBER(N14)),IFERROR(S14/N14-1,""),"")</f>
        <v/>
      </c>
      <c r="T15" s="26" t="str">
        <f aca="false">IF(AND(ISNUMBER(T14),ISNUMBER(O14)),IFERROR(T14/O14-1,""),"")</f>
        <v/>
      </c>
      <c r="U15" s="26" t="str">
        <f aca="false">IF(AND(ISNUMBER(U14),ISNUMBER(P14)),IFERROR(U14/P14-1,""),"")</f>
        <v/>
      </c>
      <c r="V15" s="26" t="str">
        <f aca="false">IF(AND(ISNUMBER(V14),ISNUMBER(Q14)),IFERROR(V14/Q14-1,""),"")</f>
        <v/>
      </c>
      <c r="W15" s="26" t="str">
        <f aca="false">IF(AND(ISNUMBER(W14),ISNUMBER(R14)),IFERROR(W14/R14-1,""),"")</f>
        <v/>
      </c>
      <c r="X15" s="26" t="str">
        <f aca="false">IF(AND(ISNUMBER(X14),ISNUMBER(S14)),IFERROR(X14/S14-1,""),"")</f>
        <v/>
      </c>
      <c r="Y15" s="26" t="str">
        <f aca="false">IF(AND(ISNUMBER(Y14),ISNUMBER(T14)),IFERROR(Y14/T14-1,""),"")</f>
        <v/>
      </c>
      <c r="Z15" s="26" t="str">
        <f aca="false">IF(AND(ISNUMBER(Z14),ISNUMBER(U14)),IFERROR(Z14/U14-1,""),"")</f>
        <v/>
      </c>
      <c r="AA15" s="26" t="str">
        <f aca="false">IF(AND(ISNUMBER(AA14),ISNUMBER(V14)),IFERROR(AA14/V14-1,""),"")</f>
        <v/>
      </c>
      <c r="AB15" s="26" t="str">
        <f aca="false">IF(AND(ISNUMBER(AB14),ISNUMBER(W14)),IFERROR(AB14/W14-1,""),"")</f>
        <v/>
      </c>
      <c r="AC15" s="26" t="str">
        <f aca="false">IF(AND(ISNUMBER(AC14),ISNUMBER(X14)),IFERROR(AC14/X14-1,""),"")</f>
        <v/>
      </c>
      <c r="AD15" s="26" t="str">
        <f aca="false">IF(AND(ISNUMBER(AD14),ISNUMBER(Y14)),IFERROR(AD14/Y14-1,""),"")</f>
        <v/>
      </c>
      <c r="AE15" s="26" t="str">
        <f aca="false">IF(AND(ISNUMBER(AE14),ISNUMBER(Z14)),IFERROR(AE14/Z14-1,""),"")</f>
        <v/>
      </c>
      <c r="AF15" s="26" t="str">
        <f aca="false">IF(AND(ISNUMBER(AF14),ISNUMBER(AA14)),IFERROR(AF14/AA14-1,""),"")</f>
        <v/>
      </c>
      <c r="AG15" s="26" t="str">
        <f aca="false">IF(AND(ISNUMBER(AG14),ISNUMBER(AB14)),IFERROR(AG14/AB14-1,""),"")</f>
        <v/>
      </c>
      <c r="AH15" s="26" t="str">
        <f aca="false">IF(AND(ISNUMBER(AH14),ISNUMBER(AC14)),IFERROR(AH14/AC14-1,""),"")</f>
        <v/>
      </c>
      <c r="AI15" s="26" t="str">
        <f aca="false">IF(AND(ISNUMBER(AI14),ISNUMBER(AD14)),IFERROR(AI14/AD14-1,""),"")</f>
        <v/>
      </c>
      <c r="AJ15" s="26" t="str">
        <f aca="false">IF(AND(ISNUMBER(AJ14),ISNUMBER(AE14)),IFERROR(AJ14/AE14-1,""),"")</f>
        <v/>
      </c>
      <c r="AK15" s="26" t="str">
        <f aca="false">IF(AND(ISNUMBER(AK14),ISNUMBER(AF14)),IFERROR(AK14/AF14-1,""),"")</f>
        <v/>
      </c>
      <c r="AL15" s="26" t="str">
        <f aca="false">IF(AND(ISNUMBER(AL14),ISNUMBER(AG14)),IFERROR(AL14/AG14-1,""),"")</f>
        <v/>
      </c>
      <c r="AM15" s="26" t="str">
        <f aca="false">IF(AND(ISNUMBER(AM14),ISNUMBER(AH14)),IFERROR(AM14/AH14-1,""),"")</f>
        <v/>
      </c>
      <c r="AN15" s="26" t="str">
        <f aca="false">IF(AND(ISNUMBER(AN14),ISNUMBER(AI14)),IFERROR(AN14/AI14-1,""),"")</f>
        <v/>
      </c>
      <c r="AO15" s="26" t="str">
        <f aca="false">IF(AND(ISNUMBER(AO14),ISNUMBER(AJ14)),IFERROR(AO14/AJ14-1,""),"")</f>
        <v/>
      </c>
      <c r="AP15" s="26" t="str">
        <f aca="false">IF(AND(ISNUMBER(AP14),ISNUMBER(AK14)),IFERROR(AP14/AK14-1,""),"")</f>
        <v/>
      </c>
      <c r="AQ15" s="26" t="str">
        <f aca="false">IF(AND(ISNUMBER(AQ14),ISNUMBER(AL14)),IFERROR(AQ14/AL14-1,""),"")</f>
        <v/>
      </c>
      <c r="AR15" s="26" t="str">
        <f aca="false">IF(AND(ISNUMBER(AR14),ISNUMBER(AM14)),IFERROR(AR14/AM14-1,""),"")</f>
        <v/>
      </c>
      <c r="AS15" s="26" t="str">
        <f aca="false">IF(AND(ISNUMBER(AS14),ISNUMBER(AN14)),IFERROR(AS14/AN14-1,""),"")</f>
        <v/>
      </c>
      <c r="AT15" s="26" t="str">
        <f aca="false">IF(AND(ISNUMBER(AT14),ISNUMBER(AO14)),IFERROR(AT14/AO14-1,""),"")</f>
        <v/>
      </c>
      <c r="AU15" s="26" t="str">
        <f aca="false">IF(AND(ISNUMBER(AU14),ISNUMBER(AP14)),IFERROR(AU14/AP14-1,""),"")</f>
        <v/>
      </c>
      <c r="AV15" s="26" t="str">
        <f aca="false">IF(AND(ISNUMBER(AV14),ISNUMBER(AQ14)),IFERROR(AV14/AQ14-1,""),"")</f>
        <v/>
      </c>
      <c r="AW15" s="26" t="str">
        <f aca="false">IF(AND(ISNUMBER(AW14),ISNUMBER(AR14)),IFERROR(AW14/AR14-1,""),"")</f>
        <v/>
      </c>
      <c r="AX15" s="26" t="n">
        <f aca="false">IF(AND(ISNUMBER(AX14),ISNUMBER(AS14)),IFERROR(AX14/AS14-1,""),"")</f>
        <v>0.139583333333333</v>
      </c>
      <c r="AY15" s="26" t="n">
        <f aca="false">IF(AND(ISNUMBER(AY14),ISNUMBER(AT14)),IFERROR(AY14/AT14-1,""),"")</f>
        <v>0.179478301015697</v>
      </c>
      <c r="AZ15" s="26" t="n">
        <f aca="false">IF(AND(ISNUMBER(AZ14),ISNUMBER(AU14)),IFERROR(AZ14/AU14-1,""),"")</f>
        <v>0.165091828586638</v>
      </c>
      <c r="BA15" s="26" t="n">
        <f aca="false">IF(AND(ISNUMBER(BA14),ISNUMBER(AV14)),IFERROR(BA14/AV14-1,""),"")</f>
        <v>0.133980622808655</v>
      </c>
      <c r="BB15" s="26" t="n">
        <f aca="false">IF(AND(ISNUMBER(BB14),ISNUMBER(AW14)),IFERROR(BB14/AW14-1,""),"")</f>
        <v>0.154089152137037</v>
      </c>
      <c r="BC15" s="26" t="n">
        <f aca="false">IF(AND(ISNUMBER(BC14),ISNUMBER(AX14)),IFERROR(BC14/AX14-1,""),"")</f>
        <v>0.105971968312005</v>
      </c>
      <c r="BD15" s="26" t="n">
        <f aca="false">IF(AND(ISNUMBER(BD14),ISNUMBER(AY14)),IFERROR(BD14/AY14-1,""),"")</f>
        <v>0.101810353263529</v>
      </c>
      <c r="BE15" s="26" t="n">
        <f aca="false">IF(AND(ISNUMBER(BE14),ISNUMBER(AZ14)),IFERROR(BE14/AZ14-1,""),"")</f>
        <v>0.121347116720925</v>
      </c>
      <c r="BF15" s="26" t="n">
        <f aca="false">IF(AND(ISNUMBER(BF14),ISNUMBER(BA14)),IFERROR(BF14/BA14-1,""),"")</f>
        <v>0.121425565780567</v>
      </c>
      <c r="BG15" s="26" t="n">
        <f aca="false">IF(AND(ISNUMBER(BG14),ISNUMBER(BB14)),IFERROR(BG14/BB14-1,""),"")</f>
        <v>0.11290967707736</v>
      </c>
      <c r="BH15" s="26" t="n">
        <f aca="false">IF(AND(ISNUMBER(BH14),ISNUMBER(BC14)),IFERROR(BH14/BC14-1,""),"")</f>
        <v>0.157088544823406</v>
      </c>
      <c r="BI15" s="26" t="n">
        <f aca="false">IF(AND(ISNUMBER(BI14),ISNUMBER(BD14)),IFERROR(BI14/BD14-1,""),"")</f>
        <v>0.172353766630549</v>
      </c>
      <c r="BJ15" s="26" t="n">
        <f aca="false">IF(AND(ISNUMBER(BJ14),ISNUMBER(BE14)),IFERROR(BJ14/BE14-1,""),"")</f>
        <v>0.154479550432081</v>
      </c>
      <c r="BK15" s="26" t="n">
        <f aca="false">IF(AND(ISNUMBER(BK14),ISNUMBER(BF14)),IFERROR(BK14/BF14-1,""),"")</f>
        <v>0.125685199686766</v>
      </c>
      <c r="BL15" s="26" t="n">
        <f aca="false">IF(AND(ISNUMBER(BL14),ISNUMBER(BG14)),IFERROR(BL14/BG14-1,""),"")</f>
        <v>0.146613204238312</v>
      </c>
      <c r="BM15" s="26" t="n">
        <f aca="false">IF(AND(ISNUMBER(BM14),ISNUMBER(BH14)),IFERROR(BM14/BH14-1,""),"")</f>
        <v>0.0952380952380953</v>
      </c>
      <c r="BN15" s="26" t="n">
        <f aca="false">IF(AND(ISNUMBER(BN14),ISNUMBER(BI14)),IFERROR(BN14/BI14-1,""),"")</f>
        <v>0.0606060606060606</v>
      </c>
      <c r="BO15" s="26" t="n">
        <f aca="false">IF(AND(ISNUMBER(BO14),ISNUMBER(BJ14)),IFERROR(BO14/BJ14-1,""),"")</f>
        <v>0.0441176470588236</v>
      </c>
      <c r="BP15" s="26" t="n">
        <f aca="false">IF(AND(ISNUMBER(BP14),ISNUMBER(BK14)),IFERROR(BP14/BK14-1,""),"")</f>
        <v>0.0434782608695652</v>
      </c>
      <c r="BQ15" s="26" t="n">
        <f aca="false">IF(AND(ISNUMBER(BQ14),ISNUMBER(BL14)),IFERROR(BQ14/BL14-1,""),"")</f>
        <v>0.064954682779456</v>
      </c>
      <c r="BR15" s="26" t="n">
        <f aca="false">IF(AND(ISNUMBER(BR14),ISNUMBER(BM14)),IFERROR(BR14/BM14-1,""),"")</f>
        <v>0.0579710144927537</v>
      </c>
      <c r="BS15" s="26" t="n">
        <f aca="false">IF(AND(ISNUMBER(BS14),ISNUMBER(BN14)),IFERROR(BS14/BN14-1,""),"")</f>
        <v>0.0857142857142856</v>
      </c>
      <c r="BT15" s="26" t="n">
        <f aca="false">IF(AND(ISNUMBER(BT14),ISNUMBER(BO14)),IFERROR(BT14/BO14-1,""),"")</f>
        <v>0.112676056338028</v>
      </c>
      <c r="BU15" s="26" t="n">
        <f aca="false">IF(AND(ISNUMBER(BU14),ISNUMBER(BP14)),IFERROR(BU14/BP14-1,""),"")</f>
        <v>0.166666666666667</v>
      </c>
      <c r="BV15" s="26" t="n">
        <f aca="false">IF(AND(ISNUMBER(BV14),ISNUMBER(BQ14)),IFERROR(BV14/BQ14-1,""),"")</f>
        <v>0.106382978723404</v>
      </c>
      <c r="BW15" s="26" t="n">
        <f aca="false">IF(AND(ISNUMBER(BW14),ISNUMBER(BR14)),IFERROR(BW14/BR14-1,""),"")</f>
        <v>0.164383561643836</v>
      </c>
      <c r="BX15" s="26" t="n">
        <f aca="false">IF(AND(ISNUMBER(BX14),ISNUMBER(BS14)),IFERROR(BX14/BS14-1,""),"")</f>
        <v>0.144736842105263</v>
      </c>
      <c r="BY15" s="27" t="n">
        <f aca="false">IF(AND(ISNUMBER(BY14),ISNUMBER(BT14)),IFERROR(BY14/BT14-1,""),"")</f>
        <v>0.129783879350123</v>
      </c>
      <c r="BZ15" s="27" t="n">
        <f aca="false">IF(AND(ISNUMBER(BZ14),ISNUMBER(BU14)),IFERROR(BZ14/BU14-1,""),"")</f>
        <v>0.0896804978184951</v>
      </c>
      <c r="CA15" s="27" t="n">
        <f aca="false">IFERROR(CA14/BV14-1,"")</f>
        <v>0.130724641940427</v>
      </c>
      <c r="CB15" s="27" t="n">
        <f aca="false">CHOOSE(MATCH($CF$2,{"Bull","Base","Bear"},0),$CO$51,$CP$51,$CQ$51)</f>
        <v>0.12</v>
      </c>
      <c r="CC15" s="27" t="n">
        <f aca="false">CHOOSE(MATCH($CF$2,{"Bull","Base","Bear"},0),$CO$52,$CP$52,$CQ$52)</f>
        <v>0.11</v>
      </c>
      <c r="CD15" s="27" t="n">
        <f aca="false">CHOOSE(MATCH($CF$2,{"Bull","Base","Bear"},0),$CO$53,$CP$53,$CQ$53)</f>
        <v>0.1</v>
      </c>
      <c r="CE15" s="27" t="n">
        <f aca="false">CHOOSE(MATCH($CF$2,{"Bull","Base","Bear"},0),$CO$54,$CP$54,$CQ$54)</f>
        <v>0.09</v>
      </c>
      <c r="CF15" s="28"/>
      <c r="CN15" s="29" t="s">
        <v>103</v>
      </c>
      <c r="CO15" s="31" t="n">
        <v>1.39</v>
      </c>
      <c r="CP15" s="31" t="n">
        <v>1.355</v>
      </c>
      <c r="CQ15" s="31" t="n">
        <v>1.32</v>
      </c>
      <c r="CR15" s="14" t="s">
        <v>104</v>
      </c>
    </row>
    <row r="16" customFormat="false" ht="15" hidden="false" customHeight="true" outlineLevel="0" collapsed="false">
      <c r="B16" s="24" t="s">
        <v>96</v>
      </c>
      <c r="C16" s="25"/>
      <c r="D16" s="25"/>
      <c r="E16" s="25"/>
      <c r="F16" s="25"/>
      <c r="G16" s="25"/>
      <c r="H16" s="25"/>
      <c r="I16" s="25"/>
      <c r="J16" s="25"/>
      <c r="K16" s="26" t="str">
        <f aca="false">IF(AND(ISNUMBER(K14),ISNUMBER(J14)),IFERROR(K14/J14-1,""),"")</f>
        <v/>
      </c>
      <c r="L16" s="26" t="str">
        <f aca="false">IF(AND(ISNUMBER(L14),ISNUMBER(K14)),IFERROR(L14/K14-1,""),"")</f>
        <v/>
      </c>
      <c r="M16" s="26" t="str">
        <f aca="false">IF(AND(ISNUMBER(M14),ISNUMBER(L14)),IFERROR(M14/L14-1,""),"")</f>
        <v/>
      </c>
      <c r="N16" s="25"/>
      <c r="O16" s="26" t="str">
        <f aca="false">IF(AND(ISNUMBER(O14),ISNUMBER(M14)),IFERROR(O14/M14-1,""),"")</f>
        <v/>
      </c>
      <c r="P16" s="26" t="str">
        <f aca="false">IF(AND(ISNUMBER(P14),ISNUMBER(O14)),IFERROR(P14/O14-1,""),"")</f>
        <v/>
      </c>
      <c r="Q16" s="26" t="str">
        <f aca="false">IF(AND(ISNUMBER(Q14),ISNUMBER(P14)),IFERROR(Q14/P14-1,""),"")</f>
        <v/>
      </c>
      <c r="R16" s="26" t="str">
        <f aca="false">IF(AND(ISNUMBER(R14),ISNUMBER(Q14)),IFERROR(R14/Q14-1,""),"")</f>
        <v/>
      </c>
      <c r="S16" s="25"/>
      <c r="T16" s="26" t="str">
        <f aca="false">IF(AND(ISNUMBER(T14),ISNUMBER(R14)),IFERROR(T14/R14-1,""),"")</f>
        <v/>
      </c>
      <c r="U16" s="26" t="str">
        <f aca="false">IF(AND(ISNUMBER(U14),ISNUMBER(T14)),IFERROR(U14/T14-1,""),"")</f>
        <v/>
      </c>
      <c r="V16" s="26" t="str">
        <f aca="false">IF(AND(ISNUMBER(V14),ISNUMBER(U14)),IFERROR(V14/U14-1,""),"")</f>
        <v/>
      </c>
      <c r="W16" s="26" t="str">
        <f aca="false">IF(AND(ISNUMBER(W14),ISNUMBER(V14)),IFERROR(W14/V14-1,""),"")</f>
        <v/>
      </c>
      <c r="X16" s="25"/>
      <c r="Y16" s="26" t="str">
        <f aca="false">IF(AND(ISNUMBER(Y14),ISNUMBER(W14)),IFERROR(Y14/W14-1,""),"")</f>
        <v/>
      </c>
      <c r="Z16" s="26" t="str">
        <f aca="false">IF(AND(ISNUMBER(Z14),ISNUMBER(Y14)),IFERROR(Z14/Y14-1,""),"")</f>
        <v/>
      </c>
      <c r="AA16" s="26" t="str">
        <f aca="false">IF(AND(ISNUMBER(AA14),ISNUMBER(Z14)),IFERROR(AA14/Z14-1,""),"")</f>
        <v/>
      </c>
      <c r="AB16" s="26" t="str">
        <f aca="false">IF(AND(ISNUMBER(AB14),ISNUMBER(AA14)),IFERROR(AB14/AA14-1,""),"")</f>
        <v/>
      </c>
      <c r="AC16" s="25"/>
      <c r="AD16" s="26" t="str">
        <f aca="false">IF(AND(ISNUMBER(AD14),ISNUMBER(AB14)),IFERROR(AD14/AB14-1,""),"")</f>
        <v/>
      </c>
      <c r="AE16" s="26" t="str">
        <f aca="false">IF(AND(ISNUMBER(AE14),ISNUMBER(AD14)),IFERROR(AE14/AD14-1,""),"")</f>
        <v/>
      </c>
      <c r="AF16" s="26" t="str">
        <f aca="false">IF(AND(ISNUMBER(AF14),ISNUMBER(AE14)),IFERROR(AF14/AE14-1,""),"")</f>
        <v/>
      </c>
      <c r="AG16" s="26" t="str">
        <f aca="false">IF(AND(ISNUMBER(AG14),ISNUMBER(AF14)),IFERROR(AG14/AF14-1,""),"")</f>
        <v/>
      </c>
      <c r="AH16" s="25"/>
      <c r="AI16" s="26" t="str">
        <f aca="false">IF(AND(ISNUMBER(AI14),ISNUMBER(AG14)),IFERROR(AI14/AG14-1,""),"")</f>
        <v/>
      </c>
      <c r="AJ16" s="26" t="str">
        <f aca="false">IF(AND(ISNUMBER(AJ14),ISNUMBER(AI14)),IFERROR(AJ14/AI14-1,""),"")</f>
        <v/>
      </c>
      <c r="AK16" s="26" t="str">
        <f aca="false">IF(AND(ISNUMBER(AK14),ISNUMBER(AJ14)),IFERROR(AK14/AJ14-1,""),"")</f>
        <v/>
      </c>
      <c r="AL16" s="26" t="str">
        <f aca="false">IF(AND(ISNUMBER(AL14),ISNUMBER(AK14)),IFERROR(AL14/AK14-1,""),"")</f>
        <v/>
      </c>
      <c r="AM16" s="25"/>
      <c r="AN16" s="26" t="str">
        <f aca="false">IF(AND(ISNUMBER(AN14),ISNUMBER(AL14)),IFERROR(AN14/AL14-1,""),"")</f>
        <v/>
      </c>
      <c r="AO16" s="26" t="str">
        <f aca="false">IF(AND(ISNUMBER(AO14),ISNUMBER(AN14)),IFERROR(AO14/AN14-1,""),"")</f>
        <v/>
      </c>
      <c r="AP16" s="26" t="str">
        <f aca="false">IF(AND(ISNUMBER(AP14),ISNUMBER(AO14)),IFERROR(AP14/AO14-1,""),"")</f>
        <v/>
      </c>
      <c r="AQ16" s="26" t="str">
        <f aca="false">IF(AND(ISNUMBER(AQ14),ISNUMBER(AP14)),IFERROR(AQ14/AP14-1,""),"")</f>
        <v/>
      </c>
      <c r="AR16" s="25"/>
      <c r="AS16" s="26" t="str">
        <f aca="false">IF(AND(ISNUMBER(AS14),ISNUMBER(AQ14)),IFERROR(AS14/AQ14-1,""),"")</f>
        <v/>
      </c>
      <c r="AT16" s="26" t="n">
        <f aca="false">IF(AND(ISNUMBER(AT14),ISNUMBER(AS14)),IFERROR(AT14/AS14-1,""),"")</f>
        <v>0.00277777777777777</v>
      </c>
      <c r="AU16" s="26" t="n">
        <f aca="false">IF(AND(ISNUMBER(AU14),ISNUMBER(AT14)),IFERROR(AU14/AT14-1,""),"")</f>
        <v>0.0407202216066482</v>
      </c>
      <c r="AV16" s="26" t="n">
        <f aca="false">IF(AND(ISNUMBER(AV14),ISNUMBER(AU14)),IFERROR(AV14/AU14-1,""),"")</f>
        <v>0.0691376097950491</v>
      </c>
      <c r="AW16" s="25"/>
      <c r="AX16" s="26" t="n">
        <f aca="false">IF(AND(ISNUMBER(AX14),ISNUMBER(AV14)),IFERROR(AX14/AV14-1,""),"")</f>
        <v>0.0213481048111035</v>
      </c>
      <c r="AY16" s="26" t="n">
        <f aca="false">IF(AND(ISNUMBER(AY14),ISNUMBER(AX14)),IFERROR(AY14/AX14-1,""),"")</f>
        <v>0.0378834044281942</v>
      </c>
      <c r="AZ16" s="26" t="n">
        <f aca="false">IF(AND(ISNUMBER(AZ14),ISNUMBER(AY14)),IFERROR(AZ14/AY14-1,""),"")</f>
        <v>0.0280262256580879</v>
      </c>
      <c r="BA16" s="26" t="n">
        <f aca="false">IF(AND(ISNUMBER(BA14),ISNUMBER(AZ14)),IFERROR(BA14/AZ14-1,""),"")</f>
        <v>0.0405886496468482</v>
      </c>
      <c r="BB16" s="25"/>
      <c r="BC16" s="26" t="n">
        <f aca="false">IF(AND(ISNUMBER(BC14),ISNUMBER(BA14)),IFERROR(BC14/BA14-1,""),"")</f>
        <v>-0.00387859272946811</v>
      </c>
      <c r="BD16" s="26" t="n">
        <f aca="false">IF(AND(ISNUMBER(BD14),ISNUMBER(BC14)),IFERROR(BD14/BC14-1,""),"")</f>
        <v>0.0339779969511633</v>
      </c>
      <c r="BE16" s="26" t="n">
        <f aca="false">IF(AND(ISNUMBER(BE14),ISNUMBER(BD14)),IFERROR(BE14/BD14-1,""),"")</f>
        <v>0.0462546849743326</v>
      </c>
      <c r="BF16" s="26" t="n">
        <f aca="false">IF(AND(ISNUMBER(BF14),ISNUMBER(BE14)),IFERROR(BF14/BE14-1,""),"")</f>
        <v>0.0406614488718358</v>
      </c>
      <c r="BG16" s="25"/>
      <c r="BH16" s="26" t="n">
        <f aca="false">IF(AND(ISNUMBER(BH14),ISNUMBER(BF14)),IFERROR(BH14/BF14-1,""),"")</f>
        <v>0.0277995301487863</v>
      </c>
      <c r="BI16" s="26" t="n">
        <f aca="false">IF(AND(ISNUMBER(BI14),ISNUMBER(BH14)),IFERROR(BI14/BH14-1,""),"")</f>
        <v>0.0476190476190477</v>
      </c>
      <c r="BJ16" s="26" t="n">
        <f aca="false">IF(AND(ISNUMBER(BJ14),ISNUMBER(BI14)),IFERROR(BJ14/BI14-1,""),"")</f>
        <v>0.0303030303030303</v>
      </c>
      <c r="BK16" s="26" t="n">
        <f aca="false">IF(AND(ISNUMBER(BK14),ISNUMBER(BJ14)),IFERROR(BK14/BJ14-1,""),"")</f>
        <v>0.0147058823529411</v>
      </c>
      <c r="BL16" s="25"/>
      <c r="BM16" s="26" t="n">
        <f aca="false">IF(AND(ISNUMBER(BM14),ISNUMBER(BK14)),IFERROR(BM14/BK14-1,""),"")</f>
        <v>0</v>
      </c>
      <c r="BN16" s="26" t="n">
        <f aca="false">IF(AND(ISNUMBER(BN14),ISNUMBER(BM14)),IFERROR(BN14/BM14-1,""),"")</f>
        <v>0.0144927536231885</v>
      </c>
      <c r="BO16" s="26" t="n">
        <f aca="false">IF(AND(ISNUMBER(BO14),ISNUMBER(BN14)),IFERROR(BO14/BN14-1,""),"")</f>
        <v>0.0142857142857142</v>
      </c>
      <c r="BP16" s="26" t="n">
        <f aca="false">IF(AND(ISNUMBER(BP14),ISNUMBER(BO14)),IFERROR(BP14/BO14-1,""),"")</f>
        <v>0.0140845070422535</v>
      </c>
      <c r="BQ16" s="25"/>
      <c r="BR16" s="26" t="n">
        <f aca="false">IF(AND(ISNUMBER(BR14),ISNUMBER(BP14)),IFERROR(BR14/BP14-1,""),"")</f>
        <v>0.0138888888888888</v>
      </c>
      <c r="BS16" s="26" t="n">
        <f aca="false">IF(AND(ISNUMBER(BS14),ISNUMBER(BR14)),IFERROR(BS14/BR14-1,""),"")</f>
        <v>0.0410958904109588</v>
      </c>
      <c r="BT16" s="26" t="n">
        <f aca="false">IF(AND(ISNUMBER(BT14),ISNUMBER(BS14)),IFERROR(BT14/BS14-1,""),"")</f>
        <v>0.0394736842105263</v>
      </c>
      <c r="BU16" s="26" t="n">
        <f aca="false">IF(AND(ISNUMBER(BU14),ISNUMBER(BT14)),IFERROR(BU14/BT14-1,""),"")</f>
        <v>0.0632911392405062</v>
      </c>
      <c r="BV16" s="25"/>
      <c r="BW16" s="26" t="n">
        <f aca="false">IF(AND(ISNUMBER(BW14),ISNUMBER(BU14)),IFERROR(BW14/BU14-1,""),"")</f>
        <v>0.0119047619047619</v>
      </c>
      <c r="BX16" s="26" t="n">
        <f aca="false">IF(AND(ISNUMBER(BX14),ISNUMBER(BW14)),IFERROR(BX14/BW14-1,""),"")</f>
        <v>0.0235294117647058</v>
      </c>
      <c r="BY16" s="27" t="n">
        <f aca="false">((BW14/BU14-1)+(BX14/BW14-1))/2</f>
        <v>0.0177170868347338</v>
      </c>
      <c r="BZ16" s="27" t="n">
        <f aca="false">BY16</f>
        <v>0.0177170868347338</v>
      </c>
      <c r="CA16" s="27"/>
      <c r="CB16" s="27"/>
      <c r="CC16" s="27"/>
      <c r="CD16" s="27"/>
      <c r="CE16" s="27"/>
      <c r="CF16" s="28"/>
      <c r="CN16" s="29" t="s">
        <v>105</v>
      </c>
      <c r="CO16" s="30" t="n">
        <v>690</v>
      </c>
      <c r="CP16" s="30" t="n">
        <v>680</v>
      </c>
      <c r="CQ16" s="30" t="n">
        <v>670</v>
      </c>
      <c r="CR16" s="14" t="s">
        <v>106</v>
      </c>
    </row>
    <row r="17" customFormat="false" ht="15" hidden="false" customHeight="true" outlineLevel="0" collapsed="false">
      <c r="B17" s="17" t="s">
        <v>107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 t="n">
        <v>18</v>
      </c>
      <c r="BI17" s="19" t="n">
        <v>19</v>
      </c>
      <c r="BJ17" s="19" t="n">
        <v>20</v>
      </c>
      <c r="BK17" s="19" t="n">
        <v>24</v>
      </c>
      <c r="BL17" s="18" t="n">
        <f aca="false">SUM(BH17,BI17,BJ17,BK17)</f>
        <v>81</v>
      </c>
      <c r="BM17" s="19" t="n">
        <v>17</v>
      </c>
      <c r="BN17" s="19" t="n">
        <v>18</v>
      </c>
      <c r="BO17" s="19" t="n">
        <v>19</v>
      </c>
      <c r="BP17" s="19" t="n">
        <v>22</v>
      </c>
      <c r="BQ17" s="19" t="n">
        <v>77</v>
      </c>
      <c r="BR17" s="19" t="n">
        <v>31</v>
      </c>
      <c r="BS17" s="19" t="n">
        <v>60</v>
      </c>
      <c r="BT17" s="19" t="n">
        <v>64</v>
      </c>
      <c r="BU17" s="19" t="n">
        <v>62</v>
      </c>
      <c r="BV17" s="19" t="n">
        <v>216</v>
      </c>
      <c r="BW17" s="19" t="n">
        <v>56</v>
      </c>
      <c r="BX17" s="19" t="n">
        <v>57</v>
      </c>
      <c r="BY17" s="20" t="n">
        <f aca="false">BX17*(1+BY19+BY92)</f>
        <v>55.2170453782899</v>
      </c>
      <c r="BZ17" s="20" t="n">
        <f aca="false">BX17*((1+BZ19)^2+2*BZ92)</f>
        <v>53.5228383442595</v>
      </c>
      <c r="CA17" s="20" t="n">
        <f aca="false">SUM(BW17,BX17,BY17,BZ17)</f>
        <v>221.739883722549</v>
      </c>
      <c r="CB17" s="20" t="n">
        <f aca="false">CA17*(1+CB18)</f>
        <v>232.826877908677</v>
      </c>
      <c r="CC17" s="20" t="n">
        <f aca="false">CB17*(1+CC18)</f>
        <v>244.468221804111</v>
      </c>
      <c r="CD17" s="20" t="n">
        <f aca="false">CC17*(1+CD18)</f>
        <v>256.691632894316</v>
      </c>
      <c r="CE17" s="20" t="n">
        <f aca="false">CD17*(1+CE18)</f>
        <v>269.526214539032</v>
      </c>
      <c r="CF17" s="21" t="s">
        <v>108</v>
      </c>
      <c r="CH17" s="22" t="n">
        <f aca="false">IFERROR((CE17/BV17)^(1/5)-1,"n/m")</f>
        <v>0.0452723252478564</v>
      </c>
      <c r="CI17" s="22" t="str">
        <f aca="false">IFERROR((BV17/AW17)^(1/5)-1,"n/m")</f>
        <v>n/m</v>
      </c>
      <c r="CJ17" s="22" t="str">
        <f aca="false">IFERROR((BV17/X17)^(1/10)-1,"n/m")</f>
        <v>n/m</v>
      </c>
      <c r="CK17" s="22" t="str">
        <f aca="false">IFERROR((BV17/C17)^(1/19)-1,"n/m")</f>
        <v>n/m</v>
      </c>
      <c r="CN17" s="29" t="s">
        <v>109</v>
      </c>
      <c r="CO17" s="30" t="n">
        <v>130</v>
      </c>
      <c r="CP17" s="30" t="n">
        <v>120</v>
      </c>
      <c r="CQ17" s="30" t="n">
        <v>110</v>
      </c>
      <c r="CR17" s="14" t="s">
        <v>110</v>
      </c>
    </row>
    <row r="18" customFormat="false" ht="15" hidden="false" customHeight="true" outlineLevel="0" collapsed="false">
      <c r="B18" s="24" t="s">
        <v>92</v>
      </c>
      <c r="C18" s="25"/>
      <c r="D18" s="26" t="str">
        <f aca="false">IF(AND(ISNUMBER(D17),ISNUMBER(C17)),IFERROR(D17/C17-1,""),"")</f>
        <v/>
      </c>
      <c r="E18" s="26" t="str">
        <f aca="false">IF(AND(ISNUMBER(E17),ISNUMBER(D17)),IFERROR(E17/D17-1,""),"")</f>
        <v/>
      </c>
      <c r="F18" s="26" t="str">
        <f aca="false">IF(AND(ISNUMBER(F17),ISNUMBER(E17)),IFERROR(F17/E17-1,""),"")</f>
        <v/>
      </c>
      <c r="G18" s="26" t="str">
        <f aca="false">IF(AND(ISNUMBER(G17),ISNUMBER(F17)),IFERROR(G17/F17-1,""),"")</f>
        <v/>
      </c>
      <c r="H18" s="26" t="str">
        <f aca="false">IF(AND(ISNUMBER(H17),ISNUMBER(G17)),IFERROR(H17/G17-1,""),"")</f>
        <v/>
      </c>
      <c r="I18" s="26" t="str">
        <f aca="false">IF(AND(ISNUMBER(I17),ISNUMBER(H17)),IFERROR(I17/H17-1,""),"")</f>
        <v/>
      </c>
      <c r="J18" s="25"/>
      <c r="K18" s="25"/>
      <c r="L18" s="25"/>
      <c r="M18" s="25"/>
      <c r="N18" s="26" t="str">
        <f aca="false">IF(AND(ISNUMBER(N17),ISNUMBER(I17)),IFERROR(N17/I17-1,""),"")</f>
        <v/>
      </c>
      <c r="O18" s="26" t="str">
        <f aca="false">IF(AND(ISNUMBER(O17),ISNUMBER(J17)),IFERROR(O17/J17-1,""),"")</f>
        <v/>
      </c>
      <c r="P18" s="26" t="str">
        <f aca="false">IF(AND(ISNUMBER(P17),ISNUMBER(K17)),IFERROR(P17/K17-1,""),"")</f>
        <v/>
      </c>
      <c r="Q18" s="26" t="str">
        <f aca="false">IF(AND(ISNUMBER(Q17),ISNUMBER(L17)),IFERROR(Q17/L17-1,""),"")</f>
        <v/>
      </c>
      <c r="R18" s="26" t="str">
        <f aca="false">IF(AND(ISNUMBER(R17),ISNUMBER(M17)),IFERROR(R17/M17-1,""),"")</f>
        <v/>
      </c>
      <c r="S18" s="26" t="str">
        <f aca="false">IF(AND(ISNUMBER(S17),ISNUMBER(N17)),IFERROR(S17/N17-1,""),"")</f>
        <v/>
      </c>
      <c r="T18" s="26" t="str">
        <f aca="false">IF(AND(ISNUMBER(T17),ISNUMBER(O17)),IFERROR(T17/O17-1,""),"")</f>
        <v/>
      </c>
      <c r="U18" s="26" t="str">
        <f aca="false">IF(AND(ISNUMBER(U17),ISNUMBER(P17)),IFERROR(U17/P17-1,""),"")</f>
        <v/>
      </c>
      <c r="V18" s="26" t="str">
        <f aca="false">IF(AND(ISNUMBER(V17),ISNUMBER(Q17)),IFERROR(V17/Q17-1,""),"")</f>
        <v/>
      </c>
      <c r="W18" s="26" t="str">
        <f aca="false">IF(AND(ISNUMBER(W17),ISNUMBER(R17)),IFERROR(W17/R17-1,""),"")</f>
        <v/>
      </c>
      <c r="X18" s="26" t="str">
        <f aca="false">IF(AND(ISNUMBER(X17),ISNUMBER(S17)),IFERROR(X17/S17-1,""),"")</f>
        <v/>
      </c>
      <c r="Y18" s="26" t="str">
        <f aca="false">IF(AND(ISNUMBER(Y17),ISNUMBER(T17)),IFERROR(Y17/T17-1,""),"")</f>
        <v/>
      </c>
      <c r="Z18" s="26" t="str">
        <f aca="false">IF(AND(ISNUMBER(Z17),ISNUMBER(U17)),IFERROR(Z17/U17-1,""),"")</f>
        <v/>
      </c>
      <c r="AA18" s="26" t="str">
        <f aca="false">IF(AND(ISNUMBER(AA17),ISNUMBER(V17)),IFERROR(AA17/V17-1,""),"")</f>
        <v/>
      </c>
      <c r="AB18" s="26" t="str">
        <f aca="false">IF(AND(ISNUMBER(AB17),ISNUMBER(W17)),IFERROR(AB17/W17-1,""),"")</f>
        <v/>
      </c>
      <c r="AC18" s="26" t="str">
        <f aca="false">IF(AND(ISNUMBER(AC17),ISNUMBER(X17)),IFERROR(AC17/X17-1,""),"")</f>
        <v/>
      </c>
      <c r="AD18" s="26" t="str">
        <f aca="false">IF(AND(ISNUMBER(AD17),ISNUMBER(Y17)),IFERROR(AD17/Y17-1,""),"")</f>
        <v/>
      </c>
      <c r="AE18" s="26" t="str">
        <f aca="false">IF(AND(ISNUMBER(AE17),ISNUMBER(Z17)),IFERROR(AE17/Z17-1,""),"")</f>
        <v/>
      </c>
      <c r="AF18" s="26" t="str">
        <f aca="false">IF(AND(ISNUMBER(AF17),ISNUMBER(AA17)),IFERROR(AF17/AA17-1,""),"")</f>
        <v/>
      </c>
      <c r="AG18" s="26" t="str">
        <f aca="false">IF(AND(ISNUMBER(AG17),ISNUMBER(AB17)),IFERROR(AG17/AB17-1,""),"")</f>
        <v/>
      </c>
      <c r="AH18" s="26" t="str">
        <f aca="false">IF(AND(ISNUMBER(AH17),ISNUMBER(AC17)),IFERROR(AH17/AC17-1,""),"")</f>
        <v/>
      </c>
      <c r="AI18" s="26" t="str">
        <f aca="false">IF(AND(ISNUMBER(AI17),ISNUMBER(AD17)),IFERROR(AI17/AD17-1,""),"")</f>
        <v/>
      </c>
      <c r="AJ18" s="26" t="str">
        <f aca="false">IF(AND(ISNUMBER(AJ17),ISNUMBER(AE17)),IFERROR(AJ17/AE17-1,""),"")</f>
        <v/>
      </c>
      <c r="AK18" s="26" t="str">
        <f aca="false">IF(AND(ISNUMBER(AK17),ISNUMBER(AF17)),IFERROR(AK17/AF17-1,""),"")</f>
        <v/>
      </c>
      <c r="AL18" s="26" t="str">
        <f aca="false">IF(AND(ISNUMBER(AL17),ISNUMBER(AG17)),IFERROR(AL17/AG17-1,""),"")</f>
        <v/>
      </c>
      <c r="AM18" s="26" t="str">
        <f aca="false">IF(AND(ISNUMBER(AM17),ISNUMBER(AH17)),IFERROR(AM17/AH17-1,""),"")</f>
        <v/>
      </c>
      <c r="AN18" s="26" t="str">
        <f aca="false">IF(AND(ISNUMBER(AN17),ISNUMBER(AI17)),IFERROR(AN17/AI17-1,""),"")</f>
        <v/>
      </c>
      <c r="AO18" s="26" t="str">
        <f aca="false">IF(AND(ISNUMBER(AO17),ISNUMBER(AJ17)),IFERROR(AO17/AJ17-1,""),"")</f>
        <v/>
      </c>
      <c r="AP18" s="26" t="str">
        <f aca="false">IF(AND(ISNUMBER(AP17),ISNUMBER(AK17)),IFERROR(AP17/AK17-1,""),"")</f>
        <v/>
      </c>
      <c r="AQ18" s="26" t="str">
        <f aca="false">IF(AND(ISNUMBER(AQ17),ISNUMBER(AL17)),IFERROR(AQ17/AL17-1,""),"")</f>
        <v/>
      </c>
      <c r="AR18" s="26" t="str">
        <f aca="false">IF(AND(ISNUMBER(AR17),ISNUMBER(AM17)),IFERROR(AR17/AM17-1,""),"")</f>
        <v/>
      </c>
      <c r="AS18" s="26" t="str">
        <f aca="false">IF(AND(ISNUMBER(AS17),ISNUMBER(AN17)),IFERROR(AS17/AN17-1,""),"")</f>
        <v/>
      </c>
      <c r="AT18" s="26" t="str">
        <f aca="false">IF(AND(ISNUMBER(AT17),ISNUMBER(AO17)),IFERROR(AT17/AO17-1,""),"")</f>
        <v/>
      </c>
      <c r="AU18" s="26" t="str">
        <f aca="false">IF(AND(ISNUMBER(AU17),ISNUMBER(AP17)),IFERROR(AU17/AP17-1,""),"")</f>
        <v/>
      </c>
      <c r="AV18" s="26" t="str">
        <f aca="false">IF(AND(ISNUMBER(AV17),ISNUMBER(AQ17)),IFERROR(AV17/AQ17-1,""),"")</f>
        <v/>
      </c>
      <c r="AW18" s="26" t="str">
        <f aca="false">IF(AND(ISNUMBER(AW17),ISNUMBER(AR17)),IFERROR(AW17/AR17-1,""),"")</f>
        <v/>
      </c>
      <c r="AX18" s="26" t="str">
        <f aca="false">IF(AND(ISNUMBER(AX17),ISNUMBER(AS17)),IFERROR(AX17/AS17-1,""),"")</f>
        <v/>
      </c>
      <c r="AY18" s="26" t="str">
        <f aca="false">IF(AND(ISNUMBER(AY17),ISNUMBER(AT17)),IFERROR(AY17/AT17-1,""),"")</f>
        <v/>
      </c>
      <c r="AZ18" s="26" t="str">
        <f aca="false">IF(AND(ISNUMBER(AZ17),ISNUMBER(AU17)),IFERROR(AZ17/AU17-1,""),"")</f>
        <v/>
      </c>
      <c r="BA18" s="26" t="str">
        <f aca="false">IF(AND(ISNUMBER(BA17),ISNUMBER(AV17)),IFERROR(BA17/AV17-1,""),"")</f>
        <v/>
      </c>
      <c r="BB18" s="26" t="str">
        <f aca="false">IF(AND(ISNUMBER(BB17),ISNUMBER(AW17)),IFERROR(BB17/AW17-1,""),"")</f>
        <v/>
      </c>
      <c r="BC18" s="26" t="str">
        <f aca="false">IF(AND(ISNUMBER(BC17),ISNUMBER(AX17)),IFERROR(BC17/AX17-1,""),"")</f>
        <v/>
      </c>
      <c r="BD18" s="26" t="str">
        <f aca="false">IF(AND(ISNUMBER(BD17),ISNUMBER(AY17)),IFERROR(BD17/AY17-1,""),"")</f>
        <v/>
      </c>
      <c r="BE18" s="26" t="str">
        <f aca="false">IF(AND(ISNUMBER(BE17),ISNUMBER(AZ17)),IFERROR(BE17/AZ17-1,""),"")</f>
        <v/>
      </c>
      <c r="BF18" s="26" t="str">
        <f aca="false">IF(AND(ISNUMBER(BF17),ISNUMBER(BA17)),IFERROR(BF17/BA17-1,""),"")</f>
        <v/>
      </c>
      <c r="BG18" s="26" t="str">
        <f aca="false">IF(AND(ISNUMBER(BG17),ISNUMBER(BB17)),IFERROR(BG17/BB17-1,""),"")</f>
        <v/>
      </c>
      <c r="BH18" s="26" t="str">
        <f aca="false">IF(AND(ISNUMBER(BH17),ISNUMBER(BC17)),IFERROR(BH17/BC17-1,""),"")</f>
        <v/>
      </c>
      <c r="BI18" s="26" t="str">
        <f aca="false">IF(AND(ISNUMBER(BI17),ISNUMBER(BD17)),IFERROR(BI17/BD17-1,""),"")</f>
        <v/>
      </c>
      <c r="BJ18" s="26" t="str">
        <f aca="false">IF(AND(ISNUMBER(BJ17),ISNUMBER(BE17)),IFERROR(BJ17/BE17-1,""),"")</f>
        <v/>
      </c>
      <c r="BK18" s="26" t="str">
        <f aca="false">IF(AND(ISNUMBER(BK17),ISNUMBER(BF17)),IFERROR(BK17/BF17-1,""),"")</f>
        <v/>
      </c>
      <c r="BL18" s="26" t="str">
        <f aca="false">IF(AND(ISNUMBER(BL17),ISNUMBER(BG17)),IFERROR(BL17/BG17-1,""),"")</f>
        <v/>
      </c>
      <c r="BM18" s="26" t="n">
        <f aca="false">IF(AND(ISNUMBER(BM17),ISNUMBER(BH17)),IFERROR(BM17/BH17-1,""),"")</f>
        <v>-0.0555555555555556</v>
      </c>
      <c r="BN18" s="26" t="n">
        <f aca="false">IF(AND(ISNUMBER(BN17),ISNUMBER(BI17)),IFERROR(BN17/BI17-1,""),"")</f>
        <v>-0.0526315789473685</v>
      </c>
      <c r="BO18" s="26" t="n">
        <f aca="false">IF(AND(ISNUMBER(BO17),ISNUMBER(BJ17)),IFERROR(BO17/BJ17-1,""),"")</f>
        <v>-0.05</v>
      </c>
      <c r="BP18" s="26" t="n">
        <f aca="false">IF(AND(ISNUMBER(BP17),ISNUMBER(BK17)),IFERROR(BP17/BK17-1,""),"")</f>
        <v>-0.0833333333333334</v>
      </c>
      <c r="BQ18" s="26" t="n">
        <f aca="false">IF(AND(ISNUMBER(BQ17),ISNUMBER(BL17)),IFERROR(BQ17/BL17-1,""),"")</f>
        <v>-0.0493827160493827</v>
      </c>
      <c r="BR18" s="26" t="n">
        <f aca="false">IF(AND(ISNUMBER(BR17),ISNUMBER(BM17)),IFERROR(BR17/BM17-1,""),"")</f>
        <v>0.823529411764706</v>
      </c>
      <c r="BS18" s="26" t="n">
        <f aca="false">IF(AND(ISNUMBER(BS17),ISNUMBER(BN17)),IFERROR(BS17/BN17-1,""),"")</f>
        <v>2.33333333333333</v>
      </c>
      <c r="BT18" s="26" t="n">
        <f aca="false">IF(AND(ISNUMBER(BT17),ISNUMBER(BO17)),IFERROR(BT17/BO17-1,""),"")</f>
        <v>2.36842105263158</v>
      </c>
      <c r="BU18" s="26" t="n">
        <f aca="false">IF(AND(ISNUMBER(BU17),ISNUMBER(BP17)),IFERROR(BU17/BP17-1,""),"")</f>
        <v>1.81818181818182</v>
      </c>
      <c r="BV18" s="26" t="n">
        <f aca="false">IF(AND(ISNUMBER(BV17),ISNUMBER(BQ17)),IFERROR(BV17/BQ17-1,""),"")</f>
        <v>1.80519480519481</v>
      </c>
      <c r="BW18" s="26" t="n">
        <f aca="false">IF(AND(ISNUMBER(BW17),ISNUMBER(BR17)),IFERROR(BW17/BR17-1,""),"")</f>
        <v>0.806451612903226</v>
      </c>
      <c r="BX18" s="26" t="n">
        <f aca="false">IF(AND(ISNUMBER(BX17),ISNUMBER(BS17)),IFERROR(BX17/BS17-1,""),"")</f>
        <v>-0.05</v>
      </c>
      <c r="BY18" s="27" t="n">
        <f aca="false">IF(AND(ISNUMBER(BY17),ISNUMBER(BT17)),IFERROR(BY17/BT17-1,""),"")</f>
        <v>-0.137233665964221</v>
      </c>
      <c r="BZ18" s="27" t="n">
        <f aca="false">IF(AND(ISNUMBER(BZ17),ISNUMBER(BU17)),IFERROR(BZ17/BU17-1,""),"")</f>
        <v>-0.136728413802267</v>
      </c>
      <c r="CA18" s="27" t="n">
        <f aca="false">IFERROR(CA17/BV17-1,"")</f>
        <v>0.0265735357525434</v>
      </c>
      <c r="CB18" s="27" t="n">
        <f aca="false">CHOOSE(MATCH($CF$2,{"Bull","Base","Bear"},0),$CO$56,$CP$56,$CQ$56)</f>
        <v>0.05</v>
      </c>
      <c r="CC18" s="27" t="n">
        <f aca="false">CHOOSE(MATCH($CF$2,{"Bull","Base","Bear"},0),$CO$57,$CP$57,$CQ$57)</f>
        <v>0.05</v>
      </c>
      <c r="CD18" s="27" t="n">
        <f aca="false">CHOOSE(MATCH($CF$2,{"Bull","Base","Bear"},0),$CO$58,$CP$58,$CQ$58)</f>
        <v>0.05</v>
      </c>
      <c r="CE18" s="27" t="n">
        <f aca="false">CHOOSE(MATCH($CF$2,{"Bull","Base","Bear"},0),$CO$59,$CP$59,$CQ$59)</f>
        <v>0.05</v>
      </c>
      <c r="CF18" s="28"/>
      <c r="CN18" s="16" t="s">
        <v>111</v>
      </c>
      <c r="CO18" s="23"/>
      <c r="CP18" s="23"/>
      <c r="CQ18" s="23"/>
      <c r="CR18" s="14"/>
    </row>
    <row r="19" customFormat="false" ht="15" hidden="false" customHeight="true" outlineLevel="0" collapsed="false">
      <c r="B19" s="24" t="s">
        <v>96</v>
      </c>
      <c r="C19" s="25"/>
      <c r="D19" s="25"/>
      <c r="E19" s="25"/>
      <c r="F19" s="25"/>
      <c r="G19" s="25"/>
      <c r="H19" s="25"/>
      <c r="I19" s="25"/>
      <c r="J19" s="25"/>
      <c r="K19" s="26" t="str">
        <f aca="false">IF(AND(ISNUMBER(K17),ISNUMBER(J17)),IFERROR(K17/J17-1,""),"")</f>
        <v/>
      </c>
      <c r="L19" s="26" t="str">
        <f aca="false">IF(AND(ISNUMBER(L17),ISNUMBER(K17)),IFERROR(L17/K17-1,""),"")</f>
        <v/>
      </c>
      <c r="M19" s="26" t="str">
        <f aca="false">IF(AND(ISNUMBER(M17),ISNUMBER(L17)),IFERROR(M17/L17-1,""),"")</f>
        <v/>
      </c>
      <c r="N19" s="25"/>
      <c r="O19" s="26" t="str">
        <f aca="false">IF(AND(ISNUMBER(O17),ISNUMBER(M17)),IFERROR(O17/M17-1,""),"")</f>
        <v/>
      </c>
      <c r="P19" s="26" t="str">
        <f aca="false">IF(AND(ISNUMBER(P17),ISNUMBER(O17)),IFERROR(P17/O17-1,""),"")</f>
        <v/>
      </c>
      <c r="Q19" s="26" t="str">
        <f aca="false">IF(AND(ISNUMBER(Q17),ISNUMBER(P17)),IFERROR(Q17/P17-1,""),"")</f>
        <v/>
      </c>
      <c r="R19" s="26" t="str">
        <f aca="false">IF(AND(ISNUMBER(R17),ISNUMBER(Q17)),IFERROR(R17/Q17-1,""),"")</f>
        <v/>
      </c>
      <c r="S19" s="25"/>
      <c r="T19" s="26" t="str">
        <f aca="false">IF(AND(ISNUMBER(T17),ISNUMBER(R17)),IFERROR(T17/R17-1,""),"")</f>
        <v/>
      </c>
      <c r="U19" s="26" t="str">
        <f aca="false">IF(AND(ISNUMBER(U17),ISNUMBER(T17)),IFERROR(U17/T17-1,""),"")</f>
        <v/>
      </c>
      <c r="V19" s="26" t="str">
        <f aca="false">IF(AND(ISNUMBER(V17),ISNUMBER(U17)),IFERROR(V17/U17-1,""),"")</f>
        <v/>
      </c>
      <c r="W19" s="26" t="str">
        <f aca="false">IF(AND(ISNUMBER(W17),ISNUMBER(V17)),IFERROR(W17/V17-1,""),"")</f>
        <v/>
      </c>
      <c r="X19" s="25"/>
      <c r="Y19" s="26" t="str">
        <f aca="false">IF(AND(ISNUMBER(Y17),ISNUMBER(W17)),IFERROR(Y17/W17-1,""),"")</f>
        <v/>
      </c>
      <c r="Z19" s="26" t="str">
        <f aca="false">IF(AND(ISNUMBER(Z17),ISNUMBER(Y17)),IFERROR(Z17/Y17-1,""),"")</f>
        <v/>
      </c>
      <c r="AA19" s="26" t="str">
        <f aca="false">IF(AND(ISNUMBER(AA17),ISNUMBER(Z17)),IFERROR(AA17/Z17-1,""),"")</f>
        <v/>
      </c>
      <c r="AB19" s="26" t="str">
        <f aca="false">IF(AND(ISNUMBER(AB17),ISNUMBER(AA17)),IFERROR(AB17/AA17-1,""),"")</f>
        <v/>
      </c>
      <c r="AC19" s="25"/>
      <c r="AD19" s="26" t="str">
        <f aca="false">IF(AND(ISNUMBER(AD17),ISNUMBER(AB17)),IFERROR(AD17/AB17-1,""),"")</f>
        <v/>
      </c>
      <c r="AE19" s="26" t="str">
        <f aca="false">IF(AND(ISNUMBER(AE17),ISNUMBER(AD17)),IFERROR(AE17/AD17-1,""),"")</f>
        <v/>
      </c>
      <c r="AF19" s="26" t="str">
        <f aca="false">IF(AND(ISNUMBER(AF17),ISNUMBER(AE17)),IFERROR(AF17/AE17-1,""),"")</f>
        <v/>
      </c>
      <c r="AG19" s="26" t="str">
        <f aca="false">IF(AND(ISNUMBER(AG17),ISNUMBER(AF17)),IFERROR(AG17/AF17-1,""),"")</f>
        <v/>
      </c>
      <c r="AH19" s="25"/>
      <c r="AI19" s="26" t="str">
        <f aca="false">IF(AND(ISNUMBER(AI17),ISNUMBER(AG17)),IFERROR(AI17/AG17-1,""),"")</f>
        <v/>
      </c>
      <c r="AJ19" s="26" t="str">
        <f aca="false">IF(AND(ISNUMBER(AJ17),ISNUMBER(AI17)),IFERROR(AJ17/AI17-1,""),"")</f>
        <v/>
      </c>
      <c r="AK19" s="26" t="str">
        <f aca="false">IF(AND(ISNUMBER(AK17),ISNUMBER(AJ17)),IFERROR(AK17/AJ17-1,""),"")</f>
        <v/>
      </c>
      <c r="AL19" s="26" t="str">
        <f aca="false">IF(AND(ISNUMBER(AL17),ISNUMBER(AK17)),IFERROR(AL17/AK17-1,""),"")</f>
        <v/>
      </c>
      <c r="AM19" s="25"/>
      <c r="AN19" s="26" t="str">
        <f aca="false">IF(AND(ISNUMBER(AN17),ISNUMBER(AL17)),IFERROR(AN17/AL17-1,""),"")</f>
        <v/>
      </c>
      <c r="AO19" s="26" t="str">
        <f aca="false">IF(AND(ISNUMBER(AO17),ISNUMBER(AN17)),IFERROR(AO17/AN17-1,""),"")</f>
        <v/>
      </c>
      <c r="AP19" s="26" t="str">
        <f aca="false">IF(AND(ISNUMBER(AP17),ISNUMBER(AO17)),IFERROR(AP17/AO17-1,""),"")</f>
        <v/>
      </c>
      <c r="AQ19" s="26" t="str">
        <f aca="false">IF(AND(ISNUMBER(AQ17),ISNUMBER(AP17)),IFERROR(AQ17/AP17-1,""),"")</f>
        <v/>
      </c>
      <c r="AR19" s="25"/>
      <c r="AS19" s="26" t="str">
        <f aca="false">IF(AND(ISNUMBER(AS17),ISNUMBER(AQ17)),IFERROR(AS17/AQ17-1,""),"")</f>
        <v/>
      </c>
      <c r="AT19" s="26" t="str">
        <f aca="false">IF(AND(ISNUMBER(AT17),ISNUMBER(AS17)),IFERROR(AT17/AS17-1,""),"")</f>
        <v/>
      </c>
      <c r="AU19" s="26" t="str">
        <f aca="false">IF(AND(ISNUMBER(AU17),ISNUMBER(AT17)),IFERROR(AU17/AT17-1,""),"")</f>
        <v/>
      </c>
      <c r="AV19" s="26" t="str">
        <f aca="false">IF(AND(ISNUMBER(AV17),ISNUMBER(AU17)),IFERROR(AV17/AU17-1,""),"")</f>
        <v/>
      </c>
      <c r="AW19" s="25"/>
      <c r="AX19" s="26" t="str">
        <f aca="false">IF(AND(ISNUMBER(AX17),ISNUMBER(AV17)),IFERROR(AX17/AV17-1,""),"")</f>
        <v/>
      </c>
      <c r="AY19" s="26" t="str">
        <f aca="false">IF(AND(ISNUMBER(AY17),ISNUMBER(AX17)),IFERROR(AY17/AX17-1,""),"")</f>
        <v/>
      </c>
      <c r="AZ19" s="26" t="str">
        <f aca="false">IF(AND(ISNUMBER(AZ17),ISNUMBER(AY17)),IFERROR(AZ17/AY17-1,""),"")</f>
        <v/>
      </c>
      <c r="BA19" s="26" t="str">
        <f aca="false">IF(AND(ISNUMBER(BA17),ISNUMBER(AZ17)),IFERROR(BA17/AZ17-1,""),"")</f>
        <v/>
      </c>
      <c r="BB19" s="25"/>
      <c r="BC19" s="26" t="str">
        <f aca="false">IF(AND(ISNUMBER(BC17),ISNUMBER(BA17)),IFERROR(BC17/BA17-1,""),"")</f>
        <v/>
      </c>
      <c r="BD19" s="26" t="str">
        <f aca="false">IF(AND(ISNUMBER(BD17),ISNUMBER(BC17)),IFERROR(BD17/BC17-1,""),"")</f>
        <v/>
      </c>
      <c r="BE19" s="26" t="str">
        <f aca="false">IF(AND(ISNUMBER(BE17),ISNUMBER(BD17)),IFERROR(BE17/BD17-1,""),"")</f>
        <v/>
      </c>
      <c r="BF19" s="26" t="str">
        <f aca="false">IF(AND(ISNUMBER(BF17),ISNUMBER(BE17)),IFERROR(BF17/BE17-1,""),"")</f>
        <v/>
      </c>
      <c r="BG19" s="25"/>
      <c r="BH19" s="26" t="str">
        <f aca="false">IF(AND(ISNUMBER(BH17),ISNUMBER(BF17)),IFERROR(BH17/BF17-1,""),"")</f>
        <v/>
      </c>
      <c r="BI19" s="26" t="n">
        <f aca="false">IF(AND(ISNUMBER(BI17),ISNUMBER(BH17)),IFERROR(BI17/BH17-1,""),"")</f>
        <v>0.0555555555555556</v>
      </c>
      <c r="BJ19" s="26" t="n">
        <f aca="false">IF(AND(ISNUMBER(BJ17),ISNUMBER(BI17)),IFERROR(BJ17/BI17-1,""),"")</f>
        <v>0.0526315789473684</v>
      </c>
      <c r="BK19" s="26" t="n">
        <f aca="false">IF(AND(ISNUMBER(BK17),ISNUMBER(BJ17)),IFERROR(BK17/BJ17-1,""),"")</f>
        <v>0.2</v>
      </c>
      <c r="BL19" s="25"/>
      <c r="BM19" s="26" t="n">
        <f aca="false">IF(AND(ISNUMBER(BM17),ISNUMBER(BK17)),IFERROR(BM17/BK17-1,""),"")</f>
        <v>-0.291666666666667</v>
      </c>
      <c r="BN19" s="26" t="n">
        <f aca="false">IF(AND(ISNUMBER(BN17),ISNUMBER(BM17)),IFERROR(BN17/BM17-1,""),"")</f>
        <v>0.0588235294117647</v>
      </c>
      <c r="BO19" s="26" t="n">
        <f aca="false">IF(AND(ISNUMBER(BO17),ISNUMBER(BN17)),IFERROR(BO17/BN17-1,""),"")</f>
        <v>0.0555555555555556</v>
      </c>
      <c r="BP19" s="26" t="n">
        <f aca="false">IF(AND(ISNUMBER(BP17),ISNUMBER(BO17)),IFERROR(BP17/BO17-1,""),"")</f>
        <v>0.157894736842105</v>
      </c>
      <c r="BQ19" s="25"/>
      <c r="BR19" s="26" t="n">
        <f aca="false">IF(AND(ISNUMBER(BR17),ISNUMBER(BP17)),IFERROR(BR17/BP17-1,""),"")</f>
        <v>0.409090909090909</v>
      </c>
      <c r="BS19" s="26" t="n">
        <f aca="false">IF(AND(ISNUMBER(BS17),ISNUMBER(BR17)),IFERROR(BS17/BR17-1,""),"")</f>
        <v>0.935483870967742</v>
      </c>
      <c r="BT19" s="26" t="n">
        <f aca="false">IF(AND(ISNUMBER(BT17),ISNUMBER(BS17)),IFERROR(BT17/BS17-1,""),"")</f>
        <v>0.0666666666666667</v>
      </c>
      <c r="BU19" s="26" t="n">
        <f aca="false">IF(AND(ISNUMBER(BU17),ISNUMBER(BT17)),IFERROR(BU17/BT17-1,""),"")</f>
        <v>-0.03125</v>
      </c>
      <c r="BV19" s="25"/>
      <c r="BW19" s="26" t="n">
        <f aca="false">IF(AND(ISNUMBER(BW17),ISNUMBER(BU17)),IFERROR(BW17/BU17-1,""),"")</f>
        <v>-0.0967741935483871</v>
      </c>
      <c r="BX19" s="26" t="n">
        <f aca="false">IF(AND(ISNUMBER(BX17),ISNUMBER(BW17)),IFERROR(BX17/BW17-1,""),"")</f>
        <v>0.0178571428571428</v>
      </c>
      <c r="BY19" s="27" t="n">
        <f aca="false">((BW17/BU17-1)+(BX17/BW17-1))/2</f>
        <v>-0.0394585253456222</v>
      </c>
      <c r="BZ19" s="27" t="n">
        <f aca="false">BY19</f>
        <v>-0.0394585253456222</v>
      </c>
      <c r="CA19" s="27"/>
      <c r="CB19" s="27"/>
      <c r="CC19" s="27"/>
      <c r="CD19" s="27"/>
      <c r="CE19" s="27"/>
      <c r="CF19" s="28"/>
      <c r="CN19" s="29" t="s">
        <v>112</v>
      </c>
      <c r="CO19" s="30"/>
      <c r="CP19" s="30" t="n">
        <v>156</v>
      </c>
      <c r="CQ19" s="30"/>
      <c r="CR19" s="14" t="s">
        <v>113</v>
      </c>
    </row>
    <row r="20" customFormat="false" ht="15" hidden="false" customHeight="true" outlineLevel="0" collapsed="false">
      <c r="B20" s="17" t="s">
        <v>114</v>
      </c>
      <c r="C20" s="18" t="str">
        <f aca="false">IF(ISNUMBER(C17),C11+C14+C17,"")</f>
        <v/>
      </c>
      <c r="D20" s="18" t="str">
        <f aca="false">IF(ISNUMBER(D17),D11+D14+D17,"")</f>
        <v/>
      </c>
      <c r="E20" s="18" t="str">
        <f aca="false">IF(ISNUMBER(E17),E11+E14+E17,"")</f>
        <v/>
      </c>
      <c r="F20" s="18" t="str">
        <f aca="false">IF(ISNUMBER(F17),F11+F14+F17,"")</f>
        <v/>
      </c>
      <c r="G20" s="18" t="str">
        <f aca="false">IF(ISNUMBER(G17),G11+G14+G17,"")</f>
        <v/>
      </c>
      <c r="H20" s="18" t="str">
        <f aca="false">IF(ISNUMBER(H17),H11+H14+H17,"")</f>
        <v/>
      </c>
      <c r="I20" s="18" t="str">
        <f aca="false">IF(ISNUMBER(I17),I11+I14+I17,"")</f>
        <v/>
      </c>
      <c r="J20" s="18" t="str">
        <f aca="false">IF(ISNUMBER(J17),J11+J14+J17,"")</f>
        <v/>
      </c>
      <c r="K20" s="18" t="str">
        <f aca="false">IF(ISNUMBER(K17),K11+K14+K17,"")</f>
        <v/>
      </c>
      <c r="L20" s="18" t="str">
        <f aca="false">IF(ISNUMBER(L17),L11+L14+L17,"")</f>
        <v/>
      </c>
      <c r="M20" s="18" t="str">
        <f aca="false">IF(ISNUMBER(M17),M11+M14+M17,"")</f>
        <v/>
      </c>
      <c r="N20" s="18" t="str">
        <f aca="false">IF(ISNUMBER(N17),N11+N14+N17,"")</f>
        <v/>
      </c>
      <c r="O20" s="18" t="str">
        <f aca="false">IF(ISNUMBER(O17),O11+O14+O17,"")</f>
        <v/>
      </c>
      <c r="P20" s="18" t="str">
        <f aca="false">IF(ISNUMBER(P17),P11+P14+P17,"")</f>
        <v/>
      </c>
      <c r="Q20" s="18" t="str">
        <f aca="false">IF(ISNUMBER(Q17),Q11+Q14+Q17,"")</f>
        <v/>
      </c>
      <c r="R20" s="18" t="str">
        <f aca="false">IF(ISNUMBER(R17),R11+R14+R17,"")</f>
        <v/>
      </c>
      <c r="S20" s="18" t="str">
        <f aca="false">IF(ISNUMBER(S17),S11+S14+S17,"")</f>
        <v/>
      </c>
      <c r="T20" s="18" t="str">
        <f aca="false">IF(ISNUMBER(T17),T11+T14+T17,"")</f>
        <v/>
      </c>
      <c r="U20" s="18" t="str">
        <f aca="false">IF(ISNUMBER(U17),U11+U14+U17,"")</f>
        <v/>
      </c>
      <c r="V20" s="18" t="str">
        <f aca="false">IF(ISNUMBER(V17),V11+V14+V17,"")</f>
        <v/>
      </c>
      <c r="W20" s="18" t="str">
        <f aca="false">IF(ISNUMBER(W17),W11+W14+W17,"")</f>
        <v/>
      </c>
      <c r="X20" s="18" t="str">
        <f aca="false">IF(ISNUMBER(X17),X11+X14+X17,"")</f>
        <v/>
      </c>
      <c r="Y20" s="18" t="str">
        <f aca="false">IF(ISNUMBER(Y17),Y11+Y14+Y17,"")</f>
        <v/>
      </c>
      <c r="Z20" s="18" t="str">
        <f aca="false">IF(ISNUMBER(Z17),Z11+Z14+Z17,"")</f>
        <v/>
      </c>
      <c r="AA20" s="18" t="str">
        <f aca="false">IF(ISNUMBER(AA17),AA11+AA14+AA17,"")</f>
        <v/>
      </c>
      <c r="AB20" s="18" t="str">
        <f aca="false">IF(ISNUMBER(AB17),AB11+AB14+AB17,"")</f>
        <v/>
      </c>
      <c r="AC20" s="18" t="str">
        <f aca="false">IF(ISNUMBER(AC17),AC11+AC14+AC17,"")</f>
        <v/>
      </c>
      <c r="AD20" s="18" t="str">
        <f aca="false">IF(ISNUMBER(AD17),AD11+AD14+AD17,"")</f>
        <v/>
      </c>
      <c r="AE20" s="18" t="str">
        <f aca="false">IF(ISNUMBER(AE17),AE11+AE14+AE17,"")</f>
        <v/>
      </c>
      <c r="AF20" s="18" t="str">
        <f aca="false">IF(ISNUMBER(AF17),AF11+AF14+AF17,"")</f>
        <v/>
      </c>
      <c r="AG20" s="18" t="str">
        <f aca="false">IF(ISNUMBER(AG17),AG11+AG14+AG17,"")</f>
        <v/>
      </c>
      <c r="AH20" s="18" t="str">
        <f aca="false">IF(ISNUMBER(AH17),AH11+AH14+AH17,"")</f>
        <v/>
      </c>
      <c r="AI20" s="18" t="str">
        <f aca="false">IF(ISNUMBER(AI17),AI11+AI14+AI17,"")</f>
        <v/>
      </c>
      <c r="AJ20" s="18" t="str">
        <f aca="false">IF(ISNUMBER(AJ17),AJ11+AJ14+AJ17,"")</f>
        <v/>
      </c>
      <c r="AK20" s="18" t="str">
        <f aca="false">IF(ISNUMBER(AK17),AK11+AK14+AK17,"")</f>
        <v/>
      </c>
      <c r="AL20" s="18" t="str">
        <f aca="false">IF(ISNUMBER(AL17),AL11+AL14+AL17,"")</f>
        <v/>
      </c>
      <c r="AM20" s="18" t="str">
        <f aca="false">IF(ISNUMBER(AM17),AM11+AM14+AM17,"")</f>
        <v/>
      </c>
      <c r="AN20" s="18" t="str">
        <f aca="false">IF(ISNUMBER(AN17),AN11+AN14+AN17,"")</f>
        <v/>
      </c>
      <c r="AO20" s="18" t="str">
        <f aca="false">IF(ISNUMBER(AO17),AO11+AO14+AO17,"")</f>
        <v/>
      </c>
      <c r="AP20" s="18" t="str">
        <f aca="false">IF(ISNUMBER(AP17),AP11+AP14+AP17,"")</f>
        <v/>
      </c>
      <c r="AQ20" s="18" t="str">
        <f aca="false">IF(ISNUMBER(AQ17),AQ11+AQ14+AQ17,"")</f>
        <v/>
      </c>
      <c r="AR20" s="18" t="str">
        <f aca="false">IF(ISNUMBER(AR17),AR11+AR14+AR17,"")</f>
        <v/>
      </c>
      <c r="AS20" s="18" t="str">
        <f aca="false">IF(ISNUMBER(AS17),AS11+AS14+AS17,"")</f>
        <v/>
      </c>
      <c r="AT20" s="18" t="str">
        <f aca="false">IF(ISNUMBER(AT17),AT11+AT14+AT17,"")</f>
        <v/>
      </c>
      <c r="AU20" s="18" t="str">
        <f aca="false">IF(ISNUMBER(AU17),AU11+AU14+AU17,"")</f>
        <v/>
      </c>
      <c r="AV20" s="18" t="str">
        <f aca="false">IF(ISNUMBER(AV17),AV11+AV14+AV17,"")</f>
        <v/>
      </c>
      <c r="AW20" s="18" t="str">
        <f aca="false">IF(ISNUMBER(AW17),AW11+AW14+AW17,"")</f>
        <v/>
      </c>
      <c r="AX20" s="18" t="str">
        <f aca="false">IF(ISNUMBER(AX17),AX11+AX14+AX17,"")</f>
        <v/>
      </c>
      <c r="AY20" s="18" t="str">
        <f aca="false">IF(ISNUMBER(AY17),AY11+AY14+AY17,"")</f>
        <v/>
      </c>
      <c r="AZ20" s="18" t="str">
        <f aca="false">IF(ISNUMBER(AZ17),AZ11+AZ14+AZ17,"")</f>
        <v/>
      </c>
      <c r="BA20" s="18" t="str">
        <f aca="false">IF(ISNUMBER(BA17),BA11+BA14+BA17,"")</f>
        <v/>
      </c>
      <c r="BB20" s="18" t="str">
        <f aca="false">IF(ISNUMBER(BB17),BB11+BB14+BB17,"")</f>
        <v/>
      </c>
      <c r="BC20" s="18" t="str">
        <f aca="false">IF(ISNUMBER(BC17),BC11+BC14+BC17,"")</f>
        <v/>
      </c>
      <c r="BD20" s="18" t="str">
        <f aca="false">IF(ISNUMBER(BD17),BD11+BD14+BD17,"")</f>
        <v/>
      </c>
      <c r="BE20" s="18" t="str">
        <f aca="false">IF(ISNUMBER(BE17),BE11+BE14+BE17,"")</f>
        <v/>
      </c>
      <c r="BF20" s="18" t="str">
        <f aca="false">IF(ISNUMBER(BF17),BF11+BF14+BF17,"")</f>
        <v/>
      </c>
      <c r="BG20" s="18" t="str">
        <f aca="false">IF(ISNUMBER(BG17),BG11+BG14+BG17,"")</f>
        <v/>
      </c>
      <c r="BH20" s="18" t="n">
        <f aca="false">IF(ISNUMBER(BH17),BH11+BH14+BH17,"")</f>
        <v>348</v>
      </c>
      <c r="BI20" s="18" t="n">
        <f aca="false">IF(ISNUMBER(BI17),BI11+BI14+BI17,"")</f>
        <v>356</v>
      </c>
      <c r="BJ20" s="18" t="n">
        <f aca="false">IF(ISNUMBER(BJ17),BJ11+BJ14+BJ17,"")</f>
        <v>366</v>
      </c>
      <c r="BK20" s="18" t="n">
        <f aca="false">IF(ISNUMBER(BK17),BK11+BK14+BK17,"")</f>
        <v>373</v>
      </c>
      <c r="BL20" s="18" t="n">
        <f aca="false">IF(ISNUMBER(BL17),BL11+BL14+BL17,"")</f>
        <v>1441.9</v>
      </c>
      <c r="BM20" s="18" t="n">
        <f aca="false">IF(ISNUMBER(BM17),BM11+BM14+BM17,"")</f>
        <v>369</v>
      </c>
      <c r="BN20" s="18" t="n">
        <f aca="false">IF(ISNUMBER(BN17),BN11+BN14+BN17,"")</f>
        <v>374</v>
      </c>
      <c r="BO20" s="18" t="n">
        <f aca="false">IF(ISNUMBER(BO17),BO11+BO14+BO17,"")</f>
        <v>380</v>
      </c>
      <c r="BP20" s="18" t="n">
        <f aca="false">IF(ISNUMBER(BP17),BP11+BP14+BP17,"")</f>
        <v>391</v>
      </c>
      <c r="BQ20" s="18" t="n">
        <f aca="false">IF(ISNUMBER(BQ17),BQ11+BQ14+BQ17,"")</f>
        <v>1515</v>
      </c>
      <c r="BR20" s="18" t="n">
        <f aca="false">IF(ISNUMBER(BR17),BR11+BR14+BR17,"")</f>
        <v>409</v>
      </c>
      <c r="BS20" s="18" t="n">
        <f aca="false">IF(ISNUMBER(BS17),BS11+BS14+BS17,"")</f>
        <v>446</v>
      </c>
      <c r="BT20" s="18" t="n">
        <f aca="false">IF(ISNUMBER(BT17),BT11+BT14+BT17,"")</f>
        <v>461</v>
      </c>
      <c r="BU20" s="18" t="n">
        <f aca="false">IF(ISNUMBER(BU17),BU11+BU14+BU17,"")</f>
        <v>471</v>
      </c>
      <c r="BV20" s="18" t="n">
        <f aca="false">IF(ISNUMBER(BV17),BV11+BV14+BV17,"")</f>
        <v>1787</v>
      </c>
      <c r="BW20" s="18" t="n">
        <f aca="false">IF(ISNUMBER(BW17),BW11+BW14+BW17,"")</f>
        <v>472</v>
      </c>
      <c r="BX20" s="18" t="n">
        <f aca="false">IF(ISNUMBER(BX17),BX11+BX14+BX17,"")</f>
        <v>481</v>
      </c>
      <c r="BY20" s="20" t="n">
        <f aca="false">BY11+BY14+BY17</f>
        <v>490.391316581806</v>
      </c>
      <c r="BZ20" s="20" t="n">
        <f aca="false">BZ11+BZ14+BZ17</f>
        <v>500.011476198182</v>
      </c>
      <c r="CA20" s="20" t="n">
        <f aca="false">CA11+CA14+CA17</f>
        <v>1943.40279277999</v>
      </c>
      <c r="CB20" s="20" t="n">
        <f aca="false">CB11+CB14+CB17</f>
        <v>2120.02303142985</v>
      </c>
      <c r="CC20" s="20" t="n">
        <f aca="false">CC11+CC14+CC17</f>
        <v>2309.41443751978</v>
      </c>
      <c r="CD20" s="20" t="n">
        <f aca="false">CD11+CD14+CD17</f>
        <v>2503.73703192016</v>
      </c>
      <c r="CE20" s="20" t="n">
        <f aca="false">CE11+CE14+CE17</f>
        <v>2701.15966580147</v>
      </c>
      <c r="CF20" s="21"/>
      <c r="CH20" s="22" t="n">
        <f aca="false">IFERROR((CE20/BV20)^(1/5)-1,"n/m")</f>
        <v>0.0861383310905626</v>
      </c>
      <c r="CI20" s="22" t="str">
        <f aca="false">IFERROR((BV20/AW20)^(1/5)-1,"n/m")</f>
        <v>n/m</v>
      </c>
      <c r="CJ20" s="22" t="str">
        <f aca="false">IFERROR((BV20/X20)^(1/10)-1,"n/m")</f>
        <v>n/m</v>
      </c>
      <c r="CK20" s="22" t="str">
        <f aca="false">IFERROR((BV20/C20)^(1/19)-1,"n/m")</f>
        <v>n/m</v>
      </c>
      <c r="CN20" s="29" t="s">
        <v>115</v>
      </c>
      <c r="CO20" s="30"/>
      <c r="CP20" s="30" t="n">
        <v>251</v>
      </c>
      <c r="CQ20" s="30"/>
      <c r="CR20" s="14" t="s">
        <v>116</v>
      </c>
    </row>
    <row r="21" customFormat="false" ht="15" hidden="false" customHeight="true" outlineLevel="0" collapsed="false">
      <c r="B21" s="24" t="s">
        <v>92</v>
      </c>
      <c r="C21" s="25"/>
      <c r="D21" s="26" t="str">
        <f aca="false">IF(AND(ISNUMBER(D20),ISNUMBER(C20)),IFERROR(D20/C20-1,""),"")</f>
        <v/>
      </c>
      <c r="E21" s="26" t="str">
        <f aca="false">IF(AND(ISNUMBER(E20),ISNUMBER(D20)),IFERROR(E20/D20-1,""),"")</f>
        <v/>
      </c>
      <c r="F21" s="26" t="str">
        <f aca="false">IF(AND(ISNUMBER(F20),ISNUMBER(E20)),IFERROR(F20/E20-1,""),"")</f>
        <v/>
      </c>
      <c r="G21" s="26" t="str">
        <f aca="false">IF(AND(ISNUMBER(G20),ISNUMBER(F20)),IFERROR(G20/F20-1,""),"")</f>
        <v/>
      </c>
      <c r="H21" s="26" t="str">
        <f aca="false">IF(AND(ISNUMBER(H20),ISNUMBER(G20)),IFERROR(H20/G20-1,""),"")</f>
        <v/>
      </c>
      <c r="I21" s="26" t="str">
        <f aca="false">IF(AND(ISNUMBER(I20),ISNUMBER(H20)),IFERROR(I20/H20-1,""),"")</f>
        <v/>
      </c>
      <c r="J21" s="25"/>
      <c r="K21" s="25"/>
      <c r="L21" s="25"/>
      <c r="M21" s="25"/>
      <c r="N21" s="26" t="str">
        <f aca="false">IF(AND(ISNUMBER(N20),ISNUMBER(I20)),IFERROR(N20/I20-1,""),"")</f>
        <v/>
      </c>
      <c r="O21" s="26" t="str">
        <f aca="false">IF(AND(ISNUMBER(O20),ISNUMBER(J20)),IFERROR(O20/J20-1,""),"")</f>
        <v/>
      </c>
      <c r="P21" s="26" t="str">
        <f aca="false">IF(AND(ISNUMBER(P20),ISNUMBER(K20)),IFERROR(P20/K20-1,""),"")</f>
        <v/>
      </c>
      <c r="Q21" s="26" t="str">
        <f aca="false">IF(AND(ISNUMBER(Q20),ISNUMBER(L20)),IFERROR(Q20/L20-1,""),"")</f>
        <v/>
      </c>
      <c r="R21" s="26" t="str">
        <f aca="false">IF(AND(ISNUMBER(R20),ISNUMBER(M20)),IFERROR(R20/M20-1,""),"")</f>
        <v/>
      </c>
      <c r="S21" s="26" t="str">
        <f aca="false">IF(AND(ISNUMBER(S20),ISNUMBER(N20)),IFERROR(S20/N20-1,""),"")</f>
        <v/>
      </c>
      <c r="T21" s="26" t="str">
        <f aca="false">IF(AND(ISNUMBER(T20),ISNUMBER(O20)),IFERROR(T20/O20-1,""),"")</f>
        <v/>
      </c>
      <c r="U21" s="26" t="str">
        <f aca="false">IF(AND(ISNUMBER(U20),ISNUMBER(P20)),IFERROR(U20/P20-1,""),"")</f>
        <v/>
      </c>
      <c r="V21" s="26" t="str">
        <f aca="false">IF(AND(ISNUMBER(V20),ISNUMBER(Q20)),IFERROR(V20/Q20-1,""),"")</f>
        <v/>
      </c>
      <c r="W21" s="26" t="str">
        <f aca="false">IF(AND(ISNUMBER(W20),ISNUMBER(R20)),IFERROR(W20/R20-1,""),"")</f>
        <v/>
      </c>
      <c r="X21" s="26" t="str">
        <f aca="false">IF(AND(ISNUMBER(X20),ISNUMBER(S20)),IFERROR(X20/S20-1,""),"")</f>
        <v/>
      </c>
      <c r="Y21" s="26" t="str">
        <f aca="false">IF(AND(ISNUMBER(Y20),ISNUMBER(T20)),IFERROR(Y20/T20-1,""),"")</f>
        <v/>
      </c>
      <c r="Z21" s="26" t="str">
        <f aca="false">IF(AND(ISNUMBER(Z20),ISNUMBER(U20)),IFERROR(Z20/U20-1,""),"")</f>
        <v/>
      </c>
      <c r="AA21" s="26" t="str">
        <f aca="false">IF(AND(ISNUMBER(AA20),ISNUMBER(V20)),IFERROR(AA20/V20-1,""),"")</f>
        <v/>
      </c>
      <c r="AB21" s="26" t="str">
        <f aca="false">IF(AND(ISNUMBER(AB20),ISNUMBER(W20)),IFERROR(AB20/W20-1,""),"")</f>
        <v/>
      </c>
      <c r="AC21" s="26" t="str">
        <f aca="false">IF(AND(ISNUMBER(AC20),ISNUMBER(X20)),IFERROR(AC20/X20-1,""),"")</f>
        <v/>
      </c>
      <c r="AD21" s="26" t="str">
        <f aca="false">IF(AND(ISNUMBER(AD20),ISNUMBER(Y20)),IFERROR(AD20/Y20-1,""),"")</f>
        <v/>
      </c>
      <c r="AE21" s="26" t="str">
        <f aca="false">IF(AND(ISNUMBER(AE20),ISNUMBER(Z20)),IFERROR(AE20/Z20-1,""),"")</f>
        <v/>
      </c>
      <c r="AF21" s="26" t="str">
        <f aca="false">IF(AND(ISNUMBER(AF20),ISNUMBER(AA20)),IFERROR(AF20/AA20-1,""),"")</f>
        <v/>
      </c>
      <c r="AG21" s="26" t="str">
        <f aca="false">IF(AND(ISNUMBER(AG20),ISNUMBER(AB20)),IFERROR(AG20/AB20-1,""),"")</f>
        <v/>
      </c>
      <c r="AH21" s="26" t="str">
        <f aca="false">IF(AND(ISNUMBER(AH20),ISNUMBER(AC20)),IFERROR(AH20/AC20-1,""),"")</f>
        <v/>
      </c>
      <c r="AI21" s="26" t="str">
        <f aca="false">IF(AND(ISNUMBER(AI20),ISNUMBER(AD20)),IFERROR(AI20/AD20-1,""),"")</f>
        <v/>
      </c>
      <c r="AJ21" s="26" t="str">
        <f aca="false">IF(AND(ISNUMBER(AJ20),ISNUMBER(AE20)),IFERROR(AJ20/AE20-1,""),"")</f>
        <v/>
      </c>
      <c r="AK21" s="26" t="str">
        <f aca="false">IF(AND(ISNUMBER(AK20),ISNUMBER(AF20)),IFERROR(AK20/AF20-1,""),"")</f>
        <v/>
      </c>
      <c r="AL21" s="26" t="str">
        <f aca="false">IF(AND(ISNUMBER(AL20),ISNUMBER(AG20)),IFERROR(AL20/AG20-1,""),"")</f>
        <v/>
      </c>
      <c r="AM21" s="26" t="str">
        <f aca="false">IF(AND(ISNUMBER(AM20),ISNUMBER(AH20)),IFERROR(AM20/AH20-1,""),"")</f>
        <v/>
      </c>
      <c r="AN21" s="26" t="str">
        <f aca="false">IF(AND(ISNUMBER(AN20),ISNUMBER(AI20)),IFERROR(AN20/AI20-1,""),"")</f>
        <v/>
      </c>
      <c r="AO21" s="26" t="str">
        <f aca="false">IF(AND(ISNUMBER(AO20),ISNUMBER(AJ20)),IFERROR(AO20/AJ20-1,""),"")</f>
        <v/>
      </c>
      <c r="AP21" s="26" t="str">
        <f aca="false">IF(AND(ISNUMBER(AP20),ISNUMBER(AK20)),IFERROR(AP20/AK20-1,""),"")</f>
        <v/>
      </c>
      <c r="AQ21" s="26" t="str">
        <f aca="false">IF(AND(ISNUMBER(AQ20),ISNUMBER(AL20)),IFERROR(AQ20/AL20-1,""),"")</f>
        <v/>
      </c>
      <c r="AR21" s="26" t="str">
        <f aca="false">IF(AND(ISNUMBER(AR20),ISNUMBER(AM20)),IFERROR(AR20/AM20-1,""),"")</f>
        <v/>
      </c>
      <c r="AS21" s="26" t="str">
        <f aca="false">IF(AND(ISNUMBER(AS20),ISNUMBER(AN20)),IFERROR(AS20/AN20-1,""),"")</f>
        <v/>
      </c>
      <c r="AT21" s="26" t="str">
        <f aca="false">IF(AND(ISNUMBER(AT20),ISNUMBER(AO20)),IFERROR(AT20/AO20-1,""),"")</f>
        <v/>
      </c>
      <c r="AU21" s="26" t="str">
        <f aca="false">IF(AND(ISNUMBER(AU20),ISNUMBER(AP20)),IFERROR(AU20/AP20-1,""),"")</f>
        <v/>
      </c>
      <c r="AV21" s="26" t="str">
        <f aca="false">IF(AND(ISNUMBER(AV20),ISNUMBER(AQ20)),IFERROR(AV20/AQ20-1,""),"")</f>
        <v/>
      </c>
      <c r="AW21" s="26" t="str">
        <f aca="false">IF(AND(ISNUMBER(AW20),ISNUMBER(AR20)),IFERROR(AW20/AR20-1,""),"")</f>
        <v/>
      </c>
      <c r="AX21" s="26" t="str">
        <f aca="false">IF(AND(ISNUMBER(AX20),ISNUMBER(AS20)),IFERROR(AX20/AS20-1,""),"")</f>
        <v/>
      </c>
      <c r="AY21" s="26" t="str">
        <f aca="false">IF(AND(ISNUMBER(AY20),ISNUMBER(AT20)),IFERROR(AY20/AT20-1,""),"")</f>
        <v/>
      </c>
      <c r="AZ21" s="26" t="str">
        <f aca="false">IF(AND(ISNUMBER(AZ20),ISNUMBER(AU20)),IFERROR(AZ20/AU20-1,""),"")</f>
        <v/>
      </c>
      <c r="BA21" s="26" t="str">
        <f aca="false">IF(AND(ISNUMBER(BA20),ISNUMBER(AV20)),IFERROR(BA20/AV20-1,""),"")</f>
        <v/>
      </c>
      <c r="BB21" s="26" t="str">
        <f aca="false">IF(AND(ISNUMBER(BB20),ISNUMBER(AW20)),IFERROR(BB20/AW20-1,""),"")</f>
        <v/>
      </c>
      <c r="BC21" s="26" t="str">
        <f aca="false">IF(AND(ISNUMBER(BC20),ISNUMBER(AX20)),IFERROR(BC20/AX20-1,""),"")</f>
        <v/>
      </c>
      <c r="BD21" s="26" t="str">
        <f aca="false">IF(AND(ISNUMBER(BD20),ISNUMBER(AY20)),IFERROR(BD20/AY20-1,""),"")</f>
        <v/>
      </c>
      <c r="BE21" s="26" t="str">
        <f aca="false">IF(AND(ISNUMBER(BE20),ISNUMBER(AZ20)),IFERROR(BE20/AZ20-1,""),"")</f>
        <v/>
      </c>
      <c r="BF21" s="26" t="str">
        <f aca="false">IF(AND(ISNUMBER(BF20),ISNUMBER(BA20)),IFERROR(BF20/BA20-1,""),"")</f>
        <v/>
      </c>
      <c r="BG21" s="26" t="str">
        <f aca="false">IF(AND(ISNUMBER(BG20),ISNUMBER(BB20)),IFERROR(BG20/BB20-1,""),"")</f>
        <v/>
      </c>
      <c r="BH21" s="26" t="str">
        <f aca="false">IF(AND(ISNUMBER(BH20),ISNUMBER(BC20)),IFERROR(BH20/BC20-1,""),"")</f>
        <v/>
      </c>
      <c r="BI21" s="26" t="str">
        <f aca="false">IF(AND(ISNUMBER(BI20),ISNUMBER(BD20)),IFERROR(BI20/BD20-1,""),"")</f>
        <v/>
      </c>
      <c r="BJ21" s="26" t="str">
        <f aca="false">IF(AND(ISNUMBER(BJ20),ISNUMBER(BE20)),IFERROR(BJ20/BE20-1,""),"")</f>
        <v/>
      </c>
      <c r="BK21" s="26" t="str">
        <f aca="false">IF(AND(ISNUMBER(BK20),ISNUMBER(BF20)),IFERROR(BK20/BF20-1,""),"")</f>
        <v/>
      </c>
      <c r="BL21" s="26" t="str">
        <f aca="false">IF(AND(ISNUMBER(BL20),ISNUMBER(BG20)),IFERROR(BL20/BG20-1,""),"")</f>
        <v/>
      </c>
      <c r="BM21" s="26" t="n">
        <f aca="false">IF(AND(ISNUMBER(BM20),ISNUMBER(BH20)),IFERROR(BM20/BH20-1,""),"")</f>
        <v>0.0603448275862069</v>
      </c>
      <c r="BN21" s="26" t="n">
        <f aca="false">IF(AND(ISNUMBER(BN20),ISNUMBER(BI20)),IFERROR(BN20/BI20-1,""),"")</f>
        <v>0.050561797752809</v>
      </c>
      <c r="BO21" s="26" t="n">
        <f aca="false">IF(AND(ISNUMBER(BO20),ISNUMBER(BJ20)),IFERROR(BO20/BJ20-1,""),"")</f>
        <v>0.0382513661202186</v>
      </c>
      <c r="BP21" s="26" t="n">
        <f aca="false">IF(AND(ISNUMBER(BP20),ISNUMBER(BK20)),IFERROR(BP20/BK20-1,""),"")</f>
        <v>0.0482573726541555</v>
      </c>
      <c r="BQ21" s="26" t="n">
        <f aca="false">IF(AND(ISNUMBER(BQ20),ISNUMBER(BL20)),IFERROR(BQ20/BL20-1,""),"")</f>
        <v>0.0506969970178237</v>
      </c>
      <c r="BR21" s="26" t="n">
        <f aca="false">IF(AND(ISNUMBER(BR20),ISNUMBER(BM20)),IFERROR(BR20/BM20-1,""),"")</f>
        <v>0.10840108401084</v>
      </c>
      <c r="BS21" s="26" t="n">
        <f aca="false">IF(AND(ISNUMBER(BS20),ISNUMBER(BN20)),IFERROR(BS20/BN20-1,""),"")</f>
        <v>0.192513368983957</v>
      </c>
      <c r="BT21" s="26" t="n">
        <f aca="false">IF(AND(ISNUMBER(BT20),ISNUMBER(BO20)),IFERROR(BT20/BO20-1,""),"")</f>
        <v>0.213157894736842</v>
      </c>
      <c r="BU21" s="26" t="n">
        <f aca="false">IF(AND(ISNUMBER(BU20),ISNUMBER(BP20)),IFERROR(BU20/BP20-1,""),"")</f>
        <v>0.20460358056266</v>
      </c>
      <c r="BV21" s="26" t="n">
        <f aca="false">IF(AND(ISNUMBER(BV20),ISNUMBER(BQ20)),IFERROR(BV20/BQ20-1,""),"")</f>
        <v>0.17953795379538</v>
      </c>
      <c r="BW21" s="26" t="n">
        <f aca="false">IF(AND(ISNUMBER(BW20),ISNUMBER(BR20)),IFERROR(BW20/BR20-1,""),"")</f>
        <v>0.154034229828851</v>
      </c>
      <c r="BX21" s="26" t="n">
        <f aca="false">IF(AND(ISNUMBER(BX20),ISNUMBER(BS20)),IFERROR(BX20/BS20-1,""),"")</f>
        <v>0.0784753363228699</v>
      </c>
      <c r="BY21" s="27" t="n">
        <f aca="false">IF(AND(ISNUMBER(BY20),ISNUMBER(BT20)),IFERROR(BY20/BT20-1,""),"")</f>
        <v>0.0637555674225716</v>
      </c>
      <c r="BZ21" s="27" t="n">
        <f aca="false">IF(AND(ISNUMBER(BZ20),ISNUMBER(BU20)),IFERROR(BZ20/BU20-1,""),"")</f>
        <v>0.0615954908666281</v>
      </c>
      <c r="CA21" s="27" t="n">
        <f aca="false">IF(AND(ISNUMBER(CA20),ISNUMBER(BV20)),IFERROR(CA20/BV20-1,""),"")</f>
        <v>0.0875225477224328</v>
      </c>
      <c r="CB21" s="27" t="n">
        <f aca="false">IF(AND(ISNUMBER(CB20),ISNUMBER(CA20)),IFERROR(CB20/CA20-1,""),"")</f>
        <v>0.0908819516499761</v>
      </c>
      <c r="CC21" s="27" t="n">
        <f aca="false">IF(AND(ISNUMBER(CC20),ISNUMBER(CB20)),IFERROR(CC20/CB20-1,""),"")</f>
        <v>0.0893345983898097</v>
      </c>
      <c r="CD21" s="27" t="n">
        <f aca="false">IF(AND(ISNUMBER(CD20),ISNUMBER(CC20)),IFERROR(CD20/CC20-1,""),"")</f>
        <v>0.084143664836996</v>
      </c>
      <c r="CE21" s="27" t="n">
        <f aca="false">IF(AND(ISNUMBER(CE20),ISNUMBER(CD20)),IFERROR(CE20/CD20-1,""),"")</f>
        <v>0.078851185793221</v>
      </c>
      <c r="CF21" s="28"/>
      <c r="CN21" s="29" t="s">
        <v>117</v>
      </c>
      <c r="CO21" s="30"/>
      <c r="CP21" s="30" t="n">
        <v>77</v>
      </c>
      <c r="CQ21" s="30"/>
      <c r="CR21" s="14"/>
    </row>
    <row r="22" customFormat="false" ht="15" hidden="false" customHeight="true" outlineLevel="0" collapsed="false">
      <c r="B22" s="17" t="s">
        <v>118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9" t="n">
        <v>143</v>
      </c>
      <c r="BN22" s="19" t="n">
        <v>144</v>
      </c>
      <c r="BO22" s="19" t="n">
        <v>153</v>
      </c>
      <c r="BP22" s="19" t="n">
        <v>162</v>
      </c>
      <c r="BQ22" s="19" t="n">
        <v>602</v>
      </c>
      <c r="BR22" s="19" t="n">
        <v>151</v>
      </c>
      <c r="BS22" s="19" t="n">
        <v>161</v>
      </c>
      <c r="BT22" s="19" t="n">
        <v>183</v>
      </c>
      <c r="BU22" s="19" t="n">
        <v>177</v>
      </c>
      <c r="BV22" s="19" t="n">
        <v>672</v>
      </c>
      <c r="BW22" s="19" t="n">
        <v>161</v>
      </c>
      <c r="BX22" s="19" t="n">
        <v>172</v>
      </c>
      <c r="BY22" s="20" t="n">
        <f aca="false">BY20*BY24</f>
        <v>177.055184358393</v>
      </c>
      <c r="BZ22" s="20" t="n">
        <f aca="false">BZ20*BZ24</f>
        <v>169.944815641607</v>
      </c>
      <c r="CA22" s="20" t="n">
        <f aca="false">SUM(BW22,BX22,BY22,BZ22)</f>
        <v>680</v>
      </c>
      <c r="CB22" s="20" t="n">
        <f aca="false">CB20*CB24</f>
        <v>773.808406471894</v>
      </c>
      <c r="CC22" s="20" t="n">
        <f aca="false">CC20*CC24</f>
        <v>866.030414069917</v>
      </c>
      <c r="CD22" s="20" t="n">
        <f aca="false">CD20*CD24</f>
        <v>963.938757289263</v>
      </c>
      <c r="CE22" s="20" t="n">
        <f aca="false">CE20*CE24</f>
        <v>1066.95806799158</v>
      </c>
      <c r="CF22" s="21"/>
      <c r="CH22" s="22" t="n">
        <f aca="false">IFERROR((CE22/BV22)^(1/5)-1,"n/m")</f>
        <v>0.0968711549484898</v>
      </c>
      <c r="CI22" s="22" t="str">
        <f aca="false">IFERROR((BV22/AW22)^(1/5)-1,"n/m")</f>
        <v>n/m</v>
      </c>
      <c r="CJ22" s="22" t="str">
        <f aca="false">IFERROR((BV22/X22)^(1/10)-1,"n/m")</f>
        <v>n/m</v>
      </c>
      <c r="CK22" s="22" t="str">
        <f aca="false">IFERROR((BV22/C22)^(1/19)-1,"n/m")</f>
        <v>n/m</v>
      </c>
      <c r="CN22" s="29" t="s">
        <v>119</v>
      </c>
      <c r="CO22" s="30"/>
      <c r="CP22" s="30" t="n">
        <v>13</v>
      </c>
      <c r="CQ22" s="30"/>
      <c r="CR22" s="14" t="s">
        <v>120</v>
      </c>
    </row>
    <row r="23" customFormat="false" ht="15" hidden="false" customHeight="true" outlineLevel="0" collapsed="false">
      <c r="B23" s="29" t="s">
        <v>121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7" t="n">
        <f aca="false">BT24+(BW22+BX22)/(BW20+BX20)-(BR22+BS22)/(BR20+BS20)</f>
        <v>0.381473718073662</v>
      </c>
      <c r="BZ23" s="27" t="n">
        <f aca="false">BU24+(BW22+BX22)/(BW20+BX20)-(BR22+BS22)/(BR20+BS20)</f>
        <v>0.360306772773359</v>
      </c>
      <c r="CA23" s="27"/>
      <c r="CB23" s="27"/>
      <c r="CC23" s="27"/>
      <c r="CD23" s="27"/>
      <c r="CE23" s="27"/>
      <c r="CF23" s="28" t="s">
        <v>122</v>
      </c>
      <c r="CN23" s="29" t="s">
        <v>123</v>
      </c>
      <c r="CO23" s="30"/>
      <c r="CP23" s="30" t="n">
        <v>3</v>
      </c>
      <c r="CQ23" s="30"/>
      <c r="CR23" s="14"/>
    </row>
    <row r="24" customFormat="false" ht="15" hidden="false" customHeight="true" outlineLevel="0" collapsed="false">
      <c r="B24" s="29" t="s">
        <v>124</v>
      </c>
      <c r="C24" s="25" t="str">
        <f aca="false">IF(AND(ISNUMBER(C22),ISNUMBER(C20)),IFERROR(C22/C20,""),"")</f>
        <v/>
      </c>
      <c r="D24" s="25" t="str">
        <f aca="false">IF(AND(ISNUMBER(D22),ISNUMBER(D20)),IFERROR(D22/D20,""),"")</f>
        <v/>
      </c>
      <c r="E24" s="25" t="str">
        <f aca="false">IF(AND(ISNUMBER(E22),ISNUMBER(E20)),IFERROR(E22/E20,""),"")</f>
        <v/>
      </c>
      <c r="F24" s="25" t="str">
        <f aca="false">IF(AND(ISNUMBER(F22),ISNUMBER(F20)),IFERROR(F22/F20,""),"")</f>
        <v/>
      </c>
      <c r="G24" s="25" t="str">
        <f aca="false">IF(AND(ISNUMBER(G22),ISNUMBER(G20)),IFERROR(G22/G20,""),"")</f>
        <v/>
      </c>
      <c r="H24" s="25" t="str">
        <f aca="false">IF(AND(ISNUMBER(H22),ISNUMBER(H20)),IFERROR(H22/H20,""),"")</f>
        <v/>
      </c>
      <c r="I24" s="25" t="str">
        <f aca="false">IF(AND(ISNUMBER(I22),ISNUMBER(I20)),IFERROR(I22/I20,""),"")</f>
        <v/>
      </c>
      <c r="J24" s="25" t="str">
        <f aca="false">IF(AND(ISNUMBER(J22),ISNUMBER(J20)),IFERROR(J22/J20,""),"")</f>
        <v/>
      </c>
      <c r="K24" s="25" t="str">
        <f aca="false">IF(AND(ISNUMBER(K22),ISNUMBER(K20)),IFERROR(K22/K20,""),"")</f>
        <v/>
      </c>
      <c r="L24" s="25" t="str">
        <f aca="false">IF(AND(ISNUMBER(L22),ISNUMBER(L20)),IFERROR(L22/L20,""),"")</f>
        <v/>
      </c>
      <c r="M24" s="25" t="str">
        <f aca="false">IF(AND(ISNUMBER(M22),ISNUMBER(M20)),IFERROR(M22/M20,""),"")</f>
        <v/>
      </c>
      <c r="N24" s="25" t="str">
        <f aca="false">IF(AND(ISNUMBER(N22),ISNUMBER(N20)),IFERROR(N22/N20,""),"")</f>
        <v/>
      </c>
      <c r="O24" s="25" t="str">
        <f aca="false">IF(AND(ISNUMBER(O22),ISNUMBER(O20)),IFERROR(O22/O20,""),"")</f>
        <v/>
      </c>
      <c r="P24" s="25" t="str">
        <f aca="false">IF(AND(ISNUMBER(P22),ISNUMBER(P20)),IFERROR(P22/P20,""),"")</f>
        <v/>
      </c>
      <c r="Q24" s="25" t="str">
        <f aca="false">IF(AND(ISNUMBER(Q22),ISNUMBER(Q20)),IFERROR(Q22/Q20,""),"")</f>
        <v/>
      </c>
      <c r="R24" s="25" t="str">
        <f aca="false">IF(AND(ISNUMBER(R22),ISNUMBER(R20)),IFERROR(R22/R20,""),"")</f>
        <v/>
      </c>
      <c r="S24" s="25" t="str">
        <f aca="false">IF(AND(ISNUMBER(S22),ISNUMBER(S20)),IFERROR(S22/S20,""),"")</f>
        <v/>
      </c>
      <c r="T24" s="25" t="str">
        <f aca="false">IF(AND(ISNUMBER(T22),ISNUMBER(T20)),IFERROR(T22/T20,""),"")</f>
        <v/>
      </c>
      <c r="U24" s="25" t="str">
        <f aca="false">IF(AND(ISNUMBER(U22),ISNUMBER(U20)),IFERROR(U22/U20,""),"")</f>
        <v/>
      </c>
      <c r="V24" s="25" t="str">
        <f aca="false">IF(AND(ISNUMBER(V22),ISNUMBER(V20)),IFERROR(V22/V20,""),"")</f>
        <v/>
      </c>
      <c r="W24" s="25" t="str">
        <f aca="false">IF(AND(ISNUMBER(W22),ISNUMBER(W20)),IFERROR(W22/W20,""),"")</f>
        <v/>
      </c>
      <c r="X24" s="25" t="str">
        <f aca="false">IF(AND(ISNUMBER(X22),ISNUMBER(X20)),IFERROR(X22/X20,""),"")</f>
        <v/>
      </c>
      <c r="Y24" s="25" t="str">
        <f aca="false">IF(AND(ISNUMBER(Y22),ISNUMBER(Y20)),IFERROR(Y22/Y20,""),"")</f>
        <v/>
      </c>
      <c r="Z24" s="25" t="str">
        <f aca="false">IF(AND(ISNUMBER(Z22),ISNUMBER(Z20)),IFERROR(Z22/Z20,""),"")</f>
        <v/>
      </c>
      <c r="AA24" s="25" t="str">
        <f aca="false">IF(AND(ISNUMBER(AA22),ISNUMBER(AA20)),IFERROR(AA22/AA20,""),"")</f>
        <v/>
      </c>
      <c r="AB24" s="25" t="str">
        <f aca="false">IF(AND(ISNUMBER(AB22),ISNUMBER(AB20)),IFERROR(AB22/AB20,""),"")</f>
        <v/>
      </c>
      <c r="AC24" s="25" t="str">
        <f aca="false">IF(AND(ISNUMBER(AC22),ISNUMBER(AC20)),IFERROR(AC22/AC20,""),"")</f>
        <v/>
      </c>
      <c r="AD24" s="25" t="str">
        <f aca="false">IF(AND(ISNUMBER(AD22),ISNUMBER(AD20)),IFERROR(AD22/AD20,""),"")</f>
        <v/>
      </c>
      <c r="AE24" s="25" t="str">
        <f aca="false">IF(AND(ISNUMBER(AE22),ISNUMBER(AE20)),IFERROR(AE22/AE20,""),"")</f>
        <v/>
      </c>
      <c r="AF24" s="25" t="str">
        <f aca="false">IF(AND(ISNUMBER(AF22),ISNUMBER(AF20)),IFERROR(AF22/AF20,""),"")</f>
        <v/>
      </c>
      <c r="AG24" s="25" t="str">
        <f aca="false">IF(AND(ISNUMBER(AG22),ISNUMBER(AG20)),IFERROR(AG22/AG20,""),"")</f>
        <v/>
      </c>
      <c r="AH24" s="25" t="str">
        <f aca="false">IF(AND(ISNUMBER(AH22),ISNUMBER(AH20)),IFERROR(AH22/AH20,""),"")</f>
        <v/>
      </c>
      <c r="AI24" s="25" t="str">
        <f aca="false">IF(AND(ISNUMBER(AI22),ISNUMBER(AI20)),IFERROR(AI22/AI20,""),"")</f>
        <v/>
      </c>
      <c r="AJ24" s="25" t="str">
        <f aca="false">IF(AND(ISNUMBER(AJ22),ISNUMBER(AJ20)),IFERROR(AJ22/AJ20,""),"")</f>
        <v/>
      </c>
      <c r="AK24" s="25" t="str">
        <f aca="false">IF(AND(ISNUMBER(AK22),ISNUMBER(AK20)),IFERROR(AK22/AK20,""),"")</f>
        <v/>
      </c>
      <c r="AL24" s="25" t="str">
        <f aca="false">IF(AND(ISNUMBER(AL22),ISNUMBER(AL20)),IFERROR(AL22/AL20,""),"")</f>
        <v/>
      </c>
      <c r="AM24" s="25" t="str">
        <f aca="false">IF(AND(ISNUMBER(AM22),ISNUMBER(AM20)),IFERROR(AM22/AM20,""),"")</f>
        <v/>
      </c>
      <c r="AN24" s="25" t="str">
        <f aca="false">IF(AND(ISNUMBER(AN22),ISNUMBER(AN20)),IFERROR(AN22/AN20,""),"")</f>
        <v/>
      </c>
      <c r="AO24" s="25" t="str">
        <f aca="false">IF(AND(ISNUMBER(AO22),ISNUMBER(AO20)),IFERROR(AO22/AO20,""),"")</f>
        <v/>
      </c>
      <c r="AP24" s="25" t="str">
        <f aca="false">IF(AND(ISNUMBER(AP22),ISNUMBER(AP20)),IFERROR(AP22/AP20,""),"")</f>
        <v/>
      </c>
      <c r="AQ24" s="25" t="str">
        <f aca="false">IF(AND(ISNUMBER(AQ22),ISNUMBER(AQ20)),IFERROR(AQ22/AQ20,""),"")</f>
        <v/>
      </c>
      <c r="AR24" s="25" t="str">
        <f aca="false">IF(AND(ISNUMBER(AR22),ISNUMBER(AR20)),IFERROR(AR22/AR20,""),"")</f>
        <v/>
      </c>
      <c r="AS24" s="25" t="str">
        <f aca="false">IF(AND(ISNUMBER(AS22),ISNUMBER(AS20)),IFERROR(AS22/AS20,""),"")</f>
        <v/>
      </c>
      <c r="AT24" s="25" t="str">
        <f aca="false">IF(AND(ISNUMBER(AT22),ISNUMBER(AT20)),IFERROR(AT22/AT20,""),"")</f>
        <v/>
      </c>
      <c r="AU24" s="25" t="str">
        <f aca="false">IF(AND(ISNUMBER(AU22),ISNUMBER(AU20)),IFERROR(AU22/AU20,""),"")</f>
        <v/>
      </c>
      <c r="AV24" s="25" t="str">
        <f aca="false">IF(AND(ISNUMBER(AV22),ISNUMBER(AV20)),IFERROR(AV22/AV20,""),"")</f>
        <v/>
      </c>
      <c r="AW24" s="25" t="str">
        <f aca="false">IF(AND(ISNUMBER(AW22),ISNUMBER(AW20)),IFERROR(AW22/AW20,""),"")</f>
        <v/>
      </c>
      <c r="AX24" s="25" t="str">
        <f aca="false">IF(AND(ISNUMBER(AX22),ISNUMBER(AX20)),IFERROR(AX22/AX20,""),"")</f>
        <v/>
      </c>
      <c r="AY24" s="25" t="str">
        <f aca="false">IF(AND(ISNUMBER(AY22),ISNUMBER(AY20)),IFERROR(AY22/AY20,""),"")</f>
        <v/>
      </c>
      <c r="AZ24" s="25" t="str">
        <f aca="false">IF(AND(ISNUMBER(AZ22),ISNUMBER(AZ20)),IFERROR(AZ22/AZ20,""),"")</f>
        <v/>
      </c>
      <c r="BA24" s="25" t="str">
        <f aca="false">IF(AND(ISNUMBER(BA22),ISNUMBER(BA20)),IFERROR(BA22/BA20,""),"")</f>
        <v/>
      </c>
      <c r="BB24" s="25" t="str">
        <f aca="false">IF(AND(ISNUMBER(BB22),ISNUMBER(BB20)),IFERROR(BB22/BB20,""),"")</f>
        <v/>
      </c>
      <c r="BC24" s="25" t="str">
        <f aca="false">IF(AND(ISNUMBER(BC22),ISNUMBER(BC20)),IFERROR(BC22/BC20,""),"")</f>
        <v/>
      </c>
      <c r="BD24" s="25" t="str">
        <f aca="false">IF(AND(ISNUMBER(BD22),ISNUMBER(BD20)),IFERROR(BD22/BD20,""),"")</f>
        <v/>
      </c>
      <c r="BE24" s="25" t="str">
        <f aca="false">IF(AND(ISNUMBER(BE22),ISNUMBER(BE20)),IFERROR(BE22/BE20,""),"")</f>
        <v/>
      </c>
      <c r="BF24" s="25" t="str">
        <f aca="false">IF(AND(ISNUMBER(BF22),ISNUMBER(BF20)),IFERROR(BF22/BF20,""),"")</f>
        <v/>
      </c>
      <c r="BG24" s="25" t="str">
        <f aca="false">IF(AND(ISNUMBER(BG22),ISNUMBER(BG20)),IFERROR(BG22/BG20,""),"")</f>
        <v/>
      </c>
      <c r="BH24" s="25" t="str">
        <f aca="false">IF(AND(ISNUMBER(BH22),ISNUMBER(BH20)),IFERROR(BH22/BH20,""),"")</f>
        <v/>
      </c>
      <c r="BI24" s="25" t="str">
        <f aca="false">IF(AND(ISNUMBER(BI22),ISNUMBER(BI20)),IFERROR(BI22/BI20,""),"")</f>
        <v/>
      </c>
      <c r="BJ24" s="25" t="str">
        <f aca="false">IF(AND(ISNUMBER(BJ22),ISNUMBER(BJ20)),IFERROR(BJ22/BJ20,""),"")</f>
        <v/>
      </c>
      <c r="BK24" s="25" t="str">
        <f aca="false">IF(AND(ISNUMBER(BK22),ISNUMBER(BK20)),IFERROR(BK22/BK20,""),"")</f>
        <v/>
      </c>
      <c r="BL24" s="25" t="str">
        <f aca="false">IF(AND(ISNUMBER(BL22),ISNUMBER(BL20)),IFERROR(BL22/BL20,""),"")</f>
        <v/>
      </c>
      <c r="BM24" s="25" t="n">
        <f aca="false">IF(AND(ISNUMBER(BM22),ISNUMBER(BM20)),IFERROR(BM22/BM20,""),"")</f>
        <v>0.387533875338753</v>
      </c>
      <c r="BN24" s="25" t="n">
        <f aca="false">IF(AND(ISNUMBER(BN22),ISNUMBER(BN20)),IFERROR(BN22/BN20,""),"")</f>
        <v>0.385026737967914</v>
      </c>
      <c r="BO24" s="25" t="n">
        <f aca="false">IF(AND(ISNUMBER(BO22),ISNUMBER(BO20)),IFERROR(BO22/BO20,""),"")</f>
        <v>0.402631578947368</v>
      </c>
      <c r="BP24" s="25" t="n">
        <f aca="false">IF(AND(ISNUMBER(BP22),ISNUMBER(BP20)),IFERROR(BP22/BP20,""),"")</f>
        <v>0.414322250639386</v>
      </c>
      <c r="BQ24" s="25" t="n">
        <f aca="false">IF(AND(ISNUMBER(BQ22),ISNUMBER(BQ20)),IFERROR(BQ22/BQ20,""),"")</f>
        <v>0.397359735973597</v>
      </c>
      <c r="BR24" s="25" t="n">
        <f aca="false">IF(AND(ISNUMBER(BR22),ISNUMBER(BR20)),IFERROR(BR22/BR20,""),"")</f>
        <v>0.36919315403423</v>
      </c>
      <c r="BS24" s="25" t="n">
        <f aca="false">IF(AND(ISNUMBER(BS22),ISNUMBER(BS20)),IFERROR(BS22/BS20,""),"")</f>
        <v>0.360986547085202</v>
      </c>
      <c r="BT24" s="25" t="n">
        <f aca="false">IF(AND(ISNUMBER(BT22),ISNUMBER(BT20)),IFERROR(BT22/BT20,""),"")</f>
        <v>0.396963123644252</v>
      </c>
      <c r="BU24" s="25" t="n">
        <f aca="false">IF(AND(ISNUMBER(BU22),ISNUMBER(BU20)),IFERROR(BU22/BU20,""),"")</f>
        <v>0.375796178343949</v>
      </c>
      <c r="BV24" s="25" t="n">
        <f aca="false">IF(AND(ISNUMBER(BV22),ISNUMBER(BV20)),IFERROR(BV22/BV20,""),"")</f>
        <v>0.376049244543928</v>
      </c>
      <c r="BW24" s="25" t="n">
        <f aca="false">IF(AND(ISNUMBER(BW22),ISNUMBER(BW20)),IFERROR(BW22/BW20,""),"")</f>
        <v>0.341101694915254</v>
      </c>
      <c r="BX24" s="25" t="n">
        <f aca="false">IF(AND(ISNUMBER(BX22),ISNUMBER(BX20)),IFERROR(BX22/BX20,""),"")</f>
        <v>0.357588357588358</v>
      </c>
      <c r="BY24" s="27" t="n">
        <f aca="false">BY23+$BY97</f>
        <v>0.361048775481034</v>
      </c>
      <c r="BZ24" s="27" t="n">
        <f aca="false">BZ23+$BY97</f>
        <v>0.339881830180731</v>
      </c>
      <c r="CA24" s="27" t="n">
        <f aca="false">IF(AND(ISNUMBER(CA22),ISNUMBER(CA20)),IFERROR(CA22/CA20,""),"")</f>
        <v>0.349901730370202</v>
      </c>
      <c r="CB24" s="27" t="n">
        <f aca="false">CHOOSE(MATCH($CF$2,{"Bull","Base","Bear"},0),$CO$66,$CP$66,$CQ$66)</f>
        <v>0.365</v>
      </c>
      <c r="CC24" s="27" t="n">
        <f aca="false">CHOOSE(MATCH($CF$2,{"Bull","Base","Bear"},0),$CO$67,$CP$67,$CQ$67)</f>
        <v>0.375</v>
      </c>
      <c r="CD24" s="27" t="n">
        <f aca="false">CHOOSE(MATCH($CF$2,{"Bull","Base","Bear"},0),$CO$68,$CP$68,$CQ$68)</f>
        <v>0.385</v>
      </c>
      <c r="CE24" s="27" t="n">
        <f aca="false">CHOOSE(MATCH($CF$2,{"Bull","Base","Bear"},0),$CO$69,$CP$69,$CQ$69)</f>
        <v>0.395</v>
      </c>
      <c r="CF24" s="28" t="s">
        <v>125</v>
      </c>
      <c r="CH24" s="32" t="n">
        <f aca="false">IFERROR(AVERAGE(CA24,CB24,CC24,CD24,CE24),"n/m")</f>
        <v>0.37398034607404</v>
      </c>
      <c r="CI24" s="32" t="n">
        <f aca="false">IFERROR(AVERAGE(BB24,BG24,BL24,BQ24,BV24),"n/m")</f>
        <v>0.386704490258763</v>
      </c>
      <c r="CJ24" s="32" t="n">
        <f aca="false">IFERROR(AVERAGE(AC24,AH24,AM24,AR24,AW24,BB24,BG24,BL24,BQ24,BV24),"n/m")</f>
        <v>0.386704490258763</v>
      </c>
      <c r="CK24" s="32" t="n">
        <f aca="false">IFERROR(AVERAGE(C24,D24,E24,F24,G24,H24,I24,N24,S24,X24,AC24,AH24,AM24,AR24,AW24,BB24,BG24,BL24,BQ24,BV24),"n/m")</f>
        <v>0.386704490258763</v>
      </c>
      <c r="CN24" s="29" t="s">
        <v>126</v>
      </c>
      <c r="CO24" s="30"/>
      <c r="CP24" s="30" t="n">
        <v>92.5</v>
      </c>
      <c r="CQ24" s="30"/>
      <c r="CR24" s="14" t="s">
        <v>127</v>
      </c>
    </row>
    <row r="25" customFormat="false" ht="15" hidden="false" customHeight="true" outlineLevel="0" collapsed="false">
      <c r="B25" s="33" t="s">
        <v>128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5" t="n">
        <v>126</v>
      </c>
      <c r="BN25" s="35" t="n">
        <v>125</v>
      </c>
      <c r="BO25" s="35" t="n">
        <v>136</v>
      </c>
      <c r="BP25" s="35" t="n">
        <v>132</v>
      </c>
      <c r="BQ25" s="35" t="n">
        <v>519</v>
      </c>
      <c r="BR25" s="35" t="n">
        <v>103</v>
      </c>
      <c r="BS25" s="35" t="n">
        <v>118</v>
      </c>
      <c r="BT25" s="35" t="n">
        <v>114</v>
      </c>
      <c r="BU25" s="35" t="n">
        <v>145</v>
      </c>
      <c r="BV25" s="35" t="n">
        <v>480</v>
      </c>
      <c r="BW25" s="35" t="n">
        <v>127</v>
      </c>
      <c r="BX25" s="35" t="n">
        <v>162</v>
      </c>
      <c r="BY25" s="36"/>
      <c r="BZ25" s="36"/>
      <c r="CA25" s="36"/>
      <c r="CB25" s="36"/>
      <c r="CC25" s="36"/>
      <c r="CD25" s="36"/>
      <c r="CE25" s="36"/>
      <c r="CF25" s="28"/>
      <c r="CN25" s="29" t="s">
        <v>129</v>
      </c>
      <c r="CO25" s="37"/>
      <c r="CP25" s="38" t="n">
        <f aca="false">CP24/(CP14+CP24)</f>
        <v>0.284615384615385</v>
      </c>
      <c r="CQ25" s="37"/>
      <c r="CR25" s="14" t="s">
        <v>130</v>
      </c>
    </row>
    <row r="26" customFormat="false" ht="15" hidden="false" customHeight="false" outlineLevel="0" collapsed="false">
      <c r="CN26" s="29" t="s">
        <v>131</v>
      </c>
      <c r="CO26" s="30"/>
      <c r="CP26" s="30" t="n">
        <v>15</v>
      </c>
      <c r="CQ26" s="30"/>
      <c r="CR26" s="14" t="s">
        <v>132</v>
      </c>
    </row>
    <row r="27" customFormat="false" ht="15" hidden="false" customHeight="true" outlineLevel="0" collapsed="false">
      <c r="B27" s="15" t="s">
        <v>133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6" t="s">
        <v>134</v>
      </c>
      <c r="CN27" s="29" t="s">
        <v>135</v>
      </c>
      <c r="CO27" s="30"/>
      <c r="CP27" s="30" t="n">
        <v>4</v>
      </c>
      <c r="CQ27" s="30"/>
      <c r="CR27" s="14"/>
    </row>
    <row r="28" customFormat="false" ht="15" hidden="false" customHeight="true" outlineLevel="0" collapsed="false">
      <c r="B28" s="17" t="s">
        <v>136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9" t="n">
        <v>236</v>
      </c>
      <c r="BI28" s="19" t="n">
        <v>250</v>
      </c>
      <c r="BJ28" s="19" t="n">
        <v>259</v>
      </c>
      <c r="BK28" s="19" t="n">
        <v>267</v>
      </c>
      <c r="BL28" s="18" t="n">
        <f aca="false">SUM(BH28,BI28,BJ28,BK28)</f>
        <v>1012</v>
      </c>
      <c r="BM28" s="19" t="n">
        <v>287</v>
      </c>
      <c r="BN28" s="19" t="n">
        <v>304</v>
      </c>
      <c r="BO28" s="19" t="n">
        <v>313</v>
      </c>
      <c r="BP28" s="19" t="n">
        <v>318</v>
      </c>
      <c r="BQ28" s="19" t="n">
        <v>1221</v>
      </c>
      <c r="BR28" s="19" t="n">
        <v>323</v>
      </c>
      <c r="BS28" s="19" t="n">
        <v>335</v>
      </c>
      <c r="BT28" s="19" t="n">
        <v>373</v>
      </c>
      <c r="BU28" s="19" t="n">
        <v>429</v>
      </c>
      <c r="BV28" s="19" t="n">
        <v>1460</v>
      </c>
      <c r="BW28" s="19" t="n">
        <v>425</v>
      </c>
      <c r="BX28" s="19" t="n">
        <v>444</v>
      </c>
      <c r="BY28" s="20" t="n">
        <f aca="false">BX28*(1+BY30+BY92)</f>
        <v>455.486082959927</v>
      </c>
      <c r="BZ28" s="20" t="n">
        <f aca="false">BX28*((1+BZ30)^2+2*BZ92)</f>
        <v>467.111124260086</v>
      </c>
      <c r="CA28" s="20" t="n">
        <f aca="false">SUM(BW28,BX28,BY28,BZ28)</f>
        <v>1791.59720722001</v>
      </c>
      <c r="CB28" s="20" t="n">
        <f aca="false">CA28*(1+CB29)</f>
        <v>2006.58887208641</v>
      </c>
      <c r="CC28" s="20" t="n">
        <f aca="false">CB28*(1+CC29)</f>
        <v>2227.31364801592</v>
      </c>
      <c r="CD28" s="20" t="n">
        <f aca="false">CC28*(1+CD29)</f>
        <v>2450.04501281751</v>
      </c>
      <c r="CE28" s="20" t="n">
        <f aca="false">CD28*(1+CE29)</f>
        <v>2670.54906397109</v>
      </c>
      <c r="CF28" s="21" t="s">
        <v>137</v>
      </c>
      <c r="CH28" s="22" t="n">
        <f aca="false">IFERROR((CE28/BV28)^(1/5)-1,"n/m")</f>
        <v>0.128364829845415</v>
      </c>
      <c r="CI28" s="22" t="str">
        <f aca="false">IFERROR((BV28/AW28)^(1/5)-1,"n/m")</f>
        <v>n/m</v>
      </c>
      <c r="CJ28" s="22" t="str">
        <f aca="false">IFERROR((BV28/X28)^(1/10)-1,"n/m")</f>
        <v>n/m</v>
      </c>
      <c r="CK28" s="22" t="str">
        <f aca="false">IFERROR((BV28/C28)^(1/19)-1,"n/m")</f>
        <v>n/m</v>
      </c>
      <c r="CN28" s="29" t="s">
        <v>138</v>
      </c>
      <c r="CO28" s="30"/>
      <c r="CP28" s="30" t="n">
        <v>-18</v>
      </c>
      <c r="CQ28" s="30"/>
      <c r="CR28" s="14" t="s">
        <v>139</v>
      </c>
    </row>
    <row r="29" customFormat="false" ht="15" hidden="false" customHeight="true" outlineLevel="0" collapsed="false">
      <c r="B29" s="24" t="s">
        <v>92</v>
      </c>
      <c r="C29" s="25"/>
      <c r="D29" s="26" t="str">
        <f aca="false">IF(AND(ISNUMBER(D28),ISNUMBER(C28)),IFERROR(D28/C28-1,""),"")</f>
        <v/>
      </c>
      <c r="E29" s="26" t="str">
        <f aca="false">IF(AND(ISNUMBER(E28),ISNUMBER(D28)),IFERROR(E28/D28-1,""),"")</f>
        <v/>
      </c>
      <c r="F29" s="26" t="str">
        <f aca="false">IF(AND(ISNUMBER(F28),ISNUMBER(E28)),IFERROR(F28/E28-1,""),"")</f>
        <v/>
      </c>
      <c r="G29" s="26" t="str">
        <f aca="false">IF(AND(ISNUMBER(G28),ISNUMBER(F28)),IFERROR(G28/F28-1,""),"")</f>
        <v/>
      </c>
      <c r="H29" s="26" t="str">
        <f aca="false">IF(AND(ISNUMBER(H28),ISNUMBER(G28)),IFERROR(H28/G28-1,""),"")</f>
        <v/>
      </c>
      <c r="I29" s="26" t="str">
        <f aca="false">IF(AND(ISNUMBER(I28),ISNUMBER(H28)),IFERROR(I28/H28-1,""),"")</f>
        <v/>
      </c>
      <c r="J29" s="25"/>
      <c r="K29" s="25"/>
      <c r="L29" s="25"/>
      <c r="M29" s="25"/>
      <c r="N29" s="26" t="str">
        <f aca="false">IF(AND(ISNUMBER(N28),ISNUMBER(I28)),IFERROR(N28/I28-1,""),"")</f>
        <v/>
      </c>
      <c r="O29" s="26" t="str">
        <f aca="false">IF(AND(ISNUMBER(O28),ISNUMBER(J28)),IFERROR(O28/J28-1,""),"")</f>
        <v/>
      </c>
      <c r="P29" s="26" t="str">
        <f aca="false">IF(AND(ISNUMBER(P28),ISNUMBER(K28)),IFERROR(P28/K28-1,""),"")</f>
        <v/>
      </c>
      <c r="Q29" s="26" t="str">
        <f aca="false">IF(AND(ISNUMBER(Q28),ISNUMBER(L28)),IFERROR(Q28/L28-1,""),"")</f>
        <v/>
      </c>
      <c r="R29" s="26" t="str">
        <f aca="false">IF(AND(ISNUMBER(R28),ISNUMBER(M28)),IFERROR(R28/M28-1,""),"")</f>
        <v/>
      </c>
      <c r="S29" s="26" t="str">
        <f aca="false">IF(AND(ISNUMBER(S28),ISNUMBER(N28)),IFERROR(S28/N28-1,""),"")</f>
        <v/>
      </c>
      <c r="T29" s="26" t="str">
        <f aca="false">IF(AND(ISNUMBER(T28),ISNUMBER(O28)),IFERROR(T28/O28-1,""),"")</f>
        <v/>
      </c>
      <c r="U29" s="26" t="str">
        <f aca="false">IF(AND(ISNUMBER(U28),ISNUMBER(P28)),IFERROR(U28/P28-1,""),"")</f>
        <v/>
      </c>
      <c r="V29" s="26" t="str">
        <f aca="false">IF(AND(ISNUMBER(V28),ISNUMBER(Q28)),IFERROR(V28/Q28-1,""),"")</f>
        <v/>
      </c>
      <c r="W29" s="26" t="str">
        <f aca="false">IF(AND(ISNUMBER(W28),ISNUMBER(R28)),IFERROR(W28/R28-1,""),"")</f>
        <v/>
      </c>
      <c r="X29" s="26" t="str">
        <f aca="false">IF(AND(ISNUMBER(X28),ISNUMBER(S28)),IFERROR(X28/S28-1,""),"")</f>
        <v/>
      </c>
      <c r="Y29" s="26" t="str">
        <f aca="false">IF(AND(ISNUMBER(Y28),ISNUMBER(T28)),IFERROR(Y28/T28-1,""),"")</f>
        <v/>
      </c>
      <c r="Z29" s="26" t="str">
        <f aca="false">IF(AND(ISNUMBER(Z28),ISNUMBER(U28)),IFERROR(Z28/U28-1,""),"")</f>
        <v/>
      </c>
      <c r="AA29" s="26" t="str">
        <f aca="false">IF(AND(ISNUMBER(AA28),ISNUMBER(V28)),IFERROR(AA28/V28-1,""),"")</f>
        <v/>
      </c>
      <c r="AB29" s="26" t="str">
        <f aca="false">IF(AND(ISNUMBER(AB28),ISNUMBER(W28)),IFERROR(AB28/W28-1,""),"")</f>
        <v/>
      </c>
      <c r="AC29" s="26" t="str">
        <f aca="false">IF(AND(ISNUMBER(AC28),ISNUMBER(X28)),IFERROR(AC28/X28-1,""),"")</f>
        <v/>
      </c>
      <c r="AD29" s="26" t="str">
        <f aca="false">IF(AND(ISNUMBER(AD28),ISNUMBER(Y28)),IFERROR(AD28/Y28-1,""),"")</f>
        <v/>
      </c>
      <c r="AE29" s="26" t="str">
        <f aca="false">IF(AND(ISNUMBER(AE28),ISNUMBER(Z28)),IFERROR(AE28/Z28-1,""),"")</f>
        <v/>
      </c>
      <c r="AF29" s="26" t="str">
        <f aca="false">IF(AND(ISNUMBER(AF28),ISNUMBER(AA28)),IFERROR(AF28/AA28-1,""),"")</f>
        <v/>
      </c>
      <c r="AG29" s="26" t="str">
        <f aca="false">IF(AND(ISNUMBER(AG28),ISNUMBER(AB28)),IFERROR(AG28/AB28-1,""),"")</f>
        <v/>
      </c>
      <c r="AH29" s="26" t="str">
        <f aca="false">IF(AND(ISNUMBER(AH28),ISNUMBER(AC28)),IFERROR(AH28/AC28-1,""),"")</f>
        <v/>
      </c>
      <c r="AI29" s="26" t="str">
        <f aca="false">IF(AND(ISNUMBER(AI28),ISNUMBER(AD28)),IFERROR(AI28/AD28-1,""),"")</f>
        <v/>
      </c>
      <c r="AJ29" s="26" t="str">
        <f aca="false">IF(AND(ISNUMBER(AJ28),ISNUMBER(AE28)),IFERROR(AJ28/AE28-1,""),"")</f>
        <v/>
      </c>
      <c r="AK29" s="26" t="str">
        <f aca="false">IF(AND(ISNUMBER(AK28),ISNUMBER(AF28)),IFERROR(AK28/AF28-1,""),"")</f>
        <v/>
      </c>
      <c r="AL29" s="26" t="str">
        <f aca="false">IF(AND(ISNUMBER(AL28),ISNUMBER(AG28)),IFERROR(AL28/AG28-1,""),"")</f>
        <v/>
      </c>
      <c r="AM29" s="26" t="str">
        <f aca="false">IF(AND(ISNUMBER(AM28),ISNUMBER(AH28)),IFERROR(AM28/AH28-1,""),"")</f>
        <v/>
      </c>
      <c r="AN29" s="26" t="str">
        <f aca="false">IF(AND(ISNUMBER(AN28),ISNUMBER(AI28)),IFERROR(AN28/AI28-1,""),"")</f>
        <v/>
      </c>
      <c r="AO29" s="26" t="str">
        <f aca="false">IF(AND(ISNUMBER(AO28),ISNUMBER(AJ28)),IFERROR(AO28/AJ28-1,""),"")</f>
        <v/>
      </c>
      <c r="AP29" s="26" t="str">
        <f aca="false">IF(AND(ISNUMBER(AP28),ISNUMBER(AK28)),IFERROR(AP28/AK28-1,""),"")</f>
        <v/>
      </c>
      <c r="AQ29" s="26" t="str">
        <f aca="false">IF(AND(ISNUMBER(AQ28),ISNUMBER(AL28)),IFERROR(AQ28/AL28-1,""),"")</f>
        <v/>
      </c>
      <c r="AR29" s="26" t="str">
        <f aca="false">IF(AND(ISNUMBER(AR28),ISNUMBER(AM28)),IFERROR(AR28/AM28-1,""),"")</f>
        <v/>
      </c>
      <c r="AS29" s="26" t="str">
        <f aca="false">IF(AND(ISNUMBER(AS28),ISNUMBER(AN28)),IFERROR(AS28/AN28-1,""),"")</f>
        <v/>
      </c>
      <c r="AT29" s="26" t="str">
        <f aca="false">IF(AND(ISNUMBER(AT28),ISNUMBER(AO28)),IFERROR(AT28/AO28-1,""),"")</f>
        <v/>
      </c>
      <c r="AU29" s="26" t="str">
        <f aca="false">IF(AND(ISNUMBER(AU28),ISNUMBER(AP28)),IFERROR(AU28/AP28-1,""),"")</f>
        <v/>
      </c>
      <c r="AV29" s="26" t="str">
        <f aca="false">IF(AND(ISNUMBER(AV28),ISNUMBER(AQ28)),IFERROR(AV28/AQ28-1,""),"")</f>
        <v/>
      </c>
      <c r="AW29" s="26" t="str">
        <f aca="false">IF(AND(ISNUMBER(AW28),ISNUMBER(AR28)),IFERROR(AW28/AR28-1,""),"")</f>
        <v/>
      </c>
      <c r="AX29" s="26" t="str">
        <f aca="false">IF(AND(ISNUMBER(AX28),ISNUMBER(AS28)),IFERROR(AX28/AS28-1,""),"")</f>
        <v/>
      </c>
      <c r="AY29" s="26" t="str">
        <f aca="false">IF(AND(ISNUMBER(AY28),ISNUMBER(AT28)),IFERROR(AY28/AT28-1,""),"")</f>
        <v/>
      </c>
      <c r="AZ29" s="26" t="str">
        <f aca="false">IF(AND(ISNUMBER(AZ28),ISNUMBER(AU28)),IFERROR(AZ28/AU28-1,""),"")</f>
        <v/>
      </c>
      <c r="BA29" s="26" t="str">
        <f aca="false">IF(AND(ISNUMBER(BA28),ISNUMBER(AV28)),IFERROR(BA28/AV28-1,""),"")</f>
        <v/>
      </c>
      <c r="BB29" s="26" t="str">
        <f aca="false">IF(AND(ISNUMBER(BB28),ISNUMBER(AW28)),IFERROR(BB28/AW28-1,""),"")</f>
        <v/>
      </c>
      <c r="BC29" s="26" t="str">
        <f aca="false">IF(AND(ISNUMBER(BC28),ISNUMBER(AX28)),IFERROR(BC28/AX28-1,""),"")</f>
        <v/>
      </c>
      <c r="BD29" s="26" t="str">
        <f aca="false">IF(AND(ISNUMBER(BD28),ISNUMBER(AY28)),IFERROR(BD28/AY28-1,""),"")</f>
        <v/>
      </c>
      <c r="BE29" s="26" t="str">
        <f aca="false">IF(AND(ISNUMBER(BE28),ISNUMBER(AZ28)),IFERROR(BE28/AZ28-1,""),"")</f>
        <v/>
      </c>
      <c r="BF29" s="26" t="str">
        <f aca="false">IF(AND(ISNUMBER(BF28),ISNUMBER(BA28)),IFERROR(BF28/BA28-1,""),"")</f>
        <v/>
      </c>
      <c r="BG29" s="26" t="str">
        <f aca="false">IF(AND(ISNUMBER(BG28),ISNUMBER(BB28)),IFERROR(BG28/BB28-1,""),"")</f>
        <v/>
      </c>
      <c r="BH29" s="26" t="str">
        <f aca="false">IF(AND(ISNUMBER(BH28),ISNUMBER(BC28)),IFERROR(BH28/BC28-1,""),"")</f>
        <v/>
      </c>
      <c r="BI29" s="26" t="str">
        <f aca="false">IF(AND(ISNUMBER(BI28),ISNUMBER(BD28)),IFERROR(BI28/BD28-1,""),"")</f>
        <v/>
      </c>
      <c r="BJ29" s="26" t="str">
        <f aca="false">IF(AND(ISNUMBER(BJ28),ISNUMBER(BE28)),IFERROR(BJ28/BE28-1,""),"")</f>
        <v/>
      </c>
      <c r="BK29" s="26" t="str">
        <f aca="false">IF(AND(ISNUMBER(BK28),ISNUMBER(BF28)),IFERROR(BK28/BF28-1,""),"")</f>
        <v/>
      </c>
      <c r="BL29" s="26" t="str">
        <f aca="false">IF(AND(ISNUMBER(BL28),ISNUMBER(BG28)),IFERROR(BL28/BG28-1,""),"")</f>
        <v/>
      </c>
      <c r="BM29" s="26" t="n">
        <f aca="false">IF(AND(ISNUMBER(BM28),ISNUMBER(BH28)),IFERROR(BM28/BH28-1,""),"")</f>
        <v>0.216101694915254</v>
      </c>
      <c r="BN29" s="26" t="n">
        <f aca="false">IF(AND(ISNUMBER(BN28),ISNUMBER(BI28)),IFERROR(BN28/BI28-1,""),"")</f>
        <v>0.216</v>
      </c>
      <c r="BO29" s="26" t="n">
        <f aca="false">IF(AND(ISNUMBER(BO28),ISNUMBER(BJ28)),IFERROR(BO28/BJ28-1,""),"")</f>
        <v>0.208494208494209</v>
      </c>
      <c r="BP29" s="26" t="n">
        <f aca="false">IF(AND(ISNUMBER(BP28),ISNUMBER(BK28)),IFERROR(BP28/BK28-1,""),"")</f>
        <v>0.191011235955056</v>
      </c>
      <c r="BQ29" s="26" t="n">
        <f aca="false">IF(AND(ISNUMBER(BQ28),ISNUMBER(BL28)),IFERROR(BQ28/BL28-1,""),"")</f>
        <v>0.206521739130435</v>
      </c>
      <c r="BR29" s="26" t="n">
        <f aca="false">IF(AND(ISNUMBER(BR28),ISNUMBER(BM28)),IFERROR(BR28/BM28-1,""),"")</f>
        <v>0.125435540069687</v>
      </c>
      <c r="BS29" s="26" t="n">
        <f aca="false">IF(AND(ISNUMBER(BS28),ISNUMBER(BN28)),IFERROR(BS28/BN28-1,""),"")</f>
        <v>0.101973684210526</v>
      </c>
      <c r="BT29" s="26" t="n">
        <f aca="false">IF(AND(ISNUMBER(BT28),ISNUMBER(BO28)),IFERROR(BT28/BO28-1,""),"")</f>
        <v>0.191693290734824</v>
      </c>
      <c r="BU29" s="26" t="n">
        <f aca="false">IF(AND(ISNUMBER(BU28),ISNUMBER(BP28)),IFERROR(BU28/BP28-1,""),"")</f>
        <v>0.349056603773585</v>
      </c>
      <c r="BV29" s="26" t="n">
        <f aca="false">IF(AND(ISNUMBER(BV28),ISNUMBER(BQ28)),IFERROR(BV28/BQ28-1,""),"")</f>
        <v>0.195741195741196</v>
      </c>
      <c r="BW29" s="26" t="n">
        <f aca="false">IF(AND(ISNUMBER(BW28),ISNUMBER(BR28)),IFERROR(BW28/BR28-1,""),"")</f>
        <v>0.315789473684211</v>
      </c>
      <c r="BX29" s="26" t="n">
        <f aca="false">IF(AND(ISNUMBER(BX28),ISNUMBER(BS28)),IFERROR(BX28/BS28-1,""),"")</f>
        <v>0.325373134328358</v>
      </c>
      <c r="BY29" s="27" t="n">
        <f aca="false">IF(AND(ISNUMBER(BY28),ISNUMBER(BT28)),IFERROR(BY28/BT28-1,""),"")</f>
        <v>0.221142313565487</v>
      </c>
      <c r="BZ29" s="27" t="n">
        <f aca="false">IF(AND(ISNUMBER(BZ28),ISNUMBER(BU28)),IFERROR(BZ28/BU28-1,""),"")</f>
        <v>0.0888371194873803</v>
      </c>
      <c r="CA29" s="27" t="n">
        <f aca="false">IFERROR(CA28/BV28-1,"")</f>
        <v>0.227121374808228</v>
      </c>
      <c r="CB29" s="27" t="n">
        <f aca="false">CHOOSE(MATCH($CF$2,{"Bull","Base","Bear"},0),$CO$61,$CP$61,$CQ$61)</f>
        <v>0.12</v>
      </c>
      <c r="CC29" s="27" t="n">
        <f aca="false">CHOOSE(MATCH($CF$2,{"Bull","Base","Bear"},0),$CO$62,$CP$62,$CQ$62)</f>
        <v>0.11</v>
      </c>
      <c r="CD29" s="27" t="n">
        <f aca="false">CHOOSE(MATCH($CF$2,{"Bull","Base","Bear"},0),$CO$63,$CP$63,$CQ$63)</f>
        <v>0.1</v>
      </c>
      <c r="CE29" s="27" t="n">
        <f aca="false">CHOOSE(MATCH($CF$2,{"Bull","Base","Bear"},0),$CO$64,$CP$64,$CQ$64)</f>
        <v>0.09</v>
      </c>
      <c r="CF29" s="28"/>
      <c r="CN29" s="29" t="s">
        <v>140</v>
      </c>
      <c r="CO29" s="39"/>
      <c r="CP29" s="39" t="n">
        <v>405</v>
      </c>
      <c r="CQ29" s="39"/>
      <c r="CR29" s="14"/>
    </row>
    <row r="30" customFormat="false" ht="15" hidden="false" customHeight="true" outlineLevel="0" collapsed="false">
      <c r="B30" s="24" t="s">
        <v>96</v>
      </c>
      <c r="C30" s="25"/>
      <c r="D30" s="25"/>
      <c r="E30" s="25"/>
      <c r="F30" s="25"/>
      <c r="G30" s="25"/>
      <c r="H30" s="25"/>
      <c r="I30" s="25"/>
      <c r="J30" s="25"/>
      <c r="K30" s="26" t="str">
        <f aca="false">IF(AND(ISNUMBER(K28),ISNUMBER(J28)),IFERROR(K28/J28-1,""),"")</f>
        <v/>
      </c>
      <c r="L30" s="26" t="str">
        <f aca="false">IF(AND(ISNUMBER(L28),ISNUMBER(K28)),IFERROR(L28/K28-1,""),"")</f>
        <v/>
      </c>
      <c r="M30" s="26" t="str">
        <f aca="false">IF(AND(ISNUMBER(M28),ISNUMBER(L28)),IFERROR(M28/L28-1,""),"")</f>
        <v/>
      </c>
      <c r="N30" s="25"/>
      <c r="O30" s="26" t="str">
        <f aca="false">IF(AND(ISNUMBER(O28),ISNUMBER(M28)),IFERROR(O28/M28-1,""),"")</f>
        <v/>
      </c>
      <c r="P30" s="26" t="str">
        <f aca="false">IF(AND(ISNUMBER(P28),ISNUMBER(O28)),IFERROR(P28/O28-1,""),"")</f>
        <v/>
      </c>
      <c r="Q30" s="26" t="str">
        <f aca="false">IF(AND(ISNUMBER(Q28),ISNUMBER(P28)),IFERROR(Q28/P28-1,""),"")</f>
        <v/>
      </c>
      <c r="R30" s="26" t="str">
        <f aca="false">IF(AND(ISNUMBER(R28),ISNUMBER(Q28)),IFERROR(R28/Q28-1,""),"")</f>
        <v/>
      </c>
      <c r="S30" s="25"/>
      <c r="T30" s="26" t="str">
        <f aca="false">IF(AND(ISNUMBER(T28),ISNUMBER(R28)),IFERROR(T28/R28-1,""),"")</f>
        <v/>
      </c>
      <c r="U30" s="26" t="str">
        <f aca="false">IF(AND(ISNUMBER(U28),ISNUMBER(T28)),IFERROR(U28/T28-1,""),"")</f>
        <v/>
      </c>
      <c r="V30" s="26" t="str">
        <f aca="false">IF(AND(ISNUMBER(V28),ISNUMBER(U28)),IFERROR(V28/U28-1,""),"")</f>
        <v/>
      </c>
      <c r="W30" s="26" t="str">
        <f aca="false">IF(AND(ISNUMBER(W28),ISNUMBER(V28)),IFERROR(W28/V28-1,""),"")</f>
        <v/>
      </c>
      <c r="X30" s="25"/>
      <c r="Y30" s="26" t="str">
        <f aca="false">IF(AND(ISNUMBER(Y28),ISNUMBER(W28)),IFERROR(Y28/W28-1,""),"")</f>
        <v/>
      </c>
      <c r="Z30" s="26" t="str">
        <f aca="false">IF(AND(ISNUMBER(Z28),ISNUMBER(Y28)),IFERROR(Z28/Y28-1,""),"")</f>
        <v/>
      </c>
      <c r="AA30" s="26" t="str">
        <f aca="false">IF(AND(ISNUMBER(AA28),ISNUMBER(Z28)),IFERROR(AA28/Z28-1,""),"")</f>
        <v/>
      </c>
      <c r="AB30" s="26" t="str">
        <f aca="false">IF(AND(ISNUMBER(AB28),ISNUMBER(AA28)),IFERROR(AB28/AA28-1,""),"")</f>
        <v/>
      </c>
      <c r="AC30" s="25"/>
      <c r="AD30" s="26" t="str">
        <f aca="false">IF(AND(ISNUMBER(AD28),ISNUMBER(AB28)),IFERROR(AD28/AB28-1,""),"")</f>
        <v/>
      </c>
      <c r="AE30" s="26" t="str">
        <f aca="false">IF(AND(ISNUMBER(AE28),ISNUMBER(AD28)),IFERROR(AE28/AD28-1,""),"")</f>
        <v/>
      </c>
      <c r="AF30" s="26" t="str">
        <f aca="false">IF(AND(ISNUMBER(AF28),ISNUMBER(AE28)),IFERROR(AF28/AE28-1,""),"")</f>
        <v/>
      </c>
      <c r="AG30" s="26" t="str">
        <f aca="false">IF(AND(ISNUMBER(AG28),ISNUMBER(AF28)),IFERROR(AG28/AF28-1,""),"")</f>
        <v/>
      </c>
      <c r="AH30" s="25"/>
      <c r="AI30" s="26" t="str">
        <f aca="false">IF(AND(ISNUMBER(AI28),ISNUMBER(AG28)),IFERROR(AI28/AG28-1,""),"")</f>
        <v/>
      </c>
      <c r="AJ30" s="26" t="str">
        <f aca="false">IF(AND(ISNUMBER(AJ28),ISNUMBER(AI28)),IFERROR(AJ28/AI28-1,""),"")</f>
        <v/>
      </c>
      <c r="AK30" s="26" t="str">
        <f aca="false">IF(AND(ISNUMBER(AK28),ISNUMBER(AJ28)),IFERROR(AK28/AJ28-1,""),"")</f>
        <v/>
      </c>
      <c r="AL30" s="26" t="str">
        <f aca="false">IF(AND(ISNUMBER(AL28),ISNUMBER(AK28)),IFERROR(AL28/AK28-1,""),"")</f>
        <v/>
      </c>
      <c r="AM30" s="25"/>
      <c r="AN30" s="26" t="str">
        <f aca="false">IF(AND(ISNUMBER(AN28),ISNUMBER(AL28)),IFERROR(AN28/AL28-1,""),"")</f>
        <v/>
      </c>
      <c r="AO30" s="26" t="str">
        <f aca="false">IF(AND(ISNUMBER(AO28),ISNUMBER(AN28)),IFERROR(AO28/AN28-1,""),"")</f>
        <v/>
      </c>
      <c r="AP30" s="26" t="str">
        <f aca="false">IF(AND(ISNUMBER(AP28),ISNUMBER(AO28)),IFERROR(AP28/AO28-1,""),"")</f>
        <v/>
      </c>
      <c r="AQ30" s="26" t="str">
        <f aca="false">IF(AND(ISNUMBER(AQ28),ISNUMBER(AP28)),IFERROR(AQ28/AP28-1,""),"")</f>
        <v/>
      </c>
      <c r="AR30" s="25"/>
      <c r="AS30" s="26" t="str">
        <f aca="false">IF(AND(ISNUMBER(AS28),ISNUMBER(AQ28)),IFERROR(AS28/AQ28-1,""),"")</f>
        <v/>
      </c>
      <c r="AT30" s="26" t="str">
        <f aca="false">IF(AND(ISNUMBER(AT28),ISNUMBER(AS28)),IFERROR(AT28/AS28-1,""),"")</f>
        <v/>
      </c>
      <c r="AU30" s="26" t="str">
        <f aca="false">IF(AND(ISNUMBER(AU28),ISNUMBER(AT28)),IFERROR(AU28/AT28-1,""),"")</f>
        <v/>
      </c>
      <c r="AV30" s="26" t="str">
        <f aca="false">IF(AND(ISNUMBER(AV28),ISNUMBER(AU28)),IFERROR(AV28/AU28-1,""),"")</f>
        <v/>
      </c>
      <c r="AW30" s="25"/>
      <c r="AX30" s="26" t="str">
        <f aca="false">IF(AND(ISNUMBER(AX28),ISNUMBER(AV28)),IFERROR(AX28/AV28-1,""),"")</f>
        <v/>
      </c>
      <c r="AY30" s="26" t="str">
        <f aca="false">IF(AND(ISNUMBER(AY28),ISNUMBER(AX28)),IFERROR(AY28/AX28-1,""),"")</f>
        <v/>
      </c>
      <c r="AZ30" s="26" t="str">
        <f aca="false">IF(AND(ISNUMBER(AZ28),ISNUMBER(AY28)),IFERROR(AZ28/AY28-1,""),"")</f>
        <v/>
      </c>
      <c r="BA30" s="26" t="str">
        <f aca="false">IF(AND(ISNUMBER(BA28),ISNUMBER(AZ28)),IFERROR(BA28/AZ28-1,""),"")</f>
        <v/>
      </c>
      <c r="BB30" s="25"/>
      <c r="BC30" s="26" t="str">
        <f aca="false">IF(AND(ISNUMBER(BC28),ISNUMBER(BA28)),IFERROR(BC28/BA28-1,""),"")</f>
        <v/>
      </c>
      <c r="BD30" s="26" t="str">
        <f aca="false">IF(AND(ISNUMBER(BD28),ISNUMBER(BC28)),IFERROR(BD28/BC28-1,""),"")</f>
        <v/>
      </c>
      <c r="BE30" s="26" t="str">
        <f aca="false">IF(AND(ISNUMBER(BE28),ISNUMBER(BD28)),IFERROR(BE28/BD28-1,""),"")</f>
        <v/>
      </c>
      <c r="BF30" s="26" t="str">
        <f aca="false">IF(AND(ISNUMBER(BF28),ISNUMBER(BE28)),IFERROR(BF28/BE28-1,""),"")</f>
        <v/>
      </c>
      <c r="BG30" s="25"/>
      <c r="BH30" s="26" t="str">
        <f aca="false">IF(AND(ISNUMBER(BH28),ISNUMBER(BF28)),IFERROR(BH28/BF28-1,""),"")</f>
        <v/>
      </c>
      <c r="BI30" s="26" t="n">
        <f aca="false">IF(AND(ISNUMBER(BI28),ISNUMBER(BH28)),IFERROR(BI28/BH28-1,""),"")</f>
        <v>0.0593220338983052</v>
      </c>
      <c r="BJ30" s="26" t="n">
        <f aca="false">IF(AND(ISNUMBER(BJ28),ISNUMBER(BI28)),IFERROR(BJ28/BI28-1,""),"")</f>
        <v>0.036</v>
      </c>
      <c r="BK30" s="26" t="n">
        <f aca="false">IF(AND(ISNUMBER(BK28),ISNUMBER(BJ28)),IFERROR(BK28/BJ28-1,""),"")</f>
        <v>0.0308880308880308</v>
      </c>
      <c r="BL30" s="25"/>
      <c r="BM30" s="26" t="n">
        <f aca="false">IF(AND(ISNUMBER(BM28),ISNUMBER(BK28)),IFERROR(BM28/BK28-1,""),"")</f>
        <v>0.0749063670411985</v>
      </c>
      <c r="BN30" s="26" t="n">
        <f aca="false">IF(AND(ISNUMBER(BN28),ISNUMBER(BM28)),IFERROR(BN28/BM28-1,""),"")</f>
        <v>0.0592334494773519</v>
      </c>
      <c r="BO30" s="26" t="n">
        <f aca="false">IF(AND(ISNUMBER(BO28),ISNUMBER(BN28)),IFERROR(BO28/BN28-1,""),"")</f>
        <v>0.0296052631578947</v>
      </c>
      <c r="BP30" s="26" t="n">
        <f aca="false">IF(AND(ISNUMBER(BP28),ISNUMBER(BO28)),IFERROR(BP28/BO28-1,""),"")</f>
        <v>0.0159744408945688</v>
      </c>
      <c r="BQ30" s="25"/>
      <c r="BR30" s="26" t="n">
        <f aca="false">IF(AND(ISNUMBER(BR28),ISNUMBER(BP28)),IFERROR(BR28/BP28-1,""),"")</f>
        <v>0.0157232704402517</v>
      </c>
      <c r="BS30" s="26" t="n">
        <f aca="false">IF(AND(ISNUMBER(BS28),ISNUMBER(BR28)),IFERROR(BS28/BR28-1,""),"")</f>
        <v>0.0371517027863777</v>
      </c>
      <c r="BT30" s="26" t="n">
        <f aca="false">IF(AND(ISNUMBER(BT28),ISNUMBER(BS28)),IFERROR(BT28/BS28-1,""),"")</f>
        <v>0.113432835820896</v>
      </c>
      <c r="BU30" s="26" t="n">
        <f aca="false">IF(AND(ISNUMBER(BU28),ISNUMBER(BT28)),IFERROR(BU28/BT28-1,""),"")</f>
        <v>0.150134048257373</v>
      </c>
      <c r="BV30" s="25"/>
      <c r="BW30" s="26" t="n">
        <f aca="false">IF(AND(ISNUMBER(BW28),ISNUMBER(BU28)),IFERROR(BW28/BU28-1,""),"")</f>
        <v>-0.00932400932400934</v>
      </c>
      <c r="BX30" s="26" t="n">
        <f aca="false">IF(AND(ISNUMBER(BX28),ISNUMBER(BW28)),IFERROR(BX28/BW28-1,""),"")</f>
        <v>0.0447058823529412</v>
      </c>
      <c r="BY30" s="27" t="n">
        <f aca="false">((BW28/BU28-1)+(BX28/BW28-1))/2</f>
        <v>0.0176909365144659</v>
      </c>
      <c r="BZ30" s="27" t="n">
        <f aca="false">BY30</f>
        <v>0.0176909365144659</v>
      </c>
      <c r="CA30" s="27"/>
      <c r="CB30" s="27"/>
      <c r="CC30" s="27"/>
      <c r="CD30" s="27"/>
      <c r="CE30" s="27"/>
      <c r="CF30" s="28"/>
      <c r="CN30" s="16" t="s">
        <v>141</v>
      </c>
      <c r="CO30" s="23" t="s">
        <v>88</v>
      </c>
      <c r="CP30" s="23" t="s">
        <v>89</v>
      </c>
      <c r="CQ30" s="23" t="s">
        <v>90</v>
      </c>
      <c r="CR30" s="14"/>
    </row>
    <row r="31" customFormat="false" ht="15" hidden="false" customHeight="true" outlineLevel="0" collapsed="false">
      <c r="B31" s="17" t="s">
        <v>142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9" t="n">
        <v>-131</v>
      </c>
      <c r="BN31" s="19" t="n">
        <v>-103</v>
      </c>
      <c r="BO31" s="19" t="n">
        <v>-77</v>
      </c>
      <c r="BP31" s="19" t="n">
        <v>-50</v>
      </c>
      <c r="BQ31" s="19" t="n">
        <v>-361</v>
      </c>
      <c r="BR31" s="19" t="n">
        <v>-85</v>
      </c>
      <c r="BS31" s="19" t="n">
        <v>-76</v>
      </c>
      <c r="BT31" s="19" t="n">
        <v>-69</v>
      </c>
      <c r="BU31" s="19" t="n">
        <v>0</v>
      </c>
      <c r="BV31" s="19" t="n">
        <v>-230</v>
      </c>
      <c r="BW31" s="19" t="n">
        <v>-29</v>
      </c>
      <c r="BX31" s="19" t="n">
        <v>12</v>
      </c>
      <c r="BY31" s="20" t="n">
        <f aca="false">BY28*BY33</f>
        <v>24.9766216677982</v>
      </c>
      <c r="BZ31" s="20" t="n">
        <f aca="false">BZ28*BZ33</f>
        <v>112.023378332202</v>
      </c>
      <c r="CA31" s="20" t="n">
        <f aca="false">SUM(BW31,BX31,BY31,BZ31)</f>
        <v>120</v>
      </c>
      <c r="CB31" s="20" t="n">
        <f aca="false">CB28*CB33</f>
        <v>180.592998487777</v>
      </c>
      <c r="CC31" s="20" t="n">
        <f aca="false">CC28*CC33</f>
        <v>311.823910722229</v>
      </c>
      <c r="CD31" s="20" t="n">
        <f aca="false">CD28*CD33</f>
        <v>465.508552435327</v>
      </c>
      <c r="CE31" s="20" t="n">
        <f aca="false">CE28*CE33</f>
        <v>640.931775353061</v>
      </c>
      <c r="CF31" s="21"/>
      <c r="CH31" s="22" t="n">
        <f aca="false">IFERROR((CE31/BV31)^(1/5)-1,"n/m")</f>
        <v>-2.22748669500163</v>
      </c>
      <c r="CI31" s="22" t="str">
        <f aca="false">IFERROR((BV31/AW31)^(1/5)-1,"n/m")</f>
        <v>n/m</v>
      </c>
      <c r="CJ31" s="22" t="str">
        <f aca="false">IFERROR((BV31/X31)^(1/10)-1,"n/m")</f>
        <v>n/m</v>
      </c>
      <c r="CK31" s="22" t="str">
        <f aca="false">IFERROR((BV31/C31)^(1/19)-1,"n/m")</f>
        <v>n/m</v>
      </c>
      <c r="CN31" s="29" t="s">
        <v>143</v>
      </c>
      <c r="CO31" s="30" t="n">
        <v>945</v>
      </c>
      <c r="CP31" s="30" t="n">
        <v>940</v>
      </c>
      <c r="CQ31" s="30" t="n">
        <v>935</v>
      </c>
      <c r="CR31" s="14" t="s">
        <v>144</v>
      </c>
    </row>
    <row r="32" customFormat="false" ht="15" hidden="false" customHeight="true" outlineLevel="0" collapsed="false">
      <c r="B32" s="29" t="s">
        <v>121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7" t="n">
        <f aca="false">BT33+(BW31+BX31)/(BW28+BX28)-(BR31+BS31)/(BR28+BS28)</f>
        <v>0.0401315401243196</v>
      </c>
      <c r="BZ32" s="27" t="n">
        <f aca="false">BU33+(BW31+BX31)/(BW28+BX28)-(BR31+BS31)/(BR28+BS28)</f>
        <v>0.225118135298582</v>
      </c>
      <c r="CA32" s="27"/>
      <c r="CB32" s="27"/>
      <c r="CC32" s="27"/>
      <c r="CD32" s="27"/>
      <c r="CE32" s="27"/>
      <c r="CF32" s="28" t="s">
        <v>145</v>
      </c>
      <c r="CN32" s="29" t="s">
        <v>146</v>
      </c>
      <c r="CO32" s="30" t="n">
        <v>210</v>
      </c>
      <c r="CP32" s="30" t="n">
        <v>200</v>
      </c>
      <c r="CQ32" s="30" t="n">
        <v>190</v>
      </c>
      <c r="CR32" s="14" t="s">
        <v>147</v>
      </c>
    </row>
    <row r="33" customFormat="false" ht="15" hidden="false" customHeight="true" outlineLevel="0" collapsed="false">
      <c r="B33" s="29" t="s">
        <v>124</v>
      </c>
      <c r="C33" s="25" t="str">
        <f aca="false">IF(AND(ISNUMBER(C31),ISNUMBER(C28)),IFERROR(C31/C28,""),"")</f>
        <v/>
      </c>
      <c r="D33" s="25" t="str">
        <f aca="false">IF(AND(ISNUMBER(D31),ISNUMBER(D28)),IFERROR(D31/D28,""),"")</f>
        <v/>
      </c>
      <c r="E33" s="25" t="str">
        <f aca="false">IF(AND(ISNUMBER(E31),ISNUMBER(E28)),IFERROR(E31/E28,""),"")</f>
        <v/>
      </c>
      <c r="F33" s="25" t="str">
        <f aca="false">IF(AND(ISNUMBER(F31),ISNUMBER(F28)),IFERROR(F31/F28,""),"")</f>
        <v/>
      </c>
      <c r="G33" s="25" t="str">
        <f aca="false">IF(AND(ISNUMBER(G31),ISNUMBER(G28)),IFERROR(G31/G28,""),"")</f>
        <v/>
      </c>
      <c r="H33" s="25" t="str">
        <f aca="false">IF(AND(ISNUMBER(H31),ISNUMBER(H28)),IFERROR(H31/H28,""),"")</f>
        <v/>
      </c>
      <c r="I33" s="25" t="str">
        <f aca="false">IF(AND(ISNUMBER(I31),ISNUMBER(I28)),IFERROR(I31/I28,""),"")</f>
        <v/>
      </c>
      <c r="J33" s="25" t="str">
        <f aca="false">IF(AND(ISNUMBER(J31),ISNUMBER(J28)),IFERROR(J31/J28,""),"")</f>
        <v/>
      </c>
      <c r="K33" s="25" t="str">
        <f aca="false">IF(AND(ISNUMBER(K31),ISNUMBER(K28)),IFERROR(K31/K28,""),"")</f>
        <v/>
      </c>
      <c r="L33" s="25" t="str">
        <f aca="false">IF(AND(ISNUMBER(L31),ISNUMBER(L28)),IFERROR(L31/L28,""),"")</f>
        <v/>
      </c>
      <c r="M33" s="25" t="str">
        <f aca="false">IF(AND(ISNUMBER(M31),ISNUMBER(M28)),IFERROR(M31/M28,""),"")</f>
        <v/>
      </c>
      <c r="N33" s="25" t="str">
        <f aca="false">IF(AND(ISNUMBER(N31),ISNUMBER(N28)),IFERROR(N31/N28,""),"")</f>
        <v/>
      </c>
      <c r="O33" s="25" t="str">
        <f aca="false">IF(AND(ISNUMBER(O31),ISNUMBER(O28)),IFERROR(O31/O28,""),"")</f>
        <v/>
      </c>
      <c r="P33" s="25" t="str">
        <f aca="false">IF(AND(ISNUMBER(P31),ISNUMBER(P28)),IFERROR(P31/P28,""),"")</f>
        <v/>
      </c>
      <c r="Q33" s="25" t="str">
        <f aca="false">IF(AND(ISNUMBER(Q31),ISNUMBER(Q28)),IFERROR(Q31/Q28,""),"")</f>
        <v/>
      </c>
      <c r="R33" s="25" t="str">
        <f aca="false">IF(AND(ISNUMBER(R31),ISNUMBER(R28)),IFERROR(R31/R28,""),"")</f>
        <v/>
      </c>
      <c r="S33" s="25" t="str">
        <f aca="false">IF(AND(ISNUMBER(S31),ISNUMBER(S28)),IFERROR(S31/S28,""),"")</f>
        <v/>
      </c>
      <c r="T33" s="25" t="str">
        <f aca="false">IF(AND(ISNUMBER(T31),ISNUMBER(T28)),IFERROR(T31/T28,""),"")</f>
        <v/>
      </c>
      <c r="U33" s="25" t="str">
        <f aca="false">IF(AND(ISNUMBER(U31),ISNUMBER(U28)),IFERROR(U31/U28,""),"")</f>
        <v/>
      </c>
      <c r="V33" s="25" t="str">
        <f aca="false">IF(AND(ISNUMBER(V31),ISNUMBER(V28)),IFERROR(V31/V28,""),"")</f>
        <v/>
      </c>
      <c r="W33" s="25" t="str">
        <f aca="false">IF(AND(ISNUMBER(W31),ISNUMBER(W28)),IFERROR(W31/W28,""),"")</f>
        <v/>
      </c>
      <c r="X33" s="25" t="str">
        <f aca="false">IF(AND(ISNUMBER(X31),ISNUMBER(X28)),IFERROR(X31/X28,""),"")</f>
        <v/>
      </c>
      <c r="Y33" s="25" t="str">
        <f aca="false">IF(AND(ISNUMBER(Y31),ISNUMBER(Y28)),IFERROR(Y31/Y28,""),"")</f>
        <v/>
      </c>
      <c r="Z33" s="25" t="str">
        <f aca="false">IF(AND(ISNUMBER(Z31),ISNUMBER(Z28)),IFERROR(Z31/Z28,""),"")</f>
        <v/>
      </c>
      <c r="AA33" s="25" t="str">
        <f aca="false">IF(AND(ISNUMBER(AA31),ISNUMBER(AA28)),IFERROR(AA31/AA28,""),"")</f>
        <v/>
      </c>
      <c r="AB33" s="25" t="str">
        <f aca="false">IF(AND(ISNUMBER(AB31),ISNUMBER(AB28)),IFERROR(AB31/AB28,""),"")</f>
        <v/>
      </c>
      <c r="AC33" s="25" t="str">
        <f aca="false">IF(AND(ISNUMBER(AC31),ISNUMBER(AC28)),IFERROR(AC31/AC28,""),"")</f>
        <v/>
      </c>
      <c r="AD33" s="25" t="str">
        <f aca="false">IF(AND(ISNUMBER(AD31),ISNUMBER(AD28)),IFERROR(AD31/AD28,""),"")</f>
        <v/>
      </c>
      <c r="AE33" s="25" t="str">
        <f aca="false">IF(AND(ISNUMBER(AE31),ISNUMBER(AE28)),IFERROR(AE31/AE28,""),"")</f>
        <v/>
      </c>
      <c r="AF33" s="25" t="str">
        <f aca="false">IF(AND(ISNUMBER(AF31),ISNUMBER(AF28)),IFERROR(AF31/AF28,""),"")</f>
        <v/>
      </c>
      <c r="AG33" s="25" t="str">
        <f aca="false">IF(AND(ISNUMBER(AG31),ISNUMBER(AG28)),IFERROR(AG31/AG28,""),"")</f>
        <v/>
      </c>
      <c r="AH33" s="25" t="str">
        <f aca="false">IF(AND(ISNUMBER(AH31),ISNUMBER(AH28)),IFERROR(AH31/AH28,""),"")</f>
        <v/>
      </c>
      <c r="AI33" s="25" t="str">
        <f aca="false">IF(AND(ISNUMBER(AI31),ISNUMBER(AI28)),IFERROR(AI31/AI28,""),"")</f>
        <v/>
      </c>
      <c r="AJ33" s="25" t="str">
        <f aca="false">IF(AND(ISNUMBER(AJ31),ISNUMBER(AJ28)),IFERROR(AJ31/AJ28,""),"")</f>
        <v/>
      </c>
      <c r="AK33" s="25" t="str">
        <f aca="false">IF(AND(ISNUMBER(AK31),ISNUMBER(AK28)),IFERROR(AK31/AK28,""),"")</f>
        <v/>
      </c>
      <c r="AL33" s="25" t="str">
        <f aca="false">IF(AND(ISNUMBER(AL31),ISNUMBER(AL28)),IFERROR(AL31/AL28,""),"")</f>
        <v/>
      </c>
      <c r="AM33" s="25" t="str">
        <f aca="false">IF(AND(ISNUMBER(AM31),ISNUMBER(AM28)),IFERROR(AM31/AM28,""),"")</f>
        <v/>
      </c>
      <c r="AN33" s="25" t="str">
        <f aca="false">IF(AND(ISNUMBER(AN31),ISNUMBER(AN28)),IFERROR(AN31/AN28,""),"")</f>
        <v/>
      </c>
      <c r="AO33" s="25" t="str">
        <f aca="false">IF(AND(ISNUMBER(AO31),ISNUMBER(AO28)),IFERROR(AO31/AO28,""),"")</f>
        <v/>
      </c>
      <c r="AP33" s="25" t="str">
        <f aca="false">IF(AND(ISNUMBER(AP31),ISNUMBER(AP28)),IFERROR(AP31/AP28,""),"")</f>
        <v/>
      </c>
      <c r="AQ33" s="25" t="str">
        <f aca="false">IF(AND(ISNUMBER(AQ31),ISNUMBER(AQ28)),IFERROR(AQ31/AQ28,""),"")</f>
        <v/>
      </c>
      <c r="AR33" s="25" t="str">
        <f aca="false">IF(AND(ISNUMBER(AR31),ISNUMBER(AR28)),IFERROR(AR31/AR28,""),"")</f>
        <v/>
      </c>
      <c r="AS33" s="25" t="str">
        <f aca="false">IF(AND(ISNUMBER(AS31),ISNUMBER(AS28)),IFERROR(AS31/AS28,""),"")</f>
        <v/>
      </c>
      <c r="AT33" s="25" t="str">
        <f aca="false">IF(AND(ISNUMBER(AT31),ISNUMBER(AT28)),IFERROR(AT31/AT28,""),"")</f>
        <v/>
      </c>
      <c r="AU33" s="25" t="str">
        <f aca="false">IF(AND(ISNUMBER(AU31),ISNUMBER(AU28)),IFERROR(AU31/AU28,""),"")</f>
        <v/>
      </c>
      <c r="AV33" s="25" t="str">
        <f aca="false">IF(AND(ISNUMBER(AV31),ISNUMBER(AV28)),IFERROR(AV31/AV28,""),"")</f>
        <v/>
      </c>
      <c r="AW33" s="25" t="str">
        <f aca="false">IF(AND(ISNUMBER(AW31),ISNUMBER(AW28)),IFERROR(AW31/AW28,""),"")</f>
        <v/>
      </c>
      <c r="AX33" s="25" t="str">
        <f aca="false">IF(AND(ISNUMBER(AX31),ISNUMBER(AX28)),IFERROR(AX31/AX28,""),"")</f>
        <v/>
      </c>
      <c r="AY33" s="25" t="str">
        <f aca="false">IF(AND(ISNUMBER(AY31),ISNUMBER(AY28)),IFERROR(AY31/AY28,""),"")</f>
        <v/>
      </c>
      <c r="AZ33" s="25" t="str">
        <f aca="false">IF(AND(ISNUMBER(AZ31),ISNUMBER(AZ28)),IFERROR(AZ31/AZ28,""),"")</f>
        <v/>
      </c>
      <c r="BA33" s="25" t="str">
        <f aca="false">IF(AND(ISNUMBER(BA31),ISNUMBER(BA28)),IFERROR(BA31/BA28,""),"")</f>
        <v/>
      </c>
      <c r="BB33" s="25" t="str">
        <f aca="false">IF(AND(ISNUMBER(BB31),ISNUMBER(BB28)),IFERROR(BB31/BB28,""),"")</f>
        <v/>
      </c>
      <c r="BC33" s="25" t="str">
        <f aca="false">IF(AND(ISNUMBER(BC31),ISNUMBER(BC28)),IFERROR(BC31/BC28,""),"")</f>
        <v/>
      </c>
      <c r="BD33" s="25" t="str">
        <f aca="false">IF(AND(ISNUMBER(BD31),ISNUMBER(BD28)),IFERROR(BD31/BD28,""),"")</f>
        <v/>
      </c>
      <c r="BE33" s="25" t="str">
        <f aca="false">IF(AND(ISNUMBER(BE31),ISNUMBER(BE28)),IFERROR(BE31/BE28,""),"")</f>
        <v/>
      </c>
      <c r="BF33" s="25" t="str">
        <f aca="false">IF(AND(ISNUMBER(BF31),ISNUMBER(BF28)),IFERROR(BF31/BF28,""),"")</f>
        <v/>
      </c>
      <c r="BG33" s="25" t="str">
        <f aca="false">IF(AND(ISNUMBER(BG31),ISNUMBER(BG28)),IFERROR(BG31/BG28,""),"")</f>
        <v/>
      </c>
      <c r="BH33" s="25" t="str">
        <f aca="false">IF(AND(ISNUMBER(BH31),ISNUMBER(BH28)),IFERROR(BH31/BH28,""),"")</f>
        <v/>
      </c>
      <c r="BI33" s="25" t="str">
        <f aca="false">IF(AND(ISNUMBER(BI31),ISNUMBER(BI28)),IFERROR(BI31/BI28,""),"")</f>
        <v/>
      </c>
      <c r="BJ33" s="25" t="str">
        <f aca="false">IF(AND(ISNUMBER(BJ31),ISNUMBER(BJ28)),IFERROR(BJ31/BJ28,""),"")</f>
        <v/>
      </c>
      <c r="BK33" s="25" t="str">
        <f aca="false">IF(AND(ISNUMBER(BK31),ISNUMBER(BK28)),IFERROR(BK31/BK28,""),"")</f>
        <v/>
      </c>
      <c r="BL33" s="25" t="str">
        <f aca="false">IF(AND(ISNUMBER(BL31),ISNUMBER(BL28)),IFERROR(BL31/BL28,""),"")</f>
        <v/>
      </c>
      <c r="BM33" s="25" t="n">
        <f aca="false">IF(AND(ISNUMBER(BM31),ISNUMBER(BM28)),IFERROR(BM31/BM28,""),"")</f>
        <v>-0.456445993031359</v>
      </c>
      <c r="BN33" s="25" t="n">
        <f aca="false">IF(AND(ISNUMBER(BN31),ISNUMBER(BN28)),IFERROR(BN31/BN28,""),"")</f>
        <v>-0.338815789473684</v>
      </c>
      <c r="BO33" s="25" t="n">
        <f aca="false">IF(AND(ISNUMBER(BO31),ISNUMBER(BO28)),IFERROR(BO31/BO28,""),"")</f>
        <v>-0.246006389776358</v>
      </c>
      <c r="BP33" s="25" t="n">
        <f aca="false">IF(AND(ISNUMBER(BP31),ISNUMBER(BP28)),IFERROR(BP31/BP28,""),"")</f>
        <v>-0.157232704402516</v>
      </c>
      <c r="BQ33" s="25" t="n">
        <f aca="false">IF(AND(ISNUMBER(BQ31),ISNUMBER(BQ28)),IFERROR(BQ31/BQ28,""),"")</f>
        <v>-0.295659295659296</v>
      </c>
      <c r="BR33" s="25" t="n">
        <f aca="false">IF(AND(ISNUMBER(BR31),ISNUMBER(BR28)),IFERROR(BR31/BR28,""),"")</f>
        <v>-0.263157894736842</v>
      </c>
      <c r="BS33" s="25" t="n">
        <f aca="false">IF(AND(ISNUMBER(BS31),ISNUMBER(BS28)),IFERROR(BS31/BS28,""),"")</f>
        <v>-0.226865671641791</v>
      </c>
      <c r="BT33" s="25" t="n">
        <f aca="false">IF(AND(ISNUMBER(BT31),ISNUMBER(BT28)),IFERROR(BT31/BT28,""),"")</f>
        <v>-0.184986595174263</v>
      </c>
      <c r="BU33" s="25" t="n">
        <f aca="false">IF(AND(ISNUMBER(BU31),ISNUMBER(BU28)),IFERROR(BU31/BU28,""),"")</f>
        <v>0</v>
      </c>
      <c r="BV33" s="25" t="n">
        <f aca="false">IF(AND(ISNUMBER(BV31),ISNUMBER(BV28)),IFERROR(BV31/BV28,""),"")</f>
        <v>-0.157534246575342</v>
      </c>
      <c r="BW33" s="25" t="n">
        <f aca="false">IF(AND(ISNUMBER(BW31),ISNUMBER(BW28)),IFERROR(BW31/BW28,""),"")</f>
        <v>-0.0682352941176471</v>
      </c>
      <c r="BX33" s="25" t="n">
        <f aca="false">IF(AND(ISNUMBER(BX31),ISNUMBER(BX28)),IFERROR(BX31/BX28,""),"")</f>
        <v>0.027027027027027</v>
      </c>
      <c r="BY33" s="27" t="n">
        <f aca="false">BY32+$BZ97</f>
        <v>0.0548350928869008</v>
      </c>
      <c r="BZ33" s="27" t="n">
        <f aca="false">BZ32+$BZ97</f>
        <v>0.239821688061164</v>
      </c>
      <c r="CA33" s="27" t="n">
        <f aca="false">IF(AND(ISNUMBER(CA31),ISNUMBER(CA28)),IFERROR(CA31/CA28,""),"")</f>
        <v>0.0669793408453688</v>
      </c>
      <c r="CB33" s="27" t="n">
        <f aca="false">CHOOSE(MATCH($CF$2,{"Bull","Base","Bear"},0),$CO$71,$CP$71,$CQ$71)</f>
        <v>0.09</v>
      </c>
      <c r="CC33" s="27" t="n">
        <f aca="false">CHOOSE(MATCH($CF$2,{"Bull","Base","Bear"},0),$CO$72,$CP$72,$CQ$72)</f>
        <v>0.14</v>
      </c>
      <c r="CD33" s="27" t="n">
        <f aca="false">CHOOSE(MATCH($CF$2,{"Bull","Base","Bear"},0),$CO$73,$CP$73,$CQ$73)</f>
        <v>0.19</v>
      </c>
      <c r="CE33" s="27" t="n">
        <f aca="false">CHOOSE(MATCH($CF$2,{"Bull","Base","Bear"},0),$CO$74,$CP$74,$CQ$74)</f>
        <v>0.24</v>
      </c>
      <c r="CF33" s="28" t="s">
        <v>148</v>
      </c>
      <c r="CH33" s="32" t="n">
        <f aca="false">IFERROR(AVERAGE(CA33,CB33,CC33,CD33,CE33),"n/m")</f>
        <v>0.145395868169074</v>
      </c>
      <c r="CI33" s="32" t="n">
        <f aca="false">IFERROR(AVERAGE(BB33,BG33,BL33,BQ33,BV33),"n/m")</f>
        <v>-0.226596771117319</v>
      </c>
      <c r="CJ33" s="32" t="n">
        <f aca="false">IFERROR(AVERAGE(AC33,AH33,AM33,AR33,AW33,BB33,BG33,BL33,BQ33,BV33),"n/m")</f>
        <v>-0.226596771117319</v>
      </c>
      <c r="CK33" s="32" t="n">
        <f aca="false">IFERROR(AVERAGE(C33,D33,E33,F33,G33,H33,I33,N33,S33,X33,AC33,AH33,AM33,AR33,AW33,BB33,BG33,BL33,BQ33,BV33),"n/m")</f>
        <v>-0.226596771117319</v>
      </c>
      <c r="CN33" s="29" t="s">
        <v>149</v>
      </c>
      <c r="CO33" s="30"/>
      <c r="CP33" s="30" t="n">
        <v>34</v>
      </c>
      <c r="CQ33" s="30"/>
      <c r="CR33" s="14"/>
    </row>
    <row r="34" customFormat="false" ht="15" hidden="false" customHeight="true" outlineLevel="0" collapsed="false">
      <c r="B34" s="33" t="s">
        <v>150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5" t="n">
        <v>-139</v>
      </c>
      <c r="BN34" s="35" t="n">
        <v>-113</v>
      </c>
      <c r="BO34" s="35" t="n">
        <v>-85</v>
      </c>
      <c r="BP34" s="35" t="n">
        <v>-59</v>
      </c>
      <c r="BQ34" s="35" t="n">
        <v>-396</v>
      </c>
      <c r="BR34" s="35" t="n">
        <v>-104</v>
      </c>
      <c r="BS34" s="35" t="n">
        <v>-89</v>
      </c>
      <c r="BT34" s="35" t="n">
        <v>-101</v>
      </c>
      <c r="BU34" s="35" t="n">
        <v>-16</v>
      </c>
      <c r="BV34" s="35" t="n">
        <v>-310</v>
      </c>
      <c r="BW34" s="35" t="n">
        <v>-46</v>
      </c>
      <c r="BX34" s="35" t="n">
        <v>-5</v>
      </c>
      <c r="BY34" s="36"/>
      <c r="BZ34" s="36"/>
      <c r="CA34" s="36"/>
      <c r="CB34" s="36"/>
      <c r="CC34" s="36"/>
      <c r="CD34" s="36"/>
      <c r="CE34" s="36"/>
      <c r="CF34" s="28"/>
      <c r="CN34" s="29" t="s">
        <v>151</v>
      </c>
      <c r="CO34" s="30"/>
      <c r="CP34" s="30" t="n">
        <v>62</v>
      </c>
      <c r="CQ34" s="30"/>
      <c r="CR34" s="14"/>
    </row>
    <row r="35" customFormat="false" ht="15" hidden="false" customHeight="false" outlineLevel="0" collapsed="false">
      <c r="CN35" s="29" t="s">
        <v>152</v>
      </c>
      <c r="CO35" s="30"/>
      <c r="CP35" s="30" t="n">
        <v>23</v>
      </c>
      <c r="CQ35" s="30"/>
      <c r="CR35" s="14"/>
    </row>
    <row r="36" customFormat="false" ht="15" hidden="false" customHeight="true" outlineLevel="0" collapsed="false">
      <c r="B36" s="15" t="s">
        <v>153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6" t="s">
        <v>154</v>
      </c>
      <c r="CN36" s="29" t="s">
        <v>155</v>
      </c>
      <c r="CO36" s="30"/>
      <c r="CP36" s="30" t="n">
        <v>2</v>
      </c>
      <c r="CQ36" s="30"/>
      <c r="CR36" s="14"/>
    </row>
    <row r="37" customFormat="false" ht="15" hidden="true" customHeight="true" outlineLevel="1" collapsed="false">
      <c r="B37" s="29" t="s">
        <v>156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5" t="n">
        <v>86.81</v>
      </c>
      <c r="U37" s="35" t="n">
        <v>88.771</v>
      </c>
      <c r="V37" s="35" t="n">
        <v>91.35</v>
      </c>
      <c r="W37" s="35" t="n">
        <v>93.509</v>
      </c>
      <c r="X37" s="35" t="n">
        <v>360.44</v>
      </c>
      <c r="Y37" s="35" t="n">
        <v>97.634</v>
      </c>
      <c r="Z37" s="35" t="n">
        <v>101.074</v>
      </c>
      <c r="AA37" s="35" t="n">
        <v>103.261</v>
      </c>
      <c r="AB37" s="35" t="n">
        <v>106.487</v>
      </c>
      <c r="AC37" s="35" t="n">
        <v>408.456</v>
      </c>
      <c r="AD37" s="35" t="n">
        <v>109.979</v>
      </c>
      <c r="AE37" s="35" t="n">
        <v>113.794</v>
      </c>
      <c r="AF37" s="35" t="n">
        <v>117.314</v>
      </c>
      <c r="AG37" s="35" t="n">
        <v>122.098</v>
      </c>
      <c r="AH37" s="35" t="n">
        <v>463.185</v>
      </c>
      <c r="AI37" s="35" t="n">
        <v>130.361</v>
      </c>
      <c r="AJ37" s="35" t="n">
        <v>133.812</v>
      </c>
      <c r="AK37" s="35" t="n">
        <v>139.084</v>
      </c>
      <c r="AL37" s="35" t="n">
        <v>141.938</v>
      </c>
      <c r="AM37" s="35" t="n">
        <v>545.195</v>
      </c>
      <c r="AN37" s="35" t="n">
        <v>147.701</v>
      </c>
      <c r="AO37" s="35" t="n">
        <v>152.825</v>
      </c>
      <c r="AP37" s="35" t="n">
        <v>156.013</v>
      </c>
      <c r="AQ37" s="35" t="n">
        <v>161.259</v>
      </c>
      <c r="AR37" s="35" t="n">
        <v>617.798</v>
      </c>
      <c r="AS37" s="35" t="n">
        <v>164.956</v>
      </c>
      <c r="AT37" s="35" t="n">
        <v>165.053</v>
      </c>
      <c r="AU37" s="35" t="n">
        <v>165.988</v>
      </c>
      <c r="AV37" s="35" t="n">
        <v>168.738</v>
      </c>
      <c r="AW37" s="35" t="n">
        <v>664.735</v>
      </c>
      <c r="AX37" s="35" t="n">
        <v>172.184</v>
      </c>
      <c r="AY37" s="35" t="n">
        <v>176.979</v>
      </c>
      <c r="AZ37" s="35" t="n">
        <v>183.265</v>
      </c>
      <c r="BA37" s="35" t="n">
        <v>190.393</v>
      </c>
      <c r="BB37" s="35" t="n">
        <v>722.821</v>
      </c>
      <c r="BC37" s="35" t="n">
        <v>198.649</v>
      </c>
      <c r="BD37" s="35" t="n">
        <v>206.566</v>
      </c>
      <c r="BE37" s="35" t="n">
        <v>212.69</v>
      </c>
      <c r="BF37" s="35" t="n">
        <v>219.075</v>
      </c>
      <c r="BG37" s="35" t="n">
        <v>836.98</v>
      </c>
      <c r="BH37" s="35" t="n">
        <v>225.013</v>
      </c>
      <c r="BI37" s="35" t="n">
        <v>229.169</v>
      </c>
      <c r="BJ37" s="35" t="n">
        <v>233.36</v>
      </c>
      <c r="BK37" s="35" t="n">
        <v>237.7</v>
      </c>
      <c r="BL37" s="35" t="n">
        <v>925.2</v>
      </c>
      <c r="BM37" s="35" t="n">
        <v>250.3</v>
      </c>
      <c r="BN37" s="35" t="n">
        <v>253</v>
      </c>
      <c r="BO37" s="35" t="n">
        <v>256.9</v>
      </c>
      <c r="BP37" s="35" t="n">
        <v>260.3</v>
      </c>
      <c r="BQ37" s="35" t="n">
        <v>1020.5</v>
      </c>
      <c r="BR37" s="35" t="n">
        <v>265.1</v>
      </c>
      <c r="BS37" s="35" t="n">
        <v>270.9</v>
      </c>
      <c r="BT37" s="35" t="n">
        <v>277</v>
      </c>
      <c r="BU37" s="34"/>
      <c r="BV37" s="34"/>
      <c r="BW37" s="34"/>
      <c r="BX37" s="34"/>
      <c r="BY37" s="36"/>
      <c r="BZ37" s="36"/>
      <c r="CA37" s="36"/>
      <c r="CB37" s="36"/>
      <c r="CC37" s="36"/>
      <c r="CD37" s="36"/>
      <c r="CE37" s="36"/>
      <c r="CF37" s="28"/>
      <c r="CN37" s="29" t="s">
        <v>157</v>
      </c>
      <c r="CO37" s="30"/>
      <c r="CP37" s="30" t="n">
        <v>1</v>
      </c>
      <c r="CQ37" s="30"/>
      <c r="CR37" s="14"/>
    </row>
    <row r="38" customFormat="false" ht="15" hidden="true" customHeight="true" outlineLevel="1" collapsed="false">
      <c r="B38" s="29" t="s">
        <v>158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5" t="n">
        <v>18.537</v>
      </c>
      <c r="U38" s="35" t="n">
        <v>18.752</v>
      </c>
      <c r="V38" s="35" t="n">
        <v>19.126</v>
      </c>
      <c r="W38" s="35" t="n">
        <v>19.375</v>
      </c>
      <c r="X38" s="35" t="n">
        <v>75.79</v>
      </c>
      <c r="Y38" s="35" t="n">
        <v>19.425</v>
      </c>
      <c r="Z38" s="35" t="n">
        <v>19.425</v>
      </c>
      <c r="AA38" s="35" t="n">
        <v>19.486</v>
      </c>
      <c r="AB38" s="35" t="n">
        <v>18.842</v>
      </c>
      <c r="AC38" s="35" t="n">
        <v>77.178</v>
      </c>
      <c r="AD38" s="35" t="n">
        <v>18.336</v>
      </c>
      <c r="AE38" s="35" t="n">
        <v>18.312</v>
      </c>
      <c r="AF38" s="35" t="n">
        <v>18.716</v>
      </c>
      <c r="AG38" s="35" t="n">
        <v>17.254</v>
      </c>
      <c r="AH38" s="35" t="n">
        <v>72.618</v>
      </c>
      <c r="AI38" s="35" t="n">
        <v>15.06</v>
      </c>
      <c r="AJ38" s="35" t="n">
        <v>15.681</v>
      </c>
      <c r="AK38" s="35" t="n">
        <v>17.535</v>
      </c>
      <c r="AL38" s="35" t="n">
        <v>19.199</v>
      </c>
      <c r="AM38" s="35" t="n">
        <v>67.624</v>
      </c>
      <c r="AN38" s="35" t="n">
        <v>18.85</v>
      </c>
      <c r="AO38" s="35" t="n">
        <v>20.777</v>
      </c>
      <c r="AP38" s="35" t="n">
        <v>19.471</v>
      </c>
      <c r="AQ38" s="35" t="n">
        <v>29.348</v>
      </c>
      <c r="AR38" s="35" t="n">
        <v>88.446</v>
      </c>
      <c r="AS38" s="35" t="n">
        <v>32.382</v>
      </c>
      <c r="AT38" s="35" t="n">
        <v>30.536</v>
      </c>
      <c r="AU38" s="35" t="n">
        <v>33.174</v>
      </c>
      <c r="AV38" s="35" t="n">
        <v>33.978</v>
      </c>
      <c r="AW38" s="35" t="n">
        <v>130.07</v>
      </c>
      <c r="AX38" s="35" t="n">
        <v>34.696</v>
      </c>
      <c r="AY38" s="35" t="n">
        <v>35.157</v>
      </c>
      <c r="AZ38" s="35" t="n">
        <v>35.926</v>
      </c>
      <c r="BA38" s="35" t="n">
        <v>35.876</v>
      </c>
      <c r="BB38" s="35" t="n">
        <v>141.655</v>
      </c>
      <c r="BC38" s="35" t="n">
        <v>37.215</v>
      </c>
      <c r="BD38" s="35" t="n">
        <v>38.502</v>
      </c>
      <c r="BE38" s="35" t="n">
        <v>41.013</v>
      </c>
      <c r="BF38" s="35" t="n">
        <v>40.652</v>
      </c>
      <c r="BG38" s="35" t="n">
        <v>157.382</v>
      </c>
      <c r="BH38" s="35" t="n">
        <v>41.629</v>
      </c>
      <c r="BI38" s="35" t="n">
        <v>41.921</v>
      </c>
      <c r="BJ38" s="35" t="n">
        <v>44.636</v>
      </c>
      <c r="BK38" s="35" t="n">
        <v>42.7</v>
      </c>
      <c r="BL38" s="35" t="n">
        <v>170.9</v>
      </c>
      <c r="BM38" s="35" t="n">
        <v>33</v>
      </c>
      <c r="BN38" s="35" t="n">
        <v>33.4</v>
      </c>
      <c r="BO38" s="35" t="n">
        <v>33</v>
      </c>
      <c r="BP38" s="35" t="n">
        <v>36.5</v>
      </c>
      <c r="BQ38" s="35" t="n">
        <v>135.9</v>
      </c>
      <c r="BR38" s="35" t="n">
        <v>39.8</v>
      </c>
      <c r="BS38" s="35" t="n">
        <v>39.3</v>
      </c>
      <c r="BT38" s="35" t="n">
        <v>41.3</v>
      </c>
      <c r="BU38" s="34"/>
      <c r="BV38" s="34"/>
      <c r="BW38" s="34"/>
      <c r="BX38" s="34"/>
      <c r="BY38" s="36"/>
      <c r="BZ38" s="36"/>
      <c r="CA38" s="36"/>
      <c r="CB38" s="36"/>
      <c r="CC38" s="36"/>
      <c r="CD38" s="36"/>
      <c r="CE38" s="36"/>
      <c r="CF38" s="28"/>
      <c r="CN38" s="29" t="s">
        <v>159</v>
      </c>
      <c r="CO38" s="30"/>
      <c r="CP38" s="30" t="n">
        <v>2</v>
      </c>
      <c r="CQ38" s="30"/>
      <c r="CR38" s="14"/>
    </row>
    <row r="39" customFormat="false" ht="15" hidden="true" customHeight="true" outlineLevel="1" collapsed="false">
      <c r="B39" s="29" t="s">
        <v>160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5" t="n">
        <v>26.133</v>
      </c>
      <c r="U39" s="35" t="n">
        <v>34.742</v>
      </c>
      <c r="V39" s="35" t="n">
        <v>49.312</v>
      </c>
      <c r="W39" s="35" t="n">
        <v>50.443</v>
      </c>
      <c r="X39" s="35" t="n">
        <v>160.63</v>
      </c>
      <c r="Y39" s="35" t="n">
        <v>52.238</v>
      </c>
      <c r="Z39" s="35" t="n">
        <v>54.86</v>
      </c>
      <c r="AA39" s="35" t="n">
        <v>57.654</v>
      </c>
      <c r="AB39" s="35" t="n">
        <v>60.083</v>
      </c>
      <c r="AC39" s="35" t="n">
        <v>224.835</v>
      </c>
      <c r="AD39" s="35" t="n">
        <v>63.991</v>
      </c>
      <c r="AE39" s="35" t="n">
        <v>68.076</v>
      </c>
      <c r="AF39" s="35" t="n">
        <v>72.257</v>
      </c>
      <c r="AG39" s="35" t="n">
        <v>75.531</v>
      </c>
      <c r="AH39" s="35" t="n">
        <v>279.855</v>
      </c>
      <c r="AI39" s="35" t="n">
        <v>87.683</v>
      </c>
      <c r="AJ39" s="35" t="n">
        <v>104.793</v>
      </c>
      <c r="AK39" s="35" t="n">
        <v>104.778</v>
      </c>
      <c r="AL39" s="35" t="n">
        <v>108.541</v>
      </c>
      <c r="AM39" s="35" t="n">
        <v>405.795</v>
      </c>
      <c r="AN39" s="35" t="n">
        <v>114.268</v>
      </c>
      <c r="AO39" s="35" t="n">
        <v>120.488</v>
      </c>
      <c r="AP39" s="35" t="n">
        <v>125.707</v>
      </c>
      <c r="AQ39" s="35" t="n">
        <v>130.168</v>
      </c>
      <c r="AR39" s="35" t="n">
        <v>490.631</v>
      </c>
      <c r="AS39" s="35" t="n">
        <v>137.46</v>
      </c>
      <c r="AT39" s="35" t="n">
        <v>145.541</v>
      </c>
      <c r="AU39" s="35" t="n">
        <v>155.184</v>
      </c>
      <c r="AV39" s="35" t="n">
        <v>160.37</v>
      </c>
      <c r="AW39" s="35" t="n">
        <v>598.555</v>
      </c>
      <c r="AX39" s="35" t="n">
        <v>166.147</v>
      </c>
      <c r="AY39" s="35" t="n">
        <v>171.357</v>
      </c>
      <c r="AZ39" s="35" t="n">
        <v>171.125</v>
      </c>
      <c r="BA39" s="35" t="n">
        <v>170.051</v>
      </c>
      <c r="BB39" s="35" t="n">
        <v>678.68</v>
      </c>
      <c r="BC39" s="35" t="n">
        <v>175.477</v>
      </c>
      <c r="BD39" s="35" t="n">
        <v>182.359</v>
      </c>
      <c r="BE39" s="35" t="n">
        <v>189.536</v>
      </c>
      <c r="BF39" s="35" t="n">
        <v>198.016</v>
      </c>
      <c r="BG39" s="35" t="n">
        <v>745.388</v>
      </c>
      <c r="BH39" s="35" t="n">
        <v>210.697</v>
      </c>
      <c r="BI39" s="35" t="n">
        <v>224.291</v>
      </c>
      <c r="BJ39" s="35" t="n">
        <v>235.343</v>
      </c>
      <c r="BK39" s="35" t="n">
        <v>243.8</v>
      </c>
      <c r="BL39" s="35" t="n">
        <v>914.2</v>
      </c>
      <c r="BM39" s="35" t="n">
        <v>254.8</v>
      </c>
      <c r="BN39" s="35" t="n">
        <v>264.2</v>
      </c>
      <c r="BO39" s="35" t="n">
        <v>271.8</v>
      </c>
      <c r="BP39" s="35" t="n">
        <v>276.5</v>
      </c>
      <c r="BQ39" s="35" t="n">
        <v>1067.3</v>
      </c>
      <c r="BR39" s="35" t="n">
        <v>282.5</v>
      </c>
      <c r="BS39" s="35" t="n">
        <v>292.3</v>
      </c>
      <c r="BT39" s="35" t="n">
        <v>303</v>
      </c>
      <c r="BU39" s="34"/>
      <c r="BV39" s="34"/>
      <c r="BW39" s="34"/>
      <c r="BX39" s="34"/>
      <c r="BY39" s="36"/>
      <c r="BZ39" s="36"/>
      <c r="CA39" s="36"/>
      <c r="CB39" s="36"/>
      <c r="CC39" s="36"/>
      <c r="CD39" s="36"/>
      <c r="CE39" s="36"/>
      <c r="CF39" s="28"/>
      <c r="CH39" s="22" t="str">
        <f aca="false">IFERROR((CE39/BV39)^(1/5)-1,"n/m")</f>
        <v>n/m</v>
      </c>
      <c r="CI39" s="22" t="n">
        <f aca="false">IFERROR((BV39/AW39)^(1/5)-1,"n/m")</f>
        <v>-1</v>
      </c>
      <c r="CJ39" s="22" t="n">
        <f aca="false">IFERROR((BV39/X39)^(1/10)-1,"n/m")</f>
        <v>-1</v>
      </c>
      <c r="CK39" s="22" t="str">
        <f aca="false">IFERROR((BV39/C39)^(1/19)-1,"n/m")</f>
        <v>n/m</v>
      </c>
      <c r="CN39" s="29" t="s">
        <v>161</v>
      </c>
      <c r="CO39" s="30" t="n">
        <v>413</v>
      </c>
      <c r="CP39" s="30" t="n">
        <v>113</v>
      </c>
      <c r="CQ39" s="30" t="n">
        <v>0</v>
      </c>
      <c r="CR39" s="14" t="s">
        <v>162</v>
      </c>
    </row>
    <row r="40" customFormat="false" ht="15" hidden="true" customHeight="true" outlineLevel="1" collapsed="false">
      <c r="B40" s="24" t="s">
        <v>163</v>
      </c>
      <c r="C40" s="25"/>
      <c r="D40" s="26" t="str">
        <f aca="false">IF(AND(ISNUMBER(D39),ISNUMBER(C39)),IFERROR(D39/C39-1,""),"")</f>
        <v/>
      </c>
      <c r="E40" s="26" t="str">
        <f aca="false">IF(AND(ISNUMBER(E39),ISNUMBER(D39)),IFERROR(E39/D39-1,""),"")</f>
        <v/>
      </c>
      <c r="F40" s="26" t="str">
        <f aca="false">IF(AND(ISNUMBER(F39),ISNUMBER(E39)),IFERROR(F39/E39-1,""),"")</f>
        <v/>
      </c>
      <c r="G40" s="26" t="str">
        <f aca="false">IF(AND(ISNUMBER(G39),ISNUMBER(F39)),IFERROR(G39/F39-1,""),"")</f>
        <v/>
      </c>
      <c r="H40" s="26" t="str">
        <f aca="false">IF(AND(ISNUMBER(H39),ISNUMBER(G39)),IFERROR(H39/G39-1,""),"")</f>
        <v/>
      </c>
      <c r="I40" s="26" t="str">
        <f aca="false">IF(AND(ISNUMBER(I39),ISNUMBER(H39)),IFERROR(I39/H39-1,""),"")</f>
        <v/>
      </c>
      <c r="J40" s="25"/>
      <c r="K40" s="25"/>
      <c r="L40" s="25"/>
      <c r="M40" s="25"/>
      <c r="N40" s="26" t="str">
        <f aca="false">IF(AND(ISNUMBER(N39),ISNUMBER(I39)),IFERROR(N39/I39-1,""),"")</f>
        <v/>
      </c>
      <c r="O40" s="26" t="str">
        <f aca="false">IF(AND(ISNUMBER(O39),ISNUMBER(J39)),IFERROR(O39/J39-1,""),"")</f>
        <v/>
      </c>
      <c r="P40" s="26" t="str">
        <f aca="false">IF(AND(ISNUMBER(P39),ISNUMBER(K39)),IFERROR(P39/K39-1,""),"")</f>
        <v/>
      </c>
      <c r="Q40" s="26" t="str">
        <f aca="false">IF(AND(ISNUMBER(Q39),ISNUMBER(L39)),IFERROR(Q39/L39-1,""),"")</f>
        <v/>
      </c>
      <c r="R40" s="26" t="str">
        <f aca="false">IF(AND(ISNUMBER(R39),ISNUMBER(M39)),IFERROR(R39/M39-1,""),"")</f>
        <v/>
      </c>
      <c r="S40" s="26" t="str">
        <f aca="false">IF(AND(ISNUMBER(S39),ISNUMBER(N39)),IFERROR(S39/N39-1,""),"")</f>
        <v/>
      </c>
      <c r="T40" s="26" t="str">
        <f aca="false">IF(AND(ISNUMBER(T39),ISNUMBER(O39)),IFERROR(T39/O39-1,""),"")</f>
        <v/>
      </c>
      <c r="U40" s="26" t="str">
        <f aca="false">IF(AND(ISNUMBER(U39),ISNUMBER(P39)),IFERROR(U39/P39-1,""),"")</f>
        <v/>
      </c>
      <c r="V40" s="26" t="str">
        <f aca="false">IF(AND(ISNUMBER(V39),ISNUMBER(Q39)),IFERROR(V39/Q39-1,""),"")</f>
        <v/>
      </c>
      <c r="W40" s="26" t="str">
        <f aca="false">IF(AND(ISNUMBER(W39),ISNUMBER(R39)),IFERROR(W39/R39-1,""),"")</f>
        <v/>
      </c>
      <c r="X40" s="26" t="str">
        <f aca="false">IF(AND(ISNUMBER(X39),ISNUMBER(S39)),IFERROR(X39/S39-1,""),"")</f>
        <v/>
      </c>
      <c r="Y40" s="26" t="n">
        <f aca="false">IF(AND(ISNUMBER(Y39),ISNUMBER(T39)),IFERROR(Y39/T39-1,""),"")</f>
        <v>0.998928557762217</v>
      </c>
      <c r="Z40" s="26" t="n">
        <f aca="false">IF(AND(ISNUMBER(Z39),ISNUMBER(U39)),IFERROR(Z39/U39-1,""),"")</f>
        <v>0.579068562546774</v>
      </c>
      <c r="AA40" s="26" t="n">
        <f aca="false">IF(AND(ISNUMBER(AA39),ISNUMBER(V39)),IFERROR(AA39/V39-1,""),"")</f>
        <v>0.169167748215445</v>
      </c>
      <c r="AB40" s="26" t="n">
        <f aca="false">IF(AND(ISNUMBER(AB39),ISNUMBER(W39)),IFERROR(AB39/W39-1,""),"")</f>
        <v>0.191106793806871</v>
      </c>
      <c r="AC40" s="26" t="n">
        <f aca="false">IF(AND(ISNUMBER(AC39),ISNUMBER(X39)),IFERROR(AC39/X39-1,""),"")</f>
        <v>0.399707402104215</v>
      </c>
      <c r="AD40" s="26" t="n">
        <f aca="false">IF(AND(ISNUMBER(AD39),ISNUMBER(Y39)),IFERROR(AD39/Y39-1,""),"")</f>
        <v>0.224989471266128</v>
      </c>
      <c r="AE40" s="26" t="n">
        <f aca="false">IF(AND(ISNUMBER(AE39),ISNUMBER(Z39)),IFERROR(AE39/Z39-1,""),"")</f>
        <v>0.240904119577105</v>
      </c>
      <c r="AF40" s="26" t="n">
        <f aca="false">IF(AND(ISNUMBER(AF39),ISNUMBER(AA39)),IFERROR(AF39/AA39-1,""),"")</f>
        <v>0.253286849134492</v>
      </c>
      <c r="AG40" s="26" t="n">
        <f aca="false">IF(AND(ISNUMBER(AG39),ISNUMBER(AB39)),IFERROR(AG39/AB39-1,""),"")</f>
        <v>0.257110996454904</v>
      </c>
      <c r="AH40" s="26" t="n">
        <f aca="false">IF(AND(ISNUMBER(AH39),ISNUMBER(AC39)),IFERROR(AH39/AC39-1,""),"")</f>
        <v>0.244712789378878</v>
      </c>
      <c r="AI40" s="26" t="n">
        <f aca="false">IF(AND(ISNUMBER(AI39),ISNUMBER(AD39)),IFERROR(AI39/AD39-1,""),"")</f>
        <v>0.37023956493882</v>
      </c>
      <c r="AJ40" s="26" t="n">
        <f aca="false">IF(AND(ISNUMBER(AJ39),ISNUMBER(AE39)),IFERROR(AJ39/AE39-1,""),"")</f>
        <v>0.539353075973912</v>
      </c>
      <c r="AK40" s="26" t="n">
        <f aca="false">IF(AND(ISNUMBER(AK39),ISNUMBER(AF39)),IFERROR(AK39/AF39-1,""),"")</f>
        <v>0.450074041269358</v>
      </c>
      <c r="AL40" s="26" t="n">
        <f aca="false">IF(AND(ISNUMBER(AL39),ISNUMBER(AG39)),IFERROR(AL39/AG39-1,""),"")</f>
        <v>0.437039096529902</v>
      </c>
      <c r="AM40" s="26" t="n">
        <f aca="false">IF(AND(ISNUMBER(AM39),ISNUMBER(AH39)),IFERROR(AM39/AH39-1,""),"")</f>
        <v>0.450018759714852</v>
      </c>
      <c r="AN40" s="26" t="n">
        <f aca="false">IF(AND(ISNUMBER(AN39),ISNUMBER(AI39)),IFERROR(AN39/AI39-1,""),"")</f>
        <v>0.303194461868321</v>
      </c>
      <c r="AO40" s="26" t="n">
        <f aca="false">IF(AND(ISNUMBER(AO39),ISNUMBER(AJ39)),IFERROR(AO39/AJ39-1,""),"")</f>
        <v>0.149771454200185</v>
      </c>
      <c r="AP40" s="26" t="n">
        <f aca="false">IF(AND(ISNUMBER(AP39),ISNUMBER(AK39)),IFERROR(AP39/AK39-1,""),"")</f>
        <v>0.199746129912768</v>
      </c>
      <c r="AQ40" s="26" t="n">
        <f aca="false">IF(AND(ISNUMBER(AQ39),ISNUMBER(AL39)),IFERROR(AQ39/AL39-1,""),"")</f>
        <v>0.199251895597056</v>
      </c>
      <c r="AR40" s="26" t="n">
        <f aca="false">IF(AND(ISNUMBER(AR39),ISNUMBER(AM39)),IFERROR(AR39/AM39-1,""),"")</f>
        <v>0.209061225495632</v>
      </c>
      <c r="AS40" s="26" t="n">
        <f aca="false">IF(AND(ISNUMBER(AS39),ISNUMBER(AN39)),IFERROR(AS39/AN39-1,""),"")</f>
        <v>0.202961459026149</v>
      </c>
      <c r="AT40" s="26" t="n">
        <f aca="false">IF(AND(ISNUMBER(AT39),ISNUMBER(AO39)),IFERROR(AT39/AO39-1,""),"")</f>
        <v>0.207929420357214</v>
      </c>
      <c r="AU40" s="26" t="n">
        <f aca="false">IF(AND(ISNUMBER(AU39),ISNUMBER(AP39)),IFERROR(AU39/AP39-1,""),"")</f>
        <v>0.234489726109127</v>
      </c>
      <c r="AV40" s="26" t="n">
        <f aca="false">IF(AND(ISNUMBER(AV39),ISNUMBER(AQ39)),IFERROR(AV39/AQ39-1,""),"")</f>
        <v>0.232023231516195</v>
      </c>
      <c r="AW40" s="26" t="n">
        <f aca="false">IF(AND(ISNUMBER(AW39),ISNUMBER(AR39)),IFERROR(AW39/AR39-1,""),"")</f>
        <v>0.219969793999971</v>
      </c>
      <c r="AX40" s="26" t="n">
        <f aca="false">IF(AND(ISNUMBER(AX39),ISNUMBER(AS39)),IFERROR(AX39/AS39-1,""),"")</f>
        <v>0.208693438091081</v>
      </c>
      <c r="AY40" s="26" t="n">
        <f aca="false">IF(AND(ISNUMBER(AY39),ISNUMBER(AT39)),IFERROR(AY39/AT39-1,""),"")</f>
        <v>0.17737957001807</v>
      </c>
      <c r="AZ40" s="26" t="n">
        <f aca="false">IF(AND(ISNUMBER(AZ39),ISNUMBER(AU39)),IFERROR(AZ39/AU39-1,""),"")</f>
        <v>0.102723218888545</v>
      </c>
      <c r="BA40" s="26" t="n">
        <f aca="false">IF(AND(ISNUMBER(BA39),ISNUMBER(AV39)),IFERROR(BA39/AV39-1,""),"")</f>
        <v>0.0603666521169795</v>
      </c>
      <c r="BB40" s="26" t="n">
        <f aca="false">IF(AND(ISNUMBER(BB39),ISNUMBER(AW39)),IFERROR(BB39/AW39-1,""),"")</f>
        <v>0.13386405593471</v>
      </c>
      <c r="BC40" s="26" t="n">
        <f aca="false">IF(AND(ISNUMBER(BC39),ISNUMBER(AX39)),IFERROR(BC39/AX39-1,""),"")</f>
        <v>0.0561550915755327</v>
      </c>
      <c r="BD40" s="26" t="n">
        <f aca="false">IF(AND(ISNUMBER(BD39),ISNUMBER(AY39)),IFERROR(BD39/AY39-1,""),"")</f>
        <v>0.0642051389788572</v>
      </c>
      <c r="BE40" s="26" t="n">
        <f aca="false">IF(AND(ISNUMBER(BE39),ISNUMBER(AZ39)),IFERROR(BE39/AZ39-1,""),"")</f>
        <v>0.107588020452885</v>
      </c>
      <c r="BF40" s="26" t="n">
        <f aca="false">IF(AND(ISNUMBER(BF39),ISNUMBER(BA39)),IFERROR(BF39/BA39-1,""),"")</f>
        <v>0.16445066480056</v>
      </c>
      <c r="BG40" s="26" t="n">
        <f aca="false">IF(AND(ISNUMBER(BG39),ISNUMBER(BB39)),IFERROR(BG39/BB39-1,""),"")</f>
        <v>0.0982907997878235</v>
      </c>
      <c r="BH40" s="26" t="n">
        <f aca="false">IF(AND(ISNUMBER(BH39),ISNUMBER(BC39)),IFERROR(BH39/BC39-1,""),"")</f>
        <v>0.200710064566866</v>
      </c>
      <c r="BI40" s="26" t="n">
        <f aca="false">IF(AND(ISNUMBER(BI39),ISNUMBER(BD39)),IFERROR(BI39/BD39-1,""),"")</f>
        <v>0.229942037409725</v>
      </c>
      <c r="BJ40" s="26" t="n">
        <f aca="false">IF(AND(ISNUMBER(BJ39),ISNUMBER(BE39)),IFERROR(BJ39/BE39-1,""),"")</f>
        <v>0.241679680904947</v>
      </c>
      <c r="BK40" s="26" t="n">
        <f aca="false">IF(AND(ISNUMBER(BK39),ISNUMBER(BF39)),IFERROR(BK39/BF39-1,""),"")</f>
        <v>0.231213639301875</v>
      </c>
      <c r="BL40" s="26" t="n">
        <f aca="false">IF(AND(ISNUMBER(BL39),ISNUMBER(BG39)),IFERROR(BL39/BG39-1,""),"")</f>
        <v>0.226475339018069</v>
      </c>
      <c r="BM40" s="26" t="n">
        <f aca="false">IF(AND(ISNUMBER(BM39),ISNUMBER(BH39)),IFERROR(BM39/BH39-1,""),"")</f>
        <v>0.209319544179557</v>
      </c>
      <c r="BN40" s="26" t="n">
        <f aca="false">IF(AND(ISNUMBER(BN39),ISNUMBER(BI39)),IFERROR(BN39/BI39-1,""),"")</f>
        <v>0.177934023210918</v>
      </c>
      <c r="BO40" s="26" t="n">
        <f aca="false">IF(AND(ISNUMBER(BO39),ISNUMBER(BJ39)),IFERROR(BO39/BJ39-1,""),"")</f>
        <v>0.154910067433491</v>
      </c>
      <c r="BP40" s="26" t="n">
        <f aca="false">IF(AND(ISNUMBER(BP39),ISNUMBER(BK39)),IFERROR(BP39/BK39-1,""),"")</f>
        <v>0.134126333059885</v>
      </c>
      <c r="BQ40" s="26" t="n">
        <f aca="false">IF(AND(ISNUMBER(BQ39),ISNUMBER(BL39)),IFERROR(BQ39/BL39-1,""),"")</f>
        <v>0.167468825202363</v>
      </c>
      <c r="BR40" s="26" t="n">
        <f aca="false">IF(AND(ISNUMBER(BR39),ISNUMBER(BM39)),IFERROR(BR39/BM39-1,""),"")</f>
        <v>0.108712715855573</v>
      </c>
      <c r="BS40" s="26" t="n">
        <f aca="false">IF(AND(ISNUMBER(BS39),ISNUMBER(BN39)),IFERROR(BS39/BN39-1,""),"")</f>
        <v>0.106358819076457</v>
      </c>
      <c r="BT40" s="26" t="n">
        <f aca="false">IF(AND(ISNUMBER(BT39),ISNUMBER(BO39)),IFERROR(BT39/BO39-1,""),"")</f>
        <v>0.114790286975717</v>
      </c>
      <c r="BU40" s="26" t="str">
        <f aca="false">IF(AND(ISNUMBER(BU39),ISNUMBER(BP39)),IFERROR(BU39/BP39-1,""),"")</f>
        <v/>
      </c>
      <c r="BV40" s="26" t="str">
        <f aca="false">IF(AND(ISNUMBER(BV39),ISNUMBER(BQ39)),IFERROR(BV39/BQ39-1,""),"")</f>
        <v/>
      </c>
      <c r="BW40" s="26" t="str">
        <f aca="false">IF(AND(ISNUMBER(BW39),ISNUMBER(BR39)),IFERROR(BW39/BR39-1,""),"")</f>
        <v/>
      </c>
      <c r="BX40" s="26" t="str">
        <f aca="false">IF(AND(ISNUMBER(BX39),ISNUMBER(BS39)),IFERROR(BX39/BS39-1,""),"")</f>
        <v/>
      </c>
      <c r="BY40" s="27"/>
      <c r="BZ40" s="27"/>
      <c r="CA40" s="27"/>
      <c r="CB40" s="27"/>
      <c r="CC40" s="27"/>
      <c r="CD40" s="27"/>
      <c r="CE40" s="27"/>
      <c r="CF40" s="28"/>
      <c r="CN40" s="29" t="s">
        <v>164</v>
      </c>
      <c r="CO40" s="40" t="n">
        <v>1</v>
      </c>
      <c r="CP40" s="40" t="n">
        <v>0.5</v>
      </c>
      <c r="CQ40" s="40" t="n">
        <v>0</v>
      </c>
      <c r="CR40" s="14" t="s">
        <v>165</v>
      </c>
    </row>
    <row r="41" customFormat="false" ht="15" hidden="true" customHeight="true" outlineLevel="1" collapsed="false">
      <c r="B41" s="29" t="s">
        <v>166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5" t="n">
        <v>27.54</v>
      </c>
      <c r="U41" s="35" t="n">
        <v>28.392</v>
      </c>
      <c r="V41" s="35" t="n">
        <v>29.29</v>
      </c>
      <c r="W41" s="35" t="n">
        <v>29.682</v>
      </c>
      <c r="X41" s="35" t="n">
        <v>114.904</v>
      </c>
      <c r="Y41" s="35" t="n">
        <v>30.442</v>
      </c>
      <c r="Z41" s="35" t="n">
        <v>31.51</v>
      </c>
      <c r="AA41" s="35" t="n">
        <v>32.31</v>
      </c>
      <c r="AB41" s="35" t="n">
        <v>32.899</v>
      </c>
      <c r="AC41" s="35" t="n">
        <v>127.161</v>
      </c>
      <c r="AD41" s="35" t="n">
        <v>34.247</v>
      </c>
      <c r="AE41" s="35" t="n">
        <v>36.971</v>
      </c>
      <c r="AF41" s="35" t="n">
        <v>39.246</v>
      </c>
      <c r="AG41" s="35" t="n">
        <v>39.108</v>
      </c>
      <c r="AH41" s="35" t="n">
        <v>149.572</v>
      </c>
      <c r="AI41" s="35" t="n">
        <v>40.614</v>
      </c>
      <c r="AJ41" s="35" t="n">
        <v>42.732</v>
      </c>
      <c r="AK41" s="35" t="n">
        <v>44.128</v>
      </c>
      <c r="AL41" s="35" t="n">
        <v>45.893</v>
      </c>
      <c r="AM41" s="35" t="n">
        <v>173.218</v>
      </c>
      <c r="AN41" s="35" t="n">
        <v>47.606</v>
      </c>
      <c r="AO41" s="35" t="n">
        <v>49.67</v>
      </c>
      <c r="AP41" s="35" t="n">
        <v>51.617</v>
      </c>
      <c r="AQ41" s="35" t="n">
        <v>53.951</v>
      </c>
      <c r="AR41" s="35" t="n">
        <v>202.844</v>
      </c>
      <c r="AS41" s="35" t="n">
        <v>57.049</v>
      </c>
      <c r="AT41" s="35" t="n">
        <v>56.029</v>
      </c>
      <c r="AU41" s="35" t="n">
        <v>71.274</v>
      </c>
      <c r="AV41" s="35" t="n">
        <v>81.307</v>
      </c>
      <c r="AW41" s="35" t="n">
        <v>265.659</v>
      </c>
      <c r="AX41" s="35" t="n">
        <v>84.67</v>
      </c>
      <c r="AY41" s="35" t="n">
        <v>96.84</v>
      </c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6"/>
      <c r="BZ41" s="36"/>
      <c r="CA41" s="36"/>
      <c r="CB41" s="36"/>
      <c r="CC41" s="36"/>
      <c r="CD41" s="36"/>
      <c r="CE41" s="36"/>
      <c r="CF41" s="28"/>
      <c r="CN41" s="16" t="s">
        <v>167</v>
      </c>
      <c r="CO41" s="23"/>
      <c r="CP41" s="23"/>
      <c r="CQ41" s="23"/>
      <c r="CR41" s="14"/>
    </row>
    <row r="42" customFormat="false" ht="15" hidden="true" customHeight="true" outlineLevel="1" collapsed="false">
      <c r="B42" s="29" t="s">
        <v>168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5" t="n">
        <v>43.2</v>
      </c>
      <c r="AT42" s="35" t="n">
        <v>43.32</v>
      </c>
      <c r="AU42" s="35" t="n">
        <v>45.084</v>
      </c>
      <c r="AV42" s="35" t="n">
        <v>48.201</v>
      </c>
      <c r="AW42" s="35" t="n">
        <v>179.805</v>
      </c>
      <c r="AX42" s="35" t="n">
        <v>49.23</v>
      </c>
      <c r="AY42" s="35" t="n">
        <v>51.095</v>
      </c>
      <c r="AZ42" s="35" t="n">
        <v>52.527</v>
      </c>
      <c r="BA42" s="35" t="n">
        <v>54.659</v>
      </c>
      <c r="BB42" s="35" t="n">
        <v>207.511</v>
      </c>
      <c r="BC42" s="35" t="n">
        <v>54.447</v>
      </c>
      <c r="BD42" s="35" t="n">
        <v>56.297</v>
      </c>
      <c r="BE42" s="35" t="n">
        <v>58.901</v>
      </c>
      <c r="BF42" s="35" t="n">
        <v>61.296</v>
      </c>
      <c r="BG42" s="35" t="n">
        <v>230.941</v>
      </c>
      <c r="BH42" s="35" t="n">
        <v>63.237</v>
      </c>
      <c r="BI42" s="35" t="n">
        <v>65.563</v>
      </c>
      <c r="BJ42" s="35" t="n">
        <v>67.481</v>
      </c>
      <c r="BK42" s="35" t="n">
        <v>68.5</v>
      </c>
      <c r="BL42" s="35" t="n">
        <v>264.8</v>
      </c>
      <c r="BM42" s="35" t="n">
        <v>69.1</v>
      </c>
      <c r="BN42" s="35" t="n">
        <v>69.8</v>
      </c>
      <c r="BO42" s="35" t="n">
        <v>70.9</v>
      </c>
      <c r="BP42" s="35" t="n">
        <v>71.9</v>
      </c>
      <c r="BQ42" s="35" t="n">
        <v>281.7</v>
      </c>
      <c r="BR42" s="35" t="n">
        <v>72.8</v>
      </c>
      <c r="BS42" s="35" t="n">
        <v>75.7</v>
      </c>
      <c r="BT42" s="35" t="n">
        <v>79.3</v>
      </c>
      <c r="BU42" s="34"/>
      <c r="BV42" s="34"/>
      <c r="BW42" s="34"/>
      <c r="BX42" s="34"/>
      <c r="BY42" s="36"/>
      <c r="BZ42" s="36"/>
      <c r="CA42" s="36"/>
      <c r="CB42" s="36"/>
      <c r="CC42" s="36"/>
      <c r="CD42" s="36"/>
      <c r="CE42" s="36"/>
      <c r="CF42" s="28"/>
      <c r="CN42" s="29" t="s">
        <v>169</v>
      </c>
      <c r="CO42" s="37"/>
      <c r="CP42" s="37" t="n">
        <v>0.15</v>
      </c>
      <c r="CQ42" s="37"/>
      <c r="CR42" s="14" t="s">
        <v>170</v>
      </c>
    </row>
    <row r="43" customFormat="false" ht="15" hidden="true" customHeight="true" outlineLevel="1" collapsed="false">
      <c r="B43" s="29" t="s">
        <v>171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5" t="n">
        <v>0</v>
      </c>
      <c r="AT43" s="35" t="n">
        <v>0</v>
      </c>
      <c r="AU43" s="35" t="n">
        <v>0</v>
      </c>
      <c r="AV43" s="35" t="n">
        <v>0</v>
      </c>
      <c r="AW43" s="35" t="n">
        <v>0</v>
      </c>
      <c r="AX43" s="35" t="n">
        <v>11.105</v>
      </c>
      <c r="AY43" s="35" t="n">
        <v>18.087</v>
      </c>
      <c r="AZ43" s="35" t="n">
        <v>24.747</v>
      </c>
      <c r="BA43" s="35" t="n">
        <v>20.644</v>
      </c>
      <c r="BB43" s="35" t="n">
        <v>74.583</v>
      </c>
      <c r="BC43" s="35" t="n">
        <v>18.06</v>
      </c>
      <c r="BD43" s="35" t="n">
        <v>20.154</v>
      </c>
      <c r="BE43" s="35" t="n">
        <v>19.351</v>
      </c>
      <c r="BF43" s="35" t="n">
        <v>16.182</v>
      </c>
      <c r="BG43" s="35" t="n">
        <v>73.747</v>
      </c>
      <c r="BH43" s="35" t="n">
        <v>13.153</v>
      </c>
      <c r="BI43" s="35" t="n">
        <v>12.708</v>
      </c>
      <c r="BJ43" s="35" t="n">
        <v>10.293</v>
      </c>
      <c r="BK43" s="35" t="n">
        <v>10</v>
      </c>
      <c r="BL43" s="35" t="n">
        <v>46.1</v>
      </c>
      <c r="BM43" s="35" t="n">
        <v>18.6</v>
      </c>
      <c r="BN43" s="35" t="n">
        <v>26.2</v>
      </c>
      <c r="BO43" s="35" t="n">
        <v>27.7</v>
      </c>
      <c r="BP43" s="35" t="n">
        <v>28.1</v>
      </c>
      <c r="BQ43" s="35" t="n">
        <v>100.6</v>
      </c>
      <c r="BR43" s="35" t="n">
        <v>27.2</v>
      </c>
      <c r="BS43" s="35" t="n">
        <v>28.4</v>
      </c>
      <c r="BT43" s="35" t="n">
        <v>54.9</v>
      </c>
      <c r="BU43" s="34"/>
      <c r="BV43" s="34"/>
      <c r="BW43" s="34"/>
      <c r="BX43" s="34"/>
      <c r="BY43" s="36"/>
      <c r="BZ43" s="36"/>
      <c r="CA43" s="36"/>
      <c r="CB43" s="36"/>
      <c r="CC43" s="36"/>
      <c r="CD43" s="36"/>
      <c r="CE43" s="36"/>
      <c r="CF43" s="28"/>
      <c r="CN43" s="29" t="s">
        <v>172</v>
      </c>
      <c r="CO43" s="30"/>
      <c r="CP43" s="30" t="n">
        <v>1250</v>
      </c>
      <c r="CQ43" s="30"/>
      <c r="CR43" s="14" t="s">
        <v>173</v>
      </c>
    </row>
    <row r="44" customFormat="false" ht="15" hidden="true" customHeight="true" outlineLevel="1" collapsed="false">
      <c r="B44" s="29" t="s">
        <v>174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5" t="n">
        <v>13.849</v>
      </c>
      <c r="AT44" s="35" t="n">
        <v>12.709</v>
      </c>
      <c r="AU44" s="35" t="n">
        <v>26.19</v>
      </c>
      <c r="AV44" s="35" t="n">
        <v>33.106</v>
      </c>
      <c r="AW44" s="35" t="n">
        <v>85.854</v>
      </c>
      <c r="AX44" s="35" t="n">
        <v>24.335</v>
      </c>
      <c r="AY44" s="35" t="n">
        <v>27.658</v>
      </c>
      <c r="AZ44" s="35" t="n">
        <v>31.729</v>
      </c>
      <c r="BA44" s="35" t="n">
        <v>35.163</v>
      </c>
      <c r="BB44" s="35" t="n">
        <v>118.885</v>
      </c>
      <c r="BC44" s="35" t="n">
        <v>31.977</v>
      </c>
      <c r="BD44" s="35" t="n">
        <v>32.43</v>
      </c>
      <c r="BE44" s="35" t="n">
        <v>35.43</v>
      </c>
      <c r="BF44" s="35" t="n">
        <v>38.124</v>
      </c>
      <c r="BG44" s="35" t="n">
        <v>137.961</v>
      </c>
      <c r="BH44" s="35" t="n">
        <v>30.637</v>
      </c>
      <c r="BI44" s="35" t="n">
        <v>32.254</v>
      </c>
      <c r="BJ44" s="35" t="n">
        <v>33.556</v>
      </c>
      <c r="BK44" s="35" t="n">
        <v>37.4</v>
      </c>
      <c r="BL44" s="35" t="n">
        <v>133.8</v>
      </c>
      <c r="BM44" s="35" t="n">
        <v>30.6</v>
      </c>
      <c r="BN44" s="35" t="n">
        <v>31.2</v>
      </c>
      <c r="BO44" s="35" t="n">
        <v>32.3</v>
      </c>
      <c r="BP44" s="35" t="n">
        <v>36.1</v>
      </c>
      <c r="BQ44" s="35" t="n">
        <v>130.2</v>
      </c>
      <c r="BR44" s="35" t="n">
        <v>44.8</v>
      </c>
      <c r="BS44" s="35" t="n">
        <v>74.7</v>
      </c>
      <c r="BT44" s="35" t="n">
        <v>78.1</v>
      </c>
      <c r="BU44" s="34"/>
      <c r="BV44" s="34"/>
      <c r="BW44" s="34"/>
      <c r="BX44" s="34"/>
      <c r="BY44" s="36"/>
      <c r="BZ44" s="36"/>
      <c r="CA44" s="36"/>
      <c r="CB44" s="36"/>
      <c r="CC44" s="36"/>
      <c r="CD44" s="36"/>
      <c r="CE44" s="36"/>
      <c r="CF44" s="28"/>
    </row>
    <row r="45" customFormat="false" ht="15" hidden="true" customHeight="true" outlineLevel="1" collapsed="false">
      <c r="B45" s="41" t="s">
        <v>175</v>
      </c>
      <c r="C45" s="34" t="str">
        <f aca="false">IF(ISNUMBER(C37),ROUND(N(C37)+N(C38)+N(C39)+IF(ISNUMBER(C42),N(C42)+N(C43)+N(C44),N(C41))-C121,1),"")</f>
        <v/>
      </c>
      <c r="D45" s="34" t="str">
        <f aca="false">IF(ISNUMBER(D37),ROUND(N(D37)+N(D38)+N(D39)+IF(ISNUMBER(D42),N(D42)+N(D43)+N(D44),N(D41))-D121,1),"")</f>
        <v/>
      </c>
      <c r="E45" s="34" t="str">
        <f aca="false">IF(ISNUMBER(E37),ROUND(N(E37)+N(E38)+N(E39)+IF(ISNUMBER(E42),N(E42)+N(E43)+N(E44),N(E41))-E121,1),"")</f>
        <v/>
      </c>
      <c r="F45" s="34" t="str">
        <f aca="false">IF(ISNUMBER(F37),ROUND(N(F37)+N(F38)+N(F39)+IF(ISNUMBER(F42),N(F42)+N(F43)+N(F44),N(F41))-F121,1),"")</f>
        <v/>
      </c>
      <c r="G45" s="34" t="str">
        <f aca="false">IF(ISNUMBER(G37),ROUND(N(G37)+N(G38)+N(G39)+IF(ISNUMBER(G42),N(G42)+N(G43)+N(G44),N(G41))-G121,1),"")</f>
        <v/>
      </c>
      <c r="H45" s="34" t="str">
        <f aca="false">IF(ISNUMBER(H37),ROUND(N(H37)+N(H38)+N(H39)+IF(ISNUMBER(H42),N(H42)+N(H43)+N(H44),N(H41))-H121,1),"")</f>
        <v/>
      </c>
      <c r="I45" s="34" t="str">
        <f aca="false">IF(ISNUMBER(I37),ROUND(N(I37)+N(I38)+N(I39)+IF(ISNUMBER(I42),N(I42)+N(I43)+N(I44),N(I41))-I121,1),"")</f>
        <v/>
      </c>
      <c r="J45" s="34" t="str">
        <f aca="false">IF(ISNUMBER(J37),ROUND(N(J37)+N(J38)+N(J39)+IF(ISNUMBER(J42),N(J42)+N(J43)+N(J44),N(J41))-J121,1),"")</f>
        <v/>
      </c>
      <c r="K45" s="34" t="str">
        <f aca="false">IF(ISNUMBER(K37),ROUND(N(K37)+N(K38)+N(K39)+IF(ISNUMBER(K42),N(K42)+N(K43)+N(K44),N(K41))-K121,1),"")</f>
        <v/>
      </c>
      <c r="L45" s="34" t="str">
        <f aca="false">IF(ISNUMBER(L37),ROUND(N(L37)+N(L38)+N(L39)+IF(ISNUMBER(L42),N(L42)+N(L43)+N(L44),N(L41))-L121,1),"")</f>
        <v/>
      </c>
      <c r="M45" s="34" t="str">
        <f aca="false">IF(ISNUMBER(M37),ROUND(N(M37)+N(M38)+N(M39)+IF(ISNUMBER(M42),N(M42)+N(M43)+N(M44),N(M41))-M121,1),"")</f>
        <v/>
      </c>
      <c r="N45" s="34" t="str">
        <f aca="false">IF(ISNUMBER(N37),ROUND(N(N37)+N(N38)+N(N39)+IF(ISNUMBER(N42),N(N42)+N(N43)+N(N44),N(N41))-N121,1),"")</f>
        <v/>
      </c>
      <c r="O45" s="34" t="str">
        <f aca="false">IF(ISNUMBER(O37),ROUND(N(O37)+N(O38)+N(O39)+IF(ISNUMBER(O42),N(O42)+N(O43)+N(O44),N(O41))-O121,1),"")</f>
        <v/>
      </c>
      <c r="P45" s="34" t="str">
        <f aca="false">IF(ISNUMBER(P37),ROUND(N(P37)+N(P38)+N(P39)+IF(ISNUMBER(P42),N(P42)+N(P43)+N(P44),N(P41))-P121,1),"")</f>
        <v/>
      </c>
      <c r="Q45" s="34" t="str">
        <f aca="false">IF(ISNUMBER(Q37),ROUND(N(Q37)+N(Q38)+N(Q39)+IF(ISNUMBER(Q42),N(Q42)+N(Q43)+N(Q44),N(Q41))-Q121,1),"")</f>
        <v/>
      </c>
      <c r="R45" s="34" t="str">
        <f aca="false">IF(ISNUMBER(R37),ROUND(N(R37)+N(R38)+N(R39)+IF(ISNUMBER(R42),N(R42)+N(R43)+N(R44),N(R41))-R121,1),"")</f>
        <v/>
      </c>
      <c r="S45" s="34" t="str">
        <f aca="false">IF(ISNUMBER(S37),ROUND(N(S37)+N(S38)+N(S39)+IF(ISNUMBER(S42),N(S42)+N(S43)+N(S44),N(S41))-S121,1),"")</f>
        <v/>
      </c>
      <c r="T45" s="34" t="n">
        <f aca="false">IF(ISNUMBER(T37),ROUND(N(T37)+N(T38)+N(T39)+IF(ISNUMBER(T42),N(T42)+N(T43)+N(T44),N(T41))-T121,1),"")</f>
        <v>0</v>
      </c>
      <c r="U45" s="34" t="n">
        <f aca="false">IF(ISNUMBER(U37),ROUND(N(U37)+N(U38)+N(U39)+IF(ISNUMBER(U42),N(U42)+N(U43)+N(U44),N(U41))-U121,1),"")</f>
        <v>0</v>
      </c>
      <c r="V45" s="34" t="n">
        <f aca="false">IF(ISNUMBER(V37),ROUND(N(V37)+N(V38)+N(V39)+IF(ISNUMBER(V42),N(V42)+N(V43)+N(V44),N(V41))-V121,1),"")</f>
        <v>0</v>
      </c>
      <c r="W45" s="34" t="n">
        <f aca="false">IF(ISNUMBER(W37),ROUND(N(W37)+N(W38)+N(W39)+IF(ISNUMBER(W42),N(W42)+N(W43)+N(W44),N(W41))-W121,1),"")</f>
        <v>0</v>
      </c>
      <c r="X45" s="34" t="n">
        <f aca="false">IF(ISNUMBER(X37),ROUND(N(X37)+N(X38)+N(X39)+IF(ISNUMBER(X42),N(X42)+N(X43)+N(X44),N(X41))-X121,1),"")</f>
        <v>0</v>
      </c>
      <c r="Y45" s="34" t="n">
        <f aca="false">IF(ISNUMBER(Y37),ROUND(N(Y37)+N(Y38)+N(Y39)+IF(ISNUMBER(Y42),N(Y42)+N(Y43)+N(Y44),N(Y41))-Y121,1),"")</f>
        <v>0</v>
      </c>
      <c r="Z45" s="34" t="n">
        <f aca="false">IF(ISNUMBER(Z37),ROUND(N(Z37)+N(Z38)+N(Z39)+IF(ISNUMBER(Z42),N(Z42)+N(Z43)+N(Z44),N(Z41))-Z121,1),"")</f>
        <v>0</v>
      </c>
      <c r="AA45" s="34" t="n">
        <f aca="false">IF(ISNUMBER(AA37),ROUND(N(AA37)+N(AA38)+N(AA39)+IF(ISNUMBER(AA42),N(AA42)+N(AA43)+N(AA44),N(AA41))-AA121,1),"")</f>
        <v>0</v>
      </c>
      <c r="AB45" s="34" t="n">
        <f aca="false">IF(ISNUMBER(AB37),ROUND(N(AB37)+N(AB38)+N(AB39)+IF(ISNUMBER(AB42),N(AB42)+N(AB43)+N(AB44),N(AB41))-AB121,1),"")</f>
        <v>0</v>
      </c>
      <c r="AC45" s="34" t="n">
        <f aca="false">IF(ISNUMBER(AC37),ROUND(N(AC37)+N(AC38)+N(AC39)+IF(ISNUMBER(AC42),N(AC42)+N(AC43)+N(AC44),N(AC41))-AC121,1),"")</f>
        <v>0</v>
      </c>
      <c r="AD45" s="34" t="n">
        <f aca="false">IF(ISNUMBER(AD37),ROUND(N(AD37)+N(AD38)+N(AD39)+IF(ISNUMBER(AD42),N(AD42)+N(AD43)+N(AD44),N(AD41))-AD121,1),"")</f>
        <v>0</v>
      </c>
      <c r="AE45" s="34" t="n">
        <f aca="false">IF(ISNUMBER(AE37),ROUND(N(AE37)+N(AE38)+N(AE39)+IF(ISNUMBER(AE42),N(AE42)+N(AE43)+N(AE44),N(AE41))-AE121,1),"")</f>
        <v>0</v>
      </c>
      <c r="AF45" s="34" t="n">
        <f aca="false">IF(ISNUMBER(AF37),ROUND(N(AF37)+N(AF38)+N(AF39)+IF(ISNUMBER(AF42),N(AF42)+N(AF43)+N(AF44),N(AF41))-AF121,1),"")</f>
        <v>0</v>
      </c>
      <c r="AG45" s="34" t="n">
        <f aca="false">IF(ISNUMBER(AG37),ROUND(N(AG37)+N(AG38)+N(AG39)+IF(ISNUMBER(AG42),N(AG42)+N(AG43)+N(AG44),N(AG41))-AG121,1),"")</f>
        <v>0</v>
      </c>
      <c r="AH45" s="34" t="n">
        <f aca="false">IF(ISNUMBER(AH37),ROUND(N(AH37)+N(AH38)+N(AH39)+IF(ISNUMBER(AH42),N(AH42)+N(AH43)+N(AH44),N(AH41))-AH121,1),"")</f>
        <v>0</v>
      </c>
      <c r="AI45" s="34" t="n">
        <f aca="false">IF(ISNUMBER(AI37),ROUND(N(AI37)+N(AI38)+N(AI39)+IF(ISNUMBER(AI42),N(AI42)+N(AI43)+N(AI44),N(AI41))-AI121,1),"")</f>
        <v>0</v>
      </c>
      <c r="AJ45" s="34" t="n">
        <f aca="false">IF(ISNUMBER(AJ37),ROUND(N(AJ37)+N(AJ38)+N(AJ39)+IF(ISNUMBER(AJ42),N(AJ42)+N(AJ43)+N(AJ44),N(AJ41))-AJ121,1),"")</f>
        <v>0</v>
      </c>
      <c r="AK45" s="34" t="n">
        <f aca="false">IF(ISNUMBER(AK37),ROUND(N(AK37)+N(AK38)+N(AK39)+IF(ISNUMBER(AK42),N(AK42)+N(AK43)+N(AK44),N(AK41))-AK121,1),"")</f>
        <v>0</v>
      </c>
      <c r="AL45" s="34" t="n">
        <f aca="false">IF(ISNUMBER(AL37),ROUND(N(AL37)+N(AL38)+N(AL39)+IF(ISNUMBER(AL42),N(AL42)+N(AL43)+N(AL44),N(AL41))-AL121,1),"")</f>
        <v>0</v>
      </c>
      <c r="AM45" s="34" t="n">
        <f aca="false">IF(ISNUMBER(AM37),ROUND(N(AM37)+N(AM38)+N(AM39)+IF(ISNUMBER(AM42),N(AM42)+N(AM43)+N(AM44),N(AM41))-AM121,1),"")</f>
        <v>0</v>
      </c>
      <c r="AN45" s="34" t="n">
        <f aca="false">IF(ISNUMBER(AN37),ROUND(N(AN37)+N(AN38)+N(AN39)+IF(ISNUMBER(AN42),N(AN42)+N(AN43)+N(AN44),N(AN41))-AN121,1),"")</f>
        <v>0</v>
      </c>
      <c r="AO45" s="34" t="n">
        <f aca="false">IF(ISNUMBER(AO37),ROUND(N(AO37)+N(AO38)+N(AO39)+IF(ISNUMBER(AO42),N(AO42)+N(AO43)+N(AO44),N(AO41))-AO121,1),"")</f>
        <v>0</v>
      </c>
      <c r="AP45" s="34" t="n">
        <f aca="false">IF(ISNUMBER(AP37),ROUND(N(AP37)+N(AP38)+N(AP39)+IF(ISNUMBER(AP42),N(AP42)+N(AP43)+N(AP44),N(AP41))-AP121,1),"")</f>
        <v>0</v>
      </c>
      <c r="AQ45" s="34" t="n">
        <f aca="false">IF(ISNUMBER(AQ37),ROUND(N(AQ37)+N(AQ38)+N(AQ39)+IF(ISNUMBER(AQ42),N(AQ42)+N(AQ43)+N(AQ44),N(AQ41))-AQ121,1),"")</f>
        <v>0</v>
      </c>
      <c r="AR45" s="34" t="n">
        <f aca="false">IF(ISNUMBER(AR37),ROUND(N(AR37)+N(AR38)+N(AR39)+IF(ISNUMBER(AR42),N(AR42)+N(AR43)+N(AR44),N(AR41))-AR121,1),"")</f>
        <v>0</v>
      </c>
      <c r="AS45" s="34" t="n">
        <f aca="false">IF(ISNUMBER(AS37),ROUND(N(AS37)+N(AS38)+N(AS39)+IF(ISNUMBER(AS42),N(AS42)+N(AS43)+N(AS44),N(AS41))-AS121,1),"")</f>
        <v>0</v>
      </c>
      <c r="AT45" s="34" t="n">
        <f aca="false">IF(ISNUMBER(AT37),ROUND(N(AT37)+N(AT38)+N(AT39)+IF(ISNUMBER(AT42),N(AT42)+N(AT43)+N(AT44),N(AT41))-AT121,1),"")</f>
        <v>0</v>
      </c>
      <c r="AU45" s="34" t="n">
        <f aca="false">IF(ISNUMBER(AU37),ROUND(N(AU37)+N(AU38)+N(AU39)+IF(ISNUMBER(AU42),N(AU42)+N(AU43)+N(AU44),N(AU41))-AU121,1),"")</f>
        <v>0</v>
      </c>
      <c r="AV45" s="34" t="n">
        <f aca="false">IF(ISNUMBER(AV37),ROUND(N(AV37)+N(AV38)+N(AV39)+IF(ISNUMBER(AV42),N(AV42)+N(AV43)+N(AV44),N(AV41))-AV121,1),"")</f>
        <v>0</v>
      </c>
      <c r="AW45" s="34" t="n">
        <f aca="false">IF(ISNUMBER(AW37),ROUND(N(AW37)+N(AW38)+N(AW39)+IF(ISNUMBER(AW42),N(AW42)+N(AW43)+N(AW44),N(AW41))-AW121,1),"")</f>
        <v>0</v>
      </c>
      <c r="AX45" s="34" t="n">
        <f aca="false">IF(ISNUMBER(AX37),ROUND(N(AX37)+N(AX38)+N(AX39)+IF(ISNUMBER(AX42),N(AX42)+N(AX43)+N(AX44),N(AX41))-AX121,1),"")</f>
        <v>0</v>
      </c>
      <c r="AY45" s="34" t="n">
        <f aca="false">IF(ISNUMBER(AY37),ROUND(N(AY37)+N(AY38)+N(AY39)+IF(ISNUMBER(AY42),N(AY42)+N(AY43)+N(AY44),N(AY41))-AY121,1),"")</f>
        <v>0</v>
      </c>
      <c r="AZ45" s="34" t="n">
        <f aca="false">IF(ISNUMBER(AZ37),ROUND(N(AZ37)+N(AZ38)+N(AZ39)+IF(ISNUMBER(AZ42),N(AZ42)+N(AZ43)+N(AZ44),N(AZ41))-AZ121,1),"")</f>
        <v>0</v>
      </c>
      <c r="BA45" s="34" t="n">
        <f aca="false">IF(ISNUMBER(BA37),ROUND(N(BA37)+N(BA38)+N(BA39)+IF(ISNUMBER(BA42),N(BA42)+N(BA43)+N(BA44),N(BA41))-BA121,1),"")</f>
        <v>0</v>
      </c>
      <c r="BB45" s="34" t="n">
        <f aca="false">IF(ISNUMBER(BB37),ROUND(N(BB37)+N(BB38)+N(BB39)+IF(ISNUMBER(BB42),N(BB42)+N(BB43)+N(BB44),N(BB41))-BB121,1),"")</f>
        <v>0</v>
      </c>
      <c r="BC45" s="34" t="n">
        <f aca="false">IF(ISNUMBER(BC37),ROUND(N(BC37)+N(BC38)+N(BC39)+IF(ISNUMBER(BC42),N(BC42)+N(BC43)+N(BC44),N(BC41))-BC121,1),"")</f>
        <v>0</v>
      </c>
      <c r="BD45" s="34" t="n">
        <f aca="false">IF(ISNUMBER(BD37),ROUND(N(BD37)+N(BD38)+N(BD39)+IF(ISNUMBER(BD42),N(BD42)+N(BD43)+N(BD44),N(BD41))-BD121,1),"")</f>
        <v>0</v>
      </c>
      <c r="BE45" s="34" t="n">
        <f aca="false">IF(ISNUMBER(BE37),ROUND(N(BE37)+N(BE38)+N(BE39)+IF(ISNUMBER(BE42),N(BE42)+N(BE43)+N(BE44),N(BE41))-BE121,1),"")</f>
        <v>0</v>
      </c>
      <c r="BF45" s="34" t="n">
        <f aca="false">IF(ISNUMBER(BF37),ROUND(N(BF37)+N(BF38)+N(BF39)+IF(ISNUMBER(BF42),N(BF42)+N(BF43)+N(BF44),N(BF41))-BF121,1),"")</f>
        <v>0</v>
      </c>
      <c r="BG45" s="34" t="n">
        <f aca="false">IF(ISNUMBER(BG37),ROUND(N(BG37)+N(BG38)+N(BG39)+IF(ISNUMBER(BG42),N(BG42)+N(BG43)+N(BG44),N(BG41))-BG121,1),"")</f>
        <v>0</v>
      </c>
      <c r="BH45" s="34" t="n">
        <f aca="false">IF(ISNUMBER(BH37),ROUND(N(BH37)+N(BH38)+N(BH39)+IF(ISNUMBER(BH42),N(BH42)+N(BH43)+N(BH44),N(BH41))-BH121,1),"")</f>
        <v>0</v>
      </c>
      <c r="BI45" s="34" t="n">
        <f aca="false">IF(ISNUMBER(BI37),ROUND(N(BI37)+N(BI38)+N(BI39)+IF(ISNUMBER(BI42),N(BI42)+N(BI43)+N(BI44),N(BI41))-BI121,1),"")</f>
        <v>0</v>
      </c>
      <c r="BJ45" s="34" t="n">
        <f aca="false">IF(ISNUMBER(BJ37),ROUND(N(BJ37)+N(BJ38)+N(BJ39)+IF(ISNUMBER(BJ42),N(BJ42)+N(BJ43)+N(BJ44),N(BJ41))-BJ121,1),"")</f>
        <v>0</v>
      </c>
      <c r="BK45" s="34" t="n">
        <f aca="false">IF(ISNUMBER(BK37),ROUND(N(BK37)+N(BK38)+N(BK39)+IF(ISNUMBER(BK42),N(BK42)+N(BK43)+N(BK44),N(BK41))-BK121,1),"")</f>
        <v>0</v>
      </c>
      <c r="BL45" s="34" t="n">
        <f aca="false">IF(ISNUMBER(BL37),ROUND(N(BL37)+N(BL38)+N(BL39)+IF(ISNUMBER(BL42),N(BL42)+N(BL43)+N(BL44),N(BL41))-BL121,1),"")</f>
        <v>0</v>
      </c>
      <c r="BM45" s="34" t="n">
        <f aca="false">IF(ISNUMBER(BM37),ROUND(N(BM37)+N(BM38)+N(BM39)+IF(ISNUMBER(BM42),N(BM42)+N(BM43)+N(BM44),N(BM41))-BM121,1),"")</f>
        <v>0</v>
      </c>
      <c r="BN45" s="34" t="n">
        <f aca="false">IF(ISNUMBER(BN37),ROUND(N(BN37)+N(BN38)+N(BN39)+IF(ISNUMBER(BN42),N(BN42)+N(BN43)+N(BN44),N(BN41))-BN121,1),"")</f>
        <v>0</v>
      </c>
      <c r="BO45" s="34" t="n">
        <f aca="false">IF(ISNUMBER(BO37),ROUND(N(BO37)+N(BO38)+N(BO39)+IF(ISNUMBER(BO42),N(BO42)+N(BO43)+N(BO44),N(BO41))-BO121,1),"")</f>
        <v>0</v>
      </c>
      <c r="BP45" s="34" t="n">
        <f aca="false">IF(ISNUMBER(BP37),ROUND(N(BP37)+N(BP38)+N(BP39)+IF(ISNUMBER(BP42),N(BP42)+N(BP43)+N(BP44),N(BP41))-BP121,1),"")</f>
        <v>0</v>
      </c>
      <c r="BQ45" s="34" t="n">
        <f aca="false">IF(ISNUMBER(BQ37),ROUND(N(BQ37)+N(BQ38)+N(BQ39)+IF(ISNUMBER(BQ42),N(BQ42)+N(BQ43)+N(BQ44),N(BQ41))-BQ121,1),"")</f>
        <v>0</v>
      </c>
      <c r="BR45" s="34" t="n">
        <f aca="false">IF(ISNUMBER(BR37),ROUND(N(BR37)+N(BR38)+N(BR39)+IF(ISNUMBER(BR42),N(BR42)+N(BR43)+N(BR44),N(BR41))-BR121,1),"")</f>
        <v>0</v>
      </c>
      <c r="BS45" s="34" t="n">
        <f aca="false">IF(ISNUMBER(BS37),ROUND(N(BS37)+N(BS38)+N(BS39)+IF(ISNUMBER(BS42),N(BS42)+N(BS43)+N(BS44),N(BS41))-BS121,1),"")</f>
        <v>0</v>
      </c>
      <c r="BT45" s="34" t="n">
        <f aca="false">IF(ISNUMBER(BT37),ROUND(N(BT37)+N(BT38)+N(BT39)+IF(ISNUMBER(BT42),N(BT42)+N(BT43)+N(BT44),N(BT41))-BT121,1),"")</f>
        <v>0</v>
      </c>
      <c r="BU45" s="34" t="str">
        <f aca="false">IF(ISNUMBER(BU37),ROUND(N(BU37)+N(BU38)+N(BU39)+IF(ISNUMBER(BU42),N(BU42)+N(BU43)+N(BU44),N(BU41))-BU121,1),"")</f>
        <v/>
      </c>
      <c r="BV45" s="34" t="str">
        <f aca="false">IF(ISNUMBER(BV37),ROUND(N(BV37)+N(BV38)+N(BV39)+IF(ISNUMBER(BV42),N(BV42)+N(BV43)+N(BV44),N(BV41))-BV121,1),"")</f>
        <v/>
      </c>
      <c r="BW45" s="34" t="str">
        <f aca="false">IF(ISNUMBER(BW37),ROUND(N(BW37)+N(BW38)+N(BW39)+IF(ISNUMBER(BW42),N(BW42)+N(BW43)+N(BW44),N(BW41))-BW121,1),"")</f>
        <v/>
      </c>
      <c r="BX45" s="34" t="str">
        <f aca="false">IF(ISNUMBER(BX37),ROUND(N(BX37)+N(BX38)+N(BX39)+IF(ISNUMBER(BX42),N(BX42)+N(BX43)+N(BX44),N(BX41))-BX121,1),"")</f>
        <v/>
      </c>
      <c r="BY45" s="36"/>
      <c r="BZ45" s="36"/>
      <c r="CA45" s="36"/>
      <c r="CB45" s="36"/>
      <c r="CC45" s="36"/>
      <c r="CD45" s="36"/>
      <c r="CE45" s="36"/>
      <c r="CF45" s="28"/>
      <c r="CN45" s="16" t="s">
        <v>176</v>
      </c>
      <c r="CO45" s="42" t="n">
        <v>0.02</v>
      </c>
      <c r="CP45" s="23" t="s">
        <v>177</v>
      </c>
      <c r="CQ45" s="42" t="n">
        <v>-0.02</v>
      </c>
      <c r="CR45" s="14" t="s">
        <v>178</v>
      </c>
    </row>
    <row r="46" customFormat="false" ht="15" hidden="true" customHeight="true" outlineLevel="1" collapsed="false">
      <c r="B46" s="29" t="s">
        <v>179</v>
      </c>
      <c r="C46" s="34"/>
      <c r="D46" s="35" t="n">
        <v>170.298</v>
      </c>
      <c r="E46" s="35" t="n">
        <v>190.075</v>
      </c>
      <c r="F46" s="35" t="n">
        <v>191.556</v>
      </c>
      <c r="G46" s="35" t="n">
        <v>208.463</v>
      </c>
      <c r="H46" s="35" t="n">
        <v>233.381</v>
      </c>
      <c r="I46" s="35" t="n">
        <v>330.805</v>
      </c>
      <c r="J46" s="35" t="n">
        <v>99.296</v>
      </c>
      <c r="K46" s="35" t="n">
        <v>104.236</v>
      </c>
      <c r="L46" s="35" t="n">
        <v>107.23</v>
      </c>
      <c r="M46" s="35" t="n">
        <v>110.055</v>
      </c>
      <c r="N46" s="35" t="n">
        <v>420.817</v>
      </c>
      <c r="O46" s="35" t="n">
        <v>113.326</v>
      </c>
      <c r="P46" s="35" t="n">
        <v>141.849</v>
      </c>
      <c r="Q46" s="35" t="n">
        <v>146.899</v>
      </c>
      <c r="R46" s="35" t="n">
        <v>150.067</v>
      </c>
      <c r="S46" s="35" t="n">
        <v>552.141</v>
      </c>
      <c r="T46" s="35" t="n">
        <v>153.017</v>
      </c>
      <c r="U46" s="35" t="n">
        <v>164.486</v>
      </c>
      <c r="V46" s="35" t="n">
        <v>182.556</v>
      </c>
      <c r="W46" s="35" t="n">
        <v>186.514</v>
      </c>
      <c r="X46" s="35" t="n">
        <v>686.573</v>
      </c>
      <c r="Y46" s="35" t="n">
        <v>193.261</v>
      </c>
      <c r="Z46" s="35" t="n">
        <v>199.859</v>
      </c>
      <c r="AA46" s="35" t="n">
        <v>205.637</v>
      </c>
      <c r="AB46" s="35" t="n">
        <v>210.735</v>
      </c>
      <c r="AC46" s="35" t="n">
        <v>809.492</v>
      </c>
      <c r="AD46" s="35" t="n">
        <v>219.341</v>
      </c>
      <c r="AE46" s="35" t="n">
        <v>229.826</v>
      </c>
      <c r="AF46" s="35" t="n">
        <v>239.537</v>
      </c>
      <c r="AG46" s="35" t="n">
        <v>245.76</v>
      </c>
      <c r="AH46" s="35" t="n">
        <v>934.464</v>
      </c>
      <c r="AI46" s="35" t="n">
        <v>264.795</v>
      </c>
      <c r="AJ46" s="35" t="n">
        <v>288.288</v>
      </c>
      <c r="AK46" s="35" t="n">
        <v>296.916</v>
      </c>
      <c r="AL46" s="35" t="n">
        <v>307.302</v>
      </c>
      <c r="AM46" s="35" t="n">
        <v>1157.301</v>
      </c>
      <c r="AN46" s="35" t="n">
        <v>319.237</v>
      </c>
      <c r="AO46" s="35" t="n">
        <v>334.562</v>
      </c>
      <c r="AP46" s="35" t="n">
        <v>343.784</v>
      </c>
      <c r="AQ46" s="35" t="n">
        <v>362.484</v>
      </c>
      <c r="AR46" s="35" t="n">
        <v>1360.067</v>
      </c>
      <c r="AS46" s="35" t="n">
        <v>377.447</v>
      </c>
      <c r="AT46" s="35" t="n">
        <v>384.362</v>
      </c>
      <c r="AU46" s="35" t="n">
        <v>410.904</v>
      </c>
      <c r="AV46" s="35" t="n">
        <v>429.389</v>
      </c>
      <c r="AW46" s="35" t="n">
        <v>1602.102</v>
      </c>
      <c r="AX46" s="35" t="n">
        <v>441.763</v>
      </c>
      <c r="AY46" s="35" t="n">
        <v>463.774</v>
      </c>
      <c r="AZ46" s="35" t="n">
        <v>482.952</v>
      </c>
      <c r="BA46" s="35" t="n">
        <v>489.146</v>
      </c>
      <c r="BB46" s="35" t="n">
        <v>1877.635</v>
      </c>
      <c r="BC46" s="35" t="n">
        <v>497.577</v>
      </c>
      <c r="BD46" s="35" t="n">
        <v>517.437</v>
      </c>
      <c r="BE46" s="35" t="n">
        <v>537.624</v>
      </c>
      <c r="BF46" s="35" t="n">
        <v>553.35</v>
      </c>
      <c r="BG46" s="35" t="n">
        <v>2105.988</v>
      </c>
      <c r="BH46" s="35" t="n">
        <v>563.579</v>
      </c>
      <c r="BI46" s="35" t="n">
        <v>584.307</v>
      </c>
      <c r="BJ46" s="35" t="n">
        <v>602.744</v>
      </c>
      <c r="BK46" s="35" t="n">
        <v>615.1</v>
      </c>
      <c r="BL46" s="35" t="n">
        <v>2365.7</v>
      </c>
      <c r="BM46" s="35" t="n">
        <v>623.3</v>
      </c>
      <c r="BN46" s="35" t="n">
        <v>643.8</v>
      </c>
      <c r="BO46" s="35" t="n">
        <v>658.2</v>
      </c>
      <c r="BP46" s="35" t="n">
        <v>674.5</v>
      </c>
      <c r="BQ46" s="35" t="n">
        <v>2599.8</v>
      </c>
      <c r="BR46" s="35" t="n">
        <v>697.4</v>
      </c>
      <c r="BS46" s="35" t="n">
        <v>744</v>
      </c>
      <c r="BT46" s="35" t="n">
        <v>769.1</v>
      </c>
      <c r="BU46" s="34"/>
      <c r="BV46" s="34"/>
      <c r="BW46" s="34"/>
      <c r="BX46" s="34"/>
      <c r="BY46" s="36"/>
      <c r="BZ46" s="36"/>
      <c r="CA46" s="36"/>
      <c r="CB46" s="36"/>
      <c r="CC46" s="36"/>
      <c r="CD46" s="36"/>
      <c r="CE46" s="36"/>
      <c r="CF46" s="28"/>
      <c r="CN46" s="29" t="s">
        <v>180</v>
      </c>
      <c r="CO46" s="38" t="n">
        <f aca="false">CP46+$CO$45</f>
        <v>0.11</v>
      </c>
      <c r="CP46" s="37" t="n">
        <v>0.09</v>
      </c>
      <c r="CQ46" s="38" t="n">
        <f aca="false">CP46+$CQ$45</f>
        <v>0.07</v>
      </c>
      <c r="CR46" s="14"/>
    </row>
    <row r="47" customFormat="false" ht="15" hidden="true" customHeight="true" outlineLevel="1" collapsed="false">
      <c r="B47" s="29" t="s">
        <v>181</v>
      </c>
      <c r="C47" s="34"/>
      <c r="D47" s="35" t="n">
        <v>22.507</v>
      </c>
      <c r="E47" s="35" t="n">
        <v>22.353</v>
      </c>
      <c r="F47" s="35" t="n">
        <v>18.103</v>
      </c>
      <c r="G47" s="35" t="n">
        <v>17.797</v>
      </c>
      <c r="H47" s="35" t="n">
        <v>18.357</v>
      </c>
      <c r="I47" s="35" t="n">
        <v>19.131</v>
      </c>
      <c r="J47" s="35" t="n">
        <v>4.737</v>
      </c>
      <c r="K47" s="35" t="n">
        <v>4.763</v>
      </c>
      <c r="L47" s="35" t="n">
        <v>5.071</v>
      </c>
      <c r="M47" s="35" t="n">
        <v>5.555</v>
      </c>
      <c r="N47" s="35" t="n">
        <v>20.126</v>
      </c>
      <c r="O47" s="35" t="n">
        <v>5.75</v>
      </c>
      <c r="P47" s="35" t="n">
        <v>5.859</v>
      </c>
      <c r="Q47" s="35" t="n">
        <v>6.157</v>
      </c>
      <c r="R47" s="35" t="n">
        <v>6.029</v>
      </c>
      <c r="S47" s="35" t="n">
        <v>23.795</v>
      </c>
      <c r="T47" s="35" t="n">
        <v>6.003</v>
      </c>
      <c r="U47" s="35" t="n">
        <v>6.171</v>
      </c>
      <c r="V47" s="35" t="n">
        <v>6.522</v>
      </c>
      <c r="W47" s="35" t="n">
        <v>6.495</v>
      </c>
      <c r="X47" s="35" t="n">
        <v>25.191</v>
      </c>
      <c r="Y47" s="35" t="n">
        <v>6.478</v>
      </c>
      <c r="Z47" s="35" t="n">
        <v>7.01</v>
      </c>
      <c r="AA47" s="35" t="n">
        <v>7.074</v>
      </c>
      <c r="AB47" s="35" t="n">
        <v>7.576</v>
      </c>
      <c r="AC47" s="35" t="n">
        <v>28.138</v>
      </c>
      <c r="AD47" s="35" t="n">
        <v>7.212</v>
      </c>
      <c r="AE47" s="35" t="n">
        <v>7.327</v>
      </c>
      <c r="AF47" s="35" t="n">
        <v>7.996</v>
      </c>
      <c r="AG47" s="35" t="n">
        <v>8.231</v>
      </c>
      <c r="AH47" s="35" t="n">
        <v>30.766</v>
      </c>
      <c r="AI47" s="35" t="n">
        <v>8.923</v>
      </c>
      <c r="AJ47" s="35" t="n">
        <v>8.73</v>
      </c>
      <c r="AK47" s="35" t="n">
        <v>8.609</v>
      </c>
      <c r="AL47" s="35" t="n">
        <v>8.269</v>
      </c>
      <c r="AM47" s="35" t="n">
        <v>34.531</v>
      </c>
      <c r="AN47" s="35" t="n">
        <v>9.188</v>
      </c>
      <c r="AO47" s="35" t="n">
        <v>9.198</v>
      </c>
      <c r="AP47" s="35" t="n">
        <v>9.024</v>
      </c>
      <c r="AQ47" s="35" t="n">
        <v>12.242</v>
      </c>
      <c r="AR47" s="35" t="n">
        <v>39.652</v>
      </c>
      <c r="AS47" s="35" t="n">
        <v>14.4</v>
      </c>
      <c r="AT47" s="35" t="n">
        <v>12.797</v>
      </c>
      <c r="AU47" s="35" t="n">
        <v>14.716</v>
      </c>
      <c r="AV47" s="35" t="n">
        <v>15.004</v>
      </c>
      <c r="AW47" s="35" t="n">
        <v>56.917</v>
      </c>
      <c r="AX47" s="35" t="n">
        <v>15.934</v>
      </c>
      <c r="AY47" s="35" t="n">
        <v>16.559</v>
      </c>
      <c r="AZ47" s="35" t="n">
        <v>16.367</v>
      </c>
      <c r="BA47" s="35" t="n">
        <v>17.64</v>
      </c>
      <c r="BB47" s="35" t="n">
        <v>66.5</v>
      </c>
      <c r="BC47" s="35" t="n">
        <v>18.248</v>
      </c>
      <c r="BD47" s="35" t="n">
        <v>18.871</v>
      </c>
      <c r="BE47" s="35" t="n">
        <v>19.297</v>
      </c>
      <c r="BF47" s="35" t="n">
        <v>19.995</v>
      </c>
      <c r="BG47" s="35" t="n">
        <v>76.411</v>
      </c>
      <c r="BH47" s="35" t="n">
        <v>20.787</v>
      </c>
      <c r="BI47" s="35" t="n">
        <v>21.599</v>
      </c>
      <c r="BJ47" s="35" t="n">
        <v>21.925</v>
      </c>
      <c r="BK47" s="35" t="n">
        <v>25</v>
      </c>
      <c r="BL47" s="35" t="n">
        <v>89.3</v>
      </c>
      <c r="BM47" s="35" t="n">
        <v>33.1</v>
      </c>
      <c r="BN47" s="35" t="n">
        <v>34</v>
      </c>
      <c r="BO47" s="35" t="n">
        <v>34.4</v>
      </c>
      <c r="BP47" s="35" t="n">
        <v>34.9</v>
      </c>
      <c r="BQ47" s="35" t="n">
        <v>136.4</v>
      </c>
      <c r="BR47" s="35" t="n">
        <v>34.8</v>
      </c>
      <c r="BS47" s="35" t="n">
        <v>37.3</v>
      </c>
      <c r="BT47" s="35" t="n">
        <v>64.5</v>
      </c>
      <c r="BU47" s="34"/>
      <c r="BV47" s="34"/>
      <c r="BW47" s="34"/>
      <c r="BX47" s="34"/>
      <c r="BY47" s="36"/>
      <c r="BZ47" s="36"/>
      <c r="CA47" s="36"/>
      <c r="CB47" s="36"/>
      <c r="CC47" s="36"/>
      <c r="CD47" s="36"/>
      <c r="CE47" s="36"/>
      <c r="CF47" s="28"/>
      <c r="CN47" s="29" t="s">
        <v>182</v>
      </c>
      <c r="CO47" s="38" t="n">
        <f aca="false">CP47+$CO$45</f>
        <v>0.11</v>
      </c>
      <c r="CP47" s="37" t="n">
        <v>0.09</v>
      </c>
      <c r="CQ47" s="38" t="n">
        <f aca="false">CP47+$CQ$45</f>
        <v>0.07</v>
      </c>
      <c r="CR47" s="14"/>
    </row>
    <row r="48" customFormat="false" ht="15" hidden="true" customHeight="true" outlineLevel="1" collapsed="false">
      <c r="B48" s="29" t="s">
        <v>183</v>
      </c>
      <c r="C48" s="34"/>
      <c r="D48" s="35" t="n">
        <v>32.872</v>
      </c>
      <c r="E48" s="35" t="n">
        <v>58.813</v>
      </c>
      <c r="F48" s="35" t="n">
        <v>47.697</v>
      </c>
      <c r="G48" s="35" t="n">
        <v>39.607</v>
      </c>
      <c r="H48" s="35" t="n">
        <v>38.099</v>
      </c>
      <c r="I48" s="35" t="n">
        <v>70.199</v>
      </c>
      <c r="J48" s="35" t="n">
        <v>9.286</v>
      </c>
      <c r="K48" s="35" t="n">
        <v>26.468</v>
      </c>
      <c r="L48" s="35" t="n">
        <v>30.855</v>
      </c>
      <c r="M48" s="35" t="n">
        <v>30.739</v>
      </c>
      <c r="N48" s="35" t="n">
        <v>97.348</v>
      </c>
      <c r="O48" s="35" t="n">
        <v>26.368</v>
      </c>
      <c r="P48" s="35" t="n">
        <v>37.09</v>
      </c>
      <c r="Q48" s="35" t="n">
        <v>42.929</v>
      </c>
      <c r="R48" s="35" t="n">
        <v>42.526</v>
      </c>
      <c r="S48" s="35" t="n">
        <v>148.913</v>
      </c>
      <c r="T48" s="35" t="n">
        <v>13.677</v>
      </c>
      <c r="U48" s="35" t="n">
        <v>-1.854</v>
      </c>
      <c r="V48" s="35" t="n">
        <v>20.993</v>
      </c>
      <c r="W48" s="35" t="n">
        <v>54.276</v>
      </c>
      <c r="X48" s="35" t="n">
        <v>87.092</v>
      </c>
      <c r="Y48" s="35" t="n">
        <v>46.864</v>
      </c>
      <c r="Z48" s="35" t="n">
        <v>45.127</v>
      </c>
      <c r="AA48" s="35" t="n">
        <v>56.305</v>
      </c>
      <c r="AB48" s="35" t="n">
        <v>62.605</v>
      </c>
      <c r="AC48" s="35" t="n">
        <v>210.901</v>
      </c>
      <c r="AD48" s="35" t="n">
        <v>54.433</v>
      </c>
      <c r="AE48" s="35" t="n">
        <v>43.364</v>
      </c>
      <c r="AF48" s="35" t="n">
        <v>72.267</v>
      </c>
      <c r="AG48" s="35" t="n">
        <v>66.842</v>
      </c>
      <c r="AH48" s="35" t="n">
        <v>236.906</v>
      </c>
      <c r="AI48" s="35" t="n">
        <v>71.055</v>
      </c>
      <c r="AJ48" s="35" t="n">
        <v>64.762</v>
      </c>
      <c r="AK48" s="35" t="n">
        <v>94.088</v>
      </c>
      <c r="AL48" s="35" t="n">
        <v>128.131</v>
      </c>
      <c r="AM48" s="35" t="n">
        <v>358.036</v>
      </c>
      <c r="AN48" s="35" t="n">
        <v>115.268</v>
      </c>
      <c r="AO48" s="35" t="n">
        <v>95.001</v>
      </c>
      <c r="AP48" s="35" t="n">
        <v>115.973</v>
      </c>
      <c r="AQ48" s="35" t="n">
        <v>125.457</v>
      </c>
      <c r="AR48" s="35" t="n">
        <v>451.699</v>
      </c>
      <c r="AS48" s="35" t="n">
        <v>102.413</v>
      </c>
      <c r="AT48" s="35" t="n">
        <v>112.292</v>
      </c>
      <c r="AU48" s="35" t="n">
        <v>107.906</v>
      </c>
      <c r="AV48" s="35" t="n">
        <v>88.241</v>
      </c>
      <c r="AW48" s="35" t="n">
        <v>410.852</v>
      </c>
      <c r="AX48" s="35" t="n">
        <v>135.858</v>
      </c>
      <c r="AY48" s="35" t="n">
        <v>130.176</v>
      </c>
      <c r="AZ48" s="35" t="n">
        <v>119.823</v>
      </c>
      <c r="BA48" s="35" t="n">
        <v>171.268</v>
      </c>
      <c r="BB48" s="35" t="n">
        <v>557.125</v>
      </c>
      <c r="BC48" s="35" t="n">
        <v>155.962</v>
      </c>
      <c r="BD48" s="35" t="n">
        <v>138.527</v>
      </c>
      <c r="BE48" s="35" t="n">
        <v>127.965</v>
      </c>
      <c r="BF48" s="35" t="n">
        <v>154.788</v>
      </c>
      <c r="BG48" s="35" t="n">
        <v>577.242</v>
      </c>
      <c r="BH48" s="35" t="n">
        <v>96.656</v>
      </c>
      <c r="BI48" s="35" t="n">
        <v>104.614</v>
      </c>
      <c r="BJ48" s="35" t="n">
        <v>88.91</v>
      </c>
      <c r="BK48" s="35" t="n">
        <v>112.8</v>
      </c>
      <c r="BL48" s="35" t="n">
        <v>402.9</v>
      </c>
      <c r="BM48" s="35" t="n">
        <v>3.2</v>
      </c>
      <c r="BN48" s="35" t="n">
        <v>30.8</v>
      </c>
      <c r="BO48" s="35" t="n">
        <v>63.5</v>
      </c>
      <c r="BP48" s="35" t="n">
        <v>84.1</v>
      </c>
      <c r="BQ48" s="35" t="n">
        <v>181.5</v>
      </c>
      <c r="BR48" s="35" t="n">
        <v>9.1</v>
      </c>
      <c r="BS48" s="35" t="n">
        <v>43.3</v>
      </c>
      <c r="BT48" s="35" t="n">
        <v>33.2</v>
      </c>
      <c r="BU48" s="34"/>
      <c r="BV48" s="34"/>
      <c r="BW48" s="34"/>
      <c r="BX48" s="34"/>
      <c r="BY48" s="36"/>
      <c r="BZ48" s="36"/>
      <c r="CA48" s="36"/>
      <c r="CB48" s="36"/>
      <c r="CC48" s="36"/>
      <c r="CD48" s="36"/>
      <c r="CE48" s="36"/>
      <c r="CF48" s="28"/>
      <c r="CN48" s="29" t="s">
        <v>184</v>
      </c>
      <c r="CO48" s="38" t="n">
        <f aca="false">CP48+$CO$45</f>
        <v>0.105</v>
      </c>
      <c r="CP48" s="37" t="n">
        <v>0.085</v>
      </c>
      <c r="CQ48" s="38" t="n">
        <f aca="false">CP48+$CQ$45</f>
        <v>0.065</v>
      </c>
      <c r="CR48" s="14"/>
    </row>
    <row r="49" customFormat="false" ht="15" hidden="true" customHeight="true" outlineLevel="1" collapsed="false">
      <c r="B49" s="29" t="s">
        <v>185</v>
      </c>
      <c r="C49" s="34"/>
      <c r="D49" s="35" t="n">
        <v>1.127</v>
      </c>
      <c r="E49" s="35" t="n">
        <v>-2.224</v>
      </c>
      <c r="F49" s="35" t="n">
        <v>-1.186</v>
      </c>
      <c r="G49" s="35" t="n">
        <v>-3.183</v>
      </c>
      <c r="H49" s="35" t="n">
        <v>-3.476</v>
      </c>
      <c r="I49" s="35" t="n">
        <v>-10.007</v>
      </c>
      <c r="J49" s="35" t="n">
        <v>-1.718</v>
      </c>
      <c r="K49" s="35" t="n">
        <v>-1.136</v>
      </c>
      <c r="L49" s="35" t="n">
        <v>-1.063</v>
      </c>
      <c r="M49" s="35" t="n">
        <v>0.781</v>
      </c>
      <c r="N49" s="35" t="n">
        <v>-3.136</v>
      </c>
      <c r="O49" s="35" t="n">
        <v>0.624</v>
      </c>
      <c r="P49" s="35" t="n">
        <v>0.489</v>
      </c>
      <c r="Q49" s="35" t="n">
        <v>0.763</v>
      </c>
      <c r="R49" s="35" t="n">
        <v>0.461</v>
      </c>
      <c r="S49" s="35" t="n">
        <v>2.337</v>
      </c>
      <c r="T49" s="35" t="n">
        <v>0.629</v>
      </c>
      <c r="U49" s="35" t="n">
        <v>0.399</v>
      </c>
      <c r="V49" s="35" t="n">
        <v>1.096</v>
      </c>
      <c r="W49" s="35" t="n">
        <v>0.771</v>
      </c>
      <c r="X49" s="35" t="n">
        <v>2.895</v>
      </c>
      <c r="Y49" s="35" t="n">
        <v>0.958</v>
      </c>
      <c r="Z49" s="35" t="n">
        <v>0.432</v>
      </c>
      <c r="AA49" s="35" t="n">
        <v>1.371</v>
      </c>
      <c r="AB49" s="35" t="n">
        <v>1.408</v>
      </c>
      <c r="AC49" s="35" t="n">
        <v>4.169</v>
      </c>
      <c r="AD49" s="35" t="n">
        <v>0.527</v>
      </c>
      <c r="AE49" s="35" t="n">
        <v>0.379</v>
      </c>
      <c r="AF49" s="35" t="n">
        <v>0.365</v>
      </c>
      <c r="AG49" s="35" t="n">
        <v>-0.718</v>
      </c>
      <c r="AH49" s="35" t="n">
        <v>0.553</v>
      </c>
      <c r="AI49" s="35" t="n">
        <v>-0.627</v>
      </c>
      <c r="AJ49" s="35" t="n">
        <v>-0.404</v>
      </c>
      <c r="AK49" s="35" t="n">
        <v>-2.967</v>
      </c>
      <c r="AL49" s="35" t="n">
        <v>-2.731</v>
      </c>
      <c r="AM49" s="35" t="n">
        <v>-6.729</v>
      </c>
      <c r="AN49" s="35" t="n">
        <v>-2.117</v>
      </c>
      <c r="AO49" s="35" t="n">
        <v>-1.447</v>
      </c>
      <c r="AP49" s="35" t="n">
        <v>-2.882</v>
      </c>
      <c r="AQ49" s="35" t="n">
        <v>-0.541</v>
      </c>
      <c r="AR49" s="35" t="n">
        <v>-6.987</v>
      </c>
      <c r="AS49" s="35" t="n">
        <v>-2.293</v>
      </c>
      <c r="AT49" s="35" t="n">
        <v>-2.994</v>
      </c>
      <c r="AU49" s="35" t="n">
        <v>0.579</v>
      </c>
      <c r="AV49" s="35" t="n">
        <v>0.002</v>
      </c>
      <c r="AW49" s="35" t="n">
        <v>-4.706</v>
      </c>
      <c r="AX49" s="35" t="n">
        <v>-0.322</v>
      </c>
      <c r="AY49" s="35" t="n">
        <v>3.156</v>
      </c>
      <c r="AZ49" s="35" t="n">
        <v>2.849</v>
      </c>
      <c r="BA49" s="35" t="n">
        <v>2.173</v>
      </c>
      <c r="BB49" s="35" t="n">
        <v>7.856</v>
      </c>
      <c r="BC49" s="35" t="n">
        <v>2.468</v>
      </c>
      <c r="BD49" s="35" t="n">
        <v>1.481</v>
      </c>
      <c r="BE49" s="35" t="n">
        <v>1.184</v>
      </c>
      <c r="BF49" s="35" t="n">
        <v>0.28</v>
      </c>
      <c r="BG49" s="35" t="n">
        <v>5.413</v>
      </c>
      <c r="BH49" s="35" t="n">
        <v>1.192</v>
      </c>
      <c r="BI49" s="35" t="n">
        <v>0.595</v>
      </c>
      <c r="BJ49" s="35" t="n">
        <v>-0.191</v>
      </c>
      <c r="BK49" s="35" t="n">
        <v>-14.8</v>
      </c>
      <c r="BL49" s="35" t="n">
        <v>-13.2</v>
      </c>
      <c r="BM49" s="35" t="n">
        <v>-15.9</v>
      </c>
      <c r="BN49" s="35" t="n">
        <v>-18.7</v>
      </c>
      <c r="BO49" s="35" t="n">
        <v>-12.7</v>
      </c>
      <c r="BP49" s="35" t="n">
        <v>-11.2</v>
      </c>
      <c r="BQ49" s="35" t="n">
        <v>-58.5</v>
      </c>
      <c r="BR49" s="35" t="n">
        <v>-9.9</v>
      </c>
      <c r="BS49" s="35" t="n">
        <v>-14.7</v>
      </c>
      <c r="BT49" s="35" t="n">
        <v>-20.5</v>
      </c>
      <c r="BU49" s="34"/>
      <c r="BV49" s="34"/>
      <c r="BW49" s="34"/>
      <c r="BX49" s="34"/>
      <c r="BY49" s="36"/>
      <c r="BZ49" s="36"/>
      <c r="CA49" s="36"/>
      <c r="CB49" s="36"/>
      <c r="CC49" s="36"/>
      <c r="CD49" s="36"/>
      <c r="CE49" s="36"/>
      <c r="CF49" s="28"/>
      <c r="CN49" s="29" t="s">
        <v>186</v>
      </c>
      <c r="CO49" s="38" t="n">
        <f aca="false">CP49+$CO$45</f>
        <v>0.1</v>
      </c>
      <c r="CP49" s="37" t="n">
        <v>0.08</v>
      </c>
      <c r="CQ49" s="38" t="n">
        <f aca="false">CP49+$CQ$45</f>
        <v>0.06</v>
      </c>
      <c r="CR49" s="14"/>
    </row>
    <row r="50" customFormat="false" ht="15" hidden="true" customHeight="true" outlineLevel="1" collapsed="false">
      <c r="B50" s="41" t="s">
        <v>187</v>
      </c>
      <c r="C50" s="34" t="str">
        <f aca="false">IF(AND(ISNUMBER(C48),ISNUMBER(C49)),IF(ABS(C48+C49-C159)&lt;=0.15,0,ROUND(C48+C49-C159,1)),"")</f>
        <v/>
      </c>
      <c r="D50" s="34" t="n">
        <f aca="false">IF(AND(ISNUMBER(D48),ISNUMBER(D49)),IF(ABS(D48+D49-D159)&lt;=0.15,0,ROUND(D48+D49-D159,1)),"")</f>
        <v>0</v>
      </c>
      <c r="E50" s="34" t="n">
        <f aca="false">IF(AND(ISNUMBER(E48),ISNUMBER(E49)),IF(ABS(E48+E49-E159)&lt;=0.15,0,ROUND(E48+E49-E159,1)),"")</f>
        <v>0</v>
      </c>
      <c r="F50" s="34" t="n">
        <f aca="false">IF(AND(ISNUMBER(F48),ISNUMBER(F49)),IF(ABS(F48+F49-F159)&lt;=0.15,0,ROUND(F48+F49-F159,1)),"")</f>
        <v>0</v>
      </c>
      <c r="G50" s="34" t="n">
        <f aca="false">IF(AND(ISNUMBER(G48),ISNUMBER(G49)),IF(ABS(G48+G49-G159)&lt;=0.15,0,ROUND(G48+G49-G159,1)),"")</f>
        <v>0</v>
      </c>
      <c r="H50" s="34" t="n">
        <f aca="false">IF(AND(ISNUMBER(H48),ISNUMBER(H49)),IF(ABS(H48+H49-H159)&lt;=0.15,0,ROUND(H48+H49-H159,1)),"")</f>
        <v>0</v>
      </c>
      <c r="I50" s="34" t="n">
        <f aca="false">IF(AND(ISNUMBER(I48),ISNUMBER(I49)),IF(ABS(I48+I49-I159)&lt;=0.15,0,ROUND(I48+I49-I159,1)),"")</f>
        <v>0</v>
      </c>
      <c r="J50" s="34" t="n">
        <f aca="false">IF(AND(ISNUMBER(J48),ISNUMBER(J49)),IF(ABS(J48+J49-J159)&lt;=0.15,0,ROUND(J48+J49-J159,1)),"")</f>
        <v>0</v>
      </c>
      <c r="K50" s="34" t="n">
        <f aca="false">IF(AND(ISNUMBER(K48),ISNUMBER(K49)),IF(ABS(K48+K49-K159)&lt;=0.15,0,ROUND(K48+K49-K159,1)),"")</f>
        <v>0</v>
      </c>
      <c r="L50" s="34" t="n">
        <f aca="false">IF(AND(ISNUMBER(L48),ISNUMBER(L49)),IF(ABS(L48+L49-L159)&lt;=0.15,0,ROUND(L48+L49-L159,1)),"")</f>
        <v>0</v>
      </c>
      <c r="M50" s="34" t="n">
        <f aca="false">IF(AND(ISNUMBER(M48),ISNUMBER(M49)),IF(ABS(M48+M49-M159)&lt;=0.15,0,ROUND(M48+M49-M159,1)),"")</f>
        <v>0</v>
      </c>
      <c r="N50" s="34" t="n">
        <f aca="false">IF(AND(ISNUMBER(N48),ISNUMBER(N49)),IF(ABS(N48+N49-N159)&lt;=0.15,0,ROUND(N48+N49-N159,1)),"")</f>
        <v>0</v>
      </c>
      <c r="O50" s="34" t="n">
        <f aca="false">IF(AND(ISNUMBER(O48),ISNUMBER(O49)),IF(ABS(O48+O49-O159)&lt;=0.15,0,ROUND(O48+O49-O159,1)),"")</f>
        <v>0</v>
      </c>
      <c r="P50" s="34" t="n">
        <f aca="false">IF(AND(ISNUMBER(P48),ISNUMBER(P49)),IF(ABS(P48+P49-P159)&lt;=0.15,0,ROUND(P48+P49-P159,1)),"")</f>
        <v>0</v>
      </c>
      <c r="Q50" s="34" t="n">
        <f aca="false">IF(AND(ISNUMBER(Q48),ISNUMBER(Q49)),IF(ABS(Q48+Q49-Q159)&lt;=0.15,0,ROUND(Q48+Q49-Q159,1)),"")</f>
        <v>0</v>
      </c>
      <c r="R50" s="34" t="n">
        <f aca="false">IF(AND(ISNUMBER(R48),ISNUMBER(R49)),IF(ABS(R48+R49-R159)&lt;=0.15,0,ROUND(R48+R49-R159,1)),"")</f>
        <v>0</v>
      </c>
      <c r="S50" s="34" t="n">
        <f aca="false">IF(AND(ISNUMBER(S48),ISNUMBER(S49)),IF(ABS(S48+S49-S159)&lt;=0.15,0,ROUND(S48+S49-S159,1)),"")</f>
        <v>0</v>
      </c>
      <c r="T50" s="34" t="n">
        <f aca="false">IF(AND(ISNUMBER(T48),ISNUMBER(T49)),IF(ABS(T48+T49-T159)&lt;=0.15,0,ROUND(T48+T49-T159,1)),"")</f>
        <v>0</v>
      </c>
      <c r="U50" s="34" t="n">
        <f aca="false">IF(AND(ISNUMBER(U48),ISNUMBER(U49)),IF(ABS(U48+U49-U159)&lt;=0.15,0,ROUND(U48+U49-U159,1)),"")</f>
        <v>0</v>
      </c>
      <c r="V50" s="34" t="n">
        <f aca="false">IF(AND(ISNUMBER(V48),ISNUMBER(V49)),IF(ABS(V48+V49-V159)&lt;=0.15,0,ROUND(V48+V49-V159,1)),"")</f>
        <v>0</v>
      </c>
      <c r="W50" s="34" t="n">
        <f aca="false">IF(AND(ISNUMBER(W48),ISNUMBER(W49)),IF(ABS(W48+W49-W159)&lt;=0.15,0,ROUND(W48+W49-W159,1)),"")</f>
        <v>0</v>
      </c>
      <c r="X50" s="34" t="n">
        <f aca="false">IF(AND(ISNUMBER(X48),ISNUMBER(X49)),IF(ABS(X48+X49-X159)&lt;=0.15,0,ROUND(X48+X49-X159,1)),"")</f>
        <v>0</v>
      </c>
      <c r="Y50" s="34" t="n">
        <f aca="false">IF(AND(ISNUMBER(Y48),ISNUMBER(Y49)),IF(ABS(Y48+Y49-Y159)&lt;=0.15,0,ROUND(Y48+Y49-Y159,1)),"")</f>
        <v>0</v>
      </c>
      <c r="Z50" s="34" t="n">
        <f aca="false">IF(AND(ISNUMBER(Z48),ISNUMBER(Z49)),IF(ABS(Z48+Z49-Z159)&lt;=0.15,0,ROUND(Z48+Z49-Z159,1)),"")</f>
        <v>0</v>
      </c>
      <c r="AA50" s="34" t="n">
        <f aca="false">IF(AND(ISNUMBER(AA48),ISNUMBER(AA49)),IF(ABS(AA48+AA49-AA159)&lt;=0.15,0,ROUND(AA48+AA49-AA159,1)),"")</f>
        <v>0</v>
      </c>
      <c r="AB50" s="34" t="n">
        <f aca="false">IF(AND(ISNUMBER(AB48),ISNUMBER(AB49)),IF(ABS(AB48+AB49-AB159)&lt;=0.15,0,ROUND(AB48+AB49-AB159,1)),"")</f>
        <v>0</v>
      </c>
      <c r="AC50" s="34" t="n">
        <f aca="false">IF(AND(ISNUMBER(AC48),ISNUMBER(AC49)),IF(ABS(AC48+AC49-AC159)&lt;=0.15,0,ROUND(AC48+AC49-AC159,1)),"")</f>
        <v>0</v>
      </c>
      <c r="AD50" s="34" t="n">
        <f aca="false">IF(AND(ISNUMBER(AD48),ISNUMBER(AD49)),IF(ABS(AD48+AD49-AD159)&lt;=0.15,0,ROUND(AD48+AD49-AD159,1)),"")</f>
        <v>0</v>
      </c>
      <c r="AE50" s="34" t="n">
        <f aca="false">IF(AND(ISNUMBER(AE48),ISNUMBER(AE49)),IF(ABS(AE48+AE49-AE159)&lt;=0.15,0,ROUND(AE48+AE49-AE159,1)),"")</f>
        <v>0</v>
      </c>
      <c r="AF50" s="34" t="n">
        <f aca="false">IF(AND(ISNUMBER(AF48),ISNUMBER(AF49)),IF(ABS(AF48+AF49-AF159)&lt;=0.15,0,ROUND(AF48+AF49-AF159,1)),"")</f>
        <v>0</v>
      </c>
      <c r="AG50" s="34" t="n">
        <f aca="false">IF(AND(ISNUMBER(AG48),ISNUMBER(AG49)),IF(ABS(AG48+AG49-AG159)&lt;=0.15,0,ROUND(AG48+AG49-AG159,1)),"")</f>
        <v>0</v>
      </c>
      <c r="AH50" s="34" t="n">
        <f aca="false">IF(AND(ISNUMBER(AH48),ISNUMBER(AH49)),IF(ABS(AH48+AH49-AH159)&lt;=0.15,0,ROUND(AH48+AH49-AH159,1)),"")</f>
        <v>0</v>
      </c>
      <c r="AI50" s="34" t="n">
        <f aca="false">IF(AND(ISNUMBER(AI48),ISNUMBER(AI49)),IF(ABS(AI48+AI49-AI159)&lt;=0.15,0,ROUND(AI48+AI49-AI159,1)),"")</f>
        <v>0</v>
      </c>
      <c r="AJ50" s="34" t="n">
        <f aca="false">IF(AND(ISNUMBER(AJ48),ISNUMBER(AJ49)),IF(ABS(AJ48+AJ49-AJ159)&lt;=0.15,0,ROUND(AJ48+AJ49-AJ159,1)),"")</f>
        <v>0</v>
      </c>
      <c r="AK50" s="34" t="n">
        <f aca="false">IF(AND(ISNUMBER(AK48),ISNUMBER(AK49)),IF(ABS(AK48+AK49-AK159)&lt;=0.15,0,ROUND(AK48+AK49-AK159,1)),"")</f>
        <v>0</v>
      </c>
      <c r="AL50" s="34" t="n">
        <f aca="false">IF(AND(ISNUMBER(AL48),ISNUMBER(AL49)),IF(ABS(AL48+AL49-AL159)&lt;=0.15,0,ROUND(AL48+AL49-AL159,1)),"")</f>
        <v>0</v>
      </c>
      <c r="AM50" s="34" t="n">
        <f aca="false">IF(AND(ISNUMBER(AM48),ISNUMBER(AM49)),IF(ABS(AM48+AM49-AM159)&lt;=0.15,0,ROUND(AM48+AM49-AM159,1)),"")</f>
        <v>0</v>
      </c>
      <c r="AN50" s="34" t="n">
        <f aca="false">IF(AND(ISNUMBER(AN48),ISNUMBER(AN49)),IF(ABS(AN48+AN49-AN159)&lt;=0.15,0,ROUND(AN48+AN49-AN159,1)),"")</f>
        <v>0</v>
      </c>
      <c r="AO50" s="34" t="n">
        <f aca="false">IF(AND(ISNUMBER(AO48),ISNUMBER(AO49)),IF(ABS(AO48+AO49-AO159)&lt;=0.15,0,ROUND(AO48+AO49-AO159,1)),"")</f>
        <v>0</v>
      </c>
      <c r="AP50" s="34" t="n">
        <f aca="false">IF(AND(ISNUMBER(AP48),ISNUMBER(AP49)),IF(ABS(AP48+AP49-AP159)&lt;=0.15,0,ROUND(AP48+AP49-AP159,1)),"")</f>
        <v>0</v>
      </c>
      <c r="AQ50" s="34" t="n">
        <f aca="false">IF(AND(ISNUMBER(AQ48),ISNUMBER(AQ49)),IF(ABS(AQ48+AQ49-AQ159)&lt;=0.15,0,ROUND(AQ48+AQ49-AQ159,1)),"")</f>
        <v>0</v>
      </c>
      <c r="AR50" s="34" t="n">
        <f aca="false">IF(AND(ISNUMBER(AR48),ISNUMBER(AR49)),IF(ABS(AR48+AR49-AR159)&lt;=0.15,0,ROUND(AR48+AR49-AR159,1)),"")</f>
        <v>0</v>
      </c>
      <c r="AS50" s="34" t="n">
        <f aca="false">IF(AND(ISNUMBER(AS48),ISNUMBER(AS49)),IF(ABS(AS48+AS49-AS159)&lt;=0.15,0,ROUND(AS48+AS49-AS159,1)),"")</f>
        <v>0</v>
      </c>
      <c r="AT50" s="34" t="n">
        <f aca="false">IF(AND(ISNUMBER(AT48),ISNUMBER(AT49)),IF(ABS(AT48+AT49-AT159)&lt;=0.15,0,ROUND(AT48+AT49-AT159,1)),"")</f>
        <v>0</v>
      </c>
      <c r="AU50" s="34" t="n">
        <f aca="false">IF(AND(ISNUMBER(AU48),ISNUMBER(AU49)),IF(ABS(AU48+AU49-AU159)&lt;=0.15,0,ROUND(AU48+AU49-AU159,1)),"")</f>
        <v>0</v>
      </c>
      <c r="AV50" s="34" t="n">
        <f aca="false">IF(AND(ISNUMBER(AV48),ISNUMBER(AV49)),IF(ABS(AV48+AV49-AV159)&lt;=0.15,0,ROUND(AV48+AV49-AV159,1)),"")</f>
        <v>0</v>
      </c>
      <c r="AW50" s="34" t="n">
        <f aca="false">IF(AND(ISNUMBER(AW48),ISNUMBER(AW49)),IF(ABS(AW48+AW49-AW159)&lt;=0.15,0,ROUND(AW48+AW49-AW159,1)),"")</f>
        <v>0</v>
      </c>
      <c r="AX50" s="34" t="n">
        <f aca="false">IF(AND(ISNUMBER(AX48),ISNUMBER(AX49)),IF(ABS(AX48+AX49-AX159)&lt;=0.15,0,ROUND(AX48+AX49-AX159,1)),"")</f>
        <v>0</v>
      </c>
      <c r="AY50" s="34" t="n">
        <f aca="false">IF(AND(ISNUMBER(AY48),ISNUMBER(AY49)),IF(ABS(AY48+AY49-AY159)&lt;=0.15,0,ROUND(AY48+AY49-AY159,1)),"")</f>
        <v>0</v>
      </c>
      <c r="AZ50" s="34" t="n">
        <f aca="false">IF(AND(ISNUMBER(AZ48),ISNUMBER(AZ49)),IF(ABS(AZ48+AZ49-AZ159)&lt;=0.15,0,ROUND(AZ48+AZ49-AZ159,1)),"")</f>
        <v>0</v>
      </c>
      <c r="BA50" s="34" t="n">
        <f aca="false">IF(AND(ISNUMBER(BA48),ISNUMBER(BA49)),IF(ABS(BA48+BA49-BA159)&lt;=0.15,0,ROUND(BA48+BA49-BA159,1)),"")</f>
        <v>0</v>
      </c>
      <c r="BB50" s="34" t="n">
        <f aca="false">IF(AND(ISNUMBER(BB48),ISNUMBER(BB49)),IF(ABS(BB48+BB49-BB159)&lt;=0.15,0,ROUND(BB48+BB49-BB159,1)),"")</f>
        <v>0</v>
      </c>
      <c r="BC50" s="34" t="n">
        <f aca="false">IF(AND(ISNUMBER(BC48),ISNUMBER(BC49)),IF(ABS(BC48+BC49-BC159)&lt;=0.15,0,ROUND(BC48+BC49-BC159,1)),"")</f>
        <v>0</v>
      </c>
      <c r="BD50" s="34" t="n">
        <f aca="false">IF(AND(ISNUMBER(BD48),ISNUMBER(BD49)),IF(ABS(BD48+BD49-BD159)&lt;=0.15,0,ROUND(BD48+BD49-BD159,1)),"")</f>
        <v>0</v>
      </c>
      <c r="BE50" s="34" t="n">
        <f aca="false">IF(AND(ISNUMBER(BE48),ISNUMBER(BE49)),IF(ABS(BE48+BE49-BE159)&lt;=0.15,0,ROUND(BE48+BE49-BE159,1)),"")</f>
        <v>0</v>
      </c>
      <c r="BF50" s="34" t="n">
        <f aca="false">IF(AND(ISNUMBER(BF48),ISNUMBER(BF49)),IF(ABS(BF48+BF49-BF159)&lt;=0.15,0,ROUND(BF48+BF49-BF159,1)),"")</f>
        <v>0</v>
      </c>
      <c r="BG50" s="34" t="n">
        <f aca="false">IF(AND(ISNUMBER(BG48),ISNUMBER(BG49)),IF(ABS(BG48+BG49-BG159)&lt;=0.15,0,ROUND(BG48+BG49-BG159,1)),"")</f>
        <v>0</v>
      </c>
      <c r="BH50" s="34" t="n">
        <f aca="false">IF(AND(ISNUMBER(BH48),ISNUMBER(BH49)),IF(ABS(BH48+BH49-BH159)&lt;=0.15,0,ROUND(BH48+BH49-BH159,1)),"")</f>
        <v>0</v>
      </c>
      <c r="BI50" s="34" t="n">
        <f aca="false">IF(AND(ISNUMBER(BI48),ISNUMBER(BI49)),IF(ABS(BI48+BI49-BI159)&lt;=0.15,0,ROUND(BI48+BI49-BI159,1)),"")</f>
        <v>0</v>
      </c>
      <c r="BJ50" s="34" t="n">
        <f aca="false">IF(AND(ISNUMBER(BJ48),ISNUMBER(BJ49)),IF(ABS(BJ48+BJ49-BJ159)&lt;=0.15,0,ROUND(BJ48+BJ49-BJ159,1)),"")</f>
        <v>0</v>
      </c>
      <c r="BK50" s="34" t="n">
        <f aca="false">IF(AND(ISNUMBER(BK48),ISNUMBER(BK49)),IF(ABS(BK48+BK49-BK159)&lt;=0.15,0,ROUND(BK48+BK49-BK159,1)),"")</f>
        <v>0</v>
      </c>
      <c r="BL50" s="34" t="n">
        <f aca="false">IF(AND(ISNUMBER(BL48),ISNUMBER(BL49)),IF(ABS(BL48+BL49-BL159)&lt;=0.15,0,ROUND(BL48+BL49-BL159,1)),"")</f>
        <v>0</v>
      </c>
      <c r="BM50" s="34" t="n">
        <f aca="false">IF(AND(ISNUMBER(BM48),ISNUMBER(BM49)),IF(ABS(BM48+BM49-BM159)&lt;=0.15,0,ROUND(BM48+BM49-BM159,1)),"")</f>
        <v>0</v>
      </c>
      <c r="BN50" s="34" t="n">
        <f aca="false">IF(AND(ISNUMBER(BN48),ISNUMBER(BN49)),IF(ABS(BN48+BN49-BN159)&lt;=0.15,0,ROUND(BN48+BN49-BN159,1)),"")</f>
        <v>0</v>
      </c>
      <c r="BO50" s="34" t="n">
        <f aca="false">IF(AND(ISNUMBER(BO48),ISNUMBER(BO49)),IF(ABS(BO48+BO49-BO159)&lt;=0.15,0,ROUND(BO48+BO49-BO159,1)),"")</f>
        <v>0</v>
      </c>
      <c r="BP50" s="34" t="n">
        <f aca="false">IF(AND(ISNUMBER(BP48),ISNUMBER(BP49)),IF(ABS(BP48+BP49-BP159)&lt;=0.15,0,ROUND(BP48+BP49-BP159,1)),"")</f>
        <v>0</v>
      </c>
      <c r="BQ50" s="34" t="n">
        <f aca="false">IF(AND(ISNUMBER(BQ48),ISNUMBER(BQ49)),IF(ABS(BQ48+BQ49-BQ159)&lt;=0.15,0,ROUND(BQ48+BQ49-BQ159,1)),"")</f>
        <v>0</v>
      </c>
      <c r="BR50" s="34" t="n">
        <f aca="false">IF(AND(ISNUMBER(BR48),ISNUMBER(BR49)),IF(ABS(BR48+BR49-BR159)&lt;=0.15,0,ROUND(BR48+BR49-BR159,1)),"")</f>
        <v>0</v>
      </c>
      <c r="BS50" s="34" t="n">
        <f aca="false">IF(AND(ISNUMBER(BS48),ISNUMBER(BS49)),IF(ABS(BS48+BS49-BS159)&lt;=0.15,0,ROUND(BS48+BS49-BS159,1)),"")</f>
        <v>0</v>
      </c>
      <c r="BT50" s="34" t="n">
        <f aca="false">IF(AND(ISNUMBER(BT48),ISNUMBER(BT49)),IF(ABS(BT48+BT49-BT159)&lt;=0.15,0,ROUND(BT48+BT49-BT159,1)),"")</f>
        <v>0</v>
      </c>
      <c r="BU50" s="34" t="str">
        <f aca="false">IF(AND(ISNUMBER(BU48),ISNUMBER(BU49)),IF(ABS(BU48+BU49-BU159)&lt;=0.15,0,ROUND(BU48+BU49-BU159,1)),"")</f>
        <v/>
      </c>
      <c r="BV50" s="34" t="str">
        <f aca="false">IF(AND(ISNUMBER(BV48),ISNUMBER(BV49)),IF(ABS(BV48+BV49-BV159)&lt;=0.15,0,ROUND(BV48+BV49-BV159,1)),"")</f>
        <v/>
      </c>
      <c r="BW50" s="34" t="str">
        <f aca="false">IF(AND(ISNUMBER(BW48),ISNUMBER(BW49)),IF(ABS(BW48+BW49-BW159)&lt;=0.15,0,ROUND(BW48+BW49-BW159,1)),"")</f>
        <v/>
      </c>
      <c r="BX50" s="34" t="str">
        <f aca="false">IF(AND(ISNUMBER(BX48),ISNUMBER(BX49)),IF(ABS(BX48+BX49-BX159)&lt;=0.15,0,ROUND(BX48+BX49-BX159,1)),"")</f>
        <v/>
      </c>
      <c r="BY50" s="36"/>
      <c r="BZ50" s="36"/>
      <c r="CA50" s="36"/>
      <c r="CB50" s="36"/>
      <c r="CC50" s="36"/>
      <c r="CD50" s="36"/>
      <c r="CE50" s="36"/>
      <c r="CF50" s="28"/>
      <c r="CN50" s="16" t="s">
        <v>188</v>
      </c>
      <c r="CO50" s="42" t="n">
        <v>0.03</v>
      </c>
      <c r="CP50" s="23" t="s">
        <v>177</v>
      </c>
      <c r="CQ50" s="42" t="n">
        <v>-0.03</v>
      </c>
      <c r="CR50" s="14" t="s">
        <v>189</v>
      </c>
    </row>
    <row r="51" customFormat="false" ht="15" hidden="false" customHeight="false" outlineLevel="0" collapsed="false">
      <c r="CN51" s="29" t="s">
        <v>180</v>
      </c>
      <c r="CO51" s="38" t="n">
        <f aca="false">CP51+$CO$50</f>
        <v>0.15</v>
      </c>
      <c r="CP51" s="37" t="n">
        <v>0.12</v>
      </c>
      <c r="CQ51" s="38" t="n">
        <f aca="false">CP51+$CQ$50</f>
        <v>0.09</v>
      </c>
      <c r="CR51" s="14"/>
    </row>
    <row r="52" customFormat="false" ht="15" hidden="false" customHeight="true" outlineLevel="0" collapsed="false">
      <c r="B52" s="15" t="s">
        <v>190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 t="s">
        <v>191</v>
      </c>
      <c r="CN52" s="29" t="s">
        <v>182</v>
      </c>
      <c r="CO52" s="38" t="n">
        <f aca="false">CP52+$CO$50</f>
        <v>0.14</v>
      </c>
      <c r="CP52" s="37" t="n">
        <v>0.11</v>
      </c>
      <c r="CQ52" s="38" t="n">
        <f aca="false">CP52+$CQ$50</f>
        <v>0.08</v>
      </c>
      <c r="CR52" s="14"/>
    </row>
    <row r="53" customFormat="false" ht="15" hidden="false" customHeight="true" outlineLevel="0" collapsed="false">
      <c r="B53" s="33" t="s">
        <v>192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5" t="n">
        <v>170</v>
      </c>
      <c r="BW53" s="34"/>
      <c r="BX53" s="34"/>
      <c r="BY53" s="36"/>
      <c r="BZ53" s="36"/>
      <c r="CA53" s="36"/>
      <c r="CB53" s="36"/>
      <c r="CC53" s="36"/>
      <c r="CD53" s="36"/>
      <c r="CE53" s="36"/>
      <c r="CF53" s="28" t="s">
        <v>193</v>
      </c>
      <c r="CN53" s="29" t="s">
        <v>184</v>
      </c>
      <c r="CO53" s="38" t="n">
        <f aca="false">CP53+$CO$50</f>
        <v>0.13</v>
      </c>
      <c r="CP53" s="37" t="n">
        <v>0.1</v>
      </c>
      <c r="CQ53" s="38" t="n">
        <f aca="false">CP53+$CQ$50</f>
        <v>0.07</v>
      </c>
      <c r="CR53" s="14"/>
    </row>
    <row r="54" customFormat="false" ht="15" hidden="false" customHeight="true" outlineLevel="0" collapsed="false">
      <c r="B54" s="33" t="s">
        <v>194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43" t="n">
        <v>0.23</v>
      </c>
      <c r="BW54" s="25"/>
      <c r="BX54" s="25"/>
      <c r="BY54" s="27"/>
      <c r="BZ54" s="27"/>
      <c r="CA54" s="27"/>
      <c r="CB54" s="27"/>
      <c r="CC54" s="27"/>
      <c r="CD54" s="27"/>
      <c r="CE54" s="27"/>
      <c r="CF54" s="28"/>
      <c r="CN54" s="29" t="s">
        <v>186</v>
      </c>
      <c r="CO54" s="38" t="n">
        <f aca="false">CP54+$CO$50</f>
        <v>0.12</v>
      </c>
      <c r="CP54" s="37" t="n">
        <v>0.09</v>
      </c>
      <c r="CQ54" s="38" t="n">
        <f aca="false">CP54+$CQ$50</f>
        <v>0.06</v>
      </c>
      <c r="CR54" s="14"/>
    </row>
    <row r="55" customFormat="false" ht="15" hidden="false" customHeight="true" outlineLevel="0" collapsed="false">
      <c r="B55" s="29" t="s">
        <v>195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44" t="n">
        <v>41</v>
      </c>
      <c r="BZ55" s="44" t="n">
        <v>92</v>
      </c>
      <c r="CA55" s="36" t="n">
        <f aca="false">SUM(BW55,BX55,BY55,BZ55)</f>
        <v>133</v>
      </c>
      <c r="CB55" s="36" t="n">
        <f aca="false">DATE(2027,12,31)-DATE(2027,1,1)+1</f>
        <v>365</v>
      </c>
      <c r="CC55" s="36" t="n">
        <f aca="false">DATE(2028,12,31)-DATE(2028,1,1)+1</f>
        <v>366</v>
      </c>
      <c r="CD55" s="36" t="n">
        <f aca="false">DATE(2029,12,31)-DATE(2029,1,1)+1</f>
        <v>365</v>
      </c>
      <c r="CE55" s="36" t="n">
        <f aca="false">DATE(2030,12,31)-DATE(2030,1,1)+1</f>
        <v>365</v>
      </c>
      <c r="CF55" s="28" t="s">
        <v>196</v>
      </c>
      <c r="CN55" s="16" t="s">
        <v>197</v>
      </c>
      <c r="CO55" s="42" t="n">
        <v>0.03</v>
      </c>
      <c r="CP55" s="23" t="s">
        <v>177</v>
      </c>
      <c r="CQ55" s="42" t="n">
        <v>-0.03</v>
      </c>
      <c r="CR55" s="14" t="s">
        <v>198</v>
      </c>
    </row>
    <row r="56" customFormat="false" ht="15" hidden="false" customHeight="true" outlineLevel="0" collapsed="false">
      <c r="B56" s="24" t="s">
        <v>199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7"/>
      <c r="BZ56" s="27"/>
      <c r="CA56" s="45" t="n">
        <v>0.08</v>
      </c>
      <c r="CB56" s="27" t="n">
        <f aca="false">CHOOSE(MATCH($CF$2,{"Bull","Base","Bear"},0),$CO$76,$CP$76,$CQ$76)</f>
        <v>0.08</v>
      </c>
      <c r="CC56" s="27" t="n">
        <f aca="false">CHOOSE(MATCH($CF$2,{"Bull","Base","Bear"},0),$CO$77,$CP$77,$CQ$77)</f>
        <v>0.08</v>
      </c>
      <c r="CD56" s="27" t="n">
        <f aca="false">CHOOSE(MATCH($CF$2,{"Bull","Base","Bear"},0),$CO$78,$CP$78,$CQ$78)</f>
        <v>0.08</v>
      </c>
      <c r="CE56" s="27" t="n">
        <f aca="false">CHOOSE(MATCH($CF$2,{"Bull","Base","Bear"},0),$CO$79,$CP$79,$CQ$79)</f>
        <v>0.08</v>
      </c>
      <c r="CF56" s="28" t="s">
        <v>200</v>
      </c>
      <c r="CN56" s="29" t="s">
        <v>180</v>
      </c>
      <c r="CO56" s="38" t="n">
        <f aca="false">CP56+$CO$55</f>
        <v>0.08</v>
      </c>
      <c r="CP56" s="37" t="n">
        <v>0.05</v>
      </c>
      <c r="CQ56" s="38" t="n">
        <f aca="false">CP56+$CQ$55</f>
        <v>0.02</v>
      </c>
      <c r="CR56" s="14"/>
    </row>
    <row r="57" customFormat="false" ht="15" hidden="false" customHeight="true" outlineLevel="0" collapsed="false">
      <c r="B57" s="29" t="s">
        <v>201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6"/>
      <c r="BZ57" s="36"/>
      <c r="CA57" s="36" t="n">
        <f aca="false">BV53*(1+CA56)</f>
        <v>183.6</v>
      </c>
      <c r="CB57" s="36" t="n">
        <f aca="false">CA57*(1+CB56)</f>
        <v>198.288</v>
      </c>
      <c r="CC57" s="36" t="n">
        <f aca="false">CB57*(1+CC56)</f>
        <v>214.15104</v>
      </c>
      <c r="CD57" s="36" t="n">
        <f aca="false">CC57*(1+CD56)</f>
        <v>231.2831232</v>
      </c>
      <c r="CE57" s="36" t="n">
        <f aca="false">CD57*(1+CE56)</f>
        <v>249.785773056</v>
      </c>
      <c r="CF57" s="28"/>
      <c r="CN57" s="29" t="s">
        <v>182</v>
      </c>
      <c r="CO57" s="38" t="n">
        <f aca="false">CP57+$CO$55</f>
        <v>0.08</v>
      </c>
      <c r="CP57" s="37" t="n">
        <v>0.05</v>
      </c>
      <c r="CQ57" s="38" t="n">
        <f aca="false">CP57+$CQ$55</f>
        <v>0.02</v>
      </c>
      <c r="CR57" s="14"/>
    </row>
    <row r="58" customFormat="false" ht="15" hidden="false" customHeight="true" outlineLevel="0" collapsed="false">
      <c r="B58" s="17" t="s">
        <v>202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20" t="n">
        <f aca="false">$CA57*BY55/365</f>
        <v>20.6235616438356</v>
      </c>
      <c r="BZ58" s="20" t="n">
        <f aca="false">$CA57*BZ55/365</f>
        <v>46.2772602739726</v>
      </c>
      <c r="CA58" s="20" t="n">
        <f aca="false">SUM(BW58,BX58,BY58,BZ58)</f>
        <v>66.9008219178082</v>
      </c>
      <c r="CB58" s="20" t="n">
        <f aca="false">CB57</f>
        <v>198.288</v>
      </c>
      <c r="CC58" s="20" t="n">
        <f aca="false">CC57</f>
        <v>214.15104</v>
      </c>
      <c r="CD58" s="20" t="n">
        <f aca="false">CD57</f>
        <v>231.2831232</v>
      </c>
      <c r="CE58" s="20" t="n">
        <f aca="false">CE57</f>
        <v>249.785773056</v>
      </c>
      <c r="CF58" s="21"/>
      <c r="CN58" s="29" t="s">
        <v>184</v>
      </c>
      <c r="CO58" s="38" t="n">
        <f aca="false">CP58+$CO$55</f>
        <v>0.08</v>
      </c>
      <c r="CP58" s="37" t="n">
        <v>0.05</v>
      </c>
      <c r="CQ58" s="38" t="n">
        <f aca="false">CP58+$CQ$55</f>
        <v>0.02</v>
      </c>
      <c r="CR58" s="14"/>
    </row>
    <row r="59" customFormat="false" ht="15" hidden="false" customHeight="true" outlineLevel="0" collapsed="false">
      <c r="B59" s="29" t="s">
        <v>124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7" t="n">
        <f aca="false">$CA59</f>
        <v>0.23</v>
      </c>
      <c r="BZ59" s="27" t="n">
        <f aca="false">$CA59</f>
        <v>0.23</v>
      </c>
      <c r="CA59" s="27" t="n">
        <f aca="false">BV54</f>
        <v>0.23</v>
      </c>
      <c r="CB59" s="27" t="n">
        <f aca="false">CHOOSE(MATCH($CF$2,{"Bull","Base","Bear"},0),$CO$81,$CP$81,$CQ$81)</f>
        <v>0.25</v>
      </c>
      <c r="CC59" s="27" t="n">
        <f aca="false">CHOOSE(MATCH($CF$2,{"Bull","Base","Bear"},0),$CO$82,$CP$82,$CQ$82)</f>
        <v>0.27</v>
      </c>
      <c r="CD59" s="27" t="n">
        <f aca="false">CHOOSE(MATCH($CF$2,{"Bull","Base","Bear"},0),$CO$83,$CP$83,$CQ$83)</f>
        <v>0.29</v>
      </c>
      <c r="CE59" s="27" t="n">
        <f aca="false">CHOOSE(MATCH($CF$2,{"Bull","Base","Bear"},0),$CO$84,$CP$84,$CQ$84)</f>
        <v>0.3</v>
      </c>
      <c r="CF59" s="28" t="s">
        <v>203</v>
      </c>
      <c r="CN59" s="29" t="s">
        <v>186</v>
      </c>
      <c r="CO59" s="38" t="n">
        <f aca="false">CP59+$CO$55</f>
        <v>0.08</v>
      </c>
      <c r="CP59" s="37" t="n">
        <v>0.05</v>
      </c>
      <c r="CQ59" s="38" t="n">
        <f aca="false">CP59+$CQ$55</f>
        <v>0.02</v>
      </c>
      <c r="CR59" s="14"/>
    </row>
    <row r="60" customFormat="false" ht="15" hidden="false" customHeight="true" outlineLevel="0" collapsed="false">
      <c r="B60" s="17" t="s">
        <v>204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20" t="n">
        <f aca="false">BY58*BY59</f>
        <v>4.74341917808219</v>
      </c>
      <c r="BZ60" s="20" t="n">
        <f aca="false">BZ58*BZ59</f>
        <v>10.6437698630137</v>
      </c>
      <c r="CA60" s="20" t="n">
        <f aca="false">SUM(BW60,BX60,BY60,BZ60)</f>
        <v>15.3871890410959</v>
      </c>
      <c r="CB60" s="20" t="n">
        <f aca="false">CB58*CB59</f>
        <v>49.572</v>
      </c>
      <c r="CC60" s="20" t="n">
        <f aca="false">CC58*CC59</f>
        <v>57.8207808</v>
      </c>
      <c r="CD60" s="20" t="n">
        <f aca="false">CD58*CD59</f>
        <v>67.072105728</v>
      </c>
      <c r="CE60" s="20" t="n">
        <f aca="false">CE58*CE59</f>
        <v>74.9357319168</v>
      </c>
      <c r="CF60" s="21"/>
      <c r="CN60" s="16" t="s">
        <v>205</v>
      </c>
      <c r="CO60" s="42" t="n">
        <v>0.03</v>
      </c>
      <c r="CP60" s="23" t="s">
        <v>177</v>
      </c>
      <c r="CQ60" s="42" t="n">
        <v>-0.03</v>
      </c>
      <c r="CR60" s="14" t="s">
        <v>206</v>
      </c>
    </row>
    <row r="61" customFormat="false" ht="15" hidden="false" customHeight="true" outlineLevel="0" collapsed="false">
      <c r="B61" s="24" t="s">
        <v>207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7"/>
      <c r="BZ61" s="27"/>
      <c r="CA61" s="45" t="n">
        <v>0.02</v>
      </c>
      <c r="CB61" s="27"/>
      <c r="CC61" s="27"/>
      <c r="CD61" s="27"/>
      <c r="CE61" s="27"/>
      <c r="CF61" s="28" t="s">
        <v>208</v>
      </c>
      <c r="CN61" s="29" t="s">
        <v>180</v>
      </c>
      <c r="CO61" s="38" t="n">
        <f aca="false">CP61+$CO$60</f>
        <v>0.15</v>
      </c>
      <c r="CP61" s="37" t="n">
        <v>0.12</v>
      </c>
      <c r="CQ61" s="38" t="n">
        <f aca="false">CP61+$CQ$60</f>
        <v>0.09</v>
      </c>
      <c r="CR61" s="14"/>
    </row>
    <row r="62" customFormat="false" ht="15" hidden="false" customHeight="true" outlineLevel="0" collapsed="false">
      <c r="B62" s="29" t="s">
        <v>209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6" t="n">
        <f aca="false">BY58*$CA61</f>
        <v>0.412471232876712</v>
      </c>
      <c r="BZ62" s="36" t="n">
        <f aca="false">BZ58*$CA61</f>
        <v>0.925545205479452</v>
      </c>
      <c r="CA62" s="36" t="n">
        <f aca="false">SUM(BW62,BX62,BY62,BZ62)</f>
        <v>1.33801643835616</v>
      </c>
      <c r="CB62" s="36" t="n">
        <f aca="false">CB58*$CA61</f>
        <v>3.96576</v>
      </c>
      <c r="CC62" s="36" t="n">
        <f aca="false">CC58*$CA61</f>
        <v>4.2830208</v>
      </c>
      <c r="CD62" s="36" t="n">
        <f aca="false">CD58*$CA61</f>
        <v>4.625662464</v>
      </c>
      <c r="CE62" s="36" t="n">
        <f aca="false">CE58*$CA61</f>
        <v>4.99571546112</v>
      </c>
      <c r="CF62" s="28"/>
      <c r="CN62" s="29" t="s">
        <v>182</v>
      </c>
      <c r="CO62" s="38" t="n">
        <f aca="false">CP62+$CO$60</f>
        <v>0.14</v>
      </c>
      <c r="CP62" s="37" t="n">
        <v>0.11</v>
      </c>
      <c r="CQ62" s="38" t="n">
        <f aca="false">CP62+$CQ$60</f>
        <v>0.08</v>
      </c>
      <c r="CR62" s="14"/>
    </row>
    <row r="63" customFormat="false" ht="15" hidden="false" customHeight="true" outlineLevel="0" collapsed="false">
      <c r="B63" s="29" t="s">
        <v>210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6" t="n">
        <f aca="false">$CA323/$CA324*BY55/365</f>
        <v>3.59452054794521</v>
      </c>
      <c r="BZ63" s="36" t="n">
        <f aca="false">$CA323/$CA324*BZ55/365</f>
        <v>8.06575342465754</v>
      </c>
      <c r="CA63" s="36" t="n">
        <f aca="false">SUM(BW63,BX63,BY63,BZ63)</f>
        <v>11.6602739726027</v>
      </c>
      <c r="CB63" s="36" t="n">
        <f aca="false">$CA323/$CA324</f>
        <v>32</v>
      </c>
      <c r="CC63" s="36" t="n">
        <f aca="false">$CA323/$CA324</f>
        <v>32</v>
      </c>
      <c r="CD63" s="36" t="n">
        <f aca="false">$CA323/$CA324</f>
        <v>32</v>
      </c>
      <c r="CE63" s="36" t="n">
        <f aca="false">$CA323/$CA324</f>
        <v>32</v>
      </c>
      <c r="CF63" s="28" t="s">
        <v>211</v>
      </c>
      <c r="CN63" s="29" t="s">
        <v>184</v>
      </c>
      <c r="CO63" s="38" t="n">
        <f aca="false">CP63+$CO$60</f>
        <v>0.13</v>
      </c>
      <c r="CP63" s="37" t="n">
        <v>0.1</v>
      </c>
      <c r="CQ63" s="38" t="n">
        <f aca="false">CP63+$CQ$60</f>
        <v>0.07</v>
      </c>
      <c r="CR63" s="14"/>
    </row>
    <row r="64" customFormat="false" ht="15" hidden="false" customHeight="true" outlineLevel="0" collapsed="false">
      <c r="B64" s="29" t="s">
        <v>212</v>
      </c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44" t="n">
        <v>8</v>
      </c>
      <c r="BZ64" s="44" t="n">
        <v>2</v>
      </c>
      <c r="CA64" s="36" t="n">
        <f aca="false">SUM(BW64,BX64,BY64,BZ64)</f>
        <v>10</v>
      </c>
      <c r="CB64" s="44" t="n">
        <v>5</v>
      </c>
      <c r="CC64" s="44" t="n">
        <v>0</v>
      </c>
      <c r="CD64" s="44" t="n">
        <v>0</v>
      </c>
      <c r="CE64" s="44" t="n">
        <v>0</v>
      </c>
      <c r="CF64" s="28" t="s">
        <v>213</v>
      </c>
      <c r="CN64" s="29" t="s">
        <v>186</v>
      </c>
      <c r="CO64" s="38" t="n">
        <f aca="false">CP64+$CO$60</f>
        <v>0.12</v>
      </c>
      <c r="CP64" s="37" t="n">
        <v>0.09</v>
      </c>
      <c r="CQ64" s="38" t="n">
        <f aca="false">CP64+$CQ$60</f>
        <v>0.06</v>
      </c>
      <c r="CR64" s="14"/>
    </row>
    <row r="65" customFormat="false" ht="15" hidden="false" customHeight="false" outlineLevel="0" collapsed="false">
      <c r="CN65" s="16" t="s">
        <v>214</v>
      </c>
      <c r="CO65" s="42" t="n">
        <v>0.02</v>
      </c>
      <c r="CP65" s="23" t="s">
        <v>177</v>
      </c>
      <c r="CQ65" s="42" t="n">
        <v>-0.02</v>
      </c>
      <c r="CR65" s="14" t="s">
        <v>215</v>
      </c>
    </row>
    <row r="66" customFormat="false" ht="15" hidden="false" customHeight="true" outlineLevel="0" collapsed="false">
      <c r="B66" s="15" t="s">
        <v>216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6" t="s">
        <v>217</v>
      </c>
      <c r="CN66" s="29" t="s">
        <v>180</v>
      </c>
      <c r="CO66" s="38" t="n">
        <f aca="false">CP66+$CO$65</f>
        <v>0.385</v>
      </c>
      <c r="CP66" s="37" t="n">
        <v>0.365</v>
      </c>
      <c r="CQ66" s="38" t="n">
        <f aca="false">CP66+$CQ$65</f>
        <v>0.345</v>
      </c>
      <c r="CR66" s="14"/>
    </row>
    <row r="67" customFormat="false" ht="15" hidden="false" customHeight="true" outlineLevel="0" collapsed="false">
      <c r="B67" s="29" t="s">
        <v>218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6"/>
      <c r="BZ67" s="36"/>
      <c r="CA67" s="44" t="n">
        <v>0</v>
      </c>
      <c r="CB67" s="36" t="n">
        <f aca="false">CHOOSE(MATCH($CF$2,{"Bull","Base","Bear"},0),$CO$86,$CP$86,$CQ$86)</f>
        <v>0</v>
      </c>
      <c r="CC67" s="36" t="n">
        <f aca="false">CHOOSE(MATCH($CF$2,{"Bull","Base","Bear"},0),$CO$87,$CP$87,$CQ$87)</f>
        <v>0</v>
      </c>
      <c r="CD67" s="36" t="n">
        <f aca="false">CHOOSE(MATCH($CF$2,{"Bull","Base","Bear"},0),$CO$88,$CP$88,$CQ$88)</f>
        <v>0</v>
      </c>
      <c r="CE67" s="36" t="n">
        <f aca="false">CHOOSE(MATCH($CF$2,{"Bull","Base","Bear"},0),$CO$89,$CP$89,$CQ$89)</f>
        <v>0</v>
      </c>
      <c r="CF67" s="28" t="s">
        <v>219</v>
      </c>
      <c r="CN67" s="29" t="s">
        <v>182</v>
      </c>
      <c r="CO67" s="38" t="n">
        <f aca="false">CP67+$CO$65</f>
        <v>0.395</v>
      </c>
      <c r="CP67" s="37" t="n">
        <v>0.375</v>
      </c>
      <c r="CQ67" s="38" t="n">
        <f aca="false">CP67+$CQ$65</f>
        <v>0.355</v>
      </c>
      <c r="CR67" s="14"/>
    </row>
    <row r="68" customFormat="false" ht="15" hidden="false" customHeight="true" outlineLevel="0" collapsed="false">
      <c r="B68" s="29" t="s">
        <v>220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6"/>
      <c r="BT68" s="46"/>
      <c r="BU68" s="46"/>
      <c r="BV68" s="46"/>
      <c r="BW68" s="46"/>
      <c r="BX68" s="46"/>
      <c r="BY68" s="47"/>
      <c r="BZ68" s="47"/>
      <c r="CA68" s="47"/>
      <c r="CB68" s="48" t="n">
        <v>6</v>
      </c>
      <c r="CC68" s="48" t="n">
        <v>6</v>
      </c>
      <c r="CD68" s="48" t="n">
        <v>6</v>
      </c>
      <c r="CE68" s="48" t="n">
        <v>6</v>
      </c>
      <c r="CF68" s="28"/>
      <c r="CN68" s="29" t="s">
        <v>184</v>
      </c>
      <c r="CO68" s="38" t="n">
        <f aca="false">CP68+$CO$65</f>
        <v>0.405</v>
      </c>
      <c r="CP68" s="37" t="n">
        <v>0.385</v>
      </c>
      <c r="CQ68" s="38" t="n">
        <f aca="false">CP68+$CQ$65</f>
        <v>0.365</v>
      </c>
      <c r="CR68" s="14"/>
    </row>
    <row r="69" customFormat="false" ht="15" hidden="false" customHeight="true" outlineLevel="0" collapsed="false">
      <c r="B69" s="29" t="s">
        <v>221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6"/>
      <c r="BZ69" s="36"/>
      <c r="CA69" s="44" t="n">
        <v>0</v>
      </c>
      <c r="CB69" s="36" t="n">
        <f aca="false">IFERROR(CB67/CB68,0)</f>
        <v>0</v>
      </c>
      <c r="CC69" s="36" t="n">
        <f aca="false">IFERROR(CC67/CC68,0)</f>
        <v>0</v>
      </c>
      <c r="CD69" s="36" t="n">
        <f aca="false">IFERROR(CD67/CD68,0)</f>
        <v>0</v>
      </c>
      <c r="CE69" s="36" t="n">
        <f aca="false">IFERROR(CE67/CE68,0)</f>
        <v>0</v>
      </c>
      <c r="CF69" s="28"/>
      <c r="CN69" s="29" t="s">
        <v>186</v>
      </c>
      <c r="CO69" s="38" t="n">
        <f aca="false">CP69+$CO$65</f>
        <v>0.415</v>
      </c>
      <c r="CP69" s="37" t="n">
        <v>0.395</v>
      </c>
      <c r="CQ69" s="38" t="n">
        <f aca="false">CP69+$CQ$65</f>
        <v>0.375</v>
      </c>
      <c r="CR69" s="14"/>
    </row>
    <row r="70" customFormat="false" ht="15" hidden="false" customHeight="true" outlineLevel="0" collapsed="false">
      <c r="B70" s="24" t="s">
        <v>222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7"/>
      <c r="BZ70" s="27"/>
      <c r="CA70" s="27"/>
      <c r="CB70" s="45" t="n">
        <v>0.08</v>
      </c>
      <c r="CC70" s="45" t="n">
        <v>0.08</v>
      </c>
      <c r="CD70" s="45" t="n">
        <v>0.08</v>
      </c>
      <c r="CE70" s="45" t="n">
        <v>0.08</v>
      </c>
      <c r="CF70" s="28"/>
      <c r="CN70" s="16" t="s">
        <v>223</v>
      </c>
      <c r="CO70" s="42" t="n">
        <v>0.04</v>
      </c>
      <c r="CP70" s="23" t="s">
        <v>177</v>
      </c>
      <c r="CQ70" s="42" t="n">
        <v>-0.04</v>
      </c>
      <c r="CR70" s="14" t="s">
        <v>224</v>
      </c>
    </row>
    <row r="71" customFormat="false" ht="15" hidden="false" customHeight="true" outlineLevel="0" collapsed="false">
      <c r="B71" s="29" t="s">
        <v>225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6"/>
      <c r="BZ71" s="36"/>
      <c r="CA71" s="44" t="n">
        <v>0</v>
      </c>
      <c r="CB71" s="36" t="n">
        <f aca="false">CA71*(1+CB70)+CB69</f>
        <v>0</v>
      </c>
      <c r="CC71" s="36" t="n">
        <f aca="false">CB71*(1+CC70)+CC69</f>
        <v>0</v>
      </c>
      <c r="CD71" s="36" t="n">
        <f aca="false">CC71*(1+CD70)+CD69</f>
        <v>0</v>
      </c>
      <c r="CE71" s="36" t="n">
        <f aca="false">CD71*(1+CE70)+CE69</f>
        <v>0</v>
      </c>
      <c r="CF71" s="28"/>
      <c r="CN71" s="29" t="s">
        <v>180</v>
      </c>
      <c r="CO71" s="38" t="n">
        <f aca="false">CP71+$CO$70</f>
        <v>0.13</v>
      </c>
      <c r="CP71" s="37" t="n">
        <v>0.09</v>
      </c>
      <c r="CQ71" s="38" t="n">
        <f aca="false">CP71+$CQ$70</f>
        <v>0.05</v>
      </c>
      <c r="CR71" s="14"/>
    </row>
    <row r="72" customFormat="false" ht="15" hidden="false" customHeight="true" outlineLevel="0" collapsed="false">
      <c r="B72" s="17" t="s">
        <v>226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20"/>
      <c r="BZ72" s="20"/>
      <c r="CA72" s="49" t="n">
        <v>0</v>
      </c>
      <c r="CB72" s="20" t="n">
        <f aca="false">CA71*(1+CB70)+0.5*CB69</f>
        <v>0</v>
      </c>
      <c r="CC72" s="20" t="n">
        <f aca="false">CB71*(1+CC70)+0.5*CC69</f>
        <v>0</v>
      </c>
      <c r="CD72" s="20" t="n">
        <f aca="false">CC71*(1+CD70)+0.5*CD69</f>
        <v>0</v>
      </c>
      <c r="CE72" s="20" t="n">
        <f aca="false">CD71*(1+CE70)+0.5*CE69</f>
        <v>0</v>
      </c>
      <c r="CF72" s="21" t="s">
        <v>227</v>
      </c>
      <c r="CN72" s="29" t="s">
        <v>182</v>
      </c>
      <c r="CO72" s="38" t="n">
        <f aca="false">CP72+$CO$70</f>
        <v>0.18</v>
      </c>
      <c r="CP72" s="37" t="n">
        <v>0.14</v>
      </c>
      <c r="CQ72" s="38" t="n">
        <f aca="false">CP72+$CQ$70</f>
        <v>0.1</v>
      </c>
      <c r="CR72" s="14"/>
    </row>
    <row r="73" customFormat="false" ht="15" hidden="false" customHeight="true" outlineLevel="0" collapsed="false">
      <c r="B73" s="24" t="s">
        <v>228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7"/>
      <c r="BZ73" s="27"/>
      <c r="CA73" s="27"/>
      <c r="CB73" s="45" t="n">
        <v>0.25</v>
      </c>
      <c r="CC73" s="45" t="n">
        <v>0.25</v>
      </c>
      <c r="CD73" s="45" t="n">
        <v>0.25</v>
      </c>
      <c r="CE73" s="45" t="n">
        <v>0.25</v>
      </c>
      <c r="CF73" s="28"/>
      <c r="CN73" s="29" t="s">
        <v>184</v>
      </c>
      <c r="CO73" s="38" t="n">
        <f aca="false">CP73+$CO$70</f>
        <v>0.23</v>
      </c>
      <c r="CP73" s="37" t="n">
        <v>0.19</v>
      </c>
      <c r="CQ73" s="38" t="n">
        <f aca="false">CP73+$CQ$70</f>
        <v>0.15</v>
      </c>
      <c r="CR73" s="14"/>
    </row>
    <row r="74" customFormat="false" ht="15" hidden="false" customHeight="true" outlineLevel="0" collapsed="false">
      <c r="B74" s="29" t="s">
        <v>229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6"/>
      <c r="BZ74" s="36"/>
      <c r="CA74" s="44" t="n">
        <v>0</v>
      </c>
      <c r="CB74" s="36" t="n">
        <f aca="false">CB72*CB73</f>
        <v>0</v>
      </c>
      <c r="CC74" s="36" t="n">
        <f aca="false">CC72*CC73</f>
        <v>0</v>
      </c>
      <c r="CD74" s="36" t="n">
        <f aca="false">CD72*CD73</f>
        <v>0</v>
      </c>
      <c r="CE74" s="36" t="n">
        <f aca="false">CE72*CE73</f>
        <v>0</v>
      </c>
      <c r="CF74" s="28"/>
      <c r="CN74" s="29" t="s">
        <v>186</v>
      </c>
      <c r="CO74" s="38" t="n">
        <f aca="false">CP74+$CO$70</f>
        <v>0.28</v>
      </c>
      <c r="CP74" s="37" t="n">
        <v>0.24</v>
      </c>
      <c r="CQ74" s="38" t="n">
        <f aca="false">CP74+$CQ$70</f>
        <v>0.2</v>
      </c>
      <c r="CR74" s="14"/>
    </row>
    <row r="75" customFormat="false" ht="15" hidden="false" customHeight="true" outlineLevel="0" collapsed="false">
      <c r="B75" s="24" t="s">
        <v>230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7"/>
      <c r="BZ75" s="27"/>
      <c r="CA75" s="27"/>
      <c r="CB75" s="45" t="n">
        <v>0.4</v>
      </c>
      <c r="CC75" s="45" t="n">
        <v>0.4</v>
      </c>
      <c r="CD75" s="45" t="n">
        <v>0.4</v>
      </c>
      <c r="CE75" s="45" t="n">
        <v>0.4</v>
      </c>
      <c r="CF75" s="28" t="s">
        <v>231</v>
      </c>
      <c r="CN75" s="16" t="s">
        <v>232</v>
      </c>
      <c r="CO75" s="42" t="n">
        <v>0.03</v>
      </c>
      <c r="CP75" s="23" t="s">
        <v>177</v>
      </c>
      <c r="CQ75" s="42" t="n">
        <v>-0.03</v>
      </c>
      <c r="CR75" s="14" t="s">
        <v>233</v>
      </c>
    </row>
    <row r="76" customFormat="false" ht="15" hidden="false" customHeight="true" outlineLevel="0" collapsed="false">
      <c r="B76" s="29" t="s">
        <v>234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6"/>
      <c r="BZ76" s="36"/>
      <c r="CA76" s="36"/>
      <c r="CB76" s="44" t="n">
        <v>10</v>
      </c>
      <c r="CC76" s="44" t="n">
        <v>10</v>
      </c>
      <c r="CD76" s="44" t="n">
        <v>10</v>
      </c>
      <c r="CE76" s="44" t="n">
        <v>10</v>
      </c>
      <c r="CF76" s="28"/>
      <c r="CN76" s="29" t="s">
        <v>180</v>
      </c>
      <c r="CO76" s="38" t="n">
        <f aca="false">CP76+$CO$75</f>
        <v>0.11</v>
      </c>
      <c r="CP76" s="37" t="n">
        <v>0.08</v>
      </c>
      <c r="CQ76" s="38" t="n">
        <f aca="false">CP76+$CQ$75</f>
        <v>0.05</v>
      </c>
      <c r="CR76" s="14"/>
    </row>
    <row r="77" customFormat="false" ht="15" hidden="false" customHeight="true" outlineLevel="0" collapsed="false">
      <c r="B77" s="29" t="s">
        <v>235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6"/>
      <c r="BZ77" s="36"/>
      <c r="CA77" s="44" t="n">
        <v>0</v>
      </c>
      <c r="CB77" s="36" t="n">
        <f aca="false">CB67*CB75</f>
        <v>0</v>
      </c>
      <c r="CC77" s="36" t="n">
        <f aca="false">CC67*CC75</f>
        <v>0</v>
      </c>
      <c r="CD77" s="36" t="n">
        <f aca="false">CD67*CD75</f>
        <v>0</v>
      </c>
      <c r="CE77" s="36" t="n">
        <f aca="false">CE67*CE75</f>
        <v>0</v>
      </c>
      <c r="CF77" s="28"/>
      <c r="CN77" s="29" t="s">
        <v>182</v>
      </c>
      <c r="CO77" s="38" t="n">
        <f aca="false">CP77+$CO$75</f>
        <v>0.11</v>
      </c>
      <c r="CP77" s="37" t="n">
        <v>0.08</v>
      </c>
      <c r="CQ77" s="38" t="n">
        <f aca="false">CP77+$CQ$75</f>
        <v>0.05</v>
      </c>
      <c r="CR77" s="14"/>
    </row>
    <row r="78" customFormat="false" ht="15" hidden="false" customHeight="true" outlineLevel="0" collapsed="false">
      <c r="B78" s="29" t="s">
        <v>236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6"/>
      <c r="BZ78" s="36"/>
      <c r="CA78" s="44" t="n">
        <v>0</v>
      </c>
      <c r="CB78" s="36" t="n">
        <f aca="false">CA78+CB77</f>
        <v>0</v>
      </c>
      <c r="CC78" s="36" t="n">
        <f aca="false">CB78+CC77</f>
        <v>0</v>
      </c>
      <c r="CD78" s="36" t="n">
        <f aca="false">CC78+CD77</f>
        <v>0</v>
      </c>
      <c r="CE78" s="36" t="n">
        <f aca="false">CD78+CE77</f>
        <v>0</v>
      </c>
      <c r="CF78" s="28"/>
      <c r="CN78" s="29" t="s">
        <v>184</v>
      </c>
      <c r="CO78" s="38" t="n">
        <f aca="false">CP78+$CO$75</f>
        <v>0.11</v>
      </c>
      <c r="CP78" s="37" t="n">
        <v>0.08</v>
      </c>
      <c r="CQ78" s="38" t="n">
        <f aca="false">CP78+$CQ$75</f>
        <v>0.05</v>
      </c>
      <c r="CR78" s="14"/>
    </row>
    <row r="79" customFormat="false" ht="15" hidden="false" customHeight="true" outlineLevel="0" collapsed="false">
      <c r="B79" s="29" t="s">
        <v>237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6"/>
      <c r="BZ79" s="36"/>
      <c r="CA79" s="44" t="n">
        <v>0</v>
      </c>
      <c r="CB79" s="36" t="n">
        <f aca="false">IFERROR(CA78/CB76+0.5*CB77/CB76,0)</f>
        <v>0</v>
      </c>
      <c r="CC79" s="36" t="n">
        <f aca="false">IFERROR(CB78/CC76+0.5*CC77/CC76,0)</f>
        <v>0</v>
      </c>
      <c r="CD79" s="36" t="n">
        <f aca="false">IFERROR(CC78/CD76+0.5*CD77/CD76,0)</f>
        <v>0</v>
      </c>
      <c r="CE79" s="36" t="n">
        <f aca="false">IFERROR(CD78/CE76+0.5*CE77/CE76,0)</f>
        <v>0</v>
      </c>
      <c r="CF79" s="28"/>
      <c r="CN79" s="29" t="s">
        <v>186</v>
      </c>
      <c r="CO79" s="38" t="n">
        <f aca="false">CP79+$CO$75</f>
        <v>0.11</v>
      </c>
      <c r="CP79" s="37" t="n">
        <v>0.08</v>
      </c>
      <c r="CQ79" s="38" t="n">
        <f aca="false">CP79+$CQ$75</f>
        <v>0.05</v>
      </c>
      <c r="CR79" s="14"/>
    </row>
    <row r="80" customFormat="false" ht="15" hidden="false" customHeight="true" outlineLevel="0" collapsed="false">
      <c r="B80" s="29" t="s">
        <v>238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6"/>
      <c r="BZ80" s="36"/>
      <c r="CA80" s="44" t="n">
        <v>0</v>
      </c>
      <c r="CB80" s="36" t="n">
        <f aca="false">CB67-CB77</f>
        <v>0</v>
      </c>
      <c r="CC80" s="36" t="n">
        <f aca="false">CC67-CC77</f>
        <v>0</v>
      </c>
      <c r="CD80" s="36" t="n">
        <f aca="false">CD67-CD77</f>
        <v>0</v>
      </c>
      <c r="CE80" s="36" t="n">
        <f aca="false">CE67-CE77</f>
        <v>0</v>
      </c>
      <c r="CF80" s="28"/>
      <c r="CN80" s="16" t="s">
        <v>239</v>
      </c>
      <c r="CO80" s="42" t="n">
        <v>0.02</v>
      </c>
      <c r="CP80" s="23" t="s">
        <v>177</v>
      </c>
      <c r="CQ80" s="42" t="n">
        <v>-0.02</v>
      </c>
      <c r="CR80" s="14" t="s">
        <v>240</v>
      </c>
    </row>
    <row r="81" customFormat="false" ht="15" hidden="false" customHeight="false" outlineLevel="0" collapsed="false">
      <c r="CN81" s="29" t="s">
        <v>180</v>
      </c>
      <c r="CO81" s="38" t="n">
        <f aca="false">CP81+$CO$80</f>
        <v>0.27</v>
      </c>
      <c r="CP81" s="37" t="n">
        <v>0.25</v>
      </c>
      <c r="CQ81" s="38" t="n">
        <f aca="false">CP81+$CQ$80</f>
        <v>0.23</v>
      </c>
      <c r="CR81" s="14"/>
    </row>
    <row r="82" customFormat="false" ht="15" hidden="false" customHeight="true" outlineLevel="0" collapsed="false">
      <c r="B82" s="15" t="s">
        <v>241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6" t="s">
        <v>242</v>
      </c>
      <c r="CN82" s="29" t="s">
        <v>182</v>
      </c>
      <c r="CO82" s="38" t="n">
        <f aca="false">CP82+$CO$80</f>
        <v>0.29</v>
      </c>
      <c r="CP82" s="37" t="n">
        <v>0.27</v>
      </c>
      <c r="CQ82" s="38" t="n">
        <f aca="false">CP82+$CQ$80</f>
        <v>0.25</v>
      </c>
      <c r="CR82" s="14"/>
    </row>
    <row r="83" customFormat="false" ht="15" hidden="false" customHeight="true" outlineLevel="0" collapsed="false">
      <c r="B83" s="50" t="s">
        <v>243</v>
      </c>
      <c r="C83" s="51" t="str">
        <f aca="false">IF(ISNUMBER(C20),C20+C28,"")</f>
        <v/>
      </c>
      <c r="D83" s="51" t="str">
        <f aca="false">IF(ISNUMBER(D20),D20+D28,"")</f>
        <v/>
      </c>
      <c r="E83" s="51" t="str">
        <f aca="false">IF(ISNUMBER(E20),E20+E28,"")</f>
        <v/>
      </c>
      <c r="F83" s="51" t="str">
        <f aca="false">IF(ISNUMBER(F20),F20+F28,"")</f>
        <v/>
      </c>
      <c r="G83" s="51" t="str">
        <f aca="false">IF(ISNUMBER(G20),G20+G28,"")</f>
        <v/>
      </c>
      <c r="H83" s="51" t="str">
        <f aca="false">IF(ISNUMBER(H20),H20+H28,"")</f>
        <v/>
      </c>
      <c r="I83" s="51" t="str">
        <f aca="false">IF(ISNUMBER(I20),I20+I28,"")</f>
        <v/>
      </c>
      <c r="J83" s="51" t="str">
        <f aca="false">IF(ISNUMBER(J20),J20+J28,"")</f>
        <v/>
      </c>
      <c r="K83" s="51" t="str">
        <f aca="false">IF(ISNUMBER(K20),K20+K28,"")</f>
        <v/>
      </c>
      <c r="L83" s="51" t="str">
        <f aca="false">IF(ISNUMBER(L20),L20+L28,"")</f>
        <v/>
      </c>
      <c r="M83" s="51" t="str">
        <f aca="false">IF(ISNUMBER(M20),M20+M28,"")</f>
        <v/>
      </c>
      <c r="N83" s="51" t="str">
        <f aca="false">IF(ISNUMBER(N20),N20+N28,"")</f>
        <v/>
      </c>
      <c r="O83" s="51" t="str">
        <f aca="false">IF(ISNUMBER(O20),O20+O28,"")</f>
        <v/>
      </c>
      <c r="P83" s="51" t="str">
        <f aca="false">IF(ISNUMBER(P20),P20+P28,"")</f>
        <v/>
      </c>
      <c r="Q83" s="51" t="str">
        <f aca="false">IF(ISNUMBER(Q20),Q20+Q28,"")</f>
        <v/>
      </c>
      <c r="R83" s="51" t="str">
        <f aca="false">IF(ISNUMBER(R20),R20+R28,"")</f>
        <v/>
      </c>
      <c r="S83" s="51" t="str">
        <f aca="false">IF(ISNUMBER(S20),S20+S28,"")</f>
        <v/>
      </c>
      <c r="T83" s="51" t="str">
        <f aca="false">IF(ISNUMBER(T20),T20+T28,"")</f>
        <v/>
      </c>
      <c r="U83" s="51" t="str">
        <f aca="false">IF(ISNUMBER(U20),U20+U28,"")</f>
        <v/>
      </c>
      <c r="V83" s="51" t="str">
        <f aca="false">IF(ISNUMBER(V20),V20+V28,"")</f>
        <v/>
      </c>
      <c r="W83" s="51" t="str">
        <f aca="false">IF(ISNUMBER(W20),W20+W28,"")</f>
        <v/>
      </c>
      <c r="X83" s="51" t="str">
        <f aca="false">IF(ISNUMBER(X20),X20+X28,"")</f>
        <v/>
      </c>
      <c r="Y83" s="51" t="str">
        <f aca="false">IF(ISNUMBER(Y20),Y20+Y28,"")</f>
        <v/>
      </c>
      <c r="Z83" s="51" t="str">
        <f aca="false">IF(ISNUMBER(Z20),Z20+Z28,"")</f>
        <v/>
      </c>
      <c r="AA83" s="51" t="str">
        <f aca="false">IF(ISNUMBER(AA20),AA20+AA28,"")</f>
        <v/>
      </c>
      <c r="AB83" s="51" t="str">
        <f aca="false">IF(ISNUMBER(AB20),AB20+AB28,"")</f>
        <v/>
      </c>
      <c r="AC83" s="51" t="str">
        <f aca="false">IF(ISNUMBER(AC20),AC20+AC28,"")</f>
        <v/>
      </c>
      <c r="AD83" s="51" t="str">
        <f aca="false">IF(ISNUMBER(AD20),AD20+AD28,"")</f>
        <v/>
      </c>
      <c r="AE83" s="51" t="str">
        <f aca="false">IF(ISNUMBER(AE20),AE20+AE28,"")</f>
        <v/>
      </c>
      <c r="AF83" s="51" t="str">
        <f aca="false">IF(ISNUMBER(AF20),AF20+AF28,"")</f>
        <v/>
      </c>
      <c r="AG83" s="51" t="str">
        <f aca="false">IF(ISNUMBER(AG20),AG20+AG28,"")</f>
        <v/>
      </c>
      <c r="AH83" s="51" t="str">
        <f aca="false">IF(ISNUMBER(AH20),AH20+AH28,"")</f>
        <v/>
      </c>
      <c r="AI83" s="51" t="str">
        <f aca="false">IF(ISNUMBER(AI20),AI20+AI28,"")</f>
        <v/>
      </c>
      <c r="AJ83" s="51" t="str">
        <f aca="false">IF(ISNUMBER(AJ20),AJ20+AJ28,"")</f>
        <v/>
      </c>
      <c r="AK83" s="51" t="str">
        <f aca="false">IF(ISNUMBER(AK20),AK20+AK28,"")</f>
        <v/>
      </c>
      <c r="AL83" s="51" t="str">
        <f aca="false">IF(ISNUMBER(AL20),AL20+AL28,"")</f>
        <v/>
      </c>
      <c r="AM83" s="51" t="str">
        <f aca="false">IF(ISNUMBER(AM20),AM20+AM28,"")</f>
        <v/>
      </c>
      <c r="AN83" s="51" t="str">
        <f aca="false">IF(ISNUMBER(AN20),AN20+AN28,"")</f>
        <v/>
      </c>
      <c r="AO83" s="51" t="str">
        <f aca="false">IF(ISNUMBER(AO20),AO20+AO28,"")</f>
        <v/>
      </c>
      <c r="AP83" s="51" t="str">
        <f aca="false">IF(ISNUMBER(AP20),AP20+AP28,"")</f>
        <v/>
      </c>
      <c r="AQ83" s="51" t="str">
        <f aca="false">IF(ISNUMBER(AQ20),AQ20+AQ28,"")</f>
        <v/>
      </c>
      <c r="AR83" s="51" t="str">
        <f aca="false">IF(ISNUMBER(AR20),AR20+AR28,"")</f>
        <v/>
      </c>
      <c r="AS83" s="51" t="str">
        <f aca="false">IF(ISNUMBER(AS20),AS20+AS28,"")</f>
        <v/>
      </c>
      <c r="AT83" s="51" t="str">
        <f aca="false">IF(ISNUMBER(AT20),AT20+AT28,"")</f>
        <v/>
      </c>
      <c r="AU83" s="51" t="str">
        <f aca="false">IF(ISNUMBER(AU20),AU20+AU28,"")</f>
        <v/>
      </c>
      <c r="AV83" s="51" t="str">
        <f aca="false">IF(ISNUMBER(AV20),AV20+AV28,"")</f>
        <v/>
      </c>
      <c r="AW83" s="51" t="str">
        <f aca="false">IF(ISNUMBER(AW20),AW20+AW28,"")</f>
        <v/>
      </c>
      <c r="AX83" s="51" t="str">
        <f aca="false">IF(ISNUMBER(AX20),AX20+AX28,"")</f>
        <v/>
      </c>
      <c r="AY83" s="51" t="str">
        <f aca="false">IF(ISNUMBER(AY20),AY20+AY28,"")</f>
        <v/>
      </c>
      <c r="AZ83" s="51" t="str">
        <f aca="false">IF(ISNUMBER(AZ20),AZ20+AZ28,"")</f>
        <v/>
      </c>
      <c r="BA83" s="51" t="str">
        <f aca="false">IF(ISNUMBER(BA20),BA20+BA28,"")</f>
        <v/>
      </c>
      <c r="BB83" s="51" t="str">
        <f aca="false">IF(ISNUMBER(BB20),BB20+BB28,"")</f>
        <v/>
      </c>
      <c r="BC83" s="51" t="str">
        <f aca="false">IF(ISNUMBER(BC20),BC20+BC28,"")</f>
        <v/>
      </c>
      <c r="BD83" s="51" t="str">
        <f aca="false">IF(ISNUMBER(BD20),BD20+BD28,"")</f>
        <v/>
      </c>
      <c r="BE83" s="51" t="str">
        <f aca="false">IF(ISNUMBER(BE20),BE20+BE28,"")</f>
        <v/>
      </c>
      <c r="BF83" s="51" t="str">
        <f aca="false">IF(ISNUMBER(BF20),BF20+BF28,"")</f>
        <v/>
      </c>
      <c r="BG83" s="51" t="str">
        <f aca="false">IF(ISNUMBER(BG20),BG20+BG28,"")</f>
        <v/>
      </c>
      <c r="BH83" s="51" t="n">
        <f aca="false">IF(ISNUMBER(BH20),BH20+BH28,"")</f>
        <v>584</v>
      </c>
      <c r="BI83" s="51" t="n">
        <f aca="false">IF(ISNUMBER(BI20),BI20+BI28,"")</f>
        <v>606</v>
      </c>
      <c r="BJ83" s="51" t="n">
        <f aca="false">IF(ISNUMBER(BJ20),BJ20+BJ28,"")</f>
        <v>625</v>
      </c>
      <c r="BK83" s="51" t="n">
        <f aca="false">IF(ISNUMBER(BK20),BK20+BK28,"")</f>
        <v>640</v>
      </c>
      <c r="BL83" s="51" t="n">
        <f aca="false">IF(ISNUMBER(BL20),BL20+BL28,"")</f>
        <v>2453.9</v>
      </c>
      <c r="BM83" s="51" t="n">
        <f aca="false">IF(ISNUMBER(BM20),BM20+BM28,"")</f>
        <v>656</v>
      </c>
      <c r="BN83" s="51" t="n">
        <f aca="false">IF(ISNUMBER(BN20),BN20+BN28,"")</f>
        <v>678</v>
      </c>
      <c r="BO83" s="51" t="n">
        <f aca="false">IF(ISNUMBER(BO20),BO20+BO28,"")</f>
        <v>693</v>
      </c>
      <c r="BP83" s="51" t="n">
        <f aca="false">IF(ISNUMBER(BP20),BP20+BP28,"")</f>
        <v>709</v>
      </c>
      <c r="BQ83" s="51" t="n">
        <f aca="false">IF(ISNUMBER(BQ20),BQ20+BQ28,"")</f>
        <v>2736</v>
      </c>
      <c r="BR83" s="51" t="n">
        <f aca="false">IF(ISNUMBER(BR20),BR20+BR28,"")</f>
        <v>732</v>
      </c>
      <c r="BS83" s="51" t="n">
        <f aca="false">IF(ISNUMBER(BS20),BS20+BS28,"")</f>
        <v>781</v>
      </c>
      <c r="BT83" s="51" t="n">
        <f aca="false">IF(ISNUMBER(BT20),BT20+BT28,"")</f>
        <v>834</v>
      </c>
      <c r="BU83" s="51" t="n">
        <f aca="false">IF(ISNUMBER(BU20),BU20+BU28,"")</f>
        <v>900</v>
      </c>
      <c r="BV83" s="51" t="n">
        <f aca="false">IF(ISNUMBER(BV20),BV20+BV28,"")</f>
        <v>3247</v>
      </c>
      <c r="BW83" s="51" t="n">
        <f aca="false">IF(ISNUMBER(BW20),BW20+BW28,"")</f>
        <v>897</v>
      </c>
      <c r="BX83" s="51" t="n">
        <f aca="false">IF(ISNUMBER(BX20),BX20+BX28,"")</f>
        <v>925</v>
      </c>
      <c r="BY83" s="51" t="n">
        <f aca="false">BY20+BY28+N(BY58)+N(BY72)</f>
        <v>966.500961185568</v>
      </c>
      <c r="BZ83" s="51" t="n">
        <f aca="false">BZ20+BZ28+N(BZ58)+N(BZ72)</f>
        <v>1013.39986073224</v>
      </c>
      <c r="CA83" s="51" t="n">
        <f aca="false">CA20+CA28+N(CA58)+N(CA72)</f>
        <v>3801.90082191781</v>
      </c>
      <c r="CB83" s="51" t="n">
        <f aca="false">CB20+CB28+N(CB58)+N(CB72)</f>
        <v>4324.89990351626</v>
      </c>
      <c r="CC83" s="51" t="n">
        <f aca="false">CC20+CC28+N(CC58)+N(CC72)</f>
        <v>4750.8791255357</v>
      </c>
      <c r="CD83" s="51" t="n">
        <f aca="false">CD20+CD28+N(CD58)+N(CD72)</f>
        <v>5185.06516793768</v>
      </c>
      <c r="CE83" s="51" t="n">
        <f aca="false">CE20+CE28+N(CE58)+N(CE72)</f>
        <v>5621.49450282856</v>
      </c>
      <c r="CF83" s="21" t="s">
        <v>244</v>
      </c>
      <c r="CH83" s="22" t="n">
        <f aca="false">IFERROR((CE83/BV83)^(1/5)-1,"n/m")</f>
        <v>0.116024940960849</v>
      </c>
      <c r="CI83" s="22" t="str">
        <f aca="false">IFERROR((BV83/AW83)^(1/5)-1,"n/m")</f>
        <v>n/m</v>
      </c>
      <c r="CJ83" s="22" t="str">
        <f aca="false">IFERROR((BV83/X83)^(1/10)-1,"n/m")</f>
        <v>n/m</v>
      </c>
      <c r="CK83" s="22" t="str">
        <f aca="false">IFERROR((BV83/C83)^(1/19)-1,"n/m")</f>
        <v>n/m</v>
      </c>
      <c r="CN83" s="29" t="s">
        <v>184</v>
      </c>
      <c r="CO83" s="38" t="n">
        <f aca="false">CP83+$CO$80</f>
        <v>0.31</v>
      </c>
      <c r="CP83" s="37" t="n">
        <v>0.29</v>
      </c>
      <c r="CQ83" s="38" t="n">
        <f aca="false">CP83+$CQ$80</f>
        <v>0.27</v>
      </c>
      <c r="CR83" s="14"/>
    </row>
    <row r="84" customFormat="false" ht="15" hidden="false" customHeight="true" outlineLevel="0" collapsed="false">
      <c r="B84" s="50" t="s">
        <v>245</v>
      </c>
      <c r="C84" s="51" t="str">
        <f aca="false">IF(ISNUMBER(C22),C22+C31,"")</f>
        <v/>
      </c>
      <c r="D84" s="51" t="str">
        <f aca="false">IF(ISNUMBER(D22),D22+D31,"")</f>
        <v/>
      </c>
      <c r="E84" s="51" t="str">
        <f aca="false">IF(ISNUMBER(E22),E22+E31,"")</f>
        <v/>
      </c>
      <c r="F84" s="51" t="str">
        <f aca="false">IF(ISNUMBER(F22),F22+F31,"")</f>
        <v/>
      </c>
      <c r="G84" s="51" t="str">
        <f aca="false">IF(ISNUMBER(G22),G22+G31,"")</f>
        <v/>
      </c>
      <c r="H84" s="51" t="str">
        <f aca="false">IF(ISNUMBER(H22),H22+H31,"")</f>
        <v/>
      </c>
      <c r="I84" s="51" t="str">
        <f aca="false">IF(ISNUMBER(I22),I22+I31,"")</f>
        <v/>
      </c>
      <c r="J84" s="51" t="str">
        <f aca="false">IF(ISNUMBER(J22),J22+J31,"")</f>
        <v/>
      </c>
      <c r="K84" s="51" t="str">
        <f aca="false">IF(ISNUMBER(K22),K22+K31,"")</f>
        <v/>
      </c>
      <c r="L84" s="51" t="str">
        <f aca="false">IF(ISNUMBER(L22),L22+L31,"")</f>
        <v/>
      </c>
      <c r="M84" s="51" t="str">
        <f aca="false">IF(ISNUMBER(M22),M22+M31,"")</f>
        <v/>
      </c>
      <c r="N84" s="51" t="str">
        <f aca="false">IF(ISNUMBER(N22),N22+N31,"")</f>
        <v/>
      </c>
      <c r="O84" s="51" t="str">
        <f aca="false">IF(ISNUMBER(O22),O22+O31,"")</f>
        <v/>
      </c>
      <c r="P84" s="51" t="str">
        <f aca="false">IF(ISNUMBER(P22),P22+P31,"")</f>
        <v/>
      </c>
      <c r="Q84" s="51" t="str">
        <f aca="false">IF(ISNUMBER(Q22),Q22+Q31,"")</f>
        <v/>
      </c>
      <c r="R84" s="51" t="str">
        <f aca="false">IF(ISNUMBER(R22),R22+R31,"")</f>
        <v/>
      </c>
      <c r="S84" s="51" t="str">
        <f aca="false">IF(ISNUMBER(S22),S22+S31,"")</f>
        <v/>
      </c>
      <c r="T84" s="51" t="str">
        <f aca="false">IF(ISNUMBER(T22),T22+T31,"")</f>
        <v/>
      </c>
      <c r="U84" s="51" t="str">
        <f aca="false">IF(ISNUMBER(U22),U22+U31,"")</f>
        <v/>
      </c>
      <c r="V84" s="51" t="str">
        <f aca="false">IF(ISNUMBER(V22),V22+V31,"")</f>
        <v/>
      </c>
      <c r="W84" s="51" t="str">
        <f aca="false">IF(ISNUMBER(W22),W22+W31,"")</f>
        <v/>
      </c>
      <c r="X84" s="51" t="str">
        <f aca="false">IF(ISNUMBER(X22),X22+X31,"")</f>
        <v/>
      </c>
      <c r="Y84" s="51" t="str">
        <f aca="false">IF(ISNUMBER(Y22),Y22+Y31,"")</f>
        <v/>
      </c>
      <c r="Z84" s="51" t="str">
        <f aca="false">IF(ISNUMBER(Z22),Z22+Z31,"")</f>
        <v/>
      </c>
      <c r="AA84" s="51" t="str">
        <f aca="false">IF(ISNUMBER(AA22),AA22+AA31,"")</f>
        <v/>
      </c>
      <c r="AB84" s="51" t="str">
        <f aca="false">IF(ISNUMBER(AB22),AB22+AB31,"")</f>
        <v/>
      </c>
      <c r="AC84" s="51" t="str">
        <f aca="false">IF(ISNUMBER(AC22),AC22+AC31,"")</f>
        <v/>
      </c>
      <c r="AD84" s="51" t="str">
        <f aca="false">IF(ISNUMBER(AD22),AD22+AD31,"")</f>
        <v/>
      </c>
      <c r="AE84" s="51" t="str">
        <f aca="false">IF(ISNUMBER(AE22),AE22+AE31,"")</f>
        <v/>
      </c>
      <c r="AF84" s="51" t="str">
        <f aca="false">IF(ISNUMBER(AF22),AF22+AF31,"")</f>
        <v/>
      </c>
      <c r="AG84" s="51" t="str">
        <f aca="false">IF(ISNUMBER(AG22),AG22+AG31,"")</f>
        <v/>
      </c>
      <c r="AH84" s="51" t="str">
        <f aca="false">IF(ISNUMBER(AH22),AH22+AH31,"")</f>
        <v/>
      </c>
      <c r="AI84" s="51" t="str">
        <f aca="false">IF(ISNUMBER(AI22),AI22+AI31,"")</f>
        <v/>
      </c>
      <c r="AJ84" s="51" t="str">
        <f aca="false">IF(ISNUMBER(AJ22),AJ22+AJ31,"")</f>
        <v/>
      </c>
      <c r="AK84" s="51" t="str">
        <f aca="false">IF(ISNUMBER(AK22),AK22+AK31,"")</f>
        <v/>
      </c>
      <c r="AL84" s="51" t="str">
        <f aca="false">IF(ISNUMBER(AL22),AL22+AL31,"")</f>
        <v/>
      </c>
      <c r="AM84" s="51" t="str">
        <f aca="false">IF(ISNUMBER(AM22),AM22+AM31,"")</f>
        <v/>
      </c>
      <c r="AN84" s="51" t="str">
        <f aca="false">IF(ISNUMBER(AN22),AN22+AN31,"")</f>
        <v/>
      </c>
      <c r="AO84" s="51" t="str">
        <f aca="false">IF(ISNUMBER(AO22),AO22+AO31,"")</f>
        <v/>
      </c>
      <c r="AP84" s="51" t="str">
        <f aca="false">IF(ISNUMBER(AP22),AP22+AP31,"")</f>
        <v/>
      </c>
      <c r="AQ84" s="51" t="str">
        <f aca="false">IF(ISNUMBER(AQ22),AQ22+AQ31,"")</f>
        <v/>
      </c>
      <c r="AR84" s="51" t="str">
        <f aca="false">IF(ISNUMBER(AR22),AR22+AR31,"")</f>
        <v/>
      </c>
      <c r="AS84" s="51" t="str">
        <f aca="false">IF(ISNUMBER(AS22),AS22+AS31,"")</f>
        <v/>
      </c>
      <c r="AT84" s="51" t="str">
        <f aca="false">IF(ISNUMBER(AT22),AT22+AT31,"")</f>
        <v/>
      </c>
      <c r="AU84" s="51" t="str">
        <f aca="false">IF(ISNUMBER(AU22),AU22+AU31,"")</f>
        <v/>
      </c>
      <c r="AV84" s="51" t="str">
        <f aca="false">IF(ISNUMBER(AV22),AV22+AV31,"")</f>
        <v/>
      </c>
      <c r="AW84" s="51" t="str">
        <f aca="false">IF(ISNUMBER(AW22),AW22+AW31,"")</f>
        <v/>
      </c>
      <c r="AX84" s="51" t="str">
        <f aca="false">IF(ISNUMBER(AX22),AX22+AX31,"")</f>
        <v/>
      </c>
      <c r="AY84" s="51" t="str">
        <f aca="false">IF(ISNUMBER(AY22),AY22+AY31,"")</f>
        <v/>
      </c>
      <c r="AZ84" s="51" t="str">
        <f aca="false">IF(ISNUMBER(AZ22),AZ22+AZ31,"")</f>
        <v/>
      </c>
      <c r="BA84" s="51" t="str">
        <f aca="false">IF(ISNUMBER(BA22),BA22+BA31,"")</f>
        <v/>
      </c>
      <c r="BB84" s="51" t="str">
        <f aca="false">IF(ISNUMBER(BB22),BB22+BB31,"")</f>
        <v/>
      </c>
      <c r="BC84" s="51" t="str">
        <f aca="false">IF(ISNUMBER(BC22),BC22+BC31,"")</f>
        <v/>
      </c>
      <c r="BD84" s="51" t="str">
        <f aca="false">IF(ISNUMBER(BD22),BD22+BD31,"")</f>
        <v/>
      </c>
      <c r="BE84" s="51" t="str">
        <f aca="false">IF(ISNUMBER(BE22),BE22+BE31,"")</f>
        <v/>
      </c>
      <c r="BF84" s="51" t="str">
        <f aca="false">IF(ISNUMBER(BF22),BF22+BF31,"")</f>
        <v/>
      </c>
      <c r="BG84" s="51" t="str">
        <f aca="false">IF(ISNUMBER(BG22),BG22+BG31,"")</f>
        <v/>
      </c>
      <c r="BH84" s="51" t="str">
        <f aca="false">IF(ISNUMBER(BH22),BH22+BH31,"")</f>
        <v/>
      </c>
      <c r="BI84" s="51" t="str">
        <f aca="false">IF(ISNUMBER(BI22),BI22+BI31,"")</f>
        <v/>
      </c>
      <c r="BJ84" s="51" t="str">
        <f aca="false">IF(ISNUMBER(BJ22),BJ22+BJ31,"")</f>
        <v/>
      </c>
      <c r="BK84" s="51" t="str">
        <f aca="false">IF(ISNUMBER(BK22),BK22+BK31,"")</f>
        <v/>
      </c>
      <c r="BL84" s="51" t="str">
        <f aca="false">IF(ISNUMBER(BL22),BL22+BL31,"")</f>
        <v/>
      </c>
      <c r="BM84" s="51" t="n">
        <f aca="false">IF(ISNUMBER(BM22),BM22+BM31,"")</f>
        <v>12</v>
      </c>
      <c r="BN84" s="51" t="n">
        <f aca="false">IF(ISNUMBER(BN22),BN22+BN31,"")</f>
        <v>41</v>
      </c>
      <c r="BO84" s="51" t="n">
        <f aca="false">IF(ISNUMBER(BO22),BO22+BO31,"")</f>
        <v>76</v>
      </c>
      <c r="BP84" s="51" t="n">
        <f aca="false">IF(ISNUMBER(BP22),BP22+BP31,"")</f>
        <v>112</v>
      </c>
      <c r="BQ84" s="51" t="n">
        <f aca="false">IF(ISNUMBER(BQ22),BQ22+BQ31,"")</f>
        <v>241</v>
      </c>
      <c r="BR84" s="51" t="n">
        <f aca="false">IF(ISNUMBER(BR22),BR22+BR31,"")</f>
        <v>66</v>
      </c>
      <c r="BS84" s="51" t="n">
        <f aca="false">IF(ISNUMBER(BS22),BS22+BS31,"")</f>
        <v>85</v>
      </c>
      <c r="BT84" s="51" t="n">
        <f aca="false">IF(ISNUMBER(BT22),BT22+BT31,"")</f>
        <v>114</v>
      </c>
      <c r="BU84" s="51" t="n">
        <f aca="false">IF(ISNUMBER(BU22),BU22+BU31,"")</f>
        <v>177</v>
      </c>
      <c r="BV84" s="51" t="n">
        <f aca="false">IF(ISNUMBER(BV22),BV22+BV31,"")</f>
        <v>442</v>
      </c>
      <c r="BW84" s="51" t="n">
        <f aca="false">IF(ISNUMBER(BW22),BW22+BW31,"")</f>
        <v>132</v>
      </c>
      <c r="BX84" s="51" t="n">
        <f aca="false">IF(ISNUMBER(BX22),BX22+BX31,"")</f>
        <v>184</v>
      </c>
      <c r="BY84" s="51" t="n">
        <f aca="false">BY22+BY31+N(BY60)+N(BY74)</f>
        <v>206.775225204273</v>
      </c>
      <c r="BZ84" s="51" t="n">
        <f aca="false">BZ22+BZ31+N(BZ60)+N(BZ74)</f>
        <v>292.611963836823</v>
      </c>
      <c r="CA84" s="51" t="n">
        <f aca="false">CA22+CA31+N(CA60)+N(CA74)</f>
        <v>815.387189041096</v>
      </c>
      <c r="CB84" s="51" t="n">
        <f aca="false">CB22+CB31+N(CB60)+N(CB74)</f>
        <v>1003.97340495967</v>
      </c>
      <c r="CC84" s="51" t="n">
        <f aca="false">CC22+CC31+N(CC60)+N(CC74)</f>
        <v>1235.67510559215</v>
      </c>
      <c r="CD84" s="51" t="n">
        <f aca="false">CD22+CD31+N(CD60)+N(CD74)</f>
        <v>1496.51941545259</v>
      </c>
      <c r="CE84" s="51" t="n">
        <f aca="false">CE22+CE31+N(CE60)+N(CE74)</f>
        <v>1782.82557526144</v>
      </c>
      <c r="CF84" s="21"/>
      <c r="CH84" s="22" t="n">
        <f aca="false">IFERROR((CE84/BV84)^(1/5)-1,"n/m")</f>
        <v>0.32171347362176</v>
      </c>
      <c r="CI84" s="22" t="str">
        <f aca="false">IFERROR((BV84/AW84)^(1/5)-1,"n/m")</f>
        <v>n/m</v>
      </c>
      <c r="CJ84" s="22" t="str">
        <f aca="false">IFERROR((BV84/X84)^(1/10)-1,"n/m")</f>
        <v>n/m</v>
      </c>
      <c r="CK84" s="22" t="str">
        <f aca="false">IFERROR((BV84/C84)^(1/19)-1,"n/m")</f>
        <v>n/m</v>
      </c>
      <c r="CN84" s="29" t="s">
        <v>186</v>
      </c>
      <c r="CO84" s="38" t="n">
        <f aca="false">CP84+$CO$80</f>
        <v>0.32</v>
      </c>
      <c r="CP84" s="37" t="n">
        <v>0.3</v>
      </c>
      <c r="CQ84" s="38" t="n">
        <f aca="false">CP84+$CQ$80</f>
        <v>0.28</v>
      </c>
      <c r="CR84" s="14"/>
    </row>
    <row r="85" customFormat="false" ht="15" hidden="false" customHeight="true" outlineLevel="0" collapsed="false">
      <c r="B85" s="29" t="s">
        <v>124</v>
      </c>
      <c r="C85" s="25" t="str">
        <f aca="false">IF(AND(ISNUMBER(C84),ISNUMBER(C83)),IFERROR(C84/C83,""),"")</f>
        <v/>
      </c>
      <c r="D85" s="25" t="str">
        <f aca="false">IF(AND(ISNUMBER(D84),ISNUMBER(D83)),IFERROR(D84/D83,""),"")</f>
        <v/>
      </c>
      <c r="E85" s="25" t="str">
        <f aca="false">IF(AND(ISNUMBER(E84),ISNUMBER(E83)),IFERROR(E84/E83,""),"")</f>
        <v/>
      </c>
      <c r="F85" s="25" t="str">
        <f aca="false">IF(AND(ISNUMBER(F84),ISNUMBER(F83)),IFERROR(F84/F83,""),"")</f>
        <v/>
      </c>
      <c r="G85" s="25" t="str">
        <f aca="false">IF(AND(ISNUMBER(G84),ISNUMBER(G83)),IFERROR(G84/G83,""),"")</f>
        <v/>
      </c>
      <c r="H85" s="25" t="str">
        <f aca="false">IF(AND(ISNUMBER(H84),ISNUMBER(H83)),IFERROR(H84/H83,""),"")</f>
        <v/>
      </c>
      <c r="I85" s="25" t="str">
        <f aca="false">IF(AND(ISNUMBER(I84),ISNUMBER(I83)),IFERROR(I84/I83,""),"")</f>
        <v/>
      </c>
      <c r="J85" s="25" t="str">
        <f aca="false">IF(AND(ISNUMBER(J84),ISNUMBER(J83)),IFERROR(J84/J83,""),"")</f>
        <v/>
      </c>
      <c r="K85" s="25" t="str">
        <f aca="false">IF(AND(ISNUMBER(K84),ISNUMBER(K83)),IFERROR(K84/K83,""),"")</f>
        <v/>
      </c>
      <c r="L85" s="25" t="str">
        <f aca="false">IF(AND(ISNUMBER(L84),ISNUMBER(L83)),IFERROR(L84/L83,""),"")</f>
        <v/>
      </c>
      <c r="M85" s="25" t="str">
        <f aca="false">IF(AND(ISNUMBER(M84),ISNUMBER(M83)),IFERROR(M84/M83,""),"")</f>
        <v/>
      </c>
      <c r="N85" s="25" t="str">
        <f aca="false">IF(AND(ISNUMBER(N84),ISNUMBER(N83)),IFERROR(N84/N83,""),"")</f>
        <v/>
      </c>
      <c r="O85" s="25" t="str">
        <f aca="false">IF(AND(ISNUMBER(O84),ISNUMBER(O83)),IFERROR(O84/O83,""),"")</f>
        <v/>
      </c>
      <c r="P85" s="25" t="str">
        <f aca="false">IF(AND(ISNUMBER(P84),ISNUMBER(P83)),IFERROR(P84/P83,""),"")</f>
        <v/>
      </c>
      <c r="Q85" s="25" t="str">
        <f aca="false">IF(AND(ISNUMBER(Q84),ISNUMBER(Q83)),IFERROR(Q84/Q83,""),"")</f>
        <v/>
      </c>
      <c r="R85" s="25" t="str">
        <f aca="false">IF(AND(ISNUMBER(R84),ISNUMBER(R83)),IFERROR(R84/R83,""),"")</f>
        <v/>
      </c>
      <c r="S85" s="25" t="str">
        <f aca="false">IF(AND(ISNUMBER(S84),ISNUMBER(S83)),IFERROR(S84/S83,""),"")</f>
        <v/>
      </c>
      <c r="T85" s="25" t="str">
        <f aca="false">IF(AND(ISNUMBER(T84),ISNUMBER(T83)),IFERROR(T84/T83,""),"")</f>
        <v/>
      </c>
      <c r="U85" s="25" t="str">
        <f aca="false">IF(AND(ISNUMBER(U84),ISNUMBER(U83)),IFERROR(U84/U83,""),"")</f>
        <v/>
      </c>
      <c r="V85" s="25" t="str">
        <f aca="false">IF(AND(ISNUMBER(V84),ISNUMBER(V83)),IFERROR(V84/V83,""),"")</f>
        <v/>
      </c>
      <c r="W85" s="25" t="str">
        <f aca="false">IF(AND(ISNUMBER(W84),ISNUMBER(W83)),IFERROR(W84/W83,""),"")</f>
        <v/>
      </c>
      <c r="X85" s="25" t="str">
        <f aca="false">IF(AND(ISNUMBER(X84),ISNUMBER(X83)),IFERROR(X84/X83,""),"")</f>
        <v/>
      </c>
      <c r="Y85" s="25" t="str">
        <f aca="false">IF(AND(ISNUMBER(Y84),ISNUMBER(Y83)),IFERROR(Y84/Y83,""),"")</f>
        <v/>
      </c>
      <c r="Z85" s="25" t="str">
        <f aca="false">IF(AND(ISNUMBER(Z84),ISNUMBER(Z83)),IFERROR(Z84/Z83,""),"")</f>
        <v/>
      </c>
      <c r="AA85" s="25" t="str">
        <f aca="false">IF(AND(ISNUMBER(AA84),ISNUMBER(AA83)),IFERROR(AA84/AA83,""),"")</f>
        <v/>
      </c>
      <c r="AB85" s="25" t="str">
        <f aca="false">IF(AND(ISNUMBER(AB84),ISNUMBER(AB83)),IFERROR(AB84/AB83,""),"")</f>
        <v/>
      </c>
      <c r="AC85" s="25" t="str">
        <f aca="false">IF(AND(ISNUMBER(AC84),ISNUMBER(AC83)),IFERROR(AC84/AC83,""),"")</f>
        <v/>
      </c>
      <c r="AD85" s="25" t="str">
        <f aca="false">IF(AND(ISNUMBER(AD84),ISNUMBER(AD83)),IFERROR(AD84/AD83,""),"")</f>
        <v/>
      </c>
      <c r="AE85" s="25" t="str">
        <f aca="false">IF(AND(ISNUMBER(AE84),ISNUMBER(AE83)),IFERROR(AE84/AE83,""),"")</f>
        <v/>
      </c>
      <c r="AF85" s="25" t="str">
        <f aca="false">IF(AND(ISNUMBER(AF84),ISNUMBER(AF83)),IFERROR(AF84/AF83,""),"")</f>
        <v/>
      </c>
      <c r="AG85" s="25" t="str">
        <f aca="false">IF(AND(ISNUMBER(AG84),ISNUMBER(AG83)),IFERROR(AG84/AG83,""),"")</f>
        <v/>
      </c>
      <c r="AH85" s="25" t="str">
        <f aca="false">IF(AND(ISNUMBER(AH84),ISNUMBER(AH83)),IFERROR(AH84/AH83,""),"")</f>
        <v/>
      </c>
      <c r="AI85" s="25" t="str">
        <f aca="false">IF(AND(ISNUMBER(AI84),ISNUMBER(AI83)),IFERROR(AI84/AI83,""),"")</f>
        <v/>
      </c>
      <c r="AJ85" s="25" t="str">
        <f aca="false">IF(AND(ISNUMBER(AJ84),ISNUMBER(AJ83)),IFERROR(AJ84/AJ83,""),"")</f>
        <v/>
      </c>
      <c r="AK85" s="25" t="str">
        <f aca="false">IF(AND(ISNUMBER(AK84),ISNUMBER(AK83)),IFERROR(AK84/AK83,""),"")</f>
        <v/>
      </c>
      <c r="AL85" s="25" t="str">
        <f aca="false">IF(AND(ISNUMBER(AL84),ISNUMBER(AL83)),IFERROR(AL84/AL83,""),"")</f>
        <v/>
      </c>
      <c r="AM85" s="25" t="str">
        <f aca="false">IF(AND(ISNUMBER(AM84),ISNUMBER(AM83)),IFERROR(AM84/AM83,""),"")</f>
        <v/>
      </c>
      <c r="AN85" s="25" t="str">
        <f aca="false">IF(AND(ISNUMBER(AN84),ISNUMBER(AN83)),IFERROR(AN84/AN83,""),"")</f>
        <v/>
      </c>
      <c r="AO85" s="25" t="str">
        <f aca="false">IF(AND(ISNUMBER(AO84),ISNUMBER(AO83)),IFERROR(AO84/AO83,""),"")</f>
        <v/>
      </c>
      <c r="AP85" s="25" t="str">
        <f aca="false">IF(AND(ISNUMBER(AP84),ISNUMBER(AP83)),IFERROR(AP84/AP83,""),"")</f>
        <v/>
      </c>
      <c r="AQ85" s="25" t="str">
        <f aca="false">IF(AND(ISNUMBER(AQ84),ISNUMBER(AQ83)),IFERROR(AQ84/AQ83,""),"")</f>
        <v/>
      </c>
      <c r="AR85" s="25" t="str">
        <f aca="false">IF(AND(ISNUMBER(AR84),ISNUMBER(AR83)),IFERROR(AR84/AR83,""),"")</f>
        <v/>
      </c>
      <c r="AS85" s="25" t="str">
        <f aca="false">IF(AND(ISNUMBER(AS84),ISNUMBER(AS83)),IFERROR(AS84/AS83,""),"")</f>
        <v/>
      </c>
      <c r="AT85" s="25" t="str">
        <f aca="false">IF(AND(ISNUMBER(AT84),ISNUMBER(AT83)),IFERROR(AT84/AT83,""),"")</f>
        <v/>
      </c>
      <c r="AU85" s="25" t="str">
        <f aca="false">IF(AND(ISNUMBER(AU84),ISNUMBER(AU83)),IFERROR(AU84/AU83,""),"")</f>
        <v/>
      </c>
      <c r="AV85" s="25" t="str">
        <f aca="false">IF(AND(ISNUMBER(AV84),ISNUMBER(AV83)),IFERROR(AV84/AV83,""),"")</f>
        <v/>
      </c>
      <c r="AW85" s="25" t="str">
        <f aca="false">IF(AND(ISNUMBER(AW84),ISNUMBER(AW83)),IFERROR(AW84/AW83,""),"")</f>
        <v/>
      </c>
      <c r="AX85" s="25" t="str">
        <f aca="false">IF(AND(ISNUMBER(AX84),ISNUMBER(AX83)),IFERROR(AX84/AX83,""),"")</f>
        <v/>
      </c>
      <c r="AY85" s="25" t="str">
        <f aca="false">IF(AND(ISNUMBER(AY84),ISNUMBER(AY83)),IFERROR(AY84/AY83,""),"")</f>
        <v/>
      </c>
      <c r="AZ85" s="25" t="str">
        <f aca="false">IF(AND(ISNUMBER(AZ84),ISNUMBER(AZ83)),IFERROR(AZ84/AZ83,""),"")</f>
        <v/>
      </c>
      <c r="BA85" s="25" t="str">
        <f aca="false">IF(AND(ISNUMBER(BA84),ISNUMBER(BA83)),IFERROR(BA84/BA83,""),"")</f>
        <v/>
      </c>
      <c r="BB85" s="25" t="str">
        <f aca="false">IF(AND(ISNUMBER(BB84),ISNUMBER(BB83)),IFERROR(BB84/BB83,""),"")</f>
        <v/>
      </c>
      <c r="BC85" s="25" t="str">
        <f aca="false">IF(AND(ISNUMBER(BC84),ISNUMBER(BC83)),IFERROR(BC84/BC83,""),"")</f>
        <v/>
      </c>
      <c r="BD85" s="25" t="str">
        <f aca="false">IF(AND(ISNUMBER(BD84),ISNUMBER(BD83)),IFERROR(BD84/BD83,""),"")</f>
        <v/>
      </c>
      <c r="BE85" s="25" t="str">
        <f aca="false">IF(AND(ISNUMBER(BE84),ISNUMBER(BE83)),IFERROR(BE84/BE83,""),"")</f>
        <v/>
      </c>
      <c r="BF85" s="25" t="str">
        <f aca="false">IF(AND(ISNUMBER(BF84),ISNUMBER(BF83)),IFERROR(BF84/BF83,""),"")</f>
        <v/>
      </c>
      <c r="BG85" s="25" t="str">
        <f aca="false">IF(AND(ISNUMBER(BG84),ISNUMBER(BG83)),IFERROR(BG84/BG83,""),"")</f>
        <v/>
      </c>
      <c r="BH85" s="25" t="str">
        <f aca="false">IF(AND(ISNUMBER(BH84),ISNUMBER(BH83)),IFERROR(BH84/BH83,""),"")</f>
        <v/>
      </c>
      <c r="BI85" s="25" t="str">
        <f aca="false">IF(AND(ISNUMBER(BI84),ISNUMBER(BI83)),IFERROR(BI84/BI83,""),"")</f>
        <v/>
      </c>
      <c r="BJ85" s="25" t="str">
        <f aca="false">IF(AND(ISNUMBER(BJ84),ISNUMBER(BJ83)),IFERROR(BJ84/BJ83,""),"")</f>
        <v/>
      </c>
      <c r="BK85" s="25" t="str">
        <f aca="false">IF(AND(ISNUMBER(BK84),ISNUMBER(BK83)),IFERROR(BK84/BK83,""),"")</f>
        <v/>
      </c>
      <c r="BL85" s="25" t="str">
        <f aca="false">IF(AND(ISNUMBER(BL84),ISNUMBER(BL83)),IFERROR(BL84/BL83,""),"")</f>
        <v/>
      </c>
      <c r="BM85" s="25" t="n">
        <f aca="false">IF(AND(ISNUMBER(BM84),ISNUMBER(BM83)),IFERROR(BM84/BM83,""),"")</f>
        <v>0.0182926829268293</v>
      </c>
      <c r="BN85" s="25" t="n">
        <f aca="false">IF(AND(ISNUMBER(BN84),ISNUMBER(BN83)),IFERROR(BN84/BN83,""),"")</f>
        <v>0.0604719764011799</v>
      </c>
      <c r="BO85" s="25" t="n">
        <f aca="false">IF(AND(ISNUMBER(BO84),ISNUMBER(BO83)),IFERROR(BO84/BO83,""),"")</f>
        <v>0.10966810966811</v>
      </c>
      <c r="BP85" s="25" t="n">
        <f aca="false">IF(AND(ISNUMBER(BP84),ISNUMBER(BP83)),IFERROR(BP84/BP83,""),"")</f>
        <v>0.157968970380818</v>
      </c>
      <c r="BQ85" s="25" t="n">
        <f aca="false">IF(AND(ISNUMBER(BQ84),ISNUMBER(BQ83)),IFERROR(BQ84/BQ83,""),"")</f>
        <v>0.0880847953216374</v>
      </c>
      <c r="BR85" s="25" t="n">
        <f aca="false">IF(AND(ISNUMBER(BR84),ISNUMBER(BR83)),IFERROR(BR84/BR83,""),"")</f>
        <v>0.0901639344262295</v>
      </c>
      <c r="BS85" s="25" t="n">
        <f aca="false">IF(AND(ISNUMBER(BS84),ISNUMBER(BS83)),IFERROR(BS84/BS83,""),"")</f>
        <v>0.108834827144686</v>
      </c>
      <c r="BT85" s="25" t="n">
        <f aca="false">IF(AND(ISNUMBER(BT84),ISNUMBER(BT83)),IFERROR(BT84/BT83,""),"")</f>
        <v>0.136690647482014</v>
      </c>
      <c r="BU85" s="25" t="n">
        <f aca="false">IF(AND(ISNUMBER(BU84),ISNUMBER(BU83)),IFERROR(BU84/BU83,""),"")</f>
        <v>0.196666666666667</v>
      </c>
      <c r="BV85" s="25" t="n">
        <f aca="false">IF(AND(ISNUMBER(BV84),ISNUMBER(BV83)),IFERROR(BV84/BV83,""),"")</f>
        <v>0.136125654450262</v>
      </c>
      <c r="BW85" s="25" t="n">
        <f aca="false">IF(AND(ISNUMBER(BW84),ISNUMBER(BW83)),IFERROR(BW84/BW83,""),"")</f>
        <v>0.147157190635452</v>
      </c>
      <c r="BX85" s="25" t="n">
        <f aca="false">IF(AND(ISNUMBER(BX84),ISNUMBER(BX83)),IFERROR(BX84/BX83,""),"")</f>
        <v>0.198918918918919</v>
      </c>
      <c r="BY85" s="27" t="n">
        <f aca="false">IF(AND(ISNUMBER(BY84),ISNUMBER(BY83)),IFERROR(BY84/BY83,""),"")</f>
        <v>0.213942079220108</v>
      </c>
      <c r="BZ85" s="27" t="n">
        <f aca="false">IF(AND(ISNUMBER(BZ84),ISNUMBER(BZ83)),IFERROR(BZ84/BZ83,""),"")</f>
        <v>0.288742849861252</v>
      </c>
      <c r="CA85" s="27" t="n">
        <f aca="false">IF(AND(ISNUMBER(CA84),ISNUMBER(CA83)),IFERROR(CA84/CA83,""),"")</f>
        <v>0.214468295527443</v>
      </c>
      <c r="CB85" s="27" t="n">
        <f aca="false">IF(AND(ISNUMBER(CB84),ISNUMBER(CB83)),IFERROR(CB84/CB83,""),"")</f>
        <v>0.232137951711533</v>
      </c>
      <c r="CC85" s="27" t="n">
        <f aca="false">IF(AND(ISNUMBER(CC84),ISNUMBER(CC83)),IFERROR(CC84/CC83,""),"")</f>
        <v>0.260093989541949</v>
      </c>
      <c r="CD85" s="27" t="n">
        <f aca="false">IF(AND(ISNUMBER(CD84),ISNUMBER(CD83)),IFERROR(CD84/CD83,""),"")</f>
        <v>0.288621139172262</v>
      </c>
      <c r="CE85" s="27" t="n">
        <f aca="false">IF(AND(ISNUMBER(CE84),ISNUMBER(CE83)),IFERROR(CE84/CE83,""),"")</f>
        <v>0.31714441317418</v>
      </c>
      <c r="CF85" s="28"/>
      <c r="CN85" s="16" t="s">
        <v>246</v>
      </c>
      <c r="CO85" s="52" t="n">
        <v>500</v>
      </c>
      <c r="CP85" s="23" t="s">
        <v>177</v>
      </c>
      <c r="CQ85" s="52" t="n">
        <v>0</v>
      </c>
      <c r="CR85" s="14" t="s">
        <v>247</v>
      </c>
    </row>
    <row r="86" customFormat="false" ht="15" hidden="false" customHeight="true" outlineLevel="0" collapsed="false">
      <c r="B86" s="41" t="s">
        <v>248</v>
      </c>
      <c r="C86" s="34" t="str">
        <f aca="false">IF(ISNUMBER(C83),IF(ABS(C83-C121)&lt;=1.5,0,ROUND(C83-C121,1)),"")</f>
        <v/>
      </c>
      <c r="D86" s="34" t="str">
        <f aca="false">IF(ISNUMBER(D83),IF(ABS(D83-D121)&lt;=1.5,0,ROUND(D83-D121,1)),"")</f>
        <v/>
      </c>
      <c r="E86" s="34" t="str">
        <f aca="false">IF(ISNUMBER(E83),IF(ABS(E83-E121)&lt;=1.5,0,ROUND(E83-E121,1)),"")</f>
        <v/>
      </c>
      <c r="F86" s="34" t="str">
        <f aca="false">IF(ISNUMBER(F83),IF(ABS(F83-F121)&lt;=1.5,0,ROUND(F83-F121,1)),"")</f>
        <v/>
      </c>
      <c r="G86" s="34" t="str">
        <f aca="false">IF(ISNUMBER(G83),IF(ABS(G83-G121)&lt;=1.5,0,ROUND(G83-G121,1)),"")</f>
        <v/>
      </c>
      <c r="H86" s="34" t="str">
        <f aca="false">IF(ISNUMBER(H83),IF(ABS(H83-H121)&lt;=1.5,0,ROUND(H83-H121,1)),"")</f>
        <v/>
      </c>
      <c r="I86" s="34" t="str">
        <f aca="false">IF(ISNUMBER(I83),IF(ABS(I83-I121)&lt;=1.5,0,ROUND(I83-I121,1)),"")</f>
        <v/>
      </c>
      <c r="J86" s="34" t="str">
        <f aca="false">IF(ISNUMBER(J83),IF(ABS(J83-J121)&lt;=1.5,0,ROUND(J83-J121,1)),"")</f>
        <v/>
      </c>
      <c r="K86" s="34" t="str">
        <f aca="false">IF(ISNUMBER(K83),IF(ABS(K83-K121)&lt;=1.5,0,ROUND(K83-K121,1)),"")</f>
        <v/>
      </c>
      <c r="L86" s="34" t="str">
        <f aca="false">IF(ISNUMBER(L83),IF(ABS(L83-L121)&lt;=1.5,0,ROUND(L83-L121,1)),"")</f>
        <v/>
      </c>
      <c r="M86" s="34" t="str">
        <f aca="false">IF(ISNUMBER(M83),IF(ABS(M83-M121)&lt;=1.5,0,ROUND(M83-M121,1)),"")</f>
        <v/>
      </c>
      <c r="N86" s="34" t="str">
        <f aca="false">IF(ISNUMBER(N83),IF(ABS(N83-N121)&lt;=1.5,0,ROUND(N83-N121,1)),"")</f>
        <v/>
      </c>
      <c r="O86" s="34" t="str">
        <f aca="false">IF(ISNUMBER(O83),IF(ABS(O83-O121)&lt;=1.5,0,ROUND(O83-O121,1)),"")</f>
        <v/>
      </c>
      <c r="P86" s="34" t="str">
        <f aca="false">IF(ISNUMBER(P83),IF(ABS(P83-P121)&lt;=1.5,0,ROUND(P83-P121,1)),"")</f>
        <v/>
      </c>
      <c r="Q86" s="34" t="str">
        <f aca="false">IF(ISNUMBER(Q83),IF(ABS(Q83-Q121)&lt;=1.5,0,ROUND(Q83-Q121,1)),"")</f>
        <v/>
      </c>
      <c r="R86" s="34" t="str">
        <f aca="false">IF(ISNUMBER(R83),IF(ABS(R83-R121)&lt;=1.5,0,ROUND(R83-R121,1)),"")</f>
        <v/>
      </c>
      <c r="S86" s="34" t="str">
        <f aca="false">IF(ISNUMBER(S83),IF(ABS(S83-S121)&lt;=1.5,0,ROUND(S83-S121,1)),"")</f>
        <v/>
      </c>
      <c r="T86" s="34" t="str">
        <f aca="false">IF(ISNUMBER(T83),IF(ABS(T83-T121)&lt;=1.5,0,ROUND(T83-T121,1)),"")</f>
        <v/>
      </c>
      <c r="U86" s="34" t="str">
        <f aca="false">IF(ISNUMBER(U83),IF(ABS(U83-U121)&lt;=1.5,0,ROUND(U83-U121,1)),"")</f>
        <v/>
      </c>
      <c r="V86" s="34" t="str">
        <f aca="false">IF(ISNUMBER(V83),IF(ABS(V83-V121)&lt;=1.5,0,ROUND(V83-V121,1)),"")</f>
        <v/>
      </c>
      <c r="W86" s="34" t="str">
        <f aca="false">IF(ISNUMBER(W83),IF(ABS(W83-W121)&lt;=1.5,0,ROUND(W83-W121,1)),"")</f>
        <v/>
      </c>
      <c r="X86" s="34" t="str">
        <f aca="false">IF(ISNUMBER(X83),IF(ABS(X83-X121)&lt;=1.5,0,ROUND(X83-X121,1)),"")</f>
        <v/>
      </c>
      <c r="Y86" s="34" t="str">
        <f aca="false">IF(ISNUMBER(Y83),IF(ABS(Y83-Y121)&lt;=1.5,0,ROUND(Y83-Y121,1)),"")</f>
        <v/>
      </c>
      <c r="Z86" s="34" t="str">
        <f aca="false">IF(ISNUMBER(Z83),IF(ABS(Z83-Z121)&lt;=1.5,0,ROUND(Z83-Z121,1)),"")</f>
        <v/>
      </c>
      <c r="AA86" s="34" t="str">
        <f aca="false">IF(ISNUMBER(AA83),IF(ABS(AA83-AA121)&lt;=1.5,0,ROUND(AA83-AA121,1)),"")</f>
        <v/>
      </c>
      <c r="AB86" s="34" t="str">
        <f aca="false">IF(ISNUMBER(AB83),IF(ABS(AB83-AB121)&lt;=1.5,0,ROUND(AB83-AB121,1)),"")</f>
        <v/>
      </c>
      <c r="AC86" s="34" t="str">
        <f aca="false">IF(ISNUMBER(AC83),IF(ABS(AC83-AC121)&lt;=1.5,0,ROUND(AC83-AC121,1)),"")</f>
        <v/>
      </c>
      <c r="AD86" s="34" t="str">
        <f aca="false">IF(ISNUMBER(AD83),IF(ABS(AD83-AD121)&lt;=1.5,0,ROUND(AD83-AD121,1)),"")</f>
        <v/>
      </c>
      <c r="AE86" s="34" t="str">
        <f aca="false">IF(ISNUMBER(AE83),IF(ABS(AE83-AE121)&lt;=1.5,0,ROUND(AE83-AE121,1)),"")</f>
        <v/>
      </c>
      <c r="AF86" s="34" t="str">
        <f aca="false">IF(ISNUMBER(AF83),IF(ABS(AF83-AF121)&lt;=1.5,0,ROUND(AF83-AF121,1)),"")</f>
        <v/>
      </c>
      <c r="AG86" s="34" t="str">
        <f aca="false">IF(ISNUMBER(AG83),IF(ABS(AG83-AG121)&lt;=1.5,0,ROUND(AG83-AG121,1)),"")</f>
        <v/>
      </c>
      <c r="AH86" s="34" t="str">
        <f aca="false">IF(ISNUMBER(AH83),IF(ABS(AH83-AH121)&lt;=1.5,0,ROUND(AH83-AH121,1)),"")</f>
        <v/>
      </c>
      <c r="AI86" s="34" t="str">
        <f aca="false">IF(ISNUMBER(AI83),IF(ABS(AI83-AI121)&lt;=1.5,0,ROUND(AI83-AI121,1)),"")</f>
        <v/>
      </c>
      <c r="AJ86" s="34" t="str">
        <f aca="false">IF(ISNUMBER(AJ83),IF(ABS(AJ83-AJ121)&lt;=1.5,0,ROUND(AJ83-AJ121,1)),"")</f>
        <v/>
      </c>
      <c r="AK86" s="34" t="str">
        <f aca="false">IF(ISNUMBER(AK83),IF(ABS(AK83-AK121)&lt;=1.5,0,ROUND(AK83-AK121,1)),"")</f>
        <v/>
      </c>
      <c r="AL86" s="34" t="str">
        <f aca="false">IF(ISNUMBER(AL83),IF(ABS(AL83-AL121)&lt;=1.5,0,ROUND(AL83-AL121,1)),"")</f>
        <v/>
      </c>
      <c r="AM86" s="34" t="str">
        <f aca="false">IF(ISNUMBER(AM83),IF(ABS(AM83-AM121)&lt;=1.5,0,ROUND(AM83-AM121,1)),"")</f>
        <v/>
      </c>
      <c r="AN86" s="34" t="str">
        <f aca="false">IF(ISNUMBER(AN83),IF(ABS(AN83-AN121)&lt;=1.5,0,ROUND(AN83-AN121,1)),"")</f>
        <v/>
      </c>
      <c r="AO86" s="34" t="str">
        <f aca="false">IF(ISNUMBER(AO83),IF(ABS(AO83-AO121)&lt;=1.5,0,ROUND(AO83-AO121,1)),"")</f>
        <v/>
      </c>
      <c r="AP86" s="34" t="str">
        <f aca="false">IF(ISNUMBER(AP83),IF(ABS(AP83-AP121)&lt;=1.5,0,ROUND(AP83-AP121,1)),"")</f>
        <v/>
      </c>
      <c r="AQ86" s="34" t="str">
        <f aca="false">IF(ISNUMBER(AQ83),IF(ABS(AQ83-AQ121)&lt;=1.5,0,ROUND(AQ83-AQ121,1)),"")</f>
        <v/>
      </c>
      <c r="AR86" s="34" t="str">
        <f aca="false">IF(ISNUMBER(AR83),IF(ABS(AR83-AR121)&lt;=1.5,0,ROUND(AR83-AR121,1)),"")</f>
        <v/>
      </c>
      <c r="AS86" s="34" t="str">
        <f aca="false">IF(ISNUMBER(AS83),IF(ABS(AS83-AS121)&lt;=1.5,0,ROUND(AS83-AS121,1)),"")</f>
        <v/>
      </c>
      <c r="AT86" s="34" t="str">
        <f aca="false">IF(ISNUMBER(AT83),IF(ABS(AT83-AT121)&lt;=1.5,0,ROUND(AT83-AT121,1)),"")</f>
        <v/>
      </c>
      <c r="AU86" s="34" t="str">
        <f aca="false">IF(ISNUMBER(AU83),IF(ABS(AU83-AU121)&lt;=1.5,0,ROUND(AU83-AU121,1)),"")</f>
        <v/>
      </c>
      <c r="AV86" s="34" t="str">
        <f aca="false">IF(ISNUMBER(AV83),IF(ABS(AV83-AV121)&lt;=1.5,0,ROUND(AV83-AV121,1)),"")</f>
        <v/>
      </c>
      <c r="AW86" s="34" t="str">
        <f aca="false">IF(ISNUMBER(AW83),IF(ABS(AW83-AW121)&lt;=1.5,0,ROUND(AW83-AW121,1)),"")</f>
        <v/>
      </c>
      <c r="AX86" s="34" t="str">
        <f aca="false">IF(ISNUMBER(AX83),IF(ABS(AX83-AX121)&lt;=1.5,0,ROUND(AX83-AX121,1)),"")</f>
        <v/>
      </c>
      <c r="AY86" s="34" t="str">
        <f aca="false">IF(ISNUMBER(AY83),IF(ABS(AY83-AY121)&lt;=1.5,0,ROUND(AY83-AY121,1)),"")</f>
        <v/>
      </c>
      <c r="AZ86" s="34" t="str">
        <f aca="false">IF(ISNUMBER(AZ83),IF(ABS(AZ83-AZ121)&lt;=1.5,0,ROUND(AZ83-AZ121,1)),"")</f>
        <v/>
      </c>
      <c r="BA86" s="34" t="str">
        <f aca="false">IF(ISNUMBER(BA83),IF(ABS(BA83-BA121)&lt;=1.5,0,ROUND(BA83-BA121,1)),"")</f>
        <v/>
      </c>
      <c r="BB86" s="34" t="str">
        <f aca="false">IF(ISNUMBER(BB83),IF(ABS(BB83-BB121)&lt;=1.5,0,ROUND(BB83-BB121,1)),"")</f>
        <v/>
      </c>
      <c r="BC86" s="34" t="str">
        <f aca="false">IF(ISNUMBER(BC83),IF(ABS(BC83-BC121)&lt;=1.5,0,ROUND(BC83-BC121,1)),"")</f>
        <v/>
      </c>
      <c r="BD86" s="34" t="str">
        <f aca="false">IF(ISNUMBER(BD83),IF(ABS(BD83-BD121)&lt;=1.5,0,ROUND(BD83-BD121,1)),"")</f>
        <v/>
      </c>
      <c r="BE86" s="34" t="str">
        <f aca="false">IF(ISNUMBER(BE83),IF(ABS(BE83-BE121)&lt;=1.5,0,ROUND(BE83-BE121,1)),"")</f>
        <v/>
      </c>
      <c r="BF86" s="34" t="str">
        <f aca="false">IF(ISNUMBER(BF83),IF(ABS(BF83-BF121)&lt;=1.5,0,ROUND(BF83-BF121,1)),"")</f>
        <v/>
      </c>
      <c r="BG86" s="34" t="str">
        <f aca="false">IF(ISNUMBER(BG83),IF(ABS(BG83-BG121)&lt;=1.5,0,ROUND(BG83-BG121,1)),"")</f>
        <v/>
      </c>
      <c r="BH86" s="34" t="n">
        <f aca="false">IF(ISNUMBER(BH83),IF(ABS(BH83-BH121)&lt;=1.5,0,ROUND(BH83-BH121,1)),"")</f>
        <v>0</v>
      </c>
      <c r="BI86" s="34" t="n">
        <f aca="false">IF(ISNUMBER(BI83),IF(ABS(BI83-BI121)&lt;=1.5,0,ROUND(BI83-BI121,1)),"")</f>
        <v>0</v>
      </c>
      <c r="BJ86" s="34" t="n">
        <f aca="false">IF(ISNUMBER(BJ83),IF(ABS(BJ83-BJ121)&lt;=1.5,0,ROUND(BJ83-BJ121,1)),"")</f>
        <v>0</v>
      </c>
      <c r="BK86" s="34" t="n">
        <f aca="false">IF(ISNUMBER(BK83),IF(ABS(BK83-BK121)&lt;=1.5,0,ROUND(BK83-BK121,1)),"")</f>
        <v>0</v>
      </c>
      <c r="BL86" s="34" t="n">
        <f aca="false">IF(ISNUMBER(BL83),IF(ABS(BL83-BL121)&lt;=1.5,0,ROUND(BL83-BL121,1)),"")</f>
        <v>0</v>
      </c>
      <c r="BM86" s="34" t="n">
        <f aca="false">IF(ISNUMBER(BM83),IF(ABS(BM83-BM121)&lt;=1.5,0,ROUND(BM83-BM121,1)),"")</f>
        <v>0</v>
      </c>
      <c r="BN86" s="34" t="n">
        <f aca="false">IF(ISNUMBER(BN83),IF(ABS(BN83-BN121)&lt;=1.5,0,ROUND(BN83-BN121,1)),"")</f>
        <v>0</v>
      </c>
      <c r="BO86" s="34" t="n">
        <f aca="false">IF(ISNUMBER(BO83),IF(ABS(BO83-BO121)&lt;=1.5,0,ROUND(BO83-BO121,1)),"")</f>
        <v>0</v>
      </c>
      <c r="BP86" s="34" t="n">
        <f aca="false">IF(ISNUMBER(BP83),IF(ABS(BP83-BP121)&lt;=1.5,0,ROUND(BP83-BP121,1)),"")</f>
        <v>0</v>
      </c>
      <c r="BQ86" s="34" t="n">
        <f aca="false">IF(ISNUMBER(BQ83),IF(ABS(BQ83-BQ121)&lt;=1.5,0,ROUND(BQ83-BQ121,1)),"")</f>
        <v>0</v>
      </c>
      <c r="BR86" s="34" t="n">
        <f aca="false">IF(ISNUMBER(BR83),IF(ABS(BR83-BR121)&lt;=1.5,0,ROUND(BR83-BR121,1)),"")</f>
        <v>0</v>
      </c>
      <c r="BS86" s="34" t="n">
        <f aca="false">IF(ISNUMBER(BS83),IF(ABS(BS83-BS121)&lt;=1.5,0,ROUND(BS83-BS121,1)),"")</f>
        <v>0</v>
      </c>
      <c r="BT86" s="34" t="n">
        <f aca="false">IF(ISNUMBER(BT83),IF(ABS(BT83-BT121)&lt;=1.5,0,ROUND(BT83-BT121,1)),"")</f>
        <v>0</v>
      </c>
      <c r="BU86" s="34" t="n">
        <f aca="false">IF(ISNUMBER(BU83),IF(ABS(BU83-BU121)&lt;=1.5,0,ROUND(BU83-BU121,1)),"")</f>
        <v>0</v>
      </c>
      <c r="BV86" s="34" t="n">
        <f aca="false">IF(ISNUMBER(BV83),IF(ABS(BV83-BV121)&lt;=1.5,0,ROUND(BV83-BV121,1)),"")</f>
        <v>0</v>
      </c>
      <c r="BW86" s="34" t="n">
        <f aca="false">IF(ISNUMBER(BW83),IF(ABS(BW83-BW121)&lt;=1.5,0,ROUND(BW83-BW121,1)),"")</f>
        <v>0</v>
      </c>
      <c r="BX86" s="34" t="n">
        <f aca="false">IF(ISNUMBER(BX83),IF(ABS(BX83-BX121)&lt;=1.5,0,ROUND(BX83-BX121,1)),"")</f>
        <v>0</v>
      </c>
      <c r="BY86" s="36" t="n">
        <f aca="false">ROUND(BY83-BY121,1)</f>
        <v>0</v>
      </c>
      <c r="BZ86" s="36" t="n">
        <f aca="false">ROUND(BZ83-BZ121,1)</f>
        <v>0</v>
      </c>
      <c r="CA86" s="36" t="n">
        <f aca="false">ROUND(CA83-CA121,1)</f>
        <v>0</v>
      </c>
      <c r="CB86" s="36" t="n">
        <f aca="false">ROUND(CB83-CB121,1)</f>
        <v>0</v>
      </c>
      <c r="CC86" s="36" t="n">
        <f aca="false">ROUND(CC83-CC121,1)</f>
        <v>0</v>
      </c>
      <c r="CD86" s="36" t="n">
        <f aca="false">ROUND(CD83-CD121,1)</f>
        <v>0</v>
      </c>
      <c r="CE86" s="36" t="n">
        <f aca="false">ROUND(CE83-CE121,1)</f>
        <v>0</v>
      </c>
      <c r="CF86" s="28"/>
      <c r="CN86" s="29" t="s">
        <v>180</v>
      </c>
      <c r="CO86" s="53" t="n">
        <f aca="false">CP86+$CO$85</f>
        <v>500</v>
      </c>
      <c r="CP86" s="30" t="n">
        <v>0</v>
      </c>
      <c r="CQ86" s="53" t="n">
        <f aca="false">CP86+$CQ$85</f>
        <v>0</v>
      </c>
      <c r="CR86" s="14"/>
    </row>
    <row r="87" customFormat="false" ht="15" hidden="false" customHeight="true" outlineLevel="0" collapsed="false">
      <c r="B87" s="41" t="s">
        <v>249</v>
      </c>
      <c r="C87" s="34" t="str">
        <f aca="false">IF(ISNUMBER(C84),IF(ABS(C84-C168)&lt;=1.5,0,ROUND(C84-C168,1)),"")</f>
        <v/>
      </c>
      <c r="D87" s="34" t="str">
        <f aca="false">IF(ISNUMBER(D84),IF(ABS(D84-D168)&lt;=1.5,0,ROUND(D84-D168,1)),"")</f>
        <v/>
      </c>
      <c r="E87" s="34" t="str">
        <f aca="false">IF(ISNUMBER(E84),IF(ABS(E84-E168)&lt;=1.5,0,ROUND(E84-E168,1)),"")</f>
        <v/>
      </c>
      <c r="F87" s="34" t="str">
        <f aca="false">IF(ISNUMBER(F84),IF(ABS(F84-F168)&lt;=1.5,0,ROUND(F84-F168,1)),"")</f>
        <v/>
      </c>
      <c r="G87" s="34" t="str">
        <f aca="false">IF(ISNUMBER(G84),IF(ABS(G84-G168)&lt;=1.5,0,ROUND(G84-G168,1)),"")</f>
        <v/>
      </c>
      <c r="H87" s="34" t="str">
        <f aca="false">IF(ISNUMBER(H84),IF(ABS(H84-H168)&lt;=1.5,0,ROUND(H84-H168,1)),"")</f>
        <v/>
      </c>
      <c r="I87" s="34" t="str">
        <f aca="false">IF(ISNUMBER(I84),IF(ABS(I84-I168)&lt;=1.5,0,ROUND(I84-I168,1)),"")</f>
        <v/>
      </c>
      <c r="J87" s="34" t="str">
        <f aca="false">IF(ISNUMBER(J84),IF(ABS(J84-J168)&lt;=1.5,0,ROUND(J84-J168,1)),"")</f>
        <v/>
      </c>
      <c r="K87" s="34" t="str">
        <f aca="false">IF(ISNUMBER(K84),IF(ABS(K84-K168)&lt;=1.5,0,ROUND(K84-K168,1)),"")</f>
        <v/>
      </c>
      <c r="L87" s="34" t="str">
        <f aca="false">IF(ISNUMBER(L84),IF(ABS(L84-L168)&lt;=1.5,0,ROUND(L84-L168,1)),"")</f>
        <v/>
      </c>
      <c r="M87" s="34" t="str">
        <f aca="false">IF(ISNUMBER(M84),IF(ABS(M84-M168)&lt;=1.5,0,ROUND(M84-M168,1)),"")</f>
        <v/>
      </c>
      <c r="N87" s="34" t="str">
        <f aca="false">IF(ISNUMBER(N84),IF(ABS(N84-N168)&lt;=1.5,0,ROUND(N84-N168,1)),"")</f>
        <v/>
      </c>
      <c r="O87" s="34" t="str">
        <f aca="false">IF(ISNUMBER(O84),IF(ABS(O84-O168)&lt;=1.5,0,ROUND(O84-O168,1)),"")</f>
        <v/>
      </c>
      <c r="P87" s="34" t="str">
        <f aca="false">IF(ISNUMBER(P84),IF(ABS(P84-P168)&lt;=1.5,0,ROUND(P84-P168,1)),"")</f>
        <v/>
      </c>
      <c r="Q87" s="34" t="str">
        <f aca="false">IF(ISNUMBER(Q84),IF(ABS(Q84-Q168)&lt;=1.5,0,ROUND(Q84-Q168,1)),"")</f>
        <v/>
      </c>
      <c r="R87" s="34" t="str">
        <f aca="false">IF(ISNUMBER(R84),IF(ABS(R84-R168)&lt;=1.5,0,ROUND(R84-R168,1)),"")</f>
        <v/>
      </c>
      <c r="S87" s="34" t="str">
        <f aca="false">IF(ISNUMBER(S84),IF(ABS(S84-S168)&lt;=1.5,0,ROUND(S84-S168,1)),"")</f>
        <v/>
      </c>
      <c r="T87" s="34" t="str">
        <f aca="false">IF(ISNUMBER(T84),IF(ABS(T84-T168)&lt;=1.5,0,ROUND(T84-T168,1)),"")</f>
        <v/>
      </c>
      <c r="U87" s="34" t="str">
        <f aca="false">IF(ISNUMBER(U84),IF(ABS(U84-U168)&lt;=1.5,0,ROUND(U84-U168,1)),"")</f>
        <v/>
      </c>
      <c r="V87" s="34" t="str">
        <f aca="false">IF(ISNUMBER(V84),IF(ABS(V84-V168)&lt;=1.5,0,ROUND(V84-V168,1)),"")</f>
        <v/>
      </c>
      <c r="W87" s="34" t="str">
        <f aca="false">IF(ISNUMBER(W84),IF(ABS(W84-W168)&lt;=1.5,0,ROUND(W84-W168,1)),"")</f>
        <v/>
      </c>
      <c r="X87" s="34" t="str">
        <f aca="false">IF(ISNUMBER(X84),IF(ABS(X84-X168)&lt;=1.5,0,ROUND(X84-X168,1)),"")</f>
        <v/>
      </c>
      <c r="Y87" s="34" t="str">
        <f aca="false">IF(ISNUMBER(Y84),IF(ABS(Y84-Y168)&lt;=1.5,0,ROUND(Y84-Y168,1)),"")</f>
        <v/>
      </c>
      <c r="Z87" s="34" t="str">
        <f aca="false">IF(ISNUMBER(Z84),IF(ABS(Z84-Z168)&lt;=1.5,0,ROUND(Z84-Z168,1)),"")</f>
        <v/>
      </c>
      <c r="AA87" s="34" t="str">
        <f aca="false">IF(ISNUMBER(AA84),IF(ABS(AA84-AA168)&lt;=1.5,0,ROUND(AA84-AA168,1)),"")</f>
        <v/>
      </c>
      <c r="AB87" s="34" t="str">
        <f aca="false">IF(ISNUMBER(AB84),IF(ABS(AB84-AB168)&lt;=1.5,0,ROUND(AB84-AB168,1)),"")</f>
        <v/>
      </c>
      <c r="AC87" s="34" t="str">
        <f aca="false">IF(ISNUMBER(AC84),IF(ABS(AC84-AC168)&lt;=1.5,0,ROUND(AC84-AC168,1)),"")</f>
        <v/>
      </c>
      <c r="AD87" s="34" t="str">
        <f aca="false">IF(ISNUMBER(AD84),IF(ABS(AD84-AD168)&lt;=1.5,0,ROUND(AD84-AD168,1)),"")</f>
        <v/>
      </c>
      <c r="AE87" s="34" t="str">
        <f aca="false">IF(ISNUMBER(AE84),IF(ABS(AE84-AE168)&lt;=1.5,0,ROUND(AE84-AE168,1)),"")</f>
        <v/>
      </c>
      <c r="AF87" s="34" t="str">
        <f aca="false">IF(ISNUMBER(AF84),IF(ABS(AF84-AF168)&lt;=1.5,0,ROUND(AF84-AF168,1)),"")</f>
        <v/>
      </c>
      <c r="AG87" s="34" t="str">
        <f aca="false">IF(ISNUMBER(AG84),IF(ABS(AG84-AG168)&lt;=1.5,0,ROUND(AG84-AG168,1)),"")</f>
        <v/>
      </c>
      <c r="AH87" s="34" t="str">
        <f aca="false">IF(ISNUMBER(AH84),IF(ABS(AH84-AH168)&lt;=1.5,0,ROUND(AH84-AH168,1)),"")</f>
        <v/>
      </c>
      <c r="AI87" s="34" t="str">
        <f aca="false">IF(ISNUMBER(AI84),IF(ABS(AI84-AI168)&lt;=1.5,0,ROUND(AI84-AI168,1)),"")</f>
        <v/>
      </c>
      <c r="AJ87" s="34" t="str">
        <f aca="false">IF(ISNUMBER(AJ84),IF(ABS(AJ84-AJ168)&lt;=1.5,0,ROUND(AJ84-AJ168,1)),"")</f>
        <v/>
      </c>
      <c r="AK87" s="34" t="str">
        <f aca="false">IF(ISNUMBER(AK84),IF(ABS(AK84-AK168)&lt;=1.5,0,ROUND(AK84-AK168,1)),"")</f>
        <v/>
      </c>
      <c r="AL87" s="34" t="str">
        <f aca="false">IF(ISNUMBER(AL84),IF(ABS(AL84-AL168)&lt;=1.5,0,ROUND(AL84-AL168,1)),"")</f>
        <v/>
      </c>
      <c r="AM87" s="34" t="str">
        <f aca="false">IF(ISNUMBER(AM84),IF(ABS(AM84-AM168)&lt;=1.5,0,ROUND(AM84-AM168,1)),"")</f>
        <v/>
      </c>
      <c r="AN87" s="34" t="str">
        <f aca="false">IF(ISNUMBER(AN84),IF(ABS(AN84-AN168)&lt;=1.5,0,ROUND(AN84-AN168,1)),"")</f>
        <v/>
      </c>
      <c r="AO87" s="34" t="str">
        <f aca="false">IF(ISNUMBER(AO84),IF(ABS(AO84-AO168)&lt;=1.5,0,ROUND(AO84-AO168,1)),"")</f>
        <v/>
      </c>
      <c r="AP87" s="34" t="str">
        <f aca="false">IF(ISNUMBER(AP84),IF(ABS(AP84-AP168)&lt;=1.5,0,ROUND(AP84-AP168,1)),"")</f>
        <v/>
      </c>
      <c r="AQ87" s="34" t="str">
        <f aca="false">IF(ISNUMBER(AQ84),IF(ABS(AQ84-AQ168)&lt;=1.5,0,ROUND(AQ84-AQ168,1)),"")</f>
        <v/>
      </c>
      <c r="AR87" s="34" t="str">
        <f aca="false">IF(ISNUMBER(AR84),IF(ABS(AR84-AR168)&lt;=1.5,0,ROUND(AR84-AR168,1)),"")</f>
        <v/>
      </c>
      <c r="AS87" s="34" t="str">
        <f aca="false">IF(ISNUMBER(AS84),IF(ABS(AS84-AS168)&lt;=1.5,0,ROUND(AS84-AS168,1)),"")</f>
        <v/>
      </c>
      <c r="AT87" s="34" t="str">
        <f aca="false">IF(ISNUMBER(AT84),IF(ABS(AT84-AT168)&lt;=1.5,0,ROUND(AT84-AT168,1)),"")</f>
        <v/>
      </c>
      <c r="AU87" s="34" t="str">
        <f aca="false">IF(ISNUMBER(AU84),IF(ABS(AU84-AU168)&lt;=1.5,0,ROUND(AU84-AU168,1)),"")</f>
        <v/>
      </c>
      <c r="AV87" s="34" t="str">
        <f aca="false">IF(ISNUMBER(AV84),IF(ABS(AV84-AV168)&lt;=1.5,0,ROUND(AV84-AV168,1)),"")</f>
        <v/>
      </c>
      <c r="AW87" s="34" t="str">
        <f aca="false">IF(ISNUMBER(AW84),IF(ABS(AW84-AW168)&lt;=1.5,0,ROUND(AW84-AW168,1)),"")</f>
        <v/>
      </c>
      <c r="AX87" s="34" t="str">
        <f aca="false">IF(ISNUMBER(AX84),IF(ABS(AX84-AX168)&lt;=1.5,0,ROUND(AX84-AX168,1)),"")</f>
        <v/>
      </c>
      <c r="AY87" s="34" t="str">
        <f aca="false">IF(ISNUMBER(AY84),IF(ABS(AY84-AY168)&lt;=1.5,0,ROUND(AY84-AY168,1)),"")</f>
        <v/>
      </c>
      <c r="AZ87" s="34" t="str">
        <f aca="false">IF(ISNUMBER(AZ84),IF(ABS(AZ84-AZ168)&lt;=1.5,0,ROUND(AZ84-AZ168,1)),"")</f>
        <v/>
      </c>
      <c r="BA87" s="34" t="str">
        <f aca="false">IF(ISNUMBER(BA84),IF(ABS(BA84-BA168)&lt;=1.5,0,ROUND(BA84-BA168,1)),"")</f>
        <v/>
      </c>
      <c r="BB87" s="34" t="str">
        <f aca="false">IF(ISNUMBER(BB84),IF(ABS(BB84-BB168)&lt;=1.5,0,ROUND(BB84-BB168,1)),"")</f>
        <v/>
      </c>
      <c r="BC87" s="34" t="str">
        <f aca="false">IF(ISNUMBER(BC84),IF(ABS(BC84-BC168)&lt;=1.5,0,ROUND(BC84-BC168,1)),"")</f>
        <v/>
      </c>
      <c r="BD87" s="34" t="str">
        <f aca="false">IF(ISNUMBER(BD84),IF(ABS(BD84-BD168)&lt;=1.5,0,ROUND(BD84-BD168,1)),"")</f>
        <v/>
      </c>
      <c r="BE87" s="34" t="str">
        <f aca="false">IF(ISNUMBER(BE84),IF(ABS(BE84-BE168)&lt;=1.5,0,ROUND(BE84-BE168,1)),"")</f>
        <v/>
      </c>
      <c r="BF87" s="34" t="str">
        <f aca="false">IF(ISNUMBER(BF84),IF(ABS(BF84-BF168)&lt;=1.5,0,ROUND(BF84-BF168,1)),"")</f>
        <v/>
      </c>
      <c r="BG87" s="34" t="str">
        <f aca="false">IF(ISNUMBER(BG84),IF(ABS(BG84-BG168)&lt;=1.5,0,ROUND(BG84-BG168,1)),"")</f>
        <v/>
      </c>
      <c r="BH87" s="34" t="str">
        <f aca="false">IF(ISNUMBER(BH84),IF(ABS(BH84-BH168)&lt;=1.5,0,ROUND(BH84-BH168,1)),"")</f>
        <v/>
      </c>
      <c r="BI87" s="34" t="str">
        <f aca="false">IF(ISNUMBER(BI84),IF(ABS(BI84-BI168)&lt;=1.5,0,ROUND(BI84-BI168,1)),"")</f>
        <v/>
      </c>
      <c r="BJ87" s="34" t="str">
        <f aca="false">IF(ISNUMBER(BJ84),IF(ABS(BJ84-BJ168)&lt;=1.5,0,ROUND(BJ84-BJ168,1)),"")</f>
        <v/>
      </c>
      <c r="BK87" s="34" t="str">
        <f aca="false">IF(ISNUMBER(BK84),IF(ABS(BK84-BK168)&lt;=1.5,0,ROUND(BK84-BK168,1)),"")</f>
        <v/>
      </c>
      <c r="BL87" s="34" t="str">
        <f aca="false">IF(ISNUMBER(BL84),IF(ABS(BL84-BL168)&lt;=1.5,0,ROUND(BL84-BL168,1)),"")</f>
        <v/>
      </c>
      <c r="BM87" s="34" t="n">
        <f aca="false">IF(ISNUMBER(BM84),IF(ABS(BM84-BM168)&lt;=1.5,0,ROUND(BM84-BM168,1)),"")</f>
        <v>0</v>
      </c>
      <c r="BN87" s="34" t="n">
        <f aca="false">IF(ISNUMBER(BN84),IF(ABS(BN84-BN168)&lt;=1.5,0,ROUND(BN84-BN168,1)),"")</f>
        <v>0</v>
      </c>
      <c r="BO87" s="34" t="n">
        <f aca="false">IF(ISNUMBER(BO84),IF(ABS(BO84-BO168)&lt;=1.5,0,ROUND(BO84-BO168,1)),"")</f>
        <v>0</v>
      </c>
      <c r="BP87" s="34" t="n">
        <f aca="false">IF(ISNUMBER(BP84),IF(ABS(BP84-BP168)&lt;=1.5,0,ROUND(BP84-BP168,1)),"")</f>
        <v>0</v>
      </c>
      <c r="BQ87" s="34" t="n">
        <f aca="false">IF(ISNUMBER(BQ84),IF(ABS(BQ84-BQ168)&lt;=1.5,0,ROUND(BQ84-BQ168,1)),"")</f>
        <v>0</v>
      </c>
      <c r="BR87" s="34" t="n">
        <f aca="false">IF(ISNUMBER(BR84),IF(ABS(BR84-BR168)&lt;=1.5,0,ROUND(BR84-BR168,1)),"")</f>
        <v>0</v>
      </c>
      <c r="BS87" s="34" t="n">
        <f aca="false">IF(ISNUMBER(BS84),IF(ABS(BS84-BS168)&lt;=1.5,0,ROUND(BS84-BS168,1)),"")</f>
        <v>0</v>
      </c>
      <c r="BT87" s="34" t="n">
        <f aca="false">IF(ISNUMBER(BT84),IF(ABS(BT84-BT168)&lt;=1.5,0,ROUND(BT84-BT168,1)),"")</f>
        <v>0</v>
      </c>
      <c r="BU87" s="34" t="n">
        <f aca="false">IF(ISNUMBER(BU84),IF(ABS(BU84-BU168)&lt;=1.5,0,ROUND(BU84-BU168,1)),"")</f>
        <v>0</v>
      </c>
      <c r="BV87" s="34" t="n">
        <f aca="false">IF(ISNUMBER(BV84),IF(ABS(BV84-BV168)&lt;=1.5,0,ROUND(BV84-BV168,1)),"")</f>
        <v>0</v>
      </c>
      <c r="BW87" s="34" t="n">
        <f aca="false">IF(ISNUMBER(BW84),IF(ABS(BW84-BW168)&lt;=1.5,0,ROUND(BW84-BW168,1)),"")</f>
        <v>0</v>
      </c>
      <c r="BX87" s="34" t="n">
        <f aca="false">IF(ISNUMBER(BX84),IF(ABS(BX84-BX168)&lt;=1.5,0,ROUND(BX84-BX168,1)),"")</f>
        <v>0</v>
      </c>
      <c r="BY87" s="36" t="n">
        <f aca="false">ROUND(BY84-BY168,1)</f>
        <v>0</v>
      </c>
      <c r="BZ87" s="36" t="n">
        <f aca="false">ROUND(BZ84-BZ168,1)</f>
        <v>0</v>
      </c>
      <c r="CA87" s="36" t="n">
        <f aca="false">ROUND(CA84-CA168,1)</f>
        <v>0</v>
      </c>
      <c r="CB87" s="36" t="n">
        <f aca="false">ROUND(CB84-CB168,1)</f>
        <v>0</v>
      </c>
      <c r="CC87" s="36" t="n">
        <f aca="false">ROUND(CC84-CC168,1)</f>
        <v>0</v>
      </c>
      <c r="CD87" s="36" t="n">
        <f aca="false">ROUND(CD84-CD168,1)</f>
        <v>0</v>
      </c>
      <c r="CE87" s="36" t="n">
        <f aca="false">ROUND(CE84-CE168,1)</f>
        <v>0</v>
      </c>
      <c r="CF87" s="28"/>
      <c r="CN87" s="29" t="s">
        <v>182</v>
      </c>
      <c r="CO87" s="53" t="n">
        <f aca="false">CP87+$CO$85</f>
        <v>500</v>
      </c>
      <c r="CP87" s="30" t="n">
        <v>0</v>
      </c>
      <c r="CQ87" s="53" t="n">
        <f aca="false">CP87+$CQ$85</f>
        <v>0</v>
      </c>
      <c r="CR87" s="14"/>
    </row>
    <row r="88" customFormat="false" ht="15" hidden="false" customHeight="true" outlineLevel="0" collapsed="false">
      <c r="B88" s="29" t="s">
        <v>250</v>
      </c>
      <c r="C88" s="34" t="n">
        <f aca="false">C121</f>
        <v>158.889</v>
      </c>
      <c r="D88" s="34" t="n">
        <f aca="false">D121</f>
        <v>192.805</v>
      </c>
      <c r="E88" s="34" t="n">
        <f aca="false">E121</f>
        <v>212.428</v>
      </c>
      <c r="F88" s="34" t="n">
        <f aca="false">F121</f>
        <v>209.659</v>
      </c>
      <c r="G88" s="34" t="n">
        <f aca="false">G121</f>
        <v>226.26</v>
      </c>
      <c r="H88" s="34" t="n">
        <f aca="false">H121</f>
        <v>251.738</v>
      </c>
      <c r="I88" s="34" t="n">
        <f aca="false">I121</f>
        <v>349.936</v>
      </c>
      <c r="J88" s="34" t="n">
        <f aca="false">J121</f>
        <v>104.033</v>
      </c>
      <c r="K88" s="34" t="n">
        <f aca="false">K121</f>
        <v>108.999</v>
      </c>
      <c r="L88" s="34" t="n">
        <f aca="false">L121</f>
        <v>112.301</v>
      </c>
      <c r="M88" s="34" t="n">
        <f aca="false">M121</f>
        <v>115.61</v>
      </c>
      <c r="N88" s="34" t="n">
        <f aca="false">N121</f>
        <v>440.943</v>
      </c>
      <c r="O88" s="34" t="n">
        <f aca="false">O121</f>
        <v>119.076</v>
      </c>
      <c r="P88" s="34" t="n">
        <f aca="false">P121</f>
        <v>147.708</v>
      </c>
      <c r="Q88" s="34" t="n">
        <f aca="false">Q121</f>
        <v>153.056</v>
      </c>
      <c r="R88" s="34" t="n">
        <f aca="false">R121</f>
        <v>156.096</v>
      </c>
      <c r="S88" s="34" t="n">
        <f aca="false">S121</f>
        <v>575.936</v>
      </c>
      <c r="T88" s="34" t="n">
        <f aca="false">T121</f>
        <v>159.02</v>
      </c>
      <c r="U88" s="34" t="n">
        <f aca="false">U121</f>
        <v>170.657</v>
      </c>
      <c r="V88" s="34" t="n">
        <f aca="false">V121</f>
        <v>189.078</v>
      </c>
      <c r="W88" s="34" t="n">
        <f aca="false">W121</f>
        <v>193.009</v>
      </c>
      <c r="X88" s="34" t="n">
        <f aca="false">X121</f>
        <v>711.764</v>
      </c>
      <c r="Y88" s="34" t="n">
        <f aca="false">Y121</f>
        <v>199.739</v>
      </c>
      <c r="Z88" s="34" t="n">
        <f aca="false">Z121</f>
        <v>206.869</v>
      </c>
      <c r="AA88" s="34" t="n">
        <f aca="false">AA121</f>
        <v>212.711</v>
      </c>
      <c r="AB88" s="34" t="n">
        <f aca="false">AB121</f>
        <v>218.311</v>
      </c>
      <c r="AC88" s="34" t="n">
        <f aca="false">AC121</f>
        <v>837.63</v>
      </c>
      <c r="AD88" s="34" t="n">
        <f aca="false">AD121</f>
        <v>226.553</v>
      </c>
      <c r="AE88" s="34" t="n">
        <f aca="false">AE121</f>
        <v>237.153</v>
      </c>
      <c r="AF88" s="34" t="n">
        <f aca="false">AF121</f>
        <v>247.533</v>
      </c>
      <c r="AG88" s="34" t="n">
        <f aca="false">AG121</f>
        <v>253.991</v>
      </c>
      <c r="AH88" s="34" t="n">
        <f aca="false">AH121</f>
        <v>965.23</v>
      </c>
      <c r="AI88" s="34" t="n">
        <f aca="false">AI121</f>
        <v>273.718</v>
      </c>
      <c r="AJ88" s="34" t="n">
        <f aca="false">AJ121</f>
        <v>297.018</v>
      </c>
      <c r="AK88" s="34" t="n">
        <f aca="false">AK121</f>
        <v>305.525</v>
      </c>
      <c r="AL88" s="34" t="n">
        <f aca="false">AL121</f>
        <v>315.571</v>
      </c>
      <c r="AM88" s="34" t="n">
        <f aca="false">AM121</f>
        <v>1191.832</v>
      </c>
      <c r="AN88" s="34" t="n">
        <f aca="false">AN121</f>
        <v>328.425</v>
      </c>
      <c r="AO88" s="34" t="n">
        <f aca="false">AO121</f>
        <v>343.76</v>
      </c>
      <c r="AP88" s="34" t="n">
        <f aca="false">AP121</f>
        <v>352.808</v>
      </c>
      <c r="AQ88" s="34" t="n">
        <f aca="false">AQ121</f>
        <v>374.726</v>
      </c>
      <c r="AR88" s="34" t="n">
        <f aca="false">AR121</f>
        <v>1399.719</v>
      </c>
      <c r="AS88" s="34" t="n">
        <f aca="false">AS121</f>
        <v>391.847</v>
      </c>
      <c r="AT88" s="34" t="n">
        <f aca="false">AT121</f>
        <v>397.159</v>
      </c>
      <c r="AU88" s="34" t="n">
        <f aca="false">AU121</f>
        <v>425.62</v>
      </c>
      <c r="AV88" s="34" t="n">
        <f aca="false">AV121</f>
        <v>444.393</v>
      </c>
      <c r="AW88" s="34" t="n">
        <f aca="false">AW121</f>
        <v>1659.019</v>
      </c>
      <c r="AX88" s="34" t="n">
        <f aca="false">AX121</f>
        <v>457.697</v>
      </c>
      <c r="AY88" s="34" t="n">
        <f aca="false">AY121</f>
        <v>480.333</v>
      </c>
      <c r="AZ88" s="34" t="n">
        <f aca="false">AZ121</f>
        <v>499.319</v>
      </c>
      <c r="BA88" s="34" t="n">
        <f aca="false">BA121</f>
        <v>506.786</v>
      </c>
      <c r="BB88" s="34" t="n">
        <f aca="false">BB121</f>
        <v>1944.135</v>
      </c>
      <c r="BC88" s="34" t="n">
        <f aca="false">BC121</f>
        <v>515.825</v>
      </c>
      <c r="BD88" s="34" t="n">
        <f aca="false">BD121</f>
        <v>536.308</v>
      </c>
      <c r="BE88" s="34" t="n">
        <f aca="false">BE121</f>
        <v>556.921</v>
      </c>
      <c r="BF88" s="34" t="n">
        <f aca="false">BF121</f>
        <v>573.345</v>
      </c>
      <c r="BG88" s="34" t="n">
        <f aca="false">BG121</f>
        <v>2182.399</v>
      </c>
      <c r="BH88" s="34" t="n">
        <f aca="false">BH121</f>
        <v>584.366</v>
      </c>
      <c r="BI88" s="34" t="n">
        <f aca="false">BI121</f>
        <v>605.906</v>
      </c>
      <c r="BJ88" s="34" t="n">
        <f aca="false">BJ121</f>
        <v>624.669</v>
      </c>
      <c r="BK88" s="34" t="n">
        <f aca="false">BK121</f>
        <v>640.059</v>
      </c>
      <c r="BL88" s="34" t="n">
        <f aca="false">BL121</f>
        <v>2455</v>
      </c>
      <c r="BM88" s="34" t="n">
        <f aca="false">BM121</f>
        <v>656.4</v>
      </c>
      <c r="BN88" s="34" t="n">
        <f aca="false">BN121</f>
        <v>677.8</v>
      </c>
      <c r="BO88" s="34" t="n">
        <f aca="false">BO121</f>
        <v>692.6</v>
      </c>
      <c r="BP88" s="34" t="n">
        <f aca="false">BP121</f>
        <v>709.4</v>
      </c>
      <c r="BQ88" s="34" t="n">
        <f aca="false">BQ121</f>
        <v>2736.2</v>
      </c>
      <c r="BR88" s="34" t="n">
        <f aca="false">BR121</f>
        <v>732.2</v>
      </c>
      <c r="BS88" s="34" t="n">
        <f aca="false">BS121</f>
        <v>781.3</v>
      </c>
      <c r="BT88" s="34" t="n">
        <f aca="false">BT121</f>
        <v>833.6</v>
      </c>
      <c r="BU88" s="34" t="n">
        <f aca="false">BU121</f>
        <v>899.9</v>
      </c>
      <c r="BV88" s="34" t="n">
        <f aca="false">BV121</f>
        <v>3247</v>
      </c>
      <c r="BW88" s="34" t="n">
        <f aca="false">BW121</f>
        <v>897</v>
      </c>
      <c r="BX88" s="34" t="n">
        <f aca="false">BX121</f>
        <v>925</v>
      </c>
      <c r="BY88" s="36" t="n">
        <f aca="false">BY83-N(BY58)-N(BY72)</f>
        <v>945.877399541732</v>
      </c>
      <c r="BZ88" s="36" t="n">
        <f aca="false">BZ83-N(BZ58)-N(BZ72)</f>
        <v>967.122600458268</v>
      </c>
      <c r="CA88" s="36" t="n">
        <f aca="false">CA83-N(CA58)-N(CA72)</f>
        <v>3735</v>
      </c>
      <c r="CB88" s="36" t="n">
        <f aca="false">CB83-N(CB58)-N(CB72)</f>
        <v>4126.61190351626</v>
      </c>
      <c r="CC88" s="36" t="n">
        <f aca="false">CC83-N(CC58)-N(CC72)</f>
        <v>4536.7280855357</v>
      </c>
      <c r="CD88" s="36" t="n">
        <f aca="false">CD83-N(CD58)-N(CD72)</f>
        <v>4953.78204473768</v>
      </c>
      <c r="CE88" s="36" t="n">
        <f aca="false">CE83-N(CE58)-N(CE72)</f>
        <v>5371.70872977256</v>
      </c>
      <c r="CF88" s="28"/>
      <c r="CN88" s="29" t="s">
        <v>184</v>
      </c>
      <c r="CO88" s="53" t="n">
        <f aca="false">CP88+$CO$85</f>
        <v>500</v>
      </c>
      <c r="CP88" s="30" t="n">
        <v>0</v>
      </c>
      <c r="CQ88" s="53" t="n">
        <f aca="false">CP88+$CQ$85</f>
        <v>0</v>
      </c>
      <c r="CR88" s="14"/>
    </row>
    <row r="89" customFormat="false" ht="15" hidden="false" customHeight="true" outlineLevel="0" collapsed="false">
      <c r="B89" s="33" t="s">
        <v>251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6"/>
      <c r="BZ89" s="36"/>
      <c r="CA89" s="36" t="n">
        <f aca="false">CHOOSE(MATCH($CF$2,{"Bull","Base","Bear"},0),$CO$12,$CP$12,$CQ$12)</f>
        <v>3735</v>
      </c>
      <c r="CB89" s="36"/>
      <c r="CC89" s="36"/>
      <c r="CD89" s="36"/>
      <c r="CE89" s="36"/>
      <c r="CF89" s="28" t="s">
        <v>252</v>
      </c>
      <c r="CN89" s="29" t="s">
        <v>186</v>
      </c>
      <c r="CO89" s="53" t="n">
        <f aca="false">CP89+$CO$85</f>
        <v>500</v>
      </c>
      <c r="CP89" s="30" t="n">
        <v>0</v>
      </c>
      <c r="CQ89" s="53" t="n">
        <f aca="false">CP89+$CQ$85</f>
        <v>0</v>
      </c>
      <c r="CR89" s="14"/>
    </row>
    <row r="90" customFormat="false" ht="15" hidden="false" customHeight="true" outlineLevel="0" collapsed="false">
      <c r="B90" s="29" t="s">
        <v>253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6" t="n">
        <f aca="false">BX11*(1+BY13)+BX14*(1+BY16)+BX17*(1+BY19)+BX28*(1+BY30)</f>
        <v>938.312176317766</v>
      </c>
      <c r="BZ90" s="36" t="n">
        <f aca="false">BX11*(1+BZ13)^2+BX14*(1+BZ16)^2+BX17*(1+BZ19)^2+BX28*(1+BZ30)^2</f>
        <v>951.992154010336</v>
      </c>
      <c r="CA90" s="36"/>
      <c r="CB90" s="36"/>
      <c r="CC90" s="36"/>
      <c r="CD90" s="36"/>
      <c r="CE90" s="36"/>
      <c r="CF90" s="28"/>
    </row>
    <row r="91" customFormat="false" ht="15" hidden="false" customHeight="true" outlineLevel="0" collapsed="false">
      <c r="B91" s="29" t="s">
        <v>254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6" t="n">
        <f aca="false">3*(BX11+BX14+BX17+BX28)</f>
        <v>2775</v>
      </c>
      <c r="BZ91" s="36"/>
      <c r="CA91" s="36"/>
      <c r="CB91" s="36"/>
      <c r="CC91" s="36"/>
      <c r="CD91" s="36"/>
      <c r="CE91" s="36"/>
      <c r="CF91" s="28"/>
    </row>
    <row r="92" customFormat="false" ht="15" hidden="false" customHeight="true" outlineLevel="0" collapsed="false">
      <c r="B92" s="24" t="s">
        <v>255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7" t="n">
        <f aca="false">(CA89-(BW88+BX88)-BY90-BZ90)/BY91</f>
        <v>0.00817861970158496</v>
      </c>
      <c r="BZ92" s="27" t="n">
        <f aca="false">BY92</f>
        <v>0.00817861970158496</v>
      </c>
      <c r="CA92" s="27"/>
      <c r="CB92" s="27"/>
      <c r="CC92" s="27"/>
      <c r="CD92" s="27"/>
      <c r="CE92" s="27"/>
      <c r="CF92" s="28" t="s">
        <v>256</v>
      </c>
    </row>
    <row r="93" customFormat="false" ht="15" hidden="false" customHeight="true" outlineLevel="0" collapsed="false">
      <c r="B93" s="41" t="s">
        <v>257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6"/>
      <c r="BZ93" s="36"/>
      <c r="CA93" s="36" t="n">
        <f aca="false">ROUND(CA88-CA89,1)</f>
        <v>0</v>
      </c>
      <c r="CB93" s="36"/>
      <c r="CC93" s="36"/>
      <c r="CD93" s="36"/>
      <c r="CE93" s="36"/>
      <c r="CF93" s="28"/>
    </row>
    <row r="94" customFormat="false" ht="15" hidden="false" customHeight="true" outlineLevel="0" collapsed="false">
      <c r="B94" s="29" t="s">
        <v>258</v>
      </c>
      <c r="C94" s="34" t="n">
        <f aca="false">C168</f>
        <v>25.89</v>
      </c>
      <c r="D94" s="34" t="n">
        <f aca="false">D168</f>
        <v>33.999</v>
      </c>
      <c r="E94" s="34" t="n">
        <f aca="false">E168</f>
        <v>56.589</v>
      </c>
      <c r="F94" s="34" t="n">
        <f aca="false">F168</f>
        <v>54.332</v>
      </c>
      <c r="G94" s="34" t="n">
        <f aca="false">G168</f>
        <v>51.317</v>
      </c>
      <c r="H94" s="34" t="n">
        <f aca="false">H168</f>
        <v>56.947</v>
      </c>
      <c r="I94" s="34" t="n">
        <f aca="false">I168</f>
        <v>86.398</v>
      </c>
      <c r="J94" s="34" t="n">
        <f aca="false">J168</f>
        <v>25.67</v>
      </c>
      <c r="K94" s="34" t="n">
        <f aca="false">K168</f>
        <v>32.621</v>
      </c>
      <c r="L94" s="34" t="n">
        <f aca="false">L168</f>
        <v>37.671</v>
      </c>
      <c r="M94" s="34" t="n">
        <f aca="false">M168</f>
        <v>40.799</v>
      </c>
      <c r="N94" s="34" t="n">
        <f aca="false">N168</f>
        <v>136.761</v>
      </c>
      <c r="O94" s="34" t="n">
        <f aca="false">O168</f>
        <v>37.038</v>
      </c>
      <c r="P94" s="34" t="n">
        <f aca="false">P168</f>
        <v>45.316</v>
      </c>
      <c r="Q94" s="34" t="n">
        <f aca="false">Q168</f>
        <v>51.792</v>
      </c>
      <c r="R94" s="34" t="n">
        <f aca="false">R168</f>
        <v>54.322</v>
      </c>
      <c r="S94" s="34" t="n">
        <f aca="false">S168</f>
        <v>188.468</v>
      </c>
      <c r="T94" s="34" t="n">
        <f aca="false">T168</f>
        <v>23.774</v>
      </c>
      <c r="U94" s="34" t="n">
        <f aca="false">U168</f>
        <v>11.272</v>
      </c>
      <c r="V94" s="34" t="n">
        <f aca="false">V168</f>
        <v>35.467</v>
      </c>
      <c r="W94" s="34" t="n">
        <f aca="false">W168</f>
        <v>65.127</v>
      </c>
      <c r="X94" s="34" t="n">
        <f aca="false">X168</f>
        <v>135.64</v>
      </c>
      <c r="Y94" s="34" t="n">
        <f aca="false">Y168</f>
        <v>57.6</v>
      </c>
      <c r="Z94" s="34" t="n">
        <f aca="false">Z168</f>
        <v>55.709</v>
      </c>
      <c r="AA94" s="34" t="n">
        <f aca="false">AA168</f>
        <v>67.053</v>
      </c>
      <c r="AB94" s="34" t="n">
        <f aca="false">AB168</f>
        <v>75.16</v>
      </c>
      <c r="AC94" s="34" t="n">
        <f aca="false">AC168</f>
        <v>255.522</v>
      </c>
      <c r="AD94" s="34" t="n">
        <f aca="false">AD168</f>
        <v>63.919</v>
      </c>
      <c r="AE94" s="34" t="n">
        <f aca="false">AE168</f>
        <v>54.257</v>
      </c>
      <c r="AF94" s="34" t="n">
        <f aca="false">AF168</f>
        <v>83.599</v>
      </c>
      <c r="AG94" s="34" t="n">
        <f aca="false">AG168</f>
        <v>77.941</v>
      </c>
      <c r="AH94" s="34" t="n">
        <f aca="false">AH168</f>
        <v>279.79</v>
      </c>
      <c r="AI94" s="34" t="n">
        <f aca="false">AI168</f>
        <v>84.362</v>
      </c>
      <c r="AJ94" s="34" t="n">
        <f aca="false">AJ168</f>
        <v>85.092</v>
      </c>
      <c r="AK94" s="34" t="n">
        <f aca="false">AK168</f>
        <v>109.559</v>
      </c>
      <c r="AL94" s="34" t="n">
        <f aca="false">AL168</f>
        <v>139.009</v>
      </c>
      <c r="AM94" s="34" t="n">
        <f aca="false">AM168</f>
        <v>418.022</v>
      </c>
      <c r="AN94" s="34" t="n">
        <f aca="false">AN168</f>
        <v>125.497</v>
      </c>
      <c r="AO94" s="34" t="n">
        <f aca="false">AO168</f>
        <v>110.042</v>
      </c>
      <c r="AP94" s="34" t="n">
        <f aca="false">AP168</f>
        <v>129.323</v>
      </c>
      <c r="AQ94" s="34" t="n">
        <f aca="false">AQ168</f>
        <v>141.838</v>
      </c>
      <c r="AR94" s="34" t="n">
        <f aca="false">AR168</f>
        <v>506.7</v>
      </c>
      <c r="AS94" s="34" t="n">
        <f aca="false">AS168</f>
        <v>124.013</v>
      </c>
      <c r="AT94" s="34" t="n">
        <f aca="false">AT168</f>
        <v>128.856</v>
      </c>
      <c r="AU94" s="34" t="n">
        <f aca="false">AU168</f>
        <v>133.515</v>
      </c>
      <c r="AV94" s="34" t="n">
        <f aca="false">AV168</f>
        <v>166.802</v>
      </c>
      <c r="AW94" s="34" t="n">
        <f aca="false">AW168</f>
        <v>553.186</v>
      </c>
      <c r="AX94" s="34" t="n">
        <f aca="false">AX168</f>
        <v>159.543</v>
      </c>
      <c r="AY94" s="34" t="n">
        <f aca="false">AY168</f>
        <v>150.477</v>
      </c>
      <c r="AZ94" s="34" t="n">
        <f aca="false">AZ168</f>
        <v>143.983</v>
      </c>
      <c r="BA94" s="34" t="n">
        <f aca="false">BA168</f>
        <v>193.405</v>
      </c>
      <c r="BB94" s="34" t="n">
        <f aca="false">BB168</f>
        <v>647.408</v>
      </c>
      <c r="BC94" s="34" t="n">
        <f aca="false">BC168</f>
        <v>177.916</v>
      </c>
      <c r="BD94" s="34" t="n">
        <f aca="false">BD168</f>
        <v>158.624</v>
      </c>
      <c r="BE94" s="34" t="n">
        <f aca="false">BE168</f>
        <v>152.673</v>
      </c>
      <c r="BF94" s="34" t="n">
        <f aca="false">BF168</f>
        <v>182.298</v>
      </c>
      <c r="BG94" s="34" t="n">
        <f aca="false">BG168</f>
        <v>671.511</v>
      </c>
      <c r="BH94" s="34" t="n">
        <f aca="false">BH168</f>
        <v>122.893</v>
      </c>
      <c r="BI94" s="34" t="n">
        <f aca="false">BI168</f>
        <v>126.775</v>
      </c>
      <c r="BJ94" s="34" t="n">
        <f aca="false">BJ168</f>
        <v>111.923</v>
      </c>
      <c r="BK94" s="34" t="n">
        <f aca="false">BK168</f>
        <v>130.139</v>
      </c>
      <c r="BL94" s="34" t="n">
        <f aca="false">BL168</f>
        <v>491.7</v>
      </c>
      <c r="BM94" s="34" t="n">
        <f aca="false">BM168</f>
        <v>12.4000000000001</v>
      </c>
      <c r="BN94" s="34" t="n">
        <f aca="false">BN168</f>
        <v>40.8</v>
      </c>
      <c r="BO94" s="34" t="n">
        <f aca="false">BO168</f>
        <v>75.9</v>
      </c>
      <c r="BP94" s="34" t="n">
        <f aca="false">BP168</f>
        <v>111.9</v>
      </c>
      <c r="BQ94" s="34" t="n">
        <f aca="false">BQ168</f>
        <v>240.8</v>
      </c>
      <c r="BR94" s="34" t="n">
        <f aca="false">BR168</f>
        <v>65.6000000000001</v>
      </c>
      <c r="BS94" s="34" t="n">
        <f aca="false">BS168</f>
        <v>85</v>
      </c>
      <c r="BT94" s="34" t="n">
        <f aca="false">BT168</f>
        <v>114.6</v>
      </c>
      <c r="BU94" s="34" t="n">
        <f aca="false">BU168</f>
        <v>177.1</v>
      </c>
      <c r="BV94" s="34" t="n">
        <f aca="false">BV168</f>
        <v>442</v>
      </c>
      <c r="BW94" s="34" t="n">
        <f aca="false">BW168</f>
        <v>132</v>
      </c>
      <c r="BX94" s="34" t="n">
        <f aca="false">BX168</f>
        <v>184</v>
      </c>
      <c r="BY94" s="36" t="n">
        <f aca="false">BY84-N(BY60)-N(BY74)</f>
        <v>202.031806026191</v>
      </c>
      <c r="BZ94" s="36" t="n">
        <f aca="false">BZ84-N(BZ60)-N(BZ74)</f>
        <v>281.968193973809</v>
      </c>
      <c r="CA94" s="36" t="n">
        <f aca="false">CA84-N(CA60)-N(CA74)</f>
        <v>800</v>
      </c>
      <c r="CB94" s="36" t="n">
        <f aca="false">CB84-N(CB60)-N(CB74)</f>
        <v>954.401404959672</v>
      </c>
      <c r="CC94" s="36" t="n">
        <f aca="false">CC84-N(CC60)-N(CC74)</f>
        <v>1177.85432479215</v>
      </c>
      <c r="CD94" s="36" t="n">
        <f aca="false">CD84-N(CD60)-N(CD74)</f>
        <v>1429.44730972459</v>
      </c>
      <c r="CE94" s="36" t="n">
        <f aca="false">CE84-N(CE60)-N(CE74)</f>
        <v>1707.88984334464</v>
      </c>
      <c r="CF94" s="28"/>
    </row>
    <row r="95" customFormat="false" ht="15" hidden="false" customHeight="true" outlineLevel="0" collapsed="false">
      <c r="B95" s="33" t="s">
        <v>259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6"/>
      <c r="BZ95" s="36"/>
      <c r="CA95" s="36" t="n">
        <f aca="false">CHOOSE(MATCH($CF$2,{"Bull","Base","Bear"},0),$CO$13,$CP$13,$CQ$13)</f>
        <v>800</v>
      </c>
      <c r="CB95" s="36"/>
      <c r="CC95" s="36"/>
      <c r="CD95" s="36"/>
      <c r="CE95" s="36"/>
      <c r="CF95" s="28" t="s">
        <v>260</v>
      </c>
    </row>
    <row r="96" customFormat="false" ht="15" hidden="false" customHeight="true" outlineLevel="0" collapsed="false">
      <c r="B96" s="29" t="s">
        <v>261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6" t="n">
        <f aca="false">BY20*BY23+BY28*BY32</f>
        <v>205.350756861875</v>
      </c>
      <c r="BZ96" s="36" t="n">
        <f aca="false">BZ20*BZ23+BZ28*BZ32</f>
        <v>285.312706609265</v>
      </c>
      <c r="CA96" s="36"/>
      <c r="CB96" s="36"/>
      <c r="CC96" s="36"/>
      <c r="CD96" s="36"/>
      <c r="CE96" s="36"/>
      <c r="CF96" s="28"/>
    </row>
    <row r="97" customFormat="false" ht="15" hidden="false" customHeight="true" outlineLevel="0" collapsed="false">
      <c r="B97" s="24" t="s">
        <v>262</v>
      </c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7" t="n">
        <f aca="false">(CHOOSE(MATCH($CF$2,{"Bull","Base","Bear"},0),$CO$16,$CP$16,$CQ$16)-(BW22+BX22)-BY20*BY23-BZ20*BZ23)/(BY20+BZ20)</f>
        <v>-0.0204249425926283</v>
      </c>
      <c r="BZ97" s="27" t="n">
        <f aca="false">(CHOOSE(MATCH($CF$2,{"Bull","Base","Bear"},0),$CO$17,$CP$17,$CQ$17)-(BW31+BX31)-BY28*BY32-BZ28*BZ32)/(BY28+BZ28)</f>
        <v>0.0147035527625812</v>
      </c>
      <c r="CA97" s="27"/>
      <c r="CB97" s="27"/>
      <c r="CC97" s="27"/>
      <c r="CD97" s="27"/>
      <c r="CE97" s="27"/>
      <c r="CF97" s="28" t="s">
        <v>263</v>
      </c>
    </row>
    <row r="98" customFormat="false" ht="15" hidden="false" customHeight="true" outlineLevel="0" collapsed="false">
      <c r="B98" s="41" t="s">
        <v>264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6"/>
      <c r="BZ98" s="36"/>
      <c r="CA98" s="36" t="n">
        <f aca="false">ROUND(CA94-CA95,1)</f>
        <v>0</v>
      </c>
      <c r="CB98" s="36"/>
      <c r="CC98" s="36"/>
      <c r="CD98" s="36"/>
      <c r="CE98" s="36"/>
      <c r="CF98" s="28"/>
    </row>
    <row r="99" customFormat="false" ht="15" hidden="false" customHeight="true" outlineLevel="0" collapsed="false">
      <c r="B99" s="41" t="s">
        <v>265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6" t="n">
        <f aca="false">ROUND(BY88-$CP$31,1)</f>
        <v>5.9</v>
      </c>
      <c r="BZ99" s="36" t="n">
        <f aca="false">ROUND(BY94-$CP$32,1)</f>
        <v>2</v>
      </c>
      <c r="CA99" s="36"/>
      <c r="CB99" s="36"/>
      <c r="CC99" s="36"/>
      <c r="CD99" s="36"/>
      <c r="CE99" s="36"/>
      <c r="CF99" s="28" t="s">
        <v>266</v>
      </c>
    </row>
    <row r="100" customFormat="false" ht="15" hidden="false" customHeight="true" outlineLevel="0" collapsed="false">
      <c r="B100" s="41" t="s">
        <v>267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6" t="n">
        <f aca="false">ROUND(CA22-CHOOSE(MATCH($CF$2,{"Bull","Base","Bear"},0),$CO$16,$CP$16,$CQ$16),1)</f>
        <v>0</v>
      </c>
      <c r="BZ100" s="36" t="n">
        <f aca="false">ROUND(CA31-CHOOSE(MATCH($CF$2,{"Bull","Base","Bear"},0),$CO$17,$CP$17,$CQ$17),1)</f>
        <v>0</v>
      </c>
      <c r="CA100" s="36"/>
      <c r="CB100" s="36"/>
      <c r="CC100" s="36"/>
      <c r="CD100" s="36"/>
      <c r="CE100" s="36"/>
      <c r="CF100" s="28"/>
    </row>
    <row r="101" customFormat="false" ht="15" hidden="false" customHeight="true" outlineLevel="0" collapsed="false">
      <c r="B101" s="41" t="s">
        <v>268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6"/>
      <c r="BZ101" s="36"/>
      <c r="CA101" s="36"/>
      <c r="CB101" s="36"/>
      <c r="CC101" s="36" t="n">
        <f aca="false">ROUND(CC168-$CP$43,0)</f>
        <v>-14</v>
      </c>
      <c r="CD101" s="36" t="n">
        <f aca="false">ROUND(((CC121/BV121)^(1/3)-1-$CP$42)*100,1)</f>
        <v>-1.5</v>
      </c>
      <c r="CE101" s="36"/>
      <c r="CF101" s="28" t="s">
        <v>269</v>
      </c>
    </row>
    <row r="103" customFormat="false" ht="15" hidden="false" customHeight="true" outlineLevel="0" collapsed="false">
      <c r="B103" s="15" t="s">
        <v>270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6" t="s">
        <v>271</v>
      </c>
    </row>
    <row r="104" customFormat="false" ht="15" hidden="false" customHeight="true" outlineLevel="0" collapsed="false">
      <c r="B104" s="29" t="s">
        <v>272</v>
      </c>
      <c r="C104" s="34"/>
      <c r="D104" s="34"/>
      <c r="E104" s="34"/>
      <c r="F104" s="34"/>
      <c r="G104" s="34"/>
      <c r="H104" s="34"/>
      <c r="I104" s="34"/>
      <c r="J104" s="35" t="n">
        <v>13.8</v>
      </c>
      <c r="K104" s="34"/>
      <c r="L104" s="34"/>
      <c r="M104" s="34"/>
      <c r="N104" s="34"/>
      <c r="O104" s="34"/>
      <c r="P104" s="35" t="n">
        <v>16</v>
      </c>
      <c r="Q104" s="35" t="n">
        <v>15.4</v>
      </c>
      <c r="R104" s="35" t="n">
        <v>17.3</v>
      </c>
      <c r="S104" s="34"/>
      <c r="T104" s="35" t="n">
        <v>21</v>
      </c>
      <c r="U104" s="35" t="n">
        <v>34</v>
      </c>
      <c r="V104" s="35" t="n">
        <v>30.8</v>
      </c>
      <c r="W104" s="35" t="n">
        <v>29</v>
      </c>
      <c r="X104" s="35" t="n">
        <v>100</v>
      </c>
      <c r="Y104" s="35" t="n">
        <v>30</v>
      </c>
      <c r="Z104" s="35" t="n">
        <v>26</v>
      </c>
      <c r="AA104" s="35" t="n">
        <v>26</v>
      </c>
      <c r="AB104" s="35" t="n">
        <v>29</v>
      </c>
      <c r="AC104" s="35" t="n">
        <v>112</v>
      </c>
      <c r="AD104" s="35" t="n">
        <v>35</v>
      </c>
      <c r="AE104" s="35" t="n">
        <v>37</v>
      </c>
      <c r="AF104" s="35" t="n">
        <v>34</v>
      </c>
      <c r="AG104" s="35" t="n">
        <v>43</v>
      </c>
      <c r="AH104" s="35" t="n">
        <v>148</v>
      </c>
      <c r="AI104" s="35" t="n">
        <v>35</v>
      </c>
      <c r="AJ104" s="35" t="n">
        <v>45</v>
      </c>
      <c r="AK104" s="35" t="n">
        <v>40</v>
      </c>
      <c r="AL104" s="35" t="n">
        <v>50</v>
      </c>
      <c r="AM104" s="35" t="n">
        <v>169</v>
      </c>
      <c r="AN104" s="35" t="n">
        <v>48</v>
      </c>
      <c r="AO104" s="35" t="n">
        <v>59</v>
      </c>
      <c r="AP104" s="35" t="n">
        <v>50</v>
      </c>
      <c r="AQ104" s="34"/>
      <c r="AR104" s="35" t="n">
        <v>210</v>
      </c>
      <c r="AS104" s="35" t="n">
        <v>48</v>
      </c>
      <c r="AT104" s="35" t="n">
        <v>35</v>
      </c>
      <c r="AU104" s="35" t="n">
        <v>53</v>
      </c>
      <c r="AV104" s="35" t="n">
        <v>49</v>
      </c>
      <c r="AW104" s="34"/>
      <c r="AX104" s="35" t="n">
        <v>52</v>
      </c>
      <c r="AY104" s="35" t="n">
        <v>51</v>
      </c>
      <c r="AZ104" s="35" t="n">
        <v>47</v>
      </c>
      <c r="BA104" s="35" t="n">
        <v>67</v>
      </c>
      <c r="BB104" s="35" t="n">
        <v>217</v>
      </c>
      <c r="BC104" s="35" t="n">
        <v>68</v>
      </c>
      <c r="BD104" s="35" t="n">
        <v>84</v>
      </c>
      <c r="BE104" s="35" t="n">
        <v>76</v>
      </c>
      <c r="BF104" s="34"/>
      <c r="BG104" s="35" t="n">
        <v>305</v>
      </c>
      <c r="BH104" s="35" t="n">
        <v>80</v>
      </c>
      <c r="BI104" s="35" t="n">
        <v>82</v>
      </c>
      <c r="BJ104" s="35" t="n">
        <v>65</v>
      </c>
      <c r="BK104" s="34"/>
      <c r="BL104" s="35" t="n">
        <v>286</v>
      </c>
      <c r="BM104" s="35" t="n">
        <v>86</v>
      </c>
      <c r="BN104" s="35" t="n">
        <v>67</v>
      </c>
      <c r="BO104" s="34"/>
      <c r="BP104" s="34"/>
      <c r="BQ104" s="34"/>
      <c r="BR104" s="34"/>
      <c r="BS104" s="35" t="n">
        <v>93</v>
      </c>
      <c r="BT104" s="35" t="n">
        <v>84</v>
      </c>
      <c r="BU104" s="34"/>
      <c r="BV104" s="35" t="n">
        <v>308</v>
      </c>
      <c r="BW104" s="35" t="n">
        <v>67</v>
      </c>
      <c r="BX104" s="35" t="n">
        <v>69</v>
      </c>
      <c r="BY104" s="36"/>
      <c r="BZ104" s="36"/>
      <c r="CA104" s="36"/>
      <c r="CB104" s="36"/>
      <c r="CC104" s="36"/>
      <c r="CD104" s="36"/>
      <c r="CE104" s="36"/>
      <c r="CF104" s="28"/>
    </row>
    <row r="105" customFormat="false" ht="15" hidden="false" customHeight="true" outlineLevel="0" collapsed="false">
      <c r="B105" s="29" t="s">
        <v>273</v>
      </c>
      <c r="C105" s="54"/>
      <c r="D105" s="54"/>
      <c r="E105" s="54"/>
      <c r="F105" s="54"/>
      <c r="G105" s="54"/>
      <c r="H105" s="55" t="n">
        <v>254.45864</v>
      </c>
      <c r="I105" s="55" t="n">
        <v>283.39028</v>
      </c>
      <c r="J105" s="55" t="n">
        <v>285.41165</v>
      </c>
      <c r="K105" s="55" t="n">
        <v>286.24794</v>
      </c>
      <c r="L105" s="55" t="n">
        <v>287.56248</v>
      </c>
      <c r="M105" s="55" t="n">
        <v>288.53559</v>
      </c>
      <c r="N105" s="55" t="n">
        <v>288.53559</v>
      </c>
      <c r="O105" s="55" t="n">
        <v>287.6836</v>
      </c>
      <c r="P105" s="55" t="n">
        <v>323.01123</v>
      </c>
      <c r="Q105" s="55" t="n">
        <v>323.49264</v>
      </c>
      <c r="R105" s="55" t="n">
        <v>323.11866</v>
      </c>
      <c r="S105" s="55" t="n">
        <v>323.11866</v>
      </c>
      <c r="T105" s="55" t="n">
        <v>324.09761</v>
      </c>
      <c r="U105" s="55" t="n">
        <v>324.70507</v>
      </c>
      <c r="V105" s="55" t="n">
        <v>324.8883</v>
      </c>
      <c r="W105" s="55" t="n">
        <v>325.13536</v>
      </c>
      <c r="X105" s="55" t="n">
        <v>325.13536</v>
      </c>
      <c r="Y105" s="55" t="n">
        <v>325.50768</v>
      </c>
      <c r="Z105" s="55" t="n">
        <v>326.02734</v>
      </c>
      <c r="AA105" s="55" t="n">
        <v>325.93441</v>
      </c>
      <c r="AB105" s="55" t="n">
        <v>325.99696</v>
      </c>
      <c r="AC105" s="55" t="n">
        <v>325.99696</v>
      </c>
      <c r="AD105" s="55" t="n">
        <v>327.48797</v>
      </c>
      <c r="AE105" s="55" t="n">
        <v>328.20584</v>
      </c>
      <c r="AF105" s="55" t="n">
        <v>361.4549</v>
      </c>
      <c r="AG105" s="55" t="n">
        <v>360.94701</v>
      </c>
      <c r="AH105" s="55" t="n">
        <v>360.94701</v>
      </c>
      <c r="AI105" s="55" t="n">
        <v>363.92021</v>
      </c>
      <c r="AJ105" s="55" t="n">
        <v>363.91084</v>
      </c>
      <c r="AK105" s="55" t="n">
        <v>364.19787</v>
      </c>
      <c r="AL105" s="55" t="n">
        <v>364.51829</v>
      </c>
      <c r="AM105" s="55" t="n">
        <v>364.51829</v>
      </c>
      <c r="AN105" s="55" t="n">
        <v>365.41576</v>
      </c>
      <c r="AO105" s="55" t="n">
        <v>365.48654</v>
      </c>
      <c r="AP105" s="55" t="n">
        <v>366.34976</v>
      </c>
      <c r="AQ105" s="55" t="n">
        <v>366.44734</v>
      </c>
      <c r="AR105" s="55" t="n">
        <v>366.44734</v>
      </c>
      <c r="AS105" s="55" t="n">
        <v>367.26443</v>
      </c>
      <c r="AT105" s="55" t="n">
        <v>393.67098</v>
      </c>
      <c r="AU105" s="55" t="n">
        <v>394.18077</v>
      </c>
      <c r="AV105" s="55" t="n">
        <v>394.10441</v>
      </c>
      <c r="AW105" s="55" t="n">
        <v>394.10441</v>
      </c>
      <c r="AX105" s="55" t="n">
        <v>394.9355</v>
      </c>
      <c r="AY105" s="55" t="n">
        <v>394.955148</v>
      </c>
      <c r="AZ105" s="55" t="n">
        <v>394.935769</v>
      </c>
      <c r="BA105" s="55" t="n">
        <v>394.987704</v>
      </c>
      <c r="BB105" s="55" t="n">
        <v>394.987704</v>
      </c>
      <c r="BC105" s="55" t="n">
        <v>396.225292</v>
      </c>
      <c r="BD105" s="55" t="n">
        <v>395.949425</v>
      </c>
      <c r="BE105" s="55" t="n">
        <v>406.69006</v>
      </c>
      <c r="BF105" s="55" t="n">
        <v>406.772431</v>
      </c>
      <c r="BG105" s="55" t="n">
        <v>406.772431</v>
      </c>
      <c r="BH105" s="55" t="n">
        <v>408.539209</v>
      </c>
      <c r="BI105" s="55" t="n">
        <v>408.3366</v>
      </c>
      <c r="BJ105" s="55" t="n">
        <v>408.363368</v>
      </c>
      <c r="BK105" s="55" t="n">
        <v>408.409321</v>
      </c>
      <c r="BL105" s="55" t="n">
        <v>408.409321</v>
      </c>
      <c r="BM105" s="55" t="n">
        <v>408.342326</v>
      </c>
      <c r="BN105" s="55" t="n">
        <v>409.816848</v>
      </c>
      <c r="BO105" s="55" t="n">
        <v>409.959517</v>
      </c>
      <c r="BP105" s="55" t="n">
        <v>410.12561</v>
      </c>
      <c r="BQ105" s="55" t="n">
        <v>410.12561</v>
      </c>
      <c r="BR105" s="55" t="n">
        <v>421.886653</v>
      </c>
      <c r="BS105" s="55" t="n">
        <v>423.650362</v>
      </c>
      <c r="BT105" s="55" t="n">
        <v>423.822791</v>
      </c>
      <c r="BU105" s="55" t="n">
        <v>419.793301</v>
      </c>
      <c r="BV105" s="55" t="n">
        <v>419.793301</v>
      </c>
      <c r="BW105" s="55" t="n">
        <v>408.355715</v>
      </c>
      <c r="BX105" s="55" t="n">
        <v>405.197588</v>
      </c>
      <c r="BY105" s="56"/>
      <c r="BZ105" s="56"/>
      <c r="CA105" s="56"/>
      <c r="CB105" s="56"/>
      <c r="CC105" s="56"/>
      <c r="CD105" s="56"/>
      <c r="CE105" s="56"/>
      <c r="CF105" s="28"/>
    </row>
    <row r="107" customFormat="false" ht="15" hidden="false" customHeight="true" outlineLevel="0" collapsed="false">
      <c r="B107" s="15" t="s">
        <v>274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6" t="s">
        <v>275</v>
      </c>
    </row>
    <row r="108" customFormat="false" ht="15" hidden="false" customHeight="true" outlineLevel="0" collapsed="false">
      <c r="B108" s="29" t="s">
        <v>276</v>
      </c>
      <c r="C108" s="25" t="n">
        <f aca="false">IF(AND(ISNUMBER(C122),ISNUMBER(C121)),IFERROR(C122/C121,""),"")</f>
        <v>0.353303249438287</v>
      </c>
      <c r="D108" s="25" t="n">
        <f aca="false">IF(AND(ISNUMBER(D122),ISNUMBER(D121)),IFERROR(D122/D121,""),"")</f>
        <v>0.397832006431368</v>
      </c>
      <c r="E108" s="25" t="n">
        <f aca="false">IF(AND(ISNUMBER(E122),ISNUMBER(E121)),IFERROR(E122/E121,""),"")</f>
        <v>0.345566497825146</v>
      </c>
      <c r="F108" s="25" t="n">
        <f aca="false">IF(AND(ISNUMBER(F122),ISNUMBER(F121)),IFERROR(F122/F121,""),"")</f>
        <v>0.351589962749035</v>
      </c>
      <c r="G108" s="25" t="n">
        <f aca="false">IF(AND(ISNUMBER(G122),ISNUMBER(G121)),IFERROR(G122/G121,""),"")</f>
        <v>0.36948201184478</v>
      </c>
      <c r="H108" s="25" t="n">
        <f aca="false">IF(AND(ISNUMBER(H122),ISNUMBER(H121)),IFERROR(H122/H121,""),"")</f>
        <v>0.350233178940009</v>
      </c>
      <c r="I108" s="25" t="n">
        <f aca="false">IF(AND(ISNUMBER(I122),ISNUMBER(I121)),IFERROR(I122/I121,""),"")</f>
        <v>0.328248594028622</v>
      </c>
      <c r="J108" s="25" t="n">
        <f aca="false">IF(AND(ISNUMBER(J122),ISNUMBER(J121)),IFERROR(J122/J121,""),"")</f>
        <v>0.323032114809724</v>
      </c>
      <c r="K108" s="25" t="n">
        <f aca="false">IF(AND(ISNUMBER(K122),ISNUMBER(K121)),IFERROR(K122/K121,""),"")</f>
        <v>0.294507289057698</v>
      </c>
      <c r="L108" s="25" t="n">
        <f aca="false">IF(AND(ISNUMBER(L122),ISNUMBER(L121)),IFERROR(L122/L121,""),"")</f>
        <v>0.282490805958985</v>
      </c>
      <c r="M108" s="25" t="n">
        <f aca="false">IF(AND(ISNUMBER(M122),ISNUMBER(M121)),IFERROR(M122/M121,""),"")</f>
        <v>0.274664821382233</v>
      </c>
      <c r="N108" s="25" t="n">
        <f aca="false">IF(AND(ISNUMBER(N122),ISNUMBER(N121)),IFERROR(N122/N121,""),"")</f>
        <v>0.292974375372781</v>
      </c>
      <c r="O108" s="25" t="n">
        <f aca="false">IF(AND(ISNUMBER(O122),ISNUMBER(O121)),IFERROR(O122/O121,""),"")</f>
        <v>0.282533843931607</v>
      </c>
      <c r="P108" s="25" t="n">
        <f aca="false">IF(AND(ISNUMBER(P122),ISNUMBER(P121)),IFERROR(P122/P121,""),"")</f>
        <v>0.267290871178271</v>
      </c>
      <c r="Q108" s="25" t="n">
        <f aca="false">IF(AND(ISNUMBER(Q122),ISNUMBER(Q121)),IFERROR(Q122/Q121,""),"")</f>
        <v>0.2674315283295</v>
      </c>
      <c r="R108" s="25" t="n">
        <f aca="false">IF(AND(ISNUMBER(R122),ISNUMBER(R121)),IFERROR(R122/R121,""),"")</f>
        <v>0.274978218532185</v>
      </c>
      <c r="S108" s="25" t="n">
        <f aca="false">IF(AND(ISNUMBER(S122),ISNUMBER(S121)),IFERROR(S122/S121,""),"")</f>
        <v>0.272563270918991</v>
      </c>
      <c r="T108" s="25" t="n">
        <f aca="false">IF(AND(ISNUMBER(T122),ISNUMBER(T121)),IFERROR(T122/T121,""),"")</f>
        <v>0.285473525342724</v>
      </c>
      <c r="U108" s="25" t="n">
        <f aca="false">IF(AND(ISNUMBER(U122),ISNUMBER(U121)),IFERROR(U122/U121,""),"")</f>
        <v>0.261542157661274</v>
      </c>
      <c r="V108" s="25" t="n">
        <f aca="false">IF(AND(ISNUMBER(V122),ISNUMBER(V121)),IFERROR(V122/V121,""),"")</f>
        <v>0.284157860777034</v>
      </c>
      <c r="W108" s="25" t="n">
        <f aca="false">IF(AND(ISNUMBER(W122),ISNUMBER(W121)),IFERROR(W122/W121,""),"")</f>
        <v>0.233807749897673</v>
      </c>
      <c r="X108" s="25" t="n">
        <f aca="false">IF(AND(ISNUMBER(X122),ISNUMBER(X121)),IFERROR(X122/X121,""),"")</f>
        <v>0.265375883017405</v>
      </c>
      <c r="Y108" s="25" t="n">
        <f aca="false">IF(AND(ISNUMBER(Y122),ISNUMBER(Y121)),IFERROR(Y122/Y121,""),"")</f>
        <v>0.2147802882762</v>
      </c>
      <c r="Z108" s="25" t="n">
        <f aca="false">IF(AND(ISNUMBER(Z122),ISNUMBER(Z121)),IFERROR(Z122/Z121,""),"")</f>
        <v>0.20630930685603</v>
      </c>
      <c r="AA108" s="25" t="n">
        <f aca="false">IF(AND(ISNUMBER(AA122),ISNUMBER(AA121)),IFERROR(AA122/AA121,""),"")</f>
        <v>0.198494671173564</v>
      </c>
      <c r="AB108" s="25" t="n">
        <f aca="false">IF(AND(ISNUMBER(AB122),ISNUMBER(AB121)),IFERROR(AB122/AB121,""),"")</f>
        <v>0.210768124373027</v>
      </c>
      <c r="AC108" s="25" t="n">
        <f aca="false">IF(AND(ISNUMBER(AC122),ISNUMBER(AC121)),IFERROR(AC122/AC121,""),"")</f>
        <v>0.207506894452204</v>
      </c>
      <c r="AD108" s="25" t="n">
        <f aca="false">IF(AND(ISNUMBER(AD122),ISNUMBER(AD121)),IFERROR(AD122/AD121,""),"")</f>
        <v>0.226640123944507</v>
      </c>
      <c r="AE108" s="25" t="n">
        <f aca="false">IF(AND(ISNUMBER(AE122),ISNUMBER(AE121)),IFERROR(AE122/AE121,""),"")</f>
        <v>0.23306894705106</v>
      </c>
      <c r="AF108" s="25" t="n">
        <f aca="false">IF(AND(ISNUMBER(AF122),ISNUMBER(AF121)),IFERROR(AF122/AF121,""),"")</f>
        <v>0.224143851526867</v>
      </c>
      <c r="AG108" s="25" t="n">
        <f aca="false">IF(AND(ISNUMBER(AG122),ISNUMBER(AG121)),IFERROR(AG122/AG121,""),"")</f>
        <v>0.229539629356946</v>
      </c>
      <c r="AH108" s="25" t="n">
        <f aca="false">IF(AND(ISNUMBER(AH122),ISNUMBER(AH121)),IFERROR(AH122/AH121,""),"")</f>
        <v>0.228342467598396</v>
      </c>
      <c r="AI108" s="25" t="n">
        <f aca="false">IF(AND(ISNUMBER(AI122),ISNUMBER(AI121)),IFERROR(AI122/AI121,""),"")</f>
        <v>0.228253165666854</v>
      </c>
      <c r="AJ108" s="25" t="n">
        <f aca="false">IF(AND(ISNUMBER(AJ122),ISNUMBER(AJ121)),IFERROR(AJ122/AJ121,""),"")</f>
        <v>0.226033439050832</v>
      </c>
      <c r="AK108" s="25" t="n">
        <f aca="false">IF(AND(ISNUMBER(AK122),ISNUMBER(AK121)),IFERROR(AK122/AK121,""),"")</f>
        <v>0.235895589558956</v>
      </c>
      <c r="AL108" s="25" t="n">
        <f aca="false">IF(AND(ISNUMBER(AL122),ISNUMBER(AL121)),IFERROR(AL122/AL121,""),"")</f>
        <v>0.21626828827744</v>
      </c>
      <c r="AM108" s="25" t="n">
        <f aca="false">IF(AND(ISNUMBER(AM122),ISNUMBER(AM121)),IFERROR(AM122/AM121,""),"")</f>
        <v>0.226485779875016</v>
      </c>
      <c r="AN108" s="25" t="n">
        <f aca="false">IF(AND(ISNUMBER(AN122),ISNUMBER(AN121)),IFERROR(AN122/AN121,""),"")</f>
        <v>0.216649158864277</v>
      </c>
      <c r="AO108" s="25" t="n">
        <f aca="false">IF(AND(ISNUMBER(AO122),ISNUMBER(AO121)),IFERROR(AO122/AO121,""),"")</f>
        <v>0.209209913893414</v>
      </c>
      <c r="AP108" s="25" t="n">
        <f aca="false">IF(AND(ISNUMBER(AP122),ISNUMBER(AP121)),IFERROR(AP122/AP121,""),"")</f>
        <v>0.201730119498424</v>
      </c>
      <c r="AQ108" s="25" t="n">
        <f aca="false">IF(AND(ISNUMBER(AQ122),ISNUMBER(AQ121)),IFERROR(AQ122/AQ121,""),"")</f>
        <v>0.200135565720019</v>
      </c>
      <c r="AR108" s="25" t="n">
        <f aca="false">IF(AND(ISNUMBER(AR122),ISNUMBER(AR121)),IFERROR(AR122/AR121,""),"")</f>
        <v>0.206640761467123</v>
      </c>
      <c r="AS108" s="25" t="n">
        <f aca="false">IF(AND(ISNUMBER(AS122),ISNUMBER(AS121)),IFERROR(AS122/AS121,""),"")</f>
        <v>0.201377068090352</v>
      </c>
      <c r="AT108" s="25" t="n">
        <f aca="false">IF(AND(ISNUMBER(AT122),ISNUMBER(AT121)),IFERROR(AT122/AT121,""),"")</f>
        <v>0.186424077006942</v>
      </c>
      <c r="AU108" s="25" t="n">
        <f aca="false">IF(AND(ISNUMBER(AU122),ISNUMBER(AU121)),IFERROR(AU122/AU121,""),"")</f>
        <v>0.182944880409755</v>
      </c>
      <c r="AV108" s="25" t="n">
        <f aca="false">IF(AND(ISNUMBER(AV122),ISNUMBER(AV121)),IFERROR(AV122/AV121,""),"")</f>
        <v>0.17586685658865</v>
      </c>
      <c r="AW108" s="25" t="n">
        <f aca="false">IF(AND(ISNUMBER(AW122),ISNUMBER(AW121)),IFERROR(AW122/AW121,""),"")</f>
        <v>0.186235359570927</v>
      </c>
      <c r="AX108" s="25" t="n">
        <f aca="false">IF(AND(ISNUMBER(AX122),ISNUMBER(AX121)),IFERROR(AX122/AX121,""),"")</f>
        <v>0.1939012053826</v>
      </c>
      <c r="AY108" s="25" t="n">
        <f aca="false">IF(AND(ISNUMBER(AY122),ISNUMBER(AY121)),IFERROR(AY122/AY121,""),"")</f>
        <v>0.186466472218232</v>
      </c>
      <c r="AZ108" s="25" t="n">
        <f aca="false">IF(AND(ISNUMBER(AZ122),ISNUMBER(AZ121)),IFERROR(AZ122/AZ121,""),"")</f>
        <v>0.185446578239562</v>
      </c>
      <c r="BA108" s="25" t="n">
        <f aca="false">IF(AND(ISNUMBER(BA122),ISNUMBER(BA121)),IFERROR(BA122/BA121,""),"")</f>
        <v>0.17034803644931</v>
      </c>
      <c r="BB108" s="25" t="n">
        <f aca="false">IF(AND(ISNUMBER(BB122),ISNUMBER(BB121)),IFERROR(BB122/BB121,""),"")</f>
        <v>0.18375318586415</v>
      </c>
      <c r="BC108" s="25" t="n">
        <f aca="false">IF(AND(ISNUMBER(BC122),ISNUMBER(BC121)),IFERROR(BC122/BC121,""),"")</f>
        <v>0.185099597731789</v>
      </c>
      <c r="BD108" s="25" t="n">
        <f aca="false">IF(AND(ISNUMBER(BD122),ISNUMBER(BD121)),IFERROR(BD122/BD121,""),"")</f>
        <v>0.18827054602952</v>
      </c>
      <c r="BE108" s="25" t="n">
        <f aca="false">IF(AND(ISNUMBER(BE122),ISNUMBER(BE121)),IFERROR(BE122/BE121,""),"")</f>
        <v>0.194576968726265</v>
      </c>
      <c r="BF108" s="25" t="n">
        <f aca="false">IF(AND(ISNUMBER(BF122),ISNUMBER(BF121)),IFERROR(BF122/BF121,""),"")</f>
        <v>0.190450775710959</v>
      </c>
      <c r="BG108" s="25" t="n">
        <f aca="false">IF(AND(ISNUMBER(BG122),ISNUMBER(BG121)),IFERROR(BG122/BG121,""),"")</f>
        <v>0.18970316610299</v>
      </c>
      <c r="BH108" s="25" t="n">
        <f aca="false">IF(AND(ISNUMBER(BH122),ISNUMBER(BH121)),IFERROR(BH122/BH121,""),"")</f>
        <v>0.203974906137592</v>
      </c>
      <c r="BI108" s="25" t="n">
        <f aca="false">IF(AND(ISNUMBER(BI122),ISNUMBER(BI121)),IFERROR(BI122/BI121,""),"")</f>
        <v>0.185444606919225</v>
      </c>
      <c r="BJ108" s="25" t="n">
        <f aca="false">IF(AND(ISNUMBER(BJ122),ISNUMBER(BJ121)),IFERROR(BJ122/BJ121,""),"")</f>
        <v>0.19797044514775</v>
      </c>
      <c r="BK108" s="25" t="n">
        <f aca="false">IF(AND(ISNUMBER(BK122),ISNUMBER(BK121)),IFERROR(BK122/BK121,""),"")</f>
        <v>0.212911622209828</v>
      </c>
      <c r="BL108" s="25" t="n">
        <f aca="false">IF(AND(ISNUMBER(BL122),ISNUMBER(BL121)),IFERROR(BL122/BL121,""),"")</f>
        <v>0.20020366598778</v>
      </c>
      <c r="BM108" s="25" t="n">
        <f aca="false">IF(AND(ISNUMBER(BM122),ISNUMBER(BM121)),IFERROR(BM122/BM121,""),"")</f>
        <v>0.215112736136502</v>
      </c>
      <c r="BN108" s="25" t="n">
        <f aca="false">IF(AND(ISNUMBER(BN122),ISNUMBER(BN121)),IFERROR(BN122/BN121,""),"")</f>
        <v>0.200354086751254</v>
      </c>
      <c r="BO108" s="25" t="n">
        <f aca="false">IF(AND(ISNUMBER(BO122),ISNUMBER(BO121)),IFERROR(BO122/BO121,""),"")</f>
        <v>0.203003176436616</v>
      </c>
      <c r="BP108" s="25" t="n">
        <f aca="false">IF(AND(ISNUMBER(BP122),ISNUMBER(BP121)),IFERROR(BP122/BP121,""),"")</f>
        <v>0.198618550888074</v>
      </c>
      <c r="BQ108" s="25" t="n">
        <f aca="false">IF(AND(ISNUMBER(BQ122),ISNUMBER(BQ121)),IFERROR(BQ122/BQ121,""),"")</f>
        <v>0.204115196257584</v>
      </c>
      <c r="BR108" s="25" t="n">
        <f aca="false">IF(AND(ISNUMBER(BR122),ISNUMBER(BR121)),IFERROR(BR122/BR121,""),"")</f>
        <v>0.209369024856597</v>
      </c>
      <c r="BS108" s="25" t="n">
        <f aca="false">IF(AND(ISNUMBER(BS122),ISNUMBER(BS121)),IFERROR(BS122/BS121,""),"")</f>
        <v>0.214770254703699</v>
      </c>
      <c r="BT108" s="25" t="n">
        <f aca="false">IF(AND(ISNUMBER(BT122),ISNUMBER(BT121)),IFERROR(BT122/BT121,""),"")</f>
        <v>0.206573896353167</v>
      </c>
      <c r="BU108" s="25" t="n">
        <f aca="false">IF(AND(ISNUMBER(BU122),ISNUMBER(BU121)),IFERROR(BU122/BU121,""),"")</f>
        <v>0.214134903878209</v>
      </c>
      <c r="BV108" s="25" t="n">
        <f aca="false">IF(AND(ISNUMBER(BV122),ISNUMBER(BV121)),IFERROR(BV122/BV121,""),"")</f>
        <v>0.211271943332307</v>
      </c>
      <c r="BW108" s="25" t="n">
        <f aca="false">IF(AND(ISNUMBER(BW122),ISNUMBER(BW121)),IFERROR(BW122/BW121,""),"")</f>
        <v>0.21850613154961</v>
      </c>
      <c r="BX108" s="25" t="n">
        <f aca="false">IF(AND(ISNUMBER(BX122),ISNUMBER(BX121)),IFERROR(BX122/BX121,""),"")</f>
        <v>0.212972972972973</v>
      </c>
      <c r="BY108" s="27" t="n">
        <f aca="false">(BW122+BX122)/(BW121+BX121)</f>
        <v>0.21569703622393</v>
      </c>
      <c r="BZ108" s="27" t="n">
        <f aca="false">BY108</f>
        <v>0.21569703622393</v>
      </c>
      <c r="CA108" s="27" t="n">
        <f aca="false">IF(AND(ISNUMBER(CA122),ISNUMBER(CA121)),IFERROR(CA122/CA121,""),"")</f>
        <v>0.21569703622393</v>
      </c>
      <c r="CB108" s="45" t="n">
        <v>0.21</v>
      </c>
      <c r="CC108" s="45" t="n">
        <v>0.21</v>
      </c>
      <c r="CD108" s="45" t="n">
        <v>0.21</v>
      </c>
      <c r="CE108" s="45" t="n">
        <v>0.21</v>
      </c>
      <c r="CF108" s="28" t="s">
        <v>277</v>
      </c>
      <c r="CH108" s="32" t="n">
        <f aca="false">IFERROR(AVERAGE(CA108,CB108,CC108,CD108,CE108),"n/m")</f>
        <v>0.211139407244786</v>
      </c>
      <c r="CI108" s="32" t="n">
        <f aca="false">IFERROR(AVERAGE(BB108,BG108,BL108,BQ108,BV108),"n/m")</f>
        <v>0.197809431508962</v>
      </c>
      <c r="CJ108" s="32" t="n">
        <f aca="false">IFERROR(AVERAGE(AC108,AH108,AM108,AR108,AW108,BB108,BG108,BL108,BQ108,BV108),"n/m")</f>
        <v>0.204425842050848</v>
      </c>
      <c r="CK108" s="32" t="n">
        <f aca="false">IFERROR(AVERAGE(C108,D108,E108,F108,G108,H108,I108,N108,S108,X108,AC108,AH108,AM108,AR108,AW108,BB108,BG108,BL108,BQ108,BV108),"n/m")</f>
        <v>0.268571372553745</v>
      </c>
    </row>
    <row r="109" customFormat="false" ht="15" hidden="false" customHeight="true" outlineLevel="0" collapsed="false">
      <c r="B109" s="29" t="s">
        <v>278</v>
      </c>
      <c r="C109" s="25" t="n">
        <f aca="false">IF(AND(ISNUMBER(C126),ISNUMBER(C121)),IFERROR(C126/C121,""),"")</f>
        <v>0.075574772325334</v>
      </c>
      <c r="D109" s="25" t="n">
        <f aca="false">IF(AND(ISNUMBER(D126),ISNUMBER(D121)),IFERROR(D126/D121,""),"")</f>
        <v>0.0645885739477711</v>
      </c>
      <c r="E109" s="25" t="n">
        <f aca="false">IF(AND(ISNUMBER(E126),ISNUMBER(E121)),IFERROR(E126/E121,""),"")</f>
        <v>0.0600627035983957</v>
      </c>
      <c r="F109" s="25" t="n">
        <f aca="false">IF(AND(ISNUMBER(F126),ISNUMBER(F121)),IFERROR(F126/F121,""),"")</f>
        <v>0.0664984570183012</v>
      </c>
      <c r="G109" s="25" t="n">
        <f aca="false">IF(AND(ISNUMBER(G126),ISNUMBER(G121)),IFERROR(G126/G121,""),"")</f>
        <v>0.076681693626801</v>
      </c>
      <c r="H109" s="25" t="n">
        <f aca="false">IF(AND(ISNUMBER(H126),ISNUMBER(H121)),IFERROR(H126/H121,""),"")</f>
        <v>0.0795946579380149</v>
      </c>
      <c r="I109" s="25" t="n">
        <f aca="false">IF(AND(ISNUMBER(I126),ISNUMBER(I121)),IFERROR(I126/I121,""),"")</f>
        <v>0.0936056878972155</v>
      </c>
      <c r="J109" s="25" t="n">
        <f aca="false">IF(AND(ISNUMBER(J126),ISNUMBER(J121)),IFERROR(J126/J121,""),"")</f>
        <v>0.116328472696164</v>
      </c>
      <c r="K109" s="25" t="n">
        <f aca="false">IF(AND(ISNUMBER(K126),ISNUMBER(K121)),IFERROR(K126/K121,""),"")</f>
        <v>0.105395462343691</v>
      </c>
      <c r="L109" s="25" t="n">
        <f aca="false">IF(AND(ISNUMBER(L126),ISNUMBER(L121)),IFERROR(L126/L121,""),"")</f>
        <v>0.102955450085039</v>
      </c>
      <c r="M109" s="25" t="n">
        <f aca="false">IF(AND(ISNUMBER(M126),ISNUMBER(M121)),IFERROR(M126/M121,""),"")</f>
        <v>0.100380589914367</v>
      </c>
      <c r="N109" s="25" t="n">
        <f aca="false">IF(AND(ISNUMBER(N126),ISNUMBER(N121)),IFERROR(N126/N121,""),"")</f>
        <v>0.106038648986377</v>
      </c>
      <c r="O109" s="25" t="n">
        <f aca="false">IF(AND(ISNUMBER(O126),ISNUMBER(O121)),IFERROR(O126/O121,""),"")</f>
        <v>0.103723672276529</v>
      </c>
      <c r="P109" s="25" t="n">
        <f aca="false">IF(AND(ISNUMBER(P126),ISNUMBER(P121)),IFERROR(P126/P121,""),"")</f>
        <v>0.102519836434046</v>
      </c>
      <c r="Q109" s="25" t="n">
        <f aca="false">IF(AND(ISNUMBER(Q126),ISNUMBER(Q121)),IFERROR(Q126/Q121,""),"")</f>
        <v>0.0929529061258624</v>
      </c>
      <c r="R109" s="25" t="n">
        <f aca="false">IF(AND(ISNUMBER(R126),ISNUMBER(R121)),IFERROR(R126/R121,""),"")</f>
        <v>0.0877985342353424</v>
      </c>
      <c r="S109" s="25" t="n">
        <f aca="false">IF(AND(ISNUMBER(S126),ISNUMBER(S121)),IFERROR(S126/S121,""),"")</f>
        <v>0.0962363873763752</v>
      </c>
      <c r="T109" s="25" t="n">
        <f aca="false">IF(AND(ISNUMBER(T126),ISNUMBER(T121)),IFERROR(T126/T121,""),"")</f>
        <v>0.0952584580555905</v>
      </c>
      <c r="U109" s="25" t="n">
        <f aca="false">IF(AND(ISNUMBER(U126),ISNUMBER(U121)),IFERROR(U126/U121,""),"")</f>
        <v>0.0987009029808329</v>
      </c>
      <c r="V109" s="25" t="n">
        <f aca="false">IF(AND(ISNUMBER(V126),ISNUMBER(V121)),IFERROR(V126/V121,""),"")</f>
        <v>0.0901638477242196</v>
      </c>
      <c r="W109" s="25" t="n">
        <f aca="false">IF(AND(ISNUMBER(W126),ISNUMBER(W121)),IFERROR(W126/W121,""),"")</f>
        <v>0.0866280847007134</v>
      </c>
      <c r="X109" s="25" t="n">
        <f aca="false">IF(AND(ISNUMBER(X126),ISNUMBER(X121)),IFERROR(X126/X121,""),"")</f>
        <v>0.0923901742712472</v>
      </c>
      <c r="Y109" s="25" t="n">
        <f aca="false">IF(AND(ISNUMBER(Y126),ISNUMBER(Y121)),IFERROR(Y126/Y121,""),"")</f>
        <v>0.0882902187354498</v>
      </c>
      <c r="Z109" s="25" t="n">
        <f aca="false">IF(AND(ISNUMBER(Z126),ISNUMBER(Z121)),IFERROR(Z126/Z121,""),"")</f>
        <v>0.0944897495516486</v>
      </c>
      <c r="AA109" s="25" t="n">
        <f aca="false">IF(AND(ISNUMBER(AA126),ISNUMBER(AA121)),IFERROR(AA126/AA121,""),"")</f>
        <v>0.0910014056630828</v>
      </c>
      <c r="AB109" s="25" t="n">
        <f aca="false">IF(AND(ISNUMBER(AB126),ISNUMBER(AB121)),IFERROR(AB126/AB121,""),"")</f>
        <v>0.0909757181268924</v>
      </c>
      <c r="AC109" s="25" t="n">
        <f aca="false">IF(AND(ISNUMBER(AC126),ISNUMBER(AC121)),IFERROR(AC126/AC121,""),"")</f>
        <v>0.0912097226699139</v>
      </c>
      <c r="AD109" s="25" t="n">
        <f aca="false">IF(AND(ISNUMBER(AD126),ISNUMBER(AD121)),IFERROR(AD126/AD121,""),"")</f>
        <v>0.0987583479362445</v>
      </c>
      <c r="AE109" s="25" t="n">
        <f aca="false">IF(AND(ISNUMBER(AE126),ISNUMBER(AE121)),IFERROR(AE126/AE121,""),"")</f>
        <v>0.0975910066497156</v>
      </c>
      <c r="AF109" s="25" t="n">
        <f aca="false">IF(AND(ISNUMBER(AF126),ISNUMBER(AF121)),IFERROR(AF126/AF121,""),"")</f>
        <v>0.0870025410753314</v>
      </c>
      <c r="AG109" s="25" t="n">
        <f aca="false">IF(AND(ISNUMBER(AG126),ISNUMBER(AG121)),IFERROR(AG126/AG121,""),"")</f>
        <v>0.0858140642778681</v>
      </c>
      <c r="AH109" s="25" t="n">
        <f aca="false">IF(AND(ISNUMBER(AH126),ISNUMBER(AH121)),IFERROR(AH126/AH121,""),"")</f>
        <v>0.0920505993390176</v>
      </c>
      <c r="AI109" s="25" t="n">
        <f aca="false">IF(AND(ISNUMBER(AI126),ISNUMBER(AI121)),IFERROR(AI126/AI121,""),"")</f>
        <v>0.0837102419278235</v>
      </c>
      <c r="AJ109" s="25" t="n">
        <f aca="false">IF(AND(ISNUMBER(AJ126),ISNUMBER(AJ121)),IFERROR(AJ126/AJ121,""),"")</f>
        <v>0.088449184897885</v>
      </c>
      <c r="AK109" s="25" t="n">
        <f aca="false">IF(AND(ISNUMBER(AK126),ISNUMBER(AK121)),IFERROR(AK126/AK121,""),"")</f>
        <v>0.0856656574748384</v>
      </c>
      <c r="AL109" s="25" t="n">
        <f aca="false">IF(AND(ISNUMBER(AL126),ISNUMBER(AL121)),IFERROR(AL126/AL121,""),"")</f>
        <v>0.0810594129371837</v>
      </c>
      <c r="AM109" s="25" t="n">
        <f aca="false">IF(AND(ISNUMBER(AM126),ISNUMBER(AM121)),IFERROR(AM126/AM121,""),"")</f>
        <v>0.0846906275381094</v>
      </c>
      <c r="AN109" s="25" t="n">
        <f aca="false">IF(AND(ISNUMBER(AN126),ISNUMBER(AN121)),IFERROR(AN126/AN121,""),"")</f>
        <v>0.0850361574179798</v>
      </c>
      <c r="AO109" s="25" t="n">
        <f aca="false">IF(AND(ISNUMBER(AO126),ISNUMBER(AO121)),IFERROR(AO126/AO121,""),"")</f>
        <v>0.0827757737956714</v>
      </c>
      <c r="AP109" s="25" t="n">
        <f aca="false">IF(AND(ISNUMBER(AP126),ISNUMBER(AP121)),IFERROR(AP126/AP121,""),"")</f>
        <v>0.0925120745561325</v>
      </c>
      <c r="AQ109" s="25" t="n">
        <f aca="false">IF(AND(ISNUMBER(AQ126),ISNUMBER(AQ121)),IFERROR(AQ126/AQ121,""),"")</f>
        <v>0.0976179928801311</v>
      </c>
      <c r="AR109" s="25" t="n">
        <f aca="false">IF(AND(ISNUMBER(AR126),ISNUMBER(AR121)),IFERROR(AR126/AR121,""),"")</f>
        <v>0.0897337251262575</v>
      </c>
      <c r="AS109" s="25" t="n">
        <f aca="false">IF(AND(ISNUMBER(AS126),ISNUMBER(AS121)),IFERROR(AS126/AS121,""),"")</f>
        <v>0.106189405558802</v>
      </c>
      <c r="AT109" s="25" t="n">
        <f aca="false">IF(AND(ISNUMBER(AT126),ISNUMBER(AT121)),IFERROR(AT126/AT121,""),"")</f>
        <v>0.0981999652532109</v>
      </c>
      <c r="AU109" s="25" t="n">
        <f aca="false">IF(AND(ISNUMBER(AU126),ISNUMBER(AU121)),IFERROR(AU126/AU121,""),"")</f>
        <v>0.095700390019266</v>
      </c>
      <c r="AV109" s="25" t="n">
        <f aca="false">IF(AND(ISNUMBER(AV126),ISNUMBER(AV121)),IFERROR(AV126/AV121,""),"")</f>
        <v>0.0935500784215773</v>
      </c>
      <c r="AW109" s="25" t="n">
        <f aca="false">IF(AND(ISNUMBER(AW126),ISNUMBER(AW121)),IFERROR(AW126/AW121,""),"")</f>
        <v>0.0982002014443475</v>
      </c>
      <c r="AX109" s="25" t="n">
        <f aca="false">IF(AND(ISNUMBER(AX126),ISNUMBER(AX121)),IFERROR(AX126/AX121,""),"")</f>
        <v>0.10221609492743</v>
      </c>
      <c r="AY109" s="25" t="n">
        <f aca="false">IF(AND(ISNUMBER(AY126),ISNUMBER(AY121)),IFERROR(AY126/AY121,""),"")</f>
        <v>0.101123595505618</v>
      </c>
      <c r="AZ109" s="25" t="n">
        <f aca="false">IF(AND(ISNUMBER(AZ126),ISNUMBER(AZ121)),IFERROR(AZ126/AZ121,""),"")</f>
        <v>0.106430958966112</v>
      </c>
      <c r="BA109" s="25" t="n">
        <f aca="false">IF(AND(ISNUMBER(BA126),ISNUMBER(BA121)),IFERROR(BA126/BA121,""),"")</f>
        <v>0.103637432762547</v>
      </c>
      <c r="BB109" s="25" t="n">
        <f aca="false">IF(AND(ISNUMBER(BB126),ISNUMBER(BB121)),IFERROR(BB126/BB121,""),"")</f>
        <v>0.103399198100955</v>
      </c>
      <c r="BC109" s="25" t="n">
        <f aca="false">IF(AND(ISNUMBER(BC126),ISNUMBER(BC121)),IFERROR(BC126/BC121,""),"")</f>
        <v>0.104727378471381</v>
      </c>
      <c r="BD109" s="25" t="n">
        <f aca="false">IF(AND(ISNUMBER(BD126),ISNUMBER(BD121)),IFERROR(BD126/BD121,""),"")</f>
        <v>0.0961891301267182</v>
      </c>
      <c r="BE109" s="25" t="n">
        <f aca="false">IF(AND(ISNUMBER(BE126),ISNUMBER(BE121)),IFERROR(BE126/BE121,""),"")</f>
        <v>0.10219043634555</v>
      </c>
      <c r="BF109" s="25" t="n">
        <f aca="false">IF(AND(ISNUMBER(BF126),ISNUMBER(BF121)),IFERROR(BF126/BF121,""),"")</f>
        <v>0.101863624868099</v>
      </c>
      <c r="BG109" s="25" t="n">
        <f aca="false">IF(AND(ISNUMBER(BG126),ISNUMBER(BG121)),IFERROR(BG126/BG121,""),"")</f>
        <v>0.101229426882985</v>
      </c>
      <c r="BH109" s="25" t="n">
        <f aca="false">IF(AND(ISNUMBER(BH126),ISNUMBER(BH121)),IFERROR(BH126/BH121,""),"")</f>
        <v>0.113952557130292</v>
      </c>
      <c r="BI109" s="25" t="n">
        <f aca="false">IF(AND(ISNUMBER(BI126),ISNUMBER(BI121)),IFERROR(BI126/BI121,""),"")</f>
        <v>0.104585529768644</v>
      </c>
      <c r="BJ109" s="25" t="n">
        <f aca="false">IF(AND(ISNUMBER(BJ126),ISNUMBER(BJ121)),IFERROR(BJ126/BJ121,""),"")</f>
        <v>0.108683158600795</v>
      </c>
      <c r="BK109" s="25" t="n">
        <f aca="false">IF(AND(ISNUMBER(BK126),ISNUMBER(BK121)),IFERROR(BK126/BK121,""),"")</f>
        <v>0.108974328929052</v>
      </c>
      <c r="BL109" s="25" t="n">
        <f aca="false">IF(AND(ISNUMBER(BL126),ISNUMBER(BL121)),IFERROR(BL126/BL121,""),"")</f>
        <v>0.109002036659878</v>
      </c>
      <c r="BM109" s="25" t="n">
        <f aca="false">IF(AND(ISNUMBER(BM126),ISNUMBER(BM121)),IFERROR(BM126/BM121,""),"")</f>
        <v>0.125533211456429</v>
      </c>
      <c r="BN109" s="25" t="n">
        <f aca="false">IF(AND(ISNUMBER(BN126),ISNUMBER(BN121)),IFERROR(BN126/BN121,""),"")</f>
        <v>0.117438772499262</v>
      </c>
      <c r="BO109" s="25" t="n">
        <f aca="false">IF(AND(ISNUMBER(BO126),ISNUMBER(BO121)),IFERROR(BO126/BO121,""),"")</f>
        <v>0.116950620848975</v>
      </c>
      <c r="BP109" s="25" t="n">
        <f aca="false">IF(AND(ISNUMBER(BP126),ISNUMBER(BP121)),IFERROR(BP126/BP121,""),"")</f>
        <v>0.116013532562729</v>
      </c>
      <c r="BQ109" s="25" t="n">
        <f aca="false">IF(AND(ISNUMBER(BQ126),ISNUMBER(BQ121)),IFERROR(BQ126/BQ121,""),"")</f>
        <v>0.118887508223083</v>
      </c>
      <c r="BR109" s="25" t="n">
        <f aca="false">IF(AND(ISNUMBER(BR126),ISNUMBER(BR121)),IFERROR(BR126/BR121,""),"")</f>
        <v>0.12906309751434</v>
      </c>
      <c r="BS109" s="25" t="n">
        <f aca="false">IF(AND(ISNUMBER(BS126),ISNUMBER(BS121)),IFERROR(BS126/BS121,""),"")</f>
        <v>0.124280046077051</v>
      </c>
      <c r="BT109" s="25" t="n">
        <f aca="false">IF(AND(ISNUMBER(BT126),ISNUMBER(BT121)),IFERROR(BT126/BT121,""),"")</f>
        <v>0.126439539347409</v>
      </c>
      <c r="BU109" s="25" t="n">
        <f aca="false">IF(AND(ISNUMBER(BU126),ISNUMBER(BU121)),IFERROR(BU126/BU121,""),"")</f>
        <v>0.1211245693966</v>
      </c>
      <c r="BV109" s="25" t="n">
        <f aca="false">IF(AND(ISNUMBER(BV126),ISNUMBER(BV121)),IFERROR(BV126/BV121,""),"")</f>
        <v>0.125038497074222</v>
      </c>
      <c r="BW109" s="25" t="n">
        <f aca="false">IF(AND(ISNUMBER(BW126),ISNUMBER(BW121)),IFERROR(BW126/BW121,""),"")</f>
        <v>0.127090301003344</v>
      </c>
      <c r="BX109" s="25" t="n">
        <f aca="false">IF(AND(ISNUMBER(BX126),ISNUMBER(BX121)),IFERROR(BX126/BX121,""),"")</f>
        <v>0.115675675675676</v>
      </c>
      <c r="BY109" s="27" t="n">
        <f aca="false">(BW126+BX126)/(BW121+BX121)</f>
        <v>0.121295279912184</v>
      </c>
      <c r="BZ109" s="27" t="n">
        <f aca="false">BY109</f>
        <v>0.121295279912184</v>
      </c>
      <c r="CA109" s="27" t="n">
        <f aca="false">IF(AND(ISNUMBER(CA126),ISNUMBER(CA121)),IFERROR(CA126/CA121,""),"")</f>
        <v>0.121295279912184</v>
      </c>
      <c r="CB109" s="45" t="n">
        <v>0.115</v>
      </c>
      <c r="CC109" s="45" t="n">
        <v>0.115</v>
      </c>
      <c r="CD109" s="45" t="n">
        <v>0.115</v>
      </c>
      <c r="CE109" s="45" t="n">
        <v>0.115</v>
      </c>
      <c r="CF109" s="28" t="s">
        <v>279</v>
      </c>
      <c r="CH109" s="32" t="n">
        <f aca="false">IFERROR(AVERAGE(CA109,CB109,CC109,CD109,CE109),"n/m")</f>
        <v>0.116259055982437</v>
      </c>
      <c r="CI109" s="32" t="n">
        <f aca="false">IFERROR(AVERAGE(BB109,BG109,BL109,BQ109,BV109),"n/m")</f>
        <v>0.111511333388225</v>
      </c>
      <c r="CJ109" s="32" t="n">
        <f aca="false">IFERROR(AVERAGE(AC109,AH109,AM109,AR109,AW109,BB109,BG109,BL109,BQ109,BV109),"n/m")</f>
        <v>0.101344154305877</v>
      </c>
      <c r="CK109" s="32" t="n">
        <f aca="false">IFERROR(AVERAGE(C109,D109,E109,F109,G109,H109,I109,N109,S109,X109,AC109,AH109,AM109,AR109,AW109,BB109,BG109,BL109,BQ109,BV109),"n/m")</f>
        <v>0.0912356650022301</v>
      </c>
    </row>
    <row r="110" customFormat="false" ht="15" hidden="false" customHeight="true" outlineLevel="0" collapsed="false">
      <c r="B110" s="29" t="s">
        <v>280</v>
      </c>
      <c r="C110" s="25" t="n">
        <f aca="false">IF(AND(ISNUMBER(C127),ISNUMBER(C121)),IFERROR(C127/C121,""),"")</f>
        <v>0.193260704013494</v>
      </c>
      <c r="D110" s="25" t="n">
        <f aca="false">IF(AND(ISNUMBER(D127),ISNUMBER(D121)),IFERROR(D127/D121,""),"")</f>
        <v>0.189668317730349</v>
      </c>
      <c r="E110" s="25" t="n">
        <f aca="false">IF(AND(ISNUMBER(E127),ISNUMBER(E121)),IFERROR(E127/E121,""),"")</f>
        <v>0.187771856817369</v>
      </c>
      <c r="F110" s="25" t="n">
        <f aca="false">IF(AND(ISNUMBER(F127),ISNUMBER(F121)),IFERROR(F127/F121,""),"")</f>
        <v>0.211047462784808</v>
      </c>
      <c r="G110" s="25" t="n">
        <f aca="false">IF(AND(ISNUMBER(G127),ISNUMBER(G121)),IFERROR(G127/G121,""),"")</f>
        <v>0.211155308052683</v>
      </c>
      <c r="H110" s="25" t="n">
        <f aca="false">IF(AND(ISNUMBER(H127),ISNUMBER(H121)),IFERROR(H127/H121,""),"")</f>
        <v>0.231836274221611</v>
      </c>
      <c r="I110" s="25" t="n">
        <f aca="false">IF(AND(ISNUMBER(I127),ISNUMBER(I121)),IFERROR(I127/I121,""),"")</f>
        <v>0.220480316400713</v>
      </c>
      <c r="J110" s="25" t="n">
        <f aca="false">IF(AND(ISNUMBER(J127),ISNUMBER(J121)),IFERROR(J127/J121,""),"")</f>
        <v>0.286639816212163</v>
      </c>
      <c r="K110" s="25" t="n">
        <f aca="false">IF(AND(ISNUMBER(K127),ISNUMBER(K121)),IFERROR(K127/K121,""),"")</f>
        <v>0.208231268176772</v>
      </c>
      <c r="L110" s="25" t="n">
        <f aca="false">IF(AND(ISNUMBER(L127),ISNUMBER(L121)),IFERROR(L127/L121,""),"")</f>
        <v>0.195367806163792</v>
      </c>
      <c r="M110" s="25" t="n">
        <f aca="false">IF(AND(ISNUMBER(M127),ISNUMBER(M121)),IFERROR(M127/M121,""),"")</f>
        <v>0.194611192803391</v>
      </c>
      <c r="N110" s="25" t="n">
        <f aca="false">IF(AND(ISNUMBER(N127),ISNUMBER(N121)),IFERROR(N127/N121,""),"")</f>
        <v>0.219883295573351</v>
      </c>
      <c r="O110" s="25" t="n">
        <f aca="false">IF(AND(ISNUMBER(O127),ISNUMBER(O121)),IFERROR(O127/O121,""),"")</f>
        <v>0.209084954146931</v>
      </c>
      <c r="P110" s="25" t="n">
        <f aca="false">IF(AND(ISNUMBER(P127),ISNUMBER(P121)),IFERROR(P127/P121,""),"")</f>
        <v>0.177715492728898</v>
      </c>
      <c r="Q110" s="25" t="n">
        <f aca="false">IF(AND(ISNUMBER(Q127),ISNUMBER(Q121)),IFERROR(Q127/Q121,""),"")</f>
        <v>0.165873928496759</v>
      </c>
      <c r="R110" s="25" t="n">
        <f aca="false">IF(AND(ISNUMBER(R127),ISNUMBER(R121)),IFERROR(R127/R121,""),"")</f>
        <v>0.175411285362854</v>
      </c>
      <c r="S110" s="25" t="n">
        <f aca="false">IF(AND(ISNUMBER(S127),ISNUMBER(S121)),IFERROR(S127/S121,""),"")</f>
        <v>0.180429769974442</v>
      </c>
      <c r="T110" s="25" t="n">
        <f aca="false">IF(AND(ISNUMBER(T127),ISNUMBER(T121)),IFERROR(T127/T121,""),"")</f>
        <v>0.159495660923154</v>
      </c>
      <c r="U110" s="25" t="n">
        <f aca="false">IF(AND(ISNUMBER(U127),ISNUMBER(U121)),IFERROR(U127/U121,""),"")</f>
        <v>0.175257973596161</v>
      </c>
      <c r="V110" s="25" t="n">
        <f aca="false">IF(AND(ISNUMBER(V127),ISNUMBER(V121)),IFERROR(V127/V121,""),"")</f>
        <v>0.164344873544252</v>
      </c>
      <c r="W110" s="25" t="n">
        <f aca="false">IF(AND(ISNUMBER(W127),ISNUMBER(W121)),IFERROR(W127/W121,""),"")</f>
        <v>0.151086218777363</v>
      </c>
      <c r="X110" s="25" t="n">
        <f aca="false">IF(AND(ISNUMBER(X127),ISNUMBER(X121)),IFERROR(X127/X121,""),"")</f>
        <v>0.162282722925014</v>
      </c>
      <c r="Y110" s="25" t="n">
        <f aca="false">IF(AND(ISNUMBER(Y127),ISNUMBER(Y121)),IFERROR(Y127/Y121,""),"")</f>
        <v>0.137559515167293</v>
      </c>
      <c r="Z110" s="25" t="n">
        <f aca="false">IF(AND(ISNUMBER(Z127),ISNUMBER(Z121)),IFERROR(Z127/Z121,""),"")</f>
        <v>0.1461166245305</v>
      </c>
      <c r="AA110" s="25" t="n">
        <f aca="false">IF(AND(ISNUMBER(AA127),ISNUMBER(AA121)),IFERROR(AA127/AA121,""),"")</f>
        <v>0.143725524302927</v>
      </c>
      <c r="AB110" s="25" t="n">
        <f aca="false">IF(AND(ISNUMBER(AB127),ISNUMBER(AB121)),IFERROR(AB127/AB121,""),"")</f>
        <v>0.160422516501688</v>
      </c>
      <c r="AC110" s="25" t="n">
        <f aca="false">IF(AND(ISNUMBER(AC127),ISNUMBER(AC121)),IFERROR(AC127/AC121,""),"")</f>
        <v>0.147197449948068</v>
      </c>
      <c r="AD110" s="25" t="n">
        <f aca="false">IF(AND(ISNUMBER(AD127),ISNUMBER(AD121)),IFERROR(AD127/AD121,""),"")</f>
        <v>0.150053188437143</v>
      </c>
      <c r="AE110" s="25" t="n">
        <f aca="false">IF(AND(ISNUMBER(AE127),ISNUMBER(AE121)),IFERROR(AE127/AE121,""),"")</f>
        <v>0.145716056722875</v>
      </c>
      <c r="AF110" s="25" t="n">
        <f aca="false">IF(AND(ISNUMBER(AF127),ISNUMBER(AF121)),IFERROR(AF127/AF121,""),"")</f>
        <v>0.145427074369882</v>
      </c>
      <c r="AG110" s="25" t="n">
        <f aca="false">IF(AND(ISNUMBER(AG127),ISNUMBER(AG121)),IFERROR(AG127/AG121,""),"")</f>
        <v>0.163698713733951</v>
      </c>
      <c r="AH110" s="25" t="n">
        <f aca="false">IF(AND(ISNUMBER(AH127),ISNUMBER(AH121)),IFERROR(AH127/AH121,""),"")</f>
        <v>0.151391896231986</v>
      </c>
      <c r="AI110" s="25" t="n">
        <f aca="false">IF(AND(ISNUMBER(AI127),ISNUMBER(AI121)),IFERROR(AI127/AI121,""),"")</f>
        <v>0.148291307111699</v>
      </c>
      <c r="AJ110" s="25" t="n">
        <f aca="false">IF(AND(ISNUMBER(AJ127),ISNUMBER(AJ121)),IFERROR(AJ127/AJ121,""),"")</f>
        <v>0.128126914867112</v>
      </c>
      <c r="AK110" s="25" t="n">
        <f aca="false">IF(AND(ISNUMBER(AK127),ISNUMBER(AK121)),IFERROR(AK127/AK121,""),"")</f>
        <v>0.127688405204157</v>
      </c>
      <c r="AL110" s="25" t="n">
        <f aca="false">IF(AND(ISNUMBER(AL127),ISNUMBER(AL121)),IFERROR(AL127/AL121,""),"")</f>
        <v>0.123588669427799</v>
      </c>
      <c r="AM110" s="25" t="n">
        <f aca="false">IF(AND(ISNUMBER(AM127),ISNUMBER(AM121)),IFERROR(AM127/AM121,""),"")</f>
        <v>0.131443861215339</v>
      </c>
      <c r="AN110" s="25" t="n">
        <f aca="false">IF(AND(ISNUMBER(AN127),ISNUMBER(AN121)),IFERROR(AN127/AN121,""),"")</f>
        <v>0.122024815406866</v>
      </c>
      <c r="AO110" s="25" t="n">
        <f aca="false">IF(AND(ISNUMBER(AO127),ISNUMBER(AO121)),IFERROR(AO127/AO121,""),"")</f>
        <v>0.123158599022574</v>
      </c>
      <c r="AP110" s="25" t="n">
        <f aca="false">IF(AND(ISNUMBER(AP127),ISNUMBER(AP121)),IFERROR(AP127/AP121,""),"")</f>
        <v>0.129050361669803</v>
      </c>
      <c r="AQ110" s="25" t="n">
        <f aca="false">IF(AND(ISNUMBER(AQ127),ISNUMBER(AQ121)),IFERROR(AQ127/AQ121,""),"")</f>
        <v>0.13555771416982</v>
      </c>
      <c r="AR110" s="25" t="n">
        <f aca="false">IF(AND(ISNUMBER(AR127),ISNUMBER(AR121)),IFERROR(AR127/AR121,""),"")</f>
        <v>0.127697059195453</v>
      </c>
      <c r="AS110" s="25" t="n">
        <f aca="false">IF(AND(ISNUMBER(AS127),ISNUMBER(AS121)),IFERROR(AS127/AS121,""),"")</f>
        <v>0.150244865980855</v>
      </c>
      <c r="AT110" s="25" t="n">
        <f aca="false">IF(AND(ISNUMBER(AT127),ISNUMBER(AT121)),IFERROR(AT127/AT121,""),"")</f>
        <v>0.14453405311223</v>
      </c>
      <c r="AU110" s="25" t="n">
        <f aca="false">IF(AND(ISNUMBER(AU127),ISNUMBER(AU121)),IFERROR(AU127/AU121,""),"")</f>
        <v>0.153474930689347</v>
      </c>
      <c r="AV110" s="25" t="n">
        <f aca="false">IF(AND(ISNUMBER(AV127),ISNUMBER(AV121)),IFERROR(AV127/AV121,""),"")</f>
        <v>0.265755761229362</v>
      </c>
      <c r="AW110" s="25" t="n">
        <f aca="false">IF(AND(ISNUMBER(AW127),ISNUMBER(AW121)),IFERROR(AW127/AW121,""),"")</f>
        <v>0.180647720128582</v>
      </c>
      <c r="AX110" s="25" t="n">
        <f aca="false">IF(AND(ISNUMBER(AX127),ISNUMBER(AX121)),IFERROR(AX127/AX121,""),"")</f>
        <v>0.139502771484192</v>
      </c>
      <c r="AY110" s="25" t="n">
        <f aca="false">IF(AND(ISNUMBER(AY127),ISNUMBER(AY121)),IFERROR(AY127/AY121,""),"")</f>
        <v>0.121220070242936</v>
      </c>
      <c r="AZ110" s="25" t="n">
        <f aca="false">IF(AND(ISNUMBER(AZ127),ISNUMBER(AZ121)),IFERROR(AZ127/AZ121,""),"")</f>
        <v>0.129518404066338</v>
      </c>
      <c r="BA110" s="25" t="n">
        <f aca="false">IF(AND(ISNUMBER(BA127),ISNUMBER(BA121)),IFERROR(BA127/BA121,""),"")</f>
        <v>0.138054326678322</v>
      </c>
      <c r="BB110" s="25" t="n">
        <f aca="false">IF(AND(ISNUMBER(BB127),ISNUMBER(BB121)),IFERROR(BB127/BB121,""),"")</f>
        <v>0.132043813829801</v>
      </c>
      <c r="BC110" s="25" t="n">
        <f aca="false">IF(AND(ISNUMBER(BC127),ISNUMBER(BC121)),IFERROR(BC127/BC121,""),"")</f>
        <v>0.151138467503514</v>
      </c>
      <c r="BD110" s="25" t="n">
        <f aca="false">IF(AND(ISNUMBER(BD127),ISNUMBER(BD121)),IFERROR(BD127/BD121,""),"")</f>
        <v>0.144217501883246</v>
      </c>
      <c r="BE110" s="25" t="n">
        <f aca="false">IF(AND(ISNUMBER(BE127),ISNUMBER(BE121)),IFERROR(BE127/BE121,""),"")</f>
        <v>0.163883207851742</v>
      </c>
      <c r="BF110" s="25" t="n">
        <f aca="false">IF(AND(ISNUMBER(BF127),ISNUMBER(BF121)),IFERROR(BF127/BF121,""),"")</f>
        <v>0.160742659306351</v>
      </c>
      <c r="BG110" s="25" t="n">
        <f aca="false">IF(AND(ISNUMBER(BG127),ISNUMBER(BG121)),IFERROR(BG127/BG121,""),"")</f>
        <v>0.155213139302208</v>
      </c>
      <c r="BH110" s="25" t="n">
        <f aca="false">IF(AND(ISNUMBER(BH127),ISNUMBER(BH121)),IFERROR(BH127/BH121,""),"")</f>
        <v>0.153171129052683</v>
      </c>
      <c r="BI110" s="25" t="n">
        <f aca="false">IF(AND(ISNUMBER(BI127),ISNUMBER(BI121)),IFERROR(BI127/BI121,""),"")</f>
        <v>0.149467079051866</v>
      </c>
      <c r="BJ110" s="25" t="n">
        <f aca="false">IF(AND(ISNUMBER(BJ127),ISNUMBER(BJ121)),IFERROR(BJ127/BJ121,""),"")</f>
        <v>0.151073608583106</v>
      </c>
      <c r="BK110" s="25" t="n">
        <f aca="false">IF(AND(ISNUMBER(BK127),ISNUMBER(BK121)),IFERROR(BK127/BK121,""),"")</f>
        <v>0.16726270546934</v>
      </c>
      <c r="BL110" s="25" t="n">
        <f aca="false">IF(AND(ISNUMBER(BL127),ISNUMBER(BL121)),IFERROR(BL127/BL121,""),"")</f>
        <v>0.155397148676171</v>
      </c>
      <c r="BM110" s="25" t="n">
        <f aca="false">IF(AND(ISNUMBER(BM127),ISNUMBER(BM121)),IFERROR(BM127/BM121,""),"")</f>
        <v>0.150060938452163</v>
      </c>
      <c r="BN110" s="25" t="n">
        <f aca="false">IF(AND(ISNUMBER(BN127),ISNUMBER(BN121)),IFERROR(BN127/BN121,""),"")</f>
        <v>0.162142224845087</v>
      </c>
      <c r="BO110" s="25" t="n">
        <f aca="false">IF(AND(ISNUMBER(BO127),ISNUMBER(BO121)),IFERROR(BO127/BO121,""),"")</f>
        <v>0.152757724516315</v>
      </c>
      <c r="BP110" s="25" t="n">
        <f aca="false">IF(AND(ISNUMBER(BP127),ISNUMBER(BP121)),IFERROR(BP127/BP121,""),"")</f>
        <v>0.175923315477869</v>
      </c>
      <c r="BQ110" s="25" t="n">
        <f aca="false">IF(AND(ISNUMBER(BQ127),ISNUMBER(BQ121)),IFERROR(BQ127/BQ121,""),"")</f>
        <v>0.160478035231343</v>
      </c>
      <c r="BR110" s="25" t="n">
        <f aca="false">IF(AND(ISNUMBER(BR127),ISNUMBER(BR121)),IFERROR(BR127/BR121,""),"")</f>
        <v>0.192706910680142</v>
      </c>
      <c r="BS110" s="25" t="n">
        <f aca="false">IF(AND(ISNUMBER(BS127),ISNUMBER(BS121)),IFERROR(BS127/BS121,""),"")</f>
        <v>0.156405990016639</v>
      </c>
      <c r="BT110" s="25" t="n">
        <f aca="false">IF(AND(ISNUMBER(BT127),ISNUMBER(BT121)),IFERROR(BT127/BT121,""),"")</f>
        <v>0.188339731285988</v>
      </c>
      <c r="BU110" s="25" t="n">
        <f aca="false">IF(AND(ISNUMBER(BU127),ISNUMBER(BU121)),IFERROR(BU127/BU121,""),"")</f>
        <v>0.143015890654517</v>
      </c>
      <c r="BV110" s="25" t="n">
        <f aca="false">IF(AND(ISNUMBER(BV127),ISNUMBER(BV121)),IFERROR(BV127/BV121,""),"")</f>
        <v>0.169079149984601</v>
      </c>
      <c r="BW110" s="25" t="n">
        <f aca="false">IF(AND(ISNUMBER(BW127),ISNUMBER(BW121)),IFERROR(BW127/BW121,""),"")</f>
        <v>0.140468227424749</v>
      </c>
      <c r="BX110" s="25" t="n">
        <f aca="false">IF(AND(ISNUMBER(BX127),ISNUMBER(BX121)),IFERROR(BX127/BX121,""),"")</f>
        <v>0.123243243243243</v>
      </c>
      <c r="BY110" s="27" t="n">
        <f aca="false">(BW127+BX127)/(BW121+BX121)</f>
        <v>0.13172338090011</v>
      </c>
      <c r="BZ110" s="27" t="n">
        <f aca="false">BY110</f>
        <v>0.13172338090011</v>
      </c>
      <c r="CA110" s="27" t="n">
        <f aca="false">IF(AND(ISNUMBER(CA127),ISNUMBER(CA121)),IFERROR(CA127/CA121,""),"")</f>
        <v>0.13172338090011</v>
      </c>
      <c r="CB110" s="45" t="n">
        <v>0.12</v>
      </c>
      <c r="CC110" s="45" t="n">
        <v>0.12</v>
      </c>
      <c r="CD110" s="45" t="n">
        <v>0.12</v>
      </c>
      <c r="CE110" s="45" t="n">
        <v>0.12</v>
      </c>
      <c r="CF110" s="28" t="s">
        <v>281</v>
      </c>
      <c r="CH110" s="32" t="n">
        <f aca="false">IFERROR(AVERAGE(CA110,CB110,CC110,CD110,CE110),"n/m")</f>
        <v>0.122344676180022</v>
      </c>
      <c r="CI110" s="32" t="n">
        <f aca="false">IFERROR(AVERAGE(BB110,BG110,BL110,BQ110,BV110),"n/m")</f>
        <v>0.154442257404825</v>
      </c>
      <c r="CJ110" s="32" t="n">
        <f aca="false">IFERROR(AVERAGE(AC110,AH110,AM110,AR110,AW110,BB110,BG110,BL110,BQ110,BV110),"n/m")</f>
        <v>0.151058927374355</v>
      </c>
      <c r="CK110" s="32" t="n">
        <f aca="false">IFERROR(AVERAGE(C110,D110,E110,F110,G110,H110,I110,N110,S110,X110,AC110,AH110,AM110,AR110,AW110,BB110,BG110,BL110,BQ110,BV110),"n/m")</f>
        <v>0.175920265111869</v>
      </c>
    </row>
    <row r="111" customFormat="false" ht="15" hidden="false" customHeight="true" outlineLevel="0" collapsed="false">
      <c r="B111" s="29" t="s">
        <v>282</v>
      </c>
      <c r="C111" s="25" t="n">
        <f aca="false">IF(AND(ISNUMBER(C125),ISNUMBER(C121)),IFERROR(C125/C121,""),"")</f>
        <v>0.26291310285797</v>
      </c>
      <c r="D111" s="25" t="n">
        <f aca="false">IF(AND(ISNUMBER(D125),ISNUMBER(D121)),IFERROR(D125/D121,""),"")</f>
        <v>0.268545940198646</v>
      </c>
      <c r="E111" s="25" t="n">
        <f aca="false">IF(AND(ISNUMBER(E125),ISNUMBER(E121)),IFERROR(E125/E121,""),"")</f>
        <v>0.196325343175099</v>
      </c>
      <c r="F111" s="25" t="n">
        <f aca="false">IF(AND(ISNUMBER(F125),ISNUMBER(F121)),IFERROR(F125/F121,""),"")</f>
        <v>0.202748272194373</v>
      </c>
      <c r="G111" s="25" t="n">
        <f aca="false">IF(AND(ISNUMBER(G125),ISNUMBER(G121)),IFERROR(G125/G121,""),"")</f>
        <v>0.231835057014055</v>
      </c>
      <c r="H111" s="25" t="n">
        <f aca="false">IF(AND(ISNUMBER(H125),ISNUMBER(H121)),IFERROR(H125/H121,""),"")</f>
        <v>0.242966894151856</v>
      </c>
      <c r="I111" s="25" t="n">
        <f aca="false">IF(AND(ISNUMBER(I125),ISNUMBER(I121)),IFERROR(I125/I121,""),"")</f>
        <v>0.240366809930959</v>
      </c>
      <c r="J111" s="25" t="n">
        <f aca="false">IF(AND(ISNUMBER(J125),ISNUMBER(J121)),IFERROR(J125/J121,""),"")</f>
        <v>0.259321561427624</v>
      </c>
      <c r="K111" s="25" t="n">
        <f aca="false">IF(AND(ISNUMBER(K125),ISNUMBER(K121)),IFERROR(K125/K121,""),"")</f>
        <v>0.215928586500794</v>
      </c>
      <c r="L111" s="25" t="n">
        <f aca="false">IF(AND(ISNUMBER(L125),ISNUMBER(L121)),IFERROR(L125/L121,""),"")</f>
        <v>0.210372124914293</v>
      </c>
      <c r="M111" s="25" t="n">
        <f aca="false">IF(AND(ISNUMBER(M125),ISNUMBER(M121)),IFERROR(M125/M121,""),"")</f>
        <v>0.212516218320215</v>
      </c>
      <c r="N111" s="25" t="n">
        <f aca="false">IF(AND(ISNUMBER(N125),ISNUMBER(N121)),IFERROR(N125/N121,""),"")</f>
        <v>0.223856598245125</v>
      </c>
      <c r="O111" s="25" t="n">
        <f aca="false">IF(AND(ISNUMBER(O125),ISNUMBER(O121)),IFERROR(O125/O121,""),"")</f>
        <v>0.233002452215392</v>
      </c>
      <c r="P111" s="25" t="n">
        <f aca="false">IF(AND(ISNUMBER(P125),ISNUMBER(P121)),IFERROR(P125/P121,""),"")</f>
        <v>0.276823191702548</v>
      </c>
      <c r="Q111" s="25" t="n">
        <f aca="false">IF(AND(ISNUMBER(Q125),ISNUMBER(Q121)),IFERROR(Q125/Q121,""),"")</f>
        <v>0.265706669454317</v>
      </c>
      <c r="R111" s="25" t="n">
        <f aca="false">IF(AND(ISNUMBER(R125),ISNUMBER(R121)),IFERROR(R125/R121,""),"")</f>
        <v>0.262678095530955</v>
      </c>
      <c r="S111" s="25" t="n">
        <f aca="false">IF(AND(ISNUMBER(S125),ISNUMBER(S121)),IFERROR(S125/S121,""),"")</f>
        <v>0.260975177797533</v>
      </c>
      <c r="T111" s="25" t="n">
        <f aca="false">IF(AND(ISNUMBER(T125),ISNUMBER(T121)),IFERROR(T125/T121,""),"")</f>
        <v>0.436913595774116</v>
      </c>
      <c r="U111" s="25" t="n">
        <f aca="false">IF(AND(ISNUMBER(U125),ISNUMBER(U121)),IFERROR(U125/U121,""),"")</f>
        <v>0.541636147359909</v>
      </c>
      <c r="V111" s="25" t="n">
        <f aca="false">IF(AND(ISNUMBER(V125),ISNUMBER(V121)),IFERROR(V125/V121,""),"")</f>
        <v>0.425781952421752</v>
      </c>
      <c r="W111" s="25" t="n">
        <f aca="false">IF(AND(ISNUMBER(W125),ISNUMBER(W121)),IFERROR(W125/W121,""),"")</f>
        <v>0.309871560393557</v>
      </c>
      <c r="X111" s="25" t="n">
        <f aca="false">IF(AND(ISNUMBER(X125),ISNUMBER(X121)),IFERROR(X125/X121,""),"")</f>
        <v>0.424615462428558</v>
      </c>
      <c r="Y111" s="25" t="n">
        <f aca="false">IF(AND(ISNUMBER(Y125),ISNUMBER(Y121)),IFERROR(Y125/Y121,""),"")</f>
        <v>0.376511347308237</v>
      </c>
      <c r="Z111" s="25" t="n">
        <f aca="false">IF(AND(ISNUMBER(Z125),ISNUMBER(Z121)),IFERROR(Z125/Z121,""),"")</f>
        <v>0.388980465898709</v>
      </c>
      <c r="AA111" s="25" t="n">
        <f aca="false">IF(AND(ISNUMBER(AA125),ISNUMBER(AA121)),IFERROR(AA125/AA121,""),"")</f>
        <v>0.35453737700448</v>
      </c>
      <c r="AB111" s="25" t="n">
        <f aca="false">IF(AND(ISNUMBER(AB125),ISNUMBER(AB121)),IFERROR(AB125/AB121,""),"")</f>
        <v>0.299558886176143</v>
      </c>
      <c r="AC111" s="25" t="n">
        <f aca="false">IF(AND(ISNUMBER(AC125),ISNUMBER(AC121)),IFERROR(AC125/AC121,""),"")</f>
        <v>0.353954610030682</v>
      </c>
      <c r="AD111" s="25" t="n">
        <f aca="false">IF(AND(ISNUMBER(AD125),ISNUMBER(AD121)),IFERROR(AD125/AD121,""),"")</f>
        <v>0.337236761375925</v>
      </c>
      <c r="AE111" s="25" t="n">
        <f aca="false">IF(AND(ISNUMBER(AE125),ISNUMBER(AE121)),IFERROR(AE125/AE121,""),"")</f>
        <v>0.386779842548903</v>
      </c>
      <c r="AF111" s="25" t="n">
        <f aca="false">IF(AND(ISNUMBER(AF125),ISNUMBER(AF121)),IFERROR(AF125/AF121,""),"")</f>
        <v>0.293718413302469</v>
      </c>
      <c r="AG111" s="25" t="n">
        <f aca="false">IF(AND(ISNUMBER(AG125),ISNUMBER(AG121)),IFERROR(AG125/AG121,""),"")</f>
        <v>0.305243099164931</v>
      </c>
      <c r="AH111" s="25" t="n">
        <f aca="false">IF(AND(ISNUMBER(AH125),ISNUMBER(AH121)),IFERROR(AH125/AH121,""),"")</f>
        <v>0.329830195911855</v>
      </c>
      <c r="AI111" s="25" t="n">
        <f aca="false">IF(AND(ISNUMBER(AI125),ISNUMBER(AI121)),IFERROR(AI125/AI121,""),"")</f>
        <v>0.323288932404884</v>
      </c>
      <c r="AJ111" s="25" t="n">
        <f aca="false">IF(AND(ISNUMBER(AJ125),ISNUMBER(AJ121)),IFERROR(AJ125/AJ121,""),"")</f>
        <v>0.38033048502111</v>
      </c>
      <c r="AK111" s="25" t="n">
        <f aca="false">IF(AND(ISNUMBER(AK125),ISNUMBER(AK121)),IFERROR(AK125/AK121,""),"")</f>
        <v>0.292123394157598</v>
      </c>
      <c r="AL111" s="25" t="n">
        <f aca="false">IF(AND(ISNUMBER(AL125),ISNUMBER(AL121)),IFERROR(AL125/AL121,""),"")</f>
        <v>0.219132936803445</v>
      </c>
      <c r="AM111" s="25" t="n">
        <f aca="false">IF(AND(ISNUMBER(AM125),ISNUMBER(AM121)),IFERROR(AM125/AM121,""),"")</f>
        <v>0.30193685016009</v>
      </c>
      <c r="AN111" s="25" t="n">
        <f aca="false">IF(AND(ISNUMBER(AN125),ISNUMBER(AN121)),IFERROR(AN125/AN121,""),"")</f>
        <v>0.26823171195859</v>
      </c>
      <c r="AO111" s="25" t="n">
        <f aca="false">IF(AND(ISNUMBER(AO125),ISNUMBER(AO121)),IFERROR(AO125/AO121,""),"")</f>
        <v>0.346389923202234</v>
      </c>
      <c r="AP111" s="25" t="n">
        <f aca="false">IF(AND(ISNUMBER(AP125),ISNUMBER(AP121)),IFERROR(AP125/AP121,""),"")</f>
        <v>0.287924310106347</v>
      </c>
      <c r="AQ111" s="25" t="n">
        <f aca="false">IF(AND(ISNUMBER(AQ125),ISNUMBER(AQ121)),IFERROR(AQ125/AQ121,""),"")</f>
        <v>0.266448018018499</v>
      </c>
      <c r="AR111" s="25" t="n">
        <f aca="false">IF(AND(ISNUMBER(AR125),ISNUMBER(AR121)),IFERROR(AR125/AR121,""),"")</f>
        <v>0.291912876798843</v>
      </c>
      <c r="AS111" s="25" t="n">
        <f aca="false">IF(AND(ISNUMBER(AS125),ISNUMBER(AS121)),IFERROR(AS125/AS121,""),"")</f>
        <v>0.319275125240209</v>
      </c>
      <c r="AT111" s="25" t="n">
        <f aca="false">IF(AND(ISNUMBER(AT125),ISNUMBER(AT121)),IFERROR(AT125/AT121,""),"")</f>
        <v>0.328485568752062</v>
      </c>
      <c r="AU111" s="25" t="n">
        <f aca="false">IF(AND(ISNUMBER(AU125),ISNUMBER(AU121)),IFERROR(AU125/AU121,""),"")</f>
        <v>0.344518584652977</v>
      </c>
      <c r="AV111" s="25" t="n">
        <f aca="false">IF(AND(ISNUMBER(AV125),ISNUMBER(AV121)),IFERROR(AV125/AV121,""),"")</f>
        <v>0.3005807922267</v>
      </c>
      <c r="AW111" s="25" t="n">
        <f aca="false">IF(AND(ISNUMBER(AW125),ISNUMBER(AW121)),IFERROR(AW125/AW121,""),"")</f>
        <v>0.322948682323711</v>
      </c>
      <c r="AX111" s="25" t="n">
        <f aca="false">IF(AND(ISNUMBER(AX125),ISNUMBER(AX121)),IFERROR(AX125/AX121,""),"")</f>
        <v>0.303010506951105</v>
      </c>
      <c r="AY111" s="25" t="n">
        <f aca="false">IF(AND(ISNUMBER(AY125),ISNUMBER(AY121)),IFERROR(AY125/AY121,""),"")</f>
        <v>0.342703915825063</v>
      </c>
      <c r="AZ111" s="25" t="n">
        <f aca="false">IF(AND(ISNUMBER(AZ125),ISNUMBER(AZ121)),IFERROR(AZ125/AZ121,""),"")</f>
        <v>0.360601138750979</v>
      </c>
      <c r="BA111" s="25" t="n">
        <f aca="false">IF(AND(ISNUMBER(BA125),ISNUMBER(BA121)),IFERROR(BA125/BA121,""),"")</f>
        <v>0.273592798538239</v>
      </c>
      <c r="BB111" s="25" t="n">
        <f aca="false">IF(AND(ISNUMBER(BB125),ISNUMBER(BB121)),IFERROR(BB125/BB121,""),"")</f>
        <v>0.319940230488109</v>
      </c>
      <c r="BC111" s="25" t="n">
        <f aca="false">IF(AND(ISNUMBER(BC125),ISNUMBER(BC121)),IFERROR(BC125/BC121,""),"")</f>
        <v>0.279158629380119</v>
      </c>
      <c r="BD111" s="25" t="n">
        <f aca="false">IF(AND(ISNUMBER(BD125),ISNUMBER(BD121)),IFERROR(BD125/BD121,""),"")</f>
        <v>0.338134057295435</v>
      </c>
      <c r="BE111" s="25" t="n">
        <f aca="false">IF(AND(ISNUMBER(BE125),ISNUMBER(BE121)),IFERROR(BE125/BE121,""),"")</f>
        <v>0.332892816036745</v>
      </c>
      <c r="BF111" s="25" t="n">
        <f aca="false">IF(AND(ISNUMBER(BF125),ISNUMBER(BF121)),IFERROR(BF125/BF121,""),"")</f>
        <v>0.3025857031979</v>
      </c>
      <c r="BG111" s="25" t="n">
        <f aca="false">IF(AND(ISNUMBER(BG125),ISNUMBER(BG121)),IFERROR(BG125/BG121,""),"")</f>
        <v>0.313518288818864</v>
      </c>
      <c r="BH111" s="25" t="n">
        <f aca="false">IF(AND(ISNUMBER(BH125),ISNUMBER(BH121)),IFERROR(BH125/BH121,""),"")</f>
        <v>0.387144358159099</v>
      </c>
      <c r="BI111" s="25" t="n">
        <f aca="false">IF(AND(ISNUMBER(BI125),ISNUMBER(BI121)),IFERROR(BI125/BI121,""),"")</f>
        <v>0.412648166547286</v>
      </c>
      <c r="BJ111" s="25" t="n">
        <f aca="false">IF(AND(ISNUMBER(BJ125),ISNUMBER(BJ121)),IFERROR(BJ125/BJ121,""),"")</f>
        <v>0.427255074287343</v>
      </c>
      <c r="BK111" s="25" t="n">
        <f aca="false">IF(AND(ISNUMBER(BK125),ISNUMBER(BK121)),IFERROR(BK125/BK121,""),"")</f>
        <v>0.385506648605832</v>
      </c>
      <c r="BL111" s="25" t="n">
        <f aca="false">IF(AND(ISNUMBER(BL125),ISNUMBER(BL121)),IFERROR(BL125/BL121,""),"")</f>
        <v>0.403217922606925</v>
      </c>
      <c r="BM111" s="25" t="n">
        <f aca="false">IF(AND(ISNUMBER(BM125),ISNUMBER(BM121)),IFERROR(BM125/BM121,""),"")</f>
        <v>0.557739183424741</v>
      </c>
      <c r="BN111" s="25" t="n">
        <f aca="false">IF(AND(ISNUMBER(BN125),ISNUMBER(BN121)),IFERROR(BN125/BN121,""),"")</f>
        <v>0.528769548539392</v>
      </c>
      <c r="BO111" s="25" t="n">
        <f aca="false">IF(AND(ISNUMBER(BO125),ISNUMBER(BO121)),IFERROR(BO125/BO121,""),"")</f>
        <v>0.478198094138031</v>
      </c>
      <c r="BP111" s="25" t="n">
        <f aca="false">IF(AND(ISNUMBER(BP125),ISNUMBER(BP121)),IFERROR(BP125/BP121,""),"")</f>
        <v>0.43501550606146</v>
      </c>
      <c r="BQ111" s="25" t="n">
        <f aca="false">IF(AND(ISNUMBER(BQ125),ISNUMBER(BQ121)),IFERROR(BQ125/BQ121,""),"")</f>
        <v>0.498611212630656</v>
      </c>
      <c r="BR111" s="25" t="n">
        <f aca="false">IF(AND(ISNUMBER(BR125),ISNUMBER(BR121)),IFERROR(BR125/BR121,""),"")</f>
        <v>0.503824091778203</v>
      </c>
      <c r="BS111" s="25" t="n">
        <f aca="false">IF(AND(ISNUMBER(BS125),ISNUMBER(BS121)),IFERROR(BS125/BS121,""),"")</f>
        <v>0.505439651862281</v>
      </c>
      <c r="BT111" s="25" t="n">
        <f aca="false">IF(AND(ISNUMBER(BT125),ISNUMBER(BT121)),IFERROR(BT125/BT121,""),"")</f>
        <v>0.501799424184261</v>
      </c>
      <c r="BU111" s="25" t="n">
        <f aca="false">IF(AND(ISNUMBER(BU125),ISNUMBER(BU121)),IFERROR(BU125/BU121,""),"")</f>
        <v>0.419935548394266</v>
      </c>
      <c r="BV111" s="25" t="n">
        <f aca="false">IF(AND(ISNUMBER(BV125),ISNUMBER(BV121)),IFERROR(BV125/BV121,""),"")</f>
        <v>0.480443486295042</v>
      </c>
      <c r="BW111" s="25" t="n">
        <f aca="false">IF(AND(ISNUMBER(BW125),ISNUMBER(BW121)),IFERROR(BW125/BW121,""),"")</f>
        <v>0.469342251950948</v>
      </c>
      <c r="BX111" s="25" t="n">
        <f aca="false">IF(AND(ISNUMBER(BX125),ISNUMBER(BX121)),IFERROR(BX125/BX121,""),"")</f>
        <v>0.427027027027027</v>
      </c>
      <c r="BY111" s="27" t="n">
        <f aca="false">IF(AND(ISNUMBER(BY125),ISNUMBER(BY121)),IFERROR(BY125/BY121,""),"")</f>
        <v>0.415948493784045</v>
      </c>
      <c r="BZ111" s="27" t="n">
        <f aca="false">IF(AND(ISNUMBER(BZ125),ISNUMBER(BZ121)),IFERROR(BZ125/BZ121,""),"")</f>
        <v>0.338966651751653</v>
      </c>
      <c r="CA111" s="27" t="n">
        <f aca="false">IF(AND(ISNUMBER(CA125),ISNUMBER(CA121)),IFERROR(CA125/CA121,""),"")</f>
        <v>0.410721754686984</v>
      </c>
      <c r="CB111" s="27" t="n">
        <f aca="false">IF(AND(ISNUMBER(CB125),ISNUMBER(CB121)),IFERROR(CB125/CB121,""),"")</f>
        <v>0.41300707179522</v>
      </c>
      <c r="CC111" s="27" t="n">
        <f aca="false">IF(AND(ISNUMBER(CC125),ISNUMBER(CC121)),IFERROR(CC125/CC121,""),"")</f>
        <v>0.379148060517927</v>
      </c>
      <c r="CD111" s="27" t="n">
        <f aca="false">IF(AND(ISNUMBER(CD125),ISNUMBER(CD121)),IFERROR(CD125/CD121,""),"")</f>
        <v>0.347610352082597</v>
      </c>
      <c r="CE111" s="27" t="n">
        <f aca="false">IF(AND(ISNUMBER(CE125),ISNUMBER(CE121)),IFERROR(CE125/CE121,""),"")</f>
        <v>0.315173619455247</v>
      </c>
      <c r="CF111" s="28" t="s">
        <v>283</v>
      </c>
      <c r="CH111" s="32" t="n">
        <f aca="false">IFERROR(AVERAGE(CA111,CB111,CC111,CD111,CE111),"n/m")</f>
        <v>0.373132171707595</v>
      </c>
      <c r="CI111" s="32" t="n">
        <f aca="false">IFERROR(AVERAGE(BB111,BG111,BL111,BQ111,BV111),"n/m")</f>
        <v>0.403146228167919</v>
      </c>
      <c r="CJ111" s="32" t="n">
        <f aca="false">IFERROR(AVERAGE(AC111,AH111,AM111,AR111,AW111,BB111,BG111,BL111,BQ111,BV111),"n/m")</f>
        <v>0.361631435606478</v>
      </c>
      <c r="CK111" s="32" t="n">
        <f aca="false">IFERROR(AVERAGE(C111,D111,E111,F111,G111,H111,I111,N111,S111,X111,AC111,AH111,AM111,AR111,AW111,BB111,BG111,BL111,BQ111,BV111),"n/m")</f>
        <v>0.308573150702947</v>
      </c>
    </row>
    <row r="112" customFormat="false" ht="15" hidden="false" customHeight="true" outlineLevel="0" collapsed="false">
      <c r="B112" s="29" t="s">
        <v>284</v>
      </c>
      <c r="C112" s="25" t="str">
        <f aca="false">IF(AND(ISNUMBER(C162),ISNUMBER(C121)),IFERROR(C162/C121,""),"")</f>
        <v/>
      </c>
      <c r="D112" s="25" t="str">
        <f aca="false">IF(AND(ISNUMBER(D162),ISNUMBER(D121)),IFERROR(D162/D121,""),"")</f>
        <v/>
      </c>
      <c r="E112" s="25" t="str">
        <f aca="false">IF(AND(ISNUMBER(E162),ISNUMBER(E121)),IFERROR(E162/E121,""),"")</f>
        <v/>
      </c>
      <c r="F112" s="25" t="n">
        <f aca="false">IF(AND(ISNUMBER(F162),ISNUMBER(F121)),IFERROR(F162/F121,""),"")</f>
        <v>0.0308119374794309</v>
      </c>
      <c r="G112" s="25" t="n">
        <f aca="false">IF(AND(ISNUMBER(G162),ISNUMBER(G121)),IFERROR(G162/G121,""),"")</f>
        <v>0.0367099796694069</v>
      </c>
      <c r="H112" s="25" t="n">
        <f aca="false">IF(AND(ISNUMBER(H162),ISNUMBER(H121)),IFERROR(H162/H121,""),"")</f>
        <v>0.0321882274428175</v>
      </c>
      <c r="I112" s="25" t="n">
        <f aca="false">IF(AND(ISNUMBER(I162),ISNUMBER(I121)),IFERROR(I162/I121,""),"")</f>
        <v>0.0350978464633533</v>
      </c>
      <c r="J112" s="25" t="n">
        <f aca="false">IF(AND(ISNUMBER(J162),ISNUMBER(J121)),IFERROR(J162/J121,""),"")</f>
        <v>0.166543308373305</v>
      </c>
      <c r="K112" s="25" t="n">
        <f aca="false">IF(AND(ISNUMBER(K162),ISNUMBER(K121)),IFERROR(K162/K121,""),"")</f>
        <v>0.065651978458518</v>
      </c>
      <c r="L112" s="25" t="n">
        <f aca="false">IF(AND(ISNUMBER(L162),ISNUMBER(L121)),IFERROR(L162/L121,""),"")</f>
        <v>0.0693493379400005</v>
      </c>
      <c r="M112" s="25" t="n">
        <f aca="false">IF(AND(ISNUMBER(M162),ISNUMBER(M121)),IFERROR(M162/M121,""),"")</f>
        <v>0.0802612230775884</v>
      </c>
      <c r="N112" s="25" t="n">
        <f aca="false">IF(AND(ISNUMBER(N162),ISNUMBER(N121)),IFERROR(N162/N121,""),"")</f>
        <v>0.0942275985785011</v>
      </c>
      <c r="O112" s="25" t="n">
        <f aca="false">IF(AND(ISNUMBER(O162),ISNUMBER(O121)),IFERROR(O162/O121,""),"")</f>
        <v>0.0661678255903793</v>
      </c>
      <c r="P112" s="25" t="n">
        <f aca="false">IF(AND(ISNUMBER(P162),ISNUMBER(P121)),IFERROR(P162/P121,""),"")</f>
        <v>0.043193327375633</v>
      </c>
      <c r="Q112" s="25" t="n">
        <f aca="false">IF(AND(ISNUMBER(Q162),ISNUMBER(Q121)),IFERROR(Q162/Q121,""),"")</f>
        <v>0.0434285490278068</v>
      </c>
      <c r="R112" s="25" t="n">
        <f aca="false">IF(AND(ISNUMBER(R162),ISNUMBER(R121)),IFERROR(R162/R121,""),"")</f>
        <v>0.0471568778187782</v>
      </c>
      <c r="S112" s="25" t="n">
        <f aca="false">IF(AND(ISNUMBER(S162),ISNUMBER(S121)),IFERROR(S162/S121,""),"")</f>
        <v>0.0490801061229025</v>
      </c>
      <c r="T112" s="25" t="n">
        <f aca="false">IF(AND(ISNUMBER(T162),ISNUMBER(T121)),IFERROR(T162/T121,""),"")</f>
        <v>0.0467991447616652</v>
      </c>
      <c r="U112" s="25" t="n">
        <f aca="false">IF(AND(ISNUMBER(U162),ISNUMBER(U121)),IFERROR(U162/U121,""),"")</f>
        <v>0.0493094335421342</v>
      </c>
      <c r="V112" s="25" t="n">
        <f aca="false">IF(AND(ISNUMBER(V162),ISNUMBER(V121)),IFERROR(V162/V121,""),"")</f>
        <v>0.0492495160727319</v>
      </c>
      <c r="W112" s="25" t="n">
        <f aca="false">IF(AND(ISNUMBER(W162),ISNUMBER(W121)),IFERROR(W162/W121,""),"")</f>
        <v>0.0485365967390122</v>
      </c>
      <c r="X112" s="25" t="n">
        <f aca="false">IF(AND(ISNUMBER(X162),ISNUMBER(X121)),IFERROR(X162/X121,""),"")</f>
        <v>0.0485231059733282</v>
      </c>
      <c r="Y112" s="25" t="n">
        <f aca="false">IF(AND(ISNUMBER(Y162),ISNUMBER(Y121)),IFERROR(Y162/Y121,""),"")</f>
        <v>0.0417094308072034</v>
      </c>
      <c r="Z112" s="25" t="n">
        <f aca="false">IF(AND(ISNUMBER(Z162),ISNUMBER(Z121)),IFERROR(Z162/Z121,""),"")</f>
        <v>0.0451445117441473</v>
      </c>
      <c r="AA112" s="25" t="n">
        <f aca="false">IF(AND(ISNUMBER(AA162),ISNUMBER(AA121)),IFERROR(AA162/AA121,""),"")</f>
        <v>0.0437730065675964</v>
      </c>
      <c r="AB112" s="25" t="n">
        <f aca="false">IF(AND(ISNUMBER(AB162),ISNUMBER(AB121)),IFERROR(AB162/AB121,""),"")</f>
        <v>0.0429112596250304</v>
      </c>
      <c r="AC112" s="25" t="n">
        <f aca="false">IF(AND(ISNUMBER(AC162),ISNUMBER(AC121)),IFERROR(AC162/AC121,""),"")</f>
        <v>0.0433950550959254</v>
      </c>
      <c r="AD112" s="25" t="n">
        <f aca="false">IF(AND(ISNUMBER(AD162),ISNUMBER(AD121)),IFERROR(AD162/AD121,""),"")</f>
        <v>0.041301593887523</v>
      </c>
      <c r="AE112" s="25" t="n">
        <f aca="false">IF(AND(ISNUMBER(AE162),ISNUMBER(AE121)),IFERROR(AE162/AE121,""),"")</f>
        <v>0.0426011899491046</v>
      </c>
      <c r="AF112" s="25" t="n">
        <f aca="false">IF(AND(ISNUMBER(AF162),ISNUMBER(AF121)),IFERROR(AF162/AF121,""),"")</f>
        <v>0.0393604085111884</v>
      </c>
      <c r="AG112" s="25" t="n">
        <f aca="false">IF(AND(ISNUMBER(AG162),ISNUMBER(AG121)),IFERROR(AG162/AG121,""),"")</f>
        <v>0.0386903472957703</v>
      </c>
      <c r="AH112" s="25" t="n">
        <f aca="false">IF(AND(ISNUMBER(AH162),ISNUMBER(AH121)),IFERROR(AH162/AH121,""),"")</f>
        <v>0.0404359582690136</v>
      </c>
      <c r="AI112" s="25" t="n">
        <f aca="false">IF(AND(ISNUMBER(AI162),ISNUMBER(AI121)),IFERROR(AI162/AI121,""),"")</f>
        <v>0.0380391497818923</v>
      </c>
      <c r="AJ112" s="25" t="n">
        <f aca="false">IF(AND(ISNUMBER(AJ162),ISNUMBER(AJ121)),IFERROR(AJ162/AJ121,""),"")</f>
        <v>0.0378024227487896</v>
      </c>
      <c r="AK112" s="25" t="n">
        <f aca="false">IF(AND(ISNUMBER(AK162),ISNUMBER(AK121)),IFERROR(AK162/AK121,""),"")</f>
        <v>0.0293036576384911</v>
      </c>
      <c r="AL112" s="25" t="n">
        <f aca="false">IF(AND(ISNUMBER(AL162),ISNUMBER(AL121)),IFERROR(AL162/AL121,""),"")</f>
        <v>0.0384224152409442</v>
      </c>
      <c r="AM112" s="25" t="n">
        <f aca="false">IF(AND(ISNUMBER(AM162),ISNUMBER(AM121)),IFERROR(AM162/AM121,""),"")</f>
        <v>0.0358422999214654</v>
      </c>
      <c r="AN112" s="25" t="n">
        <f aca="false">IF(AND(ISNUMBER(AN162),ISNUMBER(AN121)),IFERROR(AN162/AN121,""),"")</f>
        <v>0.0366263226002893</v>
      </c>
      <c r="AO112" s="25" t="n">
        <f aca="false">IF(AND(ISNUMBER(AO162),ISNUMBER(AO121)),IFERROR(AO162/AO121,""),"")</f>
        <v>0.0401908308121946</v>
      </c>
      <c r="AP112" s="25" t="n">
        <f aca="false">IF(AND(ISNUMBER(AP162),ISNUMBER(AP121)),IFERROR(AP162/AP121,""),"")</f>
        <v>0.0372412190199769</v>
      </c>
      <c r="AQ112" s="25" t="n">
        <f aca="false">IF(AND(ISNUMBER(AQ162),ISNUMBER(AQ121)),IFERROR(AQ162/AQ121,""),"")</f>
        <v>0.0354152100468075</v>
      </c>
      <c r="AR112" s="25" t="n">
        <f aca="false">IF(AND(ISNUMBER(AR162),ISNUMBER(AR121)),IFERROR(AR162/AR121,""),"")</f>
        <v>0.0373324931646995</v>
      </c>
      <c r="AS112" s="25" t="n">
        <f aca="false">IF(AND(ISNUMBER(AS162),ISNUMBER(AS121)),IFERROR(AS162/AS121,""),"")</f>
        <v>0.0387396101029228</v>
      </c>
      <c r="AT112" s="25" t="n">
        <f aca="false">IF(AND(ISNUMBER(AT162),ISNUMBER(AT121)),IFERROR(AT162/AT121,""),"")</f>
        <v>0.0239878738741914</v>
      </c>
      <c r="AU112" s="25" t="n">
        <f aca="false">IF(AND(ISNUMBER(AU162),ISNUMBER(AU121)),IFERROR(AU162/AU121,""),"")</f>
        <v>0.0393073633757812</v>
      </c>
      <c r="AV112" s="25" t="n">
        <f aca="false">IF(AND(ISNUMBER(AV162),ISNUMBER(AV121)),IFERROR(AV162/AV121,""),"")</f>
        <v>0.0285040493437115</v>
      </c>
      <c r="AW112" s="25" t="n">
        <f aca="false">IF(AND(ISNUMBER(AW162),ISNUMBER(AW121)),IFERROR(AW162/AW121,""),"")</f>
        <v>0.0326120436233702</v>
      </c>
      <c r="AX112" s="25" t="n">
        <f aca="false">IF(AND(ISNUMBER(AX162),ISNUMBER(AX121)),IFERROR(AX162/AX121,""),"")</f>
        <v>0.0339635173488137</v>
      </c>
      <c r="AY112" s="25" t="n">
        <f aca="false">IF(AND(ISNUMBER(AY162),ISNUMBER(AY121)),IFERROR(AY162/AY121,""),"")</f>
        <v>0.0315281273616429</v>
      </c>
      <c r="AZ112" s="25" t="n">
        <f aca="false">IF(AND(ISNUMBER(AZ162),ISNUMBER(AZ121)),IFERROR(AZ162/AZ121,""),"")</f>
        <v>0.0326424590291978</v>
      </c>
      <c r="BA112" s="25" t="n">
        <f aca="false">IF(AND(ISNUMBER(BA162),ISNUMBER(BA121)),IFERROR(BA162/BA121,""),"")</f>
        <v>0.0329942026812106</v>
      </c>
      <c r="BB112" s="25" t="n">
        <f aca="false">IF(AND(ISNUMBER(BB162),ISNUMBER(BB121)),IFERROR(BB162/BB121,""),"")</f>
        <v>0.0327698436579764</v>
      </c>
      <c r="BC112" s="25" t="n">
        <f aca="false">IF(AND(ISNUMBER(BC162),ISNUMBER(BC121)),IFERROR(BC162/BC121,""),"")</f>
        <v>0.0345989434401202</v>
      </c>
      <c r="BD112" s="25" t="n">
        <f aca="false">IF(AND(ISNUMBER(BD162),ISNUMBER(BD121)),IFERROR(BD162/BD121,""),"")</f>
        <v>0.0337716386852331</v>
      </c>
      <c r="BE112" s="25" t="n">
        <f aca="false">IF(AND(ISNUMBER(BE162),ISNUMBER(BE121)),IFERROR(BE162/BE121,""),"")</f>
        <v>0.0325683535007658</v>
      </c>
      <c r="BF112" s="25" t="n">
        <f aca="false">IF(AND(ISNUMBER(BF162),ISNUMBER(BF121)),IFERROR(BF162/BF121,""),"")</f>
        <v>0.0368190182176525</v>
      </c>
      <c r="BG112" s="25" t="n">
        <f aca="false">IF(AND(ISNUMBER(BG162),ISNUMBER(BG121)),IFERROR(BG162/BG121,""),"")</f>
        <v>0.0344607012741483</v>
      </c>
      <c r="BH112" s="25" t="n">
        <f aca="false">IF(AND(ISNUMBER(BH162),ISNUMBER(BH121)),IFERROR(BH162/BH121,""),"")</f>
        <v>0.0343021325676032</v>
      </c>
      <c r="BI112" s="25" t="n">
        <f aca="false">IF(AND(ISNUMBER(BI162),ISNUMBER(BI121)),IFERROR(BI162/BI121,""),"")</f>
        <v>0.0360220892349638</v>
      </c>
      <c r="BJ112" s="25" t="n">
        <f aca="false">IF(AND(ISNUMBER(BJ162),ISNUMBER(BJ121)),IFERROR(BJ162/BJ121,""),"")</f>
        <v>0.0350569661692833</v>
      </c>
      <c r="BK112" s="25" t="n">
        <f aca="false">IF(AND(ISNUMBER(BK162),ISNUMBER(BK121)),IFERROR(BK162/BK121,""),"")</f>
        <v>0.0331219465705505</v>
      </c>
      <c r="BL112" s="25" t="n">
        <f aca="false">IF(AND(ISNUMBER(BL162),ISNUMBER(BL121)),IFERROR(BL162/BL121,""),"")</f>
        <v>0.0346232179226069</v>
      </c>
      <c r="BM112" s="25" t="n">
        <f aca="false">IF(AND(ISNUMBER(BM162),ISNUMBER(BM121)),IFERROR(BM162/BM121,""),"")</f>
        <v>0.0347349177330896</v>
      </c>
      <c r="BN112" s="25" t="n">
        <f aca="false">IF(AND(ISNUMBER(BN162),ISNUMBER(BN121)),IFERROR(BN162/BN121,""),"")</f>
        <v>0.0334907052227796</v>
      </c>
      <c r="BO112" s="25" t="n">
        <f aca="false">IF(AND(ISNUMBER(BO162),ISNUMBER(BO121)),IFERROR(BO162/BO121,""),"")</f>
        <v>0.0314755991914525</v>
      </c>
      <c r="BP112" s="25" t="n">
        <f aca="false">IF(AND(ISNUMBER(BP162),ISNUMBER(BP121)),IFERROR(BP162/BP121,""),"")</f>
        <v>0.0307301945305892</v>
      </c>
      <c r="BQ112" s="25" t="n">
        <f aca="false">IF(AND(ISNUMBER(BQ162),ISNUMBER(BQ121)),IFERROR(BQ162/BQ121,""),"")</f>
        <v>0.032526862071486</v>
      </c>
      <c r="BR112" s="25" t="n">
        <f aca="false">IF(AND(ISNUMBER(BR162),ISNUMBER(BR121)),IFERROR(BR162/BR121,""),"")</f>
        <v>0.0415187107347719</v>
      </c>
      <c r="BS112" s="25" t="n">
        <f aca="false">IF(AND(ISNUMBER(BS162),ISNUMBER(BS121)),IFERROR(BS162/BS121,""),"")</f>
        <v>0.0662997568155638</v>
      </c>
      <c r="BT112" s="25" t="n">
        <f aca="false">IF(AND(ISNUMBER(BT162),ISNUMBER(BT121)),IFERROR(BT162/BT121,""),"")</f>
        <v>0.0849328214971209</v>
      </c>
      <c r="BU112" s="25" t="n">
        <f aca="false">IF(AND(ISNUMBER(BU162),ISNUMBER(BU121)),IFERROR(BU162/BU121,""),"")</f>
        <v>0.0455606178464274</v>
      </c>
      <c r="BV112" s="25" t="n">
        <f aca="false">IF(AND(ISNUMBER(BV162),ISNUMBER(BV121)),IFERROR(BV162/BV121,""),"")</f>
        <v>0.0597474591931013</v>
      </c>
      <c r="BW112" s="25" t="n">
        <f aca="false">IF(AND(ISNUMBER(BW162),ISNUMBER(BW121)),IFERROR(BW162/BW121,""),"")</f>
        <v>0.0468227424749164</v>
      </c>
      <c r="BX112" s="25" t="n">
        <f aca="false">IF(AND(ISNUMBER(BX162),ISNUMBER(BX121)),IFERROR(BX162/BX121,""),"")</f>
        <v>0.0410810810810811</v>
      </c>
      <c r="BY112" s="27"/>
      <c r="BZ112" s="27"/>
      <c r="CA112" s="27" t="n">
        <f aca="false">IF(AND(ISNUMBER(CA162),ISNUMBER(CA121)),IFERROR(CA162/CA121,""),"")</f>
        <v>0.041032106650617</v>
      </c>
      <c r="CB112" s="45" t="n">
        <v>0.04</v>
      </c>
      <c r="CC112" s="45" t="n">
        <v>0.04</v>
      </c>
      <c r="CD112" s="45" t="n">
        <v>0.04</v>
      </c>
      <c r="CE112" s="45" t="n">
        <v>0.04</v>
      </c>
      <c r="CF112" s="28" t="s">
        <v>285</v>
      </c>
      <c r="CH112" s="32" t="n">
        <f aca="false">IFERROR(AVERAGE(CA112,CB112,CC112,CD112,CE112),"n/m")</f>
        <v>0.0402064213301234</v>
      </c>
      <c r="CI112" s="32" t="n">
        <f aca="false">IFERROR(AVERAGE(BB112,BG112,BL112,BQ112,BV112),"n/m")</f>
        <v>0.0388256168238638</v>
      </c>
      <c r="CJ112" s="32" t="n">
        <f aca="false">IFERROR(AVERAGE(AC112,AH112,AM112,AR112,AW112,BB112,BG112,BL112,BQ112,BV112),"n/m")</f>
        <v>0.0383745934193793</v>
      </c>
      <c r="CK112" s="32" t="n">
        <f aca="false">IFERROR(AVERAGE(C112,D112,E112,F112,G112,H112,I112,N112,S112,X112,AC112,AH112,AM112,AR112,AW112,BB112,BG112,BL112,BQ112,BV112),"n/m")</f>
        <v>0.0417873374072667</v>
      </c>
    </row>
    <row r="113" customFormat="false" ht="15" hidden="false" customHeight="true" outlineLevel="0" collapsed="false">
      <c r="B113" s="29" t="s">
        <v>286</v>
      </c>
      <c r="C113" s="25" t="n">
        <f aca="false">IF(AND(ISNUMBER(C155),ISNUMBER(C121)),IFERROR(C155/C121,""),"")</f>
        <v>0.0404118598518463</v>
      </c>
      <c r="D113" s="25" t="n">
        <f aca="false">IF(AND(ISNUMBER(D155),ISNUMBER(D121)),IFERROR(D155/D121,""),"")</f>
        <v>0.0462332408391899</v>
      </c>
      <c r="E113" s="25" t="n">
        <f aca="false">IF(AND(ISNUMBER(E155),ISNUMBER(E121)),IFERROR(E155/E121,""),"")</f>
        <v>0.0453659592897358</v>
      </c>
      <c r="F113" s="25" t="n">
        <f aca="false">IF(AND(ISNUMBER(F155),ISNUMBER(F121)),IFERROR(F155/F121,""),"")</f>
        <v>0.0423306416609828</v>
      </c>
      <c r="G113" s="25" t="n">
        <f aca="false">IF(AND(ISNUMBER(G155),ISNUMBER(G121)),IFERROR(G155/G121,""),"")</f>
        <v>0.0436356404136834</v>
      </c>
      <c r="H113" s="25" t="n">
        <f aca="false">IF(AND(ISNUMBER(H155),ISNUMBER(H121)),IFERROR(H155/H121,""),"")</f>
        <v>0.0367922204832008</v>
      </c>
      <c r="I113" s="25" t="n">
        <f aca="false">IF(AND(ISNUMBER(I155),ISNUMBER(I121)),IFERROR(I155/I121,""),"")</f>
        <v>0.0300369210369896</v>
      </c>
      <c r="J113" s="25" t="n">
        <f aca="false">IF(AND(ISNUMBER(J155),ISNUMBER(J121)),IFERROR(J155/J121,""),"")</f>
        <v>0.0289715763267425</v>
      </c>
      <c r="K113" s="25" t="n">
        <f aca="false">IF(AND(ISNUMBER(K155),ISNUMBER(K121)),IFERROR(K155/K121,""),"")</f>
        <v>0.0287066853824347</v>
      </c>
      <c r="L113" s="25" t="n">
        <f aca="false">IF(AND(ISNUMBER(L155),ISNUMBER(L121)),IFERROR(L155/L121,""),"")</f>
        <v>0.030168921024746</v>
      </c>
      <c r="M113" s="25" t="n">
        <f aca="false">IF(AND(ISNUMBER(M155),ISNUMBER(M121)),IFERROR(M155/M121,""),"")</f>
        <v>0.0299368566732982</v>
      </c>
      <c r="N113" s="25" t="n">
        <f aca="false">IF(AND(ISNUMBER(N155),ISNUMBER(N121)),IFERROR(N155/N121,""),"")</f>
        <v>0.0294641257486795</v>
      </c>
      <c r="O113" s="25" t="n">
        <f aca="false">IF(AND(ISNUMBER(O155),ISNUMBER(O121)),IFERROR(O155/O121,""),"")</f>
        <v>0.0308626423460647</v>
      </c>
      <c r="P113" s="25" t="n">
        <f aca="false">IF(AND(ISNUMBER(P155),ISNUMBER(P121)),IFERROR(P155/P121,""),"")</f>
        <v>0.0254150079887345</v>
      </c>
      <c r="Q113" s="25" t="n">
        <f aca="false">IF(AND(ISNUMBER(Q155),ISNUMBER(Q121)),IFERROR(Q155/Q121,""),"")</f>
        <v>0.0265327723186285</v>
      </c>
      <c r="R113" s="25" t="n">
        <f aca="false">IF(AND(ISNUMBER(R155),ISNUMBER(R121)),IFERROR(R155/R121,""),"")</f>
        <v>0.026650266502665</v>
      </c>
      <c r="S113" s="25" t="n">
        <f aca="false">IF(AND(ISNUMBER(S155),ISNUMBER(S121)),IFERROR(S155/S121,""),"")</f>
        <v>0.027173158128681</v>
      </c>
      <c r="T113" s="25" t="n">
        <f aca="false">IF(AND(ISNUMBER(T155),ISNUMBER(T121)),IFERROR(T155/T121,""),"")</f>
        <v>0.0271915482329267</v>
      </c>
      <c r="U113" s="25" t="n">
        <f aca="false">IF(AND(ISNUMBER(U155),ISNUMBER(U121)),IFERROR(U155/U121,""),"")</f>
        <v>0.0300778755046673</v>
      </c>
      <c r="V113" s="25" t="n">
        <f aca="false">IF(AND(ISNUMBER(V155),ISNUMBER(V121)),IFERROR(V155/V121,""),"")</f>
        <v>0.0285755085202932</v>
      </c>
      <c r="W113" s="25" t="n">
        <f aca="false">IF(AND(ISNUMBER(W155),ISNUMBER(W121)),IFERROR(W155/W121,""),"")</f>
        <v>0.0293457818029211</v>
      </c>
      <c r="X113" s="25" t="n">
        <f aca="false">IF(AND(ISNUMBER(X155),ISNUMBER(X121)),IFERROR(X155/X121,""),"")</f>
        <v>0.0288354004979179</v>
      </c>
      <c r="Y113" s="25" t="n">
        <f aca="false">IF(AND(ISNUMBER(Y155),ISNUMBER(Y121)),IFERROR(Y155/Y121,""),"")</f>
        <v>0.0280466008140624</v>
      </c>
      <c r="Z113" s="25" t="n">
        <f aca="false">IF(AND(ISNUMBER(Z155),ISNUMBER(Z121)),IFERROR(Z155/Z121,""),"")</f>
        <v>0.0286364800912655</v>
      </c>
      <c r="AA113" s="25" t="n">
        <f aca="false">IF(AND(ISNUMBER(AA155),ISNUMBER(AA121)),IFERROR(AA155/AA121,""),"")</f>
        <v>0.0319400501149447</v>
      </c>
      <c r="AB113" s="25" t="n">
        <f aca="false">IF(AND(ISNUMBER(AB155),ISNUMBER(AB121)),IFERROR(AB155/AB121,""),"")</f>
        <v>0.0288350106041381</v>
      </c>
      <c r="AC113" s="25" t="n">
        <f aca="false">IF(AND(ISNUMBER(AC155),ISNUMBER(AC121)),IFERROR(AC155/AC121,""),"")</f>
        <v>0.0293864832921457</v>
      </c>
      <c r="AD113" s="25" t="n">
        <f aca="false">IF(AND(ISNUMBER(AD155),ISNUMBER(AD121)),IFERROR(AD155/AD121,""),"")</f>
        <v>0.0282715302820974</v>
      </c>
      <c r="AE113" s="25" t="n">
        <f aca="false">IF(AND(ISNUMBER(AE155),ISNUMBER(AE121)),IFERROR(AE155/AE121,""),"")</f>
        <v>0.0274928000067467</v>
      </c>
      <c r="AF113" s="25" t="n">
        <f aca="false">IF(AND(ISNUMBER(AF155),ISNUMBER(AF121)),IFERROR(AF155/AF121,""),"")</f>
        <v>0.0267479487583474</v>
      </c>
      <c r="AG113" s="25" t="n">
        <f aca="false">IF(AND(ISNUMBER(AG155),ISNUMBER(AG121)),IFERROR(AG155/AG121,""),"")</f>
        <v>0.026402510325169</v>
      </c>
      <c r="AH113" s="25" t="n">
        <f aca="false">IF(AND(ISNUMBER(AH155),ISNUMBER(AH121)),IFERROR(AH155/AH121,""),"")</f>
        <v>0.0271976627332346</v>
      </c>
      <c r="AI113" s="25" t="n">
        <f aca="false">IF(AND(ISNUMBER(AI155),ISNUMBER(AI121)),IFERROR(AI155/AI121,""),"")</f>
        <v>0.024010112597637</v>
      </c>
      <c r="AJ113" s="25" t="n">
        <f aca="false">IF(AND(ISNUMBER(AJ155),ISNUMBER(AJ121)),IFERROR(AJ155/AJ121,""),"")</f>
        <v>0.0216956548087995</v>
      </c>
      <c r="AK113" s="25" t="n">
        <f aca="false">IF(AND(ISNUMBER(AK155),ISNUMBER(AK121)),IFERROR(AK155/AK121,""),"")</f>
        <v>0.0222371328041895</v>
      </c>
      <c r="AL113" s="25" t="n">
        <f aca="false">IF(AND(ISNUMBER(AL155),ISNUMBER(AL121)),IFERROR(AL155/AL121,""),"")</f>
        <v>0.0204898422225109</v>
      </c>
      <c r="AM113" s="25" t="n">
        <f aca="false">IF(AND(ISNUMBER(AM155),ISNUMBER(AM121)),IFERROR(AM155/AM121,""),"")</f>
        <v>0.0220467314185221</v>
      </c>
      <c r="AN113" s="25" t="n">
        <f aca="false">IF(AND(ISNUMBER(AN155),ISNUMBER(AN121)),IFERROR(AN155/AN121,""),"")</f>
        <v>0.0196818147217782</v>
      </c>
      <c r="AO113" s="25" t="n">
        <f aca="false">IF(AND(ISNUMBER(AO155),ISNUMBER(AO121)),IFERROR(AO155/AO121,""),"")</f>
        <v>0.0190423551314871</v>
      </c>
      <c r="AP113" s="25" t="n">
        <f aca="false">IF(AND(ISNUMBER(AP155),ISNUMBER(AP121)),IFERROR(AP155/AP121,""),"")</f>
        <v>0.0177972154826421</v>
      </c>
      <c r="AQ113" s="25" t="n">
        <f aca="false">IF(AND(ISNUMBER(AQ155),ISNUMBER(AQ121)),IFERROR(AQ155/AQ121,""),"")</f>
        <v>0.0174100542796603</v>
      </c>
      <c r="AR113" s="25" t="n">
        <f aca="false">IF(AND(ISNUMBER(AR155),ISNUMBER(AR121)),IFERROR(AR155/AR121,""),"")</f>
        <v>0.0184415586271244</v>
      </c>
      <c r="AS113" s="25" t="n">
        <f aca="false">IF(AND(ISNUMBER(AS155),ISNUMBER(AS121)),IFERROR(AS155/AS121,""),"")</f>
        <v>0.0172694954918629</v>
      </c>
      <c r="AT113" s="25" t="n">
        <f aca="false">IF(AND(ISNUMBER(AT155),ISNUMBER(AT121)),IFERROR(AT155/AT121,""),"")</f>
        <v>0.0176000040286132</v>
      </c>
      <c r="AU113" s="25" t="n">
        <f aca="false">IF(AND(ISNUMBER(AU155),ISNUMBER(AU121)),IFERROR(AU155/AU121,""),"")</f>
        <v>0.0159907899064894</v>
      </c>
      <c r="AV113" s="25" t="n">
        <f aca="false">IF(AND(ISNUMBER(AV155),ISNUMBER(AV121)),IFERROR(AV155/AV121,""),"")</f>
        <v>0.0185623985976377</v>
      </c>
      <c r="AW113" s="25" t="n">
        <f aca="false">IF(AND(ISNUMBER(AW155),ISNUMBER(AW121)),IFERROR(AW155/AW121,""),"")</f>
        <v>0.0173668897101239</v>
      </c>
      <c r="AX113" s="25" t="n">
        <f aca="false">IF(AND(ISNUMBER(AX155),ISNUMBER(AX121)),IFERROR(AX155/AX121,""),"")</f>
        <v>0.0185712381772221</v>
      </c>
      <c r="AY113" s="25" t="n">
        <f aca="false">IF(AND(ISNUMBER(AY155),ISNUMBER(AY121)),IFERROR(AY155/AY121,""),"")</f>
        <v>0.0146315160524053</v>
      </c>
      <c r="AZ113" s="25" t="n">
        <f aca="false">IF(AND(ISNUMBER(AZ155),ISNUMBER(AZ121)),IFERROR(AZ155/AZ121,""),"")</f>
        <v>0.0132380301971285</v>
      </c>
      <c r="BA113" s="25" t="n">
        <f aca="false">IF(AND(ISNUMBER(BA155),ISNUMBER(BA121)),IFERROR(BA155/BA121,""),"")</f>
        <v>0.0135757499220578</v>
      </c>
      <c r="BB113" s="25" t="n">
        <f aca="false">IF(AND(ISNUMBER(BB155),ISNUMBER(BB121)),IFERROR(BB155/BB121,""),"")</f>
        <v>0.0149259182104123</v>
      </c>
      <c r="BC113" s="25" t="n">
        <f aca="false">IF(AND(ISNUMBER(BC155),ISNUMBER(BC121)),IFERROR(BC155/BC121,""),"")</f>
        <v>0.0135026413996995</v>
      </c>
      <c r="BD113" s="25" t="n">
        <f aca="false">IF(AND(ISNUMBER(BD155),ISNUMBER(BD121)),IFERROR(BD155/BD121,""),"")</f>
        <v>0.0130708473489114</v>
      </c>
      <c r="BE113" s="25" t="n">
        <f aca="false">IF(AND(ISNUMBER(BE155),ISNUMBER(BE121)),IFERROR(BE155/BE121,""),"")</f>
        <v>0.0129713190919358</v>
      </c>
      <c r="BF113" s="25" t="n">
        <f aca="false">IF(AND(ISNUMBER(BF155),ISNUMBER(BF121)),IFERROR(BF155/BF121,""),"")</f>
        <v>0.0138276256006418</v>
      </c>
      <c r="BG113" s="25" t="n">
        <f aca="false">IF(AND(ISNUMBER(BG155),ISNUMBER(BG121)),IFERROR(BG155/BG121,""),"")</f>
        <v>0.0133463220978382</v>
      </c>
      <c r="BH113" s="25" t="n">
        <f aca="false">IF(AND(ISNUMBER(BH155),ISNUMBER(BH121)),IFERROR(BH155/BH121,""),"")</f>
        <v>0.0135976425733188</v>
      </c>
      <c r="BI113" s="25" t="n">
        <f aca="false">IF(AND(ISNUMBER(BI155),ISNUMBER(BI121)),IFERROR(BI155/BI121,""),"")</f>
        <v>0.0133469548081716</v>
      </c>
      <c r="BJ113" s="25" t="n">
        <f aca="false">IF(AND(ISNUMBER(BJ155),ISNUMBER(BJ121)),IFERROR(BJ155/BJ121,""),"")</f>
        <v>0.013475936856159</v>
      </c>
      <c r="BK113" s="25" t="n">
        <f aca="false">IF(AND(ISNUMBER(BK155),ISNUMBER(BK121)),IFERROR(BK155/BK121,""),"")</f>
        <v>0.0146861461209045</v>
      </c>
      <c r="BL113" s="25" t="n">
        <f aca="false">IF(AND(ISNUMBER(BL155),ISNUMBER(BL121)),IFERROR(BL155/BL121,""),"")</f>
        <v>0.0137678207739308</v>
      </c>
      <c r="BM113" s="25" t="n">
        <f aca="false">IF(AND(ISNUMBER(BM155),ISNUMBER(BM121)),IFERROR(BM155/BM121,""),"")</f>
        <v>0.0156916514320536</v>
      </c>
      <c r="BN113" s="25" t="n">
        <f aca="false">IF(AND(ISNUMBER(BN155),ISNUMBER(BN121)),IFERROR(BN155/BN121,""),"")</f>
        <v>0.0149011507819416</v>
      </c>
      <c r="BO113" s="25" t="n">
        <f aca="false">IF(AND(ISNUMBER(BO155),ISNUMBER(BO121)),IFERROR(BO155/BO121,""),"")</f>
        <v>0.0153046491481375</v>
      </c>
      <c r="BP113" s="25" t="n">
        <f aca="false">IF(AND(ISNUMBER(BP155),ISNUMBER(BP121)),IFERROR(BP155/BP121,""),"")</f>
        <v>0.0184663095573724</v>
      </c>
      <c r="BQ113" s="25" t="n">
        <f aca="false">IF(AND(ISNUMBER(BQ155),ISNUMBER(BQ121)),IFERROR(BQ155/BQ121,""),"")</f>
        <v>0.0161172428916015</v>
      </c>
      <c r="BR113" s="25" t="n">
        <f aca="false">IF(AND(ISNUMBER(BR155),ISNUMBER(BR121)),IFERROR(BR155/BR121,""),"")</f>
        <v>0.0195301830101065</v>
      </c>
      <c r="BS113" s="25" t="n">
        <f aca="false">IF(AND(ISNUMBER(BS155),ISNUMBER(BS121)),IFERROR(BS155/BS121,""),"")</f>
        <v>0.015615000639959</v>
      </c>
      <c r="BT113" s="25" t="n">
        <f aca="false">IF(AND(ISNUMBER(BT155),ISNUMBER(BT121)),IFERROR(BT155/BT121,""),"")</f>
        <v>0.0143953934740883</v>
      </c>
      <c r="BU113" s="25" t="n">
        <f aca="false">IF(AND(ISNUMBER(BU155),ISNUMBER(BU121)),IFERROR(BU155/BU121,""),"")</f>
        <v>0.012223580397822</v>
      </c>
      <c r="BV113" s="25" t="n">
        <f aca="false">IF(AND(ISNUMBER(BV155),ISNUMBER(BV121)),IFERROR(BV155/BV121,""),"")</f>
        <v>0.0153988296889436</v>
      </c>
      <c r="BW113" s="25" t="n">
        <f aca="false">IF(AND(ISNUMBER(BW155),ISNUMBER(BW121)),IFERROR(BW155/BW121,""),"")</f>
        <v>0.0156075808249721</v>
      </c>
      <c r="BX113" s="25" t="n">
        <f aca="false">IF(AND(ISNUMBER(BX155),ISNUMBER(BX121)),IFERROR(BX155/BX121,""),"")</f>
        <v>0.0194594594594595</v>
      </c>
      <c r="BY113" s="27"/>
      <c r="BZ113" s="27"/>
      <c r="CA113" s="27" t="n">
        <f aca="false">IF(AND(ISNUMBER(CA155),ISNUMBER(CA121)),IFERROR(CA155/CA121,""),"")</f>
        <v>0.0206049605467719</v>
      </c>
      <c r="CB113" s="45" t="n">
        <v>0.022</v>
      </c>
      <c r="CC113" s="45" t="n">
        <v>0.022</v>
      </c>
      <c r="CD113" s="45" t="n">
        <v>0.022</v>
      </c>
      <c r="CE113" s="45" t="n">
        <v>0.022</v>
      </c>
      <c r="CF113" s="28" t="s">
        <v>287</v>
      </c>
      <c r="CH113" s="32" t="n">
        <f aca="false">IFERROR(AVERAGE(CA113,CB113,CC113,CD113,CE113),"n/m")</f>
        <v>0.0217209921093544</v>
      </c>
      <c r="CI113" s="32" t="n">
        <f aca="false">IFERROR(AVERAGE(BB113,BG113,BL113,BQ113,BV113),"n/m")</f>
        <v>0.0147112267325453</v>
      </c>
      <c r="CJ113" s="32" t="n">
        <f aca="false">IFERROR(AVERAGE(AC113,AH113,AM113,AR113,AW113,BB113,BG113,BL113,BQ113,BV113),"n/m")</f>
        <v>0.0187995459443877</v>
      </c>
      <c r="CK113" s="32" t="n">
        <f aca="false">IFERROR(AVERAGE(C113,D113,E113,F113,G113,H113,I113,N113,S113,X113,AC113,AH113,AM113,AR113,AW113,BB113,BG113,BL113,BQ113,BV113),"n/m")</f>
        <v>0.0279137313697392</v>
      </c>
    </row>
    <row r="114" customFormat="false" ht="15" hidden="false" customHeight="true" outlineLevel="0" collapsed="false">
      <c r="B114" s="29" t="s">
        <v>288</v>
      </c>
      <c r="C114" s="35" t="n">
        <v>5.388</v>
      </c>
      <c r="D114" s="35" t="n">
        <v>7.233</v>
      </c>
      <c r="E114" s="35" t="n">
        <v>7.164</v>
      </c>
      <c r="F114" s="35" t="n">
        <v>5.801</v>
      </c>
      <c r="G114" s="35" t="n">
        <v>3.776</v>
      </c>
      <c r="H114" s="35" t="n">
        <v>3.59</v>
      </c>
      <c r="I114" s="35" t="n">
        <v>22.241</v>
      </c>
      <c r="J114" s="35" t="n">
        <v>7.152</v>
      </c>
      <c r="K114" s="35" t="n">
        <v>6.92</v>
      </c>
      <c r="L114" s="35" t="n">
        <v>6.634</v>
      </c>
      <c r="M114" s="35" t="n">
        <v>6.36</v>
      </c>
      <c r="N114" s="35" t="n">
        <v>27.066</v>
      </c>
      <c r="O114" s="35" t="n">
        <v>6.176</v>
      </c>
      <c r="P114" s="35" t="n">
        <v>16.916</v>
      </c>
      <c r="Q114" s="35" t="n">
        <v>16.151</v>
      </c>
      <c r="R114" s="35" t="n">
        <v>15.479</v>
      </c>
      <c r="S114" s="35" t="n">
        <v>54.722</v>
      </c>
      <c r="T114" s="35" t="n">
        <v>13.489</v>
      </c>
      <c r="U114" s="35" t="n">
        <v>13.541</v>
      </c>
      <c r="V114" s="35" t="n">
        <v>17.117</v>
      </c>
      <c r="W114" s="35" t="n">
        <v>13.861</v>
      </c>
      <c r="X114" s="35" t="n">
        <v>58.008</v>
      </c>
      <c r="Y114" s="35" t="n">
        <v>11.919</v>
      </c>
      <c r="Z114" s="35" t="n">
        <v>11.516</v>
      </c>
      <c r="AA114" s="35" t="n">
        <v>11.286</v>
      </c>
      <c r="AB114" s="35" t="n">
        <v>10.829</v>
      </c>
      <c r="AC114" s="35" t="n">
        <v>45.55</v>
      </c>
      <c r="AD114" s="35" t="n">
        <v>10.893</v>
      </c>
      <c r="AE114" s="35" t="n">
        <v>9.34</v>
      </c>
      <c r="AF114" s="35" t="n">
        <v>8.498</v>
      </c>
      <c r="AG114" s="35" t="n">
        <v>8.66</v>
      </c>
      <c r="AH114" s="35" t="n">
        <v>37.391</v>
      </c>
      <c r="AI114" s="35" t="n">
        <v>10.411</v>
      </c>
      <c r="AJ114" s="35" t="n">
        <v>14.14</v>
      </c>
      <c r="AK114" s="35" t="n">
        <v>13.639</v>
      </c>
      <c r="AL114" s="35" t="n">
        <v>13.277</v>
      </c>
      <c r="AM114" s="35" t="n">
        <v>51.467</v>
      </c>
      <c r="AN114" s="35" t="n">
        <v>13.195</v>
      </c>
      <c r="AO114" s="35" t="n">
        <v>12.208</v>
      </c>
      <c r="AP114" s="35" t="n">
        <v>12.543</v>
      </c>
      <c r="AQ114" s="35" t="n">
        <v>17.406</v>
      </c>
      <c r="AR114" s="35" t="n">
        <v>55.352</v>
      </c>
      <c r="AS114" s="35" t="n">
        <v>17.489</v>
      </c>
      <c r="AT114" s="35" t="n">
        <v>20.989</v>
      </c>
      <c r="AU114" s="35" t="n">
        <v>24.87</v>
      </c>
      <c r="AV114" s="35" t="n">
        <v>24.784</v>
      </c>
      <c r="AW114" s="35" t="n">
        <v>88.132</v>
      </c>
      <c r="AX114" s="35" t="n">
        <v>25.827</v>
      </c>
      <c r="AY114" s="35" t="n">
        <v>25.293</v>
      </c>
      <c r="AZ114" s="35" t="n">
        <v>26.33</v>
      </c>
      <c r="BA114" s="35" t="n">
        <v>26.176</v>
      </c>
      <c r="BB114" s="35" t="n">
        <v>103.626</v>
      </c>
      <c r="BC114" s="35" t="n">
        <v>23.19</v>
      </c>
      <c r="BD114" s="35" t="n">
        <v>22.815</v>
      </c>
      <c r="BE114" s="35" t="n">
        <v>36.596</v>
      </c>
      <c r="BF114" s="35" t="n">
        <v>19.978</v>
      </c>
      <c r="BG114" s="35" t="n">
        <v>102.579</v>
      </c>
      <c r="BH114" s="35" t="n">
        <v>17.681</v>
      </c>
      <c r="BI114" s="35" t="n">
        <v>17.976</v>
      </c>
      <c r="BJ114" s="35" t="n">
        <v>18.707</v>
      </c>
      <c r="BK114" s="35" t="n">
        <v>19.3</v>
      </c>
      <c r="BL114" s="35" t="n">
        <v>73.7</v>
      </c>
      <c r="BM114" s="35" t="n">
        <v>19.8</v>
      </c>
      <c r="BN114" s="35" t="n">
        <v>18.1</v>
      </c>
      <c r="BO114" s="35" t="n">
        <v>16.5</v>
      </c>
      <c r="BP114" s="35" t="n">
        <v>19.8</v>
      </c>
      <c r="BQ114" s="35" t="n">
        <v>74.2</v>
      </c>
      <c r="BR114" s="35" t="n">
        <v>27.7</v>
      </c>
      <c r="BS114" s="35" t="n">
        <v>43.6</v>
      </c>
      <c r="BT114" s="35" t="n">
        <v>51.8</v>
      </c>
      <c r="BU114" s="35" t="n">
        <v>69</v>
      </c>
      <c r="BV114" s="35" t="n">
        <v>192</v>
      </c>
      <c r="BW114" s="35" t="n">
        <v>64</v>
      </c>
      <c r="BX114" s="35" t="n">
        <v>63</v>
      </c>
      <c r="BY114" s="36" t="n">
        <f aca="false">$CP$34</f>
        <v>62</v>
      </c>
      <c r="BZ114" s="36" t="n">
        <f aca="false">$CP$20-(BW114+BX114)-BY114</f>
        <v>62</v>
      </c>
      <c r="CA114" s="36" t="n">
        <f aca="false">SUM(BW114,BX114,BY114,BZ114)</f>
        <v>251</v>
      </c>
      <c r="CB114" s="44" t="n">
        <v>219</v>
      </c>
      <c r="CC114" s="44" t="n">
        <v>193</v>
      </c>
      <c r="CD114" s="44" t="n">
        <v>179</v>
      </c>
      <c r="CE114" s="44" t="n">
        <v>147</v>
      </c>
      <c r="CF114" s="28" t="s">
        <v>289</v>
      </c>
    </row>
    <row r="115" customFormat="false" ht="15" hidden="false" customHeight="true" outlineLevel="0" collapsed="false">
      <c r="B115" s="17" t="s">
        <v>290</v>
      </c>
      <c r="C115" s="19" t="n">
        <v>5.388</v>
      </c>
      <c r="D115" s="19" t="n">
        <v>7.233</v>
      </c>
      <c r="E115" s="19" t="n">
        <v>7.164</v>
      </c>
      <c r="F115" s="19" t="n">
        <v>5.801</v>
      </c>
      <c r="G115" s="19" t="n">
        <v>3.776</v>
      </c>
      <c r="H115" s="19" t="n">
        <v>3.59</v>
      </c>
      <c r="I115" s="19" t="n">
        <v>22.241</v>
      </c>
      <c r="J115" s="19" t="n">
        <v>7.152</v>
      </c>
      <c r="K115" s="19" t="n">
        <v>6.92</v>
      </c>
      <c r="L115" s="19" t="n">
        <v>6.634</v>
      </c>
      <c r="M115" s="19" t="n">
        <v>6.36</v>
      </c>
      <c r="N115" s="19" t="n">
        <v>27.066</v>
      </c>
      <c r="O115" s="19" t="n">
        <v>6.176</v>
      </c>
      <c r="P115" s="19" t="n">
        <v>16.916</v>
      </c>
      <c r="Q115" s="19" t="n">
        <v>16.151</v>
      </c>
      <c r="R115" s="19" t="n">
        <v>15.479</v>
      </c>
      <c r="S115" s="19" t="n">
        <v>54.722</v>
      </c>
      <c r="T115" s="19" t="n">
        <v>13.489</v>
      </c>
      <c r="U115" s="19" t="n">
        <v>13.541</v>
      </c>
      <c r="V115" s="19" t="n">
        <v>17.117</v>
      </c>
      <c r="W115" s="19" t="n">
        <v>13.861</v>
      </c>
      <c r="X115" s="19" t="n">
        <v>58.008</v>
      </c>
      <c r="Y115" s="19" t="n">
        <v>11.919</v>
      </c>
      <c r="Z115" s="19" t="n">
        <v>11.516</v>
      </c>
      <c r="AA115" s="19" t="n">
        <v>11.286</v>
      </c>
      <c r="AB115" s="19" t="n">
        <v>10.829</v>
      </c>
      <c r="AC115" s="19" t="n">
        <v>45.55</v>
      </c>
      <c r="AD115" s="19" t="n">
        <v>10.893</v>
      </c>
      <c r="AE115" s="19" t="n">
        <v>9.34</v>
      </c>
      <c r="AF115" s="19" t="n">
        <v>8.498</v>
      </c>
      <c r="AG115" s="19" t="n">
        <v>8.66</v>
      </c>
      <c r="AH115" s="19" t="n">
        <v>37.391</v>
      </c>
      <c r="AI115" s="19" t="n">
        <v>10.411</v>
      </c>
      <c r="AJ115" s="19" t="n">
        <v>14.14</v>
      </c>
      <c r="AK115" s="19" t="n">
        <v>13.639</v>
      </c>
      <c r="AL115" s="19" t="n">
        <v>13.277</v>
      </c>
      <c r="AM115" s="19" t="n">
        <v>51.467</v>
      </c>
      <c r="AN115" s="19" t="n">
        <v>13.195</v>
      </c>
      <c r="AO115" s="19" t="n">
        <v>12.208</v>
      </c>
      <c r="AP115" s="19" t="n">
        <v>12.543</v>
      </c>
      <c r="AQ115" s="19" t="n">
        <v>17.406</v>
      </c>
      <c r="AR115" s="19" t="n">
        <v>55.352</v>
      </c>
      <c r="AS115" s="19" t="n">
        <v>17.489</v>
      </c>
      <c r="AT115" s="19" t="n">
        <v>20.989</v>
      </c>
      <c r="AU115" s="19" t="n">
        <v>24.87</v>
      </c>
      <c r="AV115" s="19" t="n">
        <v>24.784</v>
      </c>
      <c r="AW115" s="19" t="n">
        <v>88.132</v>
      </c>
      <c r="AX115" s="19" t="n">
        <v>25.827</v>
      </c>
      <c r="AY115" s="19" t="n">
        <v>25.293</v>
      </c>
      <c r="AZ115" s="19" t="n">
        <v>26.33</v>
      </c>
      <c r="BA115" s="19" t="n">
        <v>26.176</v>
      </c>
      <c r="BB115" s="19" t="n">
        <v>103.626</v>
      </c>
      <c r="BC115" s="19" t="n">
        <v>23.19</v>
      </c>
      <c r="BD115" s="19" t="n">
        <v>22.815</v>
      </c>
      <c r="BE115" s="19" t="n">
        <v>36.596</v>
      </c>
      <c r="BF115" s="19" t="n">
        <v>19.978</v>
      </c>
      <c r="BG115" s="19" t="n">
        <v>102.579</v>
      </c>
      <c r="BH115" s="19" t="n">
        <v>17.681</v>
      </c>
      <c r="BI115" s="19" t="n">
        <v>17.976</v>
      </c>
      <c r="BJ115" s="19" t="n">
        <v>18.707</v>
      </c>
      <c r="BK115" s="19" t="n">
        <v>19.3</v>
      </c>
      <c r="BL115" s="19" t="n">
        <v>73.7</v>
      </c>
      <c r="BM115" s="19" t="n">
        <v>19.8</v>
      </c>
      <c r="BN115" s="19" t="n">
        <v>18.1</v>
      </c>
      <c r="BO115" s="19" t="n">
        <v>16.5</v>
      </c>
      <c r="BP115" s="19" t="n">
        <v>19.8</v>
      </c>
      <c r="BQ115" s="19" t="n">
        <v>74.2</v>
      </c>
      <c r="BR115" s="19" t="n">
        <v>27.7</v>
      </c>
      <c r="BS115" s="19" t="n">
        <v>43.6</v>
      </c>
      <c r="BT115" s="19" t="n">
        <v>51.8</v>
      </c>
      <c r="BU115" s="19" t="n">
        <v>69</v>
      </c>
      <c r="BV115" s="19" t="n">
        <v>192</v>
      </c>
      <c r="BW115" s="19" t="n">
        <v>64</v>
      </c>
      <c r="BX115" s="19" t="n">
        <v>63</v>
      </c>
      <c r="BY115" s="20" t="n">
        <f aca="false">BY114+N(BY63)+N(BY79)</f>
        <v>65.5945205479452</v>
      </c>
      <c r="BZ115" s="20" t="n">
        <f aca="false">BZ114+N(BZ63)+N(BZ79)</f>
        <v>70.0657534246575</v>
      </c>
      <c r="CA115" s="20" t="n">
        <f aca="false">CA114+N(CA63)+N(CA79)</f>
        <v>262.660273972603</v>
      </c>
      <c r="CB115" s="20" t="n">
        <f aca="false">CB114+N(CB63)+N(CB79)</f>
        <v>251</v>
      </c>
      <c r="CC115" s="20" t="n">
        <f aca="false">CC114+N(CC63)+N(CC79)</f>
        <v>225</v>
      </c>
      <c r="CD115" s="20" t="n">
        <f aca="false">CD114+N(CD63)+N(CD79)</f>
        <v>211</v>
      </c>
      <c r="CE115" s="20" t="n">
        <f aca="false">CE114+N(CE63)+N(CE79)</f>
        <v>179</v>
      </c>
      <c r="CF115" s="21"/>
    </row>
    <row r="116" customFormat="false" ht="15" hidden="false" customHeight="true" outlineLevel="0" collapsed="false">
      <c r="B116" s="29" t="s">
        <v>291</v>
      </c>
      <c r="C116" s="25" t="n">
        <f aca="false">IF(AND(ISNUMBER(C128),ISNUMBER(C115)),IFERROR(C128/C115,""),"")</f>
        <v>0.776354862657758</v>
      </c>
      <c r="D116" s="25" t="n">
        <f aca="false">IF(AND(ISNUMBER(D128),ISNUMBER(D115)),IFERROR(D128/D115,""),"")</f>
        <v>0.699986174478087</v>
      </c>
      <c r="E116" s="25" t="n">
        <f aca="false">IF(AND(ISNUMBER(E128),ISNUMBER(E115)),IFERROR(E128/E115,""),"")</f>
        <v>0.681183696259073</v>
      </c>
      <c r="F116" s="25" t="n">
        <f aca="false">IF(AND(ISNUMBER(F128),ISNUMBER(F115)),IFERROR(F128/F115,""),"")</f>
        <v>0.588174452680572</v>
      </c>
      <c r="G116" s="25" t="n">
        <f aca="false">IF(AND(ISNUMBER(G128),ISNUMBER(G115)),IFERROR(G128/G115,""),"")</f>
        <v>0.610434322033898</v>
      </c>
      <c r="H116" s="25" t="n">
        <f aca="false">IF(AND(ISNUMBER(H128),ISNUMBER(H115)),IFERROR(H128/H115,""),"")</f>
        <v>0.623119777158774</v>
      </c>
      <c r="I116" s="25" t="n">
        <f aca="false">IF(AND(ISNUMBER(I128),ISNUMBER(I115)),IFERROR(I128/I115,""),"")</f>
        <v>0.611798030664089</v>
      </c>
      <c r="J116" s="25" t="n">
        <f aca="false">IF(AND(ISNUMBER(J128),ISNUMBER(J115)),IFERROR(J128/J115,""),"")</f>
        <v>0.576761744966443</v>
      </c>
      <c r="K116" s="25" t="n">
        <f aca="false">IF(AND(ISNUMBER(K128),ISNUMBER(K115)),IFERROR(K128/K115,""),"")</f>
        <v>0.56271676300578</v>
      </c>
      <c r="L116" s="25" t="n">
        <f aca="false">IF(AND(ISNUMBER(L128),ISNUMBER(L115)),IFERROR(L128/L115,""),"")</f>
        <v>0.554718118782032</v>
      </c>
      <c r="M116" s="25" t="n">
        <f aca="false">IF(AND(ISNUMBER(M128),ISNUMBER(M115)),IFERROR(M128/M115,""),"")</f>
        <v>0.547798742138365</v>
      </c>
      <c r="N116" s="25" t="n">
        <f aca="false">IF(AND(ISNUMBER(N128),ISNUMBER(N115)),IFERROR(N128/N115,""),"")</f>
        <v>0.560962092662381</v>
      </c>
      <c r="O116" s="25" t="n">
        <f aca="false">IF(AND(ISNUMBER(O128),ISNUMBER(O115)),IFERROR(O128/O115,""),"")</f>
        <v>0.534164507772021</v>
      </c>
      <c r="P116" s="25" t="n">
        <f aca="false">IF(AND(ISNUMBER(P128),ISNUMBER(P115)),IFERROR(P128/P115,""),"")</f>
        <v>0.534168834239773</v>
      </c>
      <c r="Q116" s="25" t="n">
        <f aca="false">IF(AND(ISNUMBER(Q128),ISNUMBER(Q115)),IFERROR(Q128/Q115,""),"")</f>
        <v>0.517676924029472</v>
      </c>
      <c r="R116" s="25" t="n">
        <f aca="false">IF(AND(ISNUMBER(R128),ISNUMBER(R115)),IFERROR(R128/R115,""),"")</f>
        <v>0.499773887202016</v>
      </c>
      <c r="S116" s="25" t="n">
        <f aca="false">IF(AND(ISNUMBER(S128),ISNUMBER(S115)),IFERROR(S128/S115,""),"")</f>
        <v>0.519571653082855</v>
      </c>
      <c r="T116" s="25" t="n">
        <f aca="false">IF(AND(ISNUMBER(T128),ISNUMBER(T115)),IFERROR(T128/T115,""),"")</f>
        <v>0.529468455778783</v>
      </c>
      <c r="U116" s="25" t="n">
        <f aca="false">IF(AND(ISNUMBER(U128),ISNUMBER(U115)),IFERROR(U128/U115,""),"")</f>
        <v>0.514363784063215</v>
      </c>
      <c r="V116" s="25" t="n">
        <f aca="false">IF(AND(ISNUMBER(V128),ISNUMBER(V115)),IFERROR(V128/V115,""),"")</f>
        <v>0.417888648711807</v>
      </c>
      <c r="W116" s="25" t="n">
        <f aca="false">IF(AND(ISNUMBER(W128),ISNUMBER(W115)),IFERROR(W128/W115,""),"")</f>
        <v>0.481278407041339</v>
      </c>
      <c r="X116" s="25" t="n">
        <f aca="false">IF(AND(ISNUMBER(X128),ISNUMBER(X115)),IFERROR(X128/X115,""),"")</f>
        <v>0.481502551372225</v>
      </c>
      <c r="Y116" s="25" t="n">
        <f aca="false">IF(AND(ISNUMBER(Y128),ISNUMBER(Y115)),IFERROR(Y128/Y115,""),"")</f>
        <v>0.522107559359007</v>
      </c>
      <c r="Z116" s="25" t="n">
        <f aca="false">IF(AND(ISNUMBER(Z128),ISNUMBER(Z115)),IFERROR(Z128/Z115,""),"")</f>
        <v>0.506165335185828</v>
      </c>
      <c r="AA116" s="25" t="n">
        <f aca="false">IF(AND(ISNUMBER(AA128),ISNUMBER(AA115)),IFERROR(AA128/AA115,""),"")</f>
        <v>0.491759702286018</v>
      </c>
      <c r="AB116" s="25" t="n">
        <f aca="false">IF(AND(ISNUMBER(AB128),ISNUMBER(AB115)),IFERROR(AB128/AB115,""),"")</f>
        <v>0.47363560808939</v>
      </c>
      <c r="AC116" s="25" t="n">
        <f aca="false">IF(AND(ISNUMBER(AC128),ISNUMBER(AC115)),IFERROR(AC128/AC115,""),"")</f>
        <v>0.499034028540066</v>
      </c>
      <c r="AD116" s="25" t="n">
        <f aca="false">IF(AND(ISNUMBER(AD128),ISNUMBER(AD115)),IFERROR(AD128/AD115,""),"")</f>
        <v>0.438263104746167</v>
      </c>
      <c r="AE116" s="25" t="n">
        <f aca="false">IF(AND(ISNUMBER(AE128),ISNUMBER(AE115)),IFERROR(AE128/AE115,""),"")</f>
        <v>0.489293361884368</v>
      </c>
      <c r="AF116" s="25" t="n">
        <f aca="false">IF(AND(ISNUMBER(AF128),ISNUMBER(AF115)),IFERROR(AF128/AF115,""),"")</f>
        <v>0.505766062602965</v>
      </c>
      <c r="AG116" s="25" t="n">
        <f aca="false">IF(AND(ISNUMBER(AG128),ISNUMBER(AG115)),IFERROR(AG128/AG115,""),"")</f>
        <v>0.465242494226328</v>
      </c>
      <c r="AH116" s="25" t="n">
        <f aca="false">IF(AND(ISNUMBER(AH128),ISNUMBER(AH115)),IFERROR(AH128/AH115,""),"")</f>
        <v>0.47260035837501</v>
      </c>
      <c r="AI116" s="25" t="n">
        <f aca="false">IF(AND(ISNUMBER(AI128),ISNUMBER(AI115)),IFERROR(AI128/AI115,""),"")</f>
        <v>0.557391220824128</v>
      </c>
      <c r="AJ116" s="25" t="n">
        <f aca="false">IF(AND(ISNUMBER(AJ128),ISNUMBER(AJ115)),IFERROR(AJ128/AJ115,""),"")</f>
        <v>0.623479490806224</v>
      </c>
      <c r="AK116" s="25" t="n">
        <f aca="false">IF(AND(ISNUMBER(AK128),ISNUMBER(AK115)),IFERROR(AK128/AK115,""),"")</f>
        <v>0.610675269447907</v>
      </c>
      <c r="AL116" s="25" t="n">
        <f aca="false">IF(AND(ISNUMBER(AL128),ISNUMBER(AL115)),IFERROR(AL128/AL115,""),"")</f>
        <v>0.597499435113354</v>
      </c>
      <c r="AM116" s="25" t="n">
        <f aca="false">IF(AND(ISNUMBER(AM128),ISNUMBER(AM115)),IFERROR(AM128/AM115,""),"")</f>
        <v>0.600015543940778</v>
      </c>
      <c r="AN116" s="25" t="n">
        <f aca="false">IF(AND(ISNUMBER(AN128),ISNUMBER(AN115)),IFERROR(AN128/AN115,""),"")</f>
        <v>0.582190223569534</v>
      </c>
      <c r="AO116" s="25" t="n">
        <f aca="false">IF(AND(ISNUMBER(AO128),ISNUMBER(AO115)),IFERROR(AO128/AO115,""),"")</f>
        <v>0.587729357798165</v>
      </c>
      <c r="AP116" s="25" t="n">
        <f aca="false">IF(AND(ISNUMBER(AP128),ISNUMBER(AP115)),IFERROR(AP128/AP115,""),"")</f>
        <v>0.607191262058519</v>
      </c>
      <c r="AQ116" s="25" t="n">
        <f aca="false">IF(AND(ISNUMBER(AQ128),ISNUMBER(AQ115)),IFERROR(AQ128/AQ115,""),"")</f>
        <v>0.661955647477881</v>
      </c>
      <c r="AR116" s="25" t="n">
        <f aca="false">IF(AND(ISNUMBER(AR128),ISNUMBER(AR115)),IFERROR(AR128/AR115,""),"")</f>
        <v>0.61416028327793</v>
      </c>
      <c r="AS116" s="25" t="n">
        <f aca="false">IF(AND(ISNUMBER(AS128),ISNUMBER(AS115)),IFERROR(AS128/AS115,""),"")</f>
        <v>0.656641317399508</v>
      </c>
      <c r="AT116" s="25" t="n">
        <f aca="false">IF(AND(ISNUMBER(AT128),ISNUMBER(AT115)),IFERROR(AT128/AT115,""),"")</f>
        <v>0.711563199771309</v>
      </c>
      <c r="AU116" s="25" t="n">
        <f aca="false">IF(AND(ISNUMBER(AU128),ISNUMBER(AU115)),IFERROR(AU128/AU115,""),"")</f>
        <v>0.734137515078408</v>
      </c>
      <c r="AV116" s="25" t="n">
        <f aca="false">IF(AND(ISNUMBER(AV128),ISNUMBER(AV115)),IFERROR(AV128/AV115,""),"")</f>
        <v>0.717398321497741</v>
      </c>
      <c r="AW116" s="25" t="n">
        <f aca="false">IF(AND(ISNUMBER(AW128),ISNUMBER(AW115)),IFERROR(AW128/AW115,""),"")</f>
        <v>0.708675622929243</v>
      </c>
      <c r="AX116" s="25" t="n">
        <f aca="false">IF(AND(ISNUMBER(AX128),ISNUMBER(AX115)),IFERROR(AX128/AX115,""),"")</f>
        <v>0.713168389669725</v>
      </c>
      <c r="AY116" s="25" t="n">
        <f aca="false">IF(AND(ISNUMBER(AY128),ISNUMBER(AY115)),IFERROR(AY128/AY115,""),"")</f>
        <v>0.725299489977464</v>
      </c>
      <c r="AZ116" s="25" t="n">
        <f aca="false">IF(AND(ISNUMBER(AZ128),ISNUMBER(AZ115)),IFERROR(AZ128/AZ115,""),"")</f>
        <v>0.726205848841626</v>
      </c>
      <c r="BA116" s="25" t="n">
        <f aca="false">IF(AND(ISNUMBER(BA128),ISNUMBER(BA115)),IFERROR(BA128/BA115,""),"")</f>
        <v>0.723257946210269</v>
      </c>
      <c r="BB116" s="25" t="n">
        <f aca="false">IF(AND(ISNUMBER(BB128),ISNUMBER(BB115)),IFERROR(BB128/BB115,""),"")</f>
        <v>0.721990620114643</v>
      </c>
      <c r="BC116" s="25" t="n">
        <f aca="false">IF(AND(ISNUMBER(BC128),ISNUMBER(BC115)),IFERROR(BC128/BC115,""),"")</f>
        <v>0.69391979301423</v>
      </c>
      <c r="BD116" s="25" t="n">
        <f aca="false">IF(AND(ISNUMBER(BD128),ISNUMBER(BD115)),IFERROR(BD128/BD115,""),"")</f>
        <v>0.652114836730221</v>
      </c>
      <c r="BE116" s="25" t="n">
        <f aca="false">IF(AND(ISNUMBER(BE128),ISNUMBER(BE115)),IFERROR(BE128/BE115,""),"")</f>
        <v>0.810225161219806</v>
      </c>
      <c r="BF116" s="25" t="n">
        <f aca="false">IF(AND(ISNUMBER(BF128),ISNUMBER(BF115)),IFERROR(BF128/BF115,""),"")</f>
        <v>0.647662428671539</v>
      </c>
      <c r="BG116" s="25" t="n">
        <f aca="false">IF(AND(ISNUMBER(BG128),ISNUMBER(BG115)),IFERROR(BG128/BG115,""),"")</f>
        <v>0.717105840376685</v>
      </c>
      <c r="BH116" s="25" t="n">
        <f aca="false">IF(AND(ISNUMBER(BH128),ISNUMBER(BH115)),IFERROR(BH128/BH115,""),"")</f>
        <v>0.600475086250778</v>
      </c>
      <c r="BI116" s="25" t="n">
        <f aca="false">IF(AND(ISNUMBER(BI128),ISNUMBER(BI115)),IFERROR(BI128/BI115,""),"")</f>
        <v>0.580774365821095</v>
      </c>
      <c r="BJ116" s="25" t="n">
        <f aca="false">IF(AND(ISNUMBER(BJ128),ISNUMBER(BJ115)),IFERROR(BJ128/BJ115,""),"")</f>
        <v>0.548137060993211</v>
      </c>
      <c r="BK116" s="25" t="n">
        <f aca="false">IF(AND(ISNUMBER(BK128),ISNUMBER(BK115)),IFERROR(BK128/BK115,""),"")</f>
        <v>0.56419689119171</v>
      </c>
      <c r="BL116" s="25" t="n">
        <f aca="false">IF(AND(ISNUMBER(BL128),ISNUMBER(BL115)),IFERROR(BL128/BL115,""),"")</f>
        <v>0.572591587516961</v>
      </c>
      <c r="BM116" s="25" t="n">
        <f aca="false">IF(AND(ISNUMBER(BM128),ISNUMBER(BM115)),IFERROR(BM128/BM115,""),"")</f>
        <v>0.555555555555556</v>
      </c>
      <c r="BN116" s="25" t="n">
        <f aca="false">IF(AND(ISNUMBER(BN128),ISNUMBER(BN115)),IFERROR(BN128/BN115,""),"")</f>
        <v>0.56353591160221</v>
      </c>
      <c r="BO116" s="25" t="n">
        <f aca="false">IF(AND(ISNUMBER(BO128),ISNUMBER(BO115)),IFERROR(BO128/BO115,""),"")</f>
        <v>0.624242424242424</v>
      </c>
      <c r="BP116" s="25" t="n">
        <f aca="false">IF(AND(ISNUMBER(BP128),ISNUMBER(BP115)),IFERROR(BP128/BP115,""),"")</f>
        <v>0.646464646464647</v>
      </c>
      <c r="BQ116" s="25" t="n">
        <f aca="false">IF(AND(ISNUMBER(BQ128),ISNUMBER(BQ115)),IFERROR(BQ128/BQ115,""),"")</f>
        <v>0.597035040431267</v>
      </c>
      <c r="BR116" s="25" t="n">
        <f aca="false">IF(AND(ISNUMBER(BR128),ISNUMBER(BR115)),IFERROR(BR128/BR115,""),"")</f>
        <v>0.620938628158845</v>
      </c>
      <c r="BS116" s="25" t="n">
        <f aca="false">IF(AND(ISNUMBER(BS128),ISNUMBER(BS115)),IFERROR(BS128/BS115,""),"")</f>
        <v>0.607798165137615</v>
      </c>
      <c r="BT116" s="25" t="n">
        <f aca="false">IF(AND(ISNUMBER(BT128),ISNUMBER(BT115)),IFERROR(BT128/BT115,""),"")</f>
        <v>0.613899613899614</v>
      </c>
      <c r="BU116" s="25" t="n">
        <f aca="false">IF(AND(ISNUMBER(BU128),ISNUMBER(BU115)),IFERROR(BU128/BU115,""),"")</f>
        <v>0.615942028985507</v>
      </c>
      <c r="BV116" s="25" t="n">
        <f aca="false">IF(AND(ISNUMBER(BV128),ISNUMBER(BV115)),IFERROR(BV128/BV115,""),"")</f>
        <v>0.614583333333333</v>
      </c>
      <c r="BW116" s="25" t="n">
        <f aca="false">IF(AND(ISNUMBER(BW128),ISNUMBER(BW115)),IFERROR(BW128/BW115,""),"")</f>
        <v>0.578125</v>
      </c>
      <c r="BX116" s="25" t="n">
        <f aca="false">IF(AND(ISNUMBER(BX128),ISNUMBER(BX115)),IFERROR(BX128/BX115,""),"")</f>
        <v>0.571428571428571</v>
      </c>
      <c r="BY116" s="27" t="n">
        <f aca="false">(BW128+BX128)/(BW115+BX115)</f>
        <v>0.574803149606299</v>
      </c>
      <c r="BZ116" s="27" t="n">
        <f aca="false">BY116</f>
        <v>0.574803149606299</v>
      </c>
      <c r="CA116" s="27" t="n">
        <f aca="false">IF(AND(ISNUMBER(CA128),ISNUMBER(CA115)),IFERROR(CA128/CA115,""),"")</f>
        <v>0.574803149606299</v>
      </c>
      <c r="CB116" s="27" t="n">
        <f aca="false">$BY116</f>
        <v>0.574803149606299</v>
      </c>
      <c r="CC116" s="27" t="n">
        <f aca="false">$BY116</f>
        <v>0.574803149606299</v>
      </c>
      <c r="CD116" s="27" t="n">
        <f aca="false">$BY116</f>
        <v>0.574803149606299</v>
      </c>
      <c r="CE116" s="27" t="n">
        <f aca="false">$BY116</f>
        <v>0.574803149606299</v>
      </c>
      <c r="CF116" s="28" t="s">
        <v>292</v>
      </c>
    </row>
    <row r="117" customFormat="false" ht="15" hidden="false" customHeight="true" outlineLevel="0" collapsed="false">
      <c r="B117" s="29" t="s">
        <v>293</v>
      </c>
      <c r="C117" s="35" t="n">
        <v>0.001</v>
      </c>
      <c r="D117" s="35" t="n">
        <v>0</v>
      </c>
      <c r="E117" s="35" t="n">
        <v>0</v>
      </c>
      <c r="F117" s="35" t="n">
        <v>0</v>
      </c>
      <c r="G117" s="35" t="n">
        <v>0</v>
      </c>
      <c r="H117" s="35" t="n">
        <v>0</v>
      </c>
      <c r="I117" s="35" t="n">
        <v>0</v>
      </c>
      <c r="J117" s="35" t="n">
        <v>0</v>
      </c>
      <c r="K117" s="35" t="n">
        <v>0</v>
      </c>
      <c r="L117" s="35" t="n">
        <v>0</v>
      </c>
      <c r="M117" s="35" t="n">
        <v>0</v>
      </c>
      <c r="N117" s="35" t="n">
        <v>0</v>
      </c>
      <c r="O117" s="35" t="n">
        <v>0</v>
      </c>
      <c r="P117" s="35" t="n">
        <v>0</v>
      </c>
      <c r="Q117" s="35" t="n">
        <v>0</v>
      </c>
      <c r="R117" s="35" t="n">
        <v>0</v>
      </c>
      <c r="S117" s="35" t="n">
        <v>0</v>
      </c>
      <c r="T117" s="35" t="n">
        <v>0</v>
      </c>
      <c r="U117" s="35" t="n">
        <v>0</v>
      </c>
      <c r="V117" s="35" t="n">
        <v>0</v>
      </c>
      <c r="W117" s="35" t="n">
        <v>0</v>
      </c>
      <c r="X117" s="35" t="n">
        <v>0</v>
      </c>
      <c r="Y117" s="35" t="n">
        <v>0</v>
      </c>
      <c r="Z117" s="35" t="n">
        <v>0</v>
      </c>
      <c r="AA117" s="35" t="n">
        <v>0</v>
      </c>
      <c r="AB117" s="35" t="n">
        <v>0</v>
      </c>
      <c r="AC117" s="35" t="n">
        <v>0</v>
      </c>
      <c r="AD117" s="35" t="n">
        <v>0</v>
      </c>
      <c r="AE117" s="35" t="n">
        <v>0</v>
      </c>
      <c r="AF117" s="35" t="n">
        <v>0</v>
      </c>
      <c r="AG117" s="35" t="n">
        <v>0</v>
      </c>
      <c r="AH117" s="35" t="n">
        <v>0</v>
      </c>
      <c r="AI117" s="35" t="n">
        <v>0</v>
      </c>
      <c r="AJ117" s="35" t="n">
        <v>0</v>
      </c>
      <c r="AK117" s="35" t="n">
        <v>0</v>
      </c>
      <c r="AL117" s="35" t="n">
        <v>0</v>
      </c>
      <c r="AM117" s="35" t="n">
        <v>0</v>
      </c>
      <c r="AN117" s="35" t="n">
        <v>0</v>
      </c>
      <c r="AO117" s="35" t="n">
        <v>0</v>
      </c>
      <c r="AP117" s="35" t="n">
        <v>0</v>
      </c>
      <c r="AQ117" s="35" t="n">
        <v>0</v>
      </c>
      <c r="AR117" s="35" t="n">
        <v>0</v>
      </c>
      <c r="AS117" s="35" t="n">
        <v>0</v>
      </c>
      <c r="AT117" s="35" t="n">
        <v>0</v>
      </c>
      <c r="AU117" s="35" t="n">
        <v>0</v>
      </c>
      <c r="AV117" s="35" t="n">
        <v>0</v>
      </c>
      <c r="AW117" s="35" t="n">
        <v>0</v>
      </c>
      <c r="AX117" s="35" t="n">
        <v>1.083</v>
      </c>
      <c r="AY117" s="35" t="n">
        <v>0.785</v>
      </c>
      <c r="AZ117" s="35" t="n">
        <v>0.934</v>
      </c>
      <c r="BA117" s="35" t="n">
        <v>4.112</v>
      </c>
      <c r="BB117" s="35" t="n">
        <v>6.914</v>
      </c>
      <c r="BC117" s="35" t="n">
        <v>2.035</v>
      </c>
      <c r="BD117" s="35" t="n">
        <v>2.112</v>
      </c>
      <c r="BE117" s="35" t="n">
        <v>2.036</v>
      </c>
      <c r="BF117" s="35" t="n">
        <v>-0.004</v>
      </c>
      <c r="BG117" s="35" t="n">
        <v>6.179</v>
      </c>
      <c r="BH117" s="35" t="n">
        <v>0</v>
      </c>
      <c r="BI117" s="35" t="n">
        <v>0</v>
      </c>
      <c r="BJ117" s="35" t="n">
        <v>0</v>
      </c>
      <c r="BK117" s="35" t="n">
        <v>-0.015</v>
      </c>
      <c r="BL117" s="35" t="n">
        <v>0</v>
      </c>
      <c r="BM117" s="35" t="n">
        <v>3.2</v>
      </c>
      <c r="BN117" s="35" t="n">
        <v>10.6</v>
      </c>
      <c r="BO117" s="35" t="n">
        <v>8.4</v>
      </c>
      <c r="BP117" s="35" t="n">
        <v>6.4</v>
      </c>
      <c r="BQ117" s="35" t="n">
        <v>28.6</v>
      </c>
      <c r="BR117" s="35" t="n">
        <v>5.3</v>
      </c>
      <c r="BS117" s="35" t="n">
        <v>9.7</v>
      </c>
      <c r="BT117" s="35" t="n">
        <v>5.4</v>
      </c>
      <c r="BU117" s="35" t="n">
        <v>1</v>
      </c>
      <c r="BV117" s="35" t="n">
        <v>21</v>
      </c>
      <c r="BW117" s="35" t="n">
        <v>4</v>
      </c>
      <c r="BX117" s="35" t="n">
        <v>4</v>
      </c>
      <c r="BY117" s="44" t="n">
        <v>4</v>
      </c>
      <c r="BZ117" s="44" t="n">
        <v>4</v>
      </c>
      <c r="CA117" s="36" t="n">
        <f aca="false">SUM(BW117,BX117,BY117,BZ117)</f>
        <v>16</v>
      </c>
      <c r="CB117" s="44" t="n">
        <v>14</v>
      </c>
      <c r="CC117" s="44" t="n">
        <v>14</v>
      </c>
      <c r="CD117" s="44" t="n">
        <v>14</v>
      </c>
      <c r="CE117" s="44" t="n">
        <v>14</v>
      </c>
      <c r="CF117" s="28" t="s">
        <v>294</v>
      </c>
    </row>
    <row r="118" customFormat="false" ht="15" hidden="false" customHeight="true" outlineLevel="0" collapsed="false">
      <c r="B118" s="29" t="s">
        <v>295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6" t="n">
        <f aca="false">$CP$38</f>
        <v>2</v>
      </c>
      <c r="BZ118" s="36" t="n">
        <f aca="false">$CP$26-(BW163+BX163)-BY118</f>
        <v>1</v>
      </c>
      <c r="CA118" s="36" t="n">
        <f aca="false">SUM(BW118,BX118,BY118,BZ118)</f>
        <v>3</v>
      </c>
      <c r="CB118" s="44" t="n">
        <v>10</v>
      </c>
      <c r="CC118" s="44" t="n">
        <v>10</v>
      </c>
      <c r="CD118" s="44" t="n">
        <v>10</v>
      </c>
      <c r="CE118" s="44" t="n">
        <v>10</v>
      </c>
      <c r="CF118" s="28" t="s">
        <v>296</v>
      </c>
    </row>
    <row r="120" customFormat="false" ht="15" hidden="false" customHeight="true" outlineLevel="0" collapsed="false">
      <c r="B120" s="11" t="s">
        <v>297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 t="s">
        <v>298</v>
      </c>
    </row>
    <row r="121" customFormat="false" ht="15" hidden="false" customHeight="true" outlineLevel="0" collapsed="false">
      <c r="B121" s="50" t="s">
        <v>299</v>
      </c>
      <c r="C121" s="57" t="n">
        <v>158.889</v>
      </c>
      <c r="D121" s="57" t="n">
        <v>192.805</v>
      </c>
      <c r="E121" s="57" t="n">
        <v>212.428</v>
      </c>
      <c r="F121" s="57" t="n">
        <v>209.659</v>
      </c>
      <c r="G121" s="57" t="n">
        <v>226.26</v>
      </c>
      <c r="H121" s="57" t="n">
        <v>251.738</v>
      </c>
      <c r="I121" s="57" t="n">
        <v>349.936</v>
      </c>
      <c r="J121" s="57" t="n">
        <v>104.033</v>
      </c>
      <c r="K121" s="57" t="n">
        <v>108.999</v>
      </c>
      <c r="L121" s="57" t="n">
        <v>112.301</v>
      </c>
      <c r="M121" s="57" t="n">
        <v>115.61</v>
      </c>
      <c r="N121" s="57" t="n">
        <v>440.943</v>
      </c>
      <c r="O121" s="57" t="n">
        <v>119.076</v>
      </c>
      <c r="P121" s="57" t="n">
        <v>147.708</v>
      </c>
      <c r="Q121" s="57" t="n">
        <v>153.056</v>
      </c>
      <c r="R121" s="57" t="n">
        <v>156.096</v>
      </c>
      <c r="S121" s="57" t="n">
        <v>575.936</v>
      </c>
      <c r="T121" s="57" t="n">
        <v>159.02</v>
      </c>
      <c r="U121" s="57" t="n">
        <v>170.657</v>
      </c>
      <c r="V121" s="57" t="n">
        <v>189.078</v>
      </c>
      <c r="W121" s="57" t="n">
        <v>193.009</v>
      </c>
      <c r="X121" s="57" t="n">
        <v>711.764</v>
      </c>
      <c r="Y121" s="57" t="n">
        <v>199.739</v>
      </c>
      <c r="Z121" s="57" t="n">
        <v>206.869</v>
      </c>
      <c r="AA121" s="57" t="n">
        <v>212.711</v>
      </c>
      <c r="AB121" s="57" t="n">
        <v>218.311</v>
      </c>
      <c r="AC121" s="57" t="n">
        <v>837.63</v>
      </c>
      <c r="AD121" s="57" t="n">
        <v>226.553</v>
      </c>
      <c r="AE121" s="57" t="n">
        <v>237.153</v>
      </c>
      <c r="AF121" s="57" t="n">
        <v>247.533</v>
      </c>
      <c r="AG121" s="57" t="n">
        <v>253.991</v>
      </c>
      <c r="AH121" s="57" t="n">
        <v>965.23</v>
      </c>
      <c r="AI121" s="57" t="n">
        <v>273.718</v>
      </c>
      <c r="AJ121" s="57" t="n">
        <v>297.018</v>
      </c>
      <c r="AK121" s="57" t="n">
        <v>305.525</v>
      </c>
      <c r="AL121" s="57" t="n">
        <v>315.571</v>
      </c>
      <c r="AM121" s="57" t="n">
        <v>1191.832</v>
      </c>
      <c r="AN121" s="57" t="n">
        <v>328.425</v>
      </c>
      <c r="AO121" s="57" t="n">
        <v>343.76</v>
      </c>
      <c r="AP121" s="57" t="n">
        <v>352.808</v>
      </c>
      <c r="AQ121" s="57" t="n">
        <v>374.726</v>
      </c>
      <c r="AR121" s="57" t="n">
        <v>1399.719</v>
      </c>
      <c r="AS121" s="57" t="n">
        <v>391.847</v>
      </c>
      <c r="AT121" s="57" t="n">
        <v>397.159</v>
      </c>
      <c r="AU121" s="57" t="n">
        <v>425.62</v>
      </c>
      <c r="AV121" s="57" t="n">
        <v>444.393</v>
      </c>
      <c r="AW121" s="57" t="n">
        <v>1659.019</v>
      </c>
      <c r="AX121" s="57" t="n">
        <v>457.697</v>
      </c>
      <c r="AY121" s="57" t="n">
        <v>480.333</v>
      </c>
      <c r="AZ121" s="57" t="n">
        <v>499.319</v>
      </c>
      <c r="BA121" s="57" t="n">
        <v>506.786</v>
      </c>
      <c r="BB121" s="57" t="n">
        <v>1944.135</v>
      </c>
      <c r="BC121" s="57" t="n">
        <v>515.825</v>
      </c>
      <c r="BD121" s="57" t="n">
        <v>536.308</v>
      </c>
      <c r="BE121" s="57" t="n">
        <v>556.921</v>
      </c>
      <c r="BF121" s="57" t="n">
        <v>573.345</v>
      </c>
      <c r="BG121" s="57" t="n">
        <v>2182.399</v>
      </c>
      <c r="BH121" s="57" t="n">
        <v>584.366</v>
      </c>
      <c r="BI121" s="57" t="n">
        <v>605.906</v>
      </c>
      <c r="BJ121" s="57" t="n">
        <v>624.669</v>
      </c>
      <c r="BK121" s="57" t="n">
        <v>640.059</v>
      </c>
      <c r="BL121" s="57" t="n">
        <v>2455</v>
      </c>
      <c r="BM121" s="57" t="n">
        <v>656.4</v>
      </c>
      <c r="BN121" s="57" t="n">
        <v>677.8</v>
      </c>
      <c r="BO121" s="57" t="n">
        <v>692.6</v>
      </c>
      <c r="BP121" s="57" t="n">
        <v>709.4</v>
      </c>
      <c r="BQ121" s="57" t="n">
        <v>2736.2</v>
      </c>
      <c r="BR121" s="57" t="n">
        <v>732.2</v>
      </c>
      <c r="BS121" s="57" t="n">
        <v>781.3</v>
      </c>
      <c r="BT121" s="57" t="n">
        <v>833.6</v>
      </c>
      <c r="BU121" s="57" t="n">
        <v>899.9</v>
      </c>
      <c r="BV121" s="57" t="n">
        <v>3247</v>
      </c>
      <c r="BW121" s="57" t="n">
        <v>897</v>
      </c>
      <c r="BX121" s="57" t="n">
        <v>925</v>
      </c>
      <c r="BY121" s="51" t="n">
        <f aca="false">BY83</f>
        <v>966.500961185568</v>
      </c>
      <c r="BZ121" s="51" t="n">
        <f aca="false">BZ83</f>
        <v>1013.39986073224</v>
      </c>
      <c r="CA121" s="51" t="n">
        <f aca="false">CA83</f>
        <v>3801.90082191781</v>
      </c>
      <c r="CB121" s="51" t="n">
        <f aca="false">CB83</f>
        <v>4324.89990351626</v>
      </c>
      <c r="CC121" s="51" t="n">
        <f aca="false">CC83</f>
        <v>4750.8791255357</v>
      </c>
      <c r="CD121" s="51" t="n">
        <f aca="false">CD83</f>
        <v>5185.06516793768</v>
      </c>
      <c r="CE121" s="51" t="n">
        <f aca="false">CE83</f>
        <v>5621.49450282856</v>
      </c>
      <c r="CF121" s="21" t="s">
        <v>300</v>
      </c>
      <c r="CH121" s="22" t="n">
        <f aca="false">IFERROR((CE121/BV121)^(1/5)-1,"n/m")</f>
        <v>0.116024940960849</v>
      </c>
      <c r="CI121" s="22" t="n">
        <f aca="false">IFERROR((BV121/AW121)^(1/5)-1,"n/m")</f>
        <v>0.143737039386126</v>
      </c>
      <c r="CJ121" s="22" t="n">
        <f aca="false">IFERROR((BV121/X121)^(1/10)-1,"n/m")</f>
        <v>0.163897209745408</v>
      </c>
      <c r="CK121" s="22" t="n">
        <f aca="false">IFERROR((BV121/C121)^(1/19)-1,"n/m")</f>
        <v>0.172108494899049</v>
      </c>
    </row>
    <row r="122" customFormat="false" ht="15" hidden="false" customHeight="true" outlineLevel="0" collapsed="false">
      <c r="B122" s="29" t="s">
        <v>301</v>
      </c>
      <c r="C122" s="35" t="n">
        <v>56.136</v>
      </c>
      <c r="D122" s="35" t="n">
        <v>76.704</v>
      </c>
      <c r="E122" s="35" t="n">
        <v>73.408</v>
      </c>
      <c r="F122" s="35" t="n">
        <v>73.714</v>
      </c>
      <c r="G122" s="35" t="n">
        <v>83.599</v>
      </c>
      <c r="H122" s="35" t="n">
        <v>88.167</v>
      </c>
      <c r="I122" s="35" t="n">
        <v>114.866</v>
      </c>
      <c r="J122" s="35" t="n">
        <v>33.606</v>
      </c>
      <c r="K122" s="35" t="n">
        <v>32.101</v>
      </c>
      <c r="L122" s="35" t="n">
        <v>31.724</v>
      </c>
      <c r="M122" s="35" t="n">
        <v>31.754</v>
      </c>
      <c r="N122" s="35" t="n">
        <v>129.185</v>
      </c>
      <c r="O122" s="35" t="n">
        <v>33.643</v>
      </c>
      <c r="P122" s="35" t="n">
        <v>39.481</v>
      </c>
      <c r="Q122" s="35" t="n">
        <v>40.932</v>
      </c>
      <c r="R122" s="35" t="n">
        <v>42.923</v>
      </c>
      <c r="S122" s="35" t="n">
        <v>156.979</v>
      </c>
      <c r="T122" s="35" t="n">
        <v>45.396</v>
      </c>
      <c r="U122" s="35" t="n">
        <v>44.634</v>
      </c>
      <c r="V122" s="35" t="n">
        <v>53.728</v>
      </c>
      <c r="W122" s="35" t="n">
        <v>45.127</v>
      </c>
      <c r="X122" s="35" t="n">
        <v>188.885</v>
      </c>
      <c r="Y122" s="35" t="n">
        <v>42.9</v>
      </c>
      <c r="Z122" s="35" t="n">
        <v>42.679</v>
      </c>
      <c r="AA122" s="35" t="n">
        <v>42.222</v>
      </c>
      <c r="AB122" s="35" t="n">
        <v>46.013</v>
      </c>
      <c r="AC122" s="35" t="n">
        <v>173.814</v>
      </c>
      <c r="AD122" s="35" t="n">
        <v>51.346</v>
      </c>
      <c r="AE122" s="35" t="n">
        <v>55.273</v>
      </c>
      <c r="AF122" s="35" t="n">
        <v>55.483</v>
      </c>
      <c r="AG122" s="35" t="n">
        <v>58.301</v>
      </c>
      <c r="AH122" s="35" t="n">
        <v>220.403</v>
      </c>
      <c r="AI122" s="35" t="n">
        <v>62.477</v>
      </c>
      <c r="AJ122" s="35" t="n">
        <v>67.136</v>
      </c>
      <c r="AK122" s="35" t="n">
        <v>72.072</v>
      </c>
      <c r="AL122" s="35" t="n">
        <v>68.248</v>
      </c>
      <c r="AM122" s="35" t="n">
        <v>269.933</v>
      </c>
      <c r="AN122" s="35" t="n">
        <v>71.153</v>
      </c>
      <c r="AO122" s="35" t="n">
        <v>71.918</v>
      </c>
      <c r="AP122" s="35" t="n">
        <v>71.172</v>
      </c>
      <c r="AQ122" s="35" t="n">
        <v>74.996</v>
      </c>
      <c r="AR122" s="35" t="n">
        <v>289.239</v>
      </c>
      <c r="AS122" s="35" t="n">
        <v>78.909</v>
      </c>
      <c r="AT122" s="35" t="n">
        <v>74.04</v>
      </c>
      <c r="AU122" s="35" t="n">
        <v>77.865</v>
      </c>
      <c r="AV122" s="35" t="n">
        <v>78.154</v>
      </c>
      <c r="AW122" s="35" t="n">
        <v>308.968</v>
      </c>
      <c r="AX122" s="35" t="n">
        <v>88.748</v>
      </c>
      <c r="AY122" s="35" t="n">
        <v>89.566</v>
      </c>
      <c r="AZ122" s="35" t="n">
        <v>92.597</v>
      </c>
      <c r="BA122" s="35" t="n">
        <v>86.33</v>
      </c>
      <c r="BB122" s="35" t="n">
        <v>357.241</v>
      </c>
      <c r="BC122" s="35" t="n">
        <v>95.479</v>
      </c>
      <c r="BD122" s="35" t="n">
        <v>100.971</v>
      </c>
      <c r="BE122" s="35" t="n">
        <v>108.364</v>
      </c>
      <c r="BF122" s="35" t="n">
        <v>109.194</v>
      </c>
      <c r="BG122" s="35" t="n">
        <v>414.008</v>
      </c>
      <c r="BH122" s="35" t="n">
        <v>119.196</v>
      </c>
      <c r="BI122" s="35" t="n">
        <v>112.362</v>
      </c>
      <c r="BJ122" s="35" t="n">
        <v>123.666</v>
      </c>
      <c r="BK122" s="35" t="n">
        <v>136.276</v>
      </c>
      <c r="BL122" s="35" t="n">
        <v>491.5</v>
      </c>
      <c r="BM122" s="35" t="n">
        <v>141.2</v>
      </c>
      <c r="BN122" s="35" t="n">
        <v>135.8</v>
      </c>
      <c r="BO122" s="35" t="n">
        <v>140.6</v>
      </c>
      <c r="BP122" s="35" t="n">
        <v>140.9</v>
      </c>
      <c r="BQ122" s="35" t="n">
        <v>558.5</v>
      </c>
      <c r="BR122" s="35" t="n">
        <v>153.3</v>
      </c>
      <c r="BS122" s="35" t="n">
        <v>167.8</v>
      </c>
      <c r="BT122" s="35" t="n">
        <v>172.2</v>
      </c>
      <c r="BU122" s="35" t="n">
        <v>192.7</v>
      </c>
      <c r="BV122" s="35" t="n">
        <v>686</v>
      </c>
      <c r="BW122" s="35" t="n">
        <v>196</v>
      </c>
      <c r="BX122" s="35" t="n">
        <v>197</v>
      </c>
      <c r="BY122" s="36" t="n">
        <f aca="false">BY121*BY108</f>
        <v>208.471392835306</v>
      </c>
      <c r="BZ122" s="36" t="n">
        <f aca="false">BZ121*BZ108</f>
        <v>218.587346469687</v>
      </c>
      <c r="CA122" s="36" t="n">
        <f aca="false">SUM(BW122,BX122,BY122,BZ122)</f>
        <v>820.058739304994</v>
      </c>
      <c r="CB122" s="36" t="n">
        <f aca="false">CB121*CB108</f>
        <v>908.228979738415</v>
      </c>
      <c r="CC122" s="36" t="n">
        <f aca="false">CC121*CC108</f>
        <v>997.684616362497</v>
      </c>
      <c r="CD122" s="36" t="n">
        <f aca="false">CD121*CD108</f>
        <v>1088.86368526691</v>
      </c>
      <c r="CE122" s="36" t="n">
        <f aca="false">CE121*CE108</f>
        <v>1180.513845594</v>
      </c>
      <c r="CF122" s="28" t="s">
        <v>302</v>
      </c>
    </row>
    <row r="123" customFormat="false" ht="15" hidden="false" customHeight="true" outlineLevel="0" collapsed="false">
      <c r="B123" s="17" t="s">
        <v>303</v>
      </c>
      <c r="C123" s="18" t="n">
        <f aca="false">C121-C122</f>
        <v>102.753</v>
      </c>
      <c r="D123" s="18" t="n">
        <f aca="false">D121-D122</f>
        <v>116.101</v>
      </c>
      <c r="E123" s="18" t="n">
        <f aca="false">E121-E122</f>
        <v>139.02</v>
      </c>
      <c r="F123" s="18" t="n">
        <f aca="false">F121-F122</f>
        <v>135.945</v>
      </c>
      <c r="G123" s="18" t="n">
        <f aca="false">G121-G122</f>
        <v>142.661</v>
      </c>
      <c r="H123" s="18" t="n">
        <f aca="false">H121-H122</f>
        <v>163.571</v>
      </c>
      <c r="I123" s="18" t="n">
        <f aca="false">I121-I122</f>
        <v>235.07</v>
      </c>
      <c r="J123" s="18" t="n">
        <f aca="false">J121-J122</f>
        <v>70.427</v>
      </c>
      <c r="K123" s="18" t="n">
        <f aca="false">K121-K122</f>
        <v>76.898</v>
      </c>
      <c r="L123" s="18" t="n">
        <f aca="false">L121-L122</f>
        <v>80.577</v>
      </c>
      <c r="M123" s="18" t="n">
        <f aca="false">M121-M122</f>
        <v>83.856</v>
      </c>
      <c r="N123" s="18" t="n">
        <f aca="false">N121-N122</f>
        <v>311.758</v>
      </c>
      <c r="O123" s="18" t="n">
        <f aca="false">O121-O122</f>
        <v>85.433</v>
      </c>
      <c r="P123" s="18" t="n">
        <f aca="false">P121-P122</f>
        <v>108.227</v>
      </c>
      <c r="Q123" s="18" t="n">
        <f aca="false">Q121-Q122</f>
        <v>112.124</v>
      </c>
      <c r="R123" s="18" t="n">
        <f aca="false">R121-R122</f>
        <v>113.173</v>
      </c>
      <c r="S123" s="18" t="n">
        <f aca="false">S121-S122</f>
        <v>418.957</v>
      </c>
      <c r="T123" s="18" t="n">
        <f aca="false">T121-T122</f>
        <v>113.624</v>
      </c>
      <c r="U123" s="18" t="n">
        <f aca="false">U121-U122</f>
        <v>126.023</v>
      </c>
      <c r="V123" s="18" t="n">
        <f aca="false">V121-V122</f>
        <v>135.35</v>
      </c>
      <c r="W123" s="18" t="n">
        <f aca="false">W121-W122</f>
        <v>147.882</v>
      </c>
      <c r="X123" s="18" t="n">
        <f aca="false">X121-X122</f>
        <v>522.879</v>
      </c>
      <c r="Y123" s="18" t="n">
        <f aca="false">Y121-Y122</f>
        <v>156.839</v>
      </c>
      <c r="Z123" s="18" t="n">
        <f aca="false">Z121-Z122</f>
        <v>164.19</v>
      </c>
      <c r="AA123" s="18" t="n">
        <f aca="false">AA121-AA122</f>
        <v>170.489</v>
      </c>
      <c r="AB123" s="18" t="n">
        <f aca="false">AB121-AB122</f>
        <v>172.298</v>
      </c>
      <c r="AC123" s="18" t="n">
        <f aca="false">AC121-AC122</f>
        <v>663.816</v>
      </c>
      <c r="AD123" s="18" t="n">
        <f aca="false">AD121-AD122</f>
        <v>175.207</v>
      </c>
      <c r="AE123" s="18" t="n">
        <f aca="false">AE121-AE122</f>
        <v>181.88</v>
      </c>
      <c r="AF123" s="18" t="n">
        <f aca="false">AF121-AF122</f>
        <v>192.05</v>
      </c>
      <c r="AG123" s="18" t="n">
        <f aca="false">AG121-AG122</f>
        <v>195.69</v>
      </c>
      <c r="AH123" s="18" t="n">
        <f aca="false">AH121-AH122</f>
        <v>744.827</v>
      </c>
      <c r="AI123" s="18" t="n">
        <f aca="false">AI121-AI122</f>
        <v>211.241</v>
      </c>
      <c r="AJ123" s="18" t="n">
        <f aca="false">AJ121-AJ122</f>
        <v>229.882</v>
      </c>
      <c r="AK123" s="18" t="n">
        <f aca="false">AK121-AK122</f>
        <v>233.453</v>
      </c>
      <c r="AL123" s="18" t="n">
        <f aca="false">AL121-AL122</f>
        <v>247.323</v>
      </c>
      <c r="AM123" s="18" t="n">
        <f aca="false">AM121-AM122</f>
        <v>921.899</v>
      </c>
      <c r="AN123" s="18" t="n">
        <f aca="false">AN121-AN122</f>
        <v>257.272</v>
      </c>
      <c r="AO123" s="18" t="n">
        <f aca="false">AO121-AO122</f>
        <v>271.842</v>
      </c>
      <c r="AP123" s="18" t="n">
        <f aca="false">AP121-AP122</f>
        <v>281.636</v>
      </c>
      <c r="AQ123" s="18" t="n">
        <f aca="false">AQ121-AQ122</f>
        <v>299.73</v>
      </c>
      <c r="AR123" s="18" t="n">
        <f aca="false">AR121-AR122</f>
        <v>1110.48</v>
      </c>
      <c r="AS123" s="18" t="n">
        <f aca="false">AS121-AS122</f>
        <v>312.938</v>
      </c>
      <c r="AT123" s="18" t="n">
        <f aca="false">AT121-AT122</f>
        <v>323.119</v>
      </c>
      <c r="AU123" s="18" t="n">
        <f aca="false">AU121-AU122</f>
        <v>347.755</v>
      </c>
      <c r="AV123" s="18" t="n">
        <f aca="false">AV121-AV122</f>
        <v>366.239</v>
      </c>
      <c r="AW123" s="18" t="n">
        <f aca="false">AW121-AW122</f>
        <v>1350.051</v>
      </c>
      <c r="AX123" s="18" t="n">
        <f aca="false">AX121-AX122</f>
        <v>368.949</v>
      </c>
      <c r="AY123" s="18" t="n">
        <f aca="false">AY121-AY122</f>
        <v>390.767</v>
      </c>
      <c r="AZ123" s="18" t="n">
        <f aca="false">AZ121-AZ122</f>
        <v>406.722</v>
      </c>
      <c r="BA123" s="18" t="n">
        <f aca="false">BA121-BA122</f>
        <v>420.456</v>
      </c>
      <c r="BB123" s="18" t="n">
        <f aca="false">BB121-BB122</f>
        <v>1586.894</v>
      </c>
      <c r="BC123" s="18" t="n">
        <f aca="false">BC121-BC122</f>
        <v>420.346</v>
      </c>
      <c r="BD123" s="18" t="n">
        <f aca="false">BD121-BD122</f>
        <v>435.337</v>
      </c>
      <c r="BE123" s="18" t="n">
        <f aca="false">BE121-BE122</f>
        <v>448.557</v>
      </c>
      <c r="BF123" s="18" t="n">
        <f aca="false">BF121-BF122</f>
        <v>464.151</v>
      </c>
      <c r="BG123" s="18" t="n">
        <f aca="false">BG121-BG122</f>
        <v>1768.391</v>
      </c>
      <c r="BH123" s="18" t="n">
        <f aca="false">BH121-BH122</f>
        <v>465.17</v>
      </c>
      <c r="BI123" s="18" t="n">
        <f aca="false">BI121-BI122</f>
        <v>493.544</v>
      </c>
      <c r="BJ123" s="18" t="n">
        <f aca="false">BJ121-BJ122</f>
        <v>501.003</v>
      </c>
      <c r="BK123" s="18" t="n">
        <f aca="false">BK121-BK122</f>
        <v>503.783</v>
      </c>
      <c r="BL123" s="18" t="n">
        <f aca="false">BL121-BL122</f>
        <v>1963.5</v>
      </c>
      <c r="BM123" s="18" t="n">
        <f aca="false">BM121-BM122</f>
        <v>515.2</v>
      </c>
      <c r="BN123" s="18" t="n">
        <f aca="false">BN121-BN122</f>
        <v>542</v>
      </c>
      <c r="BO123" s="18" t="n">
        <f aca="false">BO121-BO122</f>
        <v>552</v>
      </c>
      <c r="BP123" s="18" t="n">
        <f aca="false">BP121-BP122</f>
        <v>568.5</v>
      </c>
      <c r="BQ123" s="18" t="n">
        <f aca="false">BQ121-BQ122</f>
        <v>2177.7</v>
      </c>
      <c r="BR123" s="18" t="n">
        <f aca="false">BR121-BR122</f>
        <v>578.9</v>
      </c>
      <c r="BS123" s="18" t="n">
        <f aca="false">BS121-BS122</f>
        <v>613.5</v>
      </c>
      <c r="BT123" s="18" t="n">
        <f aca="false">BT121-BT122</f>
        <v>661.4</v>
      </c>
      <c r="BU123" s="18" t="n">
        <f aca="false">BU121-BU122</f>
        <v>707.2</v>
      </c>
      <c r="BV123" s="18" t="n">
        <f aca="false">BV121-BV122</f>
        <v>2561</v>
      </c>
      <c r="BW123" s="18" t="n">
        <f aca="false">BW121-BW122</f>
        <v>701</v>
      </c>
      <c r="BX123" s="18" t="n">
        <f aca="false">BX121-BX122</f>
        <v>728</v>
      </c>
      <c r="BY123" s="20" t="n">
        <f aca="false">BY121-BY122</f>
        <v>758.029568350261</v>
      </c>
      <c r="BZ123" s="20" t="n">
        <f aca="false">BZ121-BZ122</f>
        <v>794.812514262553</v>
      </c>
      <c r="CA123" s="20" t="n">
        <f aca="false">CA121-CA122</f>
        <v>2981.84208261281</v>
      </c>
      <c r="CB123" s="20" t="n">
        <f aca="false">CB121-CB122</f>
        <v>3416.67092377785</v>
      </c>
      <c r="CC123" s="20" t="n">
        <f aca="false">CC121-CC122</f>
        <v>3753.1945091732</v>
      </c>
      <c r="CD123" s="20" t="n">
        <f aca="false">CD121-CD122</f>
        <v>4096.20148267076</v>
      </c>
      <c r="CE123" s="20" t="n">
        <f aca="false">CE121-CE122</f>
        <v>4440.98065723456</v>
      </c>
      <c r="CF123" s="21"/>
      <c r="CH123" s="22" t="n">
        <f aca="false">IFERROR((CE123/BV123)^(1/5)-1,"n/m")</f>
        <v>0.116384660810733</v>
      </c>
      <c r="CI123" s="22" t="n">
        <f aca="false">IFERROR((BV123/AW123)^(1/5)-1,"n/m")</f>
        <v>0.136611067877883</v>
      </c>
      <c r="CJ123" s="22" t="n">
        <f aca="false">IFERROR((BV123/X123)^(1/10)-1,"n/m")</f>
        <v>0.172197626983438</v>
      </c>
      <c r="CK123" s="22" t="n">
        <f aca="false">IFERROR((BV123/C123)^(1/19)-1,"n/m")</f>
        <v>0.184420883556603</v>
      </c>
    </row>
    <row r="124" customFormat="false" ht="15" hidden="false" customHeight="true" outlineLevel="0" collapsed="false">
      <c r="B124" s="29" t="s">
        <v>304</v>
      </c>
      <c r="C124" s="25" t="n">
        <f aca="false">IF(AND(ISNUMBER(C123),ISNUMBER(C121)),IFERROR(C123/C121,""),"")</f>
        <v>0.646696750561713</v>
      </c>
      <c r="D124" s="25" t="n">
        <f aca="false">IF(AND(ISNUMBER(D123),ISNUMBER(D121)),IFERROR(D123/D121,""),"")</f>
        <v>0.602167993568632</v>
      </c>
      <c r="E124" s="25" t="n">
        <f aca="false">IF(AND(ISNUMBER(E123),ISNUMBER(E121)),IFERROR(E123/E121,""),"")</f>
        <v>0.654433502174854</v>
      </c>
      <c r="F124" s="25" t="n">
        <f aca="false">IF(AND(ISNUMBER(F123),ISNUMBER(F121)),IFERROR(F123/F121,""),"")</f>
        <v>0.648410037250965</v>
      </c>
      <c r="G124" s="25" t="n">
        <f aca="false">IF(AND(ISNUMBER(G123),ISNUMBER(G121)),IFERROR(G123/G121,""),"")</f>
        <v>0.63051798815522</v>
      </c>
      <c r="H124" s="25" t="n">
        <f aca="false">IF(AND(ISNUMBER(H123),ISNUMBER(H121)),IFERROR(H123/H121,""),"")</f>
        <v>0.649766821059991</v>
      </c>
      <c r="I124" s="25" t="n">
        <f aca="false">IF(AND(ISNUMBER(I123),ISNUMBER(I121)),IFERROR(I123/I121,""),"")</f>
        <v>0.671751405971378</v>
      </c>
      <c r="J124" s="25" t="n">
        <f aca="false">IF(AND(ISNUMBER(J123),ISNUMBER(J121)),IFERROR(J123/J121,""),"")</f>
        <v>0.676967885190276</v>
      </c>
      <c r="K124" s="25" t="n">
        <f aca="false">IF(AND(ISNUMBER(K123),ISNUMBER(K121)),IFERROR(K123/K121,""),"")</f>
        <v>0.705492710942302</v>
      </c>
      <c r="L124" s="25" t="n">
        <f aca="false">IF(AND(ISNUMBER(L123),ISNUMBER(L121)),IFERROR(L123/L121,""),"")</f>
        <v>0.717509194041015</v>
      </c>
      <c r="M124" s="25" t="n">
        <f aca="false">IF(AND(ISNUMBER(M123),ISNUMBER(M121)),IFERROR(M123/M121,""),"")</f>
        <v>0.725335178617767</v>
      </c>
      <c r="N124" s="25" t="n">
        <f aca="false">IF(AND(ISNUMBER(N123),ISNUMBER(N121)),IFERROR(N123/N121,""),"")</f>
        <v>0.707025624627219</v>
      </c>
      <c r="O124" s="25" t="n">
        <f aca="false">IF(AND(ISNUMBER(O123),ISNUMBER(O121)),IFERROR(O123/O121,""),"")</f>
        <v>0.717466156068393</v>
      </c>
      <c r="P124" s="25" t="n">
        <f aca="false">IF(AND(ISNUMBER(P123),ISNUMBER(P121)),IFERROR(P123/P121,""),"")</f>
        <v>0.732709128821729</v>
      </c>
      <c r="Q124" s="25" t="n">
        <f aca="false">IF(AND(ISNUMBER(Q123),ISNUMBER(Q121)),IFERROR(Q123/Q121,""),"")</f>
        <v>0.7325684716705</v>
      </c>
      <c r="R124" s="25" t="n">
        <f aca="false">IF(AND(ISNUMBER(R123),ISNUMBER(R121)),IFERROR(R123/R121,""),"")</f>
        <v>0.725021781467815</v>
      </c>
      <c r="S124" s="25" t="n">
        <f aca="false">IF(AND(ISNUMBER(S123),ISNUMBER(S121)),IFERROR(S123/S121,""),"")</f>
        <v>0.727436729081009</v>
      </c>
      <c r="T124" s="25" t="n">
        <f aca="false">IF(AND(ISNUMBER(T123),ISNUMBER(T121)),IFERROR(T123/T121,""),"")</f>
        <v>0.714526474657276</v>
      </c>
      <c r="U124" s="25" t="n">
        <f aca="false">IF(AND(ISNUMBER(U123),ISNUMBER(U121)),IFERROR(U123/U121,""),"")</f>
        <v>0.738457842338726</v>
      </c>
      <c r="V124" s="25" t="n">
        <f aca="false">IF(AND(ISNUMBER(V123),ISNUMBER(V121)),IFERROR(V123/V121,""),"")</f>
        <v>0.715842139222966</v>
      </c>
      <c r="W124" s="25" t="n">
        <f aca="false">IF(AND(ISNUMBER(W123),ISNUMBER(W121)),IFERROR(W123/W121,""),"")</f>
        <v>0.766192250102327</v>
      </c>
      <c r="X124" s="25" t="n">
        <f aca="false">IF(AND(ISNUMBER(X123),ISNUMBER(X121)),IFERROR(X123/X121,""),"")</f>
        <v>0.734624116982595</v>
      </c>
      <c r="Y124" s="25" t="n">
        <f aca="false">IF(AND(ISNUMBER(Y123),ISNUMBER(Y121)),IFERROR(Y123/Y121,""),"")</f>
        <v>0.7852197117238</v>
      </c>
      <c r="Z124" s="25" t="n">
        <f aca="false">IF(AND(ISNUMBER(Z123),ISNUMBER(Z121)),IFERROR(Z123/Z121,""),"")</f>
        <v>0.79369069314397</v>
      </c>
      <c r="AA124" s="25" t="n">
        <f aca="false">IF(AND(ISNUMBER(AA123),ISNUMBER(AA121)),IFERROR(AA123/AA121,""),"")</f>
        <v>0.801505328826436</v>
      </c>
      <c r="AB124" s="25" t="n">
        <f aca="false">IF(AND(ISNUMBER(AB123),ISNUMBER(AB121)),IFERROR(AB123/AB121,""),"")</f>
        <v>0.789231875626973</v>
      </c>
      <c r="AC124" s="25" t="n">
        <f aca="false">IF(AND(ISNUMBER(AC123),ISNUMBER(AC121)),IFERROR(AC123/AC121,""),"")</f>
        <v>0.792493105547796</v>
      </c>
      <c r="AD124" s="25" t="n">
        <f aca="false">IF(AND(ISNUMBER(AD123),ISNUMBER(AD121)),IFERROR(AD123/AD121,""),"")</f>
        <v>0.773359876055493</v>
      </c>
      <c r="AE124" s="25" t="n">
        <f aca="false">IF(AND(ISNUMBER(AE123),ISNUMBER(AE121)),IFERROR(AE123/AE121,""),"")</f>
        <v>0.76693105294894</v>
      </c>
      <c r="AF124" s="25" t="n">
        <f aca="false">IF(AND(ISNUMBER(AF123),ISNUMBER(AF121)),IFERROR(AF123/AF121,""),"")</f>
        <v>0.775856148473133</v>
      </c>
      <c r="AG124" s="25" t="n">
        <f aca="false">IF(AND(ISNUMBER(AG123),ISNUMBER(AG121)),IFERROR(AG123/AG121,""),"")</f>
        <v>0.770460370643054</v>
      </c>
      <c r="AH124" s="25" t="n">
        <f aca="false">IF(AND(ISNUMBER(AH123),ISNUMBER(AH121)),IFERROR(AH123/AH121,""),"")</f>
        <v>0.771657532401604</v>
      </c>
      <c r="AI124" s="25" t="n">
        <f aca="false">IF(AND(ISNUMBER(AI123),ISNUMBER(AI121)),IFERROR(AI123/AI121,""),"")</f>
        <v>0.771746834333146</v>
      </c>
      <c r="AJ124" s="25" t="n">
        <f aca="false">IF(AND(ISNUMBER(AJ123),ISNUMBER(AJ121)),IFERROR(AJ123/AJ121,""),"")</f>
        <v>0.773966560949168</v>
      </c>
      <c r="AK124" s="25" t="n">
        <f aca="false">IF(AND(ISNUMBER(AK123),ISNUMBER(AK121)),IFERROR(AK123/AK121,""),"")</f>
        <v>0.764104410441044</v>
      </c>
      <c r="AL124" s="25" t="n">
        <f aca="false">IF(AND(ISNUMBER(AL123),ISNUMBER(AL121)),IFERROR(AL123/AL121,""),"")</f>
        <v>0.78373171172256</v>
      </c>
      <c r="AM124" s="25" t="n">
        <f aca="false">IF(AND(ISNUMBER(AM123),ISNUMBER(AM121)),IFERROR(AM123/AM121,""),"")</f>
        <v>0.773514220124984</v>
      </c>
      <c r="AN124" s="25" t="n">
        <f aca="false">IF(AND(ISNUMBER(AN123),ISNUMBER(AN121)),IFERROR(AN123/AN121,""),"")</f>
        <v>0.783350841135724</v>
      </c>
      <c r="AO124" s="25" t="n">
        <f aca="false">IF(AND(ISNUMBER(AO123),ISNUMBER(AO121)),IFERROR(AO123/AO121,""),"")</f>
        <v>0.790790086106586</v>
      </c>
      <c r="AP124" s="25" t="n">
        <f aca="false">IF(AND(ISNUMBER(AP123),ISNUMBER(AP121)),IFERROR(AP123/AP121,""),"")</f>
        <v>0.798269880501576</v>
      </c>
      <c r="AQ124" s="25" t="n">
        <f aca="false">IF(AND(ISNUMBER(AQ123),ISNUMBER(AQ121)),IFERROR(AQ123/AQ121,""),"")</f>
        <v>0.799864434279981</v>
      </c>
      <c r="AR124" s="25" t="n">
        <f aca="false">IF(AND(ISNUMBER(AR123),ISNUMBER(AR121)),IFERROR(AR123/AR121,""),"")</f>
        <v>0.793359238532877</v>
      </c>
      <c r="AS124" s="25" t="n">
        <f aca="false">IF(AND(ISNUMBER(AS123),ISNUMBER(AS121)),IFERROR(AS123/AS121,""),"")</f>
        <v>0.798622931909648</v>
      </c>
      <c r="AT124" s="25" t="n">
        <f aca="false">IF(AND(ISNUMBER(AT123),ISNUMBER(AT121)),IFERROR(AT123/AT121,""),"")</f>
        <v>0.813575922993058</v>
      </c>
      <c r="AU124" s="25" t="n">
        <f aca="false">IF(AND(ISNUMBER(AU123),ISNUMBER(AU121)),IFERROR(AU123/AU121,""),"")</f>
        <v>0.817055119590245</v>
      </c>
      <c r="AV124" s="25" t="n">
        <f aca="false">IF(AND(ISNUMBER(AV123),ISNUMBER(AV121)),IFERROR(AV123/AV121,""),"")</f>
        <v>0.82413314341135</v>
      </c>
      <c r="AW124" s="25" t="n">
        <f aca="false">IF(AND(ISNUMBER(AW123),ISNUMBER(AW121)),IFERROR(AW123/AW121,""),"")</f>
        <v>0.813764640429073</v>
      </c>
      <c r="AX124" s="25" t="n">
        <f aca="false">IF(AND(ISNUMBER(AX123),ISNUMBER(AX121)),IFERROR(AX123/AX121,""),"")</f>
        <v>0.8060987946174</v>
      </c>
      <c r="AY124" s="25" t="n">
        <f aca="false">IF(AND(ISNUMBER(AY123),ISNUMBER(AY121)),IFERROR(AY123/AY121,""),"")</f>
        <v>0.813533527781768</v>
      </c>
      <c r="AZ124" s="25" t="n">
        <f aca="false">IF(AND(ISNUMBER(AZ123),ISNUMBER(AZ121)),IFERROR(AZ123/AZ121,""),"")</f>
        <v>0.814553421760438</v>
      </c>
      <c r="BA124" s="25" t="n">
        <f aca="false">IF(AND(ISNUMBER(BA123),ISNUMBER(BA121)),IFERROR(BA123/BA121,""),"")</f>
        <v>0.82965196355069</v>
      </c>
      <c r="BB124" s="25" t="n">
        <f aca="false">IF(AND(ISNUMBER(BB123),ISNUMBER(BB121)),IFERROR(BB123/BB121,""),"")</f>
        <v>0.81624681413585</v>
      </c>
      <c r="BC124" s="25" t="n">
        <f aca="false">IF(AND(ISNUMBER(BC123),ISNUMBER(BC121)),IFERROR(BC123/BC121,""),"")</f>
        <v>0.814900402268211</v>
      </c>
      <c r="BD124" s="25" t="n">
        <f aca="false">IF(AND(ISNUMBER(BD123),ISNUMBER(BD121)),IFERROR(BD123/BD121,""),"")</f>
        <v>0.81172945397048</v>
      </c>
      <c r="BE124" s="25" t="n">
        <f aca="false">IF(AND(ISNUMBER(BE123),ISNUMBER(BE121)),IFERROR(BE123/BE121,""),"")</f>
        <v>0.805423031273735</v>
      </c>
      <c r="BF124" s="25" t="n">
        <f aca="false">IF(AND(ISNUMBER(BF123),ISNUMBER(BF121)),IFERROR(BF123/BF121,""),"")</f>
        <v>0.809549224289041</v>
      </c>
      <c r="BG124" s="25" t="n">
        <f aca="false">IF(AND(ISNUMBER(BG123),ISNUMBER(BG121)),IFERROR(BG123/BG121,""),"")</f>
        <v>0.81029683389701</v>
      </c>
      <c r="BH124" s="25" t="n">
        <f aca="false">IF(AND(ISNUMBER(BH123),ISNUMBER(BH121)),IFERROR(BH123/BH121,""),"")</f>
        <v>0.796025093862408</v>
      </c>
      <c r="BI124" s="25" t="n">
        <f aca="false">IF(AND(ISNUMBER(BI123),ISNUMBER(BI121)),IFERROR(BI123/BI121,""),"")</f>
        <v>0.814555393080775</v>
      </c>
      <c r="BJ124" s="25" t="n">
        <f aca="false">IF(AND(ISNUMBER(BJ123),ISNUMBER(BJ121)),IFERROR(BJ123/BJ121,""),"")</f>
        <v>0.80202955485225</v>
      </c>
      <c r="BK124" s="25" t="n">
        <f aca="false">IF(AND(ISNUMBER(BK123),ISNUMBER(BK121)),IFERROR(BK123/BK121,""),"")</f>
        <v>0.787088377790173</v>
      </c>
      <c r="BL124" s="25" t="n">
        <f aca="false">IF(AND(ISNUMBER(BL123),ISNUMBER(BL121)),IFERROR(BL123/BL121,""),"")</f>
        <v>0.79979633401222</v>
      </c>
      <c r="BM124" s="25" t="n">
        <f aca="false">IF(AND(ISNUMBER(BM123),ISNUMBER(BM121)),IFERROR(BM123/BM121,""),"")</f>
        <v>0.784887263863498</v>
      </c>
      <c r="BN124" s="25" t="n">
        <f aca="false">IF(AND(ISNUMBER(BN123),ISNUMBER(BN121)),IFERROR(BN123/BN121,""),"")</f>
        <v>0.799645913248746</v>
      </c>
      <c r="BO124" s="25" t="n">
        <f aca="false">IF(AND(ISNUMBER(BO123),ISNUMBER(BO121)),IFERROR(BO123/BO121,""),"")</f>
        <v>0.796996823563384</v>
      </c>
      <c r="BP124" s="25" t="n">
        <f aca="false">IF(AND(ISNUMBER(BP123),ISNUMBER(BP121)),IFERROR(BP123/BP121,""),"")</f>
        <v>0.801381449111926</v>
      </c>
      <c r="BQ124" s="25" t="n">
        <f aca="false">IF(AND(ISNUMBER(BQ123),ISNUMBER(BQ121)),IFERROR(BQ123/BQ121,""),"")</f>
        <v>0.795884803742416</v>
      </c>
      <c r="BR124" s="25" t="n">
        <f aca="false">IF(AND(ISNUMBER(BR123),ISNUMBER(BR121)),IFERROR(BR123/BR121,""),"")</f>
        <v>0.790630975143404</v>
      </c>
      <c r="BS124" s="25" t="n">
        <f aca="false">IF(AND(ISNUMBER(BS123),ISNUMBER(BS121)),IFERROR(BS123/BS121,""),"")</f>
        <v>0.785229745296301</v>
      </c>
      <c r="BT124" s="25" t="n">
        <f aca="false">IF(AND(ISNUMBER(BT123),ISNUMBER(BT121)),IFERROR(BT123/BT121,""),"")</f>
        <v>0.793426103646833</v>
      </c>
      <c r="BU124" s="25" t="n">
        <f aca="false">IF(AND(ISNUMBER(BU123),ISNUMBER(BU121)),IFERROR(BU123/BU121,""),"")</f>
        <v>0.785865096121791</v>
      </c>
      <c r="BV124" s="25" t="n">
        <f aca="false">IF(AND(ISNUMBER(BV123),ISNUMBER(BV121)),IFERROR(BV123/BV121,""),"")</f>
        <v>0.788728056667693</v>
      </c>
      <c r="BW124" s="25" t="n">
        <f aca="false">IF(AND(ISNUMBER(BW123),ISNUMBER(BW121)),IFERROR(BW123/BW121,""),"")</f>
        <v>0.78149386845039</v>
      </c>
      <c r="BX124" s="25" t="n">
        <f aca="false">IF(AND(ISNUMBER(BX123),ISNUMBER(BX121)),IFERROR(BX123/BX121,""),"")</f>
        <v>0.787027027027027</v>
      </c>
      <c r="BY124" s="27" t="n">
        <f aca="false">IF(AND(ISNUMBER(BY123),ISNUMBER(BY121)),IFERROR(BY123/BY121,""),"")</f>
        <v>0.78430296377607</v>
      </c>
      <c r="BZ124" s="27" t="n">
        <f aca="false">IF(AND(ISNUMBER(BZ123),ISNUMBER(BZ121)),IFERROR(BZ123/BZ121,""),"")</f>
        <v>0.78430296377607</v>
      </c>
      <c r="CA124" s="27" t="n">
        <f aca="false">IF(AND(ISNUMBER(CA123),ISNUMBER(CA121)),IFERROR(CA123/CA121,""),"")</f>
        <v>0.78430296377607</v>
      </c>
      <c r="CB124" s="27" t="n">
        <f aca="false">IF(AND(ISNUMBER(CB123),ISNUMBER(CB121)),IFERROR(CB123/CB121,""),"")</f>
        <v>0.79</v>
      </c>
      <c r="CC124" s="27" t="n">
        <f aca="false">IF(AND(ISNUMBER(CC123),ISNUMBER(CC121)),IFERROR(CC123/CC121,""),"")</f>
        <v>0.79</v>
      </c>
      <c r="CD124" s="27" t="n">
        <f aca="false">IF(AND(ISNUMBER(CD123),ISNUMBER(CD121)),IFERROR(CD123/CD121,""),"")</f>
        <v>0.79</v>
      </c>
      <c r="CE124" s="27" t="n">
        <f aca="false">IF(AND(ISNUMBER(CE123),ISNUMBER(CE121)),IFERROR(CE123/CE121,""),"")</f>
        <v>0.79</v>
      </c>
      <c r="CF124" s="28"/>
      <c r="CH124" s="32" t="n">
        <f aca="false">IFERROR(AVERAGE(CA124,CB124,CC124,CD124,CE124),"n/m")</f>
        <v>0.788860592755214</v>
      </c>
      <c r="CI124" s="32" t="n">
        <f aca="false">IFERROR(AVERAGE(BB124,BG124,BL124,BQ124,BV124),"n/m")</f>
        <v>0.802190568491038</v>
      </c>
      <c r="CJ124" s="32" t="n">
        <f aca="false">IFERROR(AVERAGE(AC124,AH124,AM124,AR124,AW124,BB124,BG124,BL124,BQ124,BV124),"n/m")</f>
        <v>0.795574157949152</v>
      </c>
      <c r="CK124" s="32" t="n">
        <f aca="false">IFERROR(AVERAGE(C124,D124,E124,F124,G124,H124,I124,N124,S124,X124,AC124,AH124,AM124,AR124,AW124,BB124,BG124,BL124,BQ124,BV124),"n/m")</f>
        <v>0.731428627446255</v>
      </c>
    </row>
    <row r="125" customFormat="false" ht="15" hidden="false" customHeight="true" outlineLevel="0" collapsed="false">
      <c r="B125" s="29" t="s">
        <v>305</v>
      </c>
      <c r="C125" s="35" t="n">
        <v>41.774</v>
      </c>
      <c r="D125" s="35" t="n">
        <v>51.777</v>
      </c>
      <c r="E125" s="35" t="n">
        <v>41.705</v>
      </c>
      <c r="F125" s="35" t="n">
        <v>42.508</v>
      </c>
      <c r="G125" s="35" t="n">
        <v>52.455</v>
      </c>
      <c r="H125" s="35" t="n">
        <v>61.164</v>
      </c>
      <c r="I125" s="35" t="n">
        <v>84.113</v>
      </c>
      <c r="J125" s="35" t="n">
        <v>26.978</v>
      </c>
      <c r="K125" s="35" t="n">
        <v>23.536</v>
      </c>
      <c r="L125" s="35" t="n">
        <v>23.625</v>
      </c>
      <c r="M125" s="35" t="n">
        <v>24.569</v>
      </c>
      <c r="N125" s="35" t="n">
        <v>98.708</v>
      </c>
      <c r="O125" s="35" t="n">
        <v>27.745</v>
      </c>
      <c r="P125" s="35" t="n">
        <v>40.889</v>
      </c>
      <c r="Q125" s="35" t="n">
        <v>40.668</v>
      </c>
      <c r="R125" s="35" t="n">
        <v>41.003</v>
      </c>
      <c r="S125" s="35" t="n">
        <v>150.305</v>
      </c>
      <c r="T125" s="35" t="n">
        <v>69.478</v>
      </c>
      <c r="U125" s="35" t="n">
        <v>92.434</v>
      </c>
      <c r="V125" s="35" t="n">
        <v>80.506</v>
      </c>
      <c r="W125" s="35" t="n">
        <v>59.808</v>
      </c>
      <c r="X125" s="35" t="n">
        <v>302.226</v>
      </c>
      <c r="Y125" s="35" t="n">
        <v>75.204</v>
      </c>
      <c r="Z125" s="35" t="n">
        <v>80.468</v>
      </c>
      <c r="AA125" s="35" t="n">
        <v>75.414</v>
      </c>
      <c r="AB125" s="35" t="n">
        <v>65.397</v>
      </c>
      <c r="AC125" s="35" t="n">
        <v>296.483</v>
      </c>
      <c r="AD125" s="35" t="n">
        <v>76.402</v>
      </c>
      <c r="AE125" s="35" t="n">
        <v>91.726</v>
      </c>
      <c r="AF125" s="35" t="n">
        <v>72.705</v>
      </c>
      <c r="AG125" s="35" t="n">
        <v>77.529</v>
      </c>
      <c r="AH125" s="35" t="n">
        <v>318.362</v>
      </c>
      <c r="AI125" s="35" t="n">
        <v>88.49</v>
      </c>
      <c r="AJ125" s="35" t="n">
        <v>112.965</v>
      </c>
      <c r="AK125" s="35" t="n">
        <v>89.251</v>
      </c>
      <c r="AL125" s="35" t="n">
        <v>69.152</v>
      </c>
      <c r="AM125" s="35" t="n">
        <v>359.858</v>
      </c>
      <c r="AN125" s="35" t="n">
        <v>88.094</v>
      </c>
      <c r="AO125" s="35" t="n">
        <v>119.075</v>
      </c>
      <c r="AP125" s="35" t="n">
        <v>101.582</v>
      </c>
      <c r="AQ125" s="35" t="n">
        <v>99.845</v>
      </c>
      <c r="AR125" s="35" t="n">
        <v>408.596</v>
      </c>
      <c r="AS125" s="35" t="n">
        <v>125.107</v>
      </c>
      <c r="AT125" s="35" t="n">
        <v>130.461</v>
      </c>
      <c r="AU125" s="35" t="n">
        <v>146.634</v>
      </c>
      <c r="AV125" s="35" t="n">
        <v>133.576</v>
      </c>
      <c r="AW125" s="35" t="n">
        <v>535.778</v>
      </c>
      <c r="AX125" s="35" t="n">
        <v>138.687</v>
      </c>
      <c r="AY125" s="35" t="n">
        <v>164.612</v>
      </c>
      <c r="AZ125" s="35" t="n">
        <v>180.055</v>
      </c>
      <c r="BA125" s="35" t="n">
        <v>138.653</v>
      </c>
      <c r="BB125" s="35" t="n">
        <v>622.007</v>
      </c>
      <c r="BC125" s="35" t="n">
        <v>143.997</v>
      </c>
      <c r="BD125" s="35" t="n">
        <v>181.344</v>
      </c>
      <c r="BE125" s="35" t="n">
        <v>185.395</v>
      </c>
      <c r="BF125" s="35" t="n">
        <v>173.486</v>
      </c>
      <c r="BG125" s="35" t="n">
        <v>684.222</v>
      </c>
      <c r="BH125" s="35" t="n">
        <v>226.234</v>
      </c>
      <c r="BI125" s="35" t="n">
        <v>250.026</v>
      </c>
      <c r="BJ125" s="35" t="n">
        <v>266.893</v>
      </c>
      <c r="BK125" s="35" t="n">
        <v>246.747</v>
      </c>
      <c r="BL125" s="35" t="n">
        <v>989.9</v>
      </c>
      <c r="BM125" s="35" t="n">
        <v>366.1</v>
      </c>
      <c r="BN125" s="35" t="n">
        <v>358.4</v>
      </c>
      <c r="BO125" s="35" t="n">
        <v>331.2</v>
      </c>
      <c r="BP125" s="35" t="n">
        <v>308.6</v>
      </c>
      <c r="BQ125" s="35" t="n">
        <v>1364.3</v>
      </c>
      <c r="BR125" s="35" t="n">
        <v>368.9</v>
      </c>
      <c r="BS125" s="35" t="n">
        <v>394.9</v>
      </c>
      <c r="BT125" s="35" t="n">
        <v>418.3</v>
      </c>
      <c r="BU125" s="35" t="n">
        <v>377.9</v>
      </c>
      <c r="BV125" s="35" t="n">
        <v>1560</v>
      </c>
      <c r="BW125" s="35" t="n">
        <v>421</v>
      </c>
      <c r="BX125" s="35" t="n">
        <v>395</v>
      </c>
      <c r="BY125" s="36" t="n">
        <f aca="false">BY123-BY126-BY127-BY128-N(BY129)-BY132</f>
        <v>402.014619045969</v>
      </c>
      <c r="BZ125" s="36" t="n">
        <f aca="false">BZ123-BZ126-BZ127-BZ128-N(BZ129)-BZ132</f>
        <v>343.508757677999</v>
      </c>
      <c r="CA125" s="36" t="n">
        <f aca="false">SUM(BW125,BX125,BY125,BZ125)</f>
        <v>1561.52337672397</v>
      </c>
      <c r="CB125" s="36" t="n">
        <f aca="false">CB123-CB126-CB127-CB128-N(CB129)-CB132</f>
        <v>1786.21424495868</v>
      </c>
      <c r="CC125" s="36" t="n">
        <f aca="false">CC123-CC126-CC127-CC128-N(CC129)-CC132</f>
        <v>1801.28660620196</v>
      </c>
      <c r="CD125" s="36" t="n">
        <f aca="false">CD123-CD126-CD127-CD128-N(CD129)-CD132</f>
        <v>1802.38232859803</v>
      </c>
      <c r="CE125" s="36" t="n">
        <f aca="false">CE123-CE126-CE127-CE128-N(CE129)-CE132</f>
        <v>1771.74676920425</v>
      </c>
      <c r="CF125" s="28" t="s">
        <v>306</v>
      </c>
    </row>
    <row r="126" customFormat="false" ht="15" hidden="false" customHeight="true" outlineLevel="0" collapsed="false">
      <c r="B126" s="29" t="s">
        <v>307</v>
      </c>
      <c r="C126" s="35" t="n">
        <v>12.008</v>
      </c>
      <c r="D126" s="35" t="n">
        <v>12.453</v>
      </c>
      <c r="E126" s="35" t="n">
        <v>12.759</v>
      </c>
      <c r="F126" s="35" t="n">
        <v>13.942</v>
      </c>
      <c r="G126" s="35" t="n">
        <v>17.35</v>
      </c>
      <c r="H126" s="35" t="n">
        <v>20.037</v>
      </c>
      <c r="I126" s="35" t="n">
        <v>32.756</v>
      </c>
      <c r="J126" s="35" t="n">
        <v>12.102</v>
      </c>
      <c r="K126" s="35" t="n">
        <v>11.488</v>
      </c>
      <c r="L126" s="35" t="n">
        <v>11.562</v>
      </c>
      <c r="M126" s="35" t="n">
        <v>11.605</v>
      </c>
      <c r="N126" s="35" t="n">
        <v>46.757</v>
      </c>
      <c r="O126" s="35" t="n">
        <v>12.351</v>
      </c>
      <c r="P126" s="35" t="n">
        <v>15.143</v>
      </c>
      <c r="Q126" s="35" t="n">
        <v>14.227</v>
      </c>
      <c r="R126" s="35" t="n">
        <v>13.705</v>
      </c>
      <c r="S126" s="35" t="n">
        <v>55.426</v>
      </c>
      <c r="T126" s="35" t="n">
        <v>15.148</v>
      </c>
      <c r="U126" s="35" t="n">
        <v>16.844</v>
      </c>
      <c r="V126" s="35" t="n">
        <v>17.048</v>
      </c>
      <c r="W126" s="35" t="n">
        <v>16.72</v>
      </c>
      <c r="X126" s="35" t="n">
        <v>65.76</v>
      </c>
      <c r="Y126" s="35" t="n">
        <v>17.635</v>
      </c>
      <c r="Z126" s="35" t="n">
        <v>19.547</v>
      </c>
      <c r="AA126" s="35" t="n">
        <v>19.357</v>
      </c>
      <c r="AB126" s="35" t="n">
        <v>19.861</v>
      </c>
      <c r="AC126" s="35" t="n">
        <v>76.4</v>
      </c>
      <c r="AD126" s="35" t="n">
        <v>22.374</v>
      </c>
      <c r="AE126" s="35" t="n">
        <v>23.144</v>
      </c>
      <c r="AF126" s="35" t="n">
        <v>21.536</v>
      </c>
      <c r="AG126" s="35" t="n">
        <v>21.796</v>
      </c>
      <c r="AH126" s="35" t="n">
        <v>88.85</v>
      </c>
      <c r="AI126" s="35" t="n">
        <v>22.913</v>
      </c>
      <c r="AJ126" s="35" t="n">
        <v>26.271</v>
      </c>
      <c r="AK126" s="35" t="n">
        <v>26.173</v>
      </c>
      <c r="AL126" s="35" t="n">
        <v>25.58</v>
      </c>
      <c r="AM126" s="35" t="n">
        <v>100.937</v>
      </c>
      <c r="AN126" s="35" t="n">
        <v>27.928</v>
      </c>
      <c r="AO126" s="35" t="n">
        <v>28.455</v>
      </c>
      <c r="AP126" s="35" t="n">
        <v>32.639</v>
      </c>
      <c r="AQ126" s="35" t="n">
        <v>36.58</v>
      </c>
      <c r="AR126" s="35" t="n">
        <v>125.602</v>
      </c>
      <c r="AS126" s="35" t="n">
        <v>41.61</v>
      </c>
      <c r="AT126" s="35" t="n">
        <v>39.001</v>
      </c>
      <c r="AU126" s="35" t="n">
        <v>40.732</v>
      </c>
      <c r="AV126" s="35" t="n">
        <v>41.573</v>
      </c>
      <c r="AW126" s="35" t="n">
        <v>162.916</v>
      </c>
      <c r="AX126" s="35" t="n">
        <v>46.784</v>
      </c>
      <c r="AY126" s="35" t="n">
        <v>48.573</v>
      </c>
      <c r="AZ126" s="35" t="n">
        <v>53.143</v>
      </c>
      <c r="BA126" s="35" t="n">
        <v>52.522</v>
      </c>
      <c r="BB126" s="35" t="n">
        <v>201.022</v>
      </c>
      <c r="BC126" s="35" t="n">
        <v>54.021</v>
      </c>
      <c r="BD126" s="35" t="n">
        <v>51.587</v>
      </c>
      <c r="BE126" s="35" t="n">
        <v>56.912</v>
      </c>
      <c r="BF126" s="35" t="n">
        <v>58.403</v>
      </c>
      <c r="BG126" s="35" t="n">
        <v>220.923</v>
      </c>
      <c r="BH126" s="35" t="n">
        <v>66.59</v>
      </c>
      <c r="BI126" s="35" t="n">
        <v>63.369</v>
      </c>
      <c r="BJ126" s="35" t="n">
        <v>67.891</v>
      </c>
      <c r="BK126" s="35" t="n">
        <v>69.75</v>
      </c>
      <c r="BL126" s="35" t="n">
        <v>267.6</v>
      </c>
      <c r="BM126" s="35" t="n">
        <v>82.4</v>
      </c>
      <c r="BN126" s="35" t="n">
        <v>79.6</v>
      </c>
      <c r="BO126" s="35" t="n">
        <v>81</v>
      </c>
      <c r="BP126" s="35" t="n">
        <v>82.3</v>
      </c>
      <c r="BQ126" s="35" t="n">
        <v>325.3</v>
      </c>
      <c r="BR126" s="35" t="n">
        <v>94.5</v>
      </c>
      <c r="BS126" s="35" t="n">
        <v>97.1</v>
      </c>
      <c r="BT126" s="35" t="n">
        <v>105.4</v>
      </c>
      <c r="BU126" s="35" t="n">
        <v>109</v>
      </c>
      <c r="BV126" s="35" t="n">
        <v>406</v>
      </c>
      <c r="BW126" s="35" t="n">
        <v>114</v>
      </c>
      <c r="BX126" s="35" t="n">
        <v>107</v>
      </c>
      <c r="BY126" s="36" t="n">
        <f aca="false">BY121*BY109</f>
        <v>117.232004622399</v>
      </c>
      <c r="BZ126" s="36" t="n">
        <f aca="false">BZ121*BZ109</f>
        <v>122.920619770486</v>
      </c>
      <c r="CA126" s="36" t="n">
        <f aca="false">SUM(BW126,BX126,BY126,BZ126)</f>
        <v>461.152624392885</v>
      </c>
      <c r="CB126" s="36" t="n">
        <f aca="false">CB121*CB109</f>
        <v>497.36348890437</v>
      </c>
      <c r="CC126" s="36" t="n">
        <f aca="false">CC121*CC109</f>
        <v>546.351099436605</v>
      </c>
      <c r="CD126" s="36" t="n">
        <f aca="false">CD121*CD109</f>
        <v>596.282494312833</v>
      </c>
      <c r="CE126" s="36" t="n">
        <f aca="false">CE121*CE109</f>
        <v>646.471867825284</v>
      </c>
      <c r="CF126" s="28"/>
    </row>
    <row r="127" customFormat="false" ht="15" hidden="false" customHeight="true" outlineLevel="0" collapsed="false">
      <c r="B127" s="29" t="s">
        <v>308</v>
      </c>
      <c r="C127" s="35" t="n">
        <v>30.707</v>
      </c>
      <c r="D127" s="35" t="n">
        <v>36.569</v>
      </c>
      <c r="E127" s="35" t="n">
        <v>39.888</v>
      </c>
      <c r="F127" s="35" t="n">
        <v>44.248</v>
      </c>
      <c r="G127" s="35" t="n">
        <v>47.776</v>
      </c>
      <c r="H127" s="35" t="n">
        <v>58.362</v>
      </c>
      <c r="I127" s="35" t="n">
        <v>77.154</v>
      </c>
      <c r="J127" s="35" t="n">
        <v>29.82</v>
      </c>
      <c r="K127" s="35" t="n">
        <v>22.697</v>
      </c>
      <c r="L127" s="35" t="n">
        <v>21.94</v>
      </c>
      <c r="M127" s="35" t="n">
        <v>22.499</v>
      </c>
      <c r="N127" s="35" t="n">
        <v>96.956</v>
      </c>
      <c r="O127" s="35" t="n">
        <v>24.897</v>
      </c>
      <c r="P127" s="35" t="n">
        <v>26.25</v>
      </c>
      <c r="Q127" s="35" t="n">
        <v>25.388</v>
      </c>
      <c r="R127" s="35" t="n">
        <v>27.381</v>
      </c>
      <c r="S127" s="35" t="n">
        <v>103.916</v>
      </c>
      <c r="T127" s="35" t="n">
        <v>25.363</v>
      </c>
      <c r="U127" s="35" t="n">
        <v>29.909</v>
      </c>
      <c r="V127" s="35" t="n">
        <v>31.074</v>
      </c>
      <c r="W127" s="35" t="n">
        <v>29.161</v>
      </c>
      <c r="X127" s="35" t="n">
        <v>115.507</v>
      </c>
      <c r="Y127" s="35" t="n">
        <v>27.476</v>
      </c>
      <c r="Z127" s="35" t="n">
        <v>30.227</v>
      </c>
      <c r="AA127" s="35" t="n">
        <v>30.572</v>
      </c>
      <c r="AB127" s="35" t="n">
        <v>35.022</v>
      </c>
      <c r="AC127" s="35" t="n">
        <v>123.297</v>
      </c>
      <c r="AD127" s="35" t="n">
        <v>33.995</v>
      </c>
      <c r="AE127" s="35" t="n">
        <v>34.557</v>
      </c>
      <c r="AF127" s="35" t="n">
        <v>35.998</v>
      </c>
      <c r="AG127" s="35" t="n">
        <v>41.578</v>
      </c>
      <c r="AH127" s="35" t="n">
        <v>146.128</v>
      </c>
      <c r="AI127" s="35" t="n">
        <v>40.59</v>
      </c>
      <c r="AJ127" s="35" t="n">
        <v>38.056</v>
      </c>
      <c r="AK127" s="35" t="n">
        <v>39.012</v>
      </c>
      <c r="AL127" s="35" t="n">
        <v>39.001</v>
      </c>
      <c r="AM127" s="35" t="n">
        <v>156.659</v>
      </c>
      <c r="AN127" s="35" t="n">
        <v>40.076</v>
      </c>
      <c r="AO127" s="35" t="n">
        <v>42.337</v>
      </c>
      <c r="AP127" s="35" t="n">
        <v>45.53</v>
      </c>
      <c r="AQ127" s="35" t="n">
        <v>50.797</v>
      </c>
      <c r="AR127" s="35" t="n">
        <v>178.74</v>
      </c>
      <c r="AS127" s="35" t="n">
        <v>58.873</v>
      </c>
      <c r="AT127" s="35" t="n">
        <v>57.403</v>
      </c>
      <c r="AU127" s="35" t="n">
        <v>65.322</v>
      </c>
      <c r="AV127" s="35" t="n">
        <v>118.1</v>
      </c>
      <c r="AW127" s="35" t="n">
        <v>299.698</v>
      </c>
      <c r="AX127" s="35" t="n">
        <v>63.85</v>
      </c>
      <c r="AY127" s="35" t="n">
        <v>58.226</v>
      </c>
      <c r="AZ127" s="35" t="n">
        <v>64.671</v>
      </c>
      <c r="BA127" s="35" t="n">
        <v>69.964</v>
      </c>
      <c r="BB127" s="35" t="n">
        <v>256.711</v>
      </c>
      <c r="BC127" s="35" t="n">
        <v>77.961</v>
      </c>
      <c r="BD127" s="35" t="n">
        <v>77.345</v>
      </c>
      <c r="BE127" s="35" t="n">
        <v>91.27</v>
      </c>
      <c r="BF127" s="35" t="n">
        <v>92.161</v>
      </c>
      <c r="BG127" s="35" t="n">
        <v>338.737</v>
      </c>
      <c r="BH127" s="35" t="n">
        <v>89.508</v>
      </c>
      <c r="BI127" s="35" t="n">
        <v>90.563</v>
      </c>
      <c r="BJ127" s="35" t="n">
        <v>94.371</v>
      </c>
      <c r="BK127" s="35" t="n">
        <v>107.058</v>
      </c>
      <c r="BL127" s="35" t="n">
        <v>381.5</v>
      </c>
      <c r="BM127" s="35" t="n">
        <v>98.5</v>
      </c>
      <c r="BN127" s="35" t="n">
        <v>109.9</v>
      </c>
      <c r="BO127" s="35" t="n">
        <v>105.8</v>
      </c>
      <c r="BP127" s="35" t="n">
        <v>124.8</v>
      </c>
      <c r="BQ127" s="35" t="n">
        <v>439.1</v>
      </c>
      <c r="BR127" s="35" t="n">
        <v>141.1</v>
      </c>
      <c r="BS127" s="35" t="n">
        <v>122.2</v>
      </c>
      <c r="BT127" s="35" t="n">
        <v>157</v>
      </c>
      <c r="BU127" s="35" t="n">
        <v>128.7</v>
      </c>
      <c r="BV127" s="35" t="n">
        <v>549</v>
      </c>
      <c r="BW127" s="35" t="n">
        <v>126</v>
      </c>
      <c r="BX127" s="35" t="n">
        <v>114</v>
      </c>
      <c r="BY127" s="36" t="n">
        <f aca="false">BY121*BY110</f>
        <v>127.310774250569</v>
      </c>
      <c r="BZ127" s="36" t="n">
        <f aca="false">BZ121*BZ110</f>
        <v>133.488455859351</v>
      </c>
      <c r="CA127" s="36" t="n">
        <f aca="false">SUM(BW127,BX127,BY127,BZ127)</f>
        <v>500.79923010992</v>
      </c>
      <c r="CB127" s="36" t="n">
        <f aca="false">CB121*CB110</f>
        <v>518.987988421951</v>
      </c>
      <c r="CC127" s="36" t="n">
        <f aca="false">CC121*CC110</f>
        <v>570.105495064284</v>
      </c>
      <c r="CD127" s="36" t="n">
        <f aca="false">CD121*CD110</f>
        <v>622.207820152521</v>
      </c>
      <c r="CE127" s="36" t="n">
        <f aca="false">CE121*CE110</f>
        <v>674.579340339427</v>
      </c>
      <c r="CF127" s="28"/>
    </row>
    <row r="128" customFormat="false" ht="15" hidden="false" customHeight="true" outlineLevel="0" collapsed="false">
      <c r="B128" s="29" t="s">
        <v>309</v>
      </c>
      <c r="C128" s="35" t="n">
        <v>4.183</v>
      </c>
      <c r="D128" s="35" t="n">
        <v>5.063</v>
      </c>
      <c r="E128" s="35" t="n">
        <v>4.88</v>
      </c>
      <c r="F128" s="35" t="n">
        <v>3.412</v>
      </c>
      <c r="G128" s="35" t="n">
        <v>2.305</v>
      </c>
      <c r="H128" s="35" t="n">
        <v>2.237</v>
      </c>
      <c r="I128" s="35" t="n">
        <v>13.607</v>
      </c>
      <c r="J128" s="35" t="n">
        <v>4.125</v>
      </c>
      <c r="K128" s="35" t="n">
        <v>3.894</v>
      </c>
      <c r="L128" s="35" t="n">
        <v>3.68</v>
      </c>
      <c r="M128" s="35" t="n">
        <v>3.484</v>
      </c>
      <c r="N128" s="35" t="n">
        <v>15.183</v>
      </c>
      <c r="O128" s="35" t="n">
        <v>3.299</v>
      </c>
      <c r="P128" s="35" t="n">
        <v>9.036</v>
      </c>
      <c r="Q128" s="35" t="n">
        <v>8.361</v>
      </c>
      <c r="R128" s="35" t="n">
        <v>7.736</v>
      </c>
      <c r="S128" s="35" t="n">
        <v>28.432</v>
      </c>
      <c r="T128" s="35" t="n">
        <v>7.142</v>
      </c>
      <c r="U128" s="35" t="n">
        <v>6.965</v>
      </c>
      <c r="V128" s="35" t="n">
        <v>7.153</v>
      </c>
      <c r="W128" s="35" t="n">
        <v>6.671</v>
      </c>
      <c r="X128" s="35" t="n">
        <v>27.931</v>
      </c>
      <c r="Y128" s="35" t="n">
        <v>6.223</v>
      </c>
      <c r="Z128" s="35" t="n">
        <v>5.829</v>
      </c>
      <c r="AA128" s="35" t="n">
        <v>5.55</v>
      </c>
      <c r="AB128" s="35" t="n">
        <v>5.129</v>
      </c>
      <c r="AC128" s="35" t="n">
        <v>22.731</v>
      </c>
      <c r="AD128" s="35" t="n">
        <v>4.774</v>
      </c>
      <c r="AE128" s="35" t="n">
        <v>4.57</v>
      </c>
      <c r="AF128" s="35" t="n">
        <v>4.298</v>
      </c>
      <c r="AG128" s="35" t="n">
        <v>4.029</v>
      </c>
      <c r="AH128" s="35" t="n">
        <v>17.671</v>
      </c>
      <c r="AI128" s="35" t="n">
        <v>5.803</v>
      </c>
      <c r="AJ128" s="35" t="n">
        <v>8.816</v>
      </c>
      <c r="AK128" s="35" t="n">
        <v>8.329</v>
      </c>
      <c r="AL128" s="35" t="n">
        <v>7.933</v>
      </c>
      <c r="AM128" s="35" t="n">
        <v>30.881</v>
      </c>
      <c r="AN128" s="35" t="n">
        <v>7.682</v>
      </c>
      <c r="AO128" s="35" t="n">
        <v>7.175</v>
      </c>
      <c r="AP128" s="35" t="n">
        <v>7.616</v>
      </c>
      <c r="AQ128" s="35" t="n">
        <v>11.522</v>
      </c>
      <c r="AR128" s="35" t="n">
        <v>33.995</v>
      </c>
      <c r="AS128" s="35" t="n">
        <v>11.484</v>
      </c>
      <c r="AT128" s="35" t="n">
        <v>14.935</v>
      </c>
      <c r="AU128" s="35" t="n">
        <v>18.258</v>
      </c>
      <c r="AV128" s="35" t="n">
        <v>17.78</v>
      </c>
      <c r="AW128" s="35" t="n">
        <v>62.457</v>
      </c>
      <c r="AX128" s="35" t="n">
        <v>18.419</v>
      </c>
      <c r="AY128" s="35" t="n">
        <v>18.345</v>
      </c>
      <c r="AZ128" s="35" t="n">
        <v>19.121</v>
      </c>
      <c r="BA128" s="35" t="n">
        <v>18.932</v>
      </c>
      <c r="BB128" s="35" t="n">
        <v>74.817</v>
      </c>
      <c r="BC128" s="35" t="n">
        <v>16.092</v>
      </c>
      <c r="BD128" s="35" t="n">
        <v>14.878</v>
      </c>
      <c r="BE128" s="35" t="n">
        <v>29.651</v>
      </c>
      <c r="BF128" s="35" t="n">
        <v>12.939</v>
      </c>
      <c r="BG128" s="35" t="n">
        <v>73.56</v>
      </c>
      <c r="BH128" s="35" t="n">
        <v>10.617</v>
      </c>
      <c r="BI128" s="35" t="n">
        <v>10.44</v>
      </c>
      <c r="BJ128" s="35" t="n">
        <v>10.254</v>
      </c>
      <c r="BK128" s="35" t="n">
        <v>10.889</v>
      </c>
      <c r="BL128" s="35" t="n">
        <v>42.2</v>
      </c>
      <c r="BM128" s="35" t="n">
        <v>11</v>
      </c>
      <c r="BN128" s="35" t="n">
        <v>10.2</v>
      </c>
      <c r="BO128" s="35" t="n">
        <v>10.3</v>
      </c>
      <c r="BP128" s="35" t="n">
        <v>12.8</v>
      </c>
      <c r="BQ128" s="35" t="n">
        <v>44.3</v>
      </c>
      <c r="BR128" s="35" t="n">
        <v>17.2</v>
      </c>
      <c r="BS128" s="35" t="n">
        <v>26.5</v>
      </c>
      <c r="BT128" s="35" t="n">
        <v>31.8</v>
      </c>
      <c r="BU128" s="35" t="n">
        <v>42.5</v>
      </c>
      <c r="BV128" s="35" t="n">
        <v>118</v>
      </c>
      <c r="BW128" s="35" t="n">
        <v>37</v>
      </c>
      <c r="BX128" s="35" t="n">
        <v>36</v>
      </c>
      <c r="BY128" s="36" t="n">
        <f aca="false">BY115*BY116</f>
        <v>37.703937007874</v>
      </c>
      <c r="BZ128" s="36" t="n">
        <f aca="false">BZ115*BZ116</f>
        <v>40.2740157480315</v>
      </c>
      <c r="CA128" s="36" t="n">
        <f aca="false">SUM(BW128,BX128,BY128,BZ128)</f>
        <v>150.977952755906</v>
      </c>
      <c r="CB128" s="36" t="n">
        <f aca="false">CB115*CB116</f>
        <v>144.275590551181</v>
      </c>
      <c r="CC128" s="36" t="n">
        <f aca="false">CC115*CC116</f>
        <v>129.330708661417</v>
      </c>
      <c r="CD128" s="36" t="n">
        <f aca="false">CD115*CD116</f>
        <v>121.283464566929</v>
      </c>
      <c r="CE128" s="36" t="n">
        <f aca="false">CE115*CE116</f>
        <v>102.889763779528</v>
      </c>
      <c r="CF128" s="28"/>
    </row>
    <row r="129" customFormat="false" ht="15" hidden="false" customHeight="true" outlineLevel="0" collapsed="false">
      <c r="B129" s="29" t="s">
        <v>310</v>
      </c>
      <c r="C129" s="35" t="n">
        <v>0</v>
      </c>
      <c r="D129" s="35" t="n">
        <v>-7.613</v>
      </c>
      <c r="E129" s="35" t="n">
        <v>0</v>
      </c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6"/>
      <c r="BZ129" s="36"/>
      <c r="CA129" s="36"/>
      <c r="CB129" s="36"/>
      <c r="CC129" s="36"/>
      <c r="CD129" s="36"/>
      <c r="CE129" s="36"/>
      <c r="CF129" s="28"/>
    </row>
    <row r="130" customFormat="false" ht="15" hidden="false" customHeight="true" outlineLevel="0" collapsed="false">
      <c r="B130" s="17" t="s">
        <v>311</v>
      </c>
      <c r="C130" s="18" t="n">
        <f aca="false">N(C125)+N(C126)+N(C127)+N(C128)+N(C129)</f>
        <v>88.672</v>
      </c>
      <c r="D130" s="18" t="n">
        <f aca="false">N(D125)+N(D126)+N(D127)+N(D128)+N(D129)</f>
        <v>98.249</v>
      </c>
      <c r="E130" s="18" t="n">
        <f aca="false">N(E125)+N(E126)+N(E127)+N(E128)+N(E129)</f>
        <v>99.232</v>
      </c>
      <c r="F130" s="18" t="n">
        <f aca="false">N(F125)+N(F126)+N(F127)+N(F128)+N(F129)</f>
        <v>104.11</v>
      </c>
      <c r="G130" s="18" t="n">
        <f aca="false">N(G125)+N(G126)+N(G127)+N(G128)+N(G129)</f>
        <v>119.886</v>
      </c>
      <c r="H130" s="18" t="n">
        <f aca="false">N(H125)+N(H126)+N(H127)+N(H128)+N(H129)</f>
        <v>141.8</v>
      </c>
      <c r="I130" s="18" t="n">
        <f aca="false">N(I125)+N(I126)+N(I127)+N(I128)+N(I129)</f>
        <v>207.63</v>
      </c>
      <c r="J130" s="18" t="n">
        <f aca="false">N(J125)+N(J126)+N(J127)+N(J128)+N(J129)</f>
        <v>73.025</v>
      </c>
      <c r="K130" s="18" t="n">
        <f aca="false">N(K125)+N(K126)+N(K127)+N(K128)+N(K129)</f>
        <v>61.615</v>
      </c>
      <c r="L130" s="18" t="n">
        <f aca="false">N(L125)+N(L126)+N(L127)+N(L128)+N(L129)</f>
        <v>60.807</v>
      </c>
      <c r="M130" s="18" t="n">
        <f aca="false">N(M125)+N(M126)+N(M127)+N(M128)+N(M129)</f>
        <v>62.157</v>
      </c>
      <c r="N130" s="18" t="n">
        <f aca="false">N(N125)+N(N126)+N(N127)+N(N128)+N(N129)</f>
        <v>257.604</v>
      </c>
      <c r="O130" s="18" t="n">
        <f aca="false">N(O125)+N(O126)+N(O127)+N(O128)+N(O129)</f>
        <v>68.292</v>
      </c>
      <c r="P130" s="18" t="n">
        <f aca="false">N(P125)+N(P126)+N(P127)+N(P128)+N(P129)</f>
        <v>91.318</v>
      </c>
      <c r="Q130" s="18" t="n">
        <f aca="false">N(Q125)+N(Q126)+N(Q127)+N(Q128)+N(Q129)</f>
        <v>88.644</v>
      </c>
      <c r="R130" s="18" t="n">
        <f aca="false">N(R125)+N(R126)+N(R127)+N(R128)+N(R129)</f>
        <v>89.825</v>
      </c>
      <c r="S130" s="18" t="n">
        <f aca="false">N(S125)+N(S126)+N(S127)+N(S128)+N(S129)</f>
        <v>338.079</v>
      </c>
      <c r="T130" s="18" t="n">
        <f aca="false">N(T125)+N(T126)+N(T127)+N(T128)+N(T129)</f>
        <v>117.131</v>
      </c>
      <c r="U130" s="18" t="n">
        <f aca="false">N(U125)+N(U126)+N(U127)+N(U128)+N(U129)</f>
        <v>146.152</v>
      </c>
      <c r="V130" s="18" t="n">
        <f aca="false">N(V125)+N(V126)+N(V127)+N(V128)+N(V129)</f>
        <v>135.781</v>
      </c>
      <c r="W130" s="18" t="n">
        <f aca="false">N(W125)+N(W126)+N(W127)+N(W128)+N(W129)</f>
        <v>112.36</v>
      </c>
      <c r="X130" s="18" t="n">
        <f aca="false">N(X125)+N(X126)+N(X127)+N(X128)+N(X129)</f>
        <v>511.424</v>
      </c>
      <c r="Y130" s="18" t="n">
        <f aca="false">N(Y125)+N(Y126)+N(Y127)+N(Y128)+N(Y129)</f>
        <v>126.538</v>
      </c>
      <c r="Z130" s="18" t="n">
        <f aca="false">N(Z125)+N(Z126)+N(Z127)+N(Z128)+N(Z129)</f>
        <v>136.071</v>
      </c>
      <c r="AA130" s="18" t="n">
        <f aca="false">N(AA125)+N(AA126)+N(AA127)+N(AA128)+N(AA129)</f>
        <v>130.893</v>
      </c>
      <c r="AB130" s="18" t="n">
        <f aca="false">N(AB125)+N(AB126)+N(AB127)+N(AB128)+N(AB129)</f>
        <v>125.409</v>
      </c>
      <c r="AC130" s="18" t="n">
        <f aca="false">N(AC125)+N(AC126)+N(AC127)+N(AC128)+N(AC129)</f>
        <v>518.911</v>
      </c>
      <c r="AD130" s="18" t="n">
        <f aca="false">N(AD125)+N(AD126)+N(AD127)+N(AD128)+N(AD129)</f>
        <v>137.545</v>
      </c>
      <c r="AE130" s="18" t="n">
        <f aca="false">N(AE125)+N(AE126)+N(AE127)+N(AE128)+N(AE129)</f>
        <v>153.997</v>
      </c>
      <c r="AF130" s="18" t="n">
        <f aca="false">N(AF125)+N(AF126)+N(AF127)+N(AF128)+N(AF129)</f>
        <v>134.537</v>
      </c>
      <c r="AG130" s="18" t="n">
        <f aca="false">N(AG125)+N(AG126)+N(AG127)+N(AG128)+N(AG129)</f>
        <v>144.932</v>
      </c>
      <c r="AH130" s="18" t="n">
        <f aca="false">N(AH125)+N(AH126)+N(AH127)+N(AH128)+N(AH129)</f>
        <v>571.011</v>
      </c>
      <c r="AI130" s="18" t="n">
        <f aca="false">N(AI125)+N(AI126)+N(AI127)+N(AI128)+N(AI129)</f>
        <v>157.796</v>
      </c>
      <c r="AJ130" s="18" t="n">
        <f aca="false">N(AJ125)+N(AJ126)+N(AJ127)+N(AJ128)+N(AJ129)</f>
        <v>186.108</v>
      </c>
      <c r="AK130" s="18" t="n">
        <f aca="false">N(AK125)+N(AK126)+N(AK127)+N(AK128)+N(AK129)</f>
        <v>162.765</v>
      </c>
      <c r="AL130" s="18" t="n">
        <f aca="false">N(AL125)+N(AL126)+N(AL127)+N(AL128)+N(AL129)</f>
        <v>141.666</v>
      </c>
      <c r="AM130" s="18" t="n">
        <f aca="false">N(AM125)+N(AM126)+N(AM127)+N(AM128)+N(AM129)</f>
        <v>648.335</v>
      </c>
      <c r="AN130" s="18" t="n">
        <f aca="false">N(AN125)+N(AN126)+N(AN127)+N(AN128)+N(AN129)</f>
        <v>163.78</v>
      </c>
      <c r="AO130" s="18" t="n">
        <f aca="false">N(AO125)+N(AO126)+N(AO127)+N(AO128)+N(AO129)</f>
        <v>197.042</v>
      </c>
      <c r="AP130" s="18" t="n">
        <f aca="false">N(AP125)+N(AP126)+N(AP127)+N(AP128)+N(AP129)</f>
        <v>187.367</v>
      </c>
      <c r="AQ130" s="18" t="n">
        <f aca="false">N(AQ125)+N(AQ126)+N(AQ127)+N(AQ128)+N(AQ129)</f>
        <v>198.744</v>
      </c>
      <c r="AR130" s="18" t="n">
        <f aca="false">N(AR125)+N(AR126)+N(AR127)+N(AR128)+N(AR129)</f>
        <v>746.933</v>
      </c>
      <c r="AS130" s="18" t="n">
        <f aca="false">N(AS125)+N(AS126)+N(AS127)+N(AS128)+N(AS129)</f>
        <v>237.074</v>
      </c>
      <c r="AT130" s="18" t="n">
        <f aca="false">N(AT125)+N(AT126)+N(AT127)+N(AT128)+N(AT129)</f>
        <v>241.8</v>
      </c>
      <c r="AU130" s="18" t="n">
        <f aca="false">N(AU125)+N(AU126)+N(AU127)+N(AU128)+N(AU129)</f>
        <v>270.946</v>
      </c>
      <c r="AV130" s="18" t="n">
        <f aca="false">N(AV125)+N(AV126)+N(AV127)+N(AV128)+N(AV129)</f>
        <v>311.029</v>
      </c>
      <c r="AW130" s="18" t="n">
        <f aca="false">N(AW125)+N(AW126)+N(AW127)+N(AW128)+N(AW129)</f>
        <v>1060.849</v>
      </c>
      <c r="AX130" s="18" t="n">
        <f aca="false">N(AX125)+N(AX126)+N(AX127)+N(AX128)+N(AX129)</f>
        <v>267.74</v>
      </c>
      <c r="AY130" s="18" t="n">
        <f aca="false">N(AY125)+N(AY126)+N(AY127)+N(AY128)+N(AY129)</f>
        <v>289.756</v>
      </c>
      <c r="AZ130" s="18" t="n">
        <f aca="false">N(AZ125)+N(AZ126)+N(AZ127)+N(AZ128)+N(AZ129)</f>
        <v>316.99</v>
      </c>
      <c r="BA130" s="18" t="n">
        <f aca="false">N(BA125)+N(BA126)+N(BA127)+N(BA128)+N(BA129)</f>
        <v>280.071</v>
      </c>
      <c r="BB130" s="18" t="n">
        <f aca="false">N(BB125)+N(BB126)+N(BB127)+N(BB128)+N(BB129)</f>
        <v>1154.557</v>
      </c>
      <c r="BC130" s="18" t="n">
        <f aca="false">N(BC125)+N(BC126)+N(BC127)+N(BC128)+N(BC129)</f>
        <v>292.071</v>
      </c>
      <c r="BD130" s="18" t="n">
        <f aca="false">N(BD125)+N(BD126)+N(BD127)+N(BD128)+N(BD129)</f>
        <v>325.154</v>
      </c>
      <c r="BE130" s="18" t="n">
        <f aca="false">N(BE125)+N(BE126)+N(BE127)+N(BE128)+N(BE129)</f>
        <v>363.228</v>
      </c>
      <c r="BF130" s="18" t="n">
        <f aca="false">N(BF125)+N(BF126)+N(BF127)+N(BF128)+N(BF129)</f>
        <v>336.989</v>
      </c>
      <c r="BG130" s="18" t="n">
        <f aca="false">N(BG125)+N(BG126)+N(BG127)+N(BG128)+N(BG129)</f>
        <v>1317.442</v>
      </c>
      <c r="BH130" s="18" t="n">
        <f aca="false">N(BH125)+N(BH126)+N(BH127)+N(BH128)+N(BH129)</f>
        <v>392.949</v>
      </c>
      <c r="BI130" s="18" t="n">
        <f aca="false">N(BI125)+N(BI126)+N(BI127)+N(BI128)+N(BI129)</f>
        <v>414.398</v>
      </c>
      <c r="BJ130" s="18" t="n">
        <f aca="false">N(BJ125)+N(BJ126)+N(BJ127)+N(BJ128)+N(BJ129)</f>
        <v>439.409</v>
      </c>
      <c r="BK130" s="18" t="n">
        <f aca="false">N(BK125)+N(BK126)+N(BK127)+N(BK128)+N(BK129)</f>
        <v>434.444</v>
      </c>
      <c r="BL130" s="18" t="n">
        <f aca="false">N(BL125)+N(BL126)+N(BL127)+N(BL128)+N(BL129)</f>
        <v>1681.2</v>
      </c>
      <c r="BM130" s="18" t="n">
        <f aca="false">N(BM125)+N(BM126)+N(BM127)+N(BM128)+N(BM129)</f>
        <v>558</v>
      </c>
      <c r="BN130" s="18" t="n">
        <f aca="false">N(BN125)+N(BN126)+N(BN127)+N(BN128)+N(BN129)</f>
        <v>558.1</v>
      </c>
      <c r="BO130" s="18" t="n">
        <f aca="false">N(BO125)+N(BO126)+N(BO127)+N(BO128)+N(BO129)</f>
        <v>528.3</v>
      </c>
      <c r="BP130" s="18" t="n">
        <f aca="false">N(BP125)+N(BP126)+N(BP127)+N(BP128)+N(BP129)</f>
        <v>528.5</v>
      </c>
      <c r="BQ130" s="18" t="n">
        <f aca="false">N(BQ125)+N(BQ126)+N(BQ127)+N(BQ128)+N(BQ129)</f>
        <v>2173</v>
      </c>
      <c r="BR130" s="18" t="n">
        <f aca="false">N(BR125)+N(BR126)+N(BR127)+N(BR128)+N(BR129)</f>
        <v>621.7</v>
      </c>
      <c r="BS130" s="18" t="n">
        <f aca="false">N(BS125)+N(BS126)+N(BS127)+N(BS128)+N(BS129)</f>
        <v>640.7</v>
      </c>
      <c r="BT130" s="18" t="n">
        <f aca="false">N(BT125)+N(BT126)+N(BT127)+N(BT128)+N(BT129)</f>
        <v>712.5</v>
      </c>
      <c r="BU130" s="18" t="n">
        <f aca="false">N(BU125)+N(BU126)+N(BU127)+N(BU128)+N(BU129)</f>
        <v>658.1</v>
      </c>
      <c r="BV130" s="18" t="n">
        <f aca="false">N(BV125)+N(BV126)+N(BV127)+N(BV128)+N(BV129)</f>
        <v>2633</v>
      </c>
      <c r="BW130" s="18" t="n">
        <f aca="false">N(BW125)+N(BW126)+N(BW127)+N(BW128)+N(BW129)</f>
        <v>698</v>
      </c>
      <c r="BX130" s="18" t="n">
        <f aca="false">N(BX125)+N(BX126)+N(BX127)+N(BX128)+N(BX129)</f>
        <v>652</v>
      </c>
      <c r="BY130" s="20" t="n">
        <f aca="false">N(BY125)+N(BY126)+N(BY127)+N(BY128)+N(BY129)</f>
        <v>684.26133492681</v>
      </c>
      <c r="BZ130" s="20" t="n">
        <f aca="false">N(BZ125)+N(BZ126)+N(BZ127)+N(BZ128)+N(BZ129)</f>
        <v>640.191849055868</v>
      </c>
      <c r="CA130" s="20" t="n">
        <f aca="false">N(CA125)+N(CA126)+N(CA127)+N(CA128)+N(CA129)</f>
        <v>2674.45318398268</v>
      </c>
      <c r="CB130" s="20" t="n">
        <f aca="false">N(CB125)+N(CB126)+N(CB127)+N(CB128)+N(CB129)</f>
        <v>2946.84131283618</v>
      </c>
      <c r="CC130" s="20" t="n">
        <f aca="false">N(CC125)+N(CC126)+N(CC127)+N(CC128)+N(CC129)</f>
        <v>3047.07390936427</v>
      </c>
      <c r="CD130" s="20" t="n">
        <f aca="false">N(CD125)+N(CD126)+N(CD127)+N(CD128)+N(CD129)</f>
        <v>3142.15610763031</v>
      </c>
      <c r="CE130" s="20" t="n">
        <f aca="false">N(CE125)+N(CE126)+N(CE127)+N(CE128)+N(CE129)</f>
        <v>3195.68774114849</v>
      </c>
      <c r="CF130" s="21"/>
    </row>
    <row r="131" customFormat="false" ht="15" hidden="false" customHeight="true" outlineLevel="0" collapsed="false">
      <c r="B131" s="50" t="s">
        <v>312</v>
      </c>
      <c r="C131" s="51" t="n">
        <f aca="false">C123-C130</f>
        <v>14.081</v>
      </c>
      <c r="D131" s="51" t="n">
        <f aca="false">D123-D130</f>
        <v>17.852</v>
      </c>
      <c r="E131" s="51" t="n">
        <f aca="false">E123-E130</f>
        <v>39.788</v>
      </c>
      <c r="F131" s="51" t="n">
        <f aca="false">F123-F130</f>
        <v>31.835</v>
      </c>
      <c r="G131" s="51" t="n">
        <f aca="false">G123-G130</f>
        <v>22.775</v>
      </c>
      <c r="H131" s="51" t="n">
        <f aca="false">H123-H130</f>
        <v>21.771</v>
      </c>
      <c r="I131" s="51" t="n">
        <f aca="false">I123-I130</f>
        <v>27.44</v>
      </c>
      <c r="J131" s="51" t="n">
        <f aca="false">J123-J130</f>
        <v>-2.59800000000001</v>
      </c>
      <c r="K131" s="51" t="n">
        <f aca="false">K123-K130</f>
        <v>15.283</v>
      </c>
      <c r="L131" s="51" t="n">
        <f aca="false">L123-L130</f>
        <v>19.77</v>
      </c>
      <c r="M131" s="51" t="n">
        <f aca="false">M123-M130</f>
        <v>21.699</v>
      </c>
      <c r="N131" s="51" t="n">
        <f aca="false">N123-N130</f>
        <v>54.154</v>
      </c>
      <c r="O131" s="51" t="n">
        <f aca="false">O123-O130</f>
        <v>17.141</v>
      </c>
      <c r="P131" s="51" t="n">
        <f aca="false">P123-P130</f>
        <v>16.909</v>
      </c>
      <c r="Q131" s="51" t="n">
        <f aca="false">Q123-Q130</f>
        <v>23.48</v>
      </c>
      <c r="R131" s="51" t="n">
        <f aca="false">R123-R130</f>
        <v>23.348</v>
      </c>
      <c r="S131" s="51" t="n">
        <f aca="false">S123-S130</f>
        <v>80.878</v>
      </c>
      <c r="T131" s="51" t="n">
        <f aca="false">T123-T130</f>
        <v>-3.50699999999998</v>
      </c>
      <c r="U131" s="51" t="n">
        <f aca="false">U123-U130</f>
        <v>-20.129</v>
      </c>
      <c r="V131" s="51" t="n">
        <f aca="false">V123-V130</f>
        <v>-0.431000000000012</v>
      </c>
      <c r="W131" s="51" t="n">
        <f aca="false">W123-W130</f>
        <v>35.522</v>
      </c>
      <c r="X131" s="51" t="n">
        <f aca="false">X123-X130</f>
        <v>11.455</v>
      </c>
      <c r="Y131" s="51" t="n">
        <f aca="false">Y123-Y130</f>
        <v>30.301</v>
      </c>
      <c r="Z131" s="51" t="n">
        <f aca="false">Z123-Z130</f>
        <v>28.119</v>
      </c>
      <c r="AA131" s="51" t="n">
        <f aca="false">AA123-AA130</f>
        <v>39.596</v>
      </c>
      <c r="AB131" s="51" t="n">
        <f aca="false">AB123-AB130</f>
        <v>46.889</v>
      </c>
      <c r="AC131" s="51" t="n">
        <f aca="false">AC123-AC130</f>
        <v>144.905</v>
      </c>
      <c r="AD131" s="51" t="n">
        <f aca="false">AD123-AD130</f>
        <v>37.662</v>
      </c>
      <c r="AE131" s="51" t="n">
        <f aca="false">AE123-AE130</f>
        <v>27.883</v>
      </c>
      <c r="AF131" s="51" t="n">
        <f aca="false">AF123-AF130</f>
        <v>57.513</v>
      </c>
      <c r="AG131" s="51" t="n">
        <f aca="false">AG123-AG130</f>
        <v>50.758</v>
      </c>
      <c r="AH131" s="51" t="n">
        <f aca="false">AH123-AH130</f>
        <v>173.816</v>
      </c>
      <c r="AI131" s="51" t="n">
        <f aca="false">AI123-AI130</f>
        <v>53.445</v>
      </c>
      <c r="AJ131" s="51" t="n">
        <f aca="false">AJ123-AJ130</f>
        <v>43.774</v>
      </c>
      <c r="AK131" s="51" t="n">
        <f aca="false">AK123-AK130</f>
        <v>70.688</v>
      </c>
      <c r="AL131" s="51" t="n">
        <f aca="false">AL123-AL130</f>
        <v>105.657</v>
      </c>
      <c r="AM131" s="51" t="n">
        <f aca="false">AM123-AM130</f>
        <v>273.564</v>
      </c>
      <c r="AN131" s="51" t="n">
        <f aca="false">AN123-AN130</f>
        <v>93.492</v>
      </c>
      <c r="AO131" s="51" t="n">
        <f aca="false">AO123-AO130</f>
        <v>74.8</v>
      </c>
      <c r="AP131" s="51" t="n">
        <f aca="false">AP123-AP130</f>
        <v>94.269</v>
      </c>
      <c r="AQ131" s="51" t="n">
        <f aca="false">AQ123-AQ130</f>
        <v>100.986</v>
      </c>
      <c r="AR131" s="51" t="n">
        <f aca="false">AR123-AR130</f>
        <v>363.547</v>
      </c>
      <c r="AS131" s="51" t="n">
        <f aca="false">AS123-AS130</f>
        <v>75.864</v>
      </c>
      <c r="AT131" s="51" t="n">
        <f aca="false">AT123-AT130</f>
        <v>81.319</v>
      </c>
      <c r="AU131" s="51" t="n">
        <f aca="false">AU123-AU130</f>
        <v>76.809</v>
      </c>
      <c r="AV131" s="51" t="n">
        <f aca="false">AV123-AV130</f>
        <v>55.21</v>
      </c>
      <c r="AW131" s="51" t="n">
        <f aca="false">AW123-AW130</f>
        <v>289.202</v>
      </c>
      <c r="AX131" s="51" t="n">
        <f aca="false">AX123-AX130</f>
        <v>101.209</v>
      </c>
      <c r="AY131" s="51" t="n">
        <f aca="false">AY123-AY130</f>
        <v>101.011</v>
      </c>
      <c r="AZ131" s="51" t="n">
        <f aca="false">AZ123-AZ130</f>
        <v>89.732</v>
      </c>
      <c r="BA131" s="51" t="n">
        <f aca="false">BA123-BA130</f>
        <v>140.385</v>
      </c>
      <c r="BB131" s="51" t="n">
        <f aca="false">BB123-BB130</f>
        <v>432.337</v>
      </c>
      <c r="BC131" s="51" t="n">
        <f aca="false">BC123-BC130</f>
        <v>128.275</v>
      </c>
      <c r="BD131" s="51" t="n">
        <f aca="false">BD123-BD130</f>
        <v>110.183</v>
      </c>
      <c r="BE131" s="51" t="n">
        <f aca="false">BE123-BE130</f>
        <v>85.329</v>
      </c>
      <c r="BF131" s="51" t="n">
        <f aca="false">BF123-BF130</f>
        <v>127.162</v>
      </c>
      <c r="BG131" s="51" t="n">
        <f aca="false">BG123-BG130</f>
        <v>450.949</v>
      </c>
      <c r="BH131" s="51" t="n">
        <f aca="false">BH123-BH130</f>
        <v>72.221</v>
      </c>
      <c r="BI131" s="51" t="n">
        <f aca="false">BI123-BI130</f>
        <v>79.146</v>
      </c>
      <c r="BJ131" s="51" t="n">
        <f aca="false">BJ123-BJ130</f>
        <v>61.594</v>
      </c>
      <c r="BK131" s="51" t="n">
        <f aca="false">BK123-BK130</f>
        <v>69.3389999999999</v>
      </c>
      <c r="BL131" s="51" t="n">
        <f aca="false">BL123-BL130</f>
        <v>282.3</v>
      </c>
      <c r="BM131" s="51" t="n">
        <f aca="false">BM123-BM130</f>
        <v>-42.8</v>
      </c>
      <c r="BN131" s="51" t="n">
        <f aca="false">BN123-BN130</f>
        <v>-16.1</v>
      </c>
      <c r="BO131" s="51" t="n">
        <f aca="false">BO123-BO130</f>
        <v>23.7</v>
      </c>
      <c r="BP131" s="51" t="n">
        <f aca="false">BP123-BP130</f>
        <v>40</v>
      </c>
      <c r="BQ131" s="51" t="n">
        <f aca="false">BQ123-BQ130</f>
        <v>4.69999999999982</v>
      </c>
      <c r="BR131" s="51" t="n">
        <f aca="false">BR123-BR130</f>
        <v>-42.8</v>
      </c>
      <c r="BS131" s="51" t="n">
        <f aca="false">BS123-BS130</f>
        <v>-27.2</v>
      </c>
      <c r="BT131" s="51" t="n">
        <f aca="false">BT123-BT130</f>
        <v>-51.0999999999999</v>
      </c>
      <c r="BU131" s="51" t="n">
        <f aca="false">BU123-BU130</f>
        <v>49.1000000000001</v>
      </c>
      <c r="BV131" s="51" t="n">
        <f aca="false">BV123-BV130</f>
        <v>-72</v>
      </c>
      <c r="BW131" s="51" t="n">
        <f aca="false">BW123-BW130</f>
        <v>3</v>
      </c>
      <c r="BX131" s="51" t="n">
        <f aca="false">BX123-BX130</f>
        <v>76</v>
      </c>
      <c r="BY131" s="51" t="n">
        <f aca="false">BY123-BY130</f>
        <v>73.7682334234512</v>
      </c>
      <c r="BZ131" s="51" t="n">
        <f aca="false">BZ123-BZ130</f>
        <v>154.620665206686</v>
      </c>
      <c r="CA131" s="51" t="n">
        <f aca="false">CA123-CA130</f>
        <v>307.388898630137</v>
      </c>
      <c r="CB131" s="51" t="n">
        <f aca="false">CB123-CB130</f>
        <v>469.829610941663</v>
      </c>
      <c r="CC131" s="51" t="n">
        <f aca="false">CC123-CC130</f>
        <v>706.120599808933</v>
      </c>
      <c r="CD131" s="51" t="n">
        <f aca="false">CD123-CD130</f>
        <v>954.045375040454</v>
      </c>
      <c r="CE131" s="51" t="n">
        <f aca="false">CE123-CE130</f>
        <v>1245.29291608607</v>
      </c>
      <c r="CF131" s="21"/>
      <c r="CH131" s="22" t="n">
        <f aca="false">IFERROR((CE131/BV131)^(1/5)-1,"n/m")</f>
        <v>-2.76842971691196</v>
      </c>
      <c r="CI131" s="22" t="n">
        <f aca="false">IFERROR((BV131/AW131)^(1/5)-1,"n/m")</f>
        <v>-1.75722726141123</v>
      </c>
      <c r="CJ131" s="22" t="str">
        <f aca="false">IFERROR((BV131/X131)^(1/10)-1,"n/m")</f>
        <v>n/m</v>
      </c>
      <c r="CK131" s="22" t="n">
        <f aca="false">IFERROR((BV131/C131)^(1/19)-1,"n/m")</f>
        <v>-2.08968242712719</v>
      </c>
    </row>
    <row r="132" customFormat="false" ht="15" hidden="false" customHeight="true" outlineLevel="0" collapsed="false">
      <c r="B132" s="29" t="s">
        <v>313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6" t="n">
        <f aca="false">BY84-BY162-BY163-BY164-BY165-N(BY166)-BY155-BY154</f>
        <v>73.7682334234513</v>
      </c>
      <c r="BZ132" s="36" t="n">
        <f aca="false">BZ84-BZ162-BZ163-BZ164-BZ165-N(BZ166)-BZ155-BZ154</f>
        <v>154.620665206686</v>
      </c>
      <c r="CA132" s="36" t="n">
        <f aca="false">SUM(BW132,BX132,BY132,BZ132)</f>
        <v>228.388898630137</v>
      </c>
      <c r="CB132" s="36" t="n">
        <f aca="false">CB84-CB162-CB163-CB164-CB165-N(CB166)-CB155-CB154</f>
        <v>469.829610941663</v>
      </c>
      <c r="CC132" s="36" t="n">
        <f aca="false">CC84-CC162-CC163-CC164-CC165-N(CC166)-CC155-CC154</f>
        <v>706.120599808933</v>
      </c>
      <c r="CD132" s="36" t="n">
        <f aca="false">CD84-CD162-CD163-CD164-CD165-N(CD166)-CD155-CD154</f>
        <v>954.045375040454</v>
      </c>
      <c r="CE132" s="36" t="n">
        <f aca="false">CE84-CE162-CE163-CE164-CE165-N(CE166)-CE155-CE154</f>
        <v>1245.29291608607</v>
      </c>
      <c r="CF132" s="28" t="s">
        <v>314</v>
      </c>
    </row>
    <row r="133" customFormat="false" ht="15" hidden="false" customHeight="true" outlineLevel="0" collapsed="false">
      <c r="B133" s="29" t="s">
        <v>315</v>
      </c>
      <c r="C133" s="35" t="n">
        <v>6.845</v>
      </c>
      <c r="D133" s="35" t="n">
        <v>8.045</v>
      </c>
      <c r="E133" s="35" t="n">
        <v>4.914</v>
      </c>
      <c r="F133" s="35" t="n">
        <v>1.253</v>
      </c>
      <c r="G133" s="35" t="n">
        <v>0.735</v>
      </c>
      <c r="H133" s="35" t="n">
        <v>0.798</v>
      </c>
      <c r="I133" s="35" t="n">
        <v>-4.306</v>
      </c>
      <c r="J133" s="35" t="n">
        <v>-1.651</v>
      </c>
      <c r="K133" s="35" t="n">
        <v>-1.675</v>
      </c>
      <c r="L133" s="35" t="n">
        <v>-1.684</v>
      </c>
      <c r="M133" s="35" t="n">
        <v>-1.607</v>
      </c>
      <c r="N133" s="35" t="n">
        <v>-6.617</v>
      </c>
      <c r="O133" s="35" t="n">
        <v>-1.478</v>
      </c>
      <c r="P133" s="35" t="n">
        <v>-3.691</v>
      </c>
      <c r="Q133" s="35" t="n">
        <v>-2.652</v>
      </c>
      <c r="R133" s="35" t="n">
        <v>-2.144</v>
      </c>
      <c r="S133" s="35" t="n">
        <v>-9.965</v>
      </c>
      <c r="T133" s="35" t="n">
        <v>-2.049</v>
      </c>
      <c r="U133" s="35" t="n">
        <v>-2.217</v>
      </c>
      <c r="V133" s="35" t="n">
        <v>-2.321</v>
      </c>
      <c r="W133" s="35" t="n">
        <v>-2.287</v>
      </c>
      <c r="X133" s="35" t="n">
        <v>-8.874</v>
      </c>
      <c r="Y133" s="35" t="n">
        <v>-2.425</v>
      </c>
      <c r="Z133" s="35" t="n">
        <v>-2.296</v>
      </c>
      <c r="AA133" s="35" t="n">
        <v>-2.154</v>
      </c>
      <c r="AB133" s="35" t="n">
        <v>-1.368</v>
      </c>
      <c r="AC133" s="35" t="n">
        <v>-8.243</v>
      </c>
      <c r="AD133" s="35" t="n">
        <v>-2.257</v>
      </c>
      <c r="AE133" s="35" t="n">
        <v>-2.088</v>
      </c>
      <c r="AF133" s="35" t="n">
        <v>-2.346</v>
      </c>
      <c r="AG133" s="35" t="n">
        <v>1.721</v>
      </c>
      <c r="AH133" s="35" t="n">
        <v>-4.97</v>
      </c>
      <c r="AI133" s="35" t="n">
        <v>2.297</v>
      </c>
      <c r="AJ133" s="35" t="n">
        <v>1.924</v>
      </c>
      <c r="AK133" s="35" t="n">
        <v>2.318</v>
      </c>
      <c r="AL133" s="35" t="n">
        <v>3.912</v>
      </c>
      <c r="AM133" s="35" t="n">
        <v>10.451</v>
      </c>
      <c r="AN133" s="35" t="n">
        <v>4.213</v>
      </c>
      <c r="AO133" s="35" t="n">
        <v>5.216</v>
      </c>
      <c r="AP133" s="35" t="n">
        <v>4.654</v>
      </c>
      <c r="AQ133" s="35" t="n">
        <v>13.319</v>
      </c>
      <c r="AR133" s="35" t="n">
        <v>27.402</v>
      </c>
      <c r="AS133" s="35" t="n">
        <v>2.492</v>
      </c>
      <c r="AT133" s="35" t="n">
        <v>-3.596</v>
      </c>
      <c r="AU133" s="35" t="n">
        <v>-7.537</v>
      </c>
      <c r="AV133" s="35" t="n">
        <v>-7.913</v>
      </c>
      <c r="AW133" s="35" t="n">
        <v>-17.395</v>
      </c>
      <c r="AX133" s="35" t="n">
        <v>-7.878</v>
      </c>
      <c r="AY133" s="35" t="n">
        <v>-7.877</v>
      </c>
      <c r="AZ133" s="35" t="n">
        <v>-7.943</v>
      </c>
      <c r="BA133" s="35" t="n">
        <v>-7.923</v>
      </c>
      <c r="BB133" s="35" t="n">
        <v>-31.621</v>
      </c>
      <c r="BC133" s="35" t="n">
        <v>-7.718</v>
      </c>
      <c r="BD133" s="35" t="n">
        <v>-3.399</v>
      </c>
      <c r="BE133" s="35" t="n">
        <v>10.656</v>
      </c>
      <c r="BF133" s="35" t="n">
        <v>32.586</v>
      </c>
      <c r="BG133" s="35" t="n">
        <v>32.125</v>
      </c>
      <c r="BH133" s="35" t="n">
        <v>43.548</v>
      </c>
      <c r="BI133" s="35" t="n">
        <v>51.911</v>
      </c>
      <c r="BJ133" s="35" t="n">
        <v>58.422</v>
      </c>
      <c r="BK133" s="35" t="n">
        <v>59.719</v>
      </c>
      <c r="BL133" s="35" t="n">
        <v>213.6</v>
      </c>
      <c r="BM133" s="35" t="n">
        <v>56.2</v>
      </c>
      <c r="BN133" s="35" t="n">
        <v>53.5</v>
      </c>
      <c r="BO133" s="35" t="n">
        <v>55.6</v>
      </c>
      <c r="BP133" s="35" t="n">
        <v>47.2</v>
      </c>
      <c r="BQ133" s="35" t="n">
        <v>212.5</v>
      </c>
      <c r="BR133" s="35" t="n">
        <v>38.5</v>
      </c>
      <c r="BS133" s="35" t="n">
        <v>32.5</v>
      </c>
      <c r="BT133" s="35" t="n">
        <v>26</v>
      </c>
      <c r="BU133" s="35" t="n">
        <v>13</v>
      </c>
      <c r="BV133" s="35" t="n">
        <v>110</v>
      </c>
      <c r="BW133" s="35" t="n">
        <v>10</v>
      </c>
      <c r="BX133" s="35" t="n">
        <v>-2</v>
      </c>
      <c r="BY133" s="36" t="n">
        <f aca="false">$CP$36</f>
        <v>2</v>
      </c>
      <c r="BZ133" s="36" t="n">
        <f aca="false">$CP$22-(BW133+BX133)-BY133</f>
        <v>3</v>
      </c>
      <c r="CA133" s="36" t="n">
        <f aca="false">SUM(BW133,BX133,BY133,BZ133)</f>
        <v>13</v>
      </c>
      <c r="CB133" s="36" t="n">
        <f aca="false">CA243*CB347-CA340*CB345-CA343*CB346-CB348</f>
        <v>-11.4727923756643</v>
      </c>
      <c r="CC133" s="36" t="n">
        <f aca="false">CB243*CC347-CB340*CC345-CB343*CC346-CC348</f>
        <v>-18.0596010743951</v>
      </c>
      <c r="CD133" s="36" t="n">
        <f aca="false">CC243*CD347-CC340*CD345-CC343*CD346-CD348</f>
        <v>-22.131065403784</v>
      </c>
      <c r="CE133" s="36" t="n">
        <f aca="false">CD243*CE347-CD340*CE345-CD343*CE346-CE348</f>
        <v>-41.2322839249462</v>
      </c>
      <c r="CF133" s="28" t="s">
        <v>316</v>
      </c>
    </row>
    <row r="134" customFormat="false" ht="15" hidden="false" customHeight="true" outlineLevel="0" collapsed="false">
      <c r="B134" s="29" t="s">
        <v>317</v>
      </c>
      <c r="C134" s="35" t="n">
        <v>0</v>
      </c>
      <c r="D134" s="35" t="n">
        <v>0</v>
      </c>
      <c r="E134" s="35" t="n">
        <v>0</v>
      </c>
      <c r="F134" s="35" t="n">
        <v>0</v>
      </c>
      <c r="G134" s="35" t="n">
        <v>0</v>
      </c>
      <c r="H134" s="35" t="n">
        <v>0</v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0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0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5" t="n">
        <v>0</v>
      </c>
      <c r="AD134" s="35" t="n">
        <v>0</v>
      </c>
      <c r="AE134" s="35" t="n">
        <v>0</v>
      </c>
      <c r="AF134" s="35" t="n">
        <v>0</v>
      </c>
      <c r="AG134" s="35" t="n">
        <v>-3.788</v>
      </c>
      <c r="AH134" s="35" t="n">
        <v>-3.788</v>
      </c>
      <c r="AI134" s="35" t="n">
        <v>0</v>
      </c>
      <c r="AJ134" s="35" t="n">
        <v>0</v>
      </c>
      <c r="AK134" s="35" t="n">
        <v>0</v>
      </c>
      <c r="AL134" s="35" t="n">
        <v>0</v>
      </c>
      <c r="AM134" s="35" t="n">
        <v>0</v>
      </c>
      <c r="AN134" s="35" t="n">
        <v>0</v>
      </c>
      <c r="AO134" s="35" t="n">
        <v>0</v>
      </c>
      <c r="AP134" s="35" t="n">
        <v>0</v>
      </c>
      <c r="AQ134" s="35" t="n">
        <v>0</v>
      </c>
      <c r="AR134" s="35" t="n">
        <v>0</v>
      </c>
      <c r="AS134" s="35" t="n">
        <v>0</v>
      </c>
      <c r="AT134" s="35" t="n">
        <v>-0.474</v>
      </c>
      <c r="AU134" s="35" t="n">
        <v>-0.338</v>
      </c>
      <c r="AV134" s="35" t="n">
        <v>-0.856</v>
      </c>
      <c r="AW134" s="35" t="n">
        <v>-0.827</v>
      </c>
      <c r="AX134" s="35" t="n">
        <v>-0.05</v>
      </c>
      <c r="AY134" s="35" t="n">
        <v>0.847</v>
      </c>
      <c r="AZ134" s="35" t="n">
        <v>1.546</v>
      </c>
      <c r="BA134" s="35" t="n">
        <v>0.909</v>
      </c>
      <c r="BB134" s="35" t="n">
        <v>3.252</v>
      </c>
      <c r="BC134" s="35" t="n">
        <v>0.864</v>
      </c>
      <c r="BD134" s="35" t="n">
        <v>1.343</v>
      </c>
      <c r="BE134" s="35" t="n">
        <v>1.389</v>
      </c>
      <c r="BF134" s="35" t="n">
        <v>-0.213</v>
      </c>
      <c r="BG134" s="35" t="n">
        <v>3.383</v>
      </c>
      <c r="BH134" s="35" t="n">
        <v>0.581</v>
      </c>
      <c r="BI134" s="35" t="n">
        <v>0.609</v>
      </c>
      <c r="BJ134" s="35" t="n">
        <v>0.465</v>
      </c>
      <c r="BK134" s="35" t="n">
        <v>3.745</v>
      </c>
      <c r="BL134" s="35" t="n">
        <v>5.4</v>
      </c>
      <c r="BM134" s="35" t="n">
        <v>-1.9</v>
      </c>
      <c r="BN134" s="35" t="n">
        <v>-1.5</v>
      </c>
      <c r="BO134" s="35" t="n">
        <v>-1.6</v>
      </c>
      <c r="BP134" s="35" t="n">
        <v>-2.2</v>
      </c>
      <c r="BQ134" s="35" t="n">
        <v>-7.1</v>
      </c>
      <c r="BR134" s="35" t="n">
        <v>-2.4</v>
      </c>
      <c r="BS134" s="35" t="n">
        <v>16.3</v>
      </c>
      <c r="BT134" s="35" t="n">
        <v>-20.7</v>
      </c>
      <c r="BU134" s="35" t="n">
        <v>-1.2</v>
      </c>
      <c r="BV134" s="35" t="n">
        <v>-8</v>
      </c>
      <c r="BW134" s="35" t="n">
        <v>-1</v>
      </c>
      <c r="BX134" s="35" t="n">
        <v>0</v>
      </c>
      <c r="BY134" s="36" t="n">
        <f aca="false">-$CP$37</f>
        <v>-1</v>
      </c>
      <c r="BZ134" s="36" t="n">
        <f aca="false">-$CP$23-(BW134+BX134)-BY134</f>
        <v>-1</v>
      </c>
      <c r="CA134" s="36" t="n">
        <f aca="false">SUM(BW134,BX134,BY134,BZ134)</f>
        <v>-3</v>
      </c>
      <c r="CB134" s="44" t="n">
        <v>-4</v>
      </c>
      <c r="CC134" s="44" t="n">
        <v>-4</v>
      </c>
      <c r="CD134" s="44" t="n">
        <v>-4</v>
      </c>
      <c r="CE134" s="44" t="n">
        <v>-4</v>
      </c>
      <c r="CF134" s="28" t="s">
        <v>318</v>
      </c>
    </row>
    <row r="135" customFormat="false" ht="15" hidden="false" customHeight="true" outlineLevel="0" collapsed="false">
      <c r="B135" s="17" t="s">
        <v>319</v>
      </c>
      <c r="C135" s="18" t="n">
        <f aca="false">C131+C133+C134</f>
        <v>20.926</v>
      </c>
      <c r="D135" s="18" t="n">
        <f aca="false">D131+D133+D134</f>
        <v>25.897</v>
      </c>
      <c r="E135" s="18" t="n">
        <f aca="false">E131+E133+E134</f>
        <v>44.702</v>
      </c>
      <c r="F135" s="18" t="n">
        <f aca="false">F131+F133+F134</f>
        <v>33.088</v>
      </c>
      <c r="G135" s="18" t="n">
        <f aca="false">G131+G133+G134</f>
        <v>23.51</v>
      </c>
      <c r="H135" s="18" t="n">
        <f aca="false">H131+H133+H134</f>
        <v>22.569</v>
      </c>
      <c r="I135" s="18" t="n">
        <f aca="false">I131+I133+I134</f>
        <v>23.134</v>
      </c>
      <c r="J135" s="18" t="n">
        <f aca="false">J131+J133+J134</f>
        <v>-4.24900000000001</v>
      </c>
      <c r="K135" s="18" t="n">
        <f aca="false">K131+K133+K134</f>
        <v>13.608</v>
      </c>
      <c r="L135" s="18" t="n">
        <f aca="false">L131+L133+L134</f>
        <v>18.086</v>
      </c>
      <c r="M135" s="18" t="n">
        <f aca="false">M131+M133+M134</f>
        <v>20.092</v>
      </c>
      <c r="N135" s="18" t="n">
        <f aca="false">N131+N133+N134</f>
        <v>47.537</v>
      </c>
      <c r="O135" s="18" t="n">
        <f aca="false">O131+O133+O134</f>
        <v>15.663</v>
      </c>
      <c r="P135" s="18" t="n">
        <f aca="false">P131+P133+P134</f>
        <v>13.218</v>
      </c>
      <c r="Q135" s="18" t="n">
        <f aca="false">Q131+Q133+Q134</f>
        <v>20.828</v>
      </c>
      <c r="R135" s="18" t="n">
        <f aca="false">R131+R133+R134</f>
        <v>21.204</v>
      </c>
      <c r="S135" s="18" t="n">
        <f aca="false">S131+S133+S134</f>
        <v>70.913</v>
      </c>
      <c r="T135" s="18" t="n">
        <f aca="false">T131+T133+T134</f>
        <v>-5.55599999999998</v>
      </c>
      <c r="U135" s="18" t="n">
        <f aca="false">U131+U133+U134</f>
        <v>-22.346</v>
      </c>
      <c r="V135" s="18" t="n">
        <f aca="false">V131+V133+V134</f>
        <v>-2.75200000000001</v>
      </c>
      <c r="W135" s="18" t="n">
        <f aca="false">W131+W133+W134</f>
        <v>33.235</v>
      </c>
      <c r="X135" s="18" t="n">
        <f aca="false">X131+X133+X134</f>
        <v>2.58100000000004</v>
      </c>
      <c r="Y135" s="18" t="n">
        <f aca="false">Y131+Y133+Y134</f>
        <v>27.876</v>
      </c>
      <c r="Z135" s="18" t="n">
        <f aca="false">Z131+Z133+Z134</f>
        <v>25.823</v>
      </c>
      <c r="AA135" s="18" t="n">
        <f aca="false">AA131+AA133+AA134</f>
        <v>37.442</v>
      </c>
      <c r="AB135" s="18" t="n">
        <f aca="false">AB131+AB133+AB134</f>
        <v>45.521</v>
      </c>
      <c r="AC135" s="18" t="n">
        <f aca="false">AC131+AC133+AC134</f>
        <v>136.662</v>
      </c>
      <c r="AD135" s="18" t="n">
        <f aca="false">AD131+AD133+AD134</f>
        <v>35.405</v>
      </c>
      <c r="AE135" s="18" t="n">
        <f aca="false">AE131+AE133+AE134</f>
        <v>25.795</v>
      </c>
      <c r="AF135" s="18" t="n">
        <f aca="false">AF131+AF133+AF134</f>
        <v>55.167</v>
      </c>
      <c r="AG135" s="18" t="n">
        <f aca="false">AG131+AG133+AG134</f>
        <v>48.691</v>
      </c>
      <c r="AH135" s="18" t="n">
        <f aca="false">AH131+AH133+AH134</f>
        <v>165.058</v>
      </c>
      <c r="AI135" s="18" t="n">
        <f aca="false">AI131+AI133+AI134</f>
        <v>55.742</v>
      </c>
      <c r="AJ135" s="18" t="n">
        <f aca="false">AJ131+AJ133+AJ134</f>
        <v>45.698</v>
      </c>
      <c r="AK135" s="18" t="n">
        <f aca="false">AK131+AK133+AK134</f>
        <v>73.006</v>
      </c>
      <c r="AL135" s="18" t="n">
        <f aca="false">AL131+AL133+AL134</f>
        <v>109.569</v>
      </c>
      <c r="AM135" s="18" t="n">
        <f aca="false">AM131+AM133+AM134</f>
        <v>284.015</v>
      </c>
      <c r="AN135" s="18" t="n">
        <f aca="false">AN131+AN133+AN134</f>
        <v>97.705</v>
      </c>
      <c r="AO135" s="18" t="n">
        <f aca="false">AO131+AO133+AO134</f>
        <v>80.016</v>
      </c>
      <c r="AP135" s="18" t="n">
        <f aca="false">AP131+AP133+AP134</f>
        <v>98.9229999999999</v>
      </c>
      <c r="AQ135" s="18" t="n">
        <f aca="false">AQ131+AQ133+AQ134</f>
        <v>114.305</v>
      </c>
      <c r="AR135" s="18" t="n">
        <f aca="false">AR131+AR133+AR134</f>
        <v>390.949</v>
      </c>
      <c r="AS135" s="18" t="n">
        <f aca="false">AS131+AS133+AS134</f>
        <v>78.356</v>
      </c>
      <c r="AT135" s="18" t="n">
        <f aca="false">AT131+AT133+AT134</f>
        <v>77.249</v>
      </c>
      <c r="AU135" s="18" t="n">
        <f aca="false">AU131+AU133+AU134</f>
        <v>68.934</v>
      </c>
      <c r="AV135" s="18" t="n">
        <f aca="false">AV131+AV133+AV134</f>
        <v>46.441</v>
      </c>
      <c r="AW135" s="18" t="n">
        <f aca="false">AW131+AW133+AW134</f>
        <v>270.98</v>
      </c>
      <c r="AX135" s="18" t="n">
        <f aca="false">AX131+AX133+AX134</f>
        <v>93.281</v>
      </c>
      <c r="AY135" s="18" t="n">
        <f aca="false">AY131+AY133+AY134</f>
        <v>93.9810000000001</v>
      </c>
      <c r="AZ135" s="18" t="n">
        <f aca="false">AZ131+AZ133+AZ134</f>
        <v>83.335</v>
      </c>
      <c r="BA135" s="18" t="n">
        <f aca="false">BA131+BA133+BA134</f>
        <v>133.371</v>
      </c>
      <c r="BB135" s="18" t="n">
        <f aca="false">BB131+BB133+BB134</f>
        <v>403.968</v>
      </c>
      <c r="BC135" s="18" t="n">
        <f aca="false">BC131+BC133+BC134</f>
        <v>121.421</v>
      </c>
      <c r="BD135" s="18" t="n">
        <f aca="false">BD131+BD133+BD134</f>
        <v>108.127</v>
      </c>
      <c r="BE135" s="18" t="n">
        <f aca="false">BE131+BE133+BE134</f>
        <v>97.374</v>
      </c>
      <c r="BF135" s="18" t="n">
        <f aca="false">BF131+BF133+BF134</f>
        <v>159.535</v>
      </c>
      <c r="BG135" s="18" t="n">
        <f aca="false">BG131+BG133+BG134</f>
        <v>486.457</v>
      </c>
      <c r="BH135" s="18" t="n">
        <f aca="false">BH131+BH133+BH134</f>
        <v>116.35</v>
      </c>
      <c r="BI135" s="18" t="n">
        <f aca="false">BI131+BI133+BI134</f>
        <v>131.666</v>
      </c>
      <c r="BJ135" s="18" t="n">
        <f aca="false">BJ131+BJ133+BJ134</f>
        <v>120.481</v>
      </c>
      <c r="BK135" s="18" t="n">
        <f aca="false">BK131+BK133+BK134</f>
        <v>132.803</v>
      </c>
      <c r="BL135" s="18" t="n">
        <f aca="false">BL131+BL133+BL134</f>
        <v>501.3</v>
      </c>
      <c r="BM135" s="18" t="n">
        <f aca="false">BM131+BM133+BM134</f>
        <v>11.5</v>
      </c>
      <c r="BN135" s="18" t="n">
        <f aca="false">BN131+BN133+BN134</f>
        <v>35.9</v>
      </c>
      <c r="BO135" s="18" t="n">
        <f aca="false">BO131+BO133+BO134</f>
        <v>77.7000000000001</v>
      </c>
      <c r="BP135" s="18" t="n">
        <f aca="false">BP131+BP133+BP134</f>
        <v>85</v>
      </c>
      <c r="BQ135" s="18" t="n">
        <f aca="false">BQ131+BQ133+BQ134</f>
        <v>210.1</v>
      </c>
      <c r="BR135" s="18" t="n">
        <f aca="false">BR131+BR133+BR134</f>
        <v>-6.69999999999996</v>
      </c>
      <c r="BS135" s="18" t="n">
        <f aca="false">BS131+BS133+BS134</f>
        <v>21.6</v>
      </c>
      <c r="BT135" s="18" t="n">
        <f aca="false">BT131+BT133+BT134</f>
        <v>-45.7999999999999</v>
      </c>
      <c r="BU135" s="18" t="n">
        <f aca="false">BU131+BU133+BU134</f>
        <v>60.9000000000001</v>
      </c>
      <c r="BV135" s="18" t="n">
        <f aca="false">BV131+BV133+BV134</f>
        <v>30</v>
      </c>
      <c r="BW135" s="18" t="n">
        <f aca="false">BW131+BW133+BW134</f>
        <v>12</v>
      </c>
      <c r="BX135" s="18" t="n">
        <f aca="false">BX131+BX133+BX134</f>
        <v>74</v>
      </c>
      <c r="BY135" s="20" t="n">
        <f aca="false">BY131+BY133+BY134</f>
        <v>74.7682334234512</v>
      </c>
      <c r="BZ135" s="20" t="n">
        <f aca="false">BZ131+BZ133+BZ134</f>
        <v>156.620665206686</v>
      </c>
      <c r="CA135" s="20" t="n">
        <f aca="false">CA131+CA133+CA134</f>
        <v>317.388898630137</v>
      </c>
      <c r="CB135" s="20" t="n">
        <f aca="false">CB131+CB133+CB134</f>
        <v>454.356818565999</v>
      </c>
      <c r="CC135" s="20" t="n">
        <f aca="false">CC131+CC133+CC134</f>
        <v>684.060998734538</v>
      </c>
      <c r="CD135" s="20" t="n">
        <f aca="false">CD131+CD133+CD134</f>
        <v>927.91430963667</v>
      </c>
      <c r="CE135" s="20" t="n">
        <f aca="false">CE131+CE133+CE134</f>
        <v>1200.06063216112</v>
      </c>
      <c r="CF135" s="21"/>
      <c r="CH135" s="22" t="n">
        <f aca="false">IFERROR((CE135/BV135)^(1/5)-1,"n/m")</f>
        <v>1.09130023788405</v>
      </c>
      <c r="CI135" s="22" t="n">
        <f aca="false">IFERROR((BV135/AW135)^(1/5)-1,"n/m")</f>
        <v>-0.356072751322506</v>
      </c>
      <c r="CJ135" s="22" t="n">
        <f aca="false">IFERROR((BV135/X135)^(1/10)-1,"n/m")</f>
        <v>0.278007272016061</v>
      </c>
      <c r="CK135" s="22" t="n">
        <f aca="false">IFERROR((BV135/C135)^(1/19)-1,"n/m")</f>
        <v>0.0191390035541348</v>
      </c>
    </row>
    <row r="136" customFormat="false" ht="15" hidden="false" customHeight="true" outlineLevel="0" collapsed="false">
      <c r="B136" s="29" t="s">
        <v>320</v>
      </c>
      <c r="C136" s="35" t="n">
        <v>8.516</v>
      </c>
      <c r="D136" s="35" t="n">
        <v>9.946</v>
      </c>
      <c r="E136" s="35" t="n">
        <v>20.079</v>
      </c>
      <c r="F136" s="35" t="n">
        <v>14.395</v>
      </c>
      <c r="G136" s="35" t="n">
        <v>10.221</v>
      </c>
      <c r="H136" s="35" t="n">
        <v>7.913</v>
      </c>
      <c r="I136" s="35" t="n">
        <v>13.219</v>
      </c>
      <c r="J136" s="35" t="n">
        <v>-1.839</v>
      </c>
      <c r="K136" s="35" t="n">
        <v>5.315</v>
      </c>
      <c r="L136" s="35" t="n">
        <v>7.034</v>
      </c>
      <c r="M136" s="35" t="n">
        <v>7.293</v>
      </c>
      <c r="N136" s="35" t="n">
        <v>17.803</v>
      </c>
      <c r="O136" s="35" t="n">
        <v>5.923</v>
      </c>
      <c r="P136" s="35" t="n">
        <v>4.969</v>
      </c>
      <c r="Q136" s="35" t="n">
        <v>7.871</v>
      </c>
      <c r="R136" s="35" t="n">
        <v>7.281</v>
      </c>
      <c r="S136" s="35" t="n">
        <v>26.044</v>
      </c>
      <c r="T136" s="35" t="n">
        <v>0.571</v>
      </c>
      <c r="U136" s="35" t="n">
        <v>-7.38</v>
      </c>
      <c r="V136" s="35" t="n">
        <v>2.61</v>
      </c>
      <c r="W136" s="35" t="n">
        <v>10.245</v>
      </c>
      <c r="X136" s="35" t="n">
        <v>6.046</v>
      </c>
      <c r="Y136" s="35" t="n">
        <v>11.155</v>
      </c>
      <c r="Z136" s="35" t="n">
        <v>10.247</v>
      </c>
      <c r="AA136" s="35" t="n">
        <v>14.241</v>
      </c>
      <c r="AB136" s="35" t="n">
        <v>15.948</v>
      </c>
      <c r="AC136" s="35" t="n">
        <v>51.591</v>
      </c>
      <c r="AD136" s="35" t="n">
        <v>13.275</v>
      </c>
      <c r="AE136" s="35" t="n">
        <v>3.611</v>
      </c>
      <c r="AF136" s="35" t="n">
        <v>20.99</v>
      </c>
      <c r="AG136" s="35" t="n">
        <v>4.487</v>
      </c>
      <c r="AH136" s="35" t="n">
        <v>42.363</v>
      </c>
      <c r="AI136" s="35" t="n">
        <v>3.511</v>
      </c>
      <c r="AJ136" s="35" t="n">
        <v>1.863</v>
      </c>
      <c r="AK136" s="35" t="n">
        <v>14.247</v>
      </c>
      <c r="AL136" s="35" t="n">
        <v>26.06</v>
      </c>
      <c r="AM136" s="35" t="n">
        <v>45.681</v>
      </c>
      <c r="AN136" s="35" t="n">
        <v>12.536</v>
      </c>
      <c r="AO136" s="35" t="n">
        <v>16.768</v>
      </c>
      <c r="AP136" s="35" t="n">
        <v>20.304</v>
      </c>
      <c r="AQ136" s="35" t="n">
        <v>26.378</v>
      </c>
      <c r="AR136" s="35" t="n">
        <v>75.986</v>
      </c>
      <c r="AS136" s="35" t="n">
        <v>5.563</v>
      </c>
      <c r="AT136" s="35" t="n">
        <v>16.889</v>
      </c>
      <c r="AU136" s="35" t="n">
        <v>10.748</v>
      </c>
      <c r="AV136" s="35" t="n">
        <v>10.652</v>
      </c>
      <c r="AW136" s="35" t="n">
        <v>43.852</v>
      </c>
      <c r="AX136" s="35" t="n">
        <v>19.069</v>
      </c>
      <c r="AY136" s="35" t="n">
        <v>32.833</v>
      </c>
      <c r="AZ136" s="35" t="n">
        <v>19.031</v>
      </c>
      <c r="BA136" s="35" t="n">
        <v>40.471</v>
      </c>
      <c r="BB136" s="35" t="n">
        <v>111.404</v>
      </c>
      <c r="BC136" s="35" t="n">
        <v>32.103</v>
      </c>
      <c r="BD136" s="35" t="n">
        <v>24.654</v>
      </c>
      <c r="BE136" s="35" t="n">
        <v>25.084</v>
      </c>
      <c r="BF136" s="35" t="n">
        <v>35.163</v>
      </c>
      <c r="BG136" s="35" t="n">
        <v>117.004</v>
      </c>
      <c r="BH136" s="35" t="n">
        <v>29.219</v>
      </c>
      <c r="BI136" s="35" t="n">
        <v>31.146</v>
      </c>
      <c r="BJ136" s="35" t="n">
        <v>29.907</v>
      </c>
      <c r="BK136" s="35" t="n">
        <v>36.328</v>
      </c>
      <c r="BL136" s="35" t="n">
        <v>126.6</v>
      </c>
      <c r="BM136" s="35" t="n">
        <v>4.8</v>
      </c>
      <c r="BN136" s="35" t="n">
        <v>16.7</v>
      </c>
      <c r="BO136" s="35" t="n">
        <v>24.7</v>
      </c>
      <c r="BP136" s="35" t="n">
        <v>25.2</v>
      </c>
      <c r="BQ136" s="35" t="n">
        <v>71.4</v>
      </c>
      <c r="BR136" s="35" t="n">
        <v>8.1</v>
      </c>
      <c r="BS136" s="35" t="n">
        <v>15.4</v>
      </c>
      <c r="BT136" s="35" t="n">
        <v>-14.9</v>
      </c>
      <c r="BU136" s="35" t="n">
        <v>14.4</v>
      </c>
      <c r="BV136" s="35" t="n">
        <v>23</v>
      </c>
      <c r="BW136" s="35" t="n">
        <v>9</v>
      </c>
      <c r="BX136" s="35" t="n">
        <v>19</v>
      </c>
      <c r="BY136" s="36" t="n">
        <f aca="false">BY135*$CP$25</f>
        <v>21.2801895128284</v>
      </c>
      <c r="BZ136" s="36" t="n">
        <f aca="false">BZ135*$CP$25</f>
        <v>44.5766508665182</v>
      </c>
      <c r="CA136" s="36" t="n">
        <f aca="false">SUM(BW136,BX136,BY136,BZ136)</f>
        <v>93.8568403793466</v>
      </c>
      <c r="CB136" s="36" t="n">
        <f aca="false">CB135*CB137</f>
        <v>122.67634101282</v>
      </c>
      <c r="CC136" s="36" t="n">
        <f aca="false">CC135*CC137</f>
        <v>184.696469658325</v>
      </c>
      <c r="CD136" s="36" t="n">
        <f aca="false">CD135*CD137</f>
        <v>250.536863601901</v>
      </c>
      <c r="CE136" s="36" t="n">
        <f aca="false">CE135*CE137</f>
        <v>324.016370683504</v>
      </c>
      <c r="CF136" s="28" t="s">
        <v>321</v>
      </c>
    </row>
    <row r="137" customFormat="false" ht="15" hidden="false" customHeight="true" outlineLevel="0" collapsed="false">
      <c r="B137" s="29" t="s">
        <v>322</v>
      </c>
      <c r="C137" s="25" t="n">
        <f aca="false">IF(AND(ISNUMBER(C136),ISNUMBER(C135)),IFERROR(C136/C135,""),"")</f>
        <v>0.406957851476632</v>
      </c>
      <c r="D137" s="25" t="n">
        <f aca="false">IF(AND(ISNUMBER(D136),ISNUMBER(D135)),IFERROR(D136/D135,""),"")</f>
        <v>0.384059929721589</v>
      </c>
      <c r="E137" s="25" t="n">
        <f aca="false">IF(AND(ISNUMBER(E136),ISNUMBER(E135)),IFERROR(E136/E135,""),"")</f>
        <v>0.449174533577916</v>
      </c>
      <c r="F137" s="25" t="n">
        <f aca="false">IF(AND(ISNUMBER(F136),ISNUMBER(F135)),IFERROR(F136/F135,""),"")</f>
        <v>0.435051982591876</v>
      </c>
      <c r="G137" s="25" t="n">
        <f aca="false">IF(AND(ISNUMBER(G136),ISNUMBER(G135)),IFERROR(G136/G135,""),"")</f>
        <v>0.434751169715015</v>
      </c>
      <c r="H137" s="25" t="n">
        <f aca="false">IF(AND(ISNUMBER(H136),ISNUMBER(H135)),IFERROR(H136/H135,""),"")</f>
        <v>0.350613673623111</v>
      </c>
      <c r="I137" s="25" t="n">
        <f aca="false">IF(AND(ISNUMBER(I136),ISNUMBER(I135)),IFERROR(I136/I135,""),"")</f>
        <v>0.571410045820005</v>
      </c>
      <c r="J137" s="25" t="n">
        <f aca="false">IF(AND(ISNUMBER(J136),ISNUMBER(J135)),IFERROR(J136/J135,""),"")</f>
        <v>0.432807719463402</v>
      </c>
      <c r="K137" s="25" t="n">
        <f aca="false">IF(AND(ISNUMBER(K136),ISNUMBER(K135)),IFERROR(K136/K135,""),"")</f>
        <v>0.390579071134627</v>
      </c>
      <c r="L137" s="25" t="n">
        <f aca="false">IF(AND(ISNUMBER(L136),ISNUMBER(L135)),IFERROR(L136/L135,""),"")</f>
        <v>0.388919606325334</v>
      </c>
      <c r="M137" s="25" t="n">
        <f aca="false">IF(AND(ISNUMBER(M136),ISNUMBER(M135)),IFERROR(M136/M135,""),"")</f>
        <v>0.362980290662951</v>
      </c>
      <c r="N137" s="25" t="n">
        <f aca="false">IF(AND(ISNUMBER(N136),ISNUMBER(N135)),IFERROR(N136/N135,""),"")</f>
        <v>0.374508277762585</v>
      </c>
      <c r="O137" s="25" t="n">
        <f aca="false">IF(AND(ISNUMBER(O136),ISNUMBER(O135)),IFERROR(O136/O135,""),"")</f>
        <v>0.378152333524868</v>
      </c>
      <c r="P137" s="25" t="n">
        <f aca="false">IF(AND(ISNUMBER(P136),ISNUMBER(P135)),IFERROR(P136/P135,""),"")</f>
        <v>0.375926766530489</v>
      </c>
      <c r="Q137" s="25" t="n">
        <f aca="false">IF(AND(ISNUMBER(Q136),ISNUMBER(Q135)),IFERROR(Q136/Q135,""),"")</f>
        <v>0.377904743614365</v>
      </c>
      <c r="R137" s="25" t="n">
        <f aca="false">IF(AND(ISNUMBER(R136),ISNUMBER(R135)),IFERROR(R136/R135,""),"")</f>
        <v>0.343378607809847</v>
      </c>
      <c r="S137" s="25" t="n">
        <f aca="false">IF(AND(ISNUMBER(S136),ISNUMBER(S135)),IFERROR(S136/S135,""),"")</f>
        <v>0.367266932720376</v>
      </c>
      <c r="T137" s="25" t="n">
        <f aca="false">IF(AND(ISNUMBER(T136),ISNUMBER(T135)),IFERROR(T136/T135,""),"")</f>
        <v>-0.10277177825774</v>
      </c>
      <c r="U137" s="25" t="n">
        <f aca="false">IF(AND(ISNUMBER(U136),ISNUMBER(U135)),IFERROR(U136/U135,""),"")</f>
        <v>0.330260449297414</v>
      </c>
      <c r="V137" s="25" t="n">
        <f aca="false">IF(AND(ISNUMBER(V136),ISNUMBER(V135)),IFERROR(V136/V135,""),"")</f>
        <v>-0.948401162790694</v>
      </c>
      <c r="W137" s="25" t="n">
        <f aca="false">IF(AND(ISNUMBER(W136),ISNUMBER(W135)),IFERROR(W136/W135,""),"")</f>
        <v>0.308259365127125</v>
      </c>
      <c r="X137" s="25" t="n">
        <f aca="false">IF(AND(ISNUMBER(X136),ISNUMBER(X135)),IFERROR(X136/X135,""),"")</f>
        <v>2.34250290585041</v>
      </c>
      <c r="Y137" s="25" t="n">
        <f aca="false">IF(AND(ISNUMBER(Y136),ISNUMBER(Y135)),IFERROR(Y136/Y135,""),"")</f>
        <v>0.40016501650165</v>
      </c>
      <c r="Z137" s="25" t="n">
        <f aca="false">IF(AND(ISNUMBER(Z136),ISNUMBER(Z135)),IFERROR(Z136/Z135,""),"")</f>
        <v>0.396816791232622</v>
      </c>
      <c r="AA137" s="25" t="n">
        <f aca="false">IF(AND(ISNUMBER(AA136),ISNUMBER(AA135)),IFERROR(AA136/AA135,""),"")</f>
        <v>0.380348271994017</v>
      </c>
      <c r="AB137" s="25" t="n">
        <f aca="false">IF(AND(ISNUMBER(AB136),ISNUMBER(AB135)),IFERROR(AB136/AB135,""),"")</f>
        <v>0.350343797368248</v>
      </c>
      <c r="AC137" s="25" t="n">
        <f aca="false">IF(AND(ISNUMBER(AC136),ISNUMBER(AC135)),IFERROR(AC136/AC135,""),"")</f>
        <v>0.377508012468719</v>
      </c>
      <c r="AD137" s="25" t="n">
        <f aca="false">IF(AND(ISNUMBER(AD136),ISNUMBER(AD135)),IFERROR(AD136/AD135,""),"")</f>
        <v>0.374947041378336</v>
      </c>
      <c r="AE137" s="25" t="n">
        <f aca="false">IF(AND(ISNUMBER(AE136),ISNUMBER(AE135)),IFERROR(AE136/AE135,""),"")</f>
        <v>0.139988369839116</v>
      </c>
      <c r="AF137" s="25" t="n">
        <f aca="false">IF(AND(ISNUMBER(AF136),ISNUMBER(AF135)),IFERROR(AF136/AF135,""),"")</f>
        <v>0.380481084706437</v>
      </c>
      <c r="AG137" s="25" t="n">
        <f aca="false">IF(AND(ISNUMBER(AG136),ISNUMBER(AG135)),IFERROR(AG136/AG135,""),"")</f>
        <v>0.0921525538600563</v>
      </c>
      <c r="AH137" s="25" t="n">
        <f aca="false">IF(AND(ISNUMBER(AH136),ISNUMBER(AH135)),IFERROR(AH136/AH135,""),"")</f>
        <v>0.256655236341165</v>
      </c>
      <c r="AI137" s="25" t="n">
        <f aca="false">IF(AND(ISNUMBER(AI136),ISNUMBER(AI135)),IFERROR(AI136/AI135,""),"")</f>
        <v>0.0629866169136378</v>
      </c>
      <c r="AJ137" s="25" t="n">
        <f aca="false">IF(AND(ISNUMBER(AJ136),ISNUMBER(AJ135)),IFERROR(AJ136/AJ135,""),"")</f>
        <v>0.0407676484747691</v>
      </c>
      <c r="AK137" s="25" t="n">
        <f aca="false">IF(AND(ISNUMBER(AK136),ISNUMBER(AK135)),IFERROR(AK136/AK135,""),"")</f>
        <v>0.195148343971728</v>
      </c>
      <c r="AL137" s="25" t="n">
        <f aca="false">IF(AND(ISNUMBER(AL136),ISNUMBER(AL135)),IFERROR(AL136/AL135,""),"")</f>
        <v>0.237840995171992</v>
      </c>
      <c r="AM137" s="25" t="n">
        <f aca="false">IF(AND(ISNUMBER(AM136),ISNUMBER(AM135)),IFERROR(AM136/AM135,""),"")</f>
        <v>0.160840096473778</v>
      </c>
      <c r="AN137" s="25" t="n">
        <f aca="false">IF(AND(ISNUMBER(AN136),ISNUMBER(AN135)),IFERROR(AN136/AN135,""),"")</f>
        <v>0.128304590348498</v>
      </c>
      <c r="AO137" s="25" t="n">
        <f aca="false">IF(AND(ISNUMBER(AO136),ISNUMBER(AO135)),IFERROR(AO136/AO135,""),"")</f>
        <v>0.209558088382324</v>
      </c>
      <c r="AP137" s="25" t="n">
        <f aca="false">IF(AND(ISNUMBER(AP136),ISNUMBER(AP135)),IFERROR(AP136/AP135,""),"")</f>
        <v>0.205250548406336</v>
      </c>
      <c r="AQ137" s="25" t="n">
        <f aca="false">IF(AND(ISNUMBER(AQ136),ISNUMBER(AQ135)),IFERROR(AQ136/AQ135,""),"")</f>
        <v>0.23076855780587</v>
      </c>
      <c r="AR137" s="25" t="n">
        <f aca="false">IF(AND(ISNUMBER(AR136),ISNUMBER(AR135)),IFERROR(AR136/AR135,""),"")</f>
        <v>0.194362947596745</v>
      </c>
      <c r="AS137" s="25" t="n">
        <f aca="false">IF(AND(ISNUMBER(AS136),ISNUMBER(AS135)),IFERROR(AS136/AS135,""),"")</f>
        <v>0.070996477614988</v>
      </c>
      <c r="AT137" s="25" t="n">
        <f aca="false">IF(AND(ISNUMBER(AT136),ISNUMBER(AT135)),IFERROR(AT136/AT135,""),"")</f>
        <v>0.218630661885591</v>
      </c>
      <c r="AU137" s="25" t="n">
        <f aca="false">IF(AND(ISNUMBER(AU136),ISNUMBER(AU135)),IFERROR(AU136/AU135,""),"")</f>
        <v>0.155917254185163</v>
      </c>
      <c r="AV137" s="25" t="n">
        <f aca="false">IF(AND(ISNUMBER(AV136),ISNUMBER(AV135)),IFERROR(AV136/AV135,""),"")</f>
        <v>0.229366292715489</v>
      </c>
      <c r="AW137" s="25" t="n">
        <f aca="false">IF(AND(ISNUMBER(AW136),ISNUMBER(AW135)),IFERROR(AW136/AW135,""),"")</f>
        <v>0.161827441139567</v>
      </c>
      <c r="AX137" s="25" t="n">
        <f aca="false">IF(AND(ISNUMBER(AX136),ISNUMBER(AX135)),IFERROR(AX136/AX135,""),"")</f>
        <v>0.204425338493369</v>
      </c>
      <c r="AY137" s="25" t="n">
        <f aca="false">IF(AND(ISNUMBER(AY136),ISNUMBER(AY135)),IFERROR(AY136/AY135,""),"")</f>
        <v>0.34935784892691</v>
      </c>
      <c r="AZ137" s="25" t="n">
        <f aca="false">IF(AND(ISNUMBER(AZ136),ISNUMBER(AZ135)),IFERROR(AZ136/AZ135,""),"")</f>
        <v>0.228367432651347</v>
      </c>
      <c r="BA137" s="25" t="n">
        <f aca="false">IF(AND(ISNUMBER(BA136),ISNUMBER(BA135)),IFERROR(BA136/BA135,""),"")</f>
        <v>0.303446776285699</v>
      </c>
      <c r="BB137" s="25" t="n">
        <f aca="false">IF(AND(ISNUMBER(BB136),ISNUMBER(BB135)),IFERROR(BB136/BB135,""),"")</f>
        <v>0.275774318757921</v>
      </c>
      <c r="BC137" s="25" t="n">
        <f aca="false">IF(AND(ISNUMBER(BC136),ISNUMBER(BC135)),IFERROR(BC136/BC135,""),"")</f>
        <v>0.264394132810634</v>
      </c>
      <c r="BD137" s="25" t="n">
        <f aca="false">IF(AND(ISNUMBER(BD136),ISNUMBER(BD135)),IFERROR(BD136/BD135,""),"")</f>
        <v>0.228009655312734</v>
      </c>
      <c r="BE137" s="25" t="n">
        <f aca="false">IF(AND(ISNUMBER(BE136),ISNUMBER(BE135)),IFERROR(BE136/BE135,""),"")</f>
        <v>0.257604699406412</v>
      </c>
      <c r="BF137" s="25" t="n">
        <f aca="false">IF(AND(ISNUMBER(BF136),ISNUMBER(BF135)),IFERROR(BF136/BF135,""),"")</f>
        <v>0.22040931457047</v>
      </c>
      <c r="BG137" s="25" t="n">
        <f aca="false">IF(AND(ISNUMBER(BG136),ISNUMBER(BG135)),IFERROR(BG136/BG135,""),"")</f>
        <v>0.240522800576413</v>
      </c>
      <c r="BH137" s="25" t="n">
        <f aca="false">IF(AND(ISNUMBER(BH136),ISNUMBER(BH135)),IFERROR(BH136/BH135,""),"")</f>
        <v>0.251130210571552</v>
      </c>
      <c r="BI137" s="25" t="n">
        <f aca="false">IF(AND(ISNUMBER(BI136),ISNUMBER(BI135)),IFERROR(BI136/BI135,""),"")</f>
        <v>0.236553096471374</v>
      </c>
      <c r="BJ137" s="25" t="n">
        <f aca="false">IF(AND(ISNUMBER(BJ136),ISNUMBER(BJ135)),IFERROR(BJ136/BJ135,""),"")</f>
        <v>0.248230011371088</v>
      </c>
      <c r="BK137" s="25" t="n">
        <f aca="false">IF(AND(ISNUMBER(BK136),ISNUMBER(BK135)),IFERROR(BK136/BK135,""),"")</f>
        <v>0.273548037318434</v>
      </c>
      <c r="BL137" s="25" t="n">
        <f aca="false">IF(AND(ISNUMBER(BL136),ISNUMBER(BL135)),IFERROR(BL136/BL135,""),"")</f>
        <v>0.252543387193297</v>
      </c>
      <c r="BM137" s="25" t="n">
        <f aca="false">IF(AND(ISNUMBER(BM136),ISNUMBER(BM135)),IFERROR(BM136/BM135,""),"")</f>
        <v>0.417391304347824</v>
      </c>
      <c r="BN137" s="25" t="n">
        <f aca="false">IF(AND(ISNUMBER(BN136),ISNUMBER(BN135)),IFERROR(BN136/BN135,""),"")</f>
        <v>0.465181058495822</v>
      </c>
      <c r="BO137" s="25" t="n">
        <f aca="false">IF(AND(ISNUMBER(BO136),ISNUMBER(BO135)),IFERROR(BO136/BO135,""),"")</f>
        <v>0.317889317889318</v>
      </c>
      <c r="BP137" s="25" t="n">
        <f aca="false">IF(AND(ISNUMBER(BP136),ISNUMBER(BP135)),IFERROR(BP136/BP135,""),"")</f>
        <v>0.296470588235294</v>
      </c>
      <c r="BQ137" s="25" t="n">
        <f aca="false">IF(AND(ISNUMBER(BQ136),ISNUMBER(BQ135)),IFERROR(BQ136/BQ135,""),"")</f>
        <v>0.339838172298906</v>
      </c>
      <c r="BR137" s="25" t="n">
        <f aca="false">IF(AND(ISNUMBER(BR136),ISNUMBER(BR135)),IFERROR(BR136/BR135,""),"")</f>
        <v>-1.20895522388061</v>
      </c>
      <c r="BS137" s="25" t="n">
        <f aca="false">IF(AND(ISNUMBER(BS136),ISNUMBER(BS135)),IFERROR(BS136/BS135,""),"")</f>
        <v>0.712962962962965</v>
      </c>
      <c r="BT137" s="25" t="n">
        <f aca="false">IF(AND(ISNUMBER(BT136),ISNUMBER(BT135)),IFERROR(BT136/BT135,""),"")</f>
        <v>0.325327510917031</v>
      </c>
      <c r="BU137" s="25" t="n">
        <f aca="false">IF(AND(ISNUMBER(BU136),ISNUMBER(BU135)),IFERROR(BU136/BU135,""),"")</f>
        <v>0.236453201970443</v>
      </c>
      <c r="BV137" s="25" t="n">
        <f aca="false">IF(AND(ISNUMBER(BV136),ISNUMBER(BV135)),IFERROR(BV136/BV135,""),"")</f>
        <v>0.766666666666667</v>
      </c>
      <c r="BW137" s="25" t="n">
        <f aca="false">IF(AND(ISNUMBER(BW136),ISNUMBER(BW135)),IFERROR(BW136/BW135,""),"")</f>
        <v>0.75</v>
      </c>
      <c r="BX137" s="25" t="n">
        <f aca="false">IF(AND(ISNUMBER(BX136),ISNUMBER(BX135)),IFERROR(BX136/BX135,""),"")</f>
        <v>0.256756756756757</v>
      </c>
      <c r="BY137" s="27" t="n">
        <f aca="false">IF(AND(ISNUMBER(BY136),ISNUMBER(BY135)),IFERROR(BY136/BY135,""),"")</f>
        <v>0.284615384615385</v>
      </c>
      <c r="BZ137" s="27" t="n">
        <f aca="false">IF(AND(ISNUMBER(BZ136),ISNUMBER(BZ135)),IFERROR(BZ136/BZ135,""),"")</f>
        <v>0.284615384615385</v>
      </c>
      <c r="CA137" s="27" t="n">
        <f aca="false">IF(AND(ISNUMBER(CA136),ISNUMBER(CA135)),IFERROR(CA136/CA135,""),"")</f>
        <v>0.295715574125108</v>
      </c>
      <c r="CB137" s="45" t="n">
        <v>0.27</v>
      </c>
      <c r="CC137" s="45" t="n">
        <v>0.27</v>
      </c>
      <c r="CD137" s="45" t="n">
        <v>0.27</v>
      </c>
      <c r="CE137" s="45" t="n">
        <v>0.27</v>
      </c>
      <c r="CF137" s="28" t="s">
        <v>323</v>
      </c>
    </row>
    <row r="138" customFormat="false" ht="15" hidden="false" customHeight="true" outlineLevel="0" collapsed="false">
      <c r="B138" s="50" t="s">
        <v>324</v>
      </c>
      <c r="C138" s="51" t="n">
        <f aca="false">C135-C136</f>
        <v>12.41</v>
      </c>
      <c r="D138" s="51" t="n">
        <f aca="false">D135-D136</f>
        <v>15.951</v>
      </c>
      <c r="E138" s="51" t="n">
        <f aca="false">E135-E136</f>
        <v>24.623</v>
      </c>
      <c r="F138" s="51" t="n">
        <f aca="false">F135-F136</f>
        <v>18.693</v>
      </c>
      <c r="G138" s="51" t="n">
        <f aca="false">G135-G136</f>
        <v>13.289</v>
      </c>
      <c r="H138" s="51" t="n">
        <f aca="false">H135-H136</f>
        <v>14.656</v>
      </c>
      <c r="I138" s="51" t="n">
        <f aca="false">I135-I136</f>
        <v>9.915</v>
      </c>
      <c r="J138" s="51" t="n">
        <f aca="false">J135-J136</f>
        <v>-2.41000000000001</v>
      </c>
      <c r="K138" s="51" t="n">
        <f aca="false">K135-K136</f>
        <v>8.29299999999999</v>
      </c>
      <c r="L138" s="51" t="n">
        <f aca="false">L135-L136</f>
        <v>11.052</v>
      </c>
      <c r="M138" s="51" t="n">
        <f aca="false">M135-M136</f>
        <v>12.799</v>
      </c>
      <c r="N138" s="51" t="n">
        <f aca="false">N135-N136</f>
        <v>29.734</v>
      </c>
      <c r="O138" s="51" t="n">
        <f aca="false">O135-O136</f>
        <v>9.73999999999999</v>
      </c>
      <c r="P138" s="51" t="n">
        <f aca="false">P135-P136</f>
        <v>8.24899999999999</v>
      </c>
      <c r="Q138" s="51" t="n">
        <f aca="false">Q135-Q136</f>
        <v>12.957</v>
      </c>
      <c r="R138" s="51" t="n">
        <f aca="false">R135-R136</f>
        <v>13.923</v>
      </c>
      <c r="S138" s="51" t="n">
        <f aca="false">S135-S136</f>
        <v>44.869</v>
      </c>
      <c r="T138" s="51" t="n">
        <f aca="false">T135-T136</f>
        <v>-6.12699999999998</v>
      </c>
      <c r="U138" s="51" t="n">
        <f aca="false">U135-U136</f>
        <v>-14.966</v>
      </c>
      <c r="V138" s="51" t="n">
        <f aca="false">V135-V136</f>
        <v>-5.36200000000001</v>
      </c>
      <c r="W138" s="51" t="n">
        <f aca="false">W135-W136</f>
        <v>22.99</v>
      </c>
      <c r="X138" s="51" t="n">
        <f aca="false">X135-X136</f>
        <v>-3.46499999999996</v>
      </c>
      <c r="Y138" s="51" t="n">
        <f aca="false">Y135-Y136</f>
        <v>16.721</v>
      </c>
      <c r="Z138" s="51" t="n">
        <f aca="false">Z135-Z136</f>
        <v>15.576</v>
      </c>
      <c r="AA138" s="51" t="n">
        <f aca="false">AA135-AA136</f>
        <v>23.201</v>
      </c>
      <c r="AB138" s="51" t="n">
        <f aca="false">AB135-AB136</f>
        <v>29.573</v>
      </c>
      <c r="AC138" s="51" t="n">
        <f aca="false">AC135-AC136</f>
        <v>85.071</v>
      </c>
      <c r="AD138" s="51" t="n">
        <f aca="false">AD135-AD136</f>
        <v>22.13</v>
      </c>
      <c r="AE138" s="51" t="n">
        <f aca="false">AE135-AE136</f>
        <v>22.184</v>
      </c>
      <c r="AF138" s="51" t="n">
        <f aca="false">AF135-AF136</f>
        <v>34.177</v>
      </c>
      <c r="AG138" s="51" t="n">
        <f aca="false">AG135-AG136</f>
        <v>44.204</v>
      </c>
      <c r="AH138" s="51" t="n">
        <f aca="false">AH135-AH136</f>
        <v>122.695</v>
      </c>
      <c r="AI138" s="51" t="n">
        <f aca="false">AI135-AI136</f>
        <v>52.231</v>
      </c>
      <c r="AJ138" s="51" t="n">
        <f aca="false">AJ135-AJ136</f>
        <v>43.835</v>
      </c>
      <c r="AK138" s="51" t="n">
        <f aca="false">AK135-AK136</f>
        <v>58.759</v>
      </c>
      <c r="AL138" s="51" t="n">
        <f aca="false">AL135-AL136</f>
        <v>83.509</v>
      </c>
      <c r="AM138" s="51" t="n">
        <f aca="false">AM135-AM136</f>
        <v>238.334</v>
      </c>
      <c r="AN138" s="51" t="n">
        <f aca="false">AN135-AN136</f>
        <v>85.169</v>
      </c>
      <c r="AO138" s="51" t="n">
        <f aca="false">AO135-AO136</f>
        <v>63.248</v>
      </c>
      <c r="AP138" s="51" t="n">
        <f aca="false">AP135-AP136</f>
        <v>78.6189999999999</v>
      </c>
      <c r="AQ138" s="51" t="n">
        <f aca="false">AQ135-AQ136</f>
        <v>87.927</v>
      </c>
      <c r="AR138" s="51" t="n">
        <f aca="false">AR135-AR136</f>
        <v>314.963</v>
      </c>
      <c r="AS138" s="51" t="n">
        <f aca="false">AS135-AS136</f>
        <v>72.793</v>
      </c>
      <c r="AT138" s="51" t="n">
        <f aca="false">AT135-AT136</f>
        <v>60.36</v>
      </c>
      <c r="AU138" s="51" t="n">
        <f aca="false">AU135-AU136</f>
        <v>58.186</v>
      </c>
      <c r="AV138" s="51" t="n">
        <f aca="false">AV135-AV136</f>
        <v>35.789</v>
      </c>
      <c r="AW138" s="51" t="n">
        <f aca="false">AW135-AW136</f>
        <v>227.128</v>
      </c>
      <c r="AX138" s="51" t="n">
        <f aca="false">AX135-AX136</f>
        <v>74.212</v>
      </c>
      <c r="AY138" s="51" t="n">
        <f aca="false">AY135-AY136</f>
        <v>61.1480000000001</v>
      </c>
      <c r="AZ138" s="51" t="n">
        <f aca="false">AZ135-AZ136</f>
        <v>64.304</v>
      </c>
      <c r="BA138" s="51" t="n">
        <f aca="false">BA135-BA136</f>
        <v>92.9</v>
      </c>
      <c r="BB138" s="51" t="n">
        <f aca="false">BB135-BB136</f>
        <v>292.564</v>
      </c>
      <c r="BC138" s="51" t="n">
        <f aca="false">BC135-BC136</f>
        <v>89.318</v>
      </c>
      <c r="BD138" s="51" t="n">
        <f aca="false">BD135-BD136</f>
        <v>83.4730000000001</v>
      </c>
      <c r="BE138" s="51" t="n">
        <f aca="false">BE135-BE136</f>
        <v>72.29</v>
      </c>
      <c r="BF138" s="51" t="n">
        <f aca="false">BF135-BF136</f>
        <v>124.372</v>
      </c>
      <c r="BG138" s="51" t="n">
        <f aca="false">BG135-BG136</f>
        <v>369.453</v>
      </c>
      <c r="BH138" s="51" t="n">
        <f aca="false">BH135-BH136</f>
        <v>87.1309999999999</v>
      </c>
      <c r="BI138" s="51" t="n">
        <f aca="false">BI135-BI136</f>
        <v>100.52</v>
      </c>
      <c r="BJ138" s="51" t="n">
        <f aca="false">BJ135-BJ136</f>
        <v>90.574</v>
      </c>
      <c r="BK138" s="51" t="n">
        <f aca="false">BK135-BK136</f>
        <v>96.4749999999999</v>
      </c>
      <c r="BL138" s="51" t="n">
        <f aca="false">BL135-BL136</f>
        <v>374.7</v>
      </c>
      <c r="BM138" s="51" t="n">
        <f aca="false">BM135-BM136</f>
        <v>6.70000000000005</v>
      </c>
      <c r="BN138" s="51" t="n">
        <f aca="false">BN135-BN136</f>
        <v>19.2</v>
      </c>
      <c r="BO138" s="51" t="n">
        <f aca="false">BO135-BO136</f>
        <v>53</v>
      </c>
      <c r="BP138" s="51" t="n">
        <f aca="false">BP135-BP136</f>
        <v>59.8</v>
      </c>
      <c r="BQ138" s="51" t="n">
        <f aca="false">BQ135-BQ136</f>
        <v>138.7</v>
      </c>
      <c r="BR138" s="51" t="n">
        <f aca="false">BR135-BR136</f>
        <v>-14.8</v>
      </c>
      <c r="BS138" s="51" t="n">
        <f aca="false">BS135-BS136</f>
        <v>6.19999999999996</v>
      </c>
      <c r="BT138" s="51" t="n">
        <f aca="false">BT135-BT136</f>
        <v>-30.8999999999999</v>
      </c>
      <c r="BU138" s="51" t="n">
        <f aca="false">BU135-BU136</f>
        <v>46.5000000000001</v>
      </c>
      <c r="BV138" s="51" t="n">
        <f aca="false">BV135-BV136</f>
        <v>7</v>
      </c>
      <c r="BW138" s="51" t="n">
        <f aca="false">BW135-BW136</f>
        <v>3</v>
      </c>
      <c r="BX138" s="51" t="n">
        <f aca="false">BX135-BX136</f>
        <v>55</v>
      </c>
      <c r="BY138" s="51" t="n">
        <f aca="false">BY135-BY136</f>
        <v>53.4880439106228</v>
      </c>
      <c r="BZ138" s="51" t="n">
        <f aca="false">BZ135-BZ136</f>
        <v>112.044014340167</v>
      </c>
      <c r="CA138" s="51" t="n">
        <f aca="false">CA135-CA136</f>
        <v>223.532058250791</v>
      </c>
      <c r="CB138" s="51" t="n">
        <f aca="false">CB135-CB136</f>
        <v>331.680477553179</v>
      </c>
      <c r="CC138" s="51" t="n">
        <f aca="false">CC135-CC136</f>
        <v>499.364529076212</v>
      </c>
      <c r="CD138" s="51" t="n">
        <f aca="false">CD135-CD136</f>
        <v>677.377446034769</v>
      </c>
      <c r="CE138" s="51" t="n">
        <f aca="false">CE135-CE136</f>
        <v>876.044261477621</v>
      </c>
      <c r="CF138" s="21" t="s">
        <v>325</v>
      </c>
      <c r="CH138" s="22" t="n">
        <f aca="false">IFERROR((CE138/BV138)^(1/5)-1,"n/m")</f>
        <v>1.62715442689583</v>
      </c>
      <c r="CI138" s="22" t="n">
        <f aca="false">IFERROR((BV138/AW138)^(1/5)-1,"n/m")</f>
        <v>-0.501384846986269</v>
      </c>
      <c r="CJ138" s="22" t="str">
        <f aca="false">IFERROR((BV138/X138)^(1/10)-1,"n/m")</f>
        <v>n/m</v>
      </c>
      <c r="CK138" s="22" t="n">
        <f aca="false">IFERROR((BV138/C138)^(1/19)-1,"n/m")</f>
        <v>-0.0296868696121069</v>
      </c>
    </row>
    <row r="139" customFormat="false" ht="15" hidden="false" customHeight="true" outlineLevel="0" collapsed="false">
      <c r="B139" s="41" t="s">
        <v>326</v>
      </c>
      <c r="C139" s="34" t="n">
        <f aca="false">IF(ISNUMBER(C140),ROUND(C138-C140,1),"")</f>
        <v>0</v>
      </c>
      <c r="D139" s="34" t="n">
        <f aca="false">IF(ISNUMBER(D140),ROUND(D138-D140,1),"")</f>
        <v>0</v>
      </c>
      <c r="E139" s="34" t="n">
        <f aca="false">IF(ISNUMBER(E140),ROUND(E138-E140,1),"")</f>
        <v>0</v>
      </c>
      <c r="F139" s="34" t="n">
        <f aca="false">IF(ISNUMBER(F140),ROUND(F138-F140,1),"")</f>
        <v>0</v>
      </c>
      <c r="G139" s="34" t="n">
        <f aca="false">IF(ISNUMBER(G140),ROUND(G138-G140,1),"")</f>
        <v>0</v>
      </c>
      <c r="H139" s="34" t="n">
        <f aca="false">IF(ISNUMBER(H140),ROUND(H138-H140,1),"")</f>
        <v>0</v>
      </c>
      <c r="I139" s="34" t="n">
        <f aca="false">IF(ISNUMBER(I140),ROUND(I138-I140,1),"")</f>
        <v>0</v>
      </c>
      <c r="J139" s="34" t="n">
        <f aca="false">IF(ISNUMBER(J140),ROUND(J138-J140,1),"")</f>
        <v>-0</v>
      </c>
      <c r="K139" s="34" t="n">
        <f aca="false">IF(ISNUMBER(K140),ROUND(K138-K140,1),"")</f>
        <v>0</v>
      </c>
      <c r="L139" s="34" t="n">
        <f aca="false">IF(ISNUMBER(L140),ROUND(L138-L140,1),"")</f>
        <v>0</v>
      </c>
      <c r="M139" s="34" t="n">
        <f aca="false">IF(ISNUMBER(M140),ROUND(M138-M140,1),"")</f>
        <v>0</v>
      </c>
      <c r="N139" s="34" t="n">
        <f aca="false">IF(ISNUMBER(N140),ROUND(N138-N140,1),"")</f>
        <v>0</v>
      </c>
      <c r="O139" s="34" t="n">
        <f aca="false">IF(ISNUMBER(O140),ROUND(O138-O140,1),"")</f>
        <v>0</v>
      </c>
      <c r="P139" s="34" t="n">
        <f aca="false">IF(ISNUMBER(P140),ROUND(P138-P140,1),"")</f>
        <v>0</v>
      </c>
      <c r="Q139" s="34" t="n">
        <f aca="false">IF(ISNUMBER(Q140),ROUND(Q138-Q140,1),"")</f>
        <v>0</v>
      </c>
      <c r="R139" s="34" t="n">
        <f aca="false">IF(ISNUMBER(R140),ROUND(R138-R140,1),"")</f>
        <v>0</v>
      </c>
      <c r="S139" s="34" t="n">
        <f aca="false">IF(ISNUMBER(S140),ROUND(S138-S140,1),"")</f>
        <v>0</v>
      </c>
      <c r="T139" s="34" t="n">
        <f aca="false">IF(ISNUMBER(T140),ROUND(T138-T140,1),"")</f>
        <v>0</v>
      </c>
      <c r="U139" s="34" t="n">
        <f aca="false">IF(ISNUMBER(U140),ROUND(U138-U140,1),"")</f>
        <v>0</v>
      </c>
      <c r="V139" s="34" t="n">
        <f aca="false">IF(ISNUMBER(V140),ROUND(V138-V140,1),"")</f>
        <v>0</v>
      </c>
      <c r="W139" s="34" t="n">
        <f aca="false">IF(ISNUMBER(W140),ROUND(W138-W140,1),"")</f>
        <v>0</v>
      </c>
      <c r="X139" s="34" t="n">
        <f aca="false">IF(ISNUMBER(X140),ROUND(X138-X140,1),"")</f>
        <v>0</v>
      </c>
      <c r="Y139" s="34" t="n">
        <f aca="false">IF(ISNUMBER(Y140),ROUND(Y138-Y140,1),"")</f>
        <v>0</v>
      </c>
      <c r="Z139" s="34" t="n">
        <f aca="false">IF(ISNUMBER(Z140),ROUND(Z138-Z140,1),"")</f>
        <v>0</v>
      </c>
      <c r="AA139" s="34" t="n">
        <f aca="false">IF(ISNUMBER(AA140),ROUND(AA138-AA140,1),"")</f>
        <v>0</v>
      </c>
      <c r="AB139" s="34" t="n">
        <f aca="false">IF(ISNUMBER(AB140),ROUND(AB138-AB140,1),"")</f>
        <v>0</v>
      </c>
      <c r="AC139" s="34" t="n">
        <f aca="false">IF(ISNUMBER(AC140),ROUND(AC138-AC140,1),"")</f>
        <v>0</v>
      </c>
      <c r="AD139" s="34" t="n">
        <f aca="false">IF(ISNUMBER(AD140),ROUND(AD138-AD140,1),"")</f>
        <v>0</v>
      </c>
      <c r="AE139" s="34" t="n">
        <f aca="false">IF(ISNUMBER(AE140),ROUND(AE138-AE140,1),"")</f>
        <v>0</v>
      </c>
      <c r="AF139" s="34" t="n">
        <f aca="false">IF(ISNUMBER(AF140),ROUND(AF138-AF140,1),"")</f>
        <v>0</v>
      </c>
      <c r="AG139" s="34" t="n">
        <f aca="false">IF(ISNUMBER(AG140),ROUND(AG138-AG140,1),"")</f>
        <v>0</v>
      </c>
      <c r="AH139" s="34" t="n">
        <f aca="false">IF(ISNUMBER(AH140),ROUND(AH138-AH140,1),"")</f>
        <v>0</v>
      </c>
      <c r="AI139" s="34" t="n">
        <f aca="false">IF(ISNUMBER(AI140),ROUND(AI138-AI140,1),"")</f>
        <v>0</v>
      </c>
      <c r="AJ139" s="34" t="n">
        <f aca="false">IF(ISNUMBER(AJ140),ROUND(AJ138-AJ140,1),"")</f>
        <v>0</v>
      </c>
      <c r="AK139" s="34" t="n">
        <f aca="false">IF(ISNUMBER(AK140),ROUND(AK138-AK140,1),"")</f>
        <v>0</v>
      </c>
      <c r="AL139" s="34" t="n">
        <f aca="false">IF(ISNUMBER(AL140),ROUND(AL138-AL140,1),"")</f>
        <v>0</v>
      </c>
      <c r="AM139" s="34" t="n">
        <f aca="false">IF(ISNUMBER(AM140),ROUND(AM138-AM140,1),"")</f>
        <v>0</v>
      </c>
      <c r="AN139" s="34" t="n">
        <f aca="false">IF(ISNUMBER(AN140),ROUND(AN138-AN140,1),"")</f>
        <v>0</v>
      </c>
      <c r="AO139" s="34" t="n">
        <f aca="false">IF(ISNUMBER(AO140),ROUND(AO138-AO140,1),"")</f>
        <v>0</v>
      </c>
      <c r="AP139" s="34" t="n">
        <f aca="false">IF(ISNUMBER(AP140),ROUND(AP138-AP140,1),"")</f>
        <v>0</v>
      </c>
      <c r="AQ139" s="34" t="n">
        <f aca="false">IF(ISNUMBER(AQ140),ROUND(AQ138-AQ140,1),"")</f>
        <v>0</v>
      </c>
      <c r="AR139" s="34" t="n">
        <f aca="false">IF(ISNUMBER(AR140),ROUND(AR138-AR140,1),"")</f>
        <v>0</v>
      </c>
      <c r="AS139" s="34" t="n">
        <f aca="false">IF(ISNUMBER(AS140),ROUND(AS138-AS140,1),"")</f>
        <v>0</v>
      </c>
      <c r="AT139" s="34" t="n">
        <f aca="false">IF(ISNUMBER(AT140),ROUND(AT138-AT140,1),"")</f>
        <v>0</v>
      </c>
      <c r="AU139" s="34" t="n">
        <f aca="false">IF(ISNUMBER(AU140),ROUND(AU138-AU140,1),"")</f>
        <v>0</v>
      </c>
      <c r="AV139" s="34" t="n">
        <f aca="false">IF(ISNUMBER(AV140),ROUND(AV138-AV140,1),"")</f>
        <v>0</v>
      </c>
      <c r="AW139" s="34" t="n">
        <f aca="false">IF(ISNUMBER(AW140),ROUND(AW138-AW140,1),"")</f>
        <v>0</v>
      </c>
      <c r="AX139" s="34" t="n">
        <f aca="false">IF(ISNUMBER(AX140),ROUND(AX138-AX140,1),"")</f>
        <v>0</v>
      </c>
      <c r="AY139" s="34" t="n">
        <f aca="false">IF(ISNUMBER(AY140),ROUND(AY138-AY140,1),"")</f>
        <v>0</v>
      </c>
      <c r="AZ139" s="34" t="n">
        <f aca="false">IF(ISNUMBER(AZ140),ROUND(AZ138-AZ140,1),"")</f>
        <v>0</v>
      </c>
      <c r="BA139" s="34" t="n">
        <f aca="false">IF(ISNUMBER(BA140),ROUND(BA138-BA140,1),"")</f>
        <v>0</v>
      </c>
      <c r="BB139" s="34" t="n">
        <f aca="false">IF(ISNUMBER(BB140),ROUND(BB138-BB140,1),"")</f>
        <v>0</v>
      </c>
      <c r="BC139" s="34" t="n">
        <f aca="false">IF(ISNUMBER(BC140),ROUND(BC138-BC140,1),"")</f>
        <v>0</v>
      </c>
      <c r="BD139" s="34" t="n">
        <f aca="false">IF(ISNUMBER(BD140),ROUND(BD138-BD140,1),"")</f>
        <v>0</v>
      </c>
      <c r="BE139" s="34" t="n">
        <f aca="false">IF(ISNUMBER(BE140),ROUND(BE138-BE140,1),"")</f>
        <v>0</v>
      </c>
      <c r="BF139" s="34" t="n">
        <f aca="false">IF(ISNUMBER(BF140),ROUND(BF138-BF140,1),"")</f>
        <v>0</v>
      </c>
      <c r="BG139" s="34" t="n">
        <f aca="false">IF(ISNUMBER(BG140),ROUND(BG138-BG140,1),"")</f>
        <v>0</v>
      </c>
      <c r="BH139" s="34" t="n">
        <f aca="false">IF(ISNUMBER(BH140),ROUND(BH138-BH140,1),"")</f>
        <v>0</v>
      </c>
      <c r="BI139" s="34" t="n">
        <f aca="false">IF(ISNUMBER(BI140),ROUND(BI138-BI140,1),"")</f>
        <v>0</v>
      </c>
      <c r="BJ139" s="34" t="n">
        <f aca="false">IF(ISNUMBER(BJ140),ROUND(BJ138-BJ140,1),"")</f>
        <v>0</v>
      </c>
      <c r="BK139" s="34" t="n">
        <f aca="false">IF(ISNUMBER(BK140),ROUND(BK138-BK140,1),"")</f>
        <v>0</v>
      </c>
      <c r="BL139" s="34" t="n">
        <f aca="false">IF(ISNUMBER(BL140),ROUND(BL138-BL140,1),"")</f>
        <v>0</v>
      </c>
      <c r="BM139" s="34" t="n">
        <f aca="false">IF(ISNUMBER(BM140),ROUND(BM138-BM140,1),"")</f>
        <v>0</v>
      </c>
      <c r="BN139" s="34" t="n">
        <f aca="false">IF(ISNUMBER(BN140),ROUND(BN138-BN140,1),"")</f>
        <v>0</v>
      </c>
      <c r="BO139" s="34" t="n">
        <f aca="false">IF(ISNUMBER(BO140),ROUND(BO138-BO140,1),"")</f>
        <v>0</v>
      </c>
      <c r="BP139" s="34" t="n">
        <f aca="false">IF(ISNUMBER(BP140),ROUND(BP138-BP140,1),"")</f>
        <v>0</v>
      </c>
      <c r="BQ139" s="34" t="n">
        <f aca="false">IF(ISNUMBER(BQ140),ROUND(BQ138-BQ140,1),"")</f>
        <v>0</v>
      </c>
      <c r="BR139" s="34" t="n">
        <f aca="false">IF(ISNUMBER(BR140),ROUND(BR138-BR140,1),"")</f>
        <v>0</v>
      </c>
      <c r="BS139" s="34" t="n">
        <f aca="false">IF(ISNUMBER(BS140),ROUND(BS138-BS140,1),"")</f>
        <v>-0</v>
      </c>
      <c r="BT139" s="34" t="n">
        <f aca="false">IF(ISNUMBER(BT140),ROUND(BT138-BT140,1),"")</f>
        <v>0</v>
      </c>
      <c r="BU139" s="34" t="n">
        <f aca="false">IF(ISNUMBER(BU140),ROUND(BU138-BU140,1),"")</f>
        <v>0</v>
      </c>
      <c r="BV139" s="34" t="n">
        <f aca="false">IF(ISNUMBER(BV140),ROUND(BV138-BV140,1),"")</f>
        <v>0</v>
      </c>
      <c r="BW139" s="34" t="n">
        <f aca="false">IF(ISNUMBER(BW140),ROUND(BW138-BW140,1),"")</f>
        <v>0</v>
      </c>
      <c r="BX139" s="34" t="n">
        <f aca="false">IF(ISNUMBER(BX140),ROUND(BX138-BX140,1),"")</f>
        <v>0</v>
      </c>
      <c r="BY139" s="36"/>
      <c r="BZ139" s="36"/>
      <c r="CA139" s="36"/>
      <c r="CB139" s="36"/>
      <c r="CC139" s="36"/>
      <c r="CD139" s="36"/>
      <c r="CE139" s="36"/>
      <c r="CF139" s="28"/>
    </row>
    <row r="140" customFormat="false" ht="15" hidden="false" customHeight="true" outlineLevel="0" collapsed="false">
      <c r="B140" s="33" t="s">
        <v>327</v>
      </c>
      <c r="C140" s="35" t="n">
        <v>12.41</v>
      </c>
      <c r="D140" s="35" t="n">
        <v>15.951</v>
      </c>
      <c r="E140" s="35" t="n">
        <v>24.623</v>
      </c>
      <c r="F140" s="35" t="n">
        <v>18.693</v>
      </c>
      <c r="G140" s="35" t="n">
        <v>13.289</v>
      </c>
      <c r="H140" s="35" t="n">
        <v>14.656</v>
      </c>
      <c r="I140" s="35" t="n">
        <v>9.915</v>
      </c>
      <c r="J140" s="35" t="n">
        <v>-2.41</v>
      </c>
      <c r="K140" s="35" t="n">
        <v>8.293</v>
      </c>
      <c r="L140" s="35" t="n">
        <v>11.052</v>
      </c>
      <c r="M140" s="35" t="n">
        <v>12.799</v>
      </c>
      <c r="N140" s="35" t="n">
        <v>29.734</v>
      </c>
      <c r="O140" s="35" t="n">
        <v>9.74</v>
      </c>
      <c r="P140" s="35" t="n">
        <v>8.249</v>
      </c>
      <c r="Q140" s="35" t="n">
        <v>12.957</v>
      </c>
      <c r="R140" s="35" t="n">
        <v>13.923</v>
      </c>
      <c r="S140" s="35" t="n">
        <v>44.869</v>
      </c>
      <c r="T140" s="35" t="n">
        <v>-6.127</v>
      </c>
      <c r="U140" s="35" t="n">
        <v>-14.966</v>
      </c>
      <c r="V140" s="35" t="n">
        <v>-5.362</v>
      </c>
      <c r="W140" s="35" t="n">
        <v>22.99</v>
      </c>
      <c r="X140" s="35" t="n">
        <v>-3.465</v>
      </c>
      <c r="Y140" s="35" t="n">
        <v>16.721</v>
      </c>
      <c r="Z140" s="35" t="n">
        <v>15.576</v>
      </c>
      <c r="AA140" s="35" t="n">
        <v>23.201</v>
      </c>
      <c r="AB140" s="35" t="n">
        <v>29.573</v>
      </c>
      <c r="AC140" s="35" t="n">
        <v>85.071</v>
      </c>
      <c r="AD140" s="35" t="n">
        <v>22.13</v>
      </c>
      <c r="AE140" s="35" t="n">
        <v>22.184</v>
      </c>
      <c r="AF140" s="35" t="n">
        <v>34.177</v>
      </c>
      <c r="AG140" s="35" t="n">
        <v>44.204</v>
      </c>
      <c r="AH140" s="35" t="n">
        <v>122.695</v>
      </c>
      <c r="AI140" s="35" t="n">
        <v>52.231</v>
      </c>
      <c r="AJ140" s="35" t="n">
        <v>43.835</v>
      </c>
      <c r="AK140" s="35" t="n">
        <v>58.759</v>
      </c>
      <c r="AL140" s="35" t="n">
        <v>83.509</v>
      </c>
      <c r="AM140" s="35" t="n">
        <v>238.334</v>
      </c>
      <c r="AN140" s="35" t="n">
        <v>85.169</v>
      </c>
      <c r="AO140" s="35" t="n">
        <v>63.248</v>
      </c>
      <c r="AP140" s="35" t="n">
        <v>78.619</v>
      </c>
      <c r="AQ140" s="35" t="n">
        <v>87.927</v>
      </c>
      <c r="AR140" s="35" t="n">
        <v>314.963</v>
      </c>
      <c r="AS140" s="35" t="n">
        <v>72.793</v>
      </c>
      <c r="AT140" s="35" t="n">
        <v>60.36</v>
      </c>
      <c r="AU140" s="35" t="n">
        <v>58.186</v>
      </c>
      <c r="AV140" s="35" t="n">
        <v>35.789</v>
      </c>
      <c r="AW140" s="35" t="n">
        <v>227.128</v>
      </c>
      <c r="AX140" s="35" t="n">
        <v>74.212</v>
      </c>
      <c r="AY140" s="35" t="n">
        <v>61.148</v>
      </c>
      <c r="AZ140" s="35" t="n">
        <v>64.304</v>
      </c>
      <c r="BA140" s="35" t="n">
        <v>92.9</v>
      </c>
      <c r="BB140" s="35" t="n">
        <v>292.564</v>
      </c>
      <c r="BC140" s="35" t="n">
        <v>89.318</v>
      </c>
      <c r="BD140" s="35" t="n">
        <v>83.473</v>
      </c>
      <c r="BE140" s="35" t="n">
        <v>72.29</v>
      </c>
      <c r="BF140" s="35" t="n">
        <v>124.372</v>
      </c>
      <c r="BG140" s="35" t="n">
        <v>369.453</v>
      </c>
      <c r="BH140" s="35" t="n">
        <v>87.131</v>
      </c>
      <c r="BI140" s="35" t="n">
        <v>100.52</v>
      </c>
      <c r="BJ140" s="35" t="n">
        <v>90.574</v>
      </c>
      <c r="BK140" s="35" t="n">
        <v>96.475</v>
      </c>
      <c r="BL140" s="35" t="n">
        <v>374.7</v>
      </c>
      <c r="BM140" s="35" t="n">
        <v>6.7</v>
      </c>
      <c r="BN140" s="35" t="n">
        <v>19.2</v>
      </c>
      <c r="BO140" s="35" t="n">
        <v>53</v>
      </c>
      <c r="BP140" s="35" t="n">
        <v>59.8</v>
      </c>
      <c r="BQ140" s="35" t="n">
        <v>138.7</v>
      </c>
      <c r="BR140" s="35" t="n">
        <v>-14.8</v>
      </c>
      <c r="BS140" s="35" t="n">
        <v>6.2</v>
      </c>
      <c r="BT140" s="35" t="n">
        <v>-30.9</v>
      </c>
      <c r="BU140" s="35" t="n">
        <v>46.5</v>
      </c>
      <c r="BV140" s="35" t="n">
        <v>7</v>
      </c>
      <c r="BW140" s="35" t="n">
        <v>3</v>
      </c>
      <c r="BX140" s="35" t="n">
        <v>55</v>
      </c>
      <c r="BY140" s="36"/>
      <c r="BZ140" s="36"/>
      <c r="CA140" s="36"/>
      <c r="CB140" s="36"/>
      <c r="CC140" s="36"/>
      <c r="CD140" s="36"/>
      <c r="CE140" s="36"/>
      <c r="CF140" s="28"/>
    </row>
    <row r="141" customFormat="false" ht="15" hidden="false" customHeight="true" outlineLevel="0" collapsed="false">
      <c r="B141" s="29" t="s">
        <v>328</v>
      </c>
      <c r="C141" s="35" t="n">
        <v>11.81</v>
      </c>
      <c r="D141" s="35" t="n">
        <v>16.147</v>
      </c>
      <c r="E141" s="35" t="n">
        <v>16.801</v>
      </c>
      <c r="F141" s="35" t="n">
        <v>14.676</v>
      </c>
      <c r="G141" s="35" t="n">
        <v>13.649</v>
      </c>
      <c r="H141" s="35" t="n">
        <v>12.852</v>
      </c>
      <c r="I141" s="35" t="n">
        <v>32.752</v>
      </c>
      <c r="J141" s="35" t="n">
        <v>10.166</v>
      </c>
      <c r="K141" s="35" t="n">
        <v>10.049</v>
      </c>
      <c r="L141" s="35" t="n">
        <v>10.022</v>
      </c>
      <c r="M141" s="35" t="n">
        <v>9.821</v>
      </c>
      <c r="N141" s="35" t="n">
        <v>40.058</v>
      </c>
      <c r="O141" s="35" t="n">
        <v>9.851</v>
      </c>
      <c r="P141" s="35" t="n">
        <v>20.67</v>
      </c>
      <c r="Q141" s="35" t="n">
        <v>20.212</v>
      </c>
      <c r="R141" s="35" t="n">
        <v>19.639</v>
      </c>
      <c r="S141" s="35" t="n">
        <v>70.372</v>
      </c>
      <c r="T141" s="35" t="n">
        <v>17.813</v>
      </c>
      <c r="U141" s="35" t="n">
        <v>18.674</v>
      </c>
      <c r="V141" s="35" t="n">
        <v>22.52</v>
      </c>
      <c r="W141" s="35" t="n">
        <v>19.525</v>
      </c>
      <c r="X141" s="35" t="n">
        <v>78.532</v>
      </c>
      <c r="Y141" s="35" t="n">
        <v>17.521</v>
      </c>
      <c r="Z141" s="35" t="n">
        <v>17.44</v>
      </c>
      <c r="AA141" s="35" t="n">
        <v>18.08</v>
      </c>
      <c r="AB141" s="35" t="n">
        <v>17.124</v>
      </c>
      <c r="AC141" s="35" t="n">
        <v>70.165</v>
      </c>
      <c r="AD141" s="35" t="n">
        <v>17.298</v>
      </c>
      <c r="AE141" s="35" t="n">
        <v>15.86</v>
      </c>
      <c r="AF141" s="35" t="n">
        <v>15.119</v>
      </c>
      <c r="AG141" s="35" t="n">
        <v>15.366</v>
      </c>
      <c r="AH141" s="35" t="n">
        <v>63.643</v>
      </c>
      <c r="AI141" s="35" t="n">
        <v>16.983</v>
      </c>
      <c r="AJ141" s="35" t="n">
        <v>20.584</v>
      </c>
      <c r="AK141" s="35" t="n">
        <v>20.433</v>
      </c>
      <c r="AL141" s="35" t="n">
        <v>19.743</v>
      </c>
      <c r="AM141" s="35" t="n">
        <v>77.743</v>
      </c>
      <c r="AN141" s="35" t="n">
        <v>19.659</v>
      </c>
      <c r="AO141" s="35" t="n">
        <v>18.754</v>
      </c>
      <c r="AP141" s="35" t="n">
        <v>18.822</v>
      </c>
      <c r="AQ141" s="35" t="n">
        <v>23.93</v>
      </c>
      <c r="AR141" s="35" t="n">
        <v>81.165</v>
      </c>
      <c r="AS141" s="35" t="n">
        <v>24.256</v>
      </c>
      <c r="AT141" s="35" t="n">
        <v>27.979</v>
      </c>
      <c r="AU141" s="35" t="n">
        <v>31.676</v>
      </c>
      <c r="AV141" s="35" t="n">
        <v>33.033</v>
      </c>
      <c r="AW141" s="35" t="n">
        <v>116.944</v>
      </c>
      <c r="AX141" s="35" t="n">
        <v>35.41</v>
      </c>
      <c r="AY141" s="35" t="n">
        <v>33.106</v>
      </c>
      <c r="AZ141" s="35" t="n">
        <v>33.874</v>
      </c>
      <c r="BA141" s="35" t="n">
        <v>37.168</v>
      </c>
      <c r="BB141" s="35" t="n">
        <v>139.558</v>
      </c>
      <c r="BC141" s="35" t="n">
        <v>32.19</v>
      </c>
      <c r="BD141" s="35" t="n">
        <v>31.937</v>
      </c>
      <c r="BE141" s="35" t="n">
        <v>45.856</v>
      </c>
      <c r="BF141" s="35" t="n">
        <v>27.902</v>
      </c>
      <c r="BG141" s="35" t="n">
        <v>137.885</v>
      </c>
      <c r="BH141" s="35" t="n">
        <v>25.627</v>
      </c>
      <c r="BI141" s="35" t="n">
        <v>26.063</v>
      </c>
      <c r="BJ141" s="35" t="n">
        <v>27.125</v>
      </c>
      <c r="BK141" s="35" t="n">
        <v>28.685</v>
      </c>
      <c r="BL141" s="35" t="n">
        <v>107.5</v>
      </c>
      <c r="BM141" s="35" t="n">
        <v>33.3</v>
      </c>
      <c r="BN141" s="35" t="n">
        <v>38.8</v>
      </c>
      <c r="BO141" s="35" t="n">
        <v>35.5</v>
      </c>
      <c r="BP141" s="35" t="n">
        <v>39.3</v>
      </c>
      <c r="BQ141" s="35" t="n">
        <v>146.9</v>
      </c>
      <c r="BR141" s="35" t="n">
        <v>47.3</v>
      </c>
      <c r="BS141" s="35" t="n">
        <v>65.5</v>
      </c>
      <c r="BT141" s="35" t="n">
        <v>69.2</v>
      </c>
      <c r="BU141" s="35" t="n">
        <v>81</v>
      </c>
      <c r="BV141" s="35" t="n">
        <v>263</v>
      </c>
      <c r="BW141" s="35" t="n">
        <v>82</v>
      </c>
      <c r="BX141" s="35" t="n">
        <v>85</v>
      </c>
      <c r="BY141" s="36" t="n">
        <f aca="false">BY155+BY154+BY117</f>
        <v>93.0069917808219</v>
      </c>
      <c r="BZ141" s="36" t="n">
        <f aca="false">BZ155+BZ154+BZ117</f>
        <v>96.991298630137</v>
      </c>
      <c r="CA141" s="36" t="n">
        <f aca="false">CA155+CA154+CA117</f>
        <v>356.998290410959</v>
      </c>
      <c r="CB141" s="36" t="n">
        <f aca="false">CB155+CB154+CB117</f>
        <v>360.147797877358</v>
      </c>
      <c r="CC141" s="36" t="n">
        <f aca="false">CC155+CC154+CC117</f>
        <v>343.519340761785</v>
      </c>
      <c r="CD141" s="36" t="n">
        <f aca="false">CD155+CD154+CD117</f>
        <v>339.071433694629</v>
      </c>
      <c r="CE141" s="36" t="n">
        <f aca="false">CE155+CE154+CE117</f>
        <v>316.672879062228</v>
      </c>
      <c r="CF141" s="28" t="s">
        <v>329</v>
      </c>
    </row>
    <row r="142" customFormat="false" ht="15" hidden="false" customHeight="true" outlineLevel="0" collapsed="false">
      <c r="B142" s="29" t="s">
        <v>330</v>
      </c>
      <c r="C142" s="34"/>
      <c r="D142" s="35" t="n">
        <v>5.44</v>
      </c>
      <c r="E142" s="35" t="n">
        <v>4.94</v>
      </c>
      <c r="F142" s="35" t="n">
        <v>6.46</v>
      </c>
      <c r="G142" s="35" t="n">
        <v>8.306</v>
      </c>
      <c r="H142" s="35" t="n">
        <v>8.103</v>
      </c>
      <c r="I142" s="35" t="n">
        <v>12.282</v>
      </c>
      <c r="J142" s="35" t="n">
        <v>17.326</v>
      </c>
      <c r="K142" s="35" t="n">
        <v>7.156</v>
      </c>
      <c r="L142" s="35" t="n">
        <v>7.788</v>
      </c>
      <c r="M142" s="35" t="n">
        <v>9.279</v>
      </c>
      <c r="N142" s="35" t="n">
        <v>41.549</v>
      </c>
      <c r="O142" s="35" t="n">
        <v>7.879</v>
      </c>
      <c r="P142" s="35" t="n">
        <v>6.38</v>
      </c>
      <c r="Q142" s="35" t="n">
        <v>6.647</v>
      </c>
      <c r="R142" s="35" t="n">
        <v>7.361</v>
      </c>
      <c r="S142" s="35" t="n">
        <v>28.267</v>
      </c>
      <c r="T142" s="35" t="n">
        <v>7.442</v>
      </c>
      <c r="U142" s="35" t="n">
        <v>8.415</v>
      </c>
      <c r="V142" s="35" t="n">
        <v>9.312</v>
      </c>
      <c r="W142" s="35" t="n">
        <v>9.368</v>
      </c>
      <c r="X142" s="35" t="n">
        <v>34.537</v>
      </c>
      <c r="Y142" s="35" t="n">
        <v>8.331</v>
      </c>
      <c r="Z142" s="35" t="n">
        <v>9.339</v>
      </c>
      <c r="AA142" s="35" t="n">
        <v>9.311</v>
      </c>
      <c r="AB142" s="35" t="n">
        <v>9.368</v>
      </c>
      <c r="AC142" s="35" t="n">
        <v>36.349</v>
      </c>
      <c r="AD142" s="35" t="n">
        <v>9.357</v>
      </c>
      <c r="AE142" s="35" t="n">
        <v>10.103</v>
      </c>
      <c r="AF142" s="35" t="n">
        <v>9.743</v>
      </c>
      <c r="AG142" s="35" t="n">
        <v>9.827</v>
      </c>
      <c r="AH142" s="35" t="n">
        <v>39.03</v>
      </c>
      <c r="AI142" s="35" t="n">
        <v>10.412</v>
      </c>
      <c r="AJ142" s="35" t="n">
        <v>11.228</v>
      </c>
      <c r="AK142" s="35" t="n">
        <v>8.953</v>
      </c>
      <c r="AL142" s="35" t="n">
        <v>10.621</v>
      </c>
      <c r="AM142" s="35" t="n">
        <v>41.214</v>
      </c>
      <c r="AN142" s="35" t="n">
        <v>12.029</v>
      </c>
      <c r="AO142" s="35" t="n">
        <v>13.816</v>
      </c>
      <c r="AP142" s="35" t="n">
        <v>13.139</v>
      </c>
      <c r="AQ142" s="35" t="n">
        <v>13.271</v>
      </c>
      <c r="AR142" s="35" t="n">
        <v>52.255</v>
      </c>
      <c r="AS142" s="35" t="n">
        <v>15.18</v>
      </c>
      <c r="AT142" s="35" t="n">
        <v>8.873</v>
      </c>
      <c r="AU142" s="35" t="n">
        <v>16.73</v>
      </c>
      <c r="AV142" s="35" t="n">
        <v>12.667</v>
      </c>
      <c r="AW142" s="35" t="n">
        <v>53.45</v>
      </c>
      <c r="AX142" s="35" t="n">
        <v>15.545</v>
      </c>
      <c r="AY142" s="35" t="n">
        <v>15.144</v>
      </c>
      <c r="AZ142" s="35" t="n">
        <v>16.299</v>
      </c>
      <c r="BA142" s="35" t="n">
        <v>16.721</v>
      </c>
      <c r="BB142" s="35" t="n">
        <v>63.709</v>
      </c>
      <c r="BC142" s="35" t="n">
        <v>17.847</v>
      </c>
      <c r="BD142" s="35" t="n">
        <v>18.112</v>
      </c>
      <c r="BE142" s="35" t="n">
        <v>18.138</v>
      </c>
      <c r="BF142" s="35" t="n">
        <v>21.11</v>
      </c>
      <c r="BG142" s="35" t="n">
        <v>75.207</v>
      </c>
      <c r="BH142" s="35" t="n">
        <v>20.045</v>
      </c>
      <c r="BI142" s="35" t="n">
        <v>21.826</v>
      </c>
      <c r="BJ142" s="35" t="n">
        <v>21.899</v>
      </c>
      <c r="BK142" s="35" t="n">
        <v>21.23</v>
      </c>
      <c r="BL142" s="35" t="n">
        <v>85</v>
      </c>
      <c r="BM142" s="35" t="n">
        <v>22.8</v>
      </c>
      <c r="BN142" s="35" t="n">
        <v>22.7</v>
      </c>
      <c r="BO142" s="35" t="n">
        <v>21.8</v>
      </c>
      <c r="BP142" s="35" t="n">
        <v>21.7</v>
      </c>
      <c r="BQ142" s="35" t="n">
        <v>89</v>
      </c>
      <c r="BR142" s="35" t="n">
        <v>30.4</v>
      </c>
      <c r="BS142" s="35" t="n">
        <v>51.8</v>
      </c>
      <c r="BT142" s="35" t="n">
        <v>70.8</v>
      </c>
      <c r="BU142" s="35" t="n">
        <v>41</v>
      </c>
      <c r="BV142" s="35" t="n">
        <v>194</v>
      </c>
      <c r="BW142" s="35" t="n">
        <v>42</v>
      </c>
      <c r="BX142" s="35" t="n">
        <v>38</v>
      </c>
      <c r="BY142" s="36" t="n">
        <f aca="false">BY162</f>
        <v>34</v>
      </c>
      <c r="BZ142" s="36" t="n">
        <f aca="false">BZ162</f>
        <v>42</v>
      </c>
      <c r="CA142" s="36" t="n">
        <f aca="false">CA162</f>
        <v>156</v>
      </c>
      <c r="CB142" s="36" t="n">
        <f aca="false">CB162</f>
        <v>172.99599614065</v>
      </c>
      <c r="CC142" s="36" t="n">
        <f aca="false">CC162</f>
        <v>190.035165021428</v>
      </c>
      <c r="CD142" s="36" t="n">
        <f aca="false">CD162</f>
        <v>207.402606717507</v>
      </c>
      <c r="CE142" s="36" t="n">
        <f aca="false">CE162</f>
        <v>224.859780113142</v>
      </c>
      <c r="CF142" s="28"/>
    </row>
    <row r="143" customFormat="false" ht="15" hidden="false" customHeight="true" outlineLevel="0" collapsed="false">
      <c r="B143" s="29" t="s">
        <v>331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6"/>
      <c r="BZ143" s="36"/>
      <c r="CA143" s="36"/>
      <c r="CB143" s="36"/>
      <c r="CC143" s="36"/>
      <c r="CD143" s="36"/>
      <c r="CE143" s="36"/>
      <c r="CF143" s="28"/>
    </row>
    <row r="144" customFormat="false" ht="15" hidden="false" customHeight="true" outlineLevel="0" collapsed="false">
      <c r="B144" s="29" t="s">
        <v>332</v>
      </c>
      <c r="C144" s="55" t="n">
        <v>187.51</v>
      </c>
      <c r="D144" s="55" t="n">
        <v>190.44</v>
      </c>
      <c r="E144" s="55" t="n">
        <v>193.72</v>
      </c>
      <c r="F144" s="55" t="n">
        <v>197.8</v>
      </c>
      <c r="G144" s="55" t="n">
        <v>203.3</v>
      </c>
      <c r="H144" s="55" t="n">
        <v>231.31</v>
      </c>
      <c r="I144" s="55" t="n">
        <v>265.33</v>
      </c>
      <c r="J144" s="55" t="n">
        <v>274.28</v>
      </c>
      <c r="K144" s="55" t="n">
        <v>276.36</v>
      </c>
      <c r="L144" s="55" t="n">
        <v>277.58</v>
      </c>
      <c r="M144" s="55" t="n">
        <v>278.57</v>
      </c>
      <c r="N144" s="55" t="n">
        <v>276.7</v>
      </c>
      <c r="O144" s="55" t="n">
        <v>282.73</v>
      </c>
      <c r="P144" s="55" t="n">
        <v>290.61</v>
      </c>
      <c r="Q144" s="55" t="n">
        <v>317.42</v>
      </c>
      <c r="R144" s="55" t="n">
        <v>317.61</v>
      </c>
      <c r="S144" s="55" t="n">
        <v>302.15</v>
      </c>
      <c r="T144" s="55" t="n">
        <v>318.31</v>
      </c>
      <c r="U144" s="55" t="n">
        <v>319.91</v>
      </c>
      <c r="V144" s="55" t="n">
        <v>319.8</v>
      </c>
      <c r="W144" s="55" t="n">
        <v>319.99</v>
      </c>
      <c r="X144" s="55" t="n">
        <v>319.5</v>
      </c>
      <c r="Y144" s="55" t="n">
        <v>320.85</v>
      </c>
      <c r="Z144" s="55" t="n">
        <v>321.86</v>
      </c>
      <c r="AA144" s="55" t="n">
        <v>321.86</v>
      </c>
      <c r="AB144" s="55" t="n">
        <v>322.13</v>
      </c>
      <c r="AC144" s="55" t="n">
        <v>321.67</v>
      </c>
      <c r="AD144" s="55" t="n">
        <v>322.76</v>
      </c>
      <c r="AE144" s="55" t="n">
        <v>324.06</v>
      </c>
      <c r="AF144" s="55" t="n">
        <v>324.44</v>
      </c>
      <c r="AG144" s="55" t="n">
        <v>356.75</v>
      </c>
      <c r="AH144" s="55" t="n">
        <v>332</v>
      </c>
      <c r="AI144" s="55" t="n">
        <v>358.93</v>
      </c>
      <c r="AJ144" s="55" t="n">
        <v>360.73</v>
      </c>
      <c r="AK144" s="55" t="n">
        <v>361.29</v>
      </c>
      <c r="AL144" s="55" t="n">
        <v>361.36</v>
      </c>
      <c r="AM144" s="55" t="n">
        <v>360.58</v>
      </c>
      <c r="AN144" s="55" t="n">
        <v>362.37</v>
      </c>
      <c r="AO144" s="55" t="n">
        <v>363.1</v>
      </c>
      <c r="AP144" s="55" t="n">
        <v>363.33</v>
      </c>
      <c r="AQ144" s="55" t="n">
        <v>363.59</v>
      </c>
      <c r="AR144" s="55" t="n">
        <v>363.1</v>
      </c>
      <c r="AS144" s="55" t="n">
        <v>364.71</v>
      </c>
      <c r="AT144" s="55" t="n">
        <v>375.24</v>
      </c>
      <c r="AU144" s="55" t="n">
        <v>391.59</v>
      </c>
      <c r="AV144" s="55" t="n">
        <v>391.37</v>
      </c>
      <c r="AW144" s="55" t="n">
        <v>380.73</v>
      </c>
      <c r="AX144" s="55" t="n">
        <v>391.58</v>
      </c>
      <c r="AY144" s="55" t="n">
        <v>392.306</v>
      </c>
      <c r="AZ144" s="55" t="n">
        <v>392.419</v>
      </c>
      <c r="BA144" s="55" t="n">
        <v>392.538</v>
      </c>
      <c r="BB144" s="55" t="n">
        <v>392.21</v>
      </c>
      <c r="BC144" s="55" t="n">
        <v>392.895</v>
      </c>
      <c r="BD144" s="55" t="n">
        <v>393.342</v>
      </c>
      <c r="BE144" s="55" t="n">
        <v>394.712</v>
      </c>
      <c r="BF144" s="55" t="n">
        <v>404.185</v>
      </c>
      <c r="BG144" s="55" t="n">
        <v>396.284</v>
      </c>
      <c r="BH144" s="55" t="n">
        <v>404.49</v>
      </c>
      <c r="BI144" s="55" t="n">
        <v>405.429</v>
      </c>
      <c r="BJ144" s="55" t="n">
        <v>405.649</v>
      </c>
      <c r="BK144" s="55" t="n">
        <v>405.8</v>
      </c>
      <c r="BL144" s="55" t="n">
        <v>405.3</v>
      </c>
      <c r="BM144" s="55" t="n">
        <v>405.6</v>
      </c>
      <c r="BN144" s="55" t="n">
        <v>406</v>
      </c>
      <c r="BO144" s="55" t="n">
        <v>406.8</v>
      </c>
      <c r="BP144" s="55" t="n">
        <v>406.9</v>
      </c>
      <c r="BQ144" s="55" t="n">
        <v>406.3</v>
      </c>
      <c r="BR144" s="55" t="n">
        <v>410.5</v>
      </c>
      <c r="BS144" s="55" t="n">
        <v>419.6</v>
      </c>
      <c r="BT144" s="55" t="n">
        <v>419.9</v>
      </c>
      <c r="BU144" s="55" t="n">
        <v>417.2</v>
      </c>
      <c r="BV144" s="55" t="n">
        <v>416.8</v>
      </c>
      <c r="BW144" s="55" t="n">
        <v>413</v>
      </c>
      <c r="BX144" s="55" t="n">
        <v>404.1</v>
      </c>
      <c r="BY144" s="56" t="n">
        <f aca="false">BX144-0.25*CA260</f>
        <v>403.182196231319</v>
      </c>
      <c r="BZ144" s="56" t="n">
        <f aca="false">BX144-0.75*CA260</f>
        <v>401.346588693957</v>
      </c>
      <c r="CA144" s="56" t="n">
        <f aca="false">AVERAGE(BW144,BX144,BY144,BZ144)</f>
        <v>405.407196231319</v>
      </c>
      <c r="CB144" s="56" t="n">
        <f aca="false">AVERAGE(CB262,CB263)</f>
        <v>390.25053819711</v>
      </c>
      <c r="CC144" s="56" t="n">
        <f aca="false">AVERAGE(CC262,CC263)</f>
        <v>365.550338787844</v>
      </c>
      <c r="CD144" s="56" t="n">
        <f aca="false">AVERAGE(CD262,CD263)</f>
        <v>337.938070099536</v>
      </c>
      <c r="CE144" s="56" t="n">
        <f aca="false">AVERAGE(CE262,CE263)</f>
        <v>307.363695657916</v>
      </c>
      <c r="CF144" s="28" t="s">
        <v>333</v>
      </c>
    </row>
    <row r="145" customFormat="false" ht="15" hidden="false" customHeight="true" outlineLevel="0" collapsed="false">
      <c r="B145" s="29" t="s">
        <v>334</v>
      </c>
      <c r="C145" s="55" t="n">
        <v>191.65</v>
      </c>
      <c r="D145" s="55" t="n">
        <v>194.04</v>
      </c>
      <c r="E145" s="55" t="n">
        <v>195.5</v>
      </c>
      <c r="F145" s="55" t="n">
        <v>199.25</v>
      </c>
      <c r="G145" s="55" t="n">
        <v>207.07</v>
      </c>
      <c r="H145" s="55" t="n">
        <v>235.27</v>
      </c>
      <c r="I145" s="55" t="n">
        <v>269.49</v>
      </c>
      <c r="J145" s="55" t="n">
        <v>274.28</v>
      </c>
      <c r="K145" s="55" t="n">
        <v>281.68</v>
      </c>
      <c r="L145" s="55" t="n">
        <v>283.49</v>
      </c>
      <c r="M145" s="55" t="n">
        <v>284.38</v>
      </c>
      <c r="N145" s="55" t="n">
        <v>282.12</v>
      </c>
      <c r="O145" s="55" t="n">
        <v>288.4</v>
      </c>
      <c r="P145" s="55" t="n">
        <v>294.86</v>
      </c>
      <c r="Q145" s="55" t="n">
        <v>320.75</v>
      </c>
      <c r="R145" s="55" t="n">
        <v>321.42</v>
      </c>
      <c r="S145" s="55" t="n">
        <v>306.41</v>
      </c>
      <c r="T145" s="55" t="n">
        <v>318.31</v>
      </c>
      <c r="U145" s="55" t="n">
        <v>319.91</v>
      </c>
      <c r="V145" s="55" t="n">
        <v>319.8</v>
      </c>
      <c r="W145" s="55" t="n">
        <v>322.84</v>
      </c>
      <c r="X145" s="55" t="n">
        <v>319.5</v>
      </c>
      <c r="Y145" s="55" t="n">
        <v>323.82</v>
      </c>
      <c r="Z145" s="55" t="n">
        <v>324.48</v>
      </c>
      <c r="AA145" s="55" t="n">
        <v>324.4</v>
      </c>
      <c r="AB145" s="55" t="n">
        <v>324.73</v>
      </c>
      <c r="AC145" s="55" t="n">
        <v>324.36</v>
      </c>
      <c r="AD145" s="55" t="n">
        <v>325.63</v>
      </c>
      <c r="AE145" s="55" t="n">
        <v>327.39</v>
      </c>
      <c r="AF145" s="55" t="n">
        <v>328.14</v>
      </c>
      <c r="AG145" s="55" t="n">
        <v>361.19</v>
      </c>
      <c r="AH145" s="55" t="n">
        <v>335.59</v>
      </c>
      <c r="AI145" s="55" t="n">
        <v>363.5</v>
      </c>
      <c r="AJ145" s="55" t="n">
        <v>364.5</v>
      </c>
      <c r="AK145" s="55" t="n">
        <v>365.18</v>
      </c>
      <c r="AL145" s="55" t="n">
        <v>364.74</v>
      </c>
      <c r="AM145" s="55" t="n">
        <v>364.48</v>
      </c>
      <c r="AN145" s="55" t="n">
        <v>365.67</v>
      </c>
      <c r="AO145" s="55" t="n">
        <v>366.27</v>
      </c>
      <c r="AP145" s="55" t="n">
        <v>366.52</v>
      </c>
      <c r="AQ145" s="55" t="n">
        <v>366.74</v>
      </c>
      <c r="AR145" s="55" t="n">
        <v>366.3</v>
      </c>
      <c r="AS145" s="55" t="n">
        <v>367.76</v>
      </c>
      <c r="AT145" s="55" t="n">
        <v>377.34</v>
      </c>
      <c r="AU145" s="55" t="n">
        <v>394.01</v>
      </c>
      <c r="AV145" s="55" t="n">
        <v>393.95</v>
      </c>
      <c r="AW145" s="55" t="n">
        <v>383.26</v>
      </c>
      <c r="AX145" s="55" t="n">
        <v>393.71</v>
      </c>
      <c r="AY145" s="55" t="n">
        <v>394.098</v>
      </c>
      <c r="AZ145" s="55" t="n">
        <v>394.295</v>
      </c>
      <c r="BA145" s="55" t="n">
        <v>394.532</v>
      </c>
      <c r="BB145" s="55" t="n">
        <v>394.16</v>
      </c>
      <c r="BC145" s="55" t="n">
        <v>394.234</v>
      </c>
      <c r="BD145" s="55" t="n">
        <v>394.478</v>
      </c>
      <c r="BE145" s="55" t="n">
        <v>396.209</v>
      </c>
      <c r="BF145" s="55" t="n">
        <v>406.087</v>
      </c>
      <c r="BG145" s="55" t="n">
        <v>397.752</v>
      </c>
      <c r="BH145" s="55" t="n">
        <v>406.157</v>
      </c>
      <c r="BI145" s="55" t="n">
        <v>406.751</v>
      </c>
      <c r="BJ145" s="55" t="n">
        <v>407.229</v>
      </c>
      <c r="BK145" s="55" t="n">
        <v>407.5</v>
      </c>
      <c r="BL145" s="55" t="n">
        <v>406.9</v>
      </c>
      <c r="BM145" s="55" t="n">
        <v>407.3</v>
      </c>
      <c r="BN145" s="55" t="n">
        <v>407.4</v>
      </c>
      <c r="BO145" s="55" t="n">
        <v>408</v>
      </c>
      <c r="BP145" s="55" t="n">
        <v>408.4</v>
      </c>
      <c r="BQ145" s="55" t="n">
        <v>407.8</v>
      </c>
      <c r="BR145" s="55" t="n">
        <v>410.5</v>
      </c>
      <c r="BS145" s="55" t="n">
        <v>424.3</v>
      </c>
      <c r="BT145" s="55" t="n">
        <v>419.9</v>
      </c>
      <c r="BU145" s="55" t="n">
        <v>419.6</v>
      </c>
      <c r="BV145" s="55" t="n">
        <v>420.7</v>
      </c>
      <c r="BW145" s="55" t="n">
        <v>414</v>
      </c>
      <c r="BX145" s="55" t="n">
        <v>404.4</v>
      </c>
      <c r="BY145" s="56" t="n">
        <f aca="false">BY144+$CA265</f>
        <v>403.482196231319</v>
      </c>
      <c r="BZ145" s="56" t="n">
        <f aca="false">BZ144+$CA265</f>
        <v>401.646588693957</v>
      </c>
      <c r="CA145" s="56" t="n">
        <f aca="false">CA144+$CA265</f>
        <v>405.707196231319</v>
      </c>
      <c r="CB145" s="56" t="n">
        <f aca="false">CB144+$CA265</f>
        <v>390.55053819711</v>
      </c>
      <c r="CC145" s="56" t="n">
        <f aca="false">CC144+$CA265</f>
        <v>365.850338787844</v>
      </c>
      <c r="CD145" s="56" t="n">
        <f aca="false">CD144+$CA265</f>
        <v>338.238070099536</v>
      </c>
      <c r="CE145" s="56" t="n">
        <f aca="false">CE144+$CA265</f>
        <v>307.663695657916</v>
      </c>
      <c r="CF145" s="28"/>
      <c r="CH145" s="22" t="n">
        <f aca="false">IFERROR((CE145/BV145)^(1/5)-1,"n/m")</f>
        <v>-0.0606644734021954</v>
      </c>
      <c r="CI145" s="22" t="n">
        <f aca="false">IFERROR((BV145/AW145)^(1/5)-1,"n/m")</f>
        <v>0.0188161093807961</v>
      </c>
      <c r="CJ145" s="22" t="n">
        <f aca="false">IFERROR((BV145/X145)^(1/10)-1,"n/m")</f>
        <v>0.0278983406018769</v>
      </c>
      <c r="CK145" s="22" t="n">
        <f aca="false">IFERROR((BV145/C145)^(1/19)-1,"n/m")</f>
        <v>0.0422496862813324</v>
      </c>
    </row>
    <row r="146" customFormat="false" ht="15" hidden="false" customHeight="true" outlineLevel="0" collapsed="false">
      <c r="B146" s="29" t="s">
        <v>335</v>
      </c>
      <c r="C146" s="58" t="n">
        <f aca="false">IF(AND(ISNUMBER(C138),ISNUMBER(C144)),IFERROR(C138/C144,""),"")</f>
        <v>0.0661831368993655</v>
      </c>
      <c r="D146" s="58" t="n">
        <f aca="false">IF(AND(ISNUMBER(D138),ISNUMBER(D144)),IFERROR(D138/D144,""),"")</f>
        <v>0.0837586641461878</v>
      </c>
      <c r="E146" s="58" t="n">
        <f aca="false">IF(AND(ISNUMBER(E138),ISNUMBER(E144)),IFERROR(E138/E144,""),"")</f>
        <v>0.127106132562461</v>
      </c>
      <c r="F146" s="58" t="n">
        <f aca="false">IF(AND(ISNUMBER(F138),ISNUMBER(F144)),IFERROR(F138/F144,""),"")</f>
        <v>0.094504550050556</v>
      </c>
      <c r="G146" s="58" t="n">
        <f aca="false">IF(AND(ISNUMBER(G138),ISNUMBER(G144)),IFERROR(G138/G144,""),"")</f>
        <v>0.0653664535169699</v>
      </c>
      <c r="H146" s="58" t="n">
        <f aca="false">IF(AND(ISNUMBER(H138),ISNUMBER(H144)),IFERROR(H138/H144,""),"")</f>
        <v>0.0633608577234016</v>
      </c>
      <c r="I146" s="58" t="n">
        <f aca="false">IF(AND(ISNUMBER(I138),ISNUMBER(I144)),IFERROR(I138/I144,""),"")</f>
        <v>0.0373685599065315</v>
      </c>
      <c r="J146" s="58" t="n">
        <f aca="false">IF(AND(ISNUMBER(J138),ISNUMBER(J144)),IFERROR(J138/J144,""),"")</f>
        <v>-0.00878664138836231</v>
      </c>
      <c r="K146" s="58" t="n">
        <f aca="false">IF(AND(ISNUMBER(K138),ISNUMBER(K144)),IFERROR(K138/K144,""),"")</f>
        <v>0.0300079606310609</v>
      </c>
      <c r="L146" s="58" t="n">
        <f aca="false">IF(AND(ISNUMBER(L138),ISNUMBER(L144)),IFERROR(L138/L144,""),"")</f>
        <v>0.0398155486706535</v>
      </c>
      <c r="M146" s="58" t="n">
        <f aca="false">IF(AND(ISNUMBER(M138),ISNUMBER(M144)),IFERROR(M138/M144,""),"")</f>
        <v>0.0459453638223786</v>
      </c>
      <c r="N146" s="58" t="n">
        <f aca="false">IF(AND(ISNUMBER(N138),ISNUMBER(N144)),IFERROR(N138/N144,""),"")</f>
        <v>0.107459342247922</v>
      </c>
      <c r="O146" s="58" t="n">
        <f aca="false">IF(AND(ISNUMBER(O138),ISNUMBER(O144)),IFERROR(O138/O144,""),"")</f>
        <v>0.0344498284582464</v>
      </c>
      <c r="P146" s="58" t="n">
        <f aca="false">IF(AND(ISNUMBER(P138),ISNUMBER(P144)),IFERROR(P138/P144,""),"")</f>
        <v>0.0283851209524792</v>
      </c>
      <c r="Q146" s="58" t="n">
        <f aca="false">IF(AND(ISNUMBER(Q138),ISNUMBER(Q144)),IFERROR(Q138/Q144,""),"")</f>
        <v>0.0408197341062315</v>
      </c>
      <c r="R146" s="58" t="n">
        <f aca="false">IF(AND(ISNUMBER(R138),ISNUMBER(R144)),IFERROR(R138/R144,""),"")</f>
        <v>0.0438367809577784</v>
      </c>
      <c r="S146" s="58" t="n">
        <f aca="false">IF(AND(ISNUMBER(S138),ISNUMBER(S144)),IFERROR(S138/S144,""),"")</f>
        <v>0.148499089856032</v>
      </c>
      <c r="T146" s="58" t="n">
        <f aca="false">IF(AND(ISNUMBER(T138),ISNUMBER(T144)),IFERROR(T138/T144,""),"")</f>
        <v>-0.0192485313059595</v>
      </c>
      <c r="U146" s="58" t="n">
        <f aca="false">IF(AND(ISNUMBER(U138),ISNUMBER(U144)),IFERROR(U138/U144,""),"")</f>
        <v>-0.0467819074114594</v>
      </c>
      <c r="V146" s="58" t="n">
        <f aca="false">IF(AND(ISNUMBER(V138),ISNUMBER(V144)),IFERROR(V138/V144,""),"")</f>
        <v>-0.0167667292057536</v>
      </c>
      <c r="W146" s="58" t="n">
        <f aca="false">IF(AND(ISNUMBER(W138),ISNUMBER(W144)),IFERROR(W138/W144,""),"")</f>
        <v>0.0718459951873496</v>
      </c>
      <c r="X146" s="58" t="n">
        <f aca="false">IF(AND(ISNUMBER(X138),ISNUMBER(X144)),IFERROR(X138/X144,""),"")</f>
        <v>-0.0108450704225351</v>
      </c>
      <c r="Y146" s="58" t="n">
        <f aca="false">IF(AND(ISNUMBER(Y138),ISNUMBER(Y144)),IFERROR(Y138/Y144,""),"")</f>
        <v>0.0521146953405018</v>
      </c>
      <c r="Z146" s="58" t="n">
        <f aca="false">IF(AND(ISNUMBER(Z138),ISNUMBER(Z144)),IFERROR(Z138/Z144,""),"")</f>
        <v>0.0483937115516063</v>
      </c>
      <c r="AA146" s="58" t="n">
        <f aca="false">IF(AND(ISNUMBER(AA138),ISNUMBER(AA144)),IFERROR(AA138/AA144,""),"")</f>
        <v>0.0720841359597341</v>
      </c>
      <c r="AB146" s="58" t="n">
        <f aca="false">IF(AND(ISNUMBER(AB138),ISNUMBER(AB144)),IFERROR(AB138/AB144,""),"")</f>
        <v>0.0918045509576879</v>
      </c>
      <c r="AC146" s="58" t="n">
        <f aca="false">IF(AND(ISNUMBER(AC138),ISNUMBER(AC144)),IFERROR(AC138/AC144,""),"")</f>
        <v>0.264466689464358</v>
      </c>
      <c r="AD146" s="58" t="n">
        <f aca="false">IF(AND(ISNUMBER(AD138),ISNUMBER(AD144)),IFERROR(AD138/AD144,""),"")</f>
        <v>0.0685648779278721</v>
      </c>
      <c r="AE146" s="58" t="n">
        <f aca="false">IF(AND(ISNUMBER(AE138),ISNUMBER(AE144)),IFERROR(AE138/AE144,""),"")</f>
        <v>0.0684564586804912</v>
      </c>
      <c r="AF146" s="58" t="n">
        <f aca="false">IF(AND(ISNUMBER(AF138),ISNUMBER(AF144)),IFERROR(AF138/AF144,""),"")</f>
        <v>0.105341511527555</v>
      </c>
      <c r="AG146" s="58" t="n">
        <f aca="false">IF(AND(ISNUMBER(AG138),ISNUMBER(AG144)),IFERROR(AG138/AG144,""),"")</f>
        <v>0.123907498248073</v>
      </c>
      <c r="AH146" s="58" t="n">
        <f aca="false">IF(AND(ISNUMBER(AH138),ISNUMBER(AH144)),IFERROR(AH138/AH144,""),"")</f>
        <v>0.369563253012048</v>
      </c>
      <c r="AI146" s="58" t="n">
        <f aca="false">IF(AND(ISNUMBER(AI138),ISNUMBER(AI144)),IFERROR(AI138/AI144,""),"")</f>
        <v>0.145518624801493</v>
      </c>
      <c r="AJ146" s="58" t="n">
        <f aca="false">IF(AND(ISNUMBER(AJ138),ISNUMBER(AJ144)),IFERROR(AJ138/AJ144,""),"")</f>
        <v>0.121517478446484</v>
      </c>
      <c r="AK146" s="58" t="n">
        <f aca="false">IF(AND(ISNUMBER(AK138),ISNUMBER(AK144)),IFERROR(AK138/AK144,""),"")</f>
        <v>0.162636663068449</v>
      </c>
      <c r="AL146" s="58" t="n">
        <f aca="false">IF(AND(ISNUMBER(AL138),ISNUMBER(AL144)),IFERROR(AL138/AL144,""),"")</f>
        <v>0.231096413548816</v>
      </c>
      <c r="AM146" s="58" t="n">
        <f aca="false">IF(AND(ISNUMBER(AM138),ISNUMBER(AM144)),IFERROR(AM138/AM144,""),"")</f>
        <v>0.660973986355317</v>
      </c>
      <c r="AN146" s="58" t="n">
        <f aca="false">IF(AND(ISNUMBER(AN138),ISNUMBER(AN144)),IFERROR(AN138/AN144,""),"")</f>
        <v>0.235033253304633</v>
      </c>
      <c r="AO146" s="58" t="n">
        <f aca="false">IF(AND(ISNUMBER(AO138),ISNUMBER(AO144)),IFERROR(AO138/AO144,""),"")</f>
        <v>0.174188928669788</v>
      </c>
      <c r="AP146" s="58" t="n">
        <f aca="false">IF(AND(ISNUMBER(AP138),ISNUMBER(AP144)),IFERROR(AP138/AP144,""),"")</f>
        <v>0.216384553986734</v>
      </c>
      <c r="AQ146" s="58" t="n">
        <f aca="false">IF(AND(ISNUMBER(AQ138),ISNUMBER(AQ144)),IFERROR(AQ138/AQ144,""),"")</f>
        <v>0.241830083335625</v>
      </c>
      <c r="AR146" s="58" t="n">
        <f aca="false">IF(AND(ISNUMBER(AR138),ISNUMBER(AR144)),IFERROR(AR138/AR144,""),"")</f>
        <v>0.867427705866153</v>
      </c>
      <c r="AS146" s="58" t="n">
        <f aca="false">IF(AND(ISNUMBER(AS138),ISNUMBER(AS144)),IFERROR(AS138/AS144,""),"")</f>
        <v>0.199591456225494</v>
      </c>
      <c r="AT146" s="58" t="n">
        <f aca="false">IF(AND(ISNUMBER(AT138),ISNUMBER(AT144)),IFERROR(AT138/AT144,""),"")</f>
        <v>0.160857051487048</v>
      </c>
      <c r="AU146" s="58" t="n">
        <f aca="false">IF(AND(ISNUMBER(AU138),ISNUMBER(AU144)),IFERROR(AU138/AU144,""),"")</f>
        <v>0.148589085523124</v>
      </c>
      <c r="AV146" s="58" t="n">
        <f aca="false">IF(AND(ISNUMBER(AV138),ISNUMBER(AV144)),IFERROR(AV138/AV144,""),"")</f>
        <v>0.0914454352658609</v>
      </c>
      <c r="AW146" s="58" t="n">
        <f aca="false">IF(AND(ISNUMBER(AW138),ISNUMBER(AW144)),IFERROR(AW138/AW144,""),"")</f>
        <v>0.596559241457201</v>
      </c>
      <c r="AX146" s="58" t="n">
        <f aca="false">IF(AND(ISNUMBER(AX138),ISNUMBER(AX144)),IFERROR(AX138/AX144,""),"")</f>
        <v>0.189519383012411</v>
      </c>
      <c r="AY146" s="58" t="n">
        <f aca="false">IF(AND(ISNUMBER(AY138),ISNUMBER(AY144)),IFERROR(AY138/AY144,""),"")</f>
        <v>0.155868123352689</v>
      </c>
      <c r="AZ146" s="58" t="n">
        <f aca="false">IF(AND(ISNUMBER(AZ138),ISNUMBER(AZ144)),IFERROR(AZ138/AZ144,""),"")</f>
        <v>0.163865663996901</v>
      </c>
      <c r="BA146" s="58" t="n">
        <f aca="false">IF(AND(ISNUMBER(BA138),ISNUMBER(BA144)),IFERROR(BA138/BA144,""),"")</f>
        <v>0.236664985300786</v>
      </c>
      <c r="BB146" s="58" t="n">
        <f aca="false">IF(AND(ISNUMBER(BB138),ISNUMBER(BB144)),IFERROR(BB138/BB144,""),"")</f>
        <v>0.745937125519492</v>
      </c>
      <c r="BC146" s="58" t="n">
        <f aca="false">IF(AND(ISNUMBER(BC138),ISNUMBER(BC144)),IFERROR(BC138/BC144,""),"")</f>
        <v>0.227333002456127</v>
      </c>
      <c r="BD146" s="58" t="n">
        <f aca="false">IF(AND(ISNUMBER(BD138),ISNUMBER(BD144)),IFERROR(BD138/BD144,""),"")</f>
        <v>0.212214815605758</v>
      </c>
      <c r="BE146" s="58" t="n">
        <f aca="false">IF(AND(ISNUMBER(BE138),ISNUMBER(BE144)),IFERROR(BE138/BE144,""),"")</f>
        <v>0.183146192667059</v>
      </c>
      <c r="BF146" s="58" t="n">
        <f aca="false">IF(AND(ISNUMBER(BF138),ISNUMBER(BF144)),IFERROR(BF138/BF144,""),"")</f>
        <v>0.307710578076871</v>
      </c>
      <c r="BG146" s="58" t="n">
        <f aca="false">IF(AND(ISNUMBER(BG138),ISNUMBER(BG144)),IFERROR(BG138/BG144,""),"")</f>
        <v>0.932293506677029</v>
      </c>
      <c r="BH146" s="58" t="n">
        <f aca="false">IF(AND(ISNUMBER(BH138),ISNUMBER(BH144)),IFERROR(BH138/BH144,""),"")</f>
        <v>0.215409528047665</v>
      </c>
      <c r="BI146" s="58" t="n">
        <f aca="false">IF(AND(ISNUMBER(BI138),ISNUMBER(BI144)),IFERROR(BI138/BI144,""),"")</f>
        <v>0.247934903521948</v>
      </c>
      <c r="BJ146" s="58" t="n">
        <f aca="false">IF(AND(ISNUMBER(BJ138),ISNUMBER(BJ144)),IFERROR(BJ138/BJ144,""),"")</f>
        <v>0.223281704133376</v>
      </c>
      <c r="BK146" s="58" t="n">
        <f aca="false">IF(AND(ISNUMBER(BK138),ISNUMBER(BK144)),IFERROR(BK138/BK144,""),"")</f>
        <v>0.237740266140956</v>
      </c>
      <c r="BL146" s="58" t="n">
        <f aca="false">IF(AND(ISNUMBER(BL138),ISNUMBER(BL144)),IFERROR(BL138/BL144,""),"")</f>
        <v>0.924500370096225</v>
      </c>
      <c r="BM146" s="58" t="n">
        <f aca="false">IF(AND(ISNUMBER(BM138),ISNUMBER(BM144)),IFERROR(BM138/BM144,""),"")</f>
        <v>0.0165187376725839</v>
      </c>
      <c r="BN146" s="58" t="n">
        <f aca="false">IF(AND(ISNUMBER(BN138),ISNUMBER(BN144)),IFERROR(BN138/BN144,""),"")</f>
        <v>0.0472906403940886</v>
      </c>
      <c r="BO146" s="58" t="n">
        <f aca="false">IF(AND(ISNUMBER(BO138),ISNUMBER(BO144)),IFERROR(BO138/BO144,""),"")</f>
        <v>0.130285152409046</v>
      </c>
      <c r="BP146" s="58" t="n">
        <f aca="false">IF(AND(ISNUMBER(BP138),ISNUMBER(BP144)),IFERROR(BP138/BP144,""),"")</f>
        <v>0.146964856230032</v>
      </c>
      <c r="BQ146" s="58" t="n">
        <f aca="false">IF(AND(ISNUMBER(BQ138),ISNUMBER(BQ144)),IFERROR(BQ138/BQ144,""),"")</f>
        <v>0.341373369431454</v>
      </c>
      <c r="BR146" s="58" t="n">
        <f aca="false">IF(AND(ISNUMBER(BR138),ISNUMBER(BR144)),IFERROR(BR138/BR144,""),"")</f>
        <v>-0.0360535931790498</v>
      </c>
      <c r="BS146" s="58" t="n">
        <f aca="false">IF(AND(ISNUMBER(BS138),ISNUMBER(BS144)),IFERROR(BS138/BS144,""),"")</f>
        <v>0.0147759771210676</v>
      </c>
      <c r="BT146" s="58" t="n">
        <f aca="false">IF(AND(ISNUMBER(BT138),ISNUMBER(BT144)),IFERROR(BT138/BT144,""),"")</f>
        <v>-0.0735889497499403</v>
      </c>
      <c r="BU146" s="58" t="n">
        <f aca="false">IF(AND(ISNUMBER(BU138),ISNUMBER(BU144)),IFERROR(BU138/BU144,""),"")</f>
        <v>0.111457334611697</v>
      </c>
      <c r="BV146" s="58" t="n">
        <f aca="false">IF(AND(ISNUMBER(BV138),ISNUMBER(BV144)),IFERROR(BV138/BV144,""),"")</f>
        <v>0.0167946257197697</v>
      </c>
      <c r="BW146" s="58" t="n">
        <f aca="false">IF(AND(ISNUMBER(BW138),ISNUMBER(BW144)),IFERROR(BW138/BW144,""),"")</f>
        <v>0.00726392251815981</v>
      </c>
      <c r="BX146" s="58" t="n">
        <f aca="false">IF(AND(ISNUMBER(BX138),ISNUMBER(BX144)),IFERROR(BX138/BX144,""),"")</f>
        <v>0.136104924523633</v>
      </c>
      <c r="BY146" s="59" t="n">
        <f aca="false">IF(AND(ISNUMBER(BY138),ISNUMBER(BY144)),IFERROR(BY138/BY144,""),"")</f>
        <v>0.132664697029268</v>
      </c>
      <c r="BZ146" s="59" t="n">
        <f aca="false">IF(AND(ISNUMBER(BZ138),ISNUMBER(BZ144)),IFERROR(BZ138/BZ144,""),"")</f>
        <v>0.279170217204974</v>
      </c>
      <c r="CA146" s="59" t="n">
        <f aca="false">IF(AND(ISNUMBER(CA138),ISNUMBER(CA144)),IFERROR(CA138/CA144,""),"")</f>
        <v>0.551376641383659</v>
      </c>
      <c r="CB146" s="59" t="n">
        <f aca="false">IF(AND(ISNUMBER(CB138),ISNUMBER(CB144)),IFERROR(CB138/CB144,""),"")</f>
        <v>0.849916771634667</v>
      </c>
      <c r="CC146" s="59" t="n">
        <f aca="false">IF(AND(ISNUMBER(CC138),ISNUMBER(CC144)),IFERROR(CC138/CC144,""),"")</f>
        <v>1.36606227949916</v>
      </c>
      <c r="CD146" s="59" t="n">
        <f aca="false">IF(AND(ISNUMBER(CD138),ISNUMBER(CD144)),IFERROR(CD138/CD144,""),"")</f>
        <v>2.00444254722546</v>
      </c>
      <c r="CE146" s="59" t="n">
        <f aca="false">IF(AND(ISNUMBER(CE138),ISNUMBER(CE144)),IFERROR(CE138/CE144,""),"")</f>
        <v>2.85018781935985</v>
      </c>
      <c r="CF146" s="28"/>
    </row>
    <row r="147" customFormat="false" ht="15" hidden="false" customHeight="true" outlineLevel="0" collapsed="false">
      <c r="B147" s="50" t="s">
        <v>336</v>
      </c>
      <c r="C147" s="60" t="n">
        <f aca="false">IF(AND(ISNUMBER(C138),ISNUMBER(C145)),IFERROR(C138/C145,""),"")</f>
        <v>0.0647534568223325</v>
      </c>
      <c r="D147" s="60" t="n">
        <f aca="false">IF(AND(ISNUMBER(D138),ISNUMBER(D145)),IFERROR(D138/D145,""),"")</f>
        <v>0.082204700061843</v>
      </c>
      <c r="E147" s="60" t="n">
        <f aca="false">IF(AND(ISNUMBER(E138),ISNUMBER(E145)),IFERROR(E138/E145,""),"")</f>
        <v>0.125948849104859</v>
      </c>
      <c r="F147" s="60" t="n">
        <f aca="false">IF(AND(ISNUMBER(F138),ISNUMBER(F145)),IFERROR(F138/F145,""),"")</f>
        <v>0.0938168130489334</v>
      </c>
      <c r="G147" s="60" t="n">
        <f aca="false">IF(AND(ISNUMBER(G138),ISNUMBER(G145)),IFERROR(G138/G145,""),"")</f>
        <v>0.0641763654802723</v>
      </c>
      <c r="H147" s="60" t="n">
        <f aca="false">IF(AND(ISNUMBER(H138),ISNUMBER(H145)),IFERROR(H138/H145,""),"")</f>
        <v>0.0622943851744805</v>
      </c>
      <c r="I147" s="60" t="n">
        <f aca="false">IF(AND(ISNUMBER(I138),ISNUMBER(I145)),IFERROR(I138/I145,""),"")</f>
        <v>0.036791717688968</v>
      </c>
      <c r="J147" s="60" t="n">
        <f aca="false">IF(AND(ISNUMBER(J138),ISNUMBER(J145)),IFERROR(J138/J145,""),"")</f>
        <v>-0.00878664138836231</v>
      </c>
      <c r="K147" s="60" t="n">
        <f aca="false">IF(AND(ISNUMBER(K138),ISNUMBER(K145)),IFERROR(K138/K145,""),"")</f>
        <v>0.0294412098835558</v>
      </c>
      <c r="L147" s="60" t="n">
        <f aca="false">IF(AND(ISNUMBER(L138),ISNUMBER(L145)),IFERROR(L138/L145,""),"")</f>
        <v>0.0389855021341141</v>
      </c>
      <c r="M147" s="60" t="n">
        <f aca="false">IF(AND(ISNUMBER(M138),ISNUMBER(M145)),IFERROR(M138/M145,""),"")</f>
        <v>0.0450066812012096</v>
      </c>
      <c r="N147" s="60" t="n">
        <f aca="false">IF(AND(ISNUMBER(N138),ISNUMBER(N145)),IFERROR(N138/N145,""),"")</f>
        <v>0.105394867432298</v>
      </c>
      <c r="O147" s="60" t="n">
        <f aca="false">IF(AND(ISNUMBER(O138),ISNUMBER(O145)),IFERROR(O138/O145,""),"")</f>
        <v>0.0337725381414702</v>
      </c>
      <c r="P147" s="60" t="n">
        <f aca="false">IF(AND(ISNUMBER(P138),ISNUMBER(P145)),IFERROR(P138/P145,""),"")</f>
        <v>0.0279759886047616</v>
      </c>
      <c r="Q147" s="60" t="n">
        <f aca="false">IF(AND(ISNUMBER(Q138),ISNUMBER(Q145)),IFERROR(Q138/Q145,""),"")</f>
        <v>0.0403959469992206</v>
      </c>
      <c r="R147" s="60" t="n">
        <f aca="false">IF(AND(ISNUMBER(R138),ISNUMBER(R145)),IFERROR(R138/R145,""),"")</f>
        <v>0.0433171551241367</v>
      </c>
      <c r="S147" s="60" t="n">
        <f aca="false">IF(AND(ISNUMBER(S138),ISNUMBER(S145)),IFERROR(S138/S145,""),"")</f>
        <v>0.146434515844783</v>
      </c>
      <c r="T147" s="60" t="n">
        <f aca="false">IF(AND(ISNUMBER(T138),ISNUMBER(T145)),IFERROR(T138/T145,""),"")</f>
        <v>-0.0192485313059595</v>
      </c>
      <c r="U147" s="60" t="n">
        <f aca="false">IF(AND(ISNUMBER(U138),ISNUMBER(U145)),IFERROR(U138/U145,""),"")</f>
        <v>-0.0467819074114594</v>
      </c>
      <c r="V147" s="60" t="n">
        <f aca="false">IF(AND(ISNUMBER(V138),ISNUMBER(V145)),IFERROR(V138/V145,""),"")</f>
        <v>-0.0167667292057536</v>
      </c>
      <c r="W147" s="60" t="n">
        <f aca="false">IF(AND(ISNUMBER(W138),ISNUMBER(W145)),IFERROR(W138/W145,""),"")</f>
        <v>0.0712117457564118</v>
      </c>
      <c r="X147" s="60" t="n">
        <f aca="false">IF(AND(ISNUMBER(X138),ISNUMBER(X145)),IFERROR(X138/X145,""),"")</f>
        <v>-0.0108450704225351</v>
      </c>
      <c r="Y147" s="60" t="n">
        <f aca="false">IF(AND(ISNUMBER(Y138),ISNUMBER(Y145)),IFERROR(Y138/Y145,""),"")</f>
        <v>0.0516367117534433</v>
      </c>
      <c r="Z147" s="60" t="n">
        <f aca="false">IF(AND(ISNUMBER(Z138),ISNUMBER(Z145)),IFERROR(Z138/Z145,""),"")</f>
        <v>0.0480029585798817</v>
      </c>
      <c r="AA147" s="60" t="n">
        <f aca="false">IF(AND(ISNUMBER(AA138),ISNUMBER(AA145)),IFERROR(AA138/AA145,""),"")</f>
        <v>0.071519728729963</v>
      </c>
      <c r="AB147" s="60" t="n">
        <f aca="false">IF(AND(ISNUMBER(AB138),ISNUMBER(AB145)),IFERROR(AB138/AB145,""),"")</f>
        <v>0.091069503895544</v>
      </c>
      <c r="AC147" s="60" t="n">
        <f aca="false">IF(AND(ISNUMBER(AC138),ISNUMBER(AC145)),IFERROR(AC138/AC145,""),"")</f>
        <v>0.262273399926008</v>
      </c>
      <c r="AD147" s="60" t="n">
        <f aca="false">IF(AND(ISNUMBER(AD138),ISNUMBER(AD145)),IFERROR(AD138/AD145,""),"")</f>
        <v>0.0679605687436662</v>
      </c>
      <c r="AE147" s="60" t="n">
        <f aca="false">IF(AND(ISNUMBER(AE138),ISNUMBER(AE145)),IFERROR(AE138/AE145,""),"")</f>
        <v>0.0677601637191117</v>
      </c>
      <c r="AF147" s="60" t="n">
        <f aca="false">IF(AND(ISNUMBER(AF138),ISNUMBER(AF145)),IFERROR(AF138/AF145,""),"")</f>
        <v>0.104153714877796</v>
      </c>
      <c r="AG147" s="60" t="n">
        <f aca="false">IF(AND(ISNUMBER(AG138),ISNUMBER(AG145)),IFERROR(AG138/AG145,""),"")</f>
        <v>0.122384340651735</v>
      </c>
      <c r="AH147" s="60" t="n">
        <f aca="false">IF(AND(ISNUMBER(AH138),ISNUMBER(AH145)),IFERROR(AH138/AH145,""),"")</f>
        <v>0.365609821508388</v>
      </c>
      <c r="AI147" s="60" t="n">
        <f aca="false">IF(AND(ISNUMBER(AI138),ISNUMBER(AI145)),IFERROR(AI138/AI145,""),"")</f>
        <v>0.143689133425034</v>
      </c>
      <c r="AJ147" s="60" t="n">
        <f aca="false">IF(AND(ISNUMBER(AJ138),ISNUMBER(AJ145)),IFERROR(AJ138/AJ145,""),"")</f>
        <v>0.120260631001372</v>
      </c>
      <c r="AK147" s="60" t="n">
        <f aca="false">IF(AND(ISNUMBER(AK138),ISNUMBER(AK145)),IFERROR(AK138/AK145,""),"")</f>
        <v>0.160904211621666</v>
      </c>
      <c r="AL147" s="60" t="n">
        <f aca="false">IF(AND(ISNUMBER(AL138),ISNUMBER(AL145)),IFERROR(AL138/AL145,""),"")</f>
        <v>0.228954871963591</v>
      </c>
      <c r="AM147" s="60" t="n">
        <f aca="false">IF(AND(ISNUMBER(AM138),ISNUMBER(AM145)),IFERROR(AM138/AM145,""),"")</f>
        <v>0.653901448639158</v>
      </c>
      <c r="AN147" s="60" t="n">
        <f aca="false">IF(AND(ISNUMBER(AN138),ISNUMBER(AN145)),IFERROR(AN138/AN145,""),"")</f>
        <v>0.232912188585337</v>
      </c>
      <c r="AO147" s="60" t="n">
        <f aca="false">IF(AND(ISNUMBER(AO138),ISNUMBER(AO145)),IFERROR(AO138/AO145,""),"")</f>
        <v>0.172681355284353</v>
      </c>
      <c r="AP147" s="60" t="n">
        <f aca="false">IF(AND(ISNUMBER(AP138),ISNUMBER(AP145)),IFERROR(AP138/AP145,""),"")</f>
        <v>0.214501255047473</v>
      </c>
      <c r="AQ147" s="60" t="n">
        <f aca="false">IF(AND(ISNUMBER(AQ138),ISNUMBER(AQ145)),IFERROR(AQ138/AQ145,""),"")</f>
        <v>0.239752958499209</v>
      </c>
      <c r="AR147" s="60" t="n">
        <f aca="false">IF(AND(ISNUMBER(AR138),ISNUMBER(AR145)),IFERROR(AR138/AR145,""),"")</f>
        <v>0.85984984984985</v>
      </c>
      <c r="AS147" s="60" t="n">
        <f aca="false">IF(AND(ISNUMBER(AS138),ISNUMBER(AS145)),IFERROR(AS138/AS145,""),"")</f>
        <v>0.197936154013487</v>
      </c>
      <c r="AT147" s="60" t="n">
        <f aca="false">IF(AND(ISNUMBER(AT138),ISNUMBER(AT145)),IFERROR(AT138/AT145,""),"")</f>
        <v>0.159961838130068</v>
      </c>
      <c r="AU147" s="60" t="n">
        <f aca="false">IF(AND(ISNUMBER(AU138),ISNUMBER(AU145)),IFERROR(AU138/AU145,""),"")</f>
        <v>0.147676454912312</v>
      </c>
      <c r="AV147" s="60" t="n">
        <f aca="false">IF(AND(ISNUMBER(AV138),ISNUMBER(AV145)),IFERROR(AV138/AV145,""),"")</f>
        <v>0.0908465541312349</v>
      </c>
      <c r="AW147" s="60" t="n">
        <f aca="false">IF(AND(ISNUMBER(AW138),ISNUMBER(AW145)),IFERROR(AW138/AW145,""),"")</f>
        <v>0.592621197098575</v>
      </c>
      <c r="AX147" s="60" t="n">
        <f aca="false">IF(AND(ISNUMBER(AX138),ISNUMBER(AX145)),IFERROR(AX138/AX145,""),"")</f>
        <v>0.18849406923878</v>
      </c>
      <c r="AY147" s="60" t="n">
        <f aca="false">IF(AND(ISNUMBER(AY138),ISNUMBER(AY145)),IFERROR(AY138/AY145,""),"")</f>
        <v>0.155159376601759</v>
      </c>
      <c r="AZ147" s="60" t="n">
        <f aca="false">IF(AND(ISNUMBER(AZ138),ISNUMBER(AZ145)),IFERROR(AZ138/AZ145,""),"")</f>
        <v>0.163086014278649</v>
      </c>
      <c r="BA147" s="60" t="n">
        <f aca="false">IF(AND(ISNUMBER(BA138),ISNUMBER(BA145)),IFERROR(BA138/BA145,""),"")</f>
        <v>0.235468859306723</v>
      </c>
      <c r="BB147" s="60" t="n">
        <f aca="false">IF(AND(ISNUMBER(BB138),ISNUMBER(BB145)),IFERROR(BB138/BB145,""),"")</f>
        <v>0.742246803328598</v>
      </c>
      <c r="BC147" s="60" t="n">
        <f aca="false">IF(AND(ISNUMBER(BC138),ISNUMBER(BC145)),IFERROR(BC138/BC145,""),"")</f>
        <v>0.226560875013317</v>
      </c>
      <c r="BD147" s="60" t="n">
        <f aca="false">IF(AND(ISNUMBER(BD138),ISNUMBER(BD145)),IFERROR(BD138/BD145,""),"")</f>
        <v>0.211603688925618</v>
      </c>
      <c r="BE147" s="60" t="n">
        <f aca="false">IF(AND(ISNUMBER(BE138),ISNUMBER(BE145)),IFERROR(BE138/BE145,""),"")</f>
        <v>0.182454209773125</v>
      </c>
      <c r="BF147" s="60" t="n">
        <f aca="false">IF(AND(ISNUMBER(BF138),ISNUMBER(BF145)),IFERROR(BF138/BF145,""),"")</f>
        <v>0.306269346223839</v>
      </c>
      <c r="BG147" s="60" t="n">
        <f aca="false">IF(AND(ISNUMBER(BG138),ISNUMBER(BG145)),IFERROR(BG138/BG145,""),"")</f>
        <v>0.928852651903698</v>
      </c>
      <c r="BH147" s="60" t="n">
        <f aca="false">IF(AND(ISNUMBER(BH138),ISNUMBER(BH145)),IFERROR(BH138/BH145,""),"")</f>
        <v>0.214525417510962</v>
      </c>
      <c r="BI147" s="60" t="n">
        <f aca="false">IF(AND(ISNUMBER(BI138),ISNUMBER(BI145)),IFERROR(BI138/BI145,""),"")</f>
        <v>0.247129078969689</v>
      </c>
      <c r="BJ147" s="60" t="n">
        <f aca="false">IF(AND(ISNUMBER(BJ138),ISNUMBER(BJ145)),IFERROR(BJ138/BJ145,""),"")</f>
        <v>0.222415397724622</v>
      </c>
      <c r="BK147" s="60" t="n">
        <f aca="false">IF(AND(ISNUMBER(BK138),ISNUMBER(BK145)),IFERROR(BK138/BK145,""),"")</f>
        <v>0.236748466257669</v>
      </c>
      <c r="BL147" s="60" t="n">
        <f aca="false">IF(AND(ISNUMBER(BL138),ISNUMBER(BL145)),IFERROR(BL138/BL145,""),"")</f>
        <v>0.920865077414598</v>
      </c>
      <c r="BM147" s="60" t="n">
        <f aca="false">IF(AND(ISNUMBER(BM138),ISNUMBER(BM145)),IFERROR(BM138/BM145,""),"")</f>
        <v>0.0164497913086178</v>
      </c>
      <c r="BN147" s="60" t="n">
        <f aca="false">IF(AND(ISNUMBER(BN138),ISNUMBER(BN145)),IFERROR(BN138/BN145,""),"")</f>
        <v>0.0471281296023564</v>
      </c>
      <c r="BO147" s="60" t="n">
        <f aca="false">IF(AND(ISNUMBER(BO138),ISNUMBER(BO145)),IFERROR(BO138/BO145,""),"")</f>
        <v>0.129901960784314</v>
      </c>
      <c r="BP147" s="60" t="n">
        <f aca="false">IF(AND(ISNUMBER(BP138),ISNUMBER(BP145)),IFERROR(BP138/BP145,""),"")</f>
        <v>0.146425073457395</v>
      </c>
      <c r="BQ147" s="60" t="n">
        <f aca="false">IF(AND(ISNUMBER(BQ138),ISNUMBER(BQ145)),IFERROR(BQ138/BQ145,""),"")</f>
        <v>0.340117704757233</v>
      </c>
      <c r="BR147" s="60" t="n">
        <f aca="false">IF(AND(ISNUMBER(BR138),ISNUMBER(BR145)),IFERROR(BR138/BR145,""),"")</f>
        <v>-0.0360535931790498</v>
      </c>
      <c r="BS147" s="60" t="n">
        <f aca="false">IF(AND(ISNUMBER(BS138),ISNUMBER(BS145)),IFERROR(BS138/BS145,""),"")</f>
        <v>0.0146123026160734</v>
      </c>
      <c r="BT147" s="60" t="n">
        <f aca="false">IF(AND(ISNUMBER(BT138),ISNUMBER(BT145)),IFERROR(BT138/BT145,""),"")</f>
        <v>-0.0735889497499403</v>
      </c>
      <c r="BU147" s="60" t="n">
        <f aca="false">IF(AND(ISNUMBER(BU138),ISNUMBER(BU145)),IFERROR(BU138/BU145,""),"")</f>
        <v>0.110819828408008</v>
      </c>
      <c r="BV147" s="60" t="n">
        <f aca="false">IF(AND(ISNUMBER(BV138),ISNUMBER(BV145)),IFERROR(BV138/BV145,""),"")</f>
        <v>0.0166389351081531</v>
      </c>
      <c r="BW147" s="60" t="n">
        <f aca="false">IF(AND(ISNUMBER(BW138),ISNUMBER(BW145)),IFERROR(BW138/BW145,""),"")</f>
        <v>0.0072463768115942</v>
      </c>
      <c r="BX147" s="60" t="n">
        <f aca="false">IF(AND(ISNUMBER(BX138),ISNUMBER(BX145)),IFERROR(BX138/BX145,""),"")</f>
        <v>0.136003956478734</v>
      </c>
      <c r="BY147" s="60" t="n">
        <f aca="false">IF(AND(ISNUMBER(BY138),ISNUMBER(BY145)),IFERROR(BY138/BY145,""),"")</f>
        <v>0.132566057214474</v>
      </c>
      <c r="BZ147" s="60" t="n">
        <f aca="false">IF(AND(ISNUMBER(BZ138),ISNUMBER(BZ145)),IFERROR(BZ138/BZ145,""),"")</f>
        <v>0.278961697905871</v>
      </c>
      <c r="CA147" s="60" t="n">
        <f aca="false">IF(AND(ISNUMBER(CA138),ISNUMBER(CA145)),IFERROR(CA138/CA145,""),"")</f>
        <v>0.550968926179315</v>
      </c>
      <c r="CB147" s="60" t="n">
        <f aca="false">IF(AND(ISNUMBER(CB138),ISNUMBER(CB145)),IFERROR(CB138/CB145,""),"")</f>
        <v>0.849263911104331</v>
      </c>
      <c r="CC147" s="60" t="n">
        <f aca="false">IF(AND(ISNUMBER(CC138),ISNUMBER(CC145)),IFERROR(CC138/CC145,""),"")</f>
        <v>1.36494209826547</v>
      </c>
      <c r="CD147" s="60" t="n">
        <f aca="false">IF(AND(ISNUMBER(CD138),ISNUMBER(CD145)),IFERROR(CD138/CD145,""),"")</f>
        <v>2.00266470842691</v>
      </c>
      <c r="CE147" s="60" t="n">
        <f aca="false">IF(AND(ISNUMBER(CE138),ISNUMBER(CE145)),IFERROR(CE138/CE145,""),"")</f>
        <v>2.84740862780142</v>
      </c>
      <c r="CF147" s="21" t="s">
        <v>337</v>
      </c>
      <c r="CH147" s="22" t="n">
        <f aca="false">IFERROR((CE147/BV147)^(1/5)-1,"n/m")</f>
        <v>1.79682217110553</v>
      </c>
      <c r="CI147" s="22" t="n">
        <f aca="false">IFERROR((BV147/AW147)^(1/5)-1,"n/m")</f>
        <v>-0.510593571869634</v>
      </c>
      <c r="CJ147" s="22" t="str">
        <f aca="false">IFERROR((BV147/X147)^(1/10)-1,"n/m")</f>
        <v>n/m</v>
      </c>
      <c r="CK147" s="22" t="n">
        <f aca="false">IFERROR((BV147/C147)^(1/19)-1,"n/m")</f>
        <v>-0.0690204629853173</v>
      </c>
    </row>
    <row r="148" customFormat="false" ht="15" hidden="false" customHeight="true" outlineLevel="0" collapsed="false">
      <c r="B148" s="24" t="s">
        <v>338</v>
      </c>
      <c r="C148" s="25"/>
      <c r="D148" s="26" t="n">
        <f aca="false">IF(AND(ISNUMBER(D147),ISNUMBER(C147)),IFERROR(D147/C147-1,""),"")</f>
        <v>0.26950288209929</v>
      </c>
      <c r="E148" s="26" t="n">
        <f aca="false">IF(AND(ISNUMBER(E147),ISNUMBER(D147)),IFERROR(E147/D147-1,""),"")</f>
        <v>0.53213683658121</v>
      </c>
      <c r="F148" s="26" t="n">
        <f aca="false">IF(AND(ISNUMBER(F147),ISNUMBER(E147)),IFERROR(F147/E147-1,""),"")</f>
        <v>-0.255119727447245</v>
      </c>
      <c r="G148" s="26" t="n">
        <f aca="false">IF(AND(ISNUMBER(G147),ISNUMBER(F147)),IFERROR(G147/F147-1,""),"")</f>
        <v>-0.315939612585232</v>
      </c>
      <c r="H148" s="26" t="n">
        <f aca="false">IF(AND(ISNUMBER(H147),ISNUMBER(G147)),IFERROR(H147/G147-1,""),"")</f>
        <v>-0.0293251307036129</v>
      </c>
      <c r="I148" s="26" t="n">
        <f aca="false">IF(AND(ISNUMBER(I147),ISNUMBER(H147)),IFERROR(I147/H147-1,""),"")</f>
        <v>-0.409389504593102</v>
      </c>
      <c r="J148" s="25"/>
      <c r="K148" s="25"/>
      <c r="L148" s="25"/>
      <c r="M148" s="25"/>
      <c r="N148" s="26" t="n">
        <f aca="false">IF(AND(ISNUMBER(N147),ISNUMBER(I147)),IFERROR(N147/I147-1,""),"")</f>
        <v>1.86463568576199</v>
      </c>
      <c r="O148" s="26" t="n">
        <f aca="false">IF(AND(ISNUMBER(O147),ISNUMBER(J147)),IFERROR(O147/J147-1,""),"")</f>
        <v>-4.84362313752796</v>
      </c>
      <c r="P148" s="26" t="n">
        <f aca="false">IF(AND(ISNUMBER(P147),ISNUMBER(K147)),IFERROR(P147/K147-1,""),"")</f>
        <v>-0.0497676992416204</v>
      </c>
      <c r="Q148" s="26" t="n">
        <f aca="false">IF(AND(ISNUMBER(Q147),ISNUMBER(L147)),IFERROR(Q147/L147-1,""),"")</f>
        <v>0.0361787020276005</v>
      </c>
      <c r="R148" s="26" t="n">
        <f aca="false">IF(AND(ISNUMBER(R147),ISNUMBER(M147)),IFERROR(R147/M147-1,""),"")</f>
        <v>-0.037539450410033</v>
      </c>
      <c r="S148" s="26" t="n">
        <f aca="false">IF(AND(ISNUMBER(S147),ISNUMBER(N147)),IFERROR(S147/N147-1,""),"")</f>
        <v>0.389389440039356</v>
      </c>
      <c r="T148" s="26" t="n">
        <f aca="false">IF(AND(ISNUMBER(T147),ISNUMBER(O147)),IFERROR(T147/O147-1,""),"")</f>
        <v>-1.56994624524012</v>
      </c>
      <c r="U148" s="26" t="n">
        <f aca="false">IF(AND(ISNUMBER(U147),ISNUMBER(P147)),IFERROR(U147/P147-1,""),"")</f>
        <v>-2.67221641645568</v>
      </c>
      <c r="V148" s="26" t="n">
        <f aca="false">IF(AND(ISNUMBER(V147),ISNUMBER(Q147)),IFERROR(V147/Q147-1,""),"")</f>
        <v>-1.4150596891831</v>
      </c>
      <c r="W148" s="26" t="n">
        <f aca="false">IF(AND(ISNUMBER(W147),ISNUMBER(R147)),IFERROR(W147/R147-1,""),"")</f>
        <v>0.643961741077776</v>
      </c>
      <c r="X148" s="26" t="n">
        <f aca="false">IF(AND(ISNUMBER(X147),ISNUMBER(S147)),IFERROR(X147/S147-1,""),"")</f>
        <v>-1.07406088899171</v>
      </c>
      <c r="Y148" s="26" t="n">
        <f aca="false">IF(AND(ISNUMBER(Y147),ISNUMBER(T147)),IFERROR(Y147/T147-1,""),"")</f>
        <v>-3.68263125807713</v>
      </c>
      <c r="Z148" s="26" t="n">
        <f aca="false">IF(AND(ISNUMBER(Z147),ISNUMBER(U147)),IFERROR(Z147/U147-1,""),"")</f>
        <v>-2.02610092738808</v>
      </c>
      <c r="AA148" s="26" t="n">
        <f aca="false">IF(AND(ISNUMBER(AA147),ISNUMBER(V147)),IFERROR(AA147/V147-1,""),"")</f>
        <v>-5.26557427225702</v>
      </c>
      <c r="AB148" s="26" t="n">
        <f aca="false">IF(AND(ISNUMBER(AB147),ISNUMBER(W147)),IFERROR(AB147/W147-1,""),"")</f>
        <v>0.278855095156043</v>
      </c>
      <c r="AC148" s="26" t="n">
        <f aca="false">IF(AND(ISNUMBER(AC147),ISNUMBER(X147)),IFERROR(AC147/X147-1,""),"")</f>
        <v>-25.1836511620088</v>
      </c>
      <c r="AD148" s="26" t="n">
        <f aca="false">IF(AND(ISNUMBER(AD147),ISNUMBER(Y147)),IFERROR(AD147/Y147-1,""),"")</f>
        <v>0.316128902013873</v>
      </c>
      <c r="AE148" s="26" t="n">
        <f aca="false">IF(AND(ISNUMBER(AE147),ISNUMBER(Z147)),IFERROR(AE147/Z147-1,""),"")</f>
        <v>0.411583071621557</v>
      </c>
      <c r="AF148" s="26" t="n">
        <f aca="false">IF(AND(ISNUMBER(AF147),ISNUMBER(AA147)),IFERROR(AF147/AA147-1,""),"")</f>
        <v>0.456293483313521</v>
      </c>
      <c r="AG148" s="26" t="n">
        <f aca="false">IF(AND(ISNUMBER(AG147),ISNUMBER(AB147)),IFERROR(AG147/AB147-1,""),"")</f>
        <v>0.343856454868893</v>
      </c>
      <c r="AH148" s="26" t="n">
        <f aca="false">IF(AND(ISNUMBER(AH147),ISNUMBER(AC147)),IFERROR(AH147/AC147-1,""),"")</f>
        <v>0.394002676640229</v>
      </c>
      <c r="AI148" s="26" t="n">
        <f aca="false">IF(AND(ISNUMBER(AI147),ISNUMBER(AD147)),IFERROR(AI147/AD147-1,""),"")</f>
        <v>1.11430151455915</v>
      </c>
      <c r="AJ148" s="26" t="n">
        <f aca="false">IF(AND(ISNUMBER(AJ147),ISNUMBER(AE147)),IFERROR(AJ147/AE147-1,""),"")</f>
        <v>0.774798412528811</v>
      </c>
      <c r="AK148" s="26" t="n">
        <f aca="false">IF(AND(ISNUMBER(AK147),ISNUMBER(AF147)),IFERROR(AK147/AF147-1,""),"")</f>
        <v>0.544872516649603</v>
      </c>
      <c r="AL148" s="26" t="n">
        <f aca="false">IF(AND(ISNUMBER(AL147),ISNUMBER(AG147)),IFERROR(AL147/AG147-1,""),"")</f>
        <v>0.87078568013142</v>
      </c>
      <c r="AM148" s="26" t="n">
        <f aca="false">IF(AND(ISNUMBER(AM147),ISNUMBER(AH147)),IFERROR(AM147/AH147-1,""),"")</f>
        <v>0.788522654947756</v>
      </c>
      <c r="AN148" s="26" t="n">
        <f aca="false">IF(AND(ISNUMBER(AN147),ISNUMBER(AI147)),IFERROR(AN147/AI147-1,""),"")</f>
        <v>0.620945043188333</v>
      </c>
      <c r="AO148" s="26" t="n">
        <f aca="false">IF(AND(ISNUMBER(AO147),ISNUMBER(AJ147)),IFERROR(AO147/AJ147-1,""),"")</f>
        <v>0.435892642891448</v>
      </c>
      <c r="AP148" s="26" t="n">
        <f aca="false">IF(AND(ISNUMBER(AP147),ISNUMBER(AK147)),IFERROR(AP147/AK147-1,""),"")</f>
        <v>0.333099071091006</v>
      </c>
      <c r="AQ148" s="26" t="n">
        <f aca="false">IF(AND(ISNUMBER(AQ147),ISNUMBER(AL147)),IFERROR(AQ147/AL147-1,""),"")</f>
        <v>0.0471625104240447</v>
      </c>
      <c r="AR148" s="26" t="n">
        <f aca="false">IF(AND(ISNUMBER(AR147),ISNUMBER(AM147)),IFERROR(AR147/AM147-1,""),"")</f>
        <v>0.314953272605977</v>
      </c>
      <c r="AS148" s="26" t="n">
        <f aca="false">IF(AND(ISNUMBER(AS147),ISNUMBER(AN147)),IFERROR(AS147/AN147-1,""),"")</f>
        <v>-0.150168330752835</v>
      </c>
      <c r="AT148" s="26" t="n">
        <f aca="false">IF(AND(ISNUMBER(AT147),ISNUMBER(AO147)),IFERROR(AT147/AO147-1,""),"")</f>
        <v>-0.0736588911601925</v>
      </c>
      <c r="AU148" s="26" t="n">
        <f aca="false">IF(AND(ISNUMBER(AU147),ISNUMBER(AP147)),IFERROR(AU147/AP147-1,""),"")</f>
        <v>-0.311535706960651</v>
      </c>
      <c r="AV148" s="26" t="n">
        <f aca="false">IF(AND(ISNUMBER(AV147),ISNUMBER(AQ147)),IFERROR(AV147/AQ147-1,""),"")</f>
        <v>-0.621082656498128</v>
      </c>
      <c r="AW148" s="26" t="n">
        <f aca="false">IF(AND(ISNUMBER(AW147),ISNUMBER(AR147)),IFERROR(AW147/AR147-1,""),"")</f>
        <v>-0.310785252562339</v>
      </c>
      <c r="AX148" s="26" t="n">
        <f aca="false">IF(AND(ISNUMBER(AX147),ISNUMBER(AS147)),IFERROR(AX147/AS147-1,""),"")</f>
        <v>-0.0477026787843108</v>
      </c>
      <c r="AY148" s="26" t="n">
        <f aca="false">IF(AND(ISNUMBER(AY147),ISNUMBER(AT147)),IFERROR(AY147/AT147-1,""),"")</f>
        <v>-0.0300225452798568</v>
      </c>
      <c r="AZ148" s="26" t="n">
        <f aca="false">IF(AND(ISNUMBER(AZ147),ISNUMBER(AU147)),IFERROR(AZ147/AU147-1,""),"")</f>
        <v>0.10434675842867</v>
      </c>
      <c r="BA148" s="26" t="n">
        <f aca="false">IF(AND(ISNUMBER(BA147),ISNUMBER(AV147)),IFERROR(BA147/AV147-1,""),"")</f>
        <v>1.59194046002636</v>
      </c>
      <c r="BB148" s="26" t="n">
        <f aca="false">IF(AND(ISNUMBER(BB147),ISNUMBER(AW147)),IFERROR(BB147/AW147-1,""),"")</f>
        <v>0.252481023227952</v>
      </c>
      <c r="BC148" s="26" t="n">
        <f aca="false">IF(AND(ISNUMBER(BC147),ISNUMBER(AX147)),IFERROR(BC147/AX147-1,""),"")</f>
        <v>0.201952273237388</v>
      </c>
      <c r="BD148" s="26" t="n">
        <f aca="false">IF(AND(ISNUMBER(BD147),ISNUMBER(AY147)),IFERROR(BD147/AY147-1,""),"")</f>
        <v>0.363782799081053</v>
      </c>
      <c r="BE148" s="26" t="n">
        <f aca="false">IF(AND(ISNUMBER(BE147),ISNUMBER(AZ147)),IFERROR(BE147/AZ147-1,""),"")</f>
        <v>0.11876061586362</v>
      </c>
      <c r="BF148" s="26" t="n">
        <f aca="false">IF(AND(ISNUMBER(BF147),ISNUMBER(BA147)),IFERROR(BF147/BA147-1,""),"")</f>
        <v>0.300678769691966</v>
      </c>
      <c r="BG148" s="26" t="n">
        <f aca="false">IF(AND(ISNUMBER(BG147),ISNUMBER(BB147)),IFERROR(BG147/BB147-1,""),"")</f>
        <v>0.251406739292468</v>
      </c>
      <c r="BH148" s="26" t="n">
        <f aca="false">IF(AND(ISNUMBER(BH147),ISNUMBER(BC147)),IFERROR(BH147/BC147-1,""),"")</f>
        <v>-0.0531224003334523</v>
      </c>
      <c r="BI148" s="26" t="n">
        <f aca="false">IF(AND(ISNUMBER(BI147),ISNUMBER(BD147)),IFERROR(BI147/BD147-1,""),"")</f>
        <v>0.167886440092065</v>
      </c>
      <c r="BJ148" s="26" t="n">
        <f aca="false">IF(AND(ISNUMBER(BJ147),ISNUMBER(BE147)),IFERROR(BJ147/BE147-1,""),"")</f>
        <v>0.219020366815253</v>
      </c>
      <c r="BK148" s="26" t="n">
        <f aca="false">IF(AND(ISNUMBER(BK147),ISNUMBER(BF147)),IFERROR(BK147/BF147-1,""),"")</f>
        <v>-0.226992615563167</v>
      </c>
      <c r="BL148" s="26" t="n">
        <f aca="false">IF(AND(ISNUMBER(BL147),ISNUMBER(BG147)),IFERROR(BL147/BG147-1,""),"")</f>
        <v>-0.00859939891728734</v>
      </c>
      <c r="BM148" s="26" t="n">
        <f aca="false">IF(AND(ISNUMBER(BM147),ISNUMBER(BH147)),IFERROR(BM147/BH147-1,""),"")</f>
        <v>-0.923320082536247</v>
      </c>
      <c r="BN148" s="26" t="n">
        <f aca="false">IF(AND(ISNUMBER(BN147),ISNUMBER(BI147)),IFERROR(BN147/BI147-1,""),"")</f>
        <v>-0.809297514485794</v>
      </c>
      <c r="BO148" s="26" t="n">
        <f aca="false">IF(AND(ISNUMBER(BO147),ISNUMBER(BJ147)),IFERROR(BO147/BJ147-1,""),"")</f>
        <v>-0.415948886123663</v>
      </c>
      <c r="BP148" s="26" t="n">
        <f aca="false">IF(AND(ISNUMBER(BP147),ISNUMBER(BK147)),IFERROR(BP147/BK147-1,""),"")</f>
        <v>-0.381516274331294</v>
      </c>
      <c r="BQ148" s="26" t="n">
        <f aca="false">IF(AND(ISNUMBER(BQ147),ISNUMBER(BL147)),IFERROR(BQ147/BL147-1,""),"")</f>
        <v>-0.63065413913606</v>
      </c>
      <c r="BR148" s="26" t="n">
        <f aca="false">IF(AND(ISNUMBER(BR147),ISNUMBER(BM147)),IFERROR(BR147/BM147-1,""),"")</f>
        <v>-3.1917355972876</v>
      </c>
      <c r="BS148" s="26" t="n">
        <f aca="false">IF(AND(ISNUMBER(BS147),ISNUMBER(BN147)),IFERROR(BS147/BN147-1,""),"")</f>
        <v>-0.689945203865192</v>
      </c>
      <c r="BT148" s="26" t="n">
        <f aca="false">IF(AND(ISNUMBER(BT147),ISNUMBER(BO147)),IFERROR(BT147/BO147-1,""),"")</f>
        <v>-1.56649606599954</v>
      </c>
      <c r="BU148" s="26" t="n">
        <f aca="false">IF(AND(ISNUMBER(BU147),ISNUMBER(BP147)),IFERROR(BU147/BP147-1,""),"")</f>
        <v>-0.243163579902501</v>
      </c>
      <c r="BV148" s="26" t="n">
        <f aca="false">IF(AND(ISNUMBER(BV147),ISNUMBER(BQ147)),IFERROR(BV147/BQ147-1,""),"")</f>
        <v>-0.951078891585401</v>
      </c>
      <c r="BW148" s="26" t="n">
        <f aca="false">IF(AND(ISNUMBER(BW147),ISNUMBER(BR147)),IFERROR(BW147/BR147-1,""),"")</f>
        <v>-1.20098903251077</v>
      </c>
      <c r="BX148" s="26" t="n">
        <f aca="false">IF(AND(ISNUMBER(BX147),ISNUMBER(BS147)),IFERROR(BX147/BS147-1,""),"")</f>
        <v>8.30749656998826</v>
      </c>
      <c r="BY148" s="27" t="n">
        <f aca="false">IF(AND(ISNUMBER(BY147),ISNUMBER(BT147)),IFERROR(BY147/BT147-1,""),"")</f>
        <v>-2.80143972247113</v>
      </c>
      <c r="BZ148" s="27" t="n">
        <f aca="false">IF(AND(ISNUMBER(BZ147),ISNUMBER(BU147)),IFERROR(BZ147/BU147-1,""),"")</f>
        <v>1.51725437508179</v>
      </c>
      <c r="CA148" s="27" t="n">
        <f aca="false">IF(AND(ISNUMBER(CA147),ISNUMBER(BV147)),IFERROR(CA147/BV147-1,""),"")</f>
        <v>32.1132324633768</v>
      </c>
      <c r="CB148" s="27" t="n">
        <f aca="false">IF(AND(ISNUMBER(CB147),ISNUMBER(CA147)),IFERROR(CB147/CA147-1,""),"")</f>
        <v>0.541400741042762</v>
      </c>
      <c r="CC148" s="27" t="n">
        <f aca="false">IF(AND(ISNUMBER(CC147),ISNUMBER(CB147)),IFERROR(CC147/CB147-1,""),"")</f>
        <v>0.607206052698721</v>
      </c>
      <c r="CD148" s="27" t="n">
        <f aca="false">IF(AND(ISNUMBER(CD147),ISNUMBER(CC147)),IFERROR(CD147/CC147-1,""),"")</f>
        <v>0.467215870161703</v>
      </c>
      <c r="CE148" s="27" t="n">
        <f aca="false">IF(AND(ISNUMBER(CE147),ISNUMBER(CD147)),IFERROR(CE147/CD147-1,""),"")</f>
        <v>0.421809959410556</v>
      </c>
      <c r="CF148" s="28"/>
    </row>
    <row r="149" customFormat="false" ht="15" hidden="false" customHeight="true" outlineLevel="0" collapsed="false">
      <c r="B149" s="33" t="s">
        <v>339</v>
      </c>
      <c r="C149" s="61" t="n">
        <v>0.065</v>
      </c>
      <c r="D149" s="61" t="n">
        <v>0.082</v>
      </c>
      <c r="E149" s="61" t="n">
        <v>0.126</v>
      </c>
      <c r="F149" s="61" t="n">
        <v>0.094</v>
      </c>
      <c r="G149" s="61" t="n">
        <v>0.064</v>
      </c>
      <c r="H149" s="61" t="n">
        <v>0.062</v>
      </c>
      <c r="I149" s="61" t="n">
        <v>0.037</v>
      </c>
      <c r="J149" s="61" t="n">
        <v>-0.009</v>
      </c>
      <c r="K149" s="61" t="n">
        <v>0.029</v>
      </c>
      <c r="L149" s="61" t="n">
        <v>0.039</v>
      </c>
      <c r="M149" s="61" t="n">
        <v>0.045</v>
      </c>
      <c r="N149" s="61" t="n">
        <v>0.105</v>
      </c>
      <c r="O149" s="61" t="n">
        <v>0.034</v>
      </c>
      <c r="P149" s="61" t="n">
        <v>0.028</v>
      </c>
      <c r="Q149" s="61" t="n">
        <v>0.04</v>
      </c>
      <c r="R149" s="61" t="n">
        <v>0.043</v>
      </c>
      <c r="S149" s="61" t="n">
        <v>0.146</v>
      </c>
      <c r="T149" s="61" t="n">
        <v>-0.019</v>
      </c>
      <c r="U149" s="61" t="n">
        <v>-0.047</v>
      </c>
      <c r="V149" s="61" t="n">
        <v>-0.017</v>
      </c>
      <c r="W149" s="61" t="n">
        <v>0.071</v>
      </c>
      <c r="X149" s="61" t="n">
        <v>-0.011</v>
      </c>
      <c r="Y149" s="61" t="n">
        <v>0.052</v>
      </c>
      <c r="Z149" s="61" t="n">
        <v>0.048</v>
      </c>
      <c r="AA149" s="61" t="n">
        <v>0.072</v>
      </c>
      <c r="AB149" s="61" t="n">
        <v>0.091</v>
      </c>
      <c r="AC149" s="61" t="n">
        <v>0.262</v>
      </c>
      <c r="AD149" s="61" t="n">
        <v>0.068</v>
      </c>
      <c r="AE149" s="61" t="n">
        <v>0.068</v>
      </c>
      <c r="AF149" s="61" t="n">
        <v>0.104</v>
      </c>
      <c r="AG149" s="61" t="n">
        <v>0.122</v>
      </c>
      <c r="AH149" s="61" t="n">
        <v>0.366</v>
      </c>
      <c r="AI149" s="61" t="n">
        <v>0.144</v>
      </c>
      <c r="AJ149" s="61" t="n">
        <v>0.12</v>
      </c>
      <c r="AK149" s="61" t="n">
        <v>0.161</v>
      </c>
      <c r="AL149" s="61" t="n">
        <v>0.229</v>
      </c>
      <c r="AM149" s="61" t="n">
        <v>0.654</v>
      </c>
      <c r="AN149" s="61" t="n">
        <v>0.233</v>
      </c>
      <c r="AO149" s="61" t="n">
        <v>0.173</v>
      </c>
      <c r="AP149" s="61" t="n">
        <v>0.215</v>
      </c>
      <c r="AQ149" s="61" t="n">
        <v>0.239</v>
      </c>
      <c r="AR149" s="61" t="n">
        <v>0.86</v>
      </c>
      <c r="AS149" s="61" t="n">
        <v>0.198</v>
      </c>
      <c r="AT149" s="61" t="n">
        <v>0.16</v>
      </c>
      <c r="AU149" s="61" t="n">
        <v>0.148</v>
      </c>
      <c r="AV149" s="61" t="n">
        <v>0.091</v>
      </c>
      <c r="AW149" s="61" t="n">
        <v>0.593</v>
      </c>
      <c r="AX149" s="61" t="n">
        <v>0.188</v>
      </c>
      <c r="AY149" s="61" t="n">
        <v>0.16</v>
      </c>
      <c r="AZ149" s="61" t="n">
        <v>0.16</v>
      </c>
      <c r="BA149" s="61" t="n">
        <v>0.24</v>
      </c>
      <c r="BB149" s="61" t="n">
        <v>0.74</v>
      </c>
      <c r="BC149" s="61" t="n">
        <v>0.23</v>
      </c>
      <c r="BD149" s="61" t="n">
        <v>0.21</v>
      </c>
      <c r="BE149" s="61" t="n">
        <v>0.18</v>
      </c>
      <c r="BF149" s="61" t="n">
        <v>0.31</v>
      </c>
      <c r="BG149" s="61" t="n">
        <v>0.93</v>
      </c>
      <c r="BH149" s="61" t="n">
        <v>0.21</v>
      </c>
      <c r="BI149" s="61" t="n">
        <v>0.25</v>
      </c>
      <c r="BJ149" s="61" t="n">
        <v>0.22</v>
      </c>
      <c r="BK149" s="61" t="n">
        <v>0.24</v>
      </c>
      <c r="BL149" s="61" t="n">
        <v>0.92</v>
      </c>
      <c r="BM149" s="61" t="n">
        <v>0.02</v>
      </c>
      <c r="BN149" s="61" t="n">
        <v>0.05</v>
      </c>
      <c r="BO149" s="61" t="n">
        <v>0.13</v>
      </c>
      <c r="BP149" s="61" t="n">
        <v>0.15</v>
      </c>
      <c r="BQ149" s="61" t="n">
        <v>0.34</v>
      </c>
      <c r="BR149" s="61" t="n">
        <v>-0.04</v>
      </c>
      <c r="BS149" s="61" t="n">
        <v>0.01</v>
      </c>
      <c r="BT149" s="61" t="n">
        <v>-0.07</v>
      </c>
      <c r="BU149" s="61" t="n">
        <v>0.11</v>
      </c>
      <c r="BV149" s="61" t="n">
        <v>0.02</v>
      </c>
      <c r="BW149" s="61" t="n">
        <v>0.01</v>
      </c>
      <c r="BX149" s="61" t="n">
        <v>0.14</v>
      </c>
      <c r="BY149" s="59"/>
      <c r="BZ149" s="59"/>
      <c r="CA149" s="59"/>
      <c r="CB149" s="59"/>
      <c r="CC149" s="59"/>
      <c r="CD149" s="59"/>
      <c r="CE149" s="59"/>
      <c r="CF149" s="28"/>
    </row>
    <row r="150" customFormat="false" ht="15" hidden="false" customHeight="true" outlineLevel="0" collapsed="false">
      <c r="B150" s="33" t="s">
        <v>340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6"/>
      <c r="BZ150" s="36"/>
      <c r="CA150" s="36" t="n">
        <f aca="false">CHOOSE(MATCH($CF$2,{"Bull","Base","Bear"},0),$CO$14,$CP$14,$CQ$14)</f>
        <v>232.5</v>
      </c>
      <c r="CB150" s="36"/>
      <c r="CC150" s="36"/>
      <c r="CD150" s="36"/>
      <c r="CE150" s="36"/>
      <c r="CF150" s="28" t="s">
        <v>341</v>
      </c>
    </row>
    <row r="152" customFormat="false" ht="15" hidden="false" customHeight="true" outlineLevel="0" collapsed="false">
      <c r="B152" s="11" t="s">
        <v>342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 t="s">
        <v>343</v>
      </c>
    </row>
    <row r="153" customFormat="false" ht="15" hidden="false" customHeight="true" outlineLevel="0" collapsed="false">
      <c r="B153" s="17" t="s">
        <v>344</v>
      </c>
      <c r="C153" s="18" t="n">
        <f aca="false">C138</f>
        <v>12.41</v>
      </c>
      <c r="D153" s="18" t="n">
        <f aca="false">D138</f>
        <v>15.951</v>
      </c>
      <c r="E153" s="18" t="n">
        <f aca="false">E138</f>
        <v>24.623</v>
      </c>
      <c r="F153" s="18" t="n">
        <f aca="false">F138</f>
        <v>18.693</v>
      </c>
      <c r="G153" s="18" t="n">
        <f aca="false">G138</f>
        <v>13.289</v>
      </c>
      <c r="H153" s="18" t="n">
        <f aca="false">H138</f>
        <v>14.656</v>
      </c>
      <c r="I153" s="18" t="n">
        <f aca="false">I138</f>
        <v>9.915</v>
      </c>
      <c r="J153" s="18" t="n">
        <f aca="false">J138</f>
        <v>-2.41000000000001</v>
      </c>
      <c r="K153" s="18" t="n">
        <f aca="false">K138</f>
        <v>8.29299999999999</v>
      </c>
      <c r="L153" s="18" t="n">
        <f aca="false">L138</f>
        <v>11.052</v>
      </c>
      <c r="M153" s="18" t="n">
        <f aca="false">M138</f>
        <v>12.799</v>
      </c>
      <c r="N153" s="18" t="n">
        <f aca="false">N138</f>
        <v>29.734</v>
      </c>
      <c r="O153" s="18" t="n">
        <f aca="false">O138</f>
        <v>9.73999999999999</v>
      </c>
      <c r="P153" s="18" t="n">
        <f aca="false">P138</f>
        <v>8.24899999999999</v>
      </c>
      <c r="Q153" s="18" t="n">
        <f aca="false">Q138</f>
        <v>12.957</v>
      </c>
      <c r="R153" s="18" t="n">
        <f aca="false">R138</f>
        <v>13.923</v>
      </c>
      <c r="S153" s="18" t="n">
        <f aca="false">S138</f>
        <v>44.869</v>
      </c>
      <c r="T153" s="18" t="n">
        <f aca="false">T138</f>
        <v>-6.12699999999998</v>
      </c>
      <c r="U153" s="18" t="n">
        <f aca="false">U138</f>
        <v>-14.966</v>
      </c>
      <c r="V153" s="18" t="n">
        <f aca="false">V138</f>
        <v>-5.36200000000001</v>
      </c>
      <c r="W153" s="18" t="n">
        <f aca="false">W138</f>
        <v>22.99</v>
      </c>
      <c r="X153" s="18" t="n">
        <f aca="false">X138</f>
        <v>-3.46499999999996</v>
      </c>
      <c r="Y153" s="18" t="n">
        <f aca="false">Y138</f>
        <v>16.721</v>
      </c>
      <c r="Z153" s="18" t="n">
        <f aca="false">Z138</f>
        <v>15.576</v>
      </c>
      <c r="AA153" s="18" t="n">
        <f aca="false">AA138</f>
        <v>23.201</v>
      </c>
      <c r="AB153" s="18" t="n">
        <f aca="false">AB138</f>
        <v>29.573</v>
      </c>
      <c r="AC153" s="18" t="n">
        <f aca="false">AC138</f>
        <v>85.071</v>
      </c>
      <c r="AD153" s="18" t="n">
        <f aca="false">AD138</f>
        <v>22.13</v>
      </c>
      <c r="AE153" s="18" t="n">
        <f aca="false">AE138</f>
        <v>22.184</v>
      </c>
      <c r="AF153" s="18" t="n">
        <f aca="false">AF138</f>
        <v>34.177</v>
      </c>
      <c r="AG153" s="18" t="n">
        <f aca="false">AG138</f>
        <v>44.204</v>
      </c>
      <c r="AH153" s="18" t="n">
        <f aca="false">AH138</f>
        <v>122.695</v>
      </c>
      <c r="AI153" s="18" t="n">
        <f aca="false">AI138</f>
        <v>52.231</v>
      </c>
      <c r="AJ153" s="18" t="n">
        <f aca="false">AJ138</f>
        <v>43.835</v>
      </c>
      <c r="AK153" s="18" t="n">
        <f aca="false">AK138</f>
        <v>58.759</v>
      </c>
      <c r="AL153" s="18" t="n">
        <f aca="false">AL138</f>
        <v>83.509</v>
      </c>
      <c r="AM153" s="18" t="n">
        <f aca="false">AM138</f>
        <v>238.334</v>
      </c>
      <c r="AN153" s="18" t="n">
        <f aca="false">AN138</f>
        <v>85.169</v>
      </c>
      <c r="AO153" s="18" t="n">
        <f aca="false">AO138</f>
        <v>63.248</v>
      </c>
      <c r="AP153" s="18" t="n">
        <f aca="false">AP138</f>
        <v>78.6189999999999</v>
      </c>
      <c r="AQ153" s="18" t="n">
        <f aca="false">AQ138</f>
        <v>87.927</v>
      </c>
      <c r="AR153" s="18" t="n">
        <f aca="false">AR138</f>
        <v>314.963</v>
      </c>
      <c r="AS153" s="18" t="n">
        <f aca="false">AS138</f>
        <v>72.793</v>
      </c>
      <c r="AT153" s="18" t="n">
        <f aca="false">AT138</f>
        <v>60.36</v>
      </c>
      <c r="AU153" s="18" t="n">
        <f aca="false">AU138</f>
        <v>58.186</v>
      </c>
      <c r="AV153" s="18" t="n">
        <f aca="false">AV138</f>
        <v>35.789</v>
      </c>
      <c r="AW153" s="18" t="n">
        <f aca="false">AW138</f>
        <v>227.128</v>
      </c>
      <c r="AX153" s="18" t="n">
        <f aca="false">AX138</f>
        <v>74.212</v>
      </c>
      <c r="AY153" s="18" t="n">
        <f aca="false">AY138</f>
        <v>61.1480000000001</v>
      </c>
      <c r="AZ153" s="18" t="n">
        <f aca="false">AZ138</f>
        <v>64.304</v>
      </c>
      <c r="BA153" s="18" t="n">
        <f aca="false">BA138</f>
        <v>92.9</v>
      </c>
      <c r="BB153" s="18" t="n">
        <f aca="false">BB138</f>
        <v>292.564</v>
      </c>
      <c r="BC153" s="18" t="n">
        <f aca="false">BC138</f>
        <v>89.318</v>
      </c>
      <c r="BD153" s="18" t="n">
        <f aca="false">BD138</f>
        <v>83.4730000000001</v>
      </c>
      <c r="BE153" s="18" t="n">
        <f aca="false">BE138</f>
        <v>72.29</v>
      </c>
      <c r="BF153" s="18" t="n">
        <f aca="false">BF138</f>
        <v>124.372</v>
      </c>
      <c r="BG153" s="18" t="n">
        <f aca="false">BG138</f>
        <v>369.453</v>
      </c>
      <c r="BH153" s="18" t="n">
        <f aca="false">BH138</f>
        <v>87.1309999999999</v>
      </c>
      <c r="BI153" s="18" t="n">
        <f aca="false">BI138</f>
        <v>100.52</v>
      </c>
      <c r="BJ153" s="18" t="n">
        <f aca="false">BJ138</f>
        <v>90.574</v>
      </c>
      <c r="BK153" s="18" t="n">
        <f aca="false">BK138</f>
        <v>96.4749999999999</v>
      </c>
      <c r="BL153" s="18" t="n">
        <f aca="false">BL138</f>
        <v>374.7</v>
      </c>
      <c r="BM153" s="18" t="n">
        <f aca="false">BM138</f>
        <v>6.70000000000005</v>
      </c>
      <c r="BN153" s="18" t="n">
        <f aca="false">BN138</f>
        <v>19.2</v>
      </c>
      <c r="BO153" s="18" t="n">
        <f aca="false">BO138</f>
        <v>53</v>
      </c>
      <c r="BP153" s="18" t="n">
        <f aca="false">BP138</f>
        <v>59.8</v>
      </c>
      <c r="BQ153" s="18" t="n">
        <f aca="false">BQ138</f>
        <v>138.7</v>
      </c>
      <c r="BR153" s="18" t="n">
        <f aca="false">BR138</f>
        <v>-14.8</v>
      </c>
      <c r="BS153" s="18" t="n">
        <f aca="false">BS138</f>
        <v>6.19999999999996</v>
      </c>
      <c r="BT153" s="18" t="n">
        <f aca="false">BT138</f>
        <v>-30.8999999999999</v>
      </c>
      <c r="BU153" s="18" t="n">
        <f aca="false">BU138</f>
        <v>46.5000000000001</v>
      </c>
      <c r="BV153" s="18" t="n">
        <f aca="false">BV138</f>
        <v>7</v>
      </c>
      <c r="BW153" s="18" t="n">
        <f aca="false">BW138</f>
        <v>3</v>
      </c>
      <c r="BX153" s="18" t="n">
        <f aca="false">BX138</f>
        <v>55</v>
      </c>
      <c r="BY153" s="20" t="n">
        <f aca="false">BY138</f>
        <v>53.4880439106228</v>
      </c>
      <c r="BZ153" s="20" t="n">
        <f aca="false">BZ138</f>
        <v>112.044014340167</v>
      </c>
      <c r="CA153" s="20" t="n">
        <f aca="false">CA138</f>
        <v>223.532058250791</v>
      </c>
      <c r="CB153" s="20" t="n">
        <f aca="false">CB138</f>
        <v>331.680477553179</v>
      </c>
      <c r="CC153" s="20" t="n">
        <f aca="false">CC138</f>
        <v>499.364529076212</v>
      </c>
      <c r="CD153" s="20" t="n">
        <f aca="false">CD138</f>
        <v>677.377446034769</v>
      </c>
      <c r="CE153" s="20" t="n">
        <f aca="false">CE138</f>
        <v>876.044261477621</v>
      </c>
      <c r="CF153" s="21"/>
    </row>
    <row r="154" customFormat="false" ht="15" hidden="false" customHeight="true" outlineLevel="0" collapsed="false">
      <c r="B154" s="29" t="s">
        <v>345</v>
      </c>
      <c r="C154" s="35" t="n">
        <v>5.388</v>
      </c>
      <c r="D154" s="35" t="n">
        <v>7.233</v>
      </c>
      <c r="E154" s="35" t="n">
        <v>7.164</v>
      </c>
      <c r="F154" s="35" t="n">
        <v>5.801</v>
      </c>
      <c r="G154" s="35" t="n">
        <v>3.776</v>
      </c>
      <c r="H154" s="35" t="n">
        <v>3.59</v>
      </c>
      <c r="I154" s="35" t="n">
        <v>22.241</v>
      </c>
      <c r="J154" s="35" t="n">
        <v>7.152</v>
      </c>
      <c r="K154" s="35" t="n">
        <v>6.92</v>
      </c>
      <c r="L154" s="35" t="n">
        <v>6.634</v>
      </c>
      <c r="M154" s="35" t="n">
        <v>6.36</v>
      </c>
      <c r="N154" s="35" t="n">
        <v>27.066</v>
      </c>
      <c r="O154" s="35" t="n">
        <v>6.176</v>
      </c>
      <c r="P154" s="35" t="n">
        <v>16.916</v>
      </c>
      <c r="Q154" s="35" t="n">
        <v>16.151</v>
      </c>
      <c r="R154" s="35" t="n">
        <v>15.479</v>
      </c>
      <c r="S154" s="35" t="n">
        <v>54.722</v>
      </c>
      <c r="T154" s="35" t="n">
        <v>13.489</v>
      </c>
      <c r="U154" s="35" t="n">
        <v>13.541</v>
      </c>
      <c r="V154" s="35" t="n">
        <v>17.117</v>
      </c>
      <c r="W154" s="35" t="n">
        <v>13.861</v>
      </c>
      <c r="X154" s="35" t="n">
        <v>58.008</v>
      </c>
      <c r="Y154" s="35" t="n">
        <v>11.919</v>
      </c>
      <c r="Z154" s="35" t="n">
        <v>11.516</v>
      </c>
      <c r="AA154" s="35" t="n">
        <v>11.286</v>
      </c>
      <c r="AB154" s="35" t="n">
        <v>10.829</v>
      </c>
      <c r="AC154" s="35" t="n">
        <v>45.55</v>
      </c>
      <c r="AD154" s="35" t="n">
        <v>10.893</v>
      </c>
      <c r="AE154" s="35" t="n">
        <v>9.34</v>
      </c>
      <c r="AF154" s="35" t="n">
        <v>8.498</v>
      </c>
      <c r="AG154" s="35" t="n">
        <v>8.66</v>
      </c>
      <c r="AH154" s="35" t="n">
        <v>37.391</v>
      </c>
      <c r="AI154" s="35" t="n">
        <v>10.411</v>
      </c>
      <c r="AJ154" s="35" t="n">
        <v>14.14</v>
      </c>
      <c r="AK154" s="35" t="n">
        <v>13.639</v>
      </c>
      <c r="AL154" s="35" t="n">
        <v>13.277</v>
      </c>
      <c r="AM154" s="35" t="n">
        <v>51.467</v>
      </c>
      <c r="AN154" s="35" t="n">
        <v>13.195</v>
      </c>
      <c r="AO154" s="35" t="n">
        <v>12.208</v>
      </c>
      <c r="AP154" s="35" t="n">
        <v>12.543</v>
      </c>
      <c r="AQ154" s="35" t="n">
        <v>17.406</v>
      </c>
      <c r="AR154" s="35" t="n">
        <v>55.352</v>
      </c>
      <c r="AS154" s="35" t="n">
        <v>17.489</v>
      </c>
      <c r="AT154" s="35" t="n">
        <v>20.989</v>
      </c>
      <c r="AU154" s="35" t="n">
        <v>24.87</v>
      </c>
      <c r="AV154" s="35" t="n">
        <v>24.784</v>
      </c>
      <c r="AW154" s="35" t="n">
        <v>88.132</v>
      </c>
      <c r="AX154" s="35" t="n">
        <v>25.827</v>
      </c>
      <c r="AY154" s="35" t="n">
        <v>25.293</v>
      </c>
      <c r="AZ154" s="35" t="n">
        <v>26.33</v>
      </c>
      <c r="BA154" s="35" t="n">
        <v>26.176</v>
      </c>
      <c r="BB154" s="35" t="n">
        <v>103.626</v>
      </c>
      <c r="BC154" s="35" t="n">
        <v>23.19</v>
      </c>
      <c r="BD154" s="35" t="n">
        <v>22.815</v>
      </c>
      <c r="BE154" s="35" t="n">
        <v>36.596</v>
      </c>
      <c r="BF154" s="35" t="n">
        <v>19.978</v>
      </c>
      <c r="BG154" s="35" t="n">
        <v>102.579</v>
      </c>
      <c r="BH154" s="35" t="n">
        <v>17.681</v>
      </c>
      <c r="BI154" s="35" t="n">
        <v>17.976</v>
      </c>
      <c r="BJ154" s="35" t="n">
        <v>18.707</v>
      </c>
      <c r="BK154" s="35" t="n">
        <v>19.3</v>
      </c>
      <c r="BL154" s="35" t="n">
        <v>73.7</v>
      </c>
      <c r="BM154" s="35" t="n">
        <v>19.8</v>
      </c>
      <c r="BN154" s="35" t="n">
        <v>18.1</v>
      </c>
      <c r="BO154" s="35" t="n">
        <v>16.5</v>
      </c>
      <c r="BP154" s="35" t="n">
        <v>19.8</v>
      </c>
      <c r="BQ154" s="35" t="n">
        <v>74.2</v>
      </c>
      <c r="BR154" s="35" t="n">
        <v>27.7</v>
      </c>
      <c r="BS154" s="35" t="n">
        <v>43.6</v>
      </c>
      <c r="BT154" s="35" t="n">
        <v>51.8</v>
      </c>
      <c r="BU154" s="35" t="n">
        <v>69</v>
      </c>
      <c r="BV154" s="35" t="n">
        <v>192</v>
      </c>
      <c r="BW154" s="35" t="n">
        <v>64</v>
      </c>
      <c r="BX154" s="35" t="n">
        <v>63</v>
      </c>
      <c r="BY154" s="36" t="n">
        <f aca="false">BY115</f>
        <v>65.5945205479452</v>
      </c>
      <c r="BZ154" s="36" t="n">
        <f aca="false">BZ115</f>
        <v>70.0657534246575</v>
      </c>
      <c r="CA154" s="36" t="n">
        <f aca="false">CA115</f>
        <v>262.660273972603</v>
      </c>
      <c r="CB154" s="36" t="n">
        <f aca="false">CB115</f>
        <v>251</v>
      </c>
      <c r="CC154" s="36" t="n">
        <f aca="false">CC115</f>
        <v>225</v>
      </c>
      <c r="CD154" s="36" t="n">
        <f aca="false">CD115</f>
        <v>211</v>
      </c>
      <c r="CE154" s="36" t="n">
        <f aca="false">CE115</f>
        <v>179</v>
      </c>
      <c r="CF154" s="28"/>
    </row>
    <row r="155" customFormat="false" ht="15" hidden="false" customHeight="true" outlineLevel="0" collapsed="false">
      <c r="B155" s="29" t="s">
        <v>346</v>
      </c>
      <c r="C155" s="35" t="n">
        <v>6.421</v>
      </c>
      <c r="D155" s="35" t="n">
        <v>8.914</v>
      </c>
      <c r="E155" s="35" t="n">
        <v>9.637</v>
      </c>
      <c r="F155" s="35" t="n">
        <v>8.875</v>
      </c>
      <c r="G155" s="35" t="n">
        <v>9.873</v>
      </c>
      <c r="H155" s="35" t="n">
        <v>9.262</v>
      </c>
      <c r="I155" s="35" t="n">
        <v>10.511</v>
      </c>
      <c r="J155" s="35" t="n">
        <v>3.014</v>
      </c>
      <c r="K155" s="35" t="n">
        <v>3.129</v>
      </c>
      <c r="L155" s="35" t="n">
        <v>3.388</v>
      </c>
      <c r="M155" s="35" t="n">
        <v>3.461</v>
      </c>
      <c r="N155" s="35" t="n">
        <v>12.992</v>
      </c>
      <c r="O155" s="35" t="n">
        <v>3.675</v>
      </c>
      <c r="P155" s="35" t="n">
        <v>3.754</v>
      </c>
      <c r="Q155" s="35" t="n">
        <v>4.061</v>
      </c>
      <c r="R155" s="35" t="n">
        <v>4.16</v>
      </c>
      <c r="S155" s="35" t="n">
        <v>15.65</v>
      </c>
      <c r="T155" s="35" t="n">
        <v>4.324</v>
      </c>
      <c r="U155" s="35" t="n">
        <v>5.133</v>
      </c>
      <c r="V155" s="35" t="n">
        <v>5.403</v>
      </c>
      <c r="W155" s="35" t="n">
        <v>5.664</v>
      </c>
      <c r="X155" s="35" t="n">
        <v>20.524</v>
      </c>
      <c r="Y155" s="35" t="n">
        <v>5.602</v>
      </c>
      <c r="Z155" s="35" t="n">
        <v>5.924</v>
      </c>
      <c r="AA155" s="35" t="n">
        <v>6.794</v>
      </c>
      <c r="AB155" s="35" t="n">
        <v>6.295</v>
      </c>
      <c r="AC155" s="35" t="n">
        <v>24.615</v>
      </c>
      <c r="AD155" s="35" t="n">
        <v>6.405</v>
      </c>
      <c r="AE155" s="35" t="n">
        <v>6.52</v>
      </c>
      <c r="AF155" s="35" t="n">
        <v>6.621</v>
      </c>
      <c r="AG155" s="35" t="n">
        <v>6.706</v>
      </c>
      <c r="AH155" s="35" t="n">
        <v>26.252</v>
      </c>
      <c r="AI155" s="35" t="n">
        <v>6.572</v>
      </c>
      <c r="AJ155" s="35" t="n">
        <v>6.444</v>
      </c>
      <c r="AK155" s="35" t="n">
        <v>6.794</v>
      </c>
      <c r="AL155" s="35" t="n">
        <v>6.466</v>
      </c>
      <c r="AM155" s="35" t="n">
        <v>26.276</v>
      </c>
      <c r="AN155" s="35" t="n">
        <v>6.464</v>
      </c>
      <c r="AO155" s="35" t="n">
        <v>6.546</v>
      </c>
      <c r="AP155" s="35" t="n">
        <v>6.279</v>
      </c>
      <c r="AQ155" s="35" t="n">
        <v>6.524</v>
      </c>
      <c r="AR155" s="35" t="n">
        <v>25.813</v>
      </c>
      <c r="AS155" s="35" t="n">
        <v>6.767</v>
      </c>
      <c r="AT155" s="35" t="n">
        <v>6.99</v>
      </c>
      <c r="AU155" s="35" t="n">
        <v>6.806</v>
      </c>
      <c r="AV155" s="35" t="n">
        <v>8.249</v>
      </c>
      <c r="AW155" s="35" t="n">
        <v>28.812</v>
      </c>
      <c r="AX155" s="35" t="n">
        <v>8.5</v>
      </c>
      <c r="AY155" s="35" t="n">
        <v>7.028</v>
      </c>
      <c r="AZ155" s="35" t="n">
        <v>6.61</v>
      </c>
      <c r="BA155" s="35" t="n">
        <v>6.88</v>
      </c>
      <c r="BB155" s="35" t="n">
        <v>29.018</v>
      </c>
      <c r="BC155" s="35" t="n">
        <v>6.965</v>
      </c>
      <c r="BD155" s="35" t="n">
        <v>7.01</v>
      </c>
      <c r="BE155" s="35" t="n">
        <v>7.224</v>
      </c>
      <c r="BF155" s="35" t="n">
        <v>7.928</v>
      </c>
      <c r="BG155" s="35" t="n">
        <v>29.127</v>
      </c>
      <c r="BH155" s="35" t="n">
        <v>7.946</v>
      </c>
      <c r="BI155" s="35" t="n">
        <v>8.087</v>
      </c>
      <c r="BJ155" s="35" t="n">
        <v>8.418</v>
      </c>
      <c r="BK155" s="35" t="n">
        <v>9.4</v>
      </c>
      <c r="BL155" s="35" t="n">
        <v>33.8</v>
      </c>
      <c r="BM155" s="35" t="n">
        <v>10.3</v>
      </c>
      <c r="BN155" s="35" t="n">
        <v>10.1</v>
      </c>
      <c r="BO155" s="35" t="n">
        <v>10.6</v>
      </c>
      <c r="BP155" s="35" t="n">
        <v>13.1</v>
      </c>
      <c r="BQ155" s="35" t="n">
        <v>44.1</v>
      </c>
      <c r="BR155" s="35" t="n">
        <v>14.3</v>
      </c>
      <c r="BS155" s="35" t="n">
        <v>12.2</v>
      </c>
      <c r="BT155" s="35" t="n">
        <v>12</v>
      </c>
      <c r="BU155" s="35" t="n">
        <v>11</v>
      </c>
      <c r="BV155" s="35" t="n">
        <v>50</v>
      </c>
      <c r="BW155" s="35" t="n">
        <v>14</v>
      </c>
      <c r="BX155" s="35" t="n">
        <v>18</v>
      </c>
      <c r="BY155" s="36" t="n">
        <f aca="false">$CP$35+BY62</f>
        <v>23.4124712328767</v>
      </c>
      <c r="BZ155" s="36" t="n">
        <f aca="false">$CP$21-(BW155+BX155)-$CP$35+BZ62</f>
        <v>22.9255452054795</v>
      </c>
      <c r="CA155" s="36" t="n">
        <f aca="false">SUM(BW155,BX155,BY155,BZ155)</f>
        <v>78.3380164383562</v>
      </c>
      <c r="CB155" s="36" t="n">
        <f aca="false">CB121*CB113</f>
        <v>95.1477978773578</v>
      </c>
      <c r="CC155" s="36" t="n">
        <f aca="false">CC121*CC113</f>
        <v>104.519340761785</v>
      </c>
      <c r="CD155" s="36" t="n">
        <f aca="false">CD121*CD113</f>
        <v>114.071433694629</v>
      </c>
      <c r="CE155" s="36" t="n">
        <f aca="false">CE121*CE113</f>
        <v>123.672879062228</v>
      </c>
      <c r="CF155" s="28"/>
    </row>
    <row r="156" customFormat="false" ht="15" hidden="false" customHeight="true" outlineLevel="0" collapsed="false">
      <c r="B156" s="29" t="s">
        <v>347</v>
      </c>
      <c r="C156" s="34" t="n">
        <f aca="false">-C133</f>
        <v>-6.845</v>
      </c>
      <c r="D156" s="34" t="n">
        <f aca="false">-D133</f>
        <v>-8.045</v>
      </c>
      <c r="E156" s="34" t="n">
        <f aca="false">-E133</f>
        <v>-4.914</v>
      </c>
      <c r="F156" s="34" t="n">
        <f aca="false">-F133</f>
        <v>-1.253</v>
      </c>
      <c r="G156" s="34" t="n">
        <f aca="false">-G133</f>
        <v>-0.735</v>
      </c>
      <c r="H156" s="34" t="n">
        <f aca="false">-H133</f>
        <v>-0.798</v>
      </c>
      <c r="I156" s="34" t="n">
        <f aca="false">-I133</f>
        <v>4.306</v>
      </c>
      <c r="J156" s="34" t="n">
        <f aca="false">-J133</f>
        <v>1.651</v>
      </c>
      <c r="K156" s="34" t="n">
        <f aca="false">-K133</f>
        <v>1.675</v>
      </c>
      <c r="L156" s="34" t="n">
        <f aca="false">-L133</f>
        <v>1.684</v>
      </c>
      <c r="M156" s="34" t="n">
        <f aca="false">-M133</f>
        <v>1.607</v>
      </c>
      <c r="N156" s="34" t="n">
        <f aca="false">-N133</f>
        <v>6.617</v>
      </c>
      <c r="O156" s="34" t="n">
        <f aca="false">-O133</f>
        <v>1.478</v>
      </c>
      <c r="P156" s="34" t="n">
        <f aca="false">-P133</f>
        <v>3.691</v>
      </c>
      <c r="Q156" s="34" t="n">
        <f aca="false">-Q133</f>
        <v>2.652</v>
      </c>
      <c r="R156" s="34" t="n">
        <f aca="false">-R133</f>
        <v>2.144</v>
      </c>
      <c r="S156" s="34" t="n">
        <f aca="false">-S133</f>
        <v>9.965</v>
      </c>
      <c r="T156" s="34" t="n">
        <f aca="false">-T133</f>
        <v>2.049</v>
      </c>
      <c r="U156" s="34" t="n">
        <f aca="false">-U133</f>
        <v>2.217</v>
      </c>
      <c r="V156" s="34" t="n">
        <f aca="false">-V133</f>
        <v>2.321</v>
      </c>
      <c r="W156" s="34" t="n">
        <f aca="false">-W133</f>
        <v>2.287</v>
      </c>
      <c r="X156" s="34" t="n">
        <f aca="false">-X133</f>
        <v>8.874</v>
      </c>
      <c r="Y156" s="34" t="n">
        <f aca="false">-Y133</f>
        <v>2.425</v>
      </c>
      <c r="Z156" s="34" t="n">
        <f aca="false">-Z133</f>
        <v>2.296</v>
      </c>
      <c r="AA156" s="34" t="n">
        <f aca="false">-AA133</f>
        <v>2.154</v>
      </c>
      <c r="AB156" s="34" t="n">
        <f aca="false">-AB133</f>
        <v>1.368</v>
      </c>
      <c r="AC156" s="34" t="n">
        <f aca="false">-AC133</f>
        <v>8.243</v>
      </c>
      <c r="AD156" s="34" t="n">
        <f aca="false">-AD133</f>
        <v>2.257</v>
      </c>
      <c r="AE156" s="34" t="n">
        <f aca="false">-AE133</f>
        <v>2.088</v>
      </c>
      <c r="AF156" s="34" t="n">
        <f aca="false">-AF133</f>
        <v>2.346</v>
      </c>
      <c r="AG156" s="34" t="n">
        <f aca="false">-AG133</f>
        <v>-1.721</v>
      </c>
      <c r="AH156" s="34" t="n">
        <f aca="false">-AH133</f>
        <v>4.97</v>
      </c>
      <c r="AI156" s="34" t="n">
        <f aca="false">-AI133</f>
        <v>-2.297</v>
      </c>
      <c r="AJ156" s="34" t="n">
        <f aca="false">-AJ133</f>
        <v>-1.924</v>
      </c>
      <c r="AK156" s="34" t="n">
        <f aca="false">-AK133</f>
        <v>-2.318</v>
      </c>
      <c r="AL156" s="34" t="n">
        <f aca="false">-AL133</f>
        <v>-3.912</v>
      </c>
      <c r="AM156" s="34" t="n">
        <f aca="false">-AM133</f>
        <v>-10.451</v>
      </c>
      <c r="AN156" s="34" t="n">
        <f aca="false">-AN133</f>
        <v>-4.213</v>
      </c>
      <c r="AO156" s="34" t="n">
        <f aca="false">-AO133</f>
        <v>-5.216</v>
      </c>
      <c r="AP156" s="34" t="n">
        <f aca="false">-AP133</f>
        <v>-4.654</v>
      </c>
      <c r="AQ156" s="34" t="n">
        <f aca="false">-AQ133</f>
        <v>-13.319</v>
      </c>
      <c r="AR156" s="34" t="n">
        <f aca="false">-AR133</f>
        <v>-27.402</v>
      </c>
      <c r="AS156" s="34" t="n">
        <f aca="false">-AS133</f>
        <v>-2.492</v>
      </c>
      <c r="AT156" s="34" t="n">
        <f aca="false">-AT133</f>
        <v>3.596</v>
      </c>
      <c r="AU156" s="34" t="n">
        <f aca="false">-AU133</f>
        <v>7.537</v>
      </c>
      <c r="AV156" s="34" t="n">
        <f aca="false">-AV133</f>
        <v>7.913</v>
      </c>
      <c r="AW156" s="34" t="n">
        <f aca="false">-AW133</f>
        <v>17.395</v>
      </c>
      <c r="AX156" s="34" t="n">
        <f aca="false">-AX133</f>
        <v>7.878</v>
      </c>
      <c r="AY156" s="34" t="n">
        <f aca="false">-AY133</f>
        <v>7.877</v>
      </c>
      <c r="AZ156" s="34" t="n">
        <f aca="false">-AZ133</f>
        <v>7.943</v>
      </c>
      <c r="BA156" s="34" t="n">
        <f aca="false">-BA133</f>
        <v>7.923</v>
      </c>
      <c r="BB156" s="34" t="n">
        <f aca="false">-BB133</f>
        <v>31.621</v>
      </c>
      <c r="BC156" s="34" t="n">
        <f aca="false">-BC133</f>
        <v>7.718</v>
      </c>
      <c r="BD156" s="34" t="n">
        <f aca="false">-BD133</f>
        <v>3.399</v>
      </c>
      <c r="BE156" s="34" t="n">
        <f aca="false">-BE133</f>
        <v>-10.656</v>
      </c>
      <c r="BF156" s="34" t="n">
        <f aca="false">-BF133</f>
        <v>-32.586</v>
      </c>
      <c r="BG156" s="34" t="n">
        <f aca="false">-BG133</f>
        <v>-32.125</v>
      </c>
      <c r="BH156" s="34" t="n">
        <f aca="false">-BH133</f>
        <v>-43.548</v>
      </c>
      <c r="BI156" s="34" t="n">
        <f aca="false">-BI133</f>
        <v>-51.911</v>
      </c>
      <c r="BJ156" s="34" t="n">
        <f aca="false">-BJ133</f>
        <v>-58.422</v>
      </c>
      <c r="BK156" s="34" t="n">
        <f aca="false">-BK133</f>
        <v>-59.719</v>
      </c>
      <c r="BL156" s="34" t="n">
        <f aca="false">-BL133</f>
        <v>-213.6</v>
      </c>
      <c r="BM156" s="34" t="n">
        <f aca="false">-BM133</f>
        <v>-56.2</v>
      </c>
      <c r="BN156" s="34" t="n">
        <f aca="false">-BN133</f>
        <v>-53.5</v>
      </c>
      <c r="BO156" s="34" t="n">
        <f aca="false">-BO133</f>
        <v>-55.6</v>
      </c>
      <c r="BP156" s="34" t="n">
        <f aca="false">-BP133</f>
        <v>-47.2</v>
      </c>
      <c r="BQ156" s="34" t="n">
        <f aca="false">-BQ133</f>
        <v>-212.5</v>
      </c>
      <c r="BR156" s="34" t="n">
        <f aca="false">-BR133</f>
        <v>-38.5</v>
      </c>
      <c r="BS156" s="34" t="n">
        <f aca="false">-BS133</f>
        <v>-32.5</v>
      </c>
      <c r="BT156" s="34" t="n">
        <f aca="false">-BT133</f>
        <v>-26</v>
      </c>
      <c r="BU156" s="34" t="n">
        <f aca="false">-BU133</f>
        <v>-13</v>
      </c>
      <c r="BV156" s="34" t="n">
        <f aca="false">-BV133</f>
        <v>-110</v>
      </c>
      <c r="BW156" s="34" t="n">
        <f aca="false">-BW133</f>
        <v>-10</v>
      </c>
      <c r="BX156" s="34" t="n">
        <f aca="false">-BX133</f>
        <v>2</v>
      </c>
      <c r="BY156" s="36" t="n">
        <f aca="false">-BY133</f>
        <v>-2</v>
      </c>
      <c r="BZ156" s="36" t="n">
        <f aca="false">-BZ133</f>
        <v>-3</v>
      </c>
      <c r="CA156" s="36" t="n">
        <f aca="false">-CA133</f>
        <v>-13</v>
      </c>
      <c r="CB156" s="36" t="n">
        <f aca="false">-CB133</f>
        <v>11.4727923756643</v>
      </c>
      <c r="CC156" s="36" t="n">
        <f aca="false">-CC133</f>
        <v>18.0596010743951</v>
      </c>
      <c r="CD156" s="36" t="n">
        <f aca="false">-CD133</f>
        <v>22.131065403784</v>
      </c>
      <c r="CE156" s="36" t="n">
        <f aca="false">-CE133</f>
        <v>41.2322839249462</v>
      </c>
      <c r="CF156" s="28"/>
    </row>
    <row r="157" customFormat="false" ht="15" hidden="false" customHeight="true" outlineLevel="0" collapsed="false">
      <c r="B157" s="29" t="s">
        <v>348</v>
      </c>
      <c r="C157" s="34" t="n">
        <f aca="false">-C134</f>
        <v>0</v>
      </c>
      <c r="D157" s="34" t="n">
        <f aca="false">-D134</f>
        <v>0</v>
      </c>
      <c r="E157" s="34" t="n">
        <f aca="false">-E134</f>
        <v>-0</v>
      </c>
      <c r="F157" s="34" t="n">
        <f aca="false">-F134</f>
        <v>-0</v>
      </c>
      <c r="G157" s="34" t="n">
        <f aca="false">-G134</f>
        <v>-0</v>
      </c>
      <c r="H157" s="34" t="n">
        <f aca="false">-H134</f>
        <v>0</v>
      </c>
      <c r="I157" s="34" t="n">
        <f aca="false">-I134</f>
        <v>0</v>
      </c>
      <c r="J157" s="34" t="n">
        <f aca="false">-J134</f>
        <v>-0</v>
      </c>
      <c r="K157" s="34" t="n">
        <f aca="false">-K134</f>
        <v>-0</v>
      </c>
      <c r="L157" s="34" t="n">
        <f aca="false">-L134</f>
        <v>0</v>
      </c>
      <c r="M157" s="34" t="n">
        <f aca="false">-M134</f>
        <v>0</v>
      </c>
      <c r="N157" s="34" t="n">
        <f aca="false">-N134</f>
        <v>0</v>
      </c>
      <c r="O157" s="34" t="n">
        <f aca="false">-O134</f>
        <v>-0</v>
      </c>
      <c r="P157" s="34" t="n">
        <f aca="false">-P134</f>
        <v>-0</v>
      </c>
      <c r="Q157" s="34" t="n">
        <f aca="false">-Q134</f>
        <v>0</v>
      </c>
      <c r="R157" s="34" t="n">
        <f aca="false">-R134</f>
        <v>0</v>
      </c>
      <c r="S157" s="34" t="n">
        <f aca="false">-S134</f>
        <v>0</v>
      </c>
      <c r="T157" s="34" t="n">
        <f aca="false">-T134</f>
        <v>-0</v>
      </c>
      <c r="U157" s="34" t="n">
        <f aca="false">-U134</f>
        <v>-0</v>
      </c>
      <c r="V157" s="34" t="n">
        <f aca="false">-V134</f>
        <v>-0</v>
      </c>
      <c r="W157" s="34" t="n">
        <f aca="false">-W134</f>
        <v>0</v>
      </c>
      <c r="X157" s="34" t="n">
        <f aca="false">-X134</f>
        <v>0</v>
      </c>
      <c r="Y157" s="34" t="n">
        <f aca="false">-Y134</f>
        <v>-0</v>
      </c>
      <c r="Z157" s="34" t="n">
        <f aca="false">-Z134</f>
        <v>-0</v>
      </c>
      <c r="AA157" s="34" t="n">
        <f aca="false">-AA134</f>
        <v>-0</v>
      </c>
      <c r="AB157" s="34" t="n">
        <f aca="false">-AB134</f>
        <v>-0</v>
      </c>
      <c r="AC157" s="34" t="n">
        <f aca="false">-AC134</f>
        <v>-0</v>
      </c>
      <c r="AD157" s="34" t="n">
        <f aca="false">-AD134</f>
        <v>-0</v>
      </c>
      <c r="AE157" s="34" t="n">
        <f aca="false">-AE134</f>
        <v>-0</v>
      </c>
      <c r="AF157" s="34" t="n">
        <f aca="false">-AF134</f>
        <v>-0</v>
      </c>
      <c r="AG157" s="34" t="n">
        <f aca="false">-AG134</f>
        <v>3.788</v>
      </c>
      <c r="AH157" s="34" t="n">
        <f aca="false">-AH134</f>
        <v>3.788</v>
      </c>
      <c r="AI157" s="34" t="n">
        <f aca="false">-AI134</f>
        <v>0</v>
      </c>
      <c r="AJ157" s="34" t="n">
        <f aca="false">-AJ134</f>
        <v>0</v>
      </c>
      <c r="AK157" s="34" t="n">
        <f aca="false">-AK134</f>
        <v>0</v>
      </c>
      <c r="AL157" s="34" t="n">
        <f aca="false">-AL134</f>
        <v>0</v>
      </c>
      <c r="AM157" s="34" t="n">
        <f aca="false">-AM134</f>
        <v>0</v>
      </c>
      <c r="AN157" s="34" t="n">
        <f aca="false">-AN134</f>
        <v>0</v>
      </c>
      <c r="AO157" s="34" t="n">
        <f aca="false">-AO134</f>
        <v>-0</v>
      </c>
      <c r="AP157" s="34" t="n">
        <f aca="false">-AP134</f>
        <v>0</v>
      </c>
      <c r="AQ157" s="34" t="n">
        <f aca="false">-AQ134</f>
        <v>0</v>
      </c>
      <c r="AR157" s="34" t="n">
        <f aca="false">-AR134</f>
        <v>0</v>
      </c>
      <c r="AS157" s="34" t="n">
        <f aca="false">-AS134</f>
        <v>0</v>
      </c>
      <c r="AT157" s="34" t="n">
        <f aca="false">-AT134</f>
        <v>0.474</v>
      </c>
      <c r="AU157" s="34" t="n">
        <f aca="false">-AU134</f>
        <v>0.338</v>
      </c>
      <c r="AV157" s="34" t="n">
        <f aca="false">-AV134</f>
        <v>0.856</v>
      </c>
      <c r="AW157" s="34" t="n">
        <f aca="false">-AW134</f>
        <v>0.827</v>
      </c>
      <c r="AX157" s="34" t="n">
        <f aca="false">-AX134</f>
        <v>0.05</v>
      </c>
      <c r="AY157" s="34" t="n">
        <f aca="false">-AY134</f>
        <v>-0.847</v>
      </c>
      <c r="AZ157" s="34" t="n">
        <f aca="false">-AZ134</f>
        <v>-1.546</v>
      </c>
      <c r="BA157" s="34" t="n">
        <f aca="false">-BA134</f>
        <v>-0.909</v>
      </c>
      <c r="BB157" s="34" t="n">
        <f aca="false">-BB134</f>
        <v>-3.252</v>
      </c>
      <c r="BC157" s="34" t="n">
        <f aca="false">-BC134</f>
        <v>-0.864</v>
      </c>
      <c r="BD157" s="34" t="n">
        <f aca="false">-BD134</f>
        <v>-1.343</v>
      </c>
      <c r="BE157" s="34" t="n">
        <f aca="false">-BE134</f>
        <v>-1.389</v>
      </c>
      <c r="BF157" s="34" t="n">
        <f aca="false">-BF134</f>
        <v>0.213</v>
      </c>
      <c r="BG157" s="34" t="n">
        <f aca="false">-BG134</f>
        <v>-3.383</v>
      </c>
      <c r="BH157" s="34" t="n">
        <f aca="false">-BH134</f>
        <v>-0.581</v>
      </c>
      <c r="BI157" s="34" t="n">
        <f aca="false">-BI134</f>
        <v>-0.609</v>
      </c>
      <c r="BJ157" s="34" t="n">
        <f aca="false">-BJ134</f>
        <v>-0.465</v>
      </c>
      <c r="BK157" s="34" t="n">
        <f aca="false">-BK134</f>
        <v>-3.745</v>
      </c>
      <c r="BL157" s="34" t="n">
        <f aca="false">-BL134</f>
        <v>-5.4</v>
      </c>
      <c r="BM157" s="34" t="n">
        <f aca="false">-BM134</f>
        <v>1.9</v>
      </c>
      <c r="BN157" s="34" t="n">
        <f aca="false">-BN134</f>
        <v>1.5</v>
      </c>
      <c r="BO157" s="34" t="n">
        <f aca="false">-BO134</f>
        <v>1.6</v>
      </c>
      <c r="BP157" s="34" t="n">
        <f aca="false">-BP134</f>
        <v>2.2</v>
      </c>
      <c r="BQ157" s="34" t="n">
        <f aca="false">-BQ134</f>
        <v>7.1</v>
      </c>
      <c r="BR157" s="34" t="n">
        <f aca="false">-BR134</f>
        <v>2.4</v>
      </c>
      <c r="BS157" s="34" t="n">
        <f aca="false">-BS134</f>
        <v>-16.3</v>
      </c>
      <c r="BT157" s="34" t="n">
        <f aca="false">-BT134</f>
        <v>20.7</v>
      </c>
      <c r="BU157" s="34" t="n">
        <f aca="false">-BU134</f>
        <v>1.2</v>
      </c>
      <c r="BV157" s="34" t="n">
        <f aca="false">-BV134</f>
        <v>8</v>
      </c>
      <c r="BW157" s="34" t="n">
        <f aca="false">-BW134</f>
        <v>1</v>
      </c>
      <c r="BX157" s="34" t="n">
        <f aca="false">-BX134</f>
        <v>-0</v>
      </c>
      <c r="BY157" s="36" t="n">
        <f aca="false">-BY134</f>
        <v>1</v>
      </c>
      <c r="BZ157" s="36" t="n">
        <f aca="false">-BZ134</f>
        <v>1</v>
      </c>
      <c r="CA157" s="36" t="n">
        <f aca="false">-CA134</f>
        <v>3</v>
      </c>
      <c r="CB157" s="36" t="n">
        <f aca="false">-CB134</f>
        <v>4</v>
      </c>
      <c r="CC157" s="36" t="n">
        <f aca="false">-CC134</f>
        <v>4</v>
      </c>
      <c r="CD157" s="36" t="n">
        <f aca="false">-CD134</f>
        <v>4</v>
      </c>
      <c r="CE157" s="36" t="n">
        <f aca="false">-CE134</f>
        <v>4</v>
      </c>
      <c r="CF157" s="28"/>
    </row>
    <row r="158" customFormat="false" ht="15" hidden="false" customHeight="true" outlineLevel="0" collapsed="false">
      <c r="B158" s="29" t="s">
        <v>349</v>
      </c>
      <c r="C158" s="34" t="n">
        <f aca="false">C136</f>
        <v>8.516</v>
      </c>
      <c r="D158" s="34" t="n">
        <f aca="false">D136</f>
        <v>9.946</v>
      </c>
      <c r="E158" s="34" t="n">
        <f aca="false">E136</f>
        <v>20.079</v>
      </c>
      <c r="F158" s="34" t="n">
        <f aca="false">F136</f>
        <v>14.395</v>
      </c>
      <c r="G158" s="34" t="n">
        <f aca="false">G136</f>
        <v>10.221</v>
      </c>
      <c r="H158" s="34" t="n">
        <f aca="false">H136</f>
        <v>7.913</v>
      </c>
      <c r="I158" s="34" t="n">
        <f aca="false">I136</f>
        <v>13.219</v>
      </c>
      <c r="J158" s="34" t="n">
        <f aca="false">J136</f>
        <v>-1.839</v>
      </c>
      <c r="K158" s="34" t="n">
        <f aca="false">K136</f>
        <v>5.315</v>
      </c>
      <c r="L158" s="34" t="n">
        <f aca="false">L136</f>
        <v>7.034</v>
      </c>
      <c r="M158" s="34" t="n">
        <f aca="false">M136</f>
        <v>7.293</v>
      </c>
      <c r="N158" s="34" t="n">
        <f aca="false">N136</f>
        <v>17.803</v>
      </c>
      <c r="O158" s="34" t="n">
        <f aca="false">O136</f>
        <v>5.923</v>
      </c>
      <c r="P158" s="34" t="n">
        <f aca="false">P136</f>
        <v>4.969</v>
      </c>
      <c r="Q158" s="34" t="n">
        <f aca="false">Q136</f>
        <v>7.871</v>
      </c>
      <c r="R158" s="34" t="n">
        <f aca="false">R136</f>
        <v>7.281</v>
      </c>
      <c r="S158" s="34" t="n">
        <f aca="false">S136</f>
        <v>26.044</v>
      </c>
      <c r="T158" s="34" t="n">
        <f aca="false">T136</f>
        <v>0.571</v>
      </c>
      <c r="U158" s="34" t="n">
        <f aca="false">U136</f>
        <v>-7.38</v>
      </c>
      <c r="V158" s="34" t="n">
        <f aca="false">V136</f>
        <v>2.61</v>
      </c>
      <c r="W158" s="34" t="n">
        <f aca="false">W136</f>
        <v>10.245</v>
      </c>
      <c r="X158" s="34" t="n">
        <f aca="false">X136</f>
        <v>6.046</v>
      </c>
      <c r="Y158" s="34" t="n">
        <f aca="false">Y136</f>
        <v>11.155</v>
      </c>
      <c r="Z158" s="34" t="n">
        <f aca="false">Z136</f>
        <v>10.247</v>
      </c>
      <c r="AA158" s="34" t="n">
        <f aca="false">AA136</f>
        <v>14.241</v>
      </c>
      <c r="AB158" s="34" t="n">
        <f aca="false">AB136</f>
        <v>15.948</v>
      </c>
      <c r="AC158" s="34" t="n">
        <f aca="false">AC136</f>
        <v>51.591</v>
      </c>
      <c r="AD158" s="34" t="n">
        <f aca="false">AD136</f>
        <v>13.275</v>
      </c>
      <c r="AE158" s="34" t="n">
        <f aca="false">AE136</f>
        <v>3.611</v>
      </c>
      <c r="AF158" s="34" t="n">
        <f aca="false">AF136</f>
        <v>20.99</v>
      </c>
      <c r="AG158" s="34" t="n">
        <f aca="false">AG136</f>
        <v>4.487</v>
      </c>
      <c r="AH158" s="34" t="n">
        <f aca="false">AH136</f>
        <v>42.363</v>
      </c>
      <c r="AI158" s="34" t="n">
        <f aca="false">AI136</f>
        <v>3.511</v>
      </c>
      <c r="AJ158" s="34" t="n">
        <f aca="false">AJ136</f>
        <v>1.863</v>
      </c>
      <c r="AK158" s="34" t="n">
        <f aca="false">AK136</f>
        <v>14.247</v>
      </c>
      <c r="AL158" s="34" t="n">
        <f aca="false">AL136</f>
        <v>26.06</v>
      </c>
      <c r="AM158" s="34" t="n">
        <f aca="false">AM136</f>
        <v>45.681</v>
      </c>
      <c r="AN158" s="34" t="n">
        <f aca="false">AN136</f>
        <v>12.536</v>
      </c>
      <c r="AO158" s="34" t="n">
        <f aca="false">AO136</f>
        <v>16.768</v>
      </c>
      <c r="AP158" s="34" t="n">
        <f aca="false">AP136</f>
        <v>20.304</v>
      </c>
      <c r="AQ158" s="34" t="n">
        <f aca="false">AQ136</f>
        <v>26.378</v>
      </c>
      <c r="AR158" s="34" t="n">
        <f aca="false">AR136</f>
        <v>75.986</v>
      </c>
      <c r="AS158" s="34" t="n">
        <f aca="false">AS136</f>
        <v>5.563</v>
      </c>
      <c r="AT158" s="34" t="n">
        <f aca="false">AT136</f>
        <v>16.889</v>
      </c>
      <c r="AU158" s="34" t="n">
        <f aca="false">AU136</f>
        <v>10.748</v>
      </c>
      <c r="AV158" s="34" t="n">
        <f aca="false">AV136</f>
        <v>10.652</v>
      </c>
      <c r="AW158" s="34" t="n">
        <f aca="false">AW136</f>
        <v>43.852</v>
      </c>
      <c r="AX158" s="34" t="n">
        <f aca="false">AX136</f>
        <v>19.069</v>
      </c>
      <c r="AY158" s="34" t="n">
        <f aca="false">AY136</f>
        <v>32.833</v>
      </c>
      <c r="AZ158" s="34" t="n">
        <f aca="false">AZ136</f>
        <v>19.031</v>
      </c>
      <c r="BA158" s="34" t="n">
        <f aca="false">BA136</f>
        <v>40.471</v>
      </c>
      <c r="BB158" s="34" t="n">
        <f aca="false">BB136</f>
        <v>111.404</v>
      </c>
      <c r="BC158" s="34" t="n">
        <f aca="false">BC136</f>
        <v>32.103</v>
      </c>
      <c r="BD158" s="34" t="n">
        <f aca="false">BD136</f>
        <v>24.654</v>
      </c>
      <c r="BE158" s="34" t="n">
        <f aca="false">BE136</f>
        <v>25.084</v>
      </c>
      <c r="BF158" s="34" t="n">
        <f aca="false">BF136</f>
        <v>35.163</v>
      </c>
      <c r="BG158" s="34" t="n">
        <f aca="false">BG136</f>
        <v>117.004</v>
      </c>
      <c r="BH158" s="34" t="n">
        <f aca="false">BH136</f>
        <v>29.219</v>
      </c>
      <c r="BI158" s="34" t="n">
        <f aca="false">BI136</f>
        <v>31.146</v>
      </c>
      <c r="BJ158" s="34" t="n">
        <f aca="false">BJ136</f>
        <v>29.907</v>
      </c>
      <c r="BK158" s="34" t="n">
        <f aca="false">BK136</f>
        <v>36.328</v>
      </c>
      <c r="BL158" s="34" t="n">
        <f aca="false">BL136</f>
        <v>126.6</v>
      </c>
      <c r="BM158" s="34" t="n">
        <f aca="false">BM136</f>
        <v>4.8</v>
      </c>
      <c r="BN158" s="34" t="n">
        <f aca="false">BN136</f>
        <v>16.7</v>
      </c>
      <c r="BO158" s="34" t="n">
        <f aca="false">BO136</f>
        <v>24.7</v>
      </c>
      <c r="BP158" s="34" t="n">
        <f aca="false">BP136</f>
        <v>25.2</v>
      </c>
      <c r="BQ158" s="34" t="n">
        <f aca="false">BQ136</f>
        <v>71.4</v>
      </c>
      <c r="BR158" s="34" t="n">
        <f aca="false">BR136</f>
        <v>8.1</v>
      </c>
      <c r="BS158" s="34" t="n">
        <f aca="false">BS136</f>
        <v>15.4</v>
      </c>
      <c r="BT158" s="34" t="n">
        <f aca="false">BT136</f>
        <v>-14.9</v>
      </c>
      <c r="BU158" s="34" t="n">
        <f aca="false">BU136</f>
        <v>14.4</v>
      </c>
      <c r="BV158" s="34" t="n">
        <f aca="false">BV136</f>
        <v>23</v>
      </c>
      <c r="BW158" s="34" t="n">
        <f aca="false">BW136</f>
        <v>9</v>
      </c>
      <c r="BX158" s="34" t="n">
        <f aca="false">BX136</f>
        <v>19</v>
      </c>
      <c r="BY158" s="36" t="n">
        <f aca="false">BY136</f>
        <v>21.2801895128284</v>
      </c>
      <c r="BZ158" s="36" t="n">
        <f aca="false">BZ136</f>
        <v>44.5766508665182</v>
      </c>
      <c r="CA158" s="36" t="n">
        <f aca="false">CA136</f>
        <v>93.8568403793466</v>
      </c>
      <c r="CB158" s="36" t="n">
        <f aca="false">CB136</f>
        <v>122.67634101282</v>
      </c>
      <c r="CC158" s="36" t="n">
        <f aca="false">CC136</f>
        <v>184.696469658325</v>
      </c>
      <c r="CD158" s="36" t="n">
        <f aca="false">CD136</f>
        <v>250.536863601901</v>
      </c>
      <c r="CE158" s="36" t="n">
        <f aca="false">CE136</f>
        <v>324.016370683504</v>
      </c>
      <c r="CF158" s="28"/>
    </row>
    <row r="159" customFormat="false" ht="15" hidden="false" customHeight="true" outlineLevel="0" collapsed="false">
      <c r="B159" s="50" t="s">
        <v>350</v>
      </c>
      <c r="C159" s="51" t="n">
        <f aca="false">C153+C154+C155+C156+C157+C158</f>
        <v>25.89</v>
      </c>
      <c r="D159" s="51" t="n">
        <f aca="false">D153+D154+D155+D156+D157+D158</f>
        <v>33.999</v>
      </c>
      <c r="E159" s="51" t="n">
        <f aca="false">E153+E154+E155+E156+E157+E158</f>
        <v>56.589</v>
      </c>
      <c r="F159" s="51" t="n">
        <f aca="false">F153+F154+F155+F156+F157+F158</f>
        <v>46.511</v>
      </c>
      <c r="G159" s="51" t="n">
        <f aca="false">G153+G154+G155+G156+G157+G158</f>
        <v>36.424</v>
      </c>
      <c r="H159" s="51" t="n">
        <f aca="false">H153+H154+H155+H156+H157+H158</f>
        <v>34.623</v>
      </c>
      <c r="I159" s="51" t="n">
        <f aca="false">I153+I154+I155+I156+I157+I158</f>
        <v>60.192</v>
      </c>
      <c r="J159" s="51" t="n">
        <f aca="false">J153+J154+J155+J156+J157+J158</f>
        <v>7.56799999999999</v>
      </c>
      <c r="K159" s="51" t="n">
        <f aca="false">K153+K154+K155+K156+K157+K158</f>
        <v>25.332</v>
      </c>
      <c r="L159" s="51" t="n">
        <f aca="false">L153+L154+L155+L156+L157+L158</f>
        <v>29.792</v>
      </c>
      <c r="M159" s="51" t="n">
        <f aca="false">M153+M154+M155+M156+M157+M158</f>
        <v>31.52</v>
      </c>
      <c r="N159" s="51" t="n">
        <f aca="false">N153+N154+N155+N156+N157+N158</f>
        <v>94.212</v>
      </c>
      <c r="O159" s="51" t="n">
        <f aca="false">O153+O154+O155+O156+O157+O158</f>
        <v>26.992</v>
      </c>
      <c r="P159" s="51" t="n">
        <f aca="false">P153+P154+P155+P156+P157+P158</f>
        <v>37.579</v>
      </c>
      <c r="Q159" s="51" t="n">
        <f aca="false">Q153+Q154+Q155+Q156+Q157+Q158</f>
        <v>43.692</v>
      </c>
      <c r="R159" s="51" t="n">
        <f aca="false">R153+R154+R155+R156+R157+R158</f>
        <v>42.987</v>
      </c>
      <c r="S159" s="51" t="n">
        <f aca="false">S153+S154+S155+S156+S157+S158</f>
        <v>151.25</v>
      </c>
      <c r="T159" s="51" t="n">
        <f aca="false">T153+T154+T155+T156+T157+T158</f>
        <v>14.306</v>
      </c>
      <c r="U159" s="51" t="n">
        <f aca="false">U153+U154+U155+U156+U157+U158</f>
        <v>-1.45499999999998</v>
      </c>
      <c r="V159" s="51" t="n">
        <f aca="false">V153+V154+V155+V156+V157+V158</f>
        <v>22.089</v>
      </c>
      <c r="W159" s="51" t="n">
        <f aca="false">W153+W154+W155+W156+W157+W158</f>
        <v>55.047</v>
      </c>
      <c r="X159" s="51" t="n">
        <f aca="false">X153+X154+X155+X156+X157+X158</f>
        <v>89.987</v>
      </c>
      <c r="Y159" s="51" t="n">
        <f aca="false">Y153+Y154+Y155+Y156+Y157+Y158</f>
        <v>47.822</v>
      </c>
      <c r="Z159" s="51" t="n">
        <f aca="false">Z153+Z154+Z155+Z156+Z157+Z158</f>
        <v>45.559</v>
      </c>
      <c r="AA159" s="51" t="n">
        <f aca="false">AA153+AA154+AA155+AA156+AA157+AA158</f>
        <v>57.676</v>
      </c>
      <c r="AB159" s="51" t="n">
        <f aca="false">AB153+AB154+AB155+AB156+AB157+AB158</f>
        <v>64.013</v>
      </c>
      <c r="AC159" s="51" t="n">
        <f aca="false">AC153+AC154+AC155+AC156+AC157+AC158</f>
        <v>215.07</v>
      </c>
      <c r="AD159" s="51" t="n">
        <f aca="false">AD153+AD154+AD155+AD156+AD157+AD158</f>
        <v>54.96</v>
      </c>
      <c r="AE159" s="51" t="n">
        <f aca="false">AE153+AE154+AE155+AE156+AE157+AE158</f>
        <v>43.743</v>
      </c>
      <c r="AF159" s="51" t="n">
        <f aca="false">AF153+AF154+AF155+AF156+AF157+AF158</f>
        <v>72.632</v>
      </c>
      <c r="AG159" s="51" t="n">
        <f aca="false">AG153+AG154+AG155+AG156+AG157+AG158</f>
        <v>66.124</v>
      </c>
      <c r="AH159" s="51" t="n">
        <f aca="false">AH153+AH154+AH155+AH156+AH157+AH158</f>
        <v>237.459</v>
      </c>
      <c r="AI159" s="51" t="n">
        <f aca="false">AI153+AI154+AI155+AI156+AI157+AI158</f>
        <v>70.428</v>
      </c>
      <c r="AJ159" s="51" t="n">
        <f aca="false">AJ153+AJ154+AJ155+AJ156+AJ157+AJ158</f>
        <v>64.358</v>
      </c>
      <c r="AK159" s="51" t="n">
        <f aca="false">AK153+AK154+AK155+AK156+AK157+AK158</f>
        <v>91.121</v>
      </c>
      <c r="AL159" s="51" t="n">
        <f aca="false">AL153+AL154+AL155+AL156+AL157+AL158</f>
        <v>125.4</v>
      </c>
      <c r="AM159" s="51" t="n">
        <f aca="false">AM153+AM154+AM155+AM156+AM157+AM158</f>
        <v>351.307</v>
      </c>
      <c r="AN159" s="51" t="n">
        <f aca="false">AN153+AN154+AN155+AN156+AN157+AN158</f>
        <v>113.151</v>
      </c>
      <c r="AO159" s="51" t="n">
        <f aca="false">AO153+AO154+AO155+AO156+AO157+AO158</f>
        <v>93.554</v>
      </c>
      <c r="AP159" s="51" t="n">
        <f aca="false">AP153+AP154+AP155+AP156+AP157+AP158</f>
        <v>113.091</v>
      </c>
      <c r="AQ159" s="51" t="n">
        <f aca="false">AQ153+AQ154+AQ155+AQ156+AQ157+AQ158</f>
        <v>124.916</v>
      </c>
      <c r="AR159" s="51" t="n">
        <f aca="false">AR153+AR154+AR155+AR156+AR157+AR158</f>
        <v>444.712</v>
      </c>
      <c r="AS159" s="51" t="n">
        <f aca="false">AS153+AS154+AS155+AS156+AS157+AS158</f>
        <v>100.12</v>
      </c>
      <c r="AT159" s="51" t="n">
        <f aca="false">AT153+AT154+AT155+AT156+AT157+AT158</f>
        <v>109.298</v>
      </c>
      <c r="AU159" s="51" t="n">
        <f aca="false">AU153+AU154+AU155+AU156+AU157+AU158</f>
        <v>108.485</v>
      </c>
      <c r="AV159" s="51" t="n">
        <f aca="false">AV153+AV154+AV155+AV156+AV157+AV158</f>
        <v>88.243</v>
      </c>
      <c r="AW159" s="51" t="n">
        <f aca="false">AW153+AW154+AW155+AW156+AW157+AW158</f>
        <v>406.146</v>
      </c>
      <c r="AX159" s="51" t="n">
        <f aca="false">AX153+AX154+AX155+AX156+AX157+AX158</f>
        <v>135.536</v>
      </c>
      <c r="AY159" s="51" t="n">
        <f aca="false">AY153+AY154+AY155+AY156+AY157+AY158</f>
        <v>133.332</v>
      </c>
      <c r="AZ159" s="51" t="n">
        <f aca="false">AZ153+AZ154+AZ155+AZ156+AZ157+AZ158</f>
        <v>122.672</v>
      </c>
      <c r="BA159" s="51" t="n">
        <f aca="false">BA153+BA154+BA155+BA156+BA157+BA158</f>
        <v>173.441</v>
      </c>
      <c r="BB159" s="51" t="n">
        <f aca="false">BB153+BB154+BB155+BB156+BB157+BB158</f>
        <v>564.981</v>
      </c>
      <c r="BC159" s="51" t="n">
        <f aca="false">BC153+BC154+BC155+BC156+BC157+BC158</f>
        <v>158.43</v>
      </c>
      <c r="BD159" s="51" t="n">
        <f aca="false">BD153+BD154+BD155+BD156+BD157+BD158</f>
        <v>140.008</v>
      </c>
      <c r="BE159" s="51" t="n">
        <f aca="false">BE153+BE154+BE155+BE156+BE157+BE158</f>
        <v>129.149</v>
      </c>
      <c r="BF159" s="51" t="n">
        <f aca="false">BF153+BF154+BF155+BF156+BF157+BF158</f>
        <v>155.068</v>
      </c>
      <c r="BG159" s="51" t="n">
        <f aca="false">BG153+BG154+BG155+BG156+BG157+BG158</f>
        <v>582.655</v>
      </c>
      <c r="BH159" s="51" t="n">
        <f aca="false">BH153+BH154+BH155+BH156+BH157+BH158</f>
        <v>97.8479999999999</v>
      </c>
      <c r="BI159" s="51" t="n">
        <f aca="false">BI153+BI154+BI155+BI156+BI157+BI158</f>
        <v>105.209</v>
      </c>
      <c r="BJ159" s="51" t="n">
        <f aca="false">BJ153+BJ154+BJ155+BJ156+BJ157+BJ158</f>
        <v>88.719</v>
      </c>
      <c r="BK159" s="51" t="n">
        <f aca="false">BK153+BK154+BK155+BK156+BK157+BK158</f>
        <v>98.0389999999999</v>
      </c>
      <c r="BL159" s="51" t="n">
        <f aca="false">BL153+BL154+BL155+BL156+BL157+BL158</f>
        <v>389.8</v>
      </c>
      <c r="BM159" s="51" t="n">
        <f aca="false">BM153+BM154+BM155+BM156+BM157+BM158</f>
        <v>-12.7</v>
      </c>
      <c r="BN159" s="51" t="n">
        <f aca="false">BN153+BN154+BN155+BN156+BN157+BN158</f>
        <v>12.1</v>
      </c>
      <c r="BO159" s="51" t="n">
        <f aca="false">BO153+BO154+BO155+BO156+BO157+BO158</f>
        <v>50.8</v>
      </c>
      <c r="BP159" s="51" t="n">
        <f aca="false">BP153+BP154+BP155+BP156+BP157+BP158</f>
        <v>72.9</v>
      </c>
      <c r="BQ159" s="51" t="n">
        <f aca="false">BQ153+BQ154+BQ155+BQ156+BQ157+BQ158</f>
        <v>123</v>
      </c>
      <c r="BR159" s="51" t="n">
        <f aca="false">BR153+BR154+BR155+BR156+BR157+BR158</f>
        <v>-0.799999999999955</v>
      </c>
      <c r="BS159" s="51" t="n">
        <f aca="false">BS153+BS154+BS155+BS156+BS157+BS158</f>
        <v>28.6</v>
      </c>
      <c r="BT159" s="51" t="n">
        <f aca="false">BT153+BT154+BT155+BT156+BT157+BT158</f>
        <v>12.7000000000001</v>
      </c>
      <c r="BU159" s="51" t="n">
        <f aca="false">BU153+BU154+BU155+BU156+BU157+BU158</f>
        <v>129.1</v>
      </c>
      <c r="BV159" s="51" t="n">
        <f aca="false">BV153+BV154+BV155+BV156+BV157+BV158</f>
        <v>170</v>
      </c>
      <c r="BW159" s="51" t="n">
        <f aca="false">BW153+BW154+BW155+BW156+BW157+BW158</f>
        <v>81</v>
      </c>
      <c r="BX159" s="51" t="n">
        <f aca="false">BX153+BX154+BX155+BX156+BX157+BX158</f>
        <v>157</v>
      </c>
      <c r="BY159" s="51" t="n">
        <f aca="false">BY153+BY154+BY155+BY156+BY157+BY158</f>
        <v>162.775225204273</v>
      </c>
      <c r="BZ159" s="51" t="n">
        <f aca="false">BZ153+BZ154+BZ155+BZ156+BZ157+BZ158</f>
        <v>247.611963836823</v>
      </c>
      <c r="CA159" s="51" t="n">
        <f aca="false">CA153+CA154+CA155+CA156+CA157+CA158</f>
        <v>648.387189041096</v>
      </c>
      <c r="CB159" s="51" t="n">
        <f aca="false">CB153+CB154+CB155+CB156+CB157+CB158</f>
        <v>815.977408819021</v>
      </c>
      <c r="CC159" s="51" t="n">
        <f aca="false">CC153+CC154+CC155+CC156+CC157+CC158</f>
        <v>1035.63994057072</v>
      </c>
      <c r="CD159" s="51" t="n">
        <f aca="false">CD153+CD154+CD155+CD156+CD157+CD158</f>
        <v>1279.11680873508</v>
      </c>
      <c r="CE159" s="51" t="n">
        <f aca="false">CE153+CE154+CE155+CE156+CE157+CE158</f>
        <v>1547.9657951483</v>
      </c>
      <c r="CF159" s="21"/>
      <c r="CH159" s="22" t="n">
        <f aca="false">IFERROR((CE159/BV159)^(1/5)-1,"n/m")</f>
        <v>0.555473038416204</v>
      </c>
      <c r="CI159" s="22" t="n">
        <f aca="false">IFERROR((BV159/AW159)^(1/5)-1,"n/m")</f>
        <v>-0.159856738905038</v>
      </c>
      <c r="CJ159" s="22" t="n">
        <f aca="false">IFERROR((BV159/X159)^(1/10)-1,"n/m")</f>
        <v>0.0656802441459137</v>
      </c>
      <c r="CK159" s="22" t="n">
        <f aca="false">IFERROR((BV159/C159)^(1/19)-1,"n/m")</f>
        <v>0.104121018631613</v>
      </c>
    </row>
    <row r="160" customFormat="false" ht="15" hidden="false" customHeight="true" outlineLevel="0" collapsed="false">
      <c r="B160" s="33" t="s">
        <v>351</v>
      </c>
      <c r="C160" s="35" t="n">
        <v>25.89</v>
      </c>
      <c r="D160" s="35" t="n">
        <v>33.999</v>
      </c>
      <c r="E160" s="35" t="n">
        <v>56.589</v>
      </c>
      <c r="F160" s="35" t="n">
        <v>46.511</v>
      </c>
      <c r="G160" s="35" t="n">
        <v>36.424</v>
      </c>
      <c r="H160" s="35" t="n">
        <v>34.623</v>
      </c>
      <c r="I160" s="35" t="n">
        <v>60.192</v>
      </c>
      <c r="J160" s="35" t="n">
        <v>7.568</v>
      </c>
      <c r="K160" s="35" t="n">
        <v>25.332</v>
      </c>
      <c r="L160" s="35" t="n">
        <v>29.792</v>
      </c>
      <c r="M160" s="35" t="n">
        <v>31.52</v>
      </c>
      <c r="N160" s="35" t="n">
        <v>94.212</v>
      </c>
      <c r="O160" s="35" t="n">
        <v>26.992</v>
      </c>
      <c r="P160" s="35" t="n">
        <v>37.579</v>
      </c>
      <c r="Q160" s="35" t="n">
        <v>43.692</v>
      </c>
      <c r="R160" s="35" t="n">
        <v>42.987</v>
      </c>
      <c r="S160" s="35" t="n">
        <v>151.25</v>
      </c>
      <c r="T160" s="35" t="n">
        <v>14.306</v>
      </c>
      <c r="U160" s="35" t="n">
        <v>-1.455</v>
      </c>
      <c r="V160" s="35" t="n">
        <v>22.089</v>
      </c>
      <c r="W160" s="35" t="n">
        <v>55.047</v>
      </c>
      <c r="X160" s="35" t="n">
        <v>89.987</v>
      </c>
      <c r="Y160" s="35" t="n">
        <v>47.822</v>
      </c>
      <c r="Z160" s="35" t="n">
        <v>45.559</v>
      </c>
      <c r="AA160" s="35" t="n">
        <v>57.676</v>
      </c>
      <c r="AB160" s="35" t="n">
        <v>64.013</v>
      </c>
      <c r="AC160" s="35" t="n">
        <v>215.07</v>
      </c>
      <c r="AD160" s="35" t="n">
        <v>54.96</v>
      </c>
      <c r="AE160" s="35" t="n">
        <v>43.743</v>
      </c>
      <c r="AF160" s="35" t="n">
        <v>72.632</v>
      </c>
      <c r="AG160" s="35" t="n">
        <v>66.124</v>
      </c>
      <c r="AH160" s="35" t="n">
        <v>237.459</v>
      </c>
      <c r="AI160" s="35" t="n">
        <v>70.428</v>
      </c>
      <c r="AJ160" s="35" t="n">
        <v>64.358</v>
      </c>
      <c r="AK160" s="35" t="n">
        <v>91.121</v>
      </c>
      <c r="AL160" s="35" t="n">
        <v>125.4</v>
      </c>
      <c r="AM160" s="35" t="n">
        <v>351.307</v>
      </c>
      <c r="AN160" s="35" t="n">
        <v>113.151</v>
      </c>
      <c r="AO160" s="35" t="n">
        <v>93.554</v>
      </c>
      <c r="AP160" s="35" t="n">
        <v>113.091</v>
      </c>
      <c r="AQ160" s="35" t="n">
        <v>124.916</v>
      </c>
      <c r="AR160" s="35" t="n">
        <v>444.712</v>
      </c>
      <c r="AS160" s="35" t="n">
        <v>100.12</v>
      </c>
      <c r="AT160" s="35" t="n">
        <v>109.298</v>
      </c>
      <c r="AU160" s="35" t="n">
        <v>108.485</v>
      </c>
      <c r="AV160" s="35" t="n">
        <v>88.243</v>
      </c>
      <c r="AW160" s="35" t="n">
        <v>406.146</v>
      </c>
      <c r="AX160" s="35" t="n">
        <v>135.536</v>
      </c>
      <c r="AY160" s="35" t="n">
        <v>133.332</v>
      </c>
      <c r="AZ160" s="35" t="n">
        <v>122.672</v>
      </c>
      <c r="BA160" s="35" t="n">
        <v>173.441</v>
      </c>
      <c r="BB160" s="35" t="n">
        <v>564.981</v>
      </c>
      <c r="BC160" s="35" t="n">
        <v>158.43</v>
      </c>
      <c r="BD160" s="35" t="n">
        <v>140.008</v>
      </c>
      <c r="BE160" s="35" t="n">
        <v>129.149</v>
      </c>
      <c r="BF160" s="35" t="n">
        <v>155.068</v>
      </c>
      <c r="BG160" s="35" t="n">
        <v>582.655</v>
      </c>
      <c r="BH160" s="35" t="n">
        <v>97.848</v>
      </c>
      <c r="BI160" s="35" t="n">
        <v>105.209</v>
      </c>
      <c r="BJ160" s="35" t="n">
        <v>88.719</v>
      </c>
      <c r="BK160" s="35" t="n">
        <v>98</v>
      </c>
      <c r="BL160" s="35" t="n">
        <v>389.8</v>
      </c>
      <c r="BM160" s="35" t="n">
        <v>-12.7</v>
      </c>
      <c r="BN160" s="35" t="n">
        <v>12.1</v>
      </c>
      <c r="BO160" s="35" t="n">
        <v>50.8</v>
      </c>
      <c r="BP160" s="35" t="n">
        <v>72.9</v>
      </c>
      <c r="BQ160" s="35" t="n">
        <v>123</v>
      </c>
      <c r="BR160" s="35" t="n">
        <v>-0.8</v>
      </c>
      <c r="BS160" s="35" t="n">
        <v>28.6</v>
      </c>
      <c r="BT160" s="35" t="n">
        <v>12.7</v>
      </c>
      <c r="BU160" s="35" t="n">
        <v>129</v>
      </c>
      <c r="BV160" s="35" t="n">
        <v>170</v>
      </c>
      <c r="BW160" s="35" t="n">
        <v>81</v>
      </c>
      <c r="BX160" s="35" t="n">
        <v>157</v>
      </c>
      <c r="BY160" s="36"/>
      <c r="BZ160" s="36"/>
      <c r="CA160" s="36"/>
      <c r="CB160" s="36"/>
      <c r="CC160" s="36"/>
      <c r="CD160" s="36"/>
      <c r="CE160" s="36"/>
      <c r="CF160" s="28"/>
    </row>
    <row r="161" customFormat="false" ht="15" hidden="false" customHeight="true" outlineLevel="0" collapsed="false">
      <c r="B161" s="41" t="s">
        <v>352</v>
      </c>
      <c r="C161" s="34" t="n">
        <f aca="false">IF(ISNUMBER(C160),IF(ABS(C159-C160)&lt;=0.15,0,ROUND(C159-C160,1)),"n/p")</f>
        <v>0</v>
      </c>
      <c r="D161" s="34" t="n">
        <f aca="false">IF(ISNUMBER(D160),IF(ABS(D159-D160)&lt;=0.15,0,ROUND(D159-D160,1)),"n/p")</f>
        <v>0</v>
      </c>
      <c r="E161" s="34" t="n">
        <f aca="false">IF(ISNUMBER(E160),IF(ABS(E159-E160)&lt;=0.15,0,ROUND(E159-E160,1)),"n/p")</f>
        <v>0</v>
      </c>
      <c r="F161" s="34" t="n">
        <f aca="false">IF(ISNUMBER(F160),IF(ABS(F159-F160)&lt;=0.15,0,ROUND(F159-F160,1)),"n/p")</f>
        <v>0</v>
      </c>
      <c r="G161" s="34" t="n">
        <f aca="false">IF(ISNUMBER(G160),IF(ABS(G159-G160)&lt;=0.15,0,ROUND(G159-G160,1)),"n/p")</f>
        <v>0</v>
      </c>
      <c r="H161" s="34" t="n">
        <f aca="false">IF(ISNUMBER(H160),IF(ABS(H159-H160)&lt;=0.15,0,ROUND(H159-H160,1)),"n/p")</f>
        <v>0</v>
      </c>
      <c r="I161" s="34" t="n">
        <f aca="false">IF(ISNUMBER(I160),IF(ABS(I159-I160)&lt;=0.15,0,ROUND(I159-I160,1)),"n/p")</f>
        <v>0</v>
      </c>
      <c r="J161" s="34" t="n">
        <f aca="false">IF(ISNUMBER(J160),IF(ABS(J159-J160)&lt;=0.15,0,ROUND(J159-J160,1)),"n/p")</f>
        <v>0</v>
      </c>
      <c r="K161" s="34" t="n">
        <f aca="false">IF(ISNUMBER(K160),IF(ABS(K159-K160)&lt;=0.15,0,ROUND(K159-K160,1)),"n/p")</f>
        <v>0</v>
      </c>
      <c r="L161" s="34" t="n">
        <f aca="false">IF(ISNUMBER(L160),IF(ABS(L159-L160)&lt;=0.15,0,ROUND(L159-L160,1)),"n/p")</f>
        <v>0</v>
      </c>
      <c r="M161" s="34" t="n">
        <f aca="false">IF(ISNUMBER(M160),IF(ABS(M159-M160)&lt;=0.15,0,ROUND(M159-M160,1)),"n/p")</f>
        <v>0</v>
      </c>
      <c r="N161" s="34" t="n">
        <f aca="false">IF(ISNUMBER(N160),IF(ABS(N159-N160)&lt;=0.15,0,ROUND(N159-N160,1)),"n/p")</f>
        <v>0</v>
      </c>
      <c r="O161" s="34" t="n">
        <f aca="false">IF(ISNUMBER(O160),IF(ABS(O159-O160)&lt;=0.15,0,ROUND(O159-O160,1)),"n/p")</f>
        <v>0</v>
      </c>
      <c r="P161" s="34" t="n">
        <f aca="false">IF(ISNUMBER(P160),IF(ABS(P159-P160)&lt;=0.15,0,ROUND(P159-P160,1)),"n/p")</f>
        <v>0</v>
      </c>
      <c r="Q161" s="34" t="n">
        <f aca="false">IF(ISNUMBER(Q160),IF(ABS(Q159-Q160)&lt;=0.15,0,ROUND(Q159-Q160,1)),"n/p")</f>
        <v>0</v>
      </c>
      <c r="R161" s="34" t="n">
        <f aca="false">IF(ISNUMBER(R160),IF(ABS(R159-R160)&lt;=0.15,0,ROUND(R159-R160,1)),"n/p")</f>
        <v>0</v>
      </c>
      <c r="S161" s="34" t="n">
        <f aca="false">IF(ISNUMBER(S160),IF(ABS(S159-S160)&lt;=0.15,0,ROUND(S159-S160,1)),"n/p")</f>
        <v>0</v>
      </c>
      <c r="T161" s="34" t="n">
        <f aca="false">IF(ISNUMBER(T160),IF(ABS(T159-T160)&lt;=0.15,0,ROUND(T159-T160,1)),"n/p")</f>
        <v>0</v>
      </c>
      <c r="U161" s="34" t="n">
        <f aca="false">IF(ISNUMBER(U160),IF(ABS(U159-U160)&lt;=0.15,0,ROUND(U159-U160,1)),"n/p")</f>
        <v>0</v>
      </c>
      <c r="V161" s="34" t="n">
        <f aca="false">IF(ISNUMBER(V160),IF(ABS(V159-V160)&lt;=0.15,0,ROUND(V159-V160,1)),"n/p")</f>
        <v>0</v>
      </c>
      <c r="W161" s="34" t="n">
        <f aca="false">IF(ISNUMBER(W160),IF(ABS(W159-W160)&lt;=0.15,0,ROUND(W159-W160,1)),"n/p")</f>
        <v>0</v>
      </c>
      <c r="X161" s="34" t="n">
        <f aca="false">IF(ISNUMBER(X160),IF(ABS(X159-X160)&lt;=0.15,0,ROUND(X159-X160,1)),"n/p")</f>
        <v>0</v>
      </c>
      <c r="Y161" s="34" t="n">
        <f aca="false">IF(ISNUMBER(Y160),IF(ABS(Y159-Y160)&lt;=0.15,0,ROUND(Y159-Y160,1)),"n/p")</f>
        <v>0</v>
      </c>
      <c r="Z161" s="34" t="n">
        <f aca="false">IF(ISNUMBER(Z160),IF(ABS(Z159-Z160)&lt;=0.15,0,ROUND(Z159-Z160,1)),"n/p")</f>
        <v>0</v>
      </c>
      <c r="AA161" s="34" t="n">
        <f aca="false">IF(ISNUMBER(AA160),IF(ABS(AA159-AA160)&lt;=0.15,0,ROUND(AA159-AA160,1)),"n/p")</f>
        <v>0</v>
      </c>
      <c r="AB161" s="34" t="n">
        <f aca="false">IF(ISNUMBER(AB160),IF(ABS(AB159-AB160)&lt;=0.15,0,ROUND(AB159-AB160,1)),"n/p")</f>
        <v>0</v>
      </c>
      <c r="AC161" s="34" t="n">
        <f aca="false">IF(ISNUMBER(AC160),IF(ABS(AC159-AC160)&lt;=0.15,0,ROUND(AC159-AC160,1)),"n/p")</f>
        <v>0</v>
      </c>
      <c r="AD161" s="34" t="n">
        <f aca="false">IF(ISNUMBER(AD160),IF(ABS(AD159-AD160)&lt;=0.15,0,ROUND(AD159-AD160,1)),"n/p")</f>
        <v>0</v>
      </c>
      <c r="AE161" s="34" t="n">
        <f aca="false">IF(ISNUMBER(AE160),IF(ABS(AE159-AE160)&lt;=0.15,0,ROUND(AE159-AE160,1)),"n/p")</f>
        <v>0</v>
      </c>
      <c r="AF161" s="34" t="n">
        <f aca="false">IF(ISNUMBER(AF160),IF(ABS(AF159-AF160)&lt;=0.15,0,ROUND(AF159-AF160,1)),"n/p")</f>
        <v>0</v>
      </c>
      <c r="AG161" s="34" t="n">
        <f aca="false">IF(ISNUMBER(AG160),IF(ABS(AG159-AG160)&lt;=0.15,0,ROUND(AG159-AG160,1)),"n/p")</f>
        <v>0</v>
      </c>
      <c r="AH161" s="34" t="n">
        <f aca="false">IF(ISNUMBER(AH160),IF(ABS(AH159-AH160)&lt;=0.15,0,ROUND(AH159-AH160,1)),"n/p")</f>
        <v>0</v>
      </c>
      <c r="AI161" s="34" t="n">
        <f aca="false">IF(ISNUMBER(AI160),IF(ABS(AI159-AI160)&lt;=0.15,0,ROUND(AI159-AI160,1)),"n/p")</f>
        <v>0</v>
      </c>
      <c r="AJ161" s="34" t="n">
        <f aca="false">IF(ISNUMBER(AJ160),IF(ABS(AJ159-AJ160)&lt;=0.15,0,ROUND(AJ159-AJ160,1)),"n/p")</f>
        <v>0</v>
      </c>
      <c r="AK161" s="34" t="n">
        <f aca="false">IF(ISNUMBER(AK160),IF(ABS(AK159-AK160)&lt;=0.15,0,ROUND(AK159-AK160,1)),"n/p")</f>
        <v>0</v>
      </c>
      <c r="AL161" s="34" t="n">
        <f aca="false">IF(ISNUMBER(AL160),IF(ABS(AL159-AL160)&lt;=0.15,0,ROUND(AL159-AL160,1)),"n/p")</f>
        <v>0</v>
      </c>
      <c r="AM161" s="34" t="n">
        <f aca="false">IF(ISNUMBER(AM160),IF(ABS(AM159-AM160)&lt;=0.15,0,ROUND(AM159-AM160,1)),"n/p")</f>
        <v>0</v>
      </c>
      <c r="AN161" s="34" t="n">
        <f aca="false">IF(ISNUMBER(AN160),IF(ABS(AN159-AN160)&lt;=0.15,0,ROUND(AN159-AN160,1)),"n/p")</f>
        <v>0</v>
      </c>
      <c r="AO161" s="34" t="n">
        <f aca="false">IF(ISNUMBER(AO160),IF(ABS(AO159-AO160)&lt;=0.15,0,ROUND(AO159-AO160,1)),"n/p")</f>
        <v>0</v>
      </c>
      <c r="AP161" s="34" t="n">
        <f aca="false">IF(ISNUMBER(AP160),IF(ABS(AP159-AP160)&lt;=0.15,0,ROUND(AP159-AP160,1)),"n/p")</f>
        <v>0</v>
      </c>
      <c r="AQ161" s="34" t="n">
        <f aca="false">IF(ISNUMBER(AQ160),IF(ABS(AQ159-AQ160)&lt;=0.15,0,ROUND(AQ159-AQ160,1)),"n/p")</f>
        <v>0</v>
      </c>
      <c r="AR161" s="34" t="n">
        <f aca="false">IF(ISNUMBER(AR160),IF(ABS(AR159-AR160)&lt;=0.15,0,ROUND(AR159-AR160,1)),"n/p")</f>
        <v>0</v>
      </c>
      <c r="AS161" s="34" t="n">
        <f aca="false">IF(ISNUMBER(AS160),IF(ABS(AS159-AS160)&lt;=0.15,0,ROUND(AS159-AS160,1)),"n/p")</f>
        <v>0</v>
      </c>
      <c r="AT161" s="34" t="n">
        <f aca="false">IF(ISNUMBER(AT160),IF(ABS(AT159-AT160)&lt;=0.15,0,ROUND(AT159-AT160,1)),"n/p")</f>
        <v>0</v>
      </c>
      <c r="AU161" s="34" t="n">
        <f aca="false">IF(ISNUMBER(AU160),IF(ABS(AU159-AU160)&lt;=0.15,0,ROUND(AU159-AU160,1)),"n/p")</f>
        <v>0</v>
      </c>
      <c r="AV161" s="34" t="n">
        <f aca="false">IF(ISNUMBER(AV160),IF(ABS(AV159-AV160)&lt;=0.15,0,ROUND(AV159-AV160,1)),"n/p")</f>
        <v>0</v>
      </c>
      <c r="AW161" s="34" t="n">
        <f aca="false">IF(ISNUMBER(AW160),IF(ABS(AW159-AW160)&lt;=0.15,0,ROUND(AW159-AW160,1)),"n/p")</f>
        <v>0</v>
      </c>
      <c r="AX161" s="34" t="n">
        <f aca="false">IF(ISNUMBER(AX160),IF(ABS(AX159-AX160)&lt;=0.15,0,ROUND(AX159-AX160,1)),"n/p")</f>
        <v>0</v>
      </c>
      <c r="AY161" s="34" t="n">
        <f aca="false">IF(ISNUMBER(AY160),IF(ABS(AY159-AY160)&lt;=0.15,0,ROUND(AY159-AY160,1)),"n/p")</f>
        <v>0</v>
      </c>
      <c r="AZ161" s="34" t="n">
        <f aca="false">IF(ISNUMBER(AZ160),IF(ABS(AZ159-AZ160)&lt;=0.15,0,ROUND(AZ159-AZ160,1)),"n/p")</f>
        <v>0</v>
      </c>
      <c r="BA161" s="34" t="n">
        <f aca="false">IF(ISNUMBER(BA160),IF(ABS(BA159-BA160)&lt;=0.15,0,ROUND(BA159-BA160,1)),"n/p")</f>
        <v>0</v>
      </c>
      <c r="BB161" s="34" t="n">
        <f aca="false">IF(ISNUMBER(BB160),IF(ABS(BB159-BB160)&lt;=0.15,0,ROUND(BB159-BB160,1)),"n/p")</f>
        <v>0</v>
      </c>
      <c r="BC161" s="34" t="n">
        <f aca="false">IF(ISNUMBER(BC160),IF(ABS(BC159-BC160)&lt;=0.15,0,ROUND(BC159-BC160,1)),"n/p")</f>
        <v>0</v>
      </c>
      <c r="BD161" s="34" t="n">
        <f aca="false">IF(ISNUMBER(BD160),IF(ABS(BD159-BD160)&lt;=0.15,0,ROUND(BD159-BD160,1)),"n/p")</f>
        <v>0</v>
      </c>
      <c r="BE161" s="34" t="n">
        <f aca="false">IF(ISNUMBER(BE160),IF(ABS(BE159-BE160)&lt;=0.15,0,ROUND(BE159-BE160,1)),"n/p")</f>
        <v>0</v>
      </c>
      <c r="BF161" s="34" t="n">
        <f aca="false">IF(ISNUMBER(BF160),IF(ABS(BF159-BF160)&lt;=0.15,0,ROUND(BF159-BF160,1)),"n/p")</f>
        <v>0</v>
      </c>
      <c r="BG161" s="34" t="n">
        <f aca="false">IF(ISNUMBER(BG160),IF(ABS(BG159-BG160)&lt;=0.15,0,ROUND(BG159-BG160,1)),"n/p")</f>
        <v>0</v>
      </c>
      <c r="BH161" s="34" t="n">
        <f aca="false">IF(ISNUMBER(BH160),IF(ABS(BH159-BH160)&lt;=0.15,0,ROUND(BH159-BH160,1)),"n/p")</f>
        <v>0</v>
      </c>
      <c r="BI161" s="34" t="n">
        <f aca="false">IF(ISNUMBER(BI160),IF(ABS(BI159-BI160)&lt;=0.15,0,ROUND(BI159-BI160,1)),"n/p")</f>
        <v>0</v>
      </c>
      <c r="BJ161" s="34" t="n">
        <f aca="false">IF(ISNUMBER(BJ160),IF(ABS(BJ159-BJ160)&lt;=0.15,0,ROUND(BJ159-BJ160,1)),"n/p")</f>
        <v>0</v>
      </c>
      <c r="BK161" s="34" t="n">
        <f aca="false">IF(ISNUMBER(BK160),IF(ABS(BK159-BK160)&lt;=0.15,0,ROUND(BK159-BK160,1)),"n/p")</f>
        <v>0</v>
      </c>
      <c r="BL161" s="34" t="n">
        <f aca="false">IF(ISNUMBER(BL160),IF(ABS(BL159-BL160)&lt;=0.15,0,ROUND(BL159-BL160,1)),"n/p")</f>
        <v>0</v>
      </c>
      <c r="BM161" s="34" t="n">
        <f aca="false">IF(ISNUMBER(BM160),IF(ABS(BM159-BM160)&lt;=0.15,0,ROUND(BM159-BM160,1)),"n/p")</f>
        <v>0</v>
      </c>
      <c r="BN161" s="34" t="n">
        <f aca="false">IF(ISNUMBER(BN160),IF(ABS(BN159-BN160)&lt;=0.15,0,ROUND(BN159-BN160,1)),"n/p")</f>
        <v>0</v>
      </c>
      <c r="BO161" s="34" t="n">
        <f aca="false">IF(ISNUMBER(BO160),IF(ABS(BO159-BO160)&lt;=0.15,0,ROUND(BO159-BO160,1)),"n/p")</f>
        <v>0</v>
      </c>
      <c r="BP161" s="34" t="n">
        <f aca="false">IF(ISNUMBER(BP160),IF(ABS(BP159-BP160)&lt;=0.15,0,ROUND(BP159-BP160,1)),"n/p")</f>
        <v>0</v>
      </c>
      <c r="BQ161" s="34" t="n">
        <f aca="false">IF(ISNUMBER(BQ160),IF(ABS(BQ159-BQ160)&lt;=0.15,0,ROUND(BQ159-BQ160,1)),"n/p")</f>
        <v>0</v>
      </c>
      <c r="BR161" s="34" t="n">
        <f aca="false">IF(ISNUMBER(BR160),IF(ABS(BR159-BR160)&lt;=0.15,0,ROUND(BR159-BR160,1)),"n/p")</f>
        <v>0</v>
      </c>
      <c r="BS161" s="34" t="n">
        <f aca="false">IF(ISNUMBER(BS160),IF(ABS(BS159-BS160)&lt;=0.15,0,ROUND(BS159-BS160,1)),"n/p")</f>
        <v>0</v>
      </c>
      <c r="BT161" s="34" t="n">
        <f aca="false">IF(ISNUMBER(BT160),IF(ABS(BT159-BT160)&lt;=0.15,0,ROUND(BT159-BT160,1)),"n/p")</f>
        <v>0</v>
      </c>
      <c r="BU161" s="34" t="n">
        <f aca="false">IF(ISNUMBER(BU160),IF(ABS(BU159-BU160)&lt;=0.15,0,ROUND(BU159-BU160,1)),"n/p")</f>
        <v>0</v>
      </c>
      <c r="BV161" s="34" t="n">
        <f aca="false">IF(ISNUMBER(BV160),IF(ABS(BV159-BV160)&lt;=0.15,0,ROUND(BV159-BV160,1)),"n/p")</f>
        <v>0</v>
      </c>
      <c r="BW161" s="34" t="n">
        <f aca="false">IF(ISNUMBER(BW160),IF(ABS(BW159-BW160)&lt;=0.15,0,ROUND(BW159-BW160,1)),"n/p")</f>
        <v>0</v>
      </c>
      <c r="BX161" s="34" t="n">
        <f aca="false">IF(ISNUMBER(BX160),IF(ABS(BX159-BX160)&lt;=0.15,0,ROUND(BX159-BX160,1)),"n/p")</f>
        <v>0</v>
      </c>
      <c r="BY161" s="36"/>
      <c r="BZ161" s="36"/>
      <c r="CA161" s="36"/>
      <c r="CB161" s="36"/>
      <c r="CC161" s="36"/>
      <c r="CD161" s="36"/>
      <c r="CE161" s="36"/>
      <c r="CF161" s="28"/>
    </row>
    <row r="162" customFormat="false" ht="15" hidden="false" customHeight="true" outlineLevel="0" collapsed="false">
      <c r="B162" s="29" t="s">
        <v>353</v>
      </c>
      <c r="C162" s="34"/>
      <c r="D162" s="34"/>
      <c r="E162" s="34"/>
      <c r="F162" s="35" t="n">
        <v>6.46</v>
      </c>
      <c r="G162" s="35" t="n">
        <v>8.306</v>
      </c>
      <c r="H162" s="35" t="n">
        <v>8.103</v>
      </c>
      <c r="I162" s="35" t="n">
        <v>12.282</v>
      </c>
      <c r="J162" s="35" t="n">
        <v>17.326</v>
      </c>
      <c r="K162" s="35" t="n">
        <v>7.156</v>
      </c>
      <c r="L162" s="35" t="n">
        <v>7.788</v>
      </c>
      <c r="M162" s="35" t="n">
        <v>9.279</v>
      </c>
      <c r="N162" s="35" t="n">
        <v>41.549</v>
      </c>
      <c r="O162" s="35" t="n">
        <v>7.879</v>
      </c>
      <c r="P162" s="35" t="n">
        <v>6.38</v>
      </c>
      <c r="Q162" s="35" t="n">
        <v>6.647</v>
      </c>
      <c r="R162" s="35" t="n">
        <v>7.361</v>
      </c>
      <c r="S162" s="35" t="n">
        <v>28.267</v>
      </c>
      <c r="T162" s="35" t="n">
        <v>7.442</v>
      </c>
      <c r="U162" s="35" t="n">
        <v>8.415</v>
      </c>
      <c r="V162" s="35" t="n">
        <v>9.312</v>
      </c>
      <c r="W162" s="35" t="n">
        <v>9.368</v>
      </c>
      <c r="X162" s="35" t="n">
        <v>34.537</v>
      </c>
      <c r="Y162" s="35" t="n">
        <v>8.331</v>
      </c>
      <c r="Z162" s="35" t="n">
        <v>9.339</v>
      </c>
      <c r="AA162" s="35" t="n">
        <v>9.311</v>
      </c>
      <c r="AB162" s="35" t="n">
        <v>9.368</v>
      </c>
      <c r="AC162" s="35" t="n">
        <v>36.349</v>
      </c>
      <c r="AD162" s="35" t="n">
        <v>9.357</v>
      </c>
      <c r="AE162" s="35" t="n">
        <v>10.103</v>
      </c>
      <c r="AF162" s="35" t="n">
        <v>9.743</v>
      </c>
      <c r="AG162" s="35" t="n">
        <v>9.827</v>
      </c>
      <c r="AH162" s="35" t="n">
        <v>39.03</v>
      </c>
      <c r="AI162" s="35" t="n">
        <v>10.412</v>
      </c>
      <c r="AJ162" s="35" t="n">
        <v>11.228</v>
      </c>
      <c r="AK162" s="35" t="n">
        <v>8.953</v>
      </c>
      <c r="AL162" s="35" t="n">
        <v>12.125</v>
      </c>
      <c r="AM162" s="35" t="n">
        <v>42.718</v>
      </c>
      <c r="AN162" s="35" t="n">
        <v>12.029</v>
      </c>
      <c r="AO162" s="35" t="n">
        <v>13.816</v>
      </c>
      <c r="AP162" s="35" t="n">
        <v>13.139</v>
      </c>
      <c r="AQ162" s="35" t="n">
        <v>13.271</v>
      </c>
      <c r="AR162" s="35" t="n">
        <v>52.255</v>
      </c>
      <c r="AS162" s="35" t="n">
        <v>15.18</v>
      </c>
      <c r="AT162" s="35" t="n">
        <v>9.527</v>
      </c>
      <c r="AU162" s="35" t="n">
        <v>16.73</v>
      </c>
      <c r="AV162" s="35" t="n">
        <v>12.667</v>
      </c>
      <c r="AW162" s="35" t="n">
        <v>54.104</v>
      </c>
      <c r="AX162" s="35" t="n">
        <v>15.545</v>
      </c>
      <c r="AY162" s="35" t="n">
        <v>15.144</v>
      </c>
      <c r="AZ162" s="35" t="n">
        <v>16.299</v>
      </c>
      <c r="BA162" s="35" t="n">
        <v>16.721</v>
      </c>
      <c r="BB162" s="35" t="n">
        <v>63.709</v>
      </c>
      <c r="BC162" s="35" t="n">
        <v>17.847</v>
      </c>
      <c r="BD162" s="35" t="n">
        <v>18.112</v>
      </c>
      <c r="BE162" s="35" t="n">
        <v>18.138</v>
      </c>
      <c r="BF162" s="35" t="n">
        <v>21.11</v>
      </c>
      <c r="BG162" s="35" t="n">
        <v>75.207</v>
      </c>
      <c r="BH162" s="35" t="n">
        <v>20.045</v>
      </c>
      <c r="BI162" s="35" t="n">
        <v>21.826</v>
      </c>
      <c r="BJ162" s="35" t="n">
        <v>21.899</v>
      </c>
      <c r="BK162" s="35" t="n">
        <v>21.2</v>
      </c>
      <c r="BL162" s="35" t="n">
        <v>85</v>
      </c>
      <c r="BM162" s="35" t="n">
        <v>22.8</v>
      </c>
      <c r="BN162" s="35" t="n">
        <v>22.7</v>
      </c>
      <c r="BO162" s="35" t="n">
        <v>21.8</v>
      </c>
      <c r="BP162" s="35" t="n">
        <v>21.8</v>
      </c>
      <c r="BQ162" s="35" t="n">
        <v>89</v>
      </c>
      <c r="BR162" s="35" t="n">
        <v>30.4</v>
      </c>
      <c r="BS162" s="35" t="n">
        <v>51.8</v>
      </c>
      <c r="BT162" s="35" t="n">
        <v>70.8</v>
      </c>
      <c r="BU162" s="35" t="n">
        <v>41</v>
      </c>
      <c r="BV162" s="35" t="n">
        <v>194</v>
      </c>
      <c r="BW162" s="35" t="n">
        <v>42</v>
      </c>
      <c r="BX162" s="35" t="n">
        <v>38</v>
      </c>
      <c r="BY162" s="36" t="n">
        <f aca="false">$CP$33</f>
        <v>34</v>
      </c>
      <c r="BZ162" s="36" t="n">
        <f aca="false">$CP$19-(BW162+BX162)-BY162</f>
        <v>42</v>
      </c>
      <c r="CA162" s="36" t="n">
        <f aca="false">SUM(BW162,BX162,BY162,BZ162)</f>
        <v>156</v>
      </c>
      <c r="CB162" s="36" t="n">
        <f aca="false">CB121*CB112</f>
        <v>172.99599614065</v>
      </c>
      <c r="CC162" s="36" t="n">
        <f aca="false">CC121*CC112</f>
        <v>190.035165021428</v>
      </c>
      <c r="CD162" s="36" t="n">
        <f aca="false">CD121*CD112</f>
        <v>207.402606717507</v>
      </c>
      <c r="CE162" s="36" t="n">
        <f aca="false">CE121*CE112</f>
        <v>224.859780113142</v>
      </c>
      <c r="CF162" s="28"/>
    </row>
    <row r="163" customFormat="false" ht="15" hidden="false" customHeight="true" outlineLevel="0" collapsed="false">
      <c r="B163" s="29" t="s">
        <v>354</v>
      </c>
      <c r="C163" s="34"/>
      <c r="D163" s="34"/>
      <c r="E163" s="34"/>
      <c r="F163" s="35" t="n">
        <v>0.616</v>
      </c>
      <c r="G163" s="35" t="n">
        <v>0</v>
      </c>
      <c r="H163" s="35" t="n">
        <v>14.191</v>
      </c>
      <c r="I163" s="35" t="n">
        <v>13.924</v>
      </c>
      <c r="J163" s="35" t="n">
        <v>0.505</v>
      </c>
      <c r="K163" s="35" t="n">
        <v>0.133</v>
      </c>
      <c r="L163" s="35" t="n">
        <v>0</v>
      </c>
      <c r="M163" s="35" t="n">
        <v>0</v>
      </c>
      <c r="N163" s="35" t="n">
        <v>0.638</v>
      </c>
      <c r="O163" s="35" t="n">
        <v>1.114</v>
      </c>
      <c r="P163" s="35" t="n">
        <v>1.357</v>
      </c>
      <c r="Q163" s="35" t="n">
        <v>0.707</v>
      </c>
      <c r="R163" s="35" t="n">
        <v>0.624</v>
      </c>
      <c r="S163" s="35" t="n">
        <v>3.802</v>
      </c>
      <c r="T163" s="35" t="n">
        <v>0.624</v>
      </c>
      <c r="U163" s="35" t="n">
        <v>2.936</v>
      </c>
      <c r="V163" s="35" t="n">
        <v>1.787</v>
      </c>
      <c r="W163" s="35" t="n">
        <v>1.023</v>
      </c>
      <c r="X163" s="35" t="n">
        <v>6.37</v>
      </c>
      <c r="Y163" s="35" t="n">
        <v>1.447</v>
      </c>
      <c r="Z163" s="35" t="n">
        <v>0.811</v>
      </c>
      <c r="AA163" s="35" t="n">
        <v>0</v>
      </c>
      <c r="AB163" s="35" t="n">
        <v>0</v>
      </c>
      <c r="AC163" s="35" t="n">
        <v>2.258</v>
      </c>
      <c r="AD163" s="35" t="n">
        <v>0.362</v>
      </c>
      <c r="AE163" s="35" t="n">
        <v>0.411</v>
      </c>
      <c r="AF163" s="35" t="n">
        <v>1.224</v>
      </c>
      <c r="AG163" s="35" t="n">
        <v>1.99</v>
      </c>
      <c r="AH163" s="35" t="n">
        <v>4.061</v>
      </c>
      <c r="AI163" s="35" t="n">
        <v>3.522</v>
      </c>
      <c r="AJ163" s="35" t="n">
        <v>9.506</v>
      </c>
      <c r="AK163" s="35" t="n">
        <v>7.171</v>
      </c>
      <c r="AL163" s="35" t="n">
        <v>1.484</v>
      </c>
      <c r="AM163" s="35" t="n">
        <v>21.683</v>
      </c>
      <c r="AN163" s="35" t="n">
        <v>0.249</v>
      </c>
      <c r="AO163" s="35" t="n">
        <v>0.492</v>
      </c>
      <c r="AP163" s="35" t="n">
        <v>2.287</v>
      </c>
      <c r="AQ163" s="35" t="n">
        <v>3.651</v>
      </c>
      <c r="AR163" s="35" t="n">
        <v>6.679</v>
      </c>
      <c r="AS163" s="35" t="n">
        <v>8.713</v>
      </c>
      <c r="AT163" s="35" t="n">
        <v>10.031</v>
      </c>
      <c r="AU163" s="35" t="n">
        <v>7.887</v>
      </c>
      <c r="AV163" s="35" t="n">
        <v>65.892</v>
      </c>
      <c r="AW163" s="35" t="n">
        <v>92.523</v>
      </c>
      <c r="AX163" s="35" t="n">
        <v>8.462</v>
      </c>
      <c r="AY163" s="35" t="n">
        <v>2.001</v>
      </c>
      <c r="AZ163" s="35" t="n">
        <v>5.012</v>
      </c>
      <c r="BA163" s="35" t="n">
        <v>3.243</v>
      </c>
      <c r="BB163" s="35" t="n">
        <v>18.718</v>
      </c>
      <c r="BC163" s="35" t="n">
        <v>1.639</v>
      </c>
      <c r="BD163" s="35" t="n">
        <v>0.504</v>
      </c>
      <c r="BE163" s="35" t="n">
        <v>1.095</v>
      </c>
      <c r="BF163" s="35" t="n">
        <v>2.167</v>
      </c>
      <c r="BG163" s="35" t="n">
        <v>5.405</v>
      </c>
      <c r="BH163" s="35" t="n">
        <v>1.655</v>
      </c>
      <c r="BI163" s="35" t="n">
        <v>-0.179</v>
      </c>
      <c r="BJ163" s="35" t="n">
        <v>0.796</v>
      </c>
      <c r="BK163" s="35" t="n">
        <v>10.7</v>
      </c>
      <c r="BL163" s="35" t="n">
        <v>12.9</v>
      </c>
      <c r="BM163" s="35" t="n">
        <v>2.3</v>
      </c>
      <c r="BN163" s="35" t="n">
        <v>6</v>
      </c>
      <c r="BO163" s="35" t="n">
        <v>4.4</v>
      </c>
      <c r="BP163" s="35" t="n">
        <v>16.7</v>
      </c>
      <c r="BQ163" s="35" t="n">
        <v>29.4</v>
      </c>
      <c r="BR163" s="35" t="n">
        <v>20.6</v>
      </c>
      <c r="BS163" s="35" t="n">
        <v>5.4</v>
      </c>
      <c r="BT163" s="35" t="n">
        <v>31</v>
      </c>
      <c r="BU163" s="35" t="n">
        <v>7</v>
      </c>
      <c r="BV163" s="35" t="n">
        <v>63</v>
      </c>
      <c r="BW163" s="35" t="n">
        <v>7</v>
      </c>
      <c r="BX163" s="35" t="n">
        <v>5</v>
      </c>
      <c r="BY163" s="36" t="n">
        <f aca="false">BY118+N(BY64)</f>
        <v>10</v>
      </c>
      <c r="BZ163" s="36" t="n">
        <f aca="false">BZ118+N(BZ64)</f>
        <v>3</v>
      </c>
      <c r="CA163" s="36" t="n">
        <f aca="false">SUM(BW163,BX163,BY163,BZ163)</f>
        <v>25</v>
      </c>
      <c r="CB163" s="36" t="n">
        <f aca="false">CB118+N(CB64)+0.02*N(CB67)</f>
        <v>15</v>
      </c>
      <c r="CC163" s="36" t="n">
        <f aca="false">CC118+N(CC64)+0.02*N(CC67)</f>
        <v>10</v>
      </c>
      <c r="CD163" s="36" t="n">
        <f aca="false">CD118+N(CD64)+0.02*N(CD67)</f>
        <v>10</v>
      </c>
      <c r="CE163" s="36" t="n">
        <f aca="false">CE118+N(CE64)+0.02*N(CE67)</f>
        <v>10</v>
      </c>
      <c r="CF163" s="28" t="s">
        <v>355</v>
      </c>
    </row>
    <row r="164" customFormat="false" ht="15" hidden="false" customHeight="true" outlineLevel="0" collapsed="false">
      <c r="B164" s="29" t="s">
        <v>356</v>
      </c>
      <c r="C164" s="34"/>
      <c r="D164" s="34"/>
      <c r="E164" s="34"/>
      <c r="F164" s="35" t="n">
        <v>0.745</v>
      </c>
      <c r="G164" s="35" t="n">
        <v>1.384</v>
      </c>
      <c r="H164" s="35" t="n">
        <v>1.509</v>
      </c>
      <c r="I164" s="35" t="n">
        <v>0</v>
      </c>
      <c r="J164" s="35" t="n">
        <v>0.271</v>
      </c>
      <c r="K164" s="35" t="n">
        <v>0</v>
      </c>
      <c r="L164" s="35" t="n">
        <v>0.091</v>
      </c>
      <c r="M164" s="35" t="n">
        <v>0</v>
      </c>
      <c r="N164" s="35" t="n">
        <v>0.362</v>
      </c>
      <c r="O164" s="35" t="n">
        <v>0</v>
      </c>
      <c r="P164" s="35" t="n">
        <v>0</v>
      </c>
      <c r="Q164" s="35" t="n">
        <v>0</v>
      </c>
      <c r="R164" s="35" t="n">
        <v>1.976</v>
      </c>
      <c r="S164" s="35" t="n">
        <v>1.976</v>
      </c>
      <c r="T164" s="35" t="n">
        <v>0</v>
      </c>
      <c r="U164" s="35" t="n">
        <v>0</v>
      </c>
      <c r="V164" s="35" t="n">
        <v>2.279</v>
      </c>
      <c r="W164" s="35" t="n">
        <v>-0.311</v>
      </c>
      <c r="X164" s="35" t="n">
        <v>1.968</v>
      </c>
      <c r="Y164" s="35" t="n">
        <v>0</v>
      </c>
      <c r="Z164" s="35" t="n">
        <v>0</v>
      </c>
      <c r="AA164" s="35" t="n">
        <v>0.066</v>
      </c>
      <c r="AB164" s="35" t="n">
        <v>1.779</v>
      </c>
      <c r="AC164" s="35" t="n">
        <v>1.845</v>
      </c>
      <c r="AD164" s="35" t="n">
        <v>0</v>
      </c>
      <c r="AE164" s="35" t="n">
        <v>0</v>
      </c>
      <c r="AF164" s="35" t="n">
        <v>0</v>
      </c>
      <c r="AG164" s="35" t="n">
        <v>0</v>
      </c>
      <c r="AH164" s="35" t="n">
        <v>0</v>
      </c>
      <c r="AI164" s="35" t="n">
        <v>0</v>
      </c>
      <c r="AJ164" s="35" t="n">
        <v>0</v>
      </c>
      <c r="AK164" s="35" t="n">
        <v>2.314</v>
      </c>
      <c r="AL164" s="35" t="n">
        <v>0</v>
      </c>
      <c r="AM164" s="35" t="n">
        <v>2.314</v>
      </c>
      <c r="AN164" s="35" t="n">
        <v>0.068</v>
      </c>
      <c r="AO164" s="35" t="n">
        <v>2.18</v>
      </c>
      <c r="AP164" s="35" t="n">
        <v>0.806</v>
      </c>
      <c r="AQ164" s="35" t="n">
        <v>0</v>
      </c>
      <c r="AR164" s="35" t="n">
        <v>3.054</v>
      </c>
      <c r="AS164" s="35" t="n">
        <v>0</v>
      </c>
      <c r="AT164" s="35" t="n">
        <v>0</v>
      </c>
      <c r="AU164" s="35" t="n">
        <v>0.413</v>
      </c>
      <c r="AV164" s="35" t="n">
        <v>0</v>
      </c>
      <c r="AW164" s="35" t="n">
        <v>0.413</v>
      </c>
      <c r="AX164" s="35" t="n">
        <v>0</v>
      </c>
      <c r="AY164" s="35" t="n">
        <v>0</v>
      </c>
      <c r="AZ164" s="35" t="n">
        <v>0</v>
      </c>
      <c r="BA164" s="35" t="n">
        <v>0</v>
      </c>
      <c r="BB164" s="35" t="n">
        <v>0</v>
      </c>
      <c r="BC164" s="35" t="n">
        <v>0</v>
      </c>
      <c r="BD164" s="35" t="n">
        <v>0</v>
      </c>
      <c r="BE164" s="35" t="n">
        <v>0.191</v>
      </c>
      <c r="BF164" s="35" t="n">
        <v>1.984</v>
      </c>
      <c r="BG164" s="35" t="n">
        <v>2.175</v>
      </c>
      <c r="BH164" s="35" t="n">
        <v>3.422</v>
      </c>
      <c r="BI164" s="35" t="n">
        <v>-0.051</v>
      </c>
      <c r="BJ164" s="35" t="n">
        <v>0.509</v>
      </c>
      <c r="BK164" s="35" t="n">
        <v>0.2</v>
      </c>
      <c r="BL164" s="35" t="n">
        <v>4.1</v>
      </c>
      <c r="BM164" s="35" t="n">
        <v>0</v>
      </c>
      <c r="BN164" s="35" t="n">
        <v>0</v>
      </c>
      <c r="BO164" s="35" t="n">
        <v>0.2</v>
      </c>
      <c r="BP164" s="35" t="n">
        <v>0.5</v>
      </c>
      <c r="BQ164" s="35" t="n">
        <v>0.7</v>
      </c>
      <c r="BR164" s="35" t="n">
        <v>7.1</v>
      </c>
      <c r="BS164" s="35" t="n">
        <v>-1.4</v>
      </c>
      <c r="BT164" s="35" t="n">
        <v>0.1</v>
      </c>
      <c r="BU164" s="35" t="n">
        <v>0</v>
      </c>
      <c r="BV164" s="35" t="n">
        <v>6</v>
      </c>
      <c r="BW164" s="35" t="n">
        <v>2</v>
      </c>
      <c r="BX164" s="35" t="n">
        <v>2</v>
      </c>
      <c r="BY164" s="44" t="n">
        <v>0</v>
      </c>
      <c r="BZ164" s="36" t="n">
        <f aca="false">$CP$27-(BW164+BX164)-BY164</f>
        <v>0</v>
      </c>
      <c r="CA164" s="36" t="n">
        <f aca="false">SUM(BW164,BX164,BY164,BZ164)</f>
        <v>4</v>
      </c>
      <c r="CB164" s="44" t="n">
        <v>0</v>
      </c>
      <c r="CC164" s="44" t="n">
        <v>0</v>
      </c>
      <c r="CD164" s="44" t="n">
        <v>0</v>
      </c>
      <c r="CE164" s="44" t="n">
        <v>0</v>
      </c>
      <c r="CF164" s="28"/>
    </row>
    <row r="165" customFormat="false" ht="15" hidden="false" customHeight="true" outlineLevel="0" collapsed="false">
      <c r="B165" s="29" t="s">
        <v>357</v>
      </c>
      <c r="C165" s="34"/>
      <c r="D165" s="34"/>
      <c r="E165" s="34"/>
      <c r="F165" s="35" t="n">
        <v>0</v>
      </c>
      <c r="G165" s="35" t="n">
        <v>2.825</v>
      </c>
      <c r="H165" s="35" t="n">
        <v>-1.479</v>
      </c>
      <c r="I165" s="35" t="n">
        <v>0</v>
      </c>
      <c r="J165" s="35" t="n">
        <v>0</v>
      </c>
      <c r="K165" s="35" t="n">
        <v>0</v>
      </c>
      <c r="L165" s="35" t="n">
        <v>0</v>
      </c>
      <c r="M165" s="35" t="n">
        <v>0</v>
      </c>
      <c r="N165" s="35" t="n">
        <v>0</v>
      </c>
      <c r="O165" s="35" t="n">
        <v>1.053</v>
      </c>
      <c r="P165" s="35" t="n">
        <v>0</v>
      </c>
      <c r="Q165" s="35" t="n">
        <v>0.746</v>
      </c>
      <c r="R165" s="35" t="n">
        <v>1.374</v>
      </c>
      <c r="S165" s="35" t="n">
        <v>3.173</v>
      </c>
      <c r="T165" s="35" t="n">
        <v>1.402</v>
      </c>
      <c r="U165" s="35" t="n">
        <v>1.376</v>
      </c>
      <c r="V165" s="35" t="n">
        <v>0</v>
      </c>
      <c r="W165" s="35" t="n">
        <v>0</v>
      </c>
      <c r="X165" s="35" t="n">
        <v>2.778</v>
      </c>
      <c r="Y165" s="35" t="n">
        <v>0</v>
      </c>
      <c r="Z165" s="35" t="n">
        <v>0</v>
      </c>
      <c r="AA165" s="35" t="n">
        <v>0</v>
      </c>
      <c r="AB165" s="35" t="n">
        <v>0</v>
      </c>
      <c r="AC165" s="35" t="n">
        <v>0</v>
      </c>
      <c r="AD165" s="35" t="n">
        <v>-0.76</v>
      </c>
      <c r="AE165" s="35" t="n">
        <v>0</v>
      </c>
      <c r="AF165" s="35" t="n">
        <v>0</v>
      </c>
      <c r="AG165" s="35" t="n">
        <v>0</v>
      </c>
      <c r="AH165" s="35" t="n">
        <v>-0.76</v>
      </c>
      <c r="AI165" s="35" t="n">
        <v>0</v>
      </c>
      <c r="AJ165" s="35" t="n">
        <v>0</v>
      </c>
      <c r="AK165" s="35" t="n">
        <v>0</v>
      </c>
      <c r="AL165" s="35" t="n">
        <v>0</v>
      </c>
      <c r="AM165" s="35" t="n">
        <v>0</v>
      </c>
      <c r="AN165" s="35" t="n">
        <v>0</v>
      </c>
      <c r="AO165" s="35" t="n">
        <v>0</v>
      </c>
      <c r="AP165" s="35" t="n">
        <v>0</v>
      </c>
      <c r="AQ165" s="35" t="n">
        <v>0</v>
      </c>
      <c r="AR165" s="35" t="n">
        <v>0</v>
      </c>
      <c r="AS165" s="35" t="n">
        <v>0</v>
      </c>
      <c r="AT165" s="35" t="n">
        <v>0</v>
      </c>
      <c r="AU165" s="35" t="n">
        <v>0</v>
      </c>
      <c r="AV165" s="35" t="n">
        <v>0</v>
      </c>
      <c r="AW165" s="35" t="n">
        <v>0</v>
      </c>
      <c r="AX165" s="35" t="n">
        <v>0</v>
      </c>
      <c r="AY165" s="35" t="n">
        <v>0</v>
      </c>
      <c r="AZ165" s="35" t="n">
        <v>0</v>
      </c>
      <c r="BA165" s="35" t="n">
        <v>0</v>
      </c>
      <c r="BB165" s="35" t="n">
        <v>0</v>
      </c>
      <c r="BC165" s="35" t="n">
        <v>0</v>
      </c>
      <c r="BD165" s="35" t="n">
        <v>0</v>
      </c>
      <c r="BE165" s="35" t="n">
        <v>4.1</v>
      </c>
      <c r="BF165" s="35" t="n">
        <v>1.969</v>
      </c>
      <c r="BG165" s="35" t="n">
        <v>6.069</v>
      </c>
      <c r="BH165" s="35" t="n">
        <v>-0.077</v>
      </c>
      <c r="BI165" s="35" t="n">
        <v>-0.03</v>
      </c>
      <c r="BJ165" s="35" t="n">
        <v>0</v>
      </c>
      <c r="BK165" s="35" t="n">
        <v>0</v>
      </c>
      <c r="BL165" s="35" t="n">
        <v>-0.1</v>
      </c>
      <c r="BM165" s="35" t="n">
        <v>0</v>
      </c>
      <c r="BN165" s="35" t="n">
        <v>0</v>
      </c>
      <c r="BO165" s="35" t="n">
        <v>-1.3</v>
      </c>
      <c r="BP165" s="35" t="n">
        <v>0</v>
      </c>
      <c r="BQ165" s="35" t="n">
        <v>-1.3</v>
      </c>
      <c r="BR165" s="35" t="n">
        <v>8.3</v>
      </c>
      <c r="BS165" s="35" t="n">
        <v>0.6</v>
      </c>
      <c r="BT165" s="35" t="n">
        <v>0</v>
      </c>
      <c r="BU165" s="35" t="n">
        <v>0</v>
      </c>
      <c r="BV165" s="35" t="n">
        <v>9</v>
      </c>
      <c r="BW165" s="35" t="n">
        <v>0</v>
      </c>
      <c r="BX165" s="35" t="n">
        <v>-18</v>
      </c>
      <c r="BY165" s="44" t="n">
        <v>0</v>
      </c>
      <c r="BZ165" s="36" t="n">
        <f aca="false">$CP$28-(BW165+BX165)-BY165</f>
        <v>0</v>
      </c>
      <c r="CA165" s="36" t="n">
        <f aca="false">SUM(BW165,BX165,BY165,BZ165)</f>
        <v>-18</v>
      </c>
      <c r="CB165" s="44" t="n">
        <v>0</v>
      </c>
      <c r="CC165" s="44" t="n">
        <v>0</v>
      </c>
      <c r="CD165" s="44" t="n">
        <v>0</v>
      </c>
      <c r="CE165" s="44" t="n">
        <v>0</v>
      </c>
      <c r="CF165" s="28"/>
    </row>
    <row r="166" customFormat="false" ht="15" hidden="false" customHeight="true" outlineLevel="0" collapsed="false">
      <c r="B166" s="29" t="s">
        <v>358</v>
      </c>
      <c r="C166" s="34"/>
      <c r="D166" s="34"/>
      <c r="E166" s="34"/>
      <c r="F166" s="35" t="n">
        <v>0</v>
      </c>
      <c r="G166" s="35" t="n">
        <v>2.378</v>
      </c>
      <c r="H166" s="35" t="n">
        <v>0</v>
      </c>
      <c r="I166" s="35" t="n">
        <v>0</v>
      </c>
      <c r="J166" s="35" t="n">
        <v>0</v>
      </c>
      <c r="K166" s="35" t="n">
        <v>0</v>
      </c>
      <c r="L166" s="35" t="n">
        <v>0</v>
      </c>
      <c r="M166" s="35" t="n">
        <v>0</v>
      </c>
      <c r="N166" s="35" t="n">
        <v>0</v>
      </c>
      <c r="O166" s="35" t="n">
        <v>0</v>
      </c>
      <c r="P166" s="35" t="n">
        <v>0</v>
      </c>
      <c r="Q166" s="35" t="n">
        <v>0</v>
      </c>
      <c r="R166" s="35" t="n">
        <v>0</v>
      </c>
      <c r="S166" s="35" t="n">
        <v>0</v>
      </c>
      <c r="T166" s="35" t="n">
        <v>0</v>
      </c>
      <c r="U166" s="35" t="n">
        <v>0</v>
      </c>
      <c r="V166" s="35" t="n">
        <v>0</v>
      </c>
      <c r="W166" s="35" t="n">
        <v>0</v>
      </c>
      <c r="X166" s="35" t="n">
        <v>0</v>
      </c>
      <c r="Y166" s="35" t="n">
        <v>0</v>
      </c>
      <c r="Z166" s="35" t="n">
        <v>0</v>
      </c>
      <c r="AA166" s="35" t="n">
        <v>0</v>
      </c>
      <c r="AB166" s="35" t="n">
        <v>0</v>
      </c>
      <c r="AC166" s="35" t="n">
        <v>0</v>
      </c>
      <c r="AD166" s="35" t="n">
        <v>0</v>
      </c>
      <c r="AE166" s="35" t="n">
        <v>0</v>
      </c>
      <c r="AF166" s="35" t="n">
        <v>0</v>
      </c>
      <c r="AG166" s="35" t="n">
        <v>0</v>
      </c>
      <c r="AH166" s="35" t="n">
        <v>0</v>
      </c>
      <c r="AI166" s="35" t="n">
        <v>0</v>
      </c>
      <c r="AJ166" s="35" t="n">
        <v>0</v>
      </c>
      <c r="AK166" s="35" t="n">
        <v>0</v>
      </c>
      <c r="AL166" s="35" t="n">
        <v>0</v>
      </c>
      <c r="AM166" s="35" t="n">
        <v>0</v>
      </c>
      <c r="AN166" s="35" t="n">
        <v>0</v>
      </c>
      <c r="AO166" s="35" t="n">
        <v>0</v>
      </c>
      <c r="AP166" s="35" t="n">
        <v>0</v>
      </c>
      <c r="AQ166" s="35" t="n">
        <v>0</v>
      </c>
      <c r="AR166" s="35" t="n">
        <v>0</v>
      </c>
      <c r="AS166" s="35" t="n">
        <v>0</v>
      </c>
      <c r="AT166" s="35" t="n">
        <v>0</v>
      </c>
      <c r="AU166" s="35" t="n">
        <v>0</v>
      </c>
      <c r="AV166" s="35" t="n">
        <v>0</v>
      </c>
      <c r="AW166" s="35" t="n">
        <v>0</v>
      </c>
      <c r="AX166" s="35" t="n">
        <v>0</v>
      </c>
      <c r="AY166" s="35" t="n">
        <v>0</v>
      </c>
      <c r="AZ166" s="35" t="n">
        <v>0</v>
      </c>
      <c r="BA166" s="35" t="n">
        <v>0</v>
      </c>
      <c r="BB166" s="35" t="n">
        <v>0</v>
      </c>
      <c r="BC166" s="35" t="n">
        <v>0</v>
      </c>
      <c r="BD166" s="35" t="n">
        <v>0</v>
      </c>
      <c r="BE166" s="35" t="n">
        <v>0</v>
      </c>
      <c r="BF166" s="35" t="n">
        <v>0</v>
      </c>
      <c r="BG166" s="35" t="n">
        <v>0</v>
      </c>
      <c r="BH166" s="35" t="n">
        <v>0</v>
      </c>
      <c r="BI166" s="35" t="n">
        <v>0</v>
      </c>
      <c r="BJ166" s="35" t="n">
        <v>0</v>
      </c>
      <c r="BK166" s="35" t="n">
        <v>0</v>
      </c>
      <c r="BL166" s="35" t="n">
        <v>0</v>
      </c>
      <c r="BM166" s="35" t="n">
        <v>0</v>
      </c>
      <c r="BN166" s="35" t="n">
        <v>0</v>
      </c>
      <c r="BO166" s="35" t="n">
        <v>0</v>
      </c>
      <c r="BP166" s="35" t="n">
        <v>0</v>
      </c>
      <c r="BQ166" s="35" t="n">
        <v>0</v>
      </c>
      <c r="BR166" s="35" t="n">
        <v>0</v>
      </c>
      <c r="BS166" s="35" t="n">
        <v>0</v>
      </c>
      <c r="BT166" s="35" t="n">
        <v>0</v>
      </c>
      <c r="BU166" s="35" t="n">
        <v>0</v>
      </c>
      <c r="BV166" s="35" t="n">
        <v>0</v>
      </c>
      <c r="BW166" s="35" t="n">
        <v>0</v>
      </c>
      <c r="BX166" s="35" t="n">
        <v>0</v>
      </c>
      <c r="BY166" s="36"/>
      <c r="BZ166" s="36"/>
      <c r="CA166" s="36"/>
      <c r="CB166" s="36"/>
      <c r="CC166" s="36"/>
      <c r="CD166" s="36"/>
      <c r="CE166" s="36"/>
      <c r="CF166" s="28"/>
    </row>
    <row r="167" customFormat="false" ht="15" hidden="false" customHeight="true" outlineLevel="0" collapsed="false">
      <c r="B167" s="17" t="s">
        <v>359</v>
      </c>
      <c r="C167" s="18" t="n">
        <f aca="false">N(C162)+N(C163)+N(C164)+N(C165)+N(C166)</f>
        <v>0</v>
      </c>
      <c r="D167" s="18" t="n">
        <f aca="false">N(D162)+N(D163)+N(D164)+N(D165)+N(D166)</f>
        <v>0</v>
      </c>
      <c r="E167" s="18" t="n">
        <f aca="false">N(E162)+N(E163)+N(E164)+N(E165)+N(E166)</f>
        <v>0</v>
      </c>
      <c r="F167" s="18" t="n">
        <f aca="false">N(F162)+N(F163)+N(F164)+N(F165)+N(F166)</f>
        <v>7.821</v>
      </c>
      <c r="G167" s="18" t="n">
        <f aca="false">N(G162)+N(G163)+N(G164)+N(G165)+N(G166)</f>
        <v>14.893</v>
      </c>
      <c r="H167" s="18" t="n">
        <f aca="false">N(H162)+N(H163)+N(H164)+N(H165)+N(H166)</f>
        <v>22.324</v>
      </c>
      <c r="I167" s="18" t="n">
        <f aca="false">N(I162)+N(I163)+N(I164)+N(I165)+N(I166)</f>
        <v>26.206</v>
      </c>
      <c r="J167" s="18" t="n">
        <f aca="false">N(J162)+N(J163)+N(J164)+N(J165)+N(J166)</f>
        <v>18.102</v>
      </c>
      <c r="K167" s="18" t="n">
        <f aca="false">N(K162)+N(K163)+N(K164)+N(K165)+N(K166)</f>
        <v>7.289</v>
      </c>
      <c r="L167" s="18" t="n">
        <f aca="false">N(L162)+N(L163)+N(L164)+N(L165)+N(L166)</f>
        <v>7.879</v>
      </c>
      <c r="M167" s="18" t="n">
        <f aca="false">N(M162)+N(M163)+N(M164)+N(M165)+N(M166)</f>
        <v>9.279</v>
      </c>
      <c r="N167" s="18" t="n">
        <f aca="false">N(N162)+N(N163)+N(N164)+N(N165)+N(N166)</f>
        <v>42.549</v>
      </c>
      <c r="O167" s="18" t="n">
        <f aca="false">N(O162)+N(O163)+N(O164)+N(O165)+N(O166)</f>
        <v>10.046</v>
      </c>
      <c r="P167" s="18" t="n">
        <f aca="false">N(P162)+N(P163)+N(P164)+N(P165)+N(P166)</f>
        <v>7.737</v>
      </c>
      <c r="Q167" s="18" t="n">
        <f aca="false">N(Q162)+N(Q163)+N(Q164)+N(Q165)+N(Q166)</f>
        <v>8.1</v>
      </c>
      <c r="R167" s="18" t="n">
        <f aca="false">N(R162)+N(R163)+N(R164)+N(R165)+N(R166)</f>
        <v>11.335</v>
      </c>
      <c r="S167" s="18" t="n">
        <f aca="false">N(S162)+N(S163)+N(S164)+N(S165)+N(S166)</f>
        <v>37.218</v>
      </c>
      <c r="T167" s="18" t="n">
        <f aca="false">N(T162)+N(T163)+N(T164)+N(T165)+N(T166)</f>
        <v>9.468</v>
      </c>
      <c r="U167" s="18" t="n">
        <f aca="false">N(U162)+N(U163)+N(U164)+N(U165)+N(U166)</f>
        <v>12.727</v>
      </c>
      <c r="V167" s="18" t="n">
        <f aca="false">N(V162)+N(V163)+N(V164)+N(V165)+N(V166)</f>
        <v>13.378</v>
      </c>
      <c r="W167" s="18" t="n">
        <f aca="false">N(W162)+N(W163)+N(W164)+N(W165)+N(W166)</f>
        <v>10.08</v>
      </c>
      <c r="X167" s="18" t="n">
        <f aca="false">N(X162)+N(X163)+N(X164)+N(X165)+N(X166)</f>
        <v>45.653</v>
      </c>
      <c r="Y167" s="18" t="n">
        <f aca="false">N(Y162)+N(Y163)+N(Y164)+N(Y165)+N(Y166)</f>
        <v>9.778</v>
      </c>
      <c r="Z167" s="18" t="n">
        <f aca="false">N(Z162)+N(Z163)+N(Z164)+N(Z165)+N(Z166)</f>
        <v>10.15</v>
      </c>
      <c r="AA167" s="18" t="n">
        <f aca="false">N(AA162)+N(AA163)+N(AA164)+N(AA165)+N(AA166)</f>
        <v>9.377</v>
      </c>
      <c r="AB167" s="18" t="n">
        <f aca="false">N(AB162)+N(AB163)+N(AB164)+N(AB165)+N(AB166)</f>
        <v>11.147</v>
      </c>
      <c r="AC167" s="18" t="n">
        <f aca="false">N(AC162)+N(AC163)+N(AC164)+N(AC165)+N(AC166)</f>
        <v>40.452</v>
      </c>
      <c r="AD167" s="18" t="n">
        <f aca="false">N(AD162)+N(AD163)+N(AD164)+N(AD165)+N(AD166)</f>
        <v>8.959</v>
      </c>
      <c r="AE167" s="18" t="n">
        <f aca="false">N(AE162)+N(AE163)+N(AE164)+N(AE165)+N(AE166)</f>
        <v>10.514</v>
      </c>
      <c r="AF167" s="18" t="n">
        <f aca="false">N(AF162)+N(AF163)+N(AF164)+N(AF165)+N(AF166)</f>
        <v>10.967</v>
      </c>
      <c r="AG167" s="18" t="n">
        <f aca="false">N(AG162)+N(AG163)+N(AG164)+N(AG165)+N(AG166)</f>
        <v>11.817</v>
      </c>
      <c r="AH167" s="18" t="n">
        <f aca="false">N(AH162)+N(AH163)+N(AH164)+N(AH165)+N(AH166)</f>
        <v>42.331</v>
      </c>
      <c r="AI167" s="18" t="n">
        <f aca="false">N(AI162)+N(AI163)+N(AI164)+N(AI165)+N(AI166)</f>
        <v>13.934</v>
      </c>
      <c r="AJ167" s="18" t="n">
        <f aca="false">N(AJ162)+N(AJ163)+N(AJ164)+N(AJ165)+N(AJ166)</f>
        <v>20.734</v>
      </c>
      <c r="AK167" s="18" t="n">
        <f aca="false">N(AK162)+N(AK163)+N(AK164)+N(AK165)+N(AK166)</f>
        <v>18.438</v>
      </c>
      <c r="AL167" s="18" t="n">
        <f aca="false">N(AL162)+N(AL163)+N(AL164)+N(AL165)+N(AL166)</f>
        <v>13.609</v>
      </c>
      <c r="AM167" s="18" t="n">
        <f aca="false">N(AM162)+N(AM163)+N(AM164)+N(AM165)+N(AM166)</f>
        <v>66.715</v>
      </c>
      <c r="AN167" s="18" t="n">
        <f aca="false">N(AN162)+N(AN163)+N(AN164)+N(AN165)+N(AN166)</f>
        <v>12.346</v>
      </c>
      <c r="AO167" s="18" t="n">
        <f aca="false">N(AO162)+N(AO163)+N(AO164)+N(AO165)+N(AO166)</f>
        <v>16.488</v>
      </c>
      <c r="AP167" s="18" t="n">
        <f aca="false">N(AP162)+N(AP163)+N(AP164)+N(AP165)+N(AP166)</f>
        <v>16.232</v>
      </c>
      <c r="AQ167" s="18" t="n">
        <f aca="false">N(AQ162)+N(AQ163)+N(AQ164)+N(AQ165)+N(AQ166)</f>
        <v>16.922</v>
      </c>
      <c r="AR167" s="18" t="n">
        <f aca="false">N(AR162)+N(AR163)+N(AR164)+N(AR165)+N(AR166)</f>
        <v>61.988</v>
      </c>
      <c r="AS167" s="18" t="n">
        <f aca="false">N(AS162)+N(AS163)+N(AS164)+N(AS165)+N(AS166)</f>
        <v>23.893</v>
      </c>
      <c r="AT167" s="18" t="n">
        <f aca="false">N(AT162)+N(AT163)+N(AT164)+N(AT165)+N(AT166)</f>
        <v>19.558</v>
      </c>
      <c r="AU167" s="18" t="n">
        <f aca="false">N(AU162)+N(AU163)+N(AU164)+N(AU165)+N(AU166)</f>
        <v>25.03</v>
      </c>
      <c r="AV167" s="18" t="n">
        <f aca="false">N(AV162)+N(AV163)+N(AV164)+N(AV165)+N(AV166)</f>
        <v>78.559</v>
      </c>
      <c r="AW167" s="18" t="n">
        <f aca="false">N(AW162)+N(AW163)+N(AW164)+N(AW165)+N(AW166)</f>
        <v>147.04</v>
      </c>
      <c r="AX167" s="18" t="n">
        <f aca="false">N(AX162)+N(AX163)+N(AX164)+N(AX165)+N(AX166)</f>
        <v>24.007</v>
      </c>
      <c r="AY167" s="18" t="n">
        <f aca="false">N(AY162)+N(AY163)+N(AY164)+N(AY165)+N(AY166)</f>
        <v>17.145</v>
      </c>
      <c r="AZ167" s="18" t="n">
        <f aca="false">N(AZ162)+N(AZ163)+N(AZ164)+N(AZ165)+N(AZ166)</f>
        <v>21.311</v>
      </c>
      <c r="BA167" s="18" t="n">
        <f aca="false">N(BA162)+N(BA163)+N(BA164)+N(BA165)+N(BA166)</f>
        <v>19.964</v>
      </c>
      <c r="BB167" s="18" t="n">
        <f aca="false">N(BB162)+N(BB163)+N(BB164)+N(BB165)+N(BB166)</f>
        <v>82.427</v>
      </c>
      <c r="BC167" s="18" t="n">
        <f aca="false">N(BC162)+N(BC163)+N(BC164)+N(BC165)+N(BC166)</f>
        <v>19.486</v>
      </c>
      <c r="BD167" s="18" t="n">
        <f aca="false">N(BD162)+N(BD163)+N(BD164)+N(BD165)+N(BD166)</f>
        <v>18.616</v>
      </c>
      <c r="BE167" s="18" t="n">
        <f aca="false">N(BE162)+N(BE163)+N(BE164)+N(BE165)+N(BE166)</f>
        <v>23.524</v>
      </c>
      <c r="BF167" s="18" t="n">
        <f aca="false">N(BF162)+N(BF163)+N(BF164)+N(BF165)+N(BF166)</f>
        <v>27.23</v>
      </c>
      <c r="BG167" s="18" t="n">
        <f aca="false">N(BG162)+N(BG163)+N(BG164)+N(BG165)+N(BG166)</f>
        <v>88.856</v>
      </c>
      <c r="BH167" s="18" t="n">
        <f aca="false">N(BH162)+N(BH163)+N(BH164)+N(BH165)+N(BH166)</f>
        <v>25.045</v>
      </c>
      <c r="BI167" s="18" t="n">
        <f aca="false">N(BI162)+N(BI163)+N(BI164)+N(BI165)+N(BI166)</f>
        <v>21.566</v>
      </c>
      <c r="BJ167" s="18" t="n">
        <f aca="false">N(BJ162)+N(BJ163)+N(BJ164)+N(BJ165)+N(BJ166)</f>
        <v>23.204</v>
      </c>
      <c r="BK167" s="18" t="n">
        <f aca="false">N(BK162)+N(BK163)+N(BK164)+N(BK165)+N(BK166)</f>
        <v>32.1</v>
      </c>
      <c r="BL167" s="18" t="n">
        <f aca="false">N(BL162)+N(BL163)+N(BL164)+N(BL165)+N(BL166)</f>
        <v>101.9</v>
      </c>
      <c r="BM167" s="18" t="n">
        <f aca="false">N(BM162)+N(BM163)+N(BM164)+N(BM165)+N(BM166)</f>
        <v>25.1</v>
      </c>
      <c r="BN167" s="18" t="n">
        <f aca="false">N(BN162)+N(BN163)+N(BN164)+N(BN165)+N(BN166)</f>
        <v>28.7</v>
      </c>
      <c r="BO167" s="18" t="n">
        <f aca="false">N(BO162)+N(BO163)+N(BO164)+N(BO165)+N(BO166)</f>
        <v>25.1</v>
      </c>
      <c r="BP167" s="18" t="n">
        <f aca="false">N(BP162)+N(BP163)+N(BP164)+N(BP165)+N(BP166)</f>
        <v>39</v>
      </c>
      <c r="BQ167" s="18" t="n">
        <f aca="false">N(BQ162)+N(BQ163)+N(BQ164)+N(BQ165)+N(BQ166)</f>
        <v>117.8</v>
      </c>
      <c r="BR167" s="18" t="n">
        <f aca="false">N(BR162)+N(BR163)+N(BR164)+N(BR165)+N(BR166)</f>
        <v>66.4</v>
      </c>
      <c r="BS167" s="18" t="n">
        <f aca="false">N(BS162)+N(BS163)+N(BS164)+N(BS165)+N(BS166)</f>
        <v>56.4</v>
      </c>
      <c r="BT167" s="18" t="n">
        <f aca="false">N(BT162)+N(BT163)+N(BT164)+N(BT165)+N(BT166)</f>
        <v>101.9</v>
      </c>
      <c r="BU167" s="18" t="n">
        <f aca="false">N(BU162)+N(BU163)+N(BU164)+N(BU165)+N(BU166)</f>
        <v>48</v>
      </c>
      <c r="BV167" s="18" t="n">
        <f aca="false">N(BV162)+N(BV163)+N(BV164)+N(BV165)+N(BV166)</f>
        <v>272</v>
      </c>
      <c r="BW167" s="18" t="n">
        <f aca="false">N(BW162)+N(BW163)+N(BW164)+N(BW165)+N(BW166)</f>
        <v>51</v>
      </c>
      <c r="BX167" s="18" t="n">
        <f aca="false">N(BX162)+N(BX163)+N(BX164)+N(BX165)+N(BX166)</f>
        <v>27</v>
      </c>
      <c r="BY167" s="20" t="n">
        <f aca="false">N(BY162)+N(BY163)+N(BY164)+N(BY165)+N(BY166)</f>
        <v>44</v>
      </c>
      <c r="BZ167" s="20" t="n">
        <f aca="false">N(BZ162)+N(BZ163)+N(BZ164)+N(BZ165)+N(BZ166)</f>
        <v>45</v>
      </c>
      <c r="CA167" s="20" t="n">
        <f aca="false">N(CA162)+N(CA163)+N(CA164)+N(CA165)+N(CA166)</f>
        <v>167</v>
      </c>
      <c r="CB167" s="20" t="n">
        <f aca="false">N(CB162)+N(CB163)+N(CB164)+N(CB165)+N(CB166)</f>
        <v>187.99599614065</v>
      </c>
      <c r="CC167" s="20" t="n">
        <f aca="false">N(CC162)+N(CC163)+N(CC164)+N(CC165)+N(CC166)</f>
        <v>200.035165021428</v>
      </c>
      <c r="CD167" s="20" t="n">
        <f aca="false">N(CD162)+N(CD163)+N(CD164)+N(CD165)+N(CD166)</f>
        <v>217.402606717507</v>
      </c>
      <c r="CE167" s="20" t="n">
        <f aca="false">N(CE162)+N(CE163)+N(CE164)+N(CE165)+N(CE166)</f>
        <v>234.859780113142</v>
      </c>
      <c r="CF167" s="21"/>
    </row>
    <row r="168" customFormat="false" ht="15" hidden="false" customHeight="true" outlineLevel="0" collapsed="false">
      <c r="B168" s="50" t="s">
        <v>360</v>
      </c>
      <c r="C168" s="51" t="n">
        <f aca="false">C159+C167</f>
        <v>25.89</v>
      </c>
      <c r="D168" s="51" t="n">
        <f aca="false">D159+D167</f>
        <v>33.999</v>
      </c>
      <c r="E168" s="51" t="n">
        <f aca="false">E159+E167</f>
        <v>56.589</v>
      </c>
      <c r="F168" s="51" t="n">
        <f aca="false">F159+F167</f>
        <v>54.332</v>
      </c>
      <c r="G168" s="51" t="n">
        <f aca="false">G159+G167</f>
        <v>51.317</v>
      </c>
      <c r="H168" s="51" t="n">
        <f aca="false">H159+H167</f>
        <v>56.947</v>
      </c>
      <c r="I168" s="51" t="n">
        <f aca="false">I159+I167</f>
        <v>86.398</v>
      </c>
      <c r="J168" s="51" t="n">
        <f aca="false">J159+J167</f>
        <v>25.67</v>
      </c>
      <c r="K168" s="51" t="n">
        <f aca="false">K159+K167</f>
        <v>32.621</v>
      </c>
      <c r="L168" s="51" t="n">
        <f aca="false">L159+L167</f>
        <v>37.671</v>
      </c>
      <c r="M168" s="51" t="n">
        <f aca="false">M159+M167</f>
        <v>40.799</v>
      </c>
      <c r="N168" s="51" t="n">
        <f aca="false">N159+N167</f>
        <v>136.761</v>
      </c>
      <c r="O168" s="51" t="n">
        <f aca="false">O159+O167</f>
        <v>37.038</v>
      </c>
      <c r="P168" s="51" t="n">
        <f aca="false">P159+P167</f>
        <v>45.316</v>
      </c>
      <c r="Q168" s="51" t="n">
        <f aca="false">Q159+Q167</f>
        <v>51.792</v>
      </c>
      <c r="R168" s="51" t="n">
        <f aca="false">R159+R167</f>
        <v>54.322</v>
      </c>
      <c r="S168" s="51" t="n">
        <f aca="false">S159+S167</f>
        <v>188.468</v>
      </c>
      <c r="T168" s="51" t="n">
        <f aca="false">T159+T167</f>
        <v>23.774</v>
      </c>
      <c r="U168" s="51" t="n">
        <f aca="false">U159+U167</f>
        <v>11.272</v>
      </c>
      <c r="V168" s="51" t="n">
        <f aca="false">V159+V167</f>
        <v>35.467</v>
      </c>
      <c r="W168" s="51" t="n">
        <f aca="false">W159+W167</f>
        <v>65.127</v>
      </c>
      <c r="X168" s="51" t="n">
        <f aca="false">X159+X167</f>
        <v>135.64</v>
      </c>
      <c r="Y168" s="51" t="n">
        <f aca="false">Y159+Y167</f>
        <v>57.6</v>
      </c>
      <c r="Z168" s="51" t="n">
        <f aca="false">Z159+Z167</f>
        <v>55.709</v>
      </c>
      <c r="AA168" s="51" t="n">
        <f aca="false">AA159+AA167</f>
        <v>67.053</v>
      </c>
      <c r="AB168" s="51" t="n">
        <f aca="false">AB159+AB167</f>
        <v>75.16</v>
      </c>
      <c r="AC168" s="51" t="n">
        <f aca="false">AC159+AC167</f>
        <v>255.522</v>
      </c>
      <c r="AD168" s="51" t="n">
        <f aca="false">AD159+AD167</f>
        <v>63.919</v>
      </c>
      <c r="AE168" s="51" t="n">
        <f aca="false">AE159+AE167</f>
        <v>54.257</v>
      </c>
      <c r="AF168" s="51" t="n">
        <f aca="false">AF159+AF167</f>
        <v>83.599</v>
      </c>
      <c r="AG168" s="51" t="n">
        <f aca="false">AG159+AG167</f>
        <v>77.941</v>
      </c>
      <c r="AH168" s="51" t="n">
        <f aca="false">AH159+AH167</f>
        <v>279.79</v>
      </c>
      <c r="AI168" s="51" t="n">
        <f aca="false">AI159+AI167</f>
        <v>84.362</v>
      </c>
      <c r="AJ168" s="51" t="n">
        <f aca="false">AJ159+AJ167</f>
        <v>85.092</v>
      </c>
      <c r="AK168" s="51" t="n">
        <f aca="false">AK159+AK167</f>
        <v>109.559</v>
      </c>
      <c r="AL168" s="51" t="n">
        <f aca="false">AL159+AL167</f>
        <v>139.009</v>
      </c>
      <c r="AM168" s="51" t="n">
        <f aca="false">AM159+AM167</f>
        <v>418.022</v>
      </c>
      <c r="AN168" s="51" t="n">
        <f aca="false">AN159+AN167</f>
        <v>125.497</v>
      </c>
      <c r="AO168" s="51" t="n">
        <f aca="false">AO159+AO167</f>
        <v>110.042</v>
      </c>
      <c r="AP168" s="51" t="n">
        <f aca="false">AP159+AP167</f>
        <v>129.323</v>
      </c>
      <c r="AQ168" s="51" t="n">
        <f aca="false">AQ159+AQ167</f>
        <v>141.838</v>
      </c>
      <c r="AR168" s="51" t="n">
        <f aca="false">AR159+AR167</f>
        <v>506.7</v>
      </c>
      <c r="AS168" s="51" t="n">
        <f aca="false">AS159+AS167</f>
        <v>124.013</v>
      </c>
      <c r="AT168" s="51" t="n">
        <f aca="false">AT159+AT167</f>
        <v>128.856</v>
      </c>
      <c r="AU168" s="51" t="n">
        <f aca="false">AU159+AU167</f>
        <v>133.515</v>
      </c>
      <c r="AV168" s="51" t="n">
        <f aca="false">AV159+AV167</f>
        <v>166.802</v>
      </c>
      <c r="AW168" s="51" t="n">
        <f aca="false">AW159+AW167</f>
        <v>553.186</v>
      </c>
      <c r="AX168" s="51" t="n">
        <f aca="false">AX159+AX167</f>
        <v>159.543</v>
      </c>
      <c r="AY168" s="51" t="n">
        <f aca="false">AY159+AY167</f>
        <v>150.477</v>
      </c>
      <c r="AZ168" s="51" t="n">
        <f aca="false">AZ159+AZ167</f>
        <v>143.983</v>
      </c>
      <c r="BA168" s="51" t="n">
        <f aca="false">BA159+BA167</f>
        <v>193.405</v>
      </c>
      <c r="BB168" s="51" t="n">
        <f aca="false">BB159+BB167</f>
        <v>647.408</v>
      </c>
      <c r="BC168" s="51" t="n">
        <f aca="false">BC159+BC167</f>
        <v>177.916</v>
      </c>
      <c r="BD168" s="51" t="n">
        <f aca="false">BD159+BD167</f>
        <v>158.624</v>
      </c>
      <c r="BE168" s="51" t="n">
        <f aca="false">BE159+BE167</f>
        <v>152.673</v>
      </c>
      <c r="BF168" s="51" t="n">
        <f aca="false">BF159+BF167</f>
        <v>182.298</v>
      </c>
      <c r="BG168" s="51" t="n">
        <f aca="false">BG159+BG167</f>
        <v>671.511</v>
      </c>
      <c r="BH168" s="51" t="n">
        <f aca="false">BH159+BH167</f>
        <v>122.893</v>
      </c>
      <c r="BI168" s="51" t="n">
        <f aca="false">BI159+BI167</f>
        <v>126.775</v>
      </c>
      <c r="BJ168" s="51" t="n">
        <f aca="false">BJ159+BJ167</f>
        <v>111.923</v>
      </c>
      <c r="BK168" s="51" t="n">
        <f aca="false">BK159+BK167</f>
        <v>130.139</v>
      </c>
      <c r="BL168" s="51" t="n">
        <f aca="false">BL159+BL167</f>
        <v>491.7</v>
      </c>
      <c r="BM168" s="51" t="n">
        <f aca="false">BM159+BM167</f>
        <v>12.4000000000001</v>
      </c>
      <c r="BN168" s="51" t="n">
        <f aca="false">BN159+BN167</f>
        <v>40.8</v>
      </c>
      <c r="BO168" s="51" t="n">
        <f aca="false">BO159+BO167</f>
        <v>75.9</v>
      </c>
      <c r="BP168" s="51" t="n">
        <f aca="false">BP159+BP167</f>
        <v>111.9</v>
      </c>
      <c r="BQ168" s="51" t="n">
        <f aca="false">BQ159+BQ167</f>
        <v>240.8</v>
      </c>
      <c r="BR168" s="51" t="n">
        <f aca="false">BR159+BR167</f>
        <v>65.6000000000001</v>
      </c>
      <c r="BS168" s="51" t="n">
        <f aca="false">BS159+BS167</f>
        <v>85</v>
      </c>
      <c r="BT168" s="51" t="n">
        <f aca="false">BT159+BT167</f>
        <v>114.6</v>
      </c>
      <c r="BU168" s="51" t="n">
        <f aca="false">BU159+BU167</f>
        <v>177.1</v>
      </c>
      <c r="BV168" s="51" t="n">
        <f aca="false">BV159+BV167</f>
        <v>442</v>
      </c>
      <c r="BW168" s="51" t="n">
        <f aca="false">BW159+BW167</f>
        <v>132</v>
      </c>
      <c r="BX168" s="51" t="n">
        <f aca="false">BX159+BX167</f>
        <v>184</v>
      </c>
      <c r="BY168" s="51" t="n">
        <f aca="false">BY159+BY167</f>
        <v>206.775225204273</v>
      </c>
      <c r="BZ168" s="51" t="n">
        <f aca="false">BZ159+BZ167</f>
        <v>292.611963836823</v>
      </c>
      <c r="CA168" s="51" t="n">
        <f aca="false">CA159+CA167</f>
        <v>815.387189041096</v>
      </c>
      <c r="CB168" s="51" t="n">
        <f aca="false">CB159+CB167</f>
        <v>1003.97340495967</v>
      </c>
      <c r="CC168" s="51" t="n">
        <f aca="false">CC159+CC167</f>
        <v>1235.67510559215</v>
      </c>
      <c r="CD168" s="51" t="n">
        <f aca="false">CD159+CD167</f>
        <v>1496.51941545259</v>
      </c>
      <c r="CE168" s="51" t="n">
        <f aca="false">CE159+CE167</f>
        <v>1782.82557526144</v>
      </c>
      <c r="CF168" s="21" t="s">
        <v>361</v>
      </c>
      <c r="CH168" s="22" t="n">
        <f aca="false">IFERROR((CE168/BV168)^(1/5)-1,"n/m")</f>
        <v>0.32171347362176</v>
      </c>
      <c r="CI168" s="22" t="n">
        <f aca="false">IFERROR((BV168/AW168)^(1/5)-1,"n/m")</f>
        <v>-0.0438848104402632</v>
      </c>
      <c r="CJ168" s="22" t="n">
        <f aca="false">IFERROR((BV168/X168)^(1/10)-1,"n/m")</f>
        <v>0.12539102887025</v>
      </c>
      <c r="CK168" s="22" t="n">
        <f aca="false">IFERROR((BV168/C168)^(1/19)-1,"n/m")</f>
        <v>0.161067262754998</v>
      </c>
    </row>
    <row r="169" customFormat="false" ht="15" hidden="false" customHeight="true" outlineLevel="0" collapsed="false">
      <c r="B169" s="29" t="s">
        <v>124</v>
      </c>
      <c r="C169" s="25" t="n">
        <f aca="false">IF(AND(ISNUMBER(C168),ISNUMBER(C121)),IFERROR(C168/C121,""),"")</f>
        <v>0.162943941997243</v>
      </c>
      <c r="D169" s="25" t="n">
        <f aca="false">IF(AND(ISNUMBER(D168),ISNUMBER(D121)),IFERROR(D168/D121,""),"")</f>
        <v>0.176338787894505</v>
      </c>
      <c r="E169" s="25" t="n">
        <f aca="false">IF(AND(ISNUMBER(E168),ISNUMBER(E121)),IFERROR(E168/E121,""),"")</f>
        <v>0.266391436157192</v>
      </c>
      <c r="F169" s="25" t="n">
        <f aca="false">IF(AND(ISNUMBER(F168),ISNUMBER(F121)),IFERROR(F168/F121,""),"")</f>
        <v>0.259144611011213</v>
      </c>
      <c r="G169" s="25" t="n">
        <f aca="false">IF(AND(ISNUMBER(G168),ISNUMBER(G121)),IFERROR(G168/G121,""),"")</f>
        <v>0.226805445063202</v>
      </c>
      <c r="H169" s="25" t="n">
        <f aca="false">IF(AND(ISNUMBER(H168),ISNUMBER(H121)),IFERROR(H168/H121,""),"")</f>
        <v>0.226215350880678</v>
      </c>
      <c r="I169" s="25" t="n">
        <f aca="false">IF(AND(ISNUMBER(I168),ISNUMBER(I121)),IFERROR(I168/I121,""),"")</f>
        <v>0.246896575373783</v>
      </c>
      <c r="J169" s="25" t="n">
        <f aca="false">IF(AND(ISNUMBER(J168),ISNUMBER(J121)),IFERROR(J168/J121,""),"")</f>
        <v>0.246748627839243</v>
      </c>
      <c r="K169" s="25" t="n">
        <f aca="false">IF(AND(ISNUMBER(K168),ISNUMBER(K121)),IFERROR(K168/K121,""),"")</f>
        <v>0.299277975027294</v>
      </c>
      <c r="L169" s="25" t="n">
        <f aca="false">IF(AND(ISNUMBER(L168),ISNUMBER(L121)),IFERROR(L168/L121,""),"")</f>
        <v>0.335446701276035</v>
      </c>
      <c r="M169" s="25" t="n">
        <f aca="false">IF(AND(ISNUMBER(M168),ISNUMBER(M121)),IFERROR(M168/M121,""),"")</f>
        <v>0.35290199809705</v>
      </c>
      <c r="N169" s="25" t="n">
        <f aca="false">IF(AND(ISNUMBER(N168),ISNUMBER(N121)),IFERROR(N168/N121,""),"")</f>
        <v>0.310155734414652</v>
      </c>
      <c r="O169" s="25" t="n">
        <f aca="false">IF(AND(ISNUMBER(O168),ISNUMBER(O121)),IFERROR(O168/O121,""),"")</f>
        <v>0.311045046860828</v>
      </c>
      <c r="P169" s="25" t="n">
        <f aca="false">IF(AND(ISNUMBER(P168),ISNUMBER(P121)),IFERROR(P168/P121,""),"")</f>
        <v>0.306794486419151</v>
      </c>
      <c r="Q169" s="25" t="n">
        <f aca="false">IF(AND(ISNUMBER(Q168),ISNUMBER(Q121)),IFERROR(Q168/Q121,""),"")</f>
        <v>0.338385950240435</v>
      </c>
      <c r="R169" s="25" t="n">
        <f aca="false">IF(AND(ISNUMBER(R168),ISNUMBER(R121)),IFERROR(R168/R121,""),"")</f>
        <v>0.348003792537925</v>
      </c>
      <c r="S169" s="25" t="n">
        <f aca="false">IF(AND(ISNUMBER(S168),ISNUMBER(S121)),IFERROR(S168/S121,""),"")</f>
        <v>0.327237748638738</v>
      </c>
      <c r="T169" s="25" t="n">
        <f aca="false">IF(AND(ISNUMBER(T168),ISNUMBER(T121)),IFERROR(T168/T121,""),"")</f>
        <v>0.149503207143756</v>
      </c>
      <c r="U169" s="25" t="n">
        <f aca="false">IF(AND(ISNUMBER(U168),ISNUMBER(U121)),IFERROR(U168/U121,""),"")</f>
        <v>0.0660506161481804</v>
      </c>
      <c r="V169" s="25" t="n">
        <f aca="false">IF(AND(ISNUMBER(V168),ISNUMBER(V121)),IFERROR(V168/V121,""),"")</f>
        <v>0.187578671236209</v>
      </c>
      <c r="W169" s="25" t="n">
        <f aca="false">IF(AND(ISNUMBER(W168),ISNUMBER(W121)),IFERROR(W168/W121,""),"")</f>
        <v>0.337429860783694</v>
      </c>
      <c r="X169" s="25" t="n">
        <f aca="false">IF(AND(ISNUMBER(X168),ISNUMBER(X121)),IFERROR(X168/X121,""),"")</f>
        <v>0.190568784035158</v>
      </c>
      <c r="Y169" s="25" t="n">
        <f aca="false">IF(AND(ISNUMBER(Y168),ISNUMBER(Y121)),IFERROR(Y168/Y121,""),"")</f>
        <v>0.288376331112101</v>
      </c>
      <c r="Z169" s="25" t="n">
        <f aca="false">IF(AND(ISNUMBER(Z168),ISNUMBER(Z121)),IFERROR(Z168/Z121,""),"")</f>
        <v>0.269296027921051</v>
      </c>
      <c r="AA169" s="25" t="n">
        <f aca="false">IF(AND(ISNUMBER(AA168),ISNUMBER(AA121)),IFERROR(AA168/AA121,""),"")</f>
        <v>0.315230524044361</v>
      </c>
      <c r="AB169" s="25" t="n">
        <f aca="false">IF(AND(ISNUMBER(AB168),ISNUMBER(AB121)),IFERROR(AB168/AB121,""),"")</f>
        <v>0.344279491184595</v>
      </c>
      <c r="AC169" s="25" t="n">
        <f aca="false">IF(AND(ISNUMBER(AC168),ISNUMBER(AC121)),IFERROR(AC168/AC121,""),"")</f>
        <v>0.30505354392751</v>
      </c>
      <c r="AD169" s="25" t="n">
        <f aca="false">IF(AND(ISNUMBER(AD168),ISNUMBER(AD121)),IFERROR(AD168/AD121,""),"")</f>
        <v>0.282137071678592</v>
      </c>
      <c r="AE169" s="25" t="n">
        <f aca="false">IF(AND(ISNUMBER(AE168),ISNUMBER(AE121)),IFERROR(AE168/AE121,""),"")</f>
        <v>0.228784792939579</v>
      </c>
      <c r="AF169" s="25" t="n">
        <f aca="false">IF(AND(ISNUMBER(AF168),ISNUMBER(AF121)),IFERROR(AF168/AF121,""),"")</f>
        <v>0.337728706879487</v>
      </c>
      <c r="AG169" s="25" t="n">
        <f aca="false">IF(AND(ISNUMBER(AG168),ISNUMBER(AG121)),IFERROR(AG168/AG121,""),"")</f>
        <v>0.306865203885177</v>
      </c>
      <c r="AH169" s="25" t="n">
        <f aca="false">IF(AND(ISNUMBER(AH168),ISNUMBER(AH121)),IFERROR(AH168/AH121,""),"")</f>
        <v>0.289868735948945</v>
      </c>
      <c r="AI169" s="25" t="n">
        <f aca="false">IF(AND(ISNUMBER(AI168),ISNUMBER(AI121)),IFERROR(AI168/AI121,""),"")</f>
        <v>0.308207717431809</v>
      </c>
      <c r="AJ169" s="25" t="n">
        <f aca="false">IF(AND(ISNUMBER(AJ168),ISNUMBER(AJ121)),IFERROR(AJ168/AJ121,""),"")</f>
        <v>0.286487687614892</v>
      </c>
      <c r="AK169" s="25" t="n">
        <f aca="false">IF(AND(ISNUMBER(AK168),ISNUMBER(AK121)),IFERROR(AK168/AK121,""),"")</f>
        <v>0.35859258653138</v>
      </c>
      <c r="AL169" s="25" t="n">
        <f aca="false">IF(AND(ISNUMBER(AL168),ISNUMBER(AL121)),IFERROR(AL168/AL121,""),"")</f>
        <v>0.440499919194096</v>
      </c>
      <c r="AM169" s="25" t="n">
        <f aca="false">IF(AND(ISNUMBER(AM168),ISNUMBER(AM121)),IFERROR(AM168/AM121,""),"")</f>
        <v>0.350739030333134</v>
      </c>
      <c r="AN169" s="25" t="n">
        <f aca="false">IF(AND(ISNUMBER(AN168),ISNUMBER(AN121)),IFERROR(AN168/AN121,""),"")</f>
        <v>0.382117682880414</v>
      </c>
      <c r="AO169" s="25" t="n">
        <f aca="false">IF(AND(ISNUMBER(AO168),ISNUMBER(AO121)),IFERROR(AO168/AO121,""),"")</f>
        <v>0.320112869443798</v>
      </c>
      <c r="AP169" s="25" t="n">
        <f aca="false">IF(AND(ISNUMBER(AP168),ISNUMBER(AP121)),IFERROR(AP168/AP121,""),"")</f>
        <v>0.366553479512936</v>
      </c>
      <c r="AQ169" s="25" t="n">
        <f aca="false">IF(AND(ISNUMBER(AQ168),ISNUMBER(AQ121)),IFERROR(AQ168/AQ121,""),"")</f>
        <v>0.378511232206999</v>
      </c>
      <c r="AR169" s="25" t="n">
        <f aca="false">IF(AND(ISNUMBER(AR168),ISNUMBER(AR121)),IFERROR(AR168/AR121,""),"")</f>
        <v>0.362001230246928</v>
      </c>
      <c r="AS169" s="25" t="n">
        <f aca="false">IF(AND(ISNUMBER(AS168),ISNUMBER(AS121)),IFERROR(AS168/AS121,""),"")</f>
        <v>0.316483219215663</v>
      </c>
      <c r="AT169" s="25" t="n">
        <f aca="false">IF(AND(ISNUMBER(AT168),ISNUMBER(AT121)),IFERROR(AT168/AT121,""),"")</f>
        <v>0.324444366110298</v>
      </c>
      <c r="AU169" s="25" t="n">
        <f aca="false">IF(AND(ISNUMBER(AU168),ISNUMBER(AU121)),IFERROR(AU168/AU121,""),"")</f>
        <v>0.313695315069781</v>
      </c>
      <c r="AV169" s="25" t="n">
        <f aca="false">IF(AND(ISNUMBER(AV168),ISNUMBER(AV121)),IFERROR(AV168/AV121,""),"")</f>
        <v>0.37534794652481</v>
      </c>
      <c r="AW169" s="25" t="n">
        <f aca="false">IF(AND(ISNUMBER(AW168),ISNUMBER(AW121)),IFERROR(AW168/AW121,""),"")</f>
        <v>0.333441630264632</v>
      </c>
      <c r="AX169" s="25" t="n">
        <f aca="false">IF(AND(ISNUMBER(AX168),ISNUMBER(AX121)),IFERROR(AX168/AX121,""),"")</f>
        <v>0.348577770883357</v>
      </c>
      <c r="AY169" s="25" t="n">
        <f aca="false">IF(AND(ISNUMBER(AY168),ISNUMBER(AY121)),IFERROR(AY168/AY121,""),"")</f>
        <v>0.31327641448745</v>
      </c>
      <c r="AZ169" s="25" t="n">
        <f aca="false">IF(AND(ISNUMBER(AZ168),ISNUMBER(AZ121)),IFERROR(AZ168/AZ121,""),"")</f>
        <v>0.288358744610159</v>
      </c>
      <c r="BA169" s="25" t="n">
        <f aca="false">IF(AND(ISNUMBER(BA168),ISNUMBER(BA121)),IFERROR(BA168/BA121,""),"")</f>
        <v>0.381630510708662</v>
      </c>
      <c r="BB169" s="25" t="n">
        <f aca="false">IF(AND(ISNUMBER(BB168),ISNUMBER(BB121)),IFERROR(BB168/BB121,""),"")</f>
        <v>0.333005681189835</v>
      </c>
      <c r="BC169" s="25" t="n">
        <f aca="false">IF(AND(ISNUMBER(BC168),ISNUMBER(BC121)),IFERROR(BC168/BC121,""),"")</f>
        <v>0.344915426743566</v>
      </c>
      <c r="BD169" s="25" t="n">
        <f aca="false">IF(AND(ISNUMBER(BD168),ISNUMBER(BD121)),IFERROR(BD168/BD121,""),"")</f>
        <v>0.295770340923499</v>
      </c>
      <c r="BE169" s="25" t="n">
        <f aca="false">IF(AND(ISNUMBER(BE168),ISNUMBER(BE121)),IFERROR(BE168/BE121,""),"")</f>
        <v>0.27413762454639</v>
      </c>
      <c r="BF169" s="25" t="n">
        <f aca="false">IF(AND(ISNUMBER(BF168),ISNUMBER(BF121)),IFERROR(BF168/BF121,""),"")</f>
        <v>0.317955157889229</v>
      </c>
      <c r="BG169" s="25" t="n">
        <f aca="false">IF(AND(ISNUMBER(BG168),ISNUMBER(BG121)),IFERROR(BG168/BG121,""),"")</f>
        <v>0.307693964302586</v>
      </c>
      <c r="BH169" s="25" t="n">
        <f aca="false">IF(AND(ISNUMBER(BH168),ISNUMBER(BH121)),IFERROR(BH168/BH121,""),"")</f>
        <v>0.210301420684982</v>
      </c>
      <c r="BI169" s="25" t="n">
        <f aca="false">IF(AND(ISNUMBER(BI168),ISNUMBER(BI121)),IFERROR(BI168/BI121,""),"")</f>
        <v>0.209232125115117</v>
      </c>
      <c r="BJ169" s="25" t="n">
        <f aca="false">IF(AND(ISNUMBER(BJ168),ISNUMBER(BJ121)),IFERROR(BJ168/BJ121,""),"")</f>
        <v>0.179171689326667</v>
      </c>
      <c r="BK169" s="25" t="n">
        <f aca="false">IF(AND(ISNUMBER(BK168),ISNUMBER(BK121)),IFERROR(BK168/BK121,""),"")</f>
        <v>0.203323443620041</v>
      </c>
      <c r="BL169" s="25" t="n">
        <f aca="false">IF(AND(ISNUMBER(BL168),ISNUMBER(BL121)),IFERROR(BL168/BL121,""),"")</f>
        <v>0.200285132382892</v>
      </c>
      <c r="BM169" s="25" t="n">
        <f aca="false">IF(AND(ISNUMBER(BM168),ISNUMBER(BM121)),IFERROR(BM168/BM121,""),"")</f>
        <v>0.0188909201706277</v>
      </c>
      <c r="BN169" s="25" t="n">
        <f aca="false">IF(AND(ISNUMBER(BN168),ISNUMBER(BN121)),IFERROR(BN168/BN121,""),"")</f>
        <v>0.0601947477131897</v>
      </c>
      <c r="BO169" s="25" t="n">
        <f aca="false">IF(AND(ISNUMBER(BO168),ISNUMBER(BO121)),IFERROR(BO168/BO121,""),"")</f>
        <v>0.109587063239965</v>
      </c>
      <c r="BP169" s="25" t="n">
        <f aca="false">IF(AND(ISNUMBER(BP168),ISNUMBER(BP121)),IFERROR(BP168/BP121,""),"")</f>
        <v>0.157738934310685</v>
      </c>
      <c r="BQ169" s="25" t="n">
        <f aca="false">IF(AND(ISNUMBER(BQ168),ISNUMBER(BQ121)),IFERROR(BQ168/BQ121,""),"")</f>
        <v>0.088005262773189</v>
      </c>
      <c r="BR169" s="25" t="n">
        <f aca="false">IF(AND(ISNUMBER(BR168),ISNUMBER(BR121)),IFERROR(BR168/BR121,""),"")</f>
        <v>0.0895930073750342</v>
      </c>
      <c r="BS169" s="25" t="n">
        <f aca="false">IF(AND(ISNUMBER(BS168),ISNUMBER(BS121)),IFERROR(BS168/BS121,""),"")</f>
        <v>0.108793037245616</v>
      </c>
      <c r="BT169" s="25" t="n">
        <f aca="false">IF(AND(ISNUMBER(BT168),ISNUMBER(BT121)),IFERROR(BT168/BT121,""),"")</f>
        <v>0.137476007677543</v>
      </c>
      <c r="BU169" s="25" t="n">
        <f aca="false">IF(AND(ISNUMBER(BU168),ISNUMBER(BU121)),IFERROR(BU168/BU121,""),"")</f>
        <v>0.196799644404934</v>
      </c>
      <c r="BV169" s="25" t="n">
        <f aca="false">IF(AND(ISNUMBER(BV168),ISNUMBER(BV121)),IFERROR(BV168/BV121,""),"")</f>
        <v>0.136125654450262</v>
      </c>
      <c r="BW169" s="25" t="n">
        <f aca="false">IF(AND(ISNUMBER(BW168),ISNUMBER(BW121)),IFERROR(BW168/BW121,""),"")</f>
        <v>0.147157190635452</v>
      </c>
      <c r="BX169" s="25" t="n">
        <f aca="false">IF(AND(ISNUMBER(BX168),ISNUMBER(BX121)),IFERROR(BX168/BX121,""),"")</f>
        <v>0.198918918918919</v>
      </c>
      <c r="BY169" s="27" t="n">
        <f aca="false">IF(AND(ISNUMBER(BY168),ISNUMBER(BY121)),IFERROR(BY168/BY121,""),"")</f>
        <v>0.213942079220108</v>
      </c>
      <c r="BZ169" s="27" t="n">
        <f aca="false">IF(AND(ISNUMBER(BZ168),ISNUMBER(BZ121)),IFERROR(BZ168/BZ121,""),"")</f>
        <v>0.288742849861252</v>
      </c>
      <c r="CA169" s="27" t="n">
        <f aca="false">IF(AND(ISNUMBER(CA168),ISNUMBER(CA121)),IFERROR(CA168/CA121,""),"")</f>
        <v>0.214468295527443</v>
      </c>
      <c r="CB169" s="27" t="n">
        <f aca="false">IF(AND(ISNUMBER(CB168),ISNUMBER(CB121)),IFERROR(CB168/CB121,""),"")</f>
        <v>0.232137951711533</v>
      </c>
      <c r="CC169" s="27" t="n">
        <f aca="false">IF(AND(ISNUMBER(CC168),ISNUMBER(CC121)),IFERROR(CC168/CC121,""),"")</f>
        <v>0.260093989541949</v>
      </c>
      <c r="CD169" s="27" t="n">
        <f aca="false">IF(AND(ISNUMBER(CD168),ISNUMBER(CD121)),IFERROR(CD168/CD121,""),"")</f>
        <v>0.288621139172262</v>
      </c>
      <c r="CE169" s="27" t="n">
        <f aca="false">IF(AND(ISNUMBER(CE168),ISNUMBER(CE121)),IFERROR(CE168/CE121,""),"")</f>
        <v>0.31714441317418</v>
      </c>
      <c r="CF169" s="28"/>
      <c r="CH169" s="32" t="n">
        <f aca="false">IFERROR(AVERAGE(CA169,CB169,CC169,CD169,CE169),"n/m")</f>
        <v>0.262493157825473</v>
      </c>
      <c r="CI169" s="32" t="n">
        <f aca="false">IFERROR(AVERAGE(BB169,BG169,BL169,BQ169,BV169),"n/m")</f>
        <v>0.213023139019753</v>
      </c>
      <c r="CJ169" s="32" t="n">
        <f aca="false">IFERROR(AVERAGE(AC169,AH169,AM169,AR169,AW169,BB169,BG169,BL169,BQ169,BV169),"n/m")</f>
        <v>0.270621986581991</v>
      </c>
      <c r="CK169" s="32" t="n">
        <f aca="false">IFERROR(AVERAGE(C169,D169,E169,F169,G169,H169,I169,N169,S169,X169,AC169,AH169,AM169,AR169,AW169,BB169,BG169,BL169,BQ169,BV169),"n/m")</f>
        <v>0.254945914064314</v>
      </c>
    </row>
    <row r="170" customFormat="false" ht="15" hidden="false" customHeight="true" outlineLevel="0" collapsed="false">
      <c r="B170" s="33" t="s">
        <v>362</v>
      </c>
      <c r="C170" s="35" t="n">
        <v>25.89</v>
      </c>
      <c r="D170" s="35" t="n">
        <v>33.999</v>
      </c>
      <c r="E170" s="35" t="n">
        <v>56.589</v>
      </c>
      <c r="F170" s="35" t="n">
        <v>54.332</v>
      </c>
      <c r="G170" s="35" t="n">
        <v>51.317</v>
      </c>
      <c r="H170" s="35" t="n">
        <v>56.947</v>
      </c>
      <c r="I170" s="35" t="n">
        <v>86.398</v>
      </c>
      <c r="J170" s="35" t="n">
        <v>25.67</v>
      </c>
      <c r="K170" s="35" t="n">
        <v>32.621</v>
      </c>
      <c r="L170" s="35" t="n">
        <v>37.671</v>
      </c>
      <c r="M170" s="35" t="n">
        <v>40.799</v>
      </c>
      <c r="N170" s="35" t="n">
        <v>136.761</v>
      </c>
      <c r="O170" s="35" t="n">
        <v>37.038</v>
      </c>
      <c r="P170" s="35" t="n">
        <v>45.316</v>
      </c>
      <c r="Q170" s="35" t="n">
        <v>51.792</v>
      </c>
      <c r="R170" s="35" t="n">
        <v>54.322</v>
      </c>
      <c r="S170" s="35" t="n">
        <v>188.468</v>
      </c>
      <c r="T170" s="35" t="n">
        <v>23.774</v>
      </c>
      <c r="U170" s="35" t="n">
        <v>11.272</v>
      </c>
      <c r="V170" s="35" t="n">
        <v>35.467</v>
      </c>
      <c r="W170" s="35" t="n">
        <v>65.127</v>
      </c>
      <c r="X170" s="35" t="n">
        <v>135.64</v>
      </c>
      <c r="Y170" s="35" t="n">
        <v>57.6</v>
      </c>
      <c r="Z170" s="35" t="n">
        <v>55.709</v>
      </c>
      <c r="AA170" s="35" t="n">
        <v>67.053</v>
      </c>
      <c r="AB170" s="35" t="n">
        <v>75.16</v>
      </c>
      <c r="AC170" s="35" t="n">
        <v>255.522</v>
      </c>
      <c r="AD170" s="35" t="n">
        <v>63.919</v>
      </c>
      <c r="AE170" s="35" t="n">
        <v>54.257</v>
      </c>
      <c r="AF170" s="35" t="n">
        <v>83.599</v>
      </c>
      <c r="AG170" s="35" t="n">
        <v>77.941</v>
      </c>
      <c r="AH170" s="35" t="n">
        <v>279.79</v>
      </c>
      <c r="AI170" s="35" t="n">
        <v>84.362</v>
      </c>
      <c r="AJ170" s="35" t="n">
        <v>85.092</v>
      </c>
      <c r="AK170" s="35" t="n">
        <v>109.559</v>
      </c>
      <c r="AL170" s="35" t="n">
        <v>139.009</v>
      </c>
      <c r="AM170" s="35" t="n">
        <v>418.022</v>
      </c>
      <c r="AN170" s="35" t="n">
        <v>125.497</v>
      </c>
      <c r="AO170" s="35" t="n">
        <v>110.042</v>
      </c>
      <c r="AP170" s="35" t="n">
        <v>129.323</v>
      </c>
      <c r="AQ170" s="35" t="n">
        <v>141.838</v>
      </c>
      <c r="AR170" s="35" t="n">
        <v>506.7</v>
      </c>
      <c r="AS170" s="35" t="n">
        <v>124.013</v>
      </c>
      <c r="AT170" s="35" t="n">
        <v>128.856</v>
      </c>
      <c r="AU170" s="35" t="n">
        <v>133.515</v>
      </c>
      <c r="AV170" s="35" t="n">
        <v>166.802</v>
      </c>
      <c r="AW170" s="35" t="n">
        <v>553.186</v>
      </c>
      <c r="AX170" s="35" t="n">
        <v>159.543</v>
      </c>
      <c r="AY170" s="35" t="n">
        <v>150.477</v>
      </c>
      <c r="AZ170" s="35" t="n">
        <v>143.983</v>
      </c>
      <c r="BA170" s="35" t="n">
        <v>193.405</v>
      </c>
      <c r="BB170" s="35" t="n">
        <v>647.408</v>
      </c>
      <c r="BC170" s="35" t="n">
        <v>177.916</v>
      </c>
      <c r="BD170" s="35" t="n">
        <v>158.624</v>
      </c>
      <c r="BE170" s="35" t="n">
        <v>152.673</v>
      </c>
      <c r="BF170" s="35" t="n">
        <v>182.298</v>
      </c>
      <c r="BG170" s="35" t="n">
        <v>671.511</v>
      </c>
      <c r="BH170" s="35" t="n">
        <v>122.893</v>
      </c>
      <c r="BI170" s="35" t="n">
        <v>126.775</v>
      </c>
      <c r="BJ170" s="35" t="n">
        <v>111.923</v>
      </c>
      <c r="BK170" s="35" t="n">
        <v>130.1</v>
      </c>
      <c r="BL170" s="35" t="n">
        <v>491.7</v>
      </c>
      <c r="BM170" s="35" t="n">
        <v>12.4</v>
      </c>
      <c r="BN170" s="35" t="n">
        <v>40.8</v>
      </c>
      <c r="BO170" s="35" t="n">
        <v>75.9</v>
      </c>
      <c r="BP170" s="35" t="n">
        <v>111.9</v>
      </c>
      <c r="BQ170" s="35" t="n">
        <v>240.8</v>
      </c>
      <c r="BR170" s="35" t="n">
        <v>65.6</v>
      </c>
      <c r="BS170" s="35" t="n">
        <v>85</v>
      </c>
      <c r="BT170" s="35" t="n">
        <v>114.6</v>
      </c>
      <c r="BU170" s="35" t="n">
        <v>177</v>
      </c>
      <c r="BV170" s="35" t="n">
        <v>442</v>
      </c>
      <c r="BW170" s="35" t="n">
        <v>132</v>
      </c>
      <c r="BX170" s="35" t="n">
        <v>184</v>
      </c>
      <c r="BY170" s="36"/>
      <c r="BZ170" s="36"/>
      <c r="CA170" s="36"/>
      <c r="CB170" s="36"/>
      <c r="CC170" s="36"/>
      <c r="CD170" s="36"/>
      <c r="CE170" s="36"/>
      <c r="CF170" s="28"/>
    </row>
    <row r="171" customFormat="false" ht="15" hidden="false" customHeight="true" outlineLevel="0" collapsed="false">
      <c r="B171" s="41" t="s">
        <v>363</v>
      </c>
      <c r="C171" s="34" t="n">
        <f aca="false">IF(ISNUMBER(C170),IF(ABS(C168-C170)&lt;=0.15,0,ROUND(C168-C170,1)),"n/p")</f>
        <v>0</v>
      </c>
      <c r="D171" s="34" t="n">
        <f aca="false">IF(ISNUMBER(D170),IF(ABS(D168-D170)&lt;=0.15,0,ROUND(D168-D170,1)),"n/p")</f>
        <v>0</v>
      </c>
      <c r="E171" s="34" t="n">
        <f aca="false">IF(ISNUMBER(E170),IF(ABS(E168-E170)&lt;=0.15,0,ROUND(E168-E170,1)),"n/p")</f>
        <v>0</v>
      </c>
      <c r="F171" s="34" t="n">
        <f aca="false">IF(ISNUMBER(F170),IF(ABS(F168-F170)&lt;=0.15,0,ROUND(F168-F170,1)),"n/p")</f>
        <v>0</v>
      </c>
      <c r="G171" s="34" t="n">
        <f aca="false">IF(ISNUMBER(G170),IF(ABS(G168-G170)&lt;=0.15,0,ROUND(G168-G170,1)),"n/p")</f>
        <v>0</v>
      </c>
      <c r="H171" s="34" t="n">
        <f aca="false">IF(ISNUMBER(H170),IF(ABS(H168-H170)&lt;=0.15,0,ROUND(H168-H170,1)),"n/p")</f>
        <v>0</v>
      </c>
      <c r="I171" s="34" t="n">
        <f aca="false">IF(ISNUMBER(I170),IF(ABS(I168-I170)&lt;=0.15,0,ROUND(I168-I170,1)),"n/p")</f>
        <v>0</v>
      </c>
      <c r="J171" s="34" t="n">
        <f aca="false">IF(ISNUMBER(J170),IF(ABS(J168-J170)&lt;=0.15,0,ROUND(J168-J170,1)),"n/p")</f>
        <v>0</v>
      </c>
      <c r="K171" s="34" t="n">
        <f aca="false">IF(ISNUMBER(K170),IF(ABS(K168-K170)&lt;=0.15,0,ROUND(K168-K170,1)),"n/p")</f>
        <v>0</v>
      </c>
      <c r="L171" s="34" t="n">
        <f aca="false">IF(ISNUMBER(L170),IF(ABS(L168-L170)&lt;=0.15,0,ROUND(L168-L170,1)),"n/p")</f>
        <v>0</v>
      </c>
      <c r="M171" s="34" t="n">
        <f aca="false">IF(ISNUMBER(M170),IF(ABS(M168-M170)&lt;=0.15,0,ROUND(M168-M170,1)),"n/p")</f>
        <v>0</v>
      </c>
      <c r="N171" s="34" t="n">
        <f aca="false">IF(ISNUMBER(N170),IF(ABS(N168-N170)&lt;=0.15,0,ROUND(N168-N170,1)),"n/p")</f>
        <v>0</v>
      </c>
      <c r="O171" s="34" t="n">
        <f aca="false">IF(ISNUMBER(O170),IF(ABS(O168-O170)&lt;=0.15,0,ROUND(O168-O170,1)),"n/p")</f>
        <v>0</v>
      </c>
      <c r="P171" s="34" t="n">
        <f aca="false">IF(ISNUMBER(P170),IF(ABS(P168-P170)&lt;=0.15,0,ROUND(P168-P170,1)),"n/p")</f>
        <v>0</v>
      </c>
      <c r="Q171" s="34" t="n">
        <f aca="false">IF(ISNUMBER(Q170),IF(ABS(Q168-Q170)&lt;=0.15,0,ROUND(Q168-Q170,1)),"n/p")</f>
        <v>0</v>
      </c>
      <c r="R171" s="34" t="n">
        <f aca="false">IF(ISNUMBER(R170),IF(ABS(R168-R170)&lt;=0.15,0,ROUND(R168-R170,1)),"n/p")</f>
        <v>0</v>
      </c>
      <c r="S171" s="34" t="n">
        <f aca="false">IF(ISNUMBER(S170),IF(ABS(S168-S170)&lt;=0.15,0,ROUND(S168-S170,1)),"n/p")</f>
        <v>0</v>
      </c>
      <c r="T171" s="34" t="n">
        <f aca="false">IF(ISNUMBER(T170),IF(ABS(T168-T170)&lt;=0.15,0,ROUND(T168-T170,1)),"n/p")</f>
        <v>0</v>
      </c>
      <c r="U171" s="34" t="n">
        <f aca="false">IF(ISNUMBER(U170),IF(ABS(U168-U170)&lt;=0.15,0,ROUND(U168-U170,1)),"n/p")</f>
        <v>0</v>
      </c>
      <c r="V171" s="34" t="n">
        <f aca="false">IF(ISNUMBER(V170),IF(ABS(V168-V170)&lt;=0.15,0,ROUND(V168-V170,1)),"n/p")</f>
        <v>0</v>
      </c>
      <c r="W171" s="34" t="n">
        <f aca="false">IF(ISNUMBER(W170),IF(ABS(W168-W170)&lt;=0.15,0,ROUND(W168-W170,1)),"n/p")</f>
        <v>0</v>
      </c>
      <c r="X171" s="34" t="n">
        <f aca="false">IF(ISNUMBER(X170),IF(ABS(X168-X170)&lt;=0.15,0,ROUND(X168-X170,1)),"n/p")</f>
        <v>0</v>
      </c>
      <c r="Y171" s="34" t="n">
        <f aca="false">IF(ISNUMBER(Y170),IF(ABS(Y168-Y170)&lt;=0.15,0,ROUND(Y168-Y170,1)),"n/p")</f>
        <v>0</v>
      </c>
      <c r="Z171" s="34" t="n">
        <f aca="false">IF(ISNUMBER(Z170),IF(ABS(Z168-Z170)&lt;=0.15,0,ROUND(Z168-Z170,1)),"n/p")</f>
        <v>0</v>
      </c>
      <c r="AA171" s="34" t="n">
        <f aca="false">IF(ISNUMBER(AA170),IF(ABS(AA168-AA170)&lt;=0.15,0,ROUND(AA168-AA170,1)),"n/p")</f>
        <v>0</v>
      </c>
      <c r="AB171" s="34" t="n">
        <f aca="false">IF(ISNUMBER(AB170),IF(ABS(AB168-AB170)&lt;=0.15,0,ROUND(AB168-AB170,1)),"n/p")</f>
        <v>0</v>
      </c>
      <c r="AC171" s="34" t="n">
        <f aca="false">IF(ISNUMBER(AC170),IF(ABS(AC168-AC170)&lt;=0.15,0,ROUND(AC168-AC170,1)),"n/p")</f>
        <v>0</v>
      </c>
      <c r="AD171" s="34" t="n">
        <f aca="false">IF(ISNUMBER(AD170),IF(ABS(AD168-AD170)&lt;=0.15,0,ROUND(AD168-AD170,1)),"n/p")</f>
        <v>0</v>
      </c>
      <c r="AE171" s="34" t="n">
        <f aca="false">IF(ISNUMBER(AE170),IF(ABS(AE168-AE170)&lt;=0.15,0,ROUND(AE168-AE170,1)),"n/p")</f>
        <v>0</v>
      </c>
      <c r="AF171" s="34" t="n">
        <f aca="false">IF(ISNUMBER(AF170),IF(ABS(AF168-AF170)&lt;=0.15,0,ROUND(AF168-AF170,1)),"n/p")</f>
        <v>0</v>
      </c>
      <c r="AG171" s="34" t="n">
        <f aca="false">IF(ISNUMBER(AG170),IF(ABS(AG168-AG170)&lt;=0.15,0,ROUND(AG168-AG170,1)),"n/p")</f>
        <v>0</v>
      </c>
      <c r="AH171" s="34" t="n">
        <f aca="false">IF(ISNUMBER(AH170),IF(ABS(AH168-AH170)&lt;=0.15,0,ROUND(AH168-AH170,1)),"n/p")</f>
        <v>0</v>
      </c>
      <c r="AI171" s="34" t="n">
        <f aca="false">IF(ISNUMBER(AI170),IF(ABS(AI168-AI170)&lt;=0.15,0,ROUND(AI168-AI170,1)),"n/p")</f>
        <v>0</v>
      </c>
      <c r="AJ171" s="34" t="n">
        <f aca="false">IF(ISNUMBER(AJ170),IF(ABS(AJ168-AJ170)&lt;=0.15,0,ROUND(AJ168-AJ170,1)),"n/p")</f>
        <v>0</v>
      </c>
      <c r="AK171" s="34" t="n">
        <f aca="false">IF(ISNUMBER(AK170),IF(ABS(AK168-AK170)&lt;=0.15,0,ROUND(AK168-AK170,1)),"n/p")</f>
        <v>0</v>
      </c>
      <c r="AL171" s="34" t="n">
        <f aca="false">IF(ISNUMBER(AL170),IF(ABS(AL168-AL170)&lt;=0.15,0,ROUND(AL168-AL170,1)),"n/p")</f>
        <v>0</v>
      </c>
      <c r="AM171" s="34" t="n">
        <f aca="false">IF(ISNUMBER(AM170),IF(ABS(AM168-AM170)&lt;=0.15,0,ROUND(AM168-AM170,1)),"n/p")</f>
        <v>0</v>
      </c>
      <c r="AN171" s="34" t="n">
        <f aca="false">IF(ISNUMBER(AN170),IF(ABS(AN168-AN170)&lt;=0.15,0,ROUND(AN168-AN170,1)),"n/p")</f>
        <v>0</v>
      </c>
      <c r="AO171" s="34" t="n">
        <f aca="false">IF(ISNUMBER(AO170),IF(ABS(AO168-AO170)&lt;=0.15,0,ROUND(AO168-AO170,1)),"n/p")</f>
        <v>0</v>
      </c>
      <c r="AP171" s="34" t="n">
        <f aca="false">IF(ISNUMBER(AP170),IF(ABS(AP168-AP170)&lt;=0.15,0,ROUND(AP168-AP170,1)),"n/p")</f>
        <v>0</v>
      </c>
      <c r="AQ171" s="34" t="n">
        <f aca="false">IF(ISNUMBER(AQ170),IF(ABS(AQ168-AQ170)&lt;=0.15,0,ROUND(AQ168-AQ170,1)),"n/p")</f>
        <v>0</v>
      </c>
      <c r="AR171" s="34" t="n">
        <f aca="false">IF(ISNUMBER(AR170),IF(ABS(AR168-AR170)&lt;=0.15,0,ROUND(AR168-AR170,1)),"n/p")</f>
        <v>0</v>
      </c>
      <c r="AS171" s="34" t="n">
        <f aca="false">IF(ISNUMBER(AS170),IF(ABS(AS168-AS170)&lt;=0.15,0,ROUND(AS168-AS170,1)),"n/p")</f>
        <v>0</v>
      </c>
      <c r="AT171" s="34" t="n">
        <f aca="false">IF(ISNUMBER(AT170),IF(ABS(AT168-AT170)&lt;=0.15,0,ROUND(AT168-AT170,1)),"n/p")</f>
        <v>0</v>
      </c>
      <c r="AU171" s="34" t="n">
        <f aca="false">IF(ISNUMBER(AU170),IF(ABS(AU168-AU170)&lt;=0.15,0,ROUND(AU168-AU170,1)),"n/p")</f>
        <v>0</v>
      </c>
      <c r="AV171" s="34" t="n">
        <f aca="false">IF(ISNUMBER(AV170),IF(ABS(AV168-AV170)&lt;=0.15,0,ROUND(AV168-AV170,1)),"n/p")</f>
        <v>0</v>
      </c>
      <c r="AW171" s="34" t="n">
        <f aca="false">IF(ISNUMBER(AW170),IF(ABS(AW168-AW170)&lt;=0.15,0,ROUND(AW168-AW170,1)),"n/p")</f>
        <v>0</v>
      </c>
      <c r="AX171" s="34" t="n">
        <f aca="false">IF(ISNUMBER(AX170),IF(ABS(AX168-AX170)&lt;=0.15,0,ROUND(AX168-AX170,1)),"n/p")</f>
        <v>0</v>
      </c>
      <c r="AY171" s="34" t="n">
        <f aca="false">IF(ISNUMBER(AY170),IF(ABS(AY168-AY170)&lt;=0.15,0,ROUND(AY168-AY170,1)),"n/p")</f>
        <v>0</v>
      </c>
      <c r="AZ171" s="34" t="n">
        <f aca="false">IF(ISNUMBER(AZ170),IF(ABS(AZ168-AZ170)&lt;=0.15,0,ROUND(AZ168-AZ170,1)),"n/p")</f>
        <v>0</v>
      </c>
      <c r="BA171" s="34" t="n">
        <f aca="false">IF(ISNUMBER(BA170),IF(ABS(BA168-BA170)&lt;=0.15,0,ROUND(BA168-BA170,1)),"n/p")</f>
        <v>0</v>
      </c>
      <c r="BB171" s="34" t="n">
        <f aca="false">IF(ISNUMBER(BB170),IF(ABS(BB168-BB170)&lt;=0.15,0,ROUND(BB168-BB170,1)),"n/p")</f>
        <v>0</v>
      </c>
      <c r="BC171" s="34" t="n">
        <f aca="false">IF(ISNUMBER(BC170),IF(ABS(BC168-BC170)&lt;=0.15,0,ROUND(BC168-BC170,1)),"n/p")</f>
        <v>0</v>
      </c>
      <c r="BD171" s="34" t="n">
        <f aca="false">IF(ISNUMBER(BD170),IF(ABS(BD168-BD170)&lt;=0.15,0,ROUND(BD168-BD170,1)),"n/p")</f>
        <v>0</v>
      </c>
      <c r="BE171" s="34" t="n">
        <f aca="false">IF(ISNUMBER(BE170),IF(ABS(BE168-BE170)&lt;=0.15,0,ROUND(BE168-BE170,1)),"n/p")</f>
        <v>0</v>
      </c>
      <c r="BF171" s="34" t="n">
        <f aca="false">IF(ISNUMBER(BF170),IF(ABS(BF168-BF170)&lt;=0.15,0,ROUND(BF168-BF170,1)),"n/p")</f>
        <v>0</v>
      </c>
      <c r="BG171" s="34" t="n">
        <f aca="false">IF(ISNUMBER(BG170),IF(ABS(BG168-BG170)&lt;=0.15,0,ROUND(BG168-BG170,1)),"n/p")</f>
        <v>0</v>
      </c>
      <c r="BH171" s="34" t="n">
        <f aca="false">IF(ISNUMBER(BH170),IF(ABS(BH168-BH170)&lt;=0.15,0,ROUND(BH168-BH170,1)),"n/p")</f>
        <v>0</v>
      </c>
      <c r="BI171" s="34" t="n">
        <f aca="false">IF(ISNUMBER(BI170),IF(ABS(BI168-BI170)&lt;=0.15,0,ROUND(BI168-BI170,1)),"n/p")</f>
        <v>0</v>
      </c>
      <c r="BJ171" s="34" t="n">
        <f aca="false">IF(ISNUMBER(BJ170),IF(ABS(BJ168-BJ170)&lt;=0.15,0,ROUND(BJ168-BJ170,1)),"n/p")</f>
        <v>0</v>
      </c>
      <c r="BK171" s="34" t="n">
        <f aca="false">IF(ISNUMBER(BK170),IF(ABS(BK168-BK170)&lt;=0.15,0,ROUND(BK168-BK170,1)),"n/p")</f>
        <v>0</v>
      </c>
      <c r="BL171" s="34" t="n">
        <f aca="false">IF(ISNUMBER(BL170),IF(ABS(BL168-BL170)&lt;=0.15,0,ROUND(BL168-BL170,1)),"n/p")</f>
        <v>0</v>
      </c>
      <c r="BM171" s="34" t="n">
        <f aca="false">IF(ISNUMBER(BM170),IF(ABS(BM168-BM170)&lt;=0.15,0,ROUND(BM168-BM170,1)),"n/p")</f>
        <v>0</v>
      </c>
      <c r="BN171" s="34" t="n">
        <f aca="false">IF(ISNUMBER(BN170),IF(ABS(BN168-BN170)&lt;=0.15,0,ROUND(BN168-BN170,1)),"n/p")</f>
        <v>0</v>
      </c>
      <c r="BO171" s="34" t="n">
        <f aca="false">IF(ISNUMBER(BO170),IF(ABS(BO168-BO170)&lt;=0.15,0,ROUND(BO168-BO170,1)),"n/p")</f>
        <v>0</v>
      </c>
      <c r="BP171" s="34" t="n">
        <f aca="false">IF(ISNUMBER(BP170),IF(ABS(BP168-BP170)&lt;=0.15,0,ROUND(BP168-BP170,1)),"n/p")</f>
        <v>0</v>
      </c>
      <c r="BQ171" s="34" t="n">
        <f aca="false">IF(ISNUMBER(BQ170),IF(ABS(BQ168-BQ170)&lt;=0.15,0,ROUND(BQ168-BQ170,1)),"n/p")</f>
        <v>0</v>
      </c>
      <c r="BR171" s="34" t="n">
        <f aca="false">IF(ISNUMBER(BR170),IF(ABS(BR168-BR170)&lt;=0.15,0,ROUND(BR168-BR170,1)),"n/p")</f>
        <v>0</v>
      </c>
      <c r="BS171" s="34" t="n">
        <f aca="false">IF(ISNUMBER(BS170),IF(ABS(BS168-BS170)&lt;=0.15,0,ROUND(BS168-BS170,1)),"n/p")</f>
        <v>0</v>
      </c>
      <c r="BT171" s="34" t="n">
        <f aca="false">IF(ISNUMBER(BT170),IF(ABS(BT168-BT170)&lt;=0.15,0,ROUND(BT168-BT170,1)),"n/p")</f>
        <v>0</v>
      </c>
      <c r="BU171" s="34" t="n">
        <f aca="false">IF(ISNUMBER(BU170),IF(ABS(BU168-BU170)&lt;=0.15,0,ROUND(BU168-BU170,1)),"n/p")</f>
        <v>0</v>
      </c>
      <c r="BV171" s="34" t="n">
        <f aca="false">IF(ISNUMBER(BV170),IF(ABS(BV168-BV170)&lt;=0.15,0,ROUND(BV168-BV170,1)),"n/p")</f>
        <v>0</v>
      </c>
      <c r="BW171" s="34" t="n">
        <f aca="false">IF(ISNUMBER(BW170),IF(ABS(BW168-BW170)&lt;=0.15,0,ROUND(BW168-BW170,1)),"n/p")</f>
        <v>0</v>
      </c>
      <c r="BX171" s="34" t="n">
        <f aca="false">IF(ISNUMBER(BX170),IF(ABS(BX168-BX170)&lt;=0.15,0,ROUND(BX168-BX170,1)),"n/p")</f>
        <v>0</v>
      </c>
      <c r="BY171" s="36"/>
      <c r="BZ171" s="36"/>
      <c r="CA171" s="36"/>
      <c r="CB171" s="36"/>
      <c r="CC171" s="36"/>
      <c r="CD171" s="36"/>
      <c r="CE171" s="36"/>
      <c r="CF171" s="28"/>
    </row>
    <row r="172" customFormat="false" ht="15" hidden="false" customHeight="true" outlineLevel="0" collapsed="false">
      <c r="B172" s="62" t="s">
        <v>364</v>
      </c>
      <c r="C172" s="5" t="s">
        <v>365</v>
      </c>
      <c r="D172" s="5"/>
      <c r="E172" s="5"/>
      <c r="F172" s="5" t="s">
        <v>366</v>
      </c>
      <c r="G172" s="5" t="s">
        <v>367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 t="s">
        <v>368</v>
      </c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 t="s">
        <v>369</v>
      </c>
      <c r="BN172" s="5"/>
      <c r="BO172" s="5"/>
      <c r="BP172" s="5"/>
      <c r="BQ172" s="5"/>
      <c r="BR172" s="5"/>
      <c r="BS172" s="5"/>
      <c r="BT172" s="5"/>
      <c r="BU172" s="5" t="s">
        <v>370</v>
      </c>
      <c r="BV172" s="5"/>
      <c r="BW172" s="5"/>
      <c r="BX172" s="5"/>
      <c r="BY172" s="63"/>
      <c r="BZ172" s="63"/>
      <c r="CA172" s="63"/>
      <c r="CB172" s="63"/>
      <c r="CC172" s="63"/>
      <c r="CD172" s="63"/>
      <c r="CE172" s="63"/>
      <c r="CF172" s="28" t="s">
        <v>371</v>
      </c>
    </row>
    <row r="173" customFormat="false" ht="15" hidden="false" customHeight="true" outlineLevel="0" collapsed="false">
      <c r="B173" s="29" t="s">
        <v>372</v>
      </c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6"/>
      <c r="BZ173" s="36"/>
      <c r="CA173" s="36"/>
      <c r="CB173" s="36"/>
      <c r="CC173" s="36"/>
      <c r="CD173" s="36"/>
      <c r="CE173" s="36"/>
      <c r="CF173" s="28"/>
    </row>
    <row r="174" customFormat="false" ht="15" hidden="false" customHeight="true" outlineLevel="0" collapsed="false">
      <c r="B174" s="29" t="s">
        <v>373</v>
      </c>
      <c r="C174" s="34" t="n">
        <f aca="false">-(C155+C154)</f>
        <v>-11.809</v>
      </c>
      <c r="D174" s="34" t="n">
        <f aca="false">-(D155+D154)</f>
        <v>-16.147</v>
      </c>
      <c r="E174" s="34" t="n">
        <f aca="false">-(E155+E154)</f>
        <v>-16.801</v>
      </c>
      <c r="F174" s="34" t="n">
        <f aca="false">-(F155+F154)</f>
        <v>-14.676</v>
      </c>
      <c r="G174" s="34" t="n">
        <f aca="false">-(G155+G154)</f>
        <v>-13.649</v>
      </c>
      <c r="H174" s="34" t="n">
        <f aca="false">-(H155+H154)</f>
        <v>-12.852</v>
      </c>
      <c r="I174" s="34" t="n">
        <f aca="false">-(I155+I154)</f>
        <v>-32.752</v>
      </c>
      <c r="J174" s="34" t="n">
        <f aca="false">-(J155+J154)</f>
        <v>-10.166</v>
      </c>
      <c r="K174" s="34" t="n">
        <f aca="false">-(K155+K154)</f>
        <v>-10.049</v>
      </c>
      <c r="L174" s="34" t="n">
        <f aca="false">-(L155+L154)</f>
        <v>-10.022</v>
      </c>
      <c r="M174" s="34" t="n">
        <f aca="false">-(M155+M154)</f>
        <v>-9.821</v>
      </c>
      <c r="N174" s="34" t="n">
        <f aca="false">-(N155+N154)</f>
        <v>-40.058</v>
      </c>
      <c r="O174" s="34" t="n">
        <f aca="false">-(O155+O154)</f>
        <v>-9.851</v>
      </c>
      <c r="P174" s="34" t="n">
        <f aca="false">-(P155+P154)</f>
        <v>-20.67</v>
      </c>
      <c r="Q174" s="34" t="n">
        <f aca="false">-(Q155+Q154)</f>
        <v>-20.212</v>
      </c>
      <c r="R174" s="34" t="n">
        <f aca="false">-(R155+R154)</f>
        <v>-19.639</v>
      </c>
      <c r="S174" s="34" t="n">
        <f aca="false">-(S155+S154)</f>
        <v>-70.372</v>
      </c>
      <c r="T174" s="34" t="n">
        <f aca="false">-(T155+T154)</f>
        <v>-17.813</v>
      </c>
      <c r="U174" s="34" t="n">
        <f aca="false">-(U155+U154)</f>
        <v>-18.674</v>
      </c>
      <c r="V174" s="34" t="n">
        <f aca="false">-(V155+V154)</f>
        <v>-22.52</v>
      </c>
      <c r="W174" s="34" t="n">
        <f aca="false">-(W155+W154)</f>
        <v>-19.525</v>
      </c>
      <c r="X174" s="34" t="n">
        <f aca="false">-(X155+X154)</f>
        <v>-78.532</v>
      </c>
      <c r="Y174" s="34" t="n">
        <f aca="false">-(Y155+Y154)</f>
        <v>-17.521</v>
      </c>
      <c r="Z174" s="34" t="n">
        <f aca="false">-(Z155+Z154)</f>
        <v>-17.44</v>
      </c>
      <c r="AA174" s="34" t="n">
        <f aca="false">-(AA155+AA154)</f>
        <v>-18.08</v>
      </c>
      <c r="AB174" s="34" t="n">
        <f aca="false">-(AB155+AB154)</f>
        <v>-17.124</v>
      </c>
      <c r="AC174" s="34" t="n">
        <f aca="false">-(AC155+AC154)</f>
        <v>-70.165</v>
      </c>
      <c r="AD174" s="34" t="n">
        <f aca="false">-(AD155+AD154)</f>
        <v>-17.298</v>
      </c>
      <c r="AE174" s="34" t="n">
        <f aca="false">-(AE155+AE154)</f>
        <v>-15.86</v>
      </c>
      <c r="AF174" s="34" t="n">
        <f aca="false">-(AF155+AF154)</f>
        <v>-15.119</v>
      </c>
      <c r="AG174" s="34" t="n">
        <f aca="false">-(AG155+AG154)</f>
        <v>-15.366</v>
      </c>
      <c r="AH174" s="34" t="n">
        <f aca="false">-(AH155+AH154)</f>
        <v>-63.643</v>
      </c>
      <c r="AI174" s="34" t="n">
        <f aca="false">-(AI155+AI154)</f>
        <v>-16.983</v>
      </c>
      <c r="AJ174" s="34" t="n">
        <f aca="false">-(AJ155+AJ154)</f>
        <v>-20.584</v>
      </c>
      <c r="AK174" s="34" t="n">
        <f aca="false">-(AK155+AK154)</f>
        <v>-20.433</v>
      </c>
      <c r="AL174" s="34" t="n">
        <f aca="false">-(AL155+AL154)</f>
        <v>-19.743</v>
      </c>
      <c r="AM174" s="34" t="n">
        <f aca="false">-(AM155+AM154)</f>
        <v>-77.743</v>
      </c>
      <c r="AN174" s="34" t="n">
        <f aca="false">-(AN155+AN154)</f>
        <v>-19.659</v>
      </c>
      <c r="AO174" s="34" t="n">
        <f aca="false">-(AO155+AO154)</f>
        <v>-18.754</v>
      </c>
      <c r="AP174" s="34" t="n">
        <f aca="false">-(AP155+AP154)</f>
        <v>-18.822</v>
      </c>
      <c r="AQ174" s="34" t="n">
        <f aca="false">-(AQ155+AQ154)</f>
        <v>-23.93</v>
      </c>
      <c r="AR174" s="34" t="n">
        <f aca="false">-(AR155+AR154)</f>
        <v>-81.165</v>
      </c>
      <c r="AS174" s="34" t="n">
        <f aca="false">-(AS155+AS154)</f>
        <v>-24.256</v>
      </c>
      <c r="AT174" s="34" t="n">
        <f aca="false">-(AT155+AT154)</f>
        <v>-27.979</v>
      </c>
      <c r="AU174" s="34" t="n">
        <f aca="false">-(AU155+AU154)</f>
        <v>-31.676</v>
      </c>
      <c r="AV174" s="34" t="n">
        <f aca="false">-(AV155+AV154)</f>
        <v>-33.033</v>
      </c>
      <c r="AW174" s="34" t="n">
        <f aca="false">-(AW155+AW154)</f>
        <v>-116.944</v>
      </c>
      <c r="AX174" s="34" t="n">
        <f aca="false">-(AX155+AX154)</f>
        <v>-34.327</v>
      </c>
      <c r="AY174" s="34" t="n">
        <f aca="false">-(AY155+AY154)</f>
        <v>-32.321</v>
      </c>
      <c r="AZ174" s="34" t="n">
        <f aca="false">-(AZ155+AZ154)</f>
        <v>-32.94</v>
      </c>
      <c r="BA174" s="34" t="n">
        <f aca="false">-(BA155+BA154)</f>
        <v>-33.056</v>
      </c>
      <c r="BB174" s="34" t="n">
        <f aca="false">-(BB155+BB154)</f>
        <v>-132.644</v>
      </c>
      <c r="BC174" s="34" t="n">
        <f aca="false">-(BC155+BC154)</f>
        <v>-30.155</v>
      </c>
      <c r="BD174" s="34" t="n">
        <f aca="false">-(BD155+BD154)</f>
        <v>-29.825</v>
      </c>
      <c r="BE174" s="34" t="n">
        <f aca="false">-(BE155+BE154)</f>
        <v>-43.82</v>
      </c>
      <c r="BF174" s="34" t="n">
        <f aca="false">-(BF155+BF154)</f>
        <v>-27.906</v>
      </c>
      <c r="BG174" s="34" t="n">
        <f aca="false">-(BG155+BG154)</f>
        <v>-131.706</v>
      </c>
      <c r="BH174" s="34" t="n">
        <f aca="false">-(BH155+BH154)</f>
        <v>-25.627</v>
      </c>
      <c r="BI174" s="34" t="n">
        <f aca="false">-(BI155+BI154)</f>
        <v>-26.063</v>
      </c>
      <c r="BJ174" s="34" t="n">
        <f aca="false">-(BJ155+BJ154)</f>
        <v>-27.125</v>
      </c>
      <c r="BK174" s="34" t="n">
        <f aca="false">-(BK155+BK154)</f>
        <v>-28.7</v>
      </c>
      <c r="BL174" s="34" t="n">
        <f aca="false">-(BL155+BL154)</f>
        <v>-107.5</v>
      </c>
      <c r="BM174" s="34" t="n">
        <f aca="false">-(BM155+BM154)</f>
        <v>-30.1</v>
      </c>
      <c r="BN174" s="34" t="n">
        <f aca="false">-(BN155+BN154)</f>
        <v>-28.2</v>
      </c>
      <c r="BO174" s="34" t="n">
        <f aca="false">-(BO155+BO154)</f>
        <v>-27.1</v>
      </c>
      <c r="BP174" s="34" t="n">
        <f aca="false">-(BP155+BP154)</f>
        <v>-32.9</v>
      </c>
      <c r="BQ174" s="34" t="n">
        <f aca="false">-(BQ155+BQ154)</f>
        <v>-118.3</v>
      </c>
      <c r="BR174" s="34" t="n">
        <f aca="false">-(BR155+BR154)</f>
        <v>-42</v>
      </c>
      <c r="BS174" s="34" t="n">
        <f aca="false">-(BS155+BS154)</f>
        <v>-55.8</v>
      </c>
      <c r="BT174" s="34" t="n">
        <f aca="false">-(BT155+BT154)</f>
        <v>-63.8</v>
      </c>
      <c r="BU174" s="34" t="n">
        <f aca="false">-(BU155+BU154)</f>
        <v>-80</v>
      </c>
      <c r="BV174" s="34" t="n">
        <f aca="false">-(BV155+BV154)</f>
        <v>-242</v>
      </c>
      <c r="BW174" s="34" t="n">
        <f aca="false">-(BW155+BW154)</f>
        <v>-78</v>
      </c>
      <c r="BX174" s="34" t="n">
        <f aca="false">-(BX155+BX154)</f>
        <v>-81</v>
      </c>
      <c r="BY174" s="36" t="n">
        <f aca="false">-(BY155+BY154)</f>
        <v>-89.0069917808219</v>
      </c>
      <c r="BZ174" s="36" t="n">
        <f aca="false">-(BZ155+BZ154)</f>
        <v>-92.991298630137</v>
      </c>
      <c r="CA174" s="36" t="n">
        <f aca="false">-(CA155+CA154)</f>
        <v>-340.998290410959</v>
      </c>
      <c r="CB174" s="36" t="n">
        <f aca="false">-(CB155+CB154)</f>
        <v>-346.147797877358</v>
      </c>
      <c r="CC174" s="36" t="n">
        <f aca="false">-(CC155+CC154)</f>
        <v>-329.519340761785</v>
      </c>
      <c r="CD174" s="36" t="n">
        <f aca="false">-(CD155+CD154)</f>
        <v>-325.071433694629</v>
      </c>
      <c r="CE174" s="36" t="n">
        <f aca="false">-(CE155+CE154)</f>
        <v>-302.672879062228</v>
      </c>
      <c r="CF174" s="28"/>
    </row>
    <row r="175" customFormat="false" ht="15" hidden="false" customHeight="true" outlineLevel="0" collapsed="false">
      <c r="B175" s="50" t="s">
        <v>374</v>
      </c>
      <c r="C175" s="51" t="n">
        <f aca="false">C168+C174</f>
        <v>14.081</v>
      </c>
      <c r="D175" s="51" t="n">
        <f aca="false">D168+D174</f>
        <v>17.852</v>
      </c>
      <c r="E175" s="51" t="n">
        <f aca="false">E168+E174</f>
        <v>39.788</v>
      </c>
      <c r="F175" s="51" t="n">
        <f aca="false">F168+F174</f>
        <v>39.656</v>
      </c>
      <c r="G175" s="51" t="n">
        <f aca="false">G168+G174</f>
        <v>37.668</v>
      </c>
      <c r="H175" s="51" t="n">
        <f aca="false">H168+H174</f>
        <v>44.095</v>
      </c>
      <c r="I175" s="51" t="n">
        <f aca="false">I168+I174</f>
        <v>53.646</v>
      </c>
      <c r="J175" s="51" t="n">
        <f aca="false">J168+J174</f>
        <v>15.504</v>
      </c>
      <c r="K175" s="51" t="n">
        <f aca="false">K168+K174</f>
        <v>22.572</v>
      </c>
      <c r="L175" s="51" t="n">
        <f aca="false">L168+L174</f>
        <v>27.649</v>
      </c>
      <c r="M175" s="51" t="n">
        <f aca="false">M168+M174</f>
        <v>30.978</v>
      </c>
      <c r="N175" s="51" t="n">
        <f aca="false">N168+N174</f>
        <v>96.703</v>
      </c>
      <c r="O175" s="51" t="n">
        <f aca="false">O168+O174</f>
        <v>27.187</v>
      </c>
      <c r="P175" s="51" t="n">
        <f aca="false">P168+P174</f>
        <v>24.646</v>
      </c>
      <c r="Q175" s="51" t="n">
        <f aca="false">Q168+Q174</f>
        <v>31.58</v>
      </c>
      <c r="R175" s="51" t="n">
        <f aca="false">R168+R174</f>
        <v>34.683</v>
      </c>
      <c r="S175" s="51" t="n">
        <f aca="false">S168+S174</f>
        <v>118.096</v>
      </c>
      <c r="T175" s="51" t="n">
        <f aca="false">T168+T174</f>
        <v>5.96100000000002</v>
      </c>
      <c r="U175" s="51" t="n">
        <f aca="false">U168+U174</f>
        <v>-7.40199999999998</v>
      </c>
      <c r="V175" s="51" t="n">
        <f aca="false">V168+V174</f>
        <v>12.947</v>
      </c>
      <c r="W175" s="51" t="n">
        <f aca="false">W168+W174</f>
        <v>45.602</v>
      </c>
      <c r="X175" s="51" t="n">
        <f aca="false">X168+X174</f>
        <v>57.108</v>
      </c>
      <c r="Y175" s="51" t="n">
        <f aca="false">Y168+Y174</f>
        <v>40.079</v>
      </c>
      <c r="Z175" s="51" t="n">
        <f aca="false">Z168+Z174</f>
        <v>38.269</v>
      </c>
      <c r="AA175" s="51" t="n">
        <f aca="false">AA168+AA174</f>
        <v>48.973</v>
      </c>
      <c r="AB175" s="51" t="n">
        <f aca="false">AB168+AB174</f>
        <v>58.036</v>
      </c>
      <c r="AC175" s="51" t="n">
        <f aca="false">AC168+AC174</f>
        <v>185.357</v>
      </c>
      <c r="AD175" s="51" t="n">
        <f aca="false">AD168+AD174</f>
        <v>46.621</v>
      </c>
      <c r="AE175" s="51" t="n">
        <f aca="false">AE168+AE174</f>
        <v>38.397</v>
      </c>
      <c r="AF175" s="51" t="n">
        <f aca="false">AF168+AF174</f>
        <v>68.48</v>
      </c>
      <c r="AG175" s="51" t="n">
        <f aca="false">AG168+AG174</f>
        <v>62.575</v>
      </c>
      <c r="AH175" s="51" t="n">
        <f aca="false">AH168+AH174</f>
        <v>216.147</v>
      </c>
      <c r="AI175" s="51" t="n">
        <f aca="false">AI168+AI174</f>
        <v>67.379</v>
      </c>
      <c r="AJ175" s="51" t="n">
        <f aca="false">AJ168+AJ174</f>
        <v>64.508</v>
      </c>
      <c r="AK175" s="51" t="n">
        <f aca="false">AK168+AK174</f>
        <v>89.126</v>
      </c>
      <c r="AL175" s="51" t="n">
        <f aca="false">AL168+AL174</f>
        <v>119.266</v>
      </c>
      <c r="AM175" s="51" t="n">
        <f aca="false">AM168+AM174</f>
        <v>340.279</v>
      </c>
      <c r="AN175" s="51" t="n">
        <f aca="false">AN168+AN174</f>
        <v>105.838</v>
      </c>
      <c r="AO175" s="51" t="n">
        <f aca="false">AO168+AO174</f>
        <v>91.288</v>
      </c>
      <c r="AP175" s="51" t="n">
        <f aca="false">AP168+AP174</f>
        <v>110.501</v>
      </c>
      <c r="AQ175" s="51" t="n">
        <f aca="false">AQ168+AQ174</f>
        <v>117.908</v>
      </c>
      <c r="AR175" s="51" t="n">
        <f aca="false">AR168+AR174</f>
        <v>425.535</v>
      </c>
      <c r="AS175" s="51" t="n">
        <f aca="false">AS168+AS174</f>
        <v>99.757</v>
      </c>
      <c r="AT175" s="51" t="n">
        <f aca="false">AT168+AT174</f>
        <v>100.877</v>
      </c>
      <c r="AU175" s="51" t="n">
        <f aca="false">AU168+AU174</f>
        <v>101.839</v>
      </c>
      <c r="AV175" s="51" t="n">
        <f aca="false">AV168+AV174</f>
        <v>133.769</v>
      </c>
      <c r="AW175" s="51" t="n">
        <f aca="false">AW168+AW174</f>
        <v>436.242</v>
      </c>
      <c r="AX175" s="51" t="n">
        <f aca="false">AX168+AX174</f>
        <v>125.216</v>
      </c>
      <c r="AY175" s="51" t="n">
        <f aca="false">AY168+AY174</f>
        <v>118.156</v>
      </c>
      <c r="AZ175" s="51" t="n">
        <f aca="false">AZ168+AZ174</f>
        <v>111.043</v>
      </c>
      <c r="BA175" s="51" t="n">
        <f aca="false">BA168+BA174</f>
        <v>160.349</v>
      </c>
      <c r="BB175" s="51" t="n">
        <f aca="false">BB168+BB174</f>
        <v>514.764</v>
      </c>
      <c r="BC175" s="51" t="n">
        <f aca="false">BC168+BC174</f>
        <v>147.761</v>
      </c>
      <c r="BD175" s="51" t="n">
        <f aca="false">BD168+BD174</f>
        <v>128.799</v>
      </c>
      <c r="BE175" s="51" t="n">
        <f aca="false">BE168+BE174</f>
        <v>108.853</v>
      </c>
      <c r="BF175" s="51" t="n">
        <f aca="false">BF168+BF174</f>
        <v>154.392</v>
      </c>
      <c r="BG175" s="51" t="n">
        <f aca="false">BG168+BG174</f>
        <v>539.805</v>
      </c>
      <c r="BH175" s="51" t="n">
        <f aca="false">BH168+BH174</f>
        <v>97.2659999999999</v>
      </c>
      <c r="BI175" s="51" t="n">
        <f aca="false">BI168+BI174</f>
        <v>100.712</v>
      </c>
      <c r="BJ175" s="51" t="n">
        <f aca="false">BJ168+BJ174</f>
        <v>84.798</v>
      </c>
      <c r="BK175" s="51" t="n">
        <f aca="false">BK168+BK174</f>
        <v>101.439</v>
      </c>
      <c r="BL175" s="51" t="n">
        <f aca="false">BL168+BL174</f>
        <v>384.2</v>
      </c>
      <c r="BM175" s="51" t="n">
        <f aca="false">BM168+BM174</f>
        <v>-17.7</v>
      </c>
      <c r="BN175" s="51" t="n">
        <f aca="false">BN168+BN174</f>
        <v>12.6</v>
      </c>
      <c r="BO175" s="51" t="n">
        <f aca="false">BO168+BO174</f>
        <v>48.8</v>
      </c>
      <c r="BP175" s="51" t="n">
        <f aca="false">BP168+BP174</f>
        <v>79</v>
      </c>
      <c r="BQ175" s="51" t="n">
        <f aca="false">BQ168+BQ174</f>
        <v>122.5</v>
      </c>
      <c r="BR175" s="51" t="n">
        <f aca="false">BR168+BR174</f>
        <v>23.6000000000001</v>
      </c>
      <c r="BS175" s="51" t="n">
        <f aca="false">BS168+BS174</f>
        <v>29.2</v>
      </c>
      <c r="BT175" s="51" t="n">
        <f aca="false">BT168+BT174</f>
        <v>50.8000000000001</v>
      </c>
      <c r="BU175" s="51" t="n">
        <f aca="false">BU168+BU174</f>
        <v>97.1000000000001</v>
      </c>
      <c r="BV175" s="51" t="n">
        <f aca="false">BV168+BV174</f>
        <v>200</v>
      </c>
      <c r="BW175" s="51" t="n">
        <f aca="false">BW168+BW174</f>
        <v>54</v>
      </c>
      <c r="BX175" s="51" t="n">
        <f aca="false">BX168+BX174</f>
        <v>103</v>
      </c>
      <c r="BY175" s="51" t="n">
        <f aca="false">BY168+BY174</f>
        <v>117.768233423451</v>
      </c>
      <c r="BZ175" s="51" t="n">
        <f aca="false">BZ168+BZ174</f>
        <v>199.620665206686</v>
      </c>
      <c r="CA175" s="51" t="n">
        <f aca="false">CA168+CA174</f>
        <v>474.388898630137</v>
      </c>
      <c r="CB175" s="51" t="n">
        <f aca="false">CB168+CB174</f>
        <v>657.825607082314</v>
      </c>
      <c r="CC175" s="51" t="n">
        <f aca="false">CC168+CC174</f>
        <v>906.155764830361</v>
      </c>
      <c r="CD175" s="51" t="n">
        <f aca="false">CD168+CD174</f>
        <v>1171.44798175796</v>
      </c>
      <c r="CE175" s="51" t="n">
        <f aca="false">CE168+CE174</f>
        <v>1480.15269619921</v>
      </c>
      <c r="CF175" s="21"/>
      <c r="CH175" s="22" t="n">
        <f aca="false">IFERROR((CE175/BV175)^(1/5)-1,"n/m")</f>
        <v>0.492297134255282</v>
      </c>
      <c r="CI175" s="22" t="n">
        <f aca="false">IFERROR((BV175/AW175)^(1/5)-1,"n/m")</f>
        <v>-0.144420236381449</v>
      </c>
      <c r="CJ175" s="22" t="n">
        <f aca="false">IFERROR((BV175/X175)^(1/10)-1,"n/m")</f>
        <v>0.133530746033947</v>
      </c>
      <c r="CK175" s="22" t="n">
        <f aca="false">IFERROR((BV175/C175)^(1/19)-1,"n/m")</f>
        <v>0.149879806495072</v>
      </c>
    </row>
    <row r="176" customFormat="false" ht="15" hidden="false" customHeight="true" outlineLevel="0" collapsed="false">
      <c r="B176" s="29" t="s">
        <v>375</v>
      </c>
      <c r="C176" s="25" t="n">
        <f aca="false">IF(AND(ISNUMBER(C175),ISNUMBER(C121)),IFERROR(C175/C121,""),"")</f>
        <v>0.0886216163485201</v>
      </c>
      <c r="D176" s="25" t="n">
        <f aca="false">IF(AND(ISNUMBER(D175),ISNUMBER(D121)),IFERROR(D175/D121,""),"")</f>
        <v>0.0925909597780141</v>
      </c>
      <c r="E176" s="25" t="n">
        <f aca="false">IF(AND(ISNUMBER(E175),ISNUMBER(E121)),IFERROR(E175/E121,""),"")</f>
        <v>0.187301109081665</v>
      </c>
      <c r="F176" s="25" t="n">
        <f aca="false">IF(AND(ISNUMBER(F175),ISNUMBER(F121)),IFERROR(F175/F121,""),"")</f>
        <v>0.189145231065683</v>
      </c>
      <c r="G176" s="25" t="n">
        <f aca="false">IF(AND(ISNUMBER(G175),ISNUMBER(G121)),IFERROR(G175/G121,""),"")</f>
        <v>0.166481039512066</v>
      </c>
      <c r="H176" s="25" t="n">
        <f aca="false">IF(AND(ISNUMBER(H175),ISNUMBER(H121)),IFERROR(H175/H121,""),"")</f>
        <v>0.17516227188585</v>
      </c>
      <c r="I176" s="25" t="n">
        <f aca="false">IF(AND(ISNUMBER(I175),ISNUMBER(I121)),IFERROR(I175/I121,""),"")</f>
        <v>0.153302318138174</v>
      </c>
      <c r="J176" s="25" t="n">
        <f aca="false">IF(AND(ISNUMBER(J175),ISNUMBER(J121)),IFERROR(J175/J121,""),"")</f>
        <v>0.14902963482741</v>
      </c>
      <c r="K176" s="25" t="n">
        <f aca="false">IF(AND(ISNUMBER(K175),ISNUMBER(K121)),IFERROR(K175/K121,""),"")</f>
        <v>0.20708446866485</v>
      </c>
      <c r="L176" s="25" t="n">
        <f aca="false">IF(AND(ISNUMBER(L175),ISNUMBER(L121)),IFERROR(L175/L121,""),"")</f>
        <v>0.246204397111335</v>
      </c>
      <c r="M176" s="25" t="n">
        <f aca="false">IF(AND(ISNUMBER(M175),ISNUMBER(M121)),IFERROR(M175/M121,""),"")</f>
        <v>0.26795259925612</v>
      </c>
      <c r="N176" s="25" t="n">
        <f aca="false">IF(AND(ISNUMBER(N175),ISNUMBER(N121)),IFERROR(N175/N121,""),"")</f>
        <v>0.219309525267438</v>
      </c>
      <c r="O176" s="25" t="n">
        <f aca="false">IF(AND(ISNUMBER(O175),ISNUMBER(O121)),IFERROR(O175/O121,""),"")</f>
        <v>0.22831636937754</v>
      </c>
      <c r="P176" s="25" t="n">
        <f aca="false">IF(AND(ISNUMBER(P175),ISNUMBER(P121)),IFERROR(P175/P121,""),"")</f>
        <v>0.166856229858911</v>
      </c>
      <c r="Q176" s="25" t="n">
        <f aca="false">IF(AND(ISNUMBER(Q175),ISNUMBER(Q121)),IFERROR(Q175/Q121,""),"")</f>
        <v>0.206329709387414</v>
      </c>
      <c r="R176" s="25" t="n">
        <f aca="false">IF(AND(ISNUMBER(R175),ISNUMBER(R121)),IFERROR(R175/R121,""),"")</f>
        <v>0.222190190651906</v>
      </c>
      <c r="S176" s="25" t="n">
        <f aca="false">IF(AND(ISNUMBER(S175),ISNUMBER(S121)),IFERROR(S175/S121,""),"")</f>
        <v>0.205050561173464</v>
      </c>
      <c r="T176" s="25" t="n">
        <f aca="false">IF(AND(ISNUMBER(T175),ISNUMBER(T121)),IFERROR(T175/T121,""),"")</f>
        <v>0.0374858508363729</v>
      </c>
      <c r="U176" s="25" t="n">
        <f aca="false">IF(AND(ISNUMBER(U175),ISNUMBER(U121)),IFERROR(U175/U121,""),"")</f>
        <v>-0.0433735504550061</v>
      </c>
      <c r="V176" s="25" t="n">
        <f aca="false">IF(AND(ISNUMBER(V175),ISNUMBER(V121)),IFERROR(V175/V121,""),"")</f>
        <v>0.0684743862321369</v>
      </c>
      <c r="W176" s="25" t="n">
        <f aca="false">IF(AND(ISNUMBER(W175),ISNUMBER(W121)),IFERROR(W175/W121,""),"")</f>
        <v>0.236268775031216</v>
      </c>
      <c r="X176" s="25" t="n">
        <f aca="false">IF(AND(ISNUMBER(X175),ISNUMBER(X121)),IFERROR(X175/X121,""),"")</f>
        <v>0.0802344597366543</v>
      </c>
      <c r="Y176" s="25" t="n">
        <f aca="false">IF(AND(ISNUMBER(Y175),ISNUMBER(Y121)),IFERROR(Y175/Y121,""),"")</f>
        <v>0.200656857198644</v>
      </c>
      <c r="Z176" s="25" t="n">
        <f aca="false">IF(AND(ISNUMBER(Z175),ISNUMBER(Z121)),IFERROR(Z175/Z121,""),"")</f>
        <v>0.184991468030493</v>
      </c>
      <c r="AA176" s="25" t="n">
        <f aca="false">IF(AND(ISNUMBER(AA175),ISNUMBER(AA121)),IFERROR(AA175/AA121,""),"")</f>
        <v>0.230232569072591</v>
      </c>
      <c r="AB176" s="25" t="n">
        <f aca="false">IF(AND(ISNUMBER(AB175),ISNUMBER(AB121)),IFERROR(AB175/AB121,""),"")</f>
        <v>0.265840933347381</v>
      </c>
      <c r="AC176" s="25" t="n">
        <f aca="false">IF(AND(ISNUMBER(AC175),ISNUMBER(AC121)),IFERROR(AC175/AC121,""),"")</f>
        <v>0.221287441949309</v>
      </c>
      <c r="AD176" s="25" t="n">
        <f aca="false">IF(AND(ISNUMBER(AD175),ISNUMBER(AD121)),IFERROR(AD175/AD121,""),"")</f>
        <v>0.205784077015091</v>
      </c>
      <c r="AE176" s="25" t="n">
        <f aca="false">IF(AND(ISNUMBER(AE175),ISNUMBER(AE121)),IFERROR(AE175/AE121,""),"")</f>
        <v>0.161908135254456</v>
      </c>
      <c r="AF176" s="25" t="n">
        <f aca="false">IF(AND(ISNUMBER(AF175),ISNUMBER(AF121)),IFERROR(AF175/AF121,""),"")</f>
        <v>0.276649982022599</v>
      </c>
      <c r="AG176" s="25" t="n">
        <f aca="false">IF(AND(ISNUMBER(AG175),ISNUMBER(AG121)),IFERROR(AG175/AG121,""),"")</f>
        <v>0.246366997255808</v>
      </c>
      <c r="AH176" s="25" t="n">
        <f aca="false">IF(AND(ISNUMBER(AH175),ISNUMBER(AH121)),IFERROR(AH175/AH121,""),"")</f>
        <v>0.223933155828145</v>
      </c>
      <c r="AI176" s="25" t="n">
        <f aca="false">IF(AND(ISNUMBER(AI175),ISNUMBER(AI121)),IFERROR(AI175/AI121,""),"")</f>
        <v>0.24616210844738</v>
      </c>
      <c r="AJ176" s="25" t="n">
        <f aca="false">IF(AND(ISNUMBER(AJ175),ISNUMBER(AJ121)),IFERROR(AJ175/AJ121,""),"")</f>
        <v>0.217185490441657</v>
      </c>
      <c r="AK176" s="25" t="n">
        <f aca="false">IF(AND(ISNUMBER(AK175),ISNUMBER(AK121)),IFERROR(AK175/AK121,""),"")</f>
        <v>0.291714262335324</v>
      </c>
      <c r="AL176" s="25" t="n">
        <f aca="false">IF(AND(ISNUMBER(AL175),ISNUMBER(AL121)),IFERROR(AL175/AL121,""),"")</f>
        <v>0.377937136175377</v>
      </c>
      <c r="AM176" s="25" t="n">
        <f aca="false">IF(AND(ISNUMBER(AM175),ISNUMBER(AM121)),IFERROR(AM175/AM121,""),"")</f>
        <v>0.285509199283121</v>
      </c>
      <c r="AN176" s="25" t="n">
        <f aca="false">IF(AND(ISNUMBER(AN175),ISNUMBER(AN121)),IFERROR(AN175/AN121,""),"")</f>
        <v>0.322259267717135</v>
      </c>
      <c r="AO176" s="25" t="n">
        <f aca="false">IF(AND(ISNUMBER(AO175),ISNUMBER(AO121)),IFERROR(AO175/AO121,""),"")</f>
        <v>0.26555736560391</v>
      </c>
      <c r="AP176" s="25" t="n">
        <f aca="false">IF(AND(ISNUMBER(AP175),ISNUMBER(AP121)),IFERROR(AP175/AP121,""),"")</f>
        <v>0.31320434910773</v>
      </c>
      <c r="AQ176" s="25" t="n">
        <f aca="false">IF(AND(ISNUMBER(AQ175),ISNUMBER(AQ121)),IFERROR(AQ175/AQ121,""),"")</f>
        <v>0.314651238504934</v>
      </c>
      <c r="AR176" s="25" t="n">
        <f aca="false">IF(AND(ISNUMBER(AR175),ISNUMBER(AR121)),IFERROR(AR175/AR121,""),"")</f>
        <v>0.304014591500151</v>
      </c>
      <c r="AS176" s="25" t="n">
        <f aca="false">IF(AND(ISNUMBER(AS175),ISNUMBER(AS121)),IFERROR(AS175/AS121,""),"")</f>
        <v>0.254581507578213</v>
      </c>
      <c r="AT176" s="25" t="n">
        <f aca="false">IF(AND(ISNUMBER(AT175),ISNUMBER(AT121)),IFERROR(AT175/AT121,""),"")</f>
        <v>0.253996510213793</v>
      </c>
      <c r="AU176" s="25" t="n">
        <f aca="false">IF(AND(ISNUMBER(AU175),ISNUMBER(AU121)),IFERROR(AU175/AU121,""),"")</f>
        <v>0.239272120671021</v>
      </c>
      <c r="AV176" s="25" t="n">
        <f aca="false">IF(AND(ISNUMBER(AV175),ISNUMBER(AV121)),IFERROR(AV175/AV121,""),"")</f>
        <v>0.301015092496956</v>
      </c>
      <c r="AW176" s="25" t="n">
        <f aca="false">IF(AND(ISNUMBER(AW175),ISNUMBER(AW121)),IFERROR(AW175/AW121,""),"")</f>
        <v>0.262951780540187</v>
      </c>
      <c r="AX176" s="25" t="n">
        <f aca="false">IF(AND(ISNUMBER(AX175),ISNUMBER(AX121)),IFERROR(AX175/AX121,""),"")</f>
        <v>0.273578371717534</v>
      </c>
      <c r="AY176" s="25" t="n">
        <f aca="false">IF(AND(ISNUMBER(AY175),ISNUMBER(AY121)),IFERROR(AY175/AY121,""),"")</f>
        <v>0.245987679380763</v>
      </c>
      <c r="AZ176" s="25" t="n">
        <f aca="false">IF(AND(ISNUMBER(AZ175),ISNUMBER(AZ121)),IFERROR(AZ175/AZ121,""),"")</f>
        <v>0.222388893673183</v>
      </c>
      <c r="BA176" s="25" t="n">
        <f aca="false">IF(AND(ISNUMBER(BA175),ISNUMBER(BA121)),IFERROR(BA175/BA121,""),"")</f>
        <v>0.316403768059891</v>
      </c>
      <c r="BB176" s="25" t="n">
        <f aca="false">IF(AND(ISNUMBER(BB175),ISNUMBER(BB121)),IFERROR(BB175/BB121,""),"")</f>
        <v>0.264777908941509</v>
      </c>
      <c r="BC176" s="25" t="n">
        <f aca="false">IF(AND(ISNUMBER(BC175),ISNUMBER(BC121)),IFERROR(BC175/BC121,""),"")</f>
        <v>0.286455677797703</v>
      </c>
      <c r="BD176" s="25" t="n">
        <f aca="false">IF(AND(ISNUMBER(BD175),ISNUMBER(BD121)),IFERROR(BD175/BD121,""),"")</f>
        <v>0.240158640184372</v>
      </c>
      <c r="BE176" s="25" t="n">
        <f aca="false">IF(AND(ISNUMBER(BE175),ISNUMBER(BE121)),IFERROR(BE175/BE121,""),"")</f>
        <v>0.195455010674764</v>
      </c>
      <c r="BF176" s="25" t="n">
        <f aca="false">IF(AND(ISNUMBER(BF175),ISNUMBER(BF121)),IFERROR(BF175/BF121,""),"")</f>
        <v>0.269282892499281</v>
      </c>
      <c r="BG176" s="25" t="n">
        <f aca="false">IF(AND(ISNUMBER(BG175),ISNUMBER(BG121)),IFERROR(BG175/BG121,""),"")</f>
        <v>0.247344779758422</v>
      </c>
      <c r="BH176" s="25" t="n">
        <f aca="false">IF(AND(ISNUMBER(BH175),ISNUMBER(BH121)),IFERROR(BH175/BH121,""),"")</f>
        <v>0.166447055441282</v>
      </c>
      <c r="BI176" s="25" t="n">
        <f aca="false">IF(AND(ISNUMBER(BI175),ISNUMBER(BI121)),IFERROR(BI175/BI121,""),"")</f>
        <v>0.166217202008232</v>
      </c>
      <c r="BJ176" s="25" t="n">
        <f aca="false">IF(AND(ISNUMBER(BJ175),ISNUMBER(BJ121)),IFERROR(BJ175/BJ121,""),"")</f>
        <v>0.135748692507552</v>
      </c>
      <c r="BK176" s="25" t="n">
        <f aca="false">IF(AND(ISNUMBER(BK175),ISNUMBER(BK121)),IFERROR(BK175/BK121,""),"")</f>
        <v>0.158483827272173</v>
      </c>
      <c r="BL176" s="25" t="n">
        <f aca="false">IF(AND(ISNUMBER(BL175),ISNUMBER(BL121)),IFERROR(BL175/BL121,""),"")</f>
        <v>0.156496945010183</v>
      </c>
      <c r="BM176" s="25" t="n">
        <f aca="false">IF(AND(ISNUMBER(BM175),ISNUMBER(BM121)),IFERROR(BM175/BM121,""),"")</f>
        <v>-0.0269652650822668</v>
      </c>
      <c r="BN176" s="25" t="n">
        <f aca="false">IF(AND(ISNUMBER(BN175),ISNUMBER(BN121)),IFERROR(BN175/BN121,""),"")</f>
        <v>0.018589554440838</v>
      </c>
      <c r="BO176" s="25" t="n">
        <f aca="false">IF(AND(ISNUMBER(BO175),ISNUMBER(BO121)),IFERROR(BO175/BO121,""),"")</f>
        <v>0.0704591394744442</v>
      </c>
      <c r="BP176" s="25" t="n">
        <f aca="false">IF(AND(ISNUMBER(BP175),ISNUMBER(BP121)),IFERROR(BP175/BP121,""),"")</f>
        <v>0.111361714124612</v>
      </c>
      <c r="BQ176" s="25" t="n">
        <f aca="false">IF(AND(ISNUMBER(BQ175),ISNUMBER(BQ121)),IFERROR(BQ175/BQ121,""),"")</f>
        <v>0.0447701191433374</v>
      </c>
      <c r="BR176" s="25" t="n">
        <f aca="false">IF(AND(ISNUMBER(BR175),ISNUMBER(BR121)),IFERROR(BR175/BR121,""),"")</f>
        <v>0.0322316307019941</v>
      </c>
      <c r="BS176" s="25" t="n">
        <f aca="false">IF(AND(ISNUMBER(BS175),ISNUMBER(BS121)),IFERROR(BS175/BS121,""),"")</f>
        <v>0.0373736080890823</v>
      </c>
      <c r="BT176" s="25" t="n">
        <f aca="false">IF(AND(ISNUMBER(BT175),ISNUMBER(BT121)),IFERROR(BT175/BT121,""),"")</f>
        <v>0.0609404990403072</v>
      </c>
      <c r="BU176" s="25" t="n">
        <f aca="false">IF(AND(ISNUMBER(BU175),ISNUMBER(BU121)),IFERROR(BU175/BU121,""),"")</f>
        <v>0.10790087787532</v>
      </c>
      <c r="BV176" s="25" t="n">
        <f aca="false">IF(AND(ISNUMBER(BV175),ISNUMBER(BV121)),IFERROR(BV175/BV121,""),"")</f>
        <v>0.0615953187557746</v>
      </c>
      <c r="BW176" s="25" t="n">
        <f aca="false">IF(AND(ISNUMBER(BW175),ISNUMBER(BW121)),IFERROR(BW175/BW121,""),"")</f>
        <v>0.0602006688963211</v>
      </c>
      <c r="BX176" s="25" t="n">
        <f aca="false">IF(AND(ISNUMBER(BX175),ISNUMBER(BX121)),IFERROR(BX175/BX121,""),"")</f>
        <v>0.111351351351351</v>
      </c>
      <c r="BY176" s="27" t="n">
        <f aca="false">IF(AND(ISNUMBER(BY175),ISNUMBER(BY121)),IFERROR(BY175/BY121,""),"")</f>
        <v>0.121850094467562</v>
      </c>
      <c r="BZ176" s="27" t="n">
        <f aca="false">IF(AND(ISNUMBER(BZ175),ISNUMBER(BZ121)),IFERROR(BZ175/BZ121,""),"")</f>
        <v>0.196981145292884</v>
      </c>
      <c r="CA176" s="27" t="n">
        <f aca="false">IF(AND(ISNUMBER(CA175),ISNUMBER(CA121)),IFERROR(CA175/CA121,""),"")</f>
        <v>0.124776768477311</v>
      </c>
      <c r="CB176" s="27" t="n">
        <f aca="false">IF(AND(ISNUMBER(CB175),ISNUMBER(CB121)),IFERROR(CB175/CB121,""),"")</f>
        <v>0.152101926462502</v>
      </c>
      <c r="CC176" s="27" t="n">
        <f aca="false">IF(AND(ISNUMBER(CC175),ISNUMBER(CC121)),IFERROR(CC175/CC121,""),"")</f>
        <v>0.190734333769897</v>
      </c>
      <c r="CD176" s="27" t="n">
        <f aca="false">IF(AND(ISNUMBER(CD175),ISNUMBER(CD121)),IFERROR(CD175/CD121,""),"")</f>
        <v>0.225927340123267</v>
      </c>
      <c r="CE176" s="27" t="n">
        <f aca="false">IF(AND(ISNUMBER(CE175),ISNUMBER(CE121)),IFERROR(CE175/CE121,""),"")</f>
        <v>0.263302346992325</v>
      </c>
      <c r="CF176" s="28"/>
      <c r="CH176" s="32" t="n">
        <f aca="false">IFERROR(AVERAGE(CA176,CB176,CC176,CD176,CE176),"n/m")</f>
        <v>0.191368543165061</v>
      </c>
      <c r="CI176" s="32" t="n">
        <f aca="false">IFERROR(AVERAGE(BB176,BG176,BL176,BQ176,BV176),"n/m")</f>
        <v>0.154997014321845</v>
      </c>
      <c r="CJ176" s="32" t="n">
        <f aca="false">IFERROR(AVERAGE(AC176,AH176,AM176,AR176,AW176,BB176,BG176,BL176,BQ176,BV176),"n/m")</f>
        <v>0.207268124071014</v>
      </c>
      <c r="CK176" s="32" t="n">
        <f aca="false">IFERROR(AVERAGE(C176,D176,E176,F176,G176,H176,I176,N176,S176,X176,AC176,AH176,AM176,AR176,AW176,BB176,BG176,BL176,BQ176,BV176),"n/m")</f>
        <v>0.181494016634883</v>
      </c>
    </row>
    <row r="177" customFormat="false" ht="15" hidden="false" customHeight="true" outlineLevel="0" collapsed="false">
      <c r="B177" s="29" t="s">
        <v>376</v>
      </c>
      <c r="C177" s="34" t="n">
        <f aca="false">C168</f>
        <v>25.89</v>
      </c>
      <c r="D177" s="34" t="n">
        <f aca="false">D168</f>
        <v>33.999</v>
      </c>
      <c r="E177" s="34" t="n">
        <f aca="false">E168</f>
        <v>56.589</v>
      </c>
      <c r="F177" s="34" t="n">
        <f aca="false">F168</f>
        <v>54.332</v>
      </c>
      <c r="G177" s="34" t="n">
        <f aca="false">G168</f>
        <v>51.317</v>
      </c>
      <c r="H177" s="34" t="n">
        <f aca="false">H168</f>
        <v>56.947</v>
      </c>
      <c r="I177" s="34" t="n">
        <f aca="false">I168</f>
        <v>86.398</v>
      </c>
      <c r="J177" s="34" t="n">
        <f aca="false">J168</f>
        <v>25.67</v>
      </c>
      <c r="K177" s="34" t="n">
        <f aca="false">K168</f>
        <v>32.621</v>
      </c>
      <c r="L177" s="34" t="n">
        <f aca="false">L168</f>
        <v>37.671</v>
      </c>
      <c r="M177" s="34" t="n">
        <f aca="false">M168</f>
        <v>40.799</v>
      </c>
      <c r="N177" s="34" t="n">
        <f aca="false">N168</f>
        <v>136.761</v>
      </c>
      <c r="O177" s="34" t="n">
        <f aca="false">O168</f>
        <v>37.038</v>
      </c>
      <c r="P177" s="34" t="n">
        <f aca="false">P168</f>
        <v>45.316</v>
      </c>
      <c r="Q177" s="34" t="n">
        <f aca="false">Q168</f>
        <v>51.792</v>
      </c>
      <c r="R177" s="34" t="n">
        <f aca="false">R168</f>
        <v>54.322</v>
      </c>
      <c r="S177" s="34" t="n">
        <f aca="false">S168</f>
        <v>188.468</v>
      </c>
      <c r="T177" s="34" t="n">
        <f aca="false">T168</f>
        <v>23.774</v>
      </c>
      <c r="U177" s="34" t="n">
        <f aca="false">U168</f>
        <v>11.272</v>
      </c>
      <c r="V177" s="34" t="n">
        <f aca="false">V168</f>
        <v>35.467</v>
      </c>
      <c r="W177" s="34" t="n">
        <f aca="false">W168</f>
        <v>65.127</v>
      </c>
      <c r="X177" s="34" t="n">
        <f aca="false">X168</f>
        <v>135.64</v>
      </c>
      <c r="Y177" s="34" t="n">
        <f aca="false">Y168</f>
        <v>57.6</v>
      </c>
      <c r="Z177" s="34" t="n">
        <f aca="false">Z168</f>
        <v>55.709</v>
      </c>
      <c r="AA177" s="34" t="n">
        <f aca="false">AA168</f>
        <v>67.053</v>
      </c>
      <c r="AB177" s="34" t="n">
        <f aca="false">AB168</f>
        <v>75.16</v>
      </c>
      <c r="AC177" s="34" t="n">
        <f aca="false">AC168</f>
        <v>255.522</v>
      </c>
      <c r="AD177" s="34" t="n">
        <f aca="false">AD168</f>
        <v>63.919</v>
      </c>
      <c r="AE177" s="34" t="n">
        <f aca="false">AE168</f>
        <v>54.257</v>
      </c>
      <c r="AF177" s="34" t="n">
        <f aca="false">AF168</f>
        <v>83.599</v>
      </c>
      <c r="AG177" s="34" t="n">
        <f aca="false">AG168</f>
        <v>77.941</v>
      </c>
      <c r="AH177" s="34" t="n">
        <f aca="false">AH168</f>
        <v>279.79</v>
      </c>
      <c r="AI177" s="34" t="n">
        <f aca="false">AI168</f>
        <v>84.362</v>
      </c>
      <c r="AJ177" s="34" t="n">
        <f aca="false">AJ168</f>
        <v>85.092</v>
      </c>
      <c r="AK177" s="34" t="n">
        <f aca="false">AK168</f>
        <v>109.559</v>
      </c>
      <c r="AL177" s="34" t="n">
        <f aca="false">AL168</f>
        <v>139.009</v>
      </c>
      <c r="AM177" s="34" t="n">
        <f aca="false">AM168</f>
        <v>418.022</v>
      </c>
      <c r="AN177" s="34" t="n">
        <f aca="false">AN168</f>
        <v>125.497</v>
      </c>
      <c r="AO177" s="34" t="n">
        <f aca="false">AO168</f>
        <v>110.042</v>
      </c>
      <c r="AP177" s="34" t="n">
        <f aca="false">AP168</f>
        <v>129.323</v>
      </c>
      <c r="AQ177" s="34" t="n">
        <f aca="false">AQ168</f>
        <v>141.838</v>
      </c>
      <c r="AR177" s="34" t="n">
        <f aca="false">AR168</f>
        <v>506.7</v>
      </c>
      <c r="AS177" s="34" t="n">
        <f aca="false">AS168</f>
        <v>124.013</v>
      </c>
      <c r="AT177" s="34" t="n">
        <f aca="false">AT168</f>
        <v>128.856</v>
      </c>
      <c r="AU177" s="34" t="n">
        <f aca="false">AU168</f>
        <v>133.515</v>
      </c>
      <c r="AV177" s="34" t="n">
        <f aca="false">AV168</f>
        <v>166.802</v>
      </c>
      <c r="AW177" s="34" t="n">
        <f aca="false">AW168</f>
        <v>553.186</v>
      </c>
      <c r="AX177" s="34" t="n">
        <f aca="false">AX168</f>
        <v>159.543</v>
      </c>
      <c r="AY177" s="34" t="n">
        <f aca="false">AY168</f>
        <v>150.477</v>
      </c>
      <c r="AZ177" s="34" t="n">
        <f aca="false">AZ168</f>
        <v>143.983</v>
      </c>
      <c r="BA177" s="34" t="n">
        <f aca="false">BA168</f>
        <v>193.405</v>
      </c>
      <c r="BB177" s="34" t="n">
        <f aca="false">BB168</f>
        <v>647.408</v>
      </c>
      <c r="BC177" s="34" t="n">
        <f aca="false">BC168</f>
        <v>177.916</v>
      </c>
      <c r="BD177" s="34" t="n">
        <f aca="false">BD168</f>
        <v>158.624</v>
      </c>
      <c r="BE177" s="34" t="n">
        <f aca="false">BE168</f>
        <v>152.673</v>
      </c>
      <c r="BF177" s="34" t="n">
        <f aca="false">BF168</f>
        <v>182.298</v>
      </c>
      <c r="BG177" s="34" t="n">
        <f aca="false">BG168</f>
        <v>671.511</v>
      </c>
      <c r="BH177" s="34" t="n">
        <f aca="false">BH168</f>
        <v>122.893</v>
      </c>
      <c r="BI177" s="34" t="n">
        <f aca="false">BI168</f>
        <v>126.775</v>
      </c>
      <c r="BJ177" s="34" t="n">
        <f aca="false">BJ168</f>
        <v>111.923</v>
      </c>
      <c r="BK177" s="34" t="n">
        <f aca="false">BK168</f>
        <v>130.139</v>
      </c>
      <c r="BL177" s="34" t="n">
        <f aca="false">BL168</f>
        <v>491.7</v>
      </c>
      <c r="BM177" s="34" t="n">
        <f aca="false">BM168</f>
        <v>12.4000000000001</v>
      </c>
      <c r="BN177" s="34" t="n">
        <f aca="false">BN168</f>
        <v>40.8</v>
      </c>
      <c r="BO177" s="34" t="n">
        <f aca="false">BO168</f>
        <v>75.9</v>
      </c>
      <c r="BP177" s="34" t="n">
        <f aca="false">BP168</f>
        <v>111.9</v>
      </c>
      <c r="BQ177" s="34" t="n">
        <f aca="false">BQ168</f>
        <v>240.8</v>
      </c>
      <c r="BR177" s="34" t="n">
        <f aca="false">BR168</f>
        <v>65.6000000000001</v>
      </c>
      <c r="BS177" s="34" t="n">
        <f aca="false">BS168</f>
        <v>85</v>
      </c>
      <c r="BT177" s="34" t="n">
        <f aca="false">BT168</f>
        <v>114.6</v>
      </c>
      <c r="BU177" s="34" t="n">
        <f aca="false">BU168</f>
        <v>177.1</v>
      </c>
      <c r="BV177" s="34" t="n">
        <f aca="false">BV168</f>
        <v>442</v>
      </c>
      <c r="BW177" s="34" t="n">
        <f aca="false">BW168</f>
        <v>132</v>
      </c>
      <c r="BX177" s="34" t="n">
        <f aca="false">BX168</f>
        <v>184</v>
      </c>
      <c r="BY177" s="36"/>
      <c r="BZ177" s="36"/>
      <c r="CA177" s="36" t="n">
        <f aca="false">CA168+CA57*CA59*(365-CA55)/365</f>
        <v>842.228</v>
      </c>
      <c r="CB177" s="36" t="n">
        <f aca="false">CB168</f>
        <v>1003.97340495967</v>
      </c>
      <c r="CC177" s="36" t="n">
        <f aca="false">CC168</f>
        <v>1235.67510559215</v>
      </c>
      <c r="CD177" s="36" t="n">
        <f aca="false">CD168</f>
        <v>1496.51941545259</v>
      </c>
      <c r="CE177" s="36" t="n">
        <f aca="false">CE168</f>
        <v>1782.82557526144</v>
      </c>
      <c r="CF177" s="28" t="s">
        <v>377</v>
      </c>
    </row>
    <row r="179" customFormat="false" ht="15" hidden="false" customHeight="true" outlineLevel="0" collapsed="false">
      <c r="B179" s="11" t="s">
        <v>378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 t="s">
        <v>379</v>
      </c>
    </row>
    <row r="180" customFormat="false" ht="15" hidden="false" customHeight="true" outlineLevel="0" collapsed="false">
      <c r="B180" s="17" t="s">
        <v>344</v>
      </c>
      <c r="C180" s="18" t="n">
        <f aca="false">C138</f>
        <v>12.41</v>
      </c>
      <c r="D180" s="18" t="n">
        <f aca="false">D138</f>
        <v>15.951</v>
      </c>
      <c r="E180" s="18" t="n">
        <f aca="false">E138</f>
        <v>24.623</v>
      </c>
      <c r="F180" s="18" t="n">
        <f aca="false">F138</f>
        <v>18.693</v>
      </c>
      <c r="G180" s="18" t="n">
        <f aca="false">G138</f>
        <v>13.289</v>
      </c>
      <c r="H180" s="18" t="n">
        <f aca="false">H138</f>
        <v>14.656</v>
      </c>
      <c r="I180" s="18" t="n">
        <f aca="false">I138</f>
        <v>9.915</v>
      </c>
      <c r="J180" s="18" t="n">
        <f aca="false">J138</f>
        <v>-2.41000000000001</v>
      </c>
      <c r="K180" s="18" t="n">
        <f aca="false">K138</f>
        <v>8.29299999999999</v>
      </c>
      <c r="L180" s="18" t="n">
        <f aca="false">L138</f>
        <v>11.052</v>
      </c>
      <c r="M180" s="18" t="n">
        <f aca="false">M138</f>
        <v>12.799</v>
      </c>
      <c r="N180" s="18" t="n">
        <f aca="false">N138</f>
        <v>29.734</v>
      </c>
      <c r="O180" s="18" t="n">
        <f aca="false">O138</f>
        <v>9.73999999999999</v>
      </c>
      <c r="P180" s="18" t="n">
        <f aca="false">P138</f>
        <v>8.24899999999999</v>
      </c>
      <c r="Q180" s="18" t="n">
        <f aca="false">Q138</f>
        <v>12.957</v>
      </c>
      <c r="R180" s="18" t="n">
        <f aca="false">R138</f>
        <v>13.923</v>
      </c>
      <c r="S180" s="18" t="n">
        <f aca="false">S138</f>
        <v>44.869</v>
      </c>
      <c r="T180" s="18" t="n">
        <f aca="false">T138</f>
        <v>-6.12699999999998</v>
      </c>
      <c r="U180" s="18" t="n">
        <f aca="false">U138</f>
        <v>-14.966</v>
      </c>
      <c r="V180" s="18" t="n">
        <f aca="false">V138</f>
        <v>-5.36200000000001</v>
      </c>
      <c r="W180" s="18" t="n">
        <f aca="false">W138</f>
        <v>22.99</v>
      </c>
      <c r="X180" s="18" t="n">
        <f aca="false">X138</f>
        <v>-3.46499999999996</v>
      </c>
      <c r="Y180" s="18" t="n">
        <f aca="false">Y138</f>
        <v>16.721</v>
      </c>
      <c r="Z180" s="18" t="n">
        <f aca="false">Z138</f>
        <v>15.576</v>
      </c>
      <c r="AA180" s="18" t="n">
        <f aca="false">AA138</f>
        <v>23.201</v>
      </c>
      <c r="AB180" s="18" t="n">
        <f aca="false">AB138</f>
        <v>29.573</v>
      </c>
      <c r="AC180" s="18" t="n">
        <f aca="false">AC138</f>
        <v>85.071</v>
      </c>
      <c r="AD180" s="18" t="n">
        <f aca="false">AD138</f>
        <v>22.13</v>
      </c>
      <c r="AE180" s="18" t="n">
        <f aca="false">AE138</f>
        <v>22.184</v>
      </c>
      <c r="AF180" s="18" t="n">
        <f aca="false">AF138</f>
        <v>34.177</v>
      </c>
      <c r="AG180" s="18" t="n">
        <f aca="false">AG138</f>
        <v>44.204</v>
      </c>
      <c r="AH180" s="18" t="n">
        <f aca="false">AH138</f>
        <v>122.695</v>
      </c>
      <c r="AI180" s="18" t="n">
        <f aca="false">AI138</f>
        <v>52.231</v>
      </c>
      <c r="AJ180" s="18" t="n">
        <f aca="false">AJ138</f>
        <v>43.835</v>
      </c>
      <c r="AK180" s="18" t="n">
        <f aca="false">AK138</f>
        <v>58.759</v>
      </c>
      <c r="AL180" s="18" t="n">
        <f aca="false">AL138</f>
        <v>83.509</v>
      </c>
      <c r="AM180" s="18" t="n">
        <f aca="false">AM138</f>
        <v>238.334</v>
      </c>
      <c r="AN180" s="18" t="n">
        <f aca="false">AN138</f>
        <v>85.169</v>
      </c>
      <c r="AO180" s="18" t="n">
        <f aca="false">AO138</f>
        <v>63.248</v>
      </c>
      <c r="AP180" s="18" t="n">
        <f aca="false">AP138</f>
        <v>78.6189999999999</v>
      </c>
      <c r="AQ180" s="18" t="n">
        <f aca="false">AQ138</f>
        <v>87.927</v>
      </c>
      <c r="AR180" s="18" t="n">
        <f aca="false">AR138</f>
        <v>314.963</v>
      </c>
      <c r="AS180" s="18" t="n">
        <f aca="false">AS138</f>
        <v>72.793</v>
      </c>
      <c r="AT180" s="18" t="n">
        <f aca="false">AT138</f>
        <v>60.36</v>
      </c>
      <c r="AU180" s="18" t="n">
        <f aca="false">AU138</f>
        <v>58.186</v>
      </c>
      <c r="AV180" s="18" t="n">
        <f aca="false">AV138</f>
        <v>35.789</v>
      </c>
      <c r="AW180" s="18" t="n">
        <f aca="false">AW138</f>
        <v>227.128</v>
      </c>
      <c r="AX180" s="18" t="n">
        <f aca="false">AX138</f>
        <v>74.212</v>
      </c>
      <c r="AY180" s="18" t="n">
        <f aca="false">AY138</f>
        <v>61.1480000000001</v>
      </c>
      <c r="AZ180" s="18" t="n">
        <f aca="false">AZ138</f>
        <v>64.304</v>
      </c>
      <c r="BA180" s="18" t="n">
        <f aca="false">BA138</f>
        <v>92.9</v>
      </c>
      <c r="BB180" s="18" t="n">
        <f aca="false">BB138</f>
        <v>292.564</v>
      </c>
      <c r="BC180" s="18" t="n">
        <f aca="false">BC138</f>
        <v>89.318</v>
      </c>
      <c r="BD180" s="18" t="n">
        <f aca="false">BD138</f>
        <v>83.4730000000001</v>
      </c>
      <c r="BE180" s="18" t="n">
        <f aca="false">BE138</f>
        <v>72.29</v>
      </c>
      <c r="BF180" s="18" t="n">
        <f aca="false">BF138</f>
        <v>124.372</v>
      </c>
      <c r="BG180" s="18" t="n">
        <f aca="false">BG138</f>
        <v>369.453</v>
      </c>
      <c r="BH180" s="18" t="n">
        <f aca="false">BH138</f>
        <v>87.1309999999999</v>
      </c>
      <c r="BI180" s="18" t="n">
        <f aca="false">BI138</f>
        <v>100.52</v>
      </c>
      <c r="BJ180" s="18" t="n">
        <f aca="false">BJ138</f>
        <v>90.574</v>
      </c>
      <c r="BK180" s="18" t="n">
        <f aca="false">BK138</f>
        <v>96.4749999999999</v>
      </c>
      <c r="BL180" s="18" t="n">
        <f aca="false">BL138</f>
        <v>374.7</v>
      </c>
      <c r="BM180" s="18" t="n">
        <f aca="false">BM138</f>
        <v>6.70000000000005</v>
      </c>
      <c r="BN180" s="18" t="n">
        <f aca="false">BN138</f>
        <v>19.2</v>
      </c>
      <c r="BO180" s="18" t="n">
        <f aca="false">BO138</f>
        <v>53</v>
      </c>
      <c r="BP180" s="18" t="n">
        <f aca="false">BP138</f>
        <v>59.8</v>
      </c>
      <c r="BQ180" s="18" t="n">
        <f aca="false">BQ138</f>
        <v>138.7</v>
      </c>
      <c r="BR180" s="18" t="n">
        <f aca="false">BR138</f>
        <v>-14.8</v>
      </c>
      <c r="BS180" s="18" t="n">
        <f aca="false">BS138</f>
        <v>6.19999999999996</v>
      </c>
      <c r="BT180" s="18" t="n">
        <f aca="false">BT138</f>
        <v>-30.8999999999999</v>
      </c>
      <c r="BU180" s="18" t="n">
        <f aca="false">BU138</f>
        <v>46.5000000000001</v>
      </c>
      <c r="BV180" s="18" t="n">
        <f aca="false">BV138</f>
        <v>7</v>
      </c>
      <c r="BW180" s="18" t="n">
        <f aca="false">BW138</f>
        <v>3</v>
      </c>
      <c r="BX180" s="18" t="n">
        <f aca="false">BX138</f>
        <v>55</v>
      </c>
      <c r="BY180" s="20" t="n">
        <f aca="false">BY138</f>
        <v>53.4880439106228</v>
      </c>
      <c r="BZ180" s="20" t="n">
        <f aca="false">BZ138</f>
        <v>112.044014340167</v>
      </c>
      <c r="CA180" s="20" t="n">
        <f aca="false">CA138</f>
        <v>223.532058250791</v>
      </c>
      <c r="CB180" s="20" t="n">
        <f aca="false">CB138</f>
        <v>331.680477553179</v>
      </c>
      <c r="CC180" s="20" t="n">
        <f aca="false">CC138</f>
        <v>499.364529076212</v>
      </c>
      <c r="CD180" s="20" t="n">
        <f aca="false">CD138</f>
        <v>677.377446034769</v>
      </c>
      <c r="CE180" s="20" t="n">
        <f aca="false">CE138</f>
        <v>876.044261477621</v>
      </c>
      <c r="CF180" s="21"/>
    </row>
    <row r="181" customFormat="false" ht="15" hidden="false" customHeight="true" outlineLevel="0" collapsed="false">
      <c r="B181" s="29" t="s">
        <v>349</v>
      </c>
      <c r="C181" s="34" t="n">
        <f aca="false">C136</f>
        <v>8.516</v>
      </c>
      <c r="D181" s="34" t="n">
        <f aca="false">D136</f>
        <v>9.946</v>
      </c>
      <c r="E181" s="34" t="n">
        <f aca="false">E136</f>
        <v>20.079</v>
      </c>
      <c r="F181" s="34" t="n">
        <f aca="false">F136</f>
        <v>14.395</v>
      </c>
      <c r="G181" s="34" t="n">
        <f aca="false">G136</f>
        <v>10.221</v>
      </c>
      <c r="H181" s="34" t="n">
        <f aca="false">H136</f>
        <v>7.913</v>
      </c>
      <c r="I181" s="34" t="n">
        <f aca="false">I136</f>
        <v>13.219</v>
      </c>
      <c r="J181" s="34" t="n">
        <f aca="false">J136</f>
        <v>-1.839</v>
      </c>
      <c r="K181" s="34" t="n">
        <f aca="false">K136</f>
        <v>5.315</v>
      </c>
      <c r="L181" s="34" t="n">
        <f aca="false">L136</f>
        <v>7.034</v>
      </c>
      <c r="M181" s="34" t="n">
        <f aca="false">M136</f>
        <v>7.293</v>
      </c>
      <c r="N181" s="34" t="n">
        <f aca="false">N136</f>
        <v>17.803</v>
      </c>
      <c r="O181" s="34" t="n">
        <f aca="false">O136</f>
        <v>5.923</v>
      </c>
      <c r="P181" s="34" t="n">
        <f aca="false">P136</f>
        <v>4.969</v>
      </c>
      <c r="Q181" s="34" t="n">
        <f aca="false">Q136</f>
        <v>7.871</v>
      </c>
      <c r="R181" s="34" t="n">
        <f aca="false">R136</f>
        <v>7.281</v>
      </c>
      <c r="S181" s="34" t="n">
        <f aca="false">S136</f>
        <v>26.044</v>
      </c>
      <c r="T181" s="34" t="n">
        <f aca="false">T136</f>
        <v>0.571</v>
      </c>
      <c r="U181" s="34" t="n">
        <f aca="false">U136</f>
        <v>-7.38</v>
      </c>
      <c r="V181" s="34" t="n">
        <f aca="false">V136</f>
        <v>2.61</v>
      </c>
      <c r="W181" s="34" t="n">
        <f aca="false">W136</f>
        <v>10.245</v>
      </c>
      <c r="X181" s="34" t="n">
        <f aca="false">X136</f>
        <v>6.046</v>
      </c>
      <c r="Y181" s="34" t="n">
        <f aca="false">Y136</f>
        <v>11.155</v>
      </c>
      <c r="Z181" s="34" t="n">
        <f aca="false">Z136</f>
        <v>10.247</v>
      </c>
      <c r="AA181" s="34" t="n">
        <f aca="false">AA136</f>
        <v>14.241</v>
      </c>
      <c r="AB181" s="34" t="n">
        <f aca="false">AB136</f>
        <v>15.948</v>
      </c>
      <c r="AC181" s="34" t="n">
        <f aca="false">AC136</f>
        <v>51.591</v>
      </c>
      <c r="AD181" s="34" t="n">
        <f aca="false">AD136</f>
        <v>13.275</v>
      </c>
      <c r="AE181" s="34" t="n">
        <f aca="false">AE136</f>
        <v>3.611</v>
      </c>
      <c r="AF181" s="34" t="n">
        <f aca="false">AF136</f>
        <v>20.99</v>
      </c>
      <c r="AG181" s="34" t="n">
        <f aca="false">AG136</f>
        <v>4.487</v>
      </c>
      <c r="AH181" s="34" t="n">
        <f aca="false">AH136</f>
        <v>42.363</v>
      </c>
      <c r="AI181" s="34" t="n">
        <f aca="false">AI136</f>
        <v>3.511</v>
      </c>
      <c r="AJ181" s="34" t="n">
        <f aca="false">AJ136</f>
        <v>1.863</v>
      </c>
      <c r="AK181" s="34" t="n">
        <f aca="false">AK136</f>
        <v>14.247</v>
      </c>
      <c r="AL181" s="34" t="n">
        <f aca="false">AL136</f>
        <v>26.06</v>
      </c>
      <c r="AM181" s="34" t="n">
        <f aca="false">AM136</f>
        <v>45.681</v>
      </c>
      <c r="AN181" s="34" t="n">
        <f aca="false">AN136</f>
        <v>12.536</v>
      </c>
      <c r="AO181" s="34" t="n">
        <f aca="false">AO136</f>
        <v>16.768</v>
      </c>
      <c r="AP181" s="34" t="n">
        <f aca="false">AP136</f>
        <v>20.304</v>
      </c>
      <c r="AQ181" s="34" t="n">
        <f aca="false">AQ136</f>
        <v>26.378</v>
      </c>
      <c r="AR181" s="34" t="n">
        <f aca="false">AR136</f>
        <v>75.986</v>
      </c>
      <c r="AS181" s="34" t="n">
        <f aca="false">AS136</f>
        <v>5.563</v>
      </c>
      <c r="AT181" s="34" t="n">
        <f aca="false">AT136</f>
        <v>16.889</v>
      </c>
      <c r="AU181" s="34" t="n">
        <f aca="false">AU136</f>
        <v>10.748</v>
      </c>
      <c r="AV181" s="34" t="n">
        <f aca="false">AV136</f>
        <v>10.652</v>
      </c>
      <c r="AW181" s="34" t="n">
        <f aca="false">AW136</f>
        <v>43.852</v>
      </c>
      <c r="AX181" s="34" t="n">
        <f aca="false">AX136</f>
        <v>19.069</v>
      </c>
      <c r="AY181" s="34" t="n">
        <f aca="false">AY136</f>
        <v>32.833</v>
      </c>
      <c r="AZ181" s="34" t="n">
        <f aca="false">AZ136</f>
        <v>19.031</v>
      </c>
      <c r="BA181" s="34" t="n">
        <f aca="false">BA136</f>
        <v>40.471</v>
      </c>
      <c r="BB181" s="34" t="n">
        <f aca="false">BB136</f>
        <v>111.404</v>
      </c>
      <c r="BC181" s="34" t="n">
        <f aca="false">BC136</f>
        <v>32.103</v>
      </c>
      <c r="BD181" s="34" t="n">
        <f aca="false">BD136</f>
        <v>24.654</v>
      </c>
      <c r="BE181" s="34" t="n">
        <f aca="false">BE136</f>
        <v>25.084</v>
      </c>
      <c r="BF181" s="34" t="n">
        <f aca="false">BF136</f>
        <v>35.163</v>
      </c>
      <c r="BG181" s="34" t="n">
        <f aca="false">BG136</f>
        <v>117.004</v>
      </c>
      <c r="BH181" s="34" t="n">
        <f aca="false">BH136</f>
        <v>29.219</v>
      </c>
      <c r="BI181" s="34" t="n">
        <f aca="false">BI136</f>
        <v>31.146</v>
      </c>
      <c r="BJ181" s="34" t="n">
        <f aca="false">BJ136</f>
        <v>29.907</v>
      </c>
      <c r="BK181" s="34" t="n">
        <f aca="false">BK136</f>
        <v>36.328</v>
      </c>
      <c r="BL181" s="34" t="n">
        <f aca="false">BL136</f>
        <v>126.6</v>
      </c>
      <c r="BM181" s="34" t="n">
        <f aca="false">BM136</f>
        <v>4.8</v>
      </c>
      <c r="BN181" s="34" t="n">
        <f aca="false">BN136</f>
        <v>16.7</v>
      </c>
      <c r="BO181" s="34" t="n">
        <f aca="false">BO136</f>
        <v>24.7</v>
      </c>
      <c r="BP181" s="34" t="n">
        <f aca="false">BP136</f>
        <v>25.2</v>
      </c>
      <c r="BQ181" s="34" t="n">
        <f aca="false">BQ136</f>
        <v>71.4</v>
      </c>
      <c r="BR181" s="34" t="n">
        <f aca="false">BR136</f>
        <v>8.1</v>
      </c>
      <c r="BS181" s="34" t="n">
        <f aca="false">BS136</f>
        <v>15.4</v>
      </c>
      <c r="BT181" s="34" t="n">
        <f aca="false">BT136</f>
        <v>-14.9</v>
      </c>
      <c r="BU181" s="34" t="n">
        <f aca="false">BU136</f>
        <v>14.4</v>
      </c>
      <c r="BV181" s="34" t="n">
        <f aca="false">BV136</f>
        <v>23</v>
      </c>
      <c r="BW181" s="34" t="n">
        <f aca="false">BW136</f>
        <v>9</v>
      </c>
      <c r="BX181" s="34" t="n">
        <f aca="false">BX136</f>
        <v>19</v>
      </c>
      <c r="BY181" s="36" t="n">
        <f aca="false">BY136</f>
        <v>21.2801895128284</v>
      </c>
      <c r="BZ181" s="36" t="n">
        <f aca="false">BZ136</f>
        <v>44.5766508665182</v>
      </c>
      <c r="CA181" s="36" t="n">
        <f aca="false">CA136</f>
        <v>93.8568403793466</v>
      </c>
      <c r="CB181" s="36" t="n">
        <f aca="false">CB136</f>
        <v>122.67634101282</v>
      </c>
      <c r="CC181" s="36" t="n">
        <f aca="false">CC136</f>
        <v>184.696469658325</v>
      </c>
      <c r="CD181" s="36" t="n">
        <f aca="false">CD136</f>
        <v>250.536863601901</v>
      </c>
      <c r="CE181" s="36" t="n">
        <f aca="false">CE136</f>
        <v>324.016370683504</v>
      </c>
      <c r="CF181" s="28"/>
    </row>
    <row r="182" customFormat="false" ht="15" hidden="false" customHeight="true" outlineLevel="0" collapsed="false">
      <c r="B182" s="17" t="s">
        <v>380</v>
      </c>
      <c r="C182" s="18" t="n">
        <f aca="false">C180+C181</f>
        <v>20.926</v>
      </c>
      <c r="D182" s="18" t="n">
        <f aca="false">D180+D181</f>
        <v>25.897</v>
      </c>
      <c r="E182" s="18" t="n">
        <f aca="false">E180+E181</f>
        <v>44.702</v>
      </c>
      <c r="F182" s="18" t="n">
        <f aca="false">F180+F181</f>
        <v>33.088</v>
      </c>
      <c r="G182" s="18" t="n">
        <f aca="false">G180+G181</f>
        <v>23.51</v>
      </c>
      <c r="H182" s="18" t="n">
        <f aca="false">H180+H181</f>
        <v>22.569</v>
      </c>
      <c r="I182" s="18" t="n">
        <f aca="false">I180+I181</f>
        <v>23.134</v>
      </c>
      <c r="J182" s="18" t="n">
        <f aca="false">J180+J181</f>
        <v>-4.24900000000001</v>
      </c>
      <c r="K182" s="18" t="n">
        <f aca="false">K180+K181</f>
        <v>13.608</v>
      </c>
      <c r="L182" s="18" t="n">
        <f aca="false">L180+L181</f>
        <v>18.086</v>
      </c>
      <c r="M182" s="18" t="n">
        <f aca="false">M180+M181</f>
        <v>20.092</v>
      </c>
      <c r="N182" s="18" t="n">
        <f aca="false">N180+N181</f>
        <v>47.537</v>
      </c>
      <c r="O182" s="18" t="n">
        <f aca="false">O180+O181</f>
        <v>15.663</v>
      </c>
      <c r="P182" s="18" t="n">
        <f aca="false">P180+P181</f>
        <v>13.218</v>
      </c>
      <c r="Q182" s="18" t="n">
        <f aca="false">Q180+Q181</f>
        <v>20.828</v>
      </c>
      <c r="R182" s="18" t="n">
        <f aca="false">R180+R181</f>
        <v>21.204</v>
      </c>
      <c r="S182" s="18" t="n">
        <f aca="false">S180+S181</f>
        <v>70.913</v>
      </c>
      <c r="T182" s="18" t="n">
        <f aca="false">T180+T181</f>
        <v>-5.55599999999998</v>
      </c>
      <c r="U182" s="18" t="n">
        <f aca="false">U180+U181</f>
        <v>-22.346</v>
      </c>
      <c r="V182" s="18" t="n">
        <f aca="false">V180+V181</f>
        <v>-2.75200000000001</v>
      </c>
      <c r="W182" s="18" t="n">
        <f aca="false">W180+W181</f>
        <v>33.235</v>
      </c>
      <c r="X182" s="18" t="n">
        <f aca="false">X180+X181</f>
        <v>2.58100000000004</v>
      </c>
      <c r="Y182" s="18" t="n">
        <f aca="false">Y180+Y181</f>
        <v>27.876</v>
      </c>
      <c r="Z182" s="18" t="n">
        <f aca="false">Z180+Z181</f>
        <v>25.823</v>
      </c>
      <c r="AA182" s="18" t="n">
        <f aca="false">AA180+AA181</f>
        <v>37.442</v>
      </c>
      <c r="AB182" s="18" t="n">
        <f aca="false">AB180+AB181</f>
        <v>45.521</v>
      </c>
      <c r="AC182" s="18" t="n">
        <f aca="false">AC180+AC181</f>
        <v>136.662</v>
      </c>
      <c r="AD182" s="18" t="n">
        <f aca="false">AD180+AD181</f>
        <v>35.405</v>
      </c>
      <c r="AE182" s="18" t="n">
        <f aca="false">AE180+AE181</f>
        <v>25.795</v>
      </c>
      <c r="AF182" s="18" t="n">
        <f aca="false">AF180+AF181</f>
        <v>55.167</v>
      </c>
      <c r="AG182" s="18" t="n">
        <f aca="false">AG180+AG181</f>
        <v>48.691</v>
      </c>
      <c r="AH182" s="18" t="n">
        <f aca="false">AH180+AH181</f>
        <v>165.058</v>
      </c>
      <c r="AI182" s="18" t="n">
        <f aca="false">AI180+AI181</f>
        <v>55.742</v>
      </c>
      <c r="AJ182" s="18" t="n">
        <f aca="false">AJ180+AJ181</f>
        <v>45.698</v>
      </c>
      <c r="AK182" s="18" t="n">
        <f aca="false">AK180+AK181</f>
        <v>73.006</v>
      </c>
      <c r="AL182" s="18" t="n">
        <f aca="false">AL180+AL181</f>
        <v>109.569</v>
      </c>
      <c r="AM182" s="18" t="n">
        <f aca="false">AM180+AM181</f>
        <v>284.015</v>
      </c>
      <c r="AN182" s="18" t="n">
        <f aca="false">AN180+AN181</f>
        <v>97.705</v>
      </c>
      <c r="AO182" s="18" t="n">
        <f aca="false">AO180+AO181</f>
        <v>80.016</v>
      </c>
      <c r="AP182" s="18" t="n">
        <f aca="false">AP180+AP181</f>
        <v>98.9229999999999</v>
      </c>
      <c r="AQ182" s="18" t="n">
        <f aca="false">AQ180+AQ181</f>
        <v>114.305</v>
      </c>
      <c r="AR182" s="18" t="n">
        <f aca="false">AR180+AR181</f>
        <v>390.949</v>
      </c>
      <c r="AS182" s="18" t="n">
        <f aca="false">AS180+AS181</f>
        <v>78.356</v>
      </c>
      <c r="AT182" s="18" t="n">
        <f aca="false">AT180+AT181</f>
        <v>77.249</v>
      </c>
      <c r="AU182" s="18" t="n">
        <f aca="false">AU180+AU181</f>
        <v>68.934</v>
      </c>
      <c r="AV182" s="18" t="n">
        <f aca="false">AV180+AV181</f>
        <v>46.441</v>
      </c>
      <c r="AW182" s="18" t="n">
        <f aca="false">AW180+AW181</f>
        <v>270.98</v>
      </c>
      <c r="AX182" s="18" t="n">
        <f aca="false">AX180+AX181</f>
        <v>93.281</v>
      </c>
      <c r="AY182" s="18" t="n">
        <f aca="false">AY180+AY181</f>
        <v>93.9810000000001</v>
      </c>
      <c r="AZ182" s="18" t="n">
        <f aca="false">AZ180+AZ181</f>
        <v>83.335</v>
      </c>
      <c r="BA182" s="18" t="n">
        <f aca="false">BA180+BA181</f>
        <v>133.371</v>
      </c>
      <c r="BB182" s="18" t="n">
        <f aca="false">BB180+BB181</f>
        <v>403.968</v>
      </c>
      <c r="BC182" s="18" t="n">
        <f aca="false">BC180+BC181</f>
        <v>121.421</v>
      </c>
      <c r="BD182" s="18" t="n">
        <f aca="false">BD180+BD181</f>
        <v>108.127</v>
      </c>
      <c r="BE182" s="18" t="n">
        <f aca="false">BE180+BE181</f>
        <v>97.374</v>
      </c>
      <c r="BF182" s="18" t="n">
        <f aca="false">BF180+BF181</f>
        <v>159.535</v>
      </c>
      <c r="BG182" s="18" t="n">
        <f aca="false">BG180+BG181</f>
        <v>486.457</v>
      </c>
      <c r="BH182" s="18" t="n">
        <f aca="false">BH180+BH181</f>
        <v>116.35</v>
      </c>
      <c r="BI182" s="18" t="n">
        <f aca="false">BI180+BI181</f>
        <v>131.666</v>
      </c>
      <c r="BJ182" s="18" t="n">
        <f aca="false">BJ180+BJ181</f>
        <v>120.481</v>
      </c>
      <c r="BK182" s="18" t="n">
        <f aca="false">BK180+BK181</f>
        <v>132.803</v>
      </c>
      <c r="BL182" s="18" t="n">
        <f aca="false">BL180+BL181</f>
        <v>501.3</v>
      </c>
      <c r="BM182" s="18" t="n">
        <f aca="false">BM180+BM181</f>
        <v>11.5</v>
      </c>
      <c r="BN182" s="18" t="n">
        <f aca="false">BN180+BN181</f>
        <v>35.9</v>
      </c>
      <c r="BO182" s="18" t="n">
        <f aca="false">BO180+BO181</f>
        <v>77.7000000000001</v>
      </c>
      <c r="BP182" s="18" t="n">
        <f aca="false">BP180+BP181</f>
        <v>85</v>
      </c>
      <c r="BQ182" s="18" t="n">
        <f aca="false">BQ180+BQ181</f>
        <v>210.1</v>
      </c>
      <c r="BR182" s="18" t="n">
        <f aca="false">BR180+BR181</f>
        <v>-6.69999999999996</v>
      </c>
      <c r="BS182" s="18" t="n">
        <f aca="false">BS180+BS181</f>
        <v>21.6</v>
      </c>
      <c r="BT182" s="18" t="n">
        <f aca="false">BT180+BT181</f>
        <v>-45.7999999999999</v>
      </c>
      <c r="BU182" s="18" t="n">
        <f aca="false">BU180+BU181</f>
        <v>60.9000000000001</v>
      </c>
      <c r="BV182" s="18" t="n">
        <f aca="false">BV180+BV181</f>
        <v>30</v>
      </c>
      <c r="BW182" s="18" t="n">
        <f aca="false">BW180+BW181</f>
        <v>12</v>
      </c>
      <c r="BX182" s="18" t="n">
        <f aca="false">BX180+BX181</f>
        <v>74</v>
      </c>
      <c r="BY182" s="20" t="n">
        <f aca="false">BY180+BY181</f>
        <v>74.7682334234512</v>
      </c>
      <c r="BZ182" s="20" t="n">
        <f aca="false">BZ180+BZ181</f>
        <v>156.620665206686</v>
      </c>
      <c r="CA182" s="20" t="n">
        <f aca="false">CA180+CA181</f>
        <v>317.388898630137</v>
      </c>
      <c r="CB182" s="20" t="n">
        <f aca="false">CB180+CB181</f>
        <v>454.356818565999</v>
      </c>
      <c r="CC182" s="20" t="n">
        <f aca="false">CC180+CC181</f>
        <v>684.060998734538</v>
      </c>
      <c r="CD182" s="20" t="n">
        <f aca="false">CD180+CD181</f>
        <v>927.91430963667</v>
      </c>
      <c r="CE182" s="20" t="n">
        <f aca="false">CE180+CE181</f>
        <v>1200.06063216112</v>
      </c>
      <c r="CF182" s="21"/>
    </row>
    <row r="183" customFormat="false" ht="15" hidden="false" customHeight="true" outlineLevel="0" collapsed="false">
      <c r="B183" s="29" t="s">
        <v>381</v>
      </c>
      <c r="C183" s="34" t="n">
        <f aca="false">C154</f>
        <v>5.388</v>
      </c>
      <c r="D183" s="34" t="n">
        <f aca="false">D154</f>
        <v>7.233</v>
      </c>
      <c r="E183" s="34" t="n">
        <f aca="false">E154</f>
        <v>7.164</v>
      </c>
      <c r="F183" s="35" t="n">
        <v>5.801</v>
      </c>
      <c r="G183" s="35" t="n">
        <v>3.776</v>
      </c>
      <c r="H183" s="35" t="n">
        <v>3.59</v>
      </c>
      <c r="I183" s="35" t="n">
        <v>22.241</v>
      </c>
      <c r="J183" s="35" t="n">
        <v>7.152</v>
      </c>
      <c r="K183" s="35" t="n">
        <v>6.92</v>
      </c>
      <c r="L183" s="35" t="n">
        <v>6.634</v>
      </c>
      <c r="M183" s="35" t="n">
        <v>6.36</v>
      </c>
      <c r="N183" s="35" t="n">
        <v>27.066</v>
      </c>
      <c r="O183" s="35" t="n">
        <v>6.176</v>
      </c>
      <c r="P183" s="35" t="n">
        <v>16.916</v>
      </c>
      <c r="Q183" s="35" t="n">
        <v>16.151</v>
      </c>
      <c r="R183" s="35" t="n">
        <v>15.479</v>
      </c>
      <c r="S183" s="35" t="n">
        <v>54.722</v>
      </c>
      <c r="T183" s="35" t="n">
        <v>13.489</v>
      </c>
      <c r="U183" s="35" t="n">
        <v>13.541</v>
      </c>
      <c r="V183" s="35" t="n">
        <v>17.117</v>
      </c>
      <c r="W183" s="35" t="n">
        <v>13.861</v>
      </c>
      <c r="X183" s="35" t="n">
        <v>58.008</v>
      </c>
      <c r="Y183" s="35" t="n">
        <v>11.919</v>
      </c>
      <c r="Z183" s="35" t="n">
        <v>11.516</v>
      </c>
      <c r="AA183" s="35" t="n">
        <v>11.286</v>
      </c>
      <c r="AB183" s="35" t="n">
        <v>10.829</v>
      </c>
      <c r="AC183" s="35" t="n">
        <v>45.55</v>
      </c>
      <c r="AD183" s="35" t="n">
        <v>10.893</v>
      </c>
      <c r="AE183" s="35" t="n">
        <v>9.34</v>
      </c>
      <c r="AF183" s="35" t="n">
        <v>8.498</v>
      </c>
      <c r="AG183" s="35" t="n">
        <v>8.66</v>
      </c>
      <c r="AH183" s="35" t="n">
        <v>37.391</v>
      </c>
      <c r="AI183" s="35" t="n">
        <v>10.411</v>
      </c>
      <c r="AJ183" s="35" t="n">
        <v>14.14</v>
      </c>
      <c r="AK183" s="35" t="n">
        <v>13.639</v>
      </c>
      <c r="AL183" s="35" t="n">
        <v>13.277</v>
      </c>
      <c r="AM183" s="35" t="n">
        <v>51.467</v>
      </c>
      <c r="AN183" s="35" t="n">
        <v>13.195</v>
      </c>
      <c r="AO183" s="35" t="n">
        <v>12.208</v>
      </c>
      <c r="AP183" s="35" t="n">
        <v>12.543</v>
      </c>
      <c r="AQ183" s="35" t="n">
        <v>17.406</v>
      </c>
      <c r="AR183" s="35" t="n">
        <v>55.352</v>
      </c>
      <c r="AS183" s="35" t="n">
        <v>17.489</v>
      </c>
      <c r="AT183" s="35" t="n">
        <v>20.989</v>
      </c>
      <c r="AU183" s="35" t="n">
        <v>24.87</v>
      </c>
      <c r="AV183" s="35" t="n">
        <v>24.784</v>
      </c>
      <c r="AW183" s="35" t="n">
        <v>88.132</v>
      </c>
      <c r="AX183" s="35" t="n">
        <v>25.827</v>
      </c>
      <c r="AY183" s="35" t="n">
        <v>25.293</v>
      </c>
      <c r="AZ183" s="35" t="n">
        <v>26.33</v>
      </c>
      <c r="BA183" s="35" t="n">
        <v>26.176</v>
      </c>
      <c r="BB183" s="35" t="n">
        <v>103.626</v>
      </c>
      <c r="BC183" s="35" t="n">
        <v>23.19</v>
      </c>
      <c r="BD183" s="35" t="n">
        <v>22.815</v>
      </c>
      <c r="BE183" s="35" t="n">
        <v>36.596</v>
      </c>
      <c r="BF183" s="35" t="n">
        <v>19.978</v>
      </c>
      <c r="BG183" s="35" t="n">
        <v>102.579</v>
      </c>
      <c r="BH183" s="35" t="n">
        <v>17.681</v>
      </c>
      <c r="BI183" s="35" t="n">
        <v>17.976</v>
      </c>
      <c r="BJ183" s="35" t="n">
        <v>18.707</v>
      </c>
      <c r="BK183" s="35" t="n">
        <v>19.3</v>
      </c>
      <c r="BL183" s="35" t="n">
        <v>73.7</v>
      </c>
      <c r="BM183" s="35" t="n">
        <v>19.8</v>
      </c>
      <c r="BN183" s="35" t="n">
        <v>18.1</v>
      </c>
      <c r="BO183" s="35" t="n">
        <v>16.5</v>
      </c>
      <c r="BP183" s="35" t="n">
        <v>20</v>
      </c>
      <c r="BQ183" s="35" t="n">
        <v>74</v>
      </c>
      <c r="BR183" s="35" t="n">
        <v>27.7</v>
      </c>
      <c r="BS183" s="35" t="n">
        <v>43.6</v>
      </c>
      <c r="BT183" s="35" t="n">
        <v>51.8</v>
      </c>
      <c r="BU183" s="35" t="n">
        <v>69</v>
      </c>
      <c r="BV183" s="35" t="n">
        <v>192</v>
      </c>
      <c r="BW183" s="35" t="n">
        <v>64</v>
      </c>
      <c r="BX183" s="35" t="n">
        <v>63</v>
      </c>
      <c r="BY183" s="36" t="n">
        <f aca="false">BY154</f>
        <v>65.5945205479452</v>
      </c>
      <c r="BZ183" s="36" t="n">
        <f aca="false">BZ154</f>
        <v>70.0657534246575</v>
      </c>
      <c r="CA183" s="36" t="n">
        <f aca="false">CA154</f>
        <v>262.660273972603</v>
      </c>
      <c r="CB183" s="36" t="n">
        <f aca="false">CB154</f>
        <v>251</v>
      </c>
      <c r="CC183" s="36" t="n">
        <f aca="false">CC154</f>
        <v>225</v>
      </c>
      <c r="CD183" s="36" t="n">
        <f aca="false">CD154</f>
        <v>211</v>
      </c>
      <c r="CE183" s="36" t="n">
        <f aca="false">CE154</f>
        <v>179</v>
      </c>
      <c r="CF183" s="28"/>
    </row>
    <row r="184" customFormat="false" ht="15" hidden="false" customHeight="true" outlineLevel="0" collapsed="false">
      <c r="B184" s="29" t="s">
        <v>353</v>
      </c>
      <c r="C184" s="34" t="n">
        <f aca="false">C142</f>
        <v>0</v>
      </c>
      <c r="D184" s="34" t="n">
        <f aca="false">D142</f>
        <v>5.44</v>
      </c>
      <c r="E184" s="34" t="n">
        <f aca="false">E142</f>
        <v>4.94</v>
      </c>
      <c r="F184" s="35" t="n">
        <v>6.46</v>
      </c>
      <c r="G184" s="35" t="n">
        <v>8.306</v>
      </c>
      <c r="H184" s="35" t="n">
        <v>8.103</v>
      </c>
      <c r="I184" s="35" t="n">
        <v>12.282</v>
      </c>
      <c r="J184" s="35" t="n">
        <v>17.326</v>
      </c>
      <c r="K184" s="35" t="n">
        <v>7.156</v>
      </c>
      <c r="L184" s="35" t="n">
        <v>7.788</v>
      </c>
      <c r="M184" s="35" t="n">
        <v>9.279</v>
      </c>
      <c r="N184" s="35" t="n">
        <v>41.549</v>
      </c>
      <c r="O184" s="35" t="n">
        <v>7.879</v>
      </c>
      <c r="P184" s="35" t="n">
        <v>6.38</v>
      </c>
      <c r="Q184" s="35" t="n">
        <v>6.647</v>
      </c>
      <c r="R184" s="35" t="n">
        <v>7.361</v>
      </c>
      <c r="S184" s="35" t="n">
        <v>28.267</v>
      </c>
      <c r="T184" s="35" t="n">
        <v>7.442</v>
      </c>
      <c r="U184" s="35" t="n">
        <v>8.415</v>
      </c>
      <c r="V184" s="35" t="n">
        <v>9.312</v>
      </c>
      <c r="W184" s="35" t="n">
        <v>9.368</v>
      </c>
      <c r="X184" s="35" t="n">
        <v>34.537</v>
      </c>
      <c r="Y184" s="35" t="n">
        <v>8.331</v>
      </c>
      <c r="Z184" s="35" t="n">
        <v>9.339</v>
      </c>
      <c r="AA184" s="35" t="n">
        <v>9.311</v>
      </c>
      <c r="AB184" s="35" t="n">
        <v>9.368</v>
      </c>
      <c r="AC184" s="35" t="n">
        <v>36.349</v>
      </c>
      <c r="AD184" s="35" t="n">
        <v>9.357</v>
      </c>
      <c r="AE184" s="35" t="n">
        <v>10.103</v>
      </c>
      <c r="AF184" s="35" t="n">
        <v>9.743</v>
      </c>
      <c r="AG184" s="35" t="n">
        <v>9.827</v>
      </c>
      <c r="AH184" s="35" t="n">
        <v>39.03</v>
      </c>
      <c r="AI184" s="35" t="n">
        <v>10.412</v>
      </c>
      <c r="AJ184" s="35" t="n">
        <v>11.228</v>
      </c>
      <c r="AK184" s="35" t="n">
        <v>8.953</v>
      </c>
      <c r="AL184" s="35" t="n">
        <v>12.125</v>
      </c>
      <c r="AM184" s="35" t="n">
        <v>42.718</v>
      </c>
      <c r="AN184" s="35" t="n">
        <v>12.029</v>
      </c>
      <c r="AO184" s="35" t="n">
        <v>13.816</v>
      </c>
      <c r="AP184" s="35" t="n">
        <v>13.139</v>
      </c>
      <c r="AQ184" s="35" t="n">
        <v>13.271</v>
      </c>
      <c r="AR184" s="35" t="n">
        <v>52.255</v>
      </c>
      <c r="AS184" s="35" t="n">
        <v>15.18</v>
      </c>
      <c r="AT184" s="35" t="n">
        <v>9.527</v>
      </c>
      <c r="AU184" s="35" t="n">
        <v>16.73</v>
      </c>
      <c r="AV184" s="35" t="n">
        <v>12.667</v>
      </c>
      <c r="AW184" s="35" t="n">
        <v>54.104</v>
      </c>
      <c r="AX184" s="35" t="n">
        <v>15.545</v>
      </c>
      <c r="AY184" s="35" t="n">
        <v>15.144</v>
      </c>
      <c r="AZ184" s="35" t="n">
        <v>16.299</v>
      </c>
      <c r="BA184" s="35" t="n">
        <v>16.721</v>
      </c>
      <c r="BB184" s="35" t="n">
        <v>63.709</v>
      </c>
      <c r="BC184" s="35" t="n">
        <v>17.847</v>
      </c>
      <c r="BD184" s="35" t="n">
        <v>18.112</v>
      </c>
      <c r="BE184" s="35" t="n">
        <v>18.138</v>
      </c>
      <c r="BF184" s="35" t="n">
        <v>21.11</v>
      </c>
      <c r="BG184" s="35" t="n">
        <v>75.207</v>
      </c>
      <c r="BH184" s="35" t="n">
        <v>20.045</v>
      </c>
      <c r="BI184" s="35" t="n">
        <v>21.826</v>
      </c>
      <c r="BJ184" s="35" t="n">
        <v>21.899</v>
      </c>
      <c r="BK184" s="35" t="n">
        <v>21.2</v>
      </c>
      <c r="BL184" s="35" t="n">
        <v>85</v>
      </c>
      <c r="BM184" s="35" t="n">
        <v>22.8</v>
      </c>
      <c r="BN184" s="35" t="n">
        <v>22.7</v>
      </c>
      <c r="BO184" s="35" t="n">
        <v>21.8</v>
      </c>
      <c r="BP184" s="35" t="n">
        <v>22</v>
      </c>
      <c r="BQ184" s="35" t="n">
        <v>89</v>
      </c>
      <c r="BR184" s="35" t="n">
        <v>30.4</v>
      </c>
      <c r="BS184" s="35" t="n">
        <v>51.8</v>
      </c>
      <c r="BT184" s="35" t="n">
        <v>70.8</v>
      </c>
      <c r="BU184" s="35" t="n">
        <v>41</v>
      </c>
      <c r="BV184" s="35" t="n">
        <v>194</v>
      </c>
      <c r="BW184" s="35" t="n">
        <v>42</v>
      </c>
      <c r="BX184" s="35" t="n">
        <v>38</v>
      </c>
      <c r="BY184" s="36" t="n">
        <f aca="false">BY162</f>
        <v>34</v>
      </c>
      <c r="BZ184" s="36" t="n">
        <f aca="false">BZ162</f>
        <v>42</v>
      </c>
      <c r="CA184" s="36" t="n">
        <f aca="false">CA162</f>
        <v>156</v>
      </c>
      <c r="CB184" s="36" t="n">
        <f aca="false">CB162</f>
        <v>172.99599614065</v>
      </c>
      <c r="CC184" s="36" t="n">
        <f aca="false">CC162</f>
        <v>190.035165021428</v>
      </c>
      <c r="CD184" s="36" t="n">
        <f aca="false">CD162</f>
        <v>207.402606717507</v>
      </c>
      <c r="CE184" s="36" t="n">
        <f aca="false">CE162</f>
        <v>224.859780113142</v>
      </c>
      <c r="CF184" s="28"/>
    </row>
    <row r="185" customFormat="false" ht="15" hidden="false" customHeight="true" outlineLevel="0" collapsed="false">
      <c r="B185" s="29" t="s">
        <v>382</v>
      </c>
      <c r="C185" s="34"/>
      <c r="D185" s="34"/>
      <c r="E185" s="34"/>
      <c r="F185" s="35" t="n">
        <v>0.616</v>
      </c>
      <c r="G185" s="35" t="n">
        <v>0</v>
      </c>
      <c r="H185" s="35" t="n">
        <v>14.191</v>
      </c>
      <c r="I185" s="35" t="n">
        <v>13.924</v>
      </c>
      <c r="J185" s="35" t="n">
        <v>0.505</v>
      </c>
      <c r="K185" s="35" t="n">
        <v>0.133</v>
      </c>
      <c r="L185" s="35" t="n">
        <v>0</v>
      </c>
      <c r="M185" s="35" t="n">
        <v>0</v>
      </c>
      <c r="N185" s="35" t="n">
        <v>0.638</v>
      </c>
      <c r="O185" s="35" t="n">
        <v>1.114</v>
      </c>
      <c r="P185" s="35" t="n">
        <v>1.357</v>
      </c>
      <c r="Q185" s="35" t="n">
        <v>0.707</v>
      </c>
      <c r="R185" s="35" t="n">
        <v>0.624</v>
      </c>
      <c r="S185" s="35" t="n">
        <v>3.802</v>
      </c>
      <c r="T185" s="35" t="n">
        <v>0.624</v>
      </c>
      <c r="U185" s="35" t="n">
        <v>2.936</v>
      </c>
      <c r="V185" s="35" t="n">
        <v>1.787</v>
      </c>
      <c r="W185" s="35" t="n">
        <v>1.023</v>
      </c>
      <c r="X185" s="35" t="n">
        <v>6.37</v>
      </c>
      <c r="Y185" s="35" t="n">
        <v>1.447</v>
      </c>
      <c r="Z185" s="35" t="n">
        <v>0.811</v>
      </c>
      <c r="AA185" s="35" t="n">
        <v>0</v>
      </c>
      <c r="AB185" s="35" t="n">
        <v>0</v>
      </c>
      <c r="AC185" s="35" t="n">
        <v>2.258</v>
      </c>
      <c r="AD185" s="35" t="n">
        <v>0.362</v>
      </c>
      <c r="AE185" s="35" t="n">
        <v>0.411</v>
      </c>
      <c r="AF185" s="35" t="n">
        <v>1.224</v>
      </c>
      <c r="AG185" s="35" t="n">
        <v>1.99</v>
      </c>
      <c r="AH185" s="35" t="n">
        <v>4.061</v>
      </c>
      <c r="AI185" s="35" t="n">
        <v>3.522</v>
      </c>
      <c r="AJ185" s="35" t="n">
        <v>9.506</v>
      </c>
      <c r="AK185" s="35" t="n">
        <v>7.171</v>
      </c>
      <c r="AL185" s="35" t="n">
        <v>1.484</v>
      </c>
      <c r="AM185" s="35" t="n">
        <v>21.683</v>
      </c>
      <c r="AN185" s="35" t="n">
        <v>0.249</v>
      </c>
      <c r="AO185" s="35" t="n">
        <v>0.492</v>
      </c>
      <c r="AP185" s="35" t="n">
        <v>2.287</v>
      </c>
      <c r="AQ185" s="35" t="n">
        <v>3.651</v>
      </c>
      <c r="AR185" s="35" t="n">
        <v>6.679</v>
      </c>
      <c r="AS185" s="35" t="n">
        <v>8.713</v>
      </c>
      <c r="AT185" s="35" t="n">
        <v>10.031</v>
      </c>
      <c r="AU185" s="35" t="n">
        <v>7.887</v>
      </c>
      <c r="AV185" s="35" t="n">
        <v>65.892</v>
      </c>
      <c r="AW185" s="35" t="n">
        <v>92.523</v>
      </c>
      <c r="AX185" s="35" t="n">
        <v>8.462</v>
      </c>
      <c r="AY185" s="35" t="n">
        <v>2.001</v>
      </c>
      <c r="AZ185" s="35" t="n">
        <v>5.012</v>
      </c>
      <c r="BA185" s="35" t="n">
        <v>3.243</v>
      </c>
      <c r="BB185" s="35" t="n">
        <v>18.718</v>
      </c>
      <c r="BC185" s="35" t="n">
        <v>1.639</v>
      </c>
      <c r="BD185" s="35" t="n">
        <v>0.504</v>
      </c>
      <c r="BE185" s="35" t="n">
        <v>1.095</v>
      </c>
      <c r="BF185" s="35" t="n">
        <v>2.167</v>
      </c>
      <c r="BG185" s="35" t="n">
        <v>5.405</v>
      </c>
      <c r="BH185" s="35" t="n">
        <v>1.655</v>
      </c>
      <c r="BI185" s="35" t="n">
        <v>-0.179</v>
      </c>
      <c r="BJ185" s="35" t="n">
        <v>0.796</v>
      </c>
      <c r="BK185" s="35" t="n">
        <v>10.7</v>
      </c>
      <c r="BL185" s="35" t="n">
        <v>12.9</v>
      </c>
      <c r="BM185" s="35" t="n">
        <v>2.3</v>
      </c>
      <c r="BN185" s="35" t="n">
        <v>6</v>
      </c>
      <c r="BO185" s="35" t="n">
        <v>4.4</v>
      </c>
      <c r="BP185" s="35" t="n">
        <v>16</v>
      </c>
      <c r="BQ185" s="35" t="n">
        <v>29</v>
      </c>
      <c r="BR185" s="35" t="n">
        <v>20.6</v>
      </c>
      <c r="BS185" s="35" t="n">
        <v>5.4</v>
      </c>
      <c r="BT185" s="35" t="n">
        <v>31</v>
      </c>
      <c r="BU185" s="35" t="n">
        <v>7</v>
      </c>
      <c r="BV185" s="35" t="n">
        <v>63</v>
      </c>
      <c r="BW185" s="35" t="n">
        <v>7</v>
      </c>
      <c r="BX185" s="35" t="n">
        <v>5</v>
      </c>
      <c r="BY185" s="36" t="n">
        <f aca="false">BY163</f>
        <v>10</v>
      </c>
      <c r="BZ185" s="36" t="n">
        <f aca="false">BZ163</f>
        <v>3</v>
      </c>
      <c r="CA185" s="36" t="n">
        <f aca="false">CA163</f>
        <v>25</v>
      </c>
      <c r="CB185" s="36" t="n">
        <f aca="false">CB163</f>
        <v>15</v>
      </c>
      <c r="CC185" s="36" t="n">
        <f aca="false">CC163</f>
        <v>10</v>
      </c>
      <c r="CD185" s="36" t="n">
        <f aca="false">CD163</f>
        <v>10</v>
      </c>
      <c r="CE185" s="36" t="n">
        <f aca="false">CE163</f>
        <v>10</v>
      </c>
      <c r="CF185" s="28"/>
    </row>
    <row r="186" customFormat="false" ht="15" hidden="false" customHeight="true" outlineLevel="0" collapsed="false">
      <c r="B186" s="29" t="s">
        <v>356</v>
      </c>
      <c r="C186" s="34"/>
      <c r="D186" s="34"/>
      <c r="E186" s="34"/>
      <c r="F186" s="35" t="n">
        <v>0.745</v>
      </c>
      <c r="G186" s="35" t="n">
        <v>1.384</v>
      </c>
      <c r="H186" s="35" t="n">
        <v>1.509</v>
      </c>
      <c r="I186" s="35" t="n">
        <v>0</v>
      </c>
      <c r="J186" s="35" t="n">
        <v>0.271</v>
      </c>
      <c r="K186" s="35" t="n">
        <v>0</v>
      </c>
      <c r="L186" s="35" t="n">
        <v>0.091</v>
      </c>
      <c r="M186" s="35" t="n">
        <v>0</v>
      </c>
      <c r="N186" s="35" t="n">
        <v>0.362</v>
      </c>
      <c r="O186" s="35" t="n">
        <v>0</v>
      </c>
      <c r="P186" s="35" t="n">
        <v>0</v>
      </c>
      <c r="Q186" s="35" t="n">
        <v>0</v>
      </c>
      <c r="R186" s="35" t="n">
        <v>1.976</v>
      </c>
      <c r="S186" s="35" t="n">
        <v>1.976</v>
      </c>
      <c r="T186" s="35" t="n">
        <v>0</v>
      </c>
      <c r="U186" s="35" t="n">
        <v>0</v>
      </c>
      <c r="V186" s="35" t="n">
        <v>2.279</v>
      </c>
      <c r="W186" s="35" t="n">
        <v>-0.311</v>
      </c>
      <c r="X186" s="35" t="n">
        <v>1.968</v>
      </c>
      <c r="Y186" s="35" t="n">
        <v>0</v>
      </c>
      <c r="Z186" s="35" t="n">
        <v>0</v>
      </c>
      <c r="AA186" s="35" t="n">
        <v>0.066</v>
      </c>
      <c r="AB186" s="35" t="n">
        <v>1.779</v>
      </c>
      <c r="AC186" s="35" t="n">
        <v>1.845</v>
      </c>
      <c r="AD186" s="35" t="n">
        <v>0</v>
      </c>
      <c r="AE186" s="35" t="n">
        <v>0</v>
      </c>
      <c r="AF186" s="35" t="n">
        <v>0</v>
      </c>
      <c r="AG186" s="35" t="n">
        <v>0</v>
      </c>
      <c r="AH186" s="35" t="n">
        <v>0</v>
      </c>
      <c r="AI186" s="35" t="n">
        <v>0</v>
      </c>
      <c r="AJ186" s="35" t="n">
        <v>0</v>
      </c>
      <c r="AK186" s="35" t="n">
        <v>2.314</v>
      </c>
      <c r="AL186" s="35" t="n">
        <v>0</v>
      </c>
      <c r="AM186" s="35" t="n">
        <v>2.314</v>
      </c>
      <c r="AN186" s="35" t="n">
        <v>0.068</v>
      </c>
      <c r="AO186" s="35" t="n">
        <v>2.18</v>
      </c>
      <c r="AP186" s="35" t="n">
        <v>0.806</v>
      </c>
      <c r="AQ186" s="35" t="n">
        <v>0</v>
      </c>
      <c r="AR186" s="35" t="n">
        <v>3.054</v>
      </c>
      <c r="AS186" s="35" t="n">
        <v>0</v>
      </c>
      <c r="AT186" s="35" t="n">
        <v>0</v>
      </c>
      <c r="AU186" s="35" t="n">
        <v>0.413</v>
      </c>
      <c r="AV186" s="35" t="n">
        <v>0</v>
      </c>
      <c r="AW186" s="35" t="n">
        <v>0.413</v>
      </c>
      <c r="AX186" s="35" t="n">
        <v>0</v>
      </c>
      <c r="AY186" s="35" t="n">
        <v>0</v>
      </c>
      <c r="AZ186" s="35" t="n">
        <v>0</v>
      </c>
      <c r="BA186" s="35" t="n">
        <v>0</v>
      </c>
      <c r="BB186" s="35" t="n">
        <v>0</v>
      </c>
      <c r="BC186" s="35" t="n">
        <v>0</v>
      </c>
      <c r="BD186" s="35" t="n">
        <v>0</v>
      </c>
      <c r="BE186" s="35" t="n">
        <v>0.191</v>
      </c>
      <c r="BF186" s="35" t="n">
        <v>1.984</v>
      </c>
      <c r="BG186" s="35" t="n">
        <v>2.175</v>
      </c>
      <c r="BH186" s="35" t="n">
        <v>3.422</v>
      </c>
      <c r="BI186" s="35" t="n">
        <v>-0.051</v>
      </c>
      <c r="BJ186" s="35" t="n">
        <v>0.509</v>
      </c>
      <c r="BK186" s="35" t="n">
        <v>0.2</v>
      </c>
      <c r="BL186" s="35" t="n">
        <v>4.1</v>
      </c>
      <c r="BM186" s="35" t="n">
        <v>0</v>
      </c>
      <c r="BN186" s="35" t="n">
        <v>0</v>
      </c>
      <c r="BO186" s="35" t="n">
        <v>0.2</v>
      </c>
      <c r="BP186" s="35" t="n">
        <v>1</v>
      </c>
      <c r="BQ186" s="35" t="n">
        <v>1</v>
      </c>
      <c r="BR186" s="35" t="n">
        <v>7.1</v>
      </c>
      <c r="BS186" s="35" t="n">
        <v>-1.4</v>
      </c>
      <c r="BT186" s="35" t="n">
        <v>0.1</v>
      </c>
      <c r="BU186" s="35" t="n">
        <v>0</v>
      </c>
      <c r="BV186" s="35" t="n">
        <v>6</v>
      </c>
      <c r="BW186" s="35" t="n">
        <v>2</v>
      </c>
      <c r="BX186" s="35" t="n">
        <v>2</v>
      </c>
      <c r="BY186" s="36" t="n">
        <f aca="false">BY164</f>
        <v>0</v>
      </c>
      <c r="BZ186" s="36" t="n">
        <f aca="false">BZ164</f>
        <v>0</v>
      </c>
      <c r="CA186" s="36" t="n">
        <f aca="false">CA164</f>
        <v>4</v>
      </c>
      <c r="CB186" s="36" t="n">
        <f aca="false">CB164</f>
        <v>0</v>
      </c>
      <c r="CC186" s="36" t="n">
        <f aca="false">CC164</f>
        <v>0</v>
      </c>
      <c r="CD186" s="36" t="n">
        <f aca="false">CD164</f>
        <v>0</v>
      </c>
      <c r="CE186" s="36" t="n">
        <f aca="false">CE164</f>
        <v>0</v>
      </c>
      <c r="CF186" s="28"/>
    </row>
    <row r="187" customFormat="false" ht="15" hidden="false" customHeight="true" outlineLevel="0" collapsed="false">
      <c r="B187" s="29" t="s">
        <v>383</v>
      </c>
      <c r="C187" s="34"/>
      <c r="D187" s="34"/>
      <c r="E187" s="34"/>
      <c r="F187" s="35" t="n">
        <v>0</v>
      </c>
      <c r="G187" s="35" t="n">
        <v>2.825</v>
      </c>
      <c r="H187" s="35" t="n">
        <v>-1.479</v>
      </c>
      <c r="I187" s="35" t="n">
        <v>0</v>
      </c>
      <c r="J187" s="35" t="n">
        <v>0</v>
      </c>
      <c r="K187" s="35" t="n">
        <v>0</v>
      </c>
      <c r="L187" s="35" t="n">
        <v>0</v>
      </c>
      <c r="M187" s="35" t="n">
        <v>0</v>
      </c>
      <c r="N187" s="35" t="n">
        <v>0</v>
      </c>
      <c r="O187" s="35" t="n">
        <v>1.053</v>
      </c>
      <c r="P187" s="35" t="n">
        <v>0</v>
      </c>
      <c r="Q187" s="35" t="n">
        <v>0.746</v>
      </c>
      <c r="R187" s="35" t="n">
        <v>1.374</v>
      </c>
      <c r="S187" s="35" t="n">
        <v>3.173</v>
      </c>
      <c r="T187" s="35" t="n">
        <v>1.402</v>
      </c>
      <c r="U187" s="35" t="n">
        <v>1.376</v>
      </c>
      <c r="V187" s="35" t="n">
        <v>0</v>
      </c>
      <c r="W187" s="35" t="n">
        <v>0</v>
      </c>
      <c r="X187" s="35" t="n">
        <v>2.778</v>
      </c>
      <c r="Y187" s="35" t="n">
        <v>0</v>
      </c>
      <c r="Z187" s="35" t="n">
        <v>0</v>
      </c>
      <c r="AA187" s="35" t="n">
        <v>0</v>
      </c>
      <c r="AB187" s="35" t="n">
        <v>0</v>
      </c>
      <c r="AC187" s="35" t="n">
        <v>0</v>
      </c>
      <c r="AD187" s="35" t="n">
        <v>-0.76</v>
      </c>
      <c r="AE187" s="35" t="n">
        <v>0</v>
      </c>
      <c r="AF187" s="35" t="n">
        <v>0</v>
      </c>
      <c r="AG187" s="35" t="n">
        <v>0</v>
      </c>
      <c r="AH187" s="35" t="n">
        <v>-0.76</v>
      </c>
      <c r="AI187" s="35" t="n">
        <v>0</v>
      </c>
      <c r="AJ187" s="35" t="n">
        <v>0</v>
      </c>
      <c r="AK187" s="35" t="n">
        <v>0</v>
      </c>
      <c r="AL187" s="35" t="n">
        <v>0</v>
      </c>
      <c r="AM187" s="35" t="n">
        <v>0</v>
      </c>
      <c r="AN187" s="35" t="n">
        <v>0</v>
      </c>
      <c r="AO187" s="35" t="n">
        <v>0</v>
      </c>
      <c r="AP187" s="35" t="n">
        <v>0</v>
      </c>
      <c r="AQ187" s="35" t="n">
        <v>-10.75</v>
      </c>
      <c r="AR187" s="35" t="n">
        <v>-10.75</v>
      </c>
      <c r="AS187" s="35" t="n">
        <v>0</v>
      </c>
      <c r="AT187" s="35" t="n">
        <v>0</v>
      </c>
      <c r="AU187" s="35" t="n">
        <v>0</v>
      </c>
      <c r="AV187" s="35" t="n">
        <v>0</v>
      </c>
      <c r="AW187" s="35" t="n">
        <v>0</v>
      </c>
      <c r="AX187" s="35" t="n">
        <v>0</v>
      </c>
      <c r="AY187" s="35" t="n">
        <v>0</v>
      </c>
      <c r="AZ187" s="35" t="n">
        <v>0</v>
      </c>
      <c r="BA187" s="35" t="n">
        <v>0</v>
      </c>
      <c r="BB187" s="35" t="n">
        <v>0</v>
      </c>
      <c r="BC187" s="35" t="n">
        <v>0</v>
      </c>
      <c r="BD187" s="35" t="n">
        <v>0</v>
      </c>
      <c r="BE187" s="35" t="n">
        <v>4.1</v>
      </c>
      <c r="BF187" s="35" t="n">
        <v>1.969</v>
      </c>
      <c r="BG187" s="35" t="n">
        <v>6.069</v>
      </c>
      <c r="BH187" s="35" t="n">
        <v>-0.077</v>
      </c>
      <c r="BI187" s="35" t="n">
        <v>-0.03</v>
      </c>
      <c r="BJ187" s="35" t="n">
        <v>0</v>
      </c>
      <c r="BK187" s="35" t="n">
        <v>0</v>
      </c>
      <c r="BL187" s="35" t="n">
        <v>-0.1</v>
      </c>
      <c r="BM187" s="35" t="n">
        <v>0</v>
      </c>
      <c r="BN187" s="35" t="n">
        <v>0</v>
      </c>
      <c r="BO187" s="35" t="n">
        <v>-1.3</v>
      </c>
      <c r="BP187" s="35" t="n">
        <v>0</v>
      </c>
      <c r="BQ187" s="35" t="n">
        <v>-1</v>
      </c>
      <c r="BR187" s="35" t="n">
        <v>8.3</v>
      </c>
      <c r="BS187" s="35" t="n">
        <v>0.6</v>
      </c>
      <c r="BT187" s="35" t="n">
        <v>0</v>
      </c>
      <c r="BU187" s="35" t="n">
        <v>0</v>
      </c>
      <c r="BV187" s="35" t="n">
        <v>9</v>
      </c>
      <c r="BW187" s="35" t="n">
        <v>0</v>
      </c>
      <c r="BX187" s="35" t="n">
        <v>-18</v>
      </c>
      <c r="BY187" s="36" t="n">
        <f aca="false">BY165</f>
        <v>0</v>
      </c>
      <c r="BZ187" s="36" t="n">
        <f aca="false">BZ165</f>
        <v>0</v>
      </c>
      <c r="CA187" s="36" t="n">
        <f aca="false">CA165</f>
        <v>-18</v>
      </c>
      <c r="CB187" s="36" t="n">
        <f aca="false">CB165</f>
        <v>0</v>
      </c>
      <c r="CC187" s="36" t="n">
        <f aca="false">CC165</f>
        <v>0</v>
      </c>
      <c r="CD187" s="36" t="n">
        <f aca="false">CD165</f>
        <v>0</v>
      </c>
      <c r="CE187" s="36" t="n">
        <f aca="false">CE165</f>
        <v>0</v>
      </c>
      <c r="CF187" s="28"/>
    </row>
    <row r="188" customFormat="false" ht="15" hidden="false" customHeight="true" outlineLevel="0" collapsed="false">
      <c r="B188" s="29" t="s">
        <v>384</v>
      </c>
      <c r="C188" s="34"/>
      <c r="D188" s="34"/>
      <c r="E188" s="34"/>
      <c r="F188" s="35" t="n">
        <v>0</v>
      </c>
      <c r="G188" s="35" t="n">
        <v>2.837</v>
      </c>
      <c r="H188" s="35" t="n">
        <v>0</v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0</v>
      </c>
      <c r="U188" s="35" t="n">
        <v>0</v>
      </c>
      <c r="V188" s="35" t="n">
        <v>0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5" t="n">
        <v>0</v>
      </c>
      <c r="AD188" s="35" t="n">
        <v>0</v>
      </c>
      <c r="AE188" s="35" t="n">
        <v>0</v>
      </c>
      <c r="AF188" s="35" t="n">
        <v>0</v>
      </c>
      <c r="AG188" s="35" t="n">
        <v>3.788</v>
      </c>
      <c r="AH188" s="35" t="n">
        <v>3.788</v>
      </c>
      <c r="AI188" s="35" t="n">
        <v>0</v>
      </c>
      <c r="AJ188" s="35" t="n">
        <v>0</v>
      </c>
      <c r="AK188" s="35" t="n">
        <v>0</v>
      </c>
      <c r="AL188" s="35" t="n">
        <v>0</v>
      </c>
      <c r="AM188" s="35" t="n">
        <v>0</v>
      </c>
      <c r="AN188" s="35" t="n">
        <v>0</v>
      </c>
      <c r="AO188" s="35" t="n">
        <v>0</v>
      </c>
      <c r="AP188" s="35" t="n">
        <v>0</v>
      </c>
      <c r="AQ188" s="35" t="n">
        <v>0</v>
      </c>
      <c r="AR188" s="35" t="n">
        <v>0</v>
      </c>
      <c r="AS188" s="35" t="n">
        <v>0</v>
      </c>
      <c r="AT188" s="35" t="n">
        <v>0</v>
      </c>
      <c r="AU188" s="35" t="n">
        <v>0.113</v>
      </c>
      <c r="AV188" s="35" t="n">
        <v>0</v>
      </c>
      <c r="AW188" s="35" t="n">
        <v>0.113</v>
      </c>
      <c r="AX188" s="35" t="n">
        <v>1.071</v>
      </c>
      <c r="AY188" s="35" t="n">
        <v>0.786</v>
      </c>
      <c r="AZ188" s="35" t="n">
        <v>0.934</v>
      </c>
      <c r="BA188" s="35" t="n">
        <v>4.112</v>
      </c>
      <c r="BB188" s="35" t="n">
        <v>6.903</v>
      </c>
      <c r="BC188" s="35" t="n">
        <v>2.036</v>
      </c>
      <c r="BD188" s="35" t="n">
        <v>2.063</v>
      </c>
      <c r="BE188" s="35" t="n">
        <v>2.063</v>
      </c>
      <c r="BF188" s="35" t="n">
        <v>0</v>
      </c>
      <c r="BG188" s="35" t="n">
        <v>6.162</v>
      </c>
      <c r="BH188" s="35" t="n">
        <v>0</v>
      </c>
      <c r="BI188" s="35" t="n">
        <v>0</v>
      </c>
      <c r="BJ188" s="35" t="n">
        <v>0</v>
      </c>
      <c r="BK188" s="35" t="n">
        <v>-3.8</v>
      </c>
      <c r="BL188" s="35" t="n">
        <v>-3.8</v>
      </c>
      <c r="BM188" s="35" t="n">
        <v>0</v>
      </c>
      <c r="BN188" s="35" t="n">
        <v>0</v>
      </c>
      <c r="BO188" s="35" t="n">
        <v>0</v>
      </c>
      <c r="BP188" s="35" t="n">
        <v>0</v>
      </c>
      <c r="BQ188" s="35" t="n">
        <v>0</v>
      </c>
      <c r="BR188" s="35" t="n">
        <v>-2.5</v>
      </c>
      <c r="BS188" s="35" t="n">
        <v>-22.1</v>
      </c>
      <c r="BT188" s="35" t="n">
        <v>23</v>
      </c>
      <c r="BU188" s="35" t="n">
        <v>0</v>
      </c>
      <c r="BV188" s="35" t="n">
        <v>-2</v>
      </c>
      <c r="BW188" s="35" t="n">
        <v>0</v>
      </c>
      <c r="BX188" s="35" t="n">
        <v>9</v>
      </c>
      <c r="BY188" s="44" t="n">
        <v>0</v>
      </c>
      <c r="BZ188" s="44" t="n">
        <v>0</v>
      </c>
      <c r="CA188" s="44" t="n">
        <v>0</v>
      </c>
      <c r="CB188" s="44" t="n">
        <v>0</v>
      </c>
      <c r="CC188" s="44" t="n">
        <v>0</v>
      </c>
      <c r="CD188" s="44" t="n">
        <v>0</v>
      </c>
      <c r="CE188" s="44" t="n">
        <v>0</v>
      </c>
      <c r="CF188" s="28" t="s">
        <v>385</v>
      </c>
    </row>
    <row r="189" customFormat="false" ht="15" hidden="false" customHeight="true" outlineLevel="0" collapsed="false">
      <c r="B189" s="17" t="s">
        <v>386</v>
      </c>
      <c r="C189" s="18" t="n">
        <f aca="false">C182+N(C183)+N(C184)+N(C185)+N(C186)+N(C187)+N(C188)</f>
        <v>26.314</v>
      </c>
      <c r="D189" s="18" t="n">
        <f aca="false">D182+N(D183)+N(D184)+N(D185)+N(D186)+N(D187)+N(D188)</f>
        <v>38.57</v>
      </c>
      <c r="E189" s="18" t="n">
        <f aca="false">E182+N(E183)+N(E184)+N(E185)+N(E186)+N(E187)+N(E188)</f>
        <v>56.806</v>
      </c>
      <c r="F189" s="18" t="n">
        <f aca="false">F182+N(F183)+N(F184)+N(F185)+N(F186)+N(F187)+N(F188)</f>
        <v>46.71</v>
      </c>
      <c r="G189" s="18" t="n">
        <f aca="false">G182+N(G183)+N(G184)+N(G185)+N(G186)+N(G187)+N(G188)</f>
        <v>42.638</v>
      </c>
      <c r="H189" s="18" t="n">
        <f aca="false">H182+N(H183)+N(H184)+N(H185)+N(H186)+N(H187)+N(H188)</f>
        <v>48.483</v>
      </c>
      <c r="I189" s="18" t="n">
        <f aca="false">I182+N(I183)+N(I184)+N(I185)+N(I186)+N(I187)+N(I188)</f>
        <v>71.581</v>
      </c>
      <c r="J189" s="18" t="n">
        <f aca="false">J182+N(J183)+N(J184)+N(J185)+N(J186)+N(J187)+N(J188)</f>
        <v>21.005</v>
      </c>
      <c r="K189" s="18" t="n">
        <f aca="false">K182+N(K183)+N(K184)+N(K185)+N(K186)+N(K187)+N(K188)</f>
        <v>27.817</v>
      </c>
      <c r="L189" s="18" t="n">
        <f aca="false">L182+N(L183)+N(L184)+N(L185)+N(L186)+N(L187)+N(L188)</f>
        <v>32.599</v>
      </c>
      <c r="M189" s="18" t="n">
        <f aca="false">M182+N(M183)+N(M184)+N(M185)+N(M186)+N(M187)+N(M188)</f>
        <v>35.731</v>
      </c>
      <c r="N189" s="18" t="n">
        <f aca="false">N182+N(N183)+N(N184)+N(N185)+N(N186)+N(N187)+N(N188)</f>
        <v>117.152</v>
      </c>
      <c r="O189" s="18" t="n">
        <f aca="false">O182+N(O183)+N(O184)+N(O185)+N(O186)+N(O187)+N(O188)</f>
        <v>31.885</v>
      </c>
      <c r="P189" s="18" t="n">
        <f aca="false">P182+N(P183)+N(P184)+N(P185)+N(P186)+N(P187)+N(P188)</f>
        <v>37.871</v>
      </c>
      <c r="Q189" s="18" t="n">
        <f aca="false">Q182+N(Q183)+N(Q184)+N(Q185)+N(Q186)+N(Q187)+N(Q188)</f>
        <v>45.079</v>
      </c>
      <c r="R189" s="18" t="n">
        <f aca="false">R182+N(R183)+N(R184)+N(R185)+N(R186)+N(R187)+N(R188)</f>
        <v>48.018</v>
      </c>
      <c r="S189" s="18" t="n">
        <f aca="false">S182+N(S183)+N(S184)+N(S185)+N(S186)+N(S187)+N(S188)</f>
        <v>162.853</v>
      </c>
      <c r="T189" s="18" t="n">
        <f aca="false">T182+N(T183)+N(T184)+N(T185)+N(T186)+N(T187)+N(T188)</f>
        <v>17.401</v>
      </c>
      <c r="U189" s="18" t="n">
        <f aca="false">U182+N(U183)+N(U184)+N(U185)+N(U186)+N(U187)+N(U188)</f>
        <v>3.92200000000002</v>
      </c>
      <c r="V189" s="18" t="n">
        <f aca="false">V182+N(V183)+N(V184)+N(V185)+N(V186)+N(V187)+N(V188)</f>
        <v>27.743</v>
      </c>
      <c r="W189" s="18" t="n">
        <f aca="false">W182+N(W183)+N(W184)+N(W185)+N(W186)+N(W187)+N(W188)</f>
        <v>57.176</v>
      </c>
      <c r="X189" s="18" t="n">
        <f aca="false">X182+N(X183)+N(X184)+N(X185)+N(X186)+N(X187)+N(X188)</f>
        <v>106.242</v>
      </c>
      <c r="Y189" s="18" t="n">
        <f aca="false">Y182+N(Y183)+N(Y184)+N(Y185)+N(Y186)+N(Y187)+N(Y188)</f>
        <v>49.573</v>
      </c>
      <c r="Z189" s="18" t="n">
        <f aca="false">Z182+N(Z183)+N(Z184)+N(Z185)+N(Z186)+N(Z187)+N(Z188)</f>
        <v>47.489</v>
      </c>
      <c r="AA189" s="18" t="n">
        <f aca="false">AA182+N(AA183)+N(AA184)+N(AA185)+N(AA186)+N(AA187)+N(AA188)</f>
        <v>58.105</v>
      </c>
      <c r="AB189" s="18" t="n">
        <f aca="false">AB182+N(AB183)+N(AB184)+N(AB185)+N(AB186)+N(AB187)+N(AB188)</f>
        <v>67.497</v>
      </c>
      <c r="AC189" s="18" t="n">
        <f aca="false">AC182+N(AC183)+N(AC184)+N(AC185)+N(AC186)+N(AC187)+N(AC188)</f>
        <v>222.664</v>
      </c>
      <c r="AD189" s="18" t="n">
        <f aca="false">AD182+N(AD183)+N(AD184)+N(AD185)+N(AD186)+N(AD187)+N(AD188)</f>
        <v>55.257</v>
      </c>
      <c r="AE189" s="18" t="n">
        <f aca="false">AE182+N(AE183)+N(AE184)+N(AE185)+N(AE186)+N(AE187)+N(AE188)</f>
        <v>45.649</v>
      </c>
      <c r="AF189" s="18" t="n">
        <f aca="false">AF182+N(AF183)+N(AF184)+N(AF185)+N(AF186)+N(AF187)+N(AF188)</f>
        <v>74.632</v>
      </c>
      <c r="AG189" s="18" t="n">
        <f aca="false">AG182+N(AG183)+N(AG184)+N(AG185)+N(AG186)+N(AG187)+N(AG188)</f>
        <v>72.956</v>
      </c>
      <c r="AH189" s="18" t="n">
        <f aca="false">AH182+N(AH183)+N(AH184)+N(AH185)+N(AH186)+N(AH187)+N(AH188)</f>
        <v>248.568</v>
      </c>
      <c r="AI189" s="18" t="n">
        <f aca="false">AI182+N(AI183)+N(AI184)+N(AI185)+N(AI186)+N(AI187)+N(AI188)</f>
        <v>80.087</v>
      </c>
      <c r="AJ189" s="18" t="n">
        <f aca="false">AJ182+N(AJ183)+N(AJ184)+N(AJ185)+N(AJ186)+N(AJ187)+N(AJ188)</f>
        <v>80.572</v>
      </c>
      <c r="AK189" s="18" t="n">
        <f aca="false">AK182+N(AK183)+N(AK184)+N(AK185)+N(AK186)+N(AK187)+N(AK188)</f>
        <v>105.083</v>
      </c>
      <c r="AL189" s="18" t="n">
        <f aca="false">AL182+N(AL183)+N(AL184)+N(AL185)+N(AL186)+N(AL187)+N(AL188)</f>
        <v>136.455</v>
      </c>
      <c r="AM189" s="18" t="n">
        <f aca="false">AM182+N(AM183)+N(AM184)+N(AM185)+N(AM186)+N(AM187)+N(AM188)</f>
        <v>402.197</v>
      </c>
      <c r="AN189" s="18" t="n">
        <f aca="false">AN182+N(AN183)+N(AN184)+N(AN185)+N(AN186)+N(AN187)+N(AN188)</f>
        <v>123.246</v>
      </c>
      <c r="AO189" s="18" t="n">
        <f aca="false">AO182+N(AO183)+N(AO184)+N(AO185)+N(AO186)+N(AO187)+N(AO188)</f>
        <v>108.712</v>
      </c>
      <c r="AP189" s="18" t="n">
        <f aca="false">AP182+N(AP183)+N(AP184)+N(AP185)+N(AP186)+N(AP187)+N(AP188)</f>
        <v>127.698</v>
      </c>
      <c r="AQ189" s="18" t="n">
        <f aca="false">AQ182+N(AQ183)+N(AQ184)+N(AQ185)+N(AQ186)+N(AQ187)+N(AQ188)</f>
        <v>137.883</v>
      </c>
      <c r="AR189" s="18" t="n">
        <f aca="false">AR182+N(AR183)+N(AR184)+N(AR185)+N(AR186)+N(AR187)+N(AR188)</f>
        <v>497.539</v>
      </c>
      <c r="AS189" s="18" t="n">
        <f aca="false">AS182+N(AS183)+N(AS184)+N(AS185)+N(AS186)+N(AS187)+N(AS188)</f>
        <v>119.738</v>
      </c>
      <c r="AT189" s="18" t="n">
        <f aca="false">AT182+N(AT183)+N(AT184)+N(AT185)+N(AT186)+N(AT187)+N(AT188)</f>
        <v>117.796</v>
      </c>
      <c r="AU189" s="18" t="n">
        <f aca="false">AU182+N(AU183)+N(AU184)+N(AU185)+N(AU186)+N(AU187)+N(AU188)</f>
        <v>118.947</v>
      </c>
      <c r="AV189" s="18" t="n">
        <f aca="false">AV182+N(AV183)+N(AV184)+N(AV185)+N(AV186)+N(AV187)+N(AV188)</f>
        <v>149.784</v>
      </c>
      <c r="AW189" s="18" t="n">
        <f aca="false">AW182+N(AW183)+N(AW184)+N(AW185)+N(AW186)+N(AW187)+N(AW188)</f>
        <v>506.265</v>
      </c>
      <c r="AX189" s="18" t="n">
        <f aca="false">AX182+N(AX183)+N(AX184)+N(AX185)+N(AX186)+N(AX187)+N(AX188)</f>
        <v>144.186</v>
      </c>
      <c r="AY189" s="18" t="n">
        <f aca="false">AY182+N(AY183)+N(AY184)+N(AY185)+N(AY186)+N(AY187)+N(AY188)</f>
        <v>137.205</v>
      </c>
      <c r="AZ189" s="18" t="n">
        <f aca="false">AZ182+N(AZ183)+N(AZ184)+N(AZ185)+N(AZ186)+N(AZ187)+N(AZ188)</f>
        <v>131.91</v>
      </c>
      <c r="BA189" s="18" t="n">
        <f aca="false">BA182+N(BA183)+N(BA184)+N(BA185)+N(BA186)+N(BA187)+N(BA188)</f>
        <v>183.623</v>
      </c>
      <c r="BB189" s="18" t="n">
        <f aca="false">BB182+N(BB183)+N(BB184)+N(BB185)+N(BB186)+N(BB187)+N(BB188)</f>
        <v>596.924</v>
      </c>
      <c r="BC189" s="18" t="n">
        <f aca="false">BC182+N(BC183)+N(BC184)+N(BC185)+N(BC186)+N(BC187)+N(BC188)</f>
        <v>166.133</v>
      </c>
      <c r="BD189" s="18" t="n">
        <f aca="false">BD182+N(BD183)+N(BD184)+N(BD185)+N(BD186)+N(BD187)+N(BD188)</f>
        <v>151.621</v>
      </c>
      <c r="BE189" s="18" t="n">
        <f aca="false">BE182+N(BE183)+N(BE184)+N(BE185)+N(BE186)+N(BE187)+N(BE188)</f>
        <v>159.557</v>
      </c>
      <c r="BF189" s="18" t="n">
        <f aca="false">BF182+N(BF183)+N(BF184)+N(BF185)+N(BF186)+N(BF187)+N(BF188)</f>
        <v>206.743</v>
      </c>
      <c r="BG189" s="18" t="n">
        <f aca="false">BG182+N(BG183)+N(BG184)+N(BG185)+N(BG186)+N(BG187)+N(BG188)</f>
        <v>684.054</v>
      </c>
      <c r="BH189" s="18" t="n">
        <f aca="false">BH182+N(BH183)+N(BH184)+N(BH185)+N(BH186)+N(BH187)+N(BH188)</f>
        <v>159.076</v>
      </c>
      <c r="BI189" s="18" t="n">
        <f aca="false">BI182+N(BI183)+N(BI184)+N(BI185)+N(BI186)+N(BI187)+N(BI188)</f>
        <v>171.208</v>
      </c>
      <c r="BJ189" s="18" t="n">
        <f aca="false">BJ182+N(BJ183)+N(BJ184)+N(BJ185)+N(BJ186)+N(BJ187)+N(BJ188)</f>
        <v>162.392</v>
      </c>
      <c r="BK189" s="18" t="n">
        <f aca="false">BK182+N(BK183)+N(BK184)+N(BK185)+N(BK186)+N(BK187)+N(BK188)</f>
        <v>180.403</v>
      </c>
      <c r="BL189" s="18" t="n">
        <f aca="false">BL182+N(BL183)+N(BL184)+N(BL185)+N(BL186)+N(BL187)+N(BL188)</f>
        <v>673.1</v>
      </c>
      <c r="BM189" s="18" t="n">
        <f aca="false">BM182+N(BM183)+N(BM184)+N(BM185)+N(BM186)+N(BM187)+N(BM188)</f>
        <v>56.4000000000001</v>
      </c>
      <c r="BN189" s="18" t="n">
        <f aca="false">BN182+N(BN183)+N(BN184)+N(BN185)+N(BN186)+N(BN187)+N(BN188)</f>
        <v>82.7</v>
      </c>
      <c r="BO189" s="18" t="n">
        <f aca="false">BO182+N(BO183)+N(BO184)+N(BO185)+N(BO186)+N(BO187)+N(BO188)</f>
        <v>119.3</v>
      </c>
      <c r="BP189" s="18" t="n">
        <f aca="false">BP182+N(BP183)+N(BP184)+N(BP185)+N(BP186)+N(BP187)+N(BP188)</f>
        <v>144</v>
      </c>
      <c r="BQ189" s="18" t="n">
        <f aca="false">BQ182+N(BQ183)+N(BQ184)+N(BQ185)+N(BQ186)+N(BQ187)+N(BQ188)</f>
        <v>402.1</v>
      </c>
      <c r="BR189" s="18" t="n">
        <f aca="false">BR182+N(BR183)+N(BR184)+N(BR185)+N(BR186)+N(BR187)+N(BR188)</f>
        <v>84.9</v>
      </c>
      <c r="BS189" s="18" t="n">
        <f aca="false">BS182+N(BS183)+N(BS184)+N(BS185)+N(BS186)+N(BS187)+N(BS188)</f>
        <v>99.4999999999999</v>
      </c>
      <c r="BT189" s="18" t="n">
        <f aca="false">BT182+N(BT183)+N(BT184)+N(BT185)+N(BT186)+N(BT187)+N(BT188)</f>
        <v>130.9</v>
      </c>
      <c r="BU189" s="18" t="n">
        <f aca="false">BU182+N(BU183)+N(BU184)+N(BU185)+N(BU186)+N(BU187)+N(BU188)</f>
        <v>177.9</v>
      </c>
      <c r="BV189" s="18" t="n">
        <f aca="false">BV182+N(BV183)+N(BV184)+N(BV185)+N(BV186)+N(BV187)+N(BV188)</f>
        <v>492</v>
      </c>
      <c r="BW189" s="18" t="n">
        <f aca="false">BW182+N(BW183)+N(BW184)+N(BW185)+N(BW186)+N(BW187)+N(BW188)</f>
        <v>127</v>
      </c>
      <c r="BX189" s="18" t="n">
        <f aca="false">BX182+N(BX183)+N(BX184)+N(BX185)+N(BX186)+N(BX187)+N(BX188)</f>
        <v>173</v>
      </c>
      <c r="BY189" s="20" t="n">
        <f aca="false">BY182+N(BY183)+N(BY184)+N(BY185)+N(BY186)+N(BY187)+N(BY188)</f>
        <v>184.362753971396</v>
      </c>
      <c r="BZ189" s="20" t="n">
        <f aca="false">BZ182+N(BZ183)+N(BZ184)+N(BZ185)+N(BZ186)+N(BZ187)+N(BZ188)</f>
        <v>271.686418631343</v>
      </c>
      <c r="CA189" s="20" t="n">
        <f aca="false">CA182+N(CA183)+N(CA184)+N(CA185)+N(CA186)+N(CA187)+N(CA188)</f>
        <v>747.04917260274</v>
      </c>
      <c r="CB189" s="20" t="n">
        <f aca="false">CB182+N(CB183)+N(CB184)+N(CB185)+N(CB186)+N(CB187)+N(CB188)</f>
        <v>893.35281470665</v>
      </c>
      <c r="CC189" s="20" t="n">
        <f aca="false">CC182+N(CC183)+N(CC184)+N(CC185)+N(CC186)+N(CC187)+N(CC188)</f>
        <v>1109.09616375597</v>
      </c>
      <c r="CD189" s="20" t="n">
        <f aca="false">CD182+N(CD183)+N(CD184)+N(CD185)+N(CD186)+N(CD187)+N(CD188)</f>
        <v>1356.31691635418</v>
      </c>
      <c r="CE189" s="20" t="n">
        <f aca="false">CE182+N(CE183)+N(CE184)+N(CE185)+N(CE186)+N(CE187)+N(CE188)</f>
        <v>1613.92041227427</v>
      </c>
      <c r="CF189" s="21"/>
    </row>
    <row r="190" customFormat="false" ht="15" hidden="false" customHeight="true" outlineLevel="0" collapsed="false">
      <c r="B190" s="29" t="s">
        <v>387</v>
      </c>
      <c r="C190" s="43" t="n">
        <v>0.4</v>
      </c>
      <c r="D190" s="43" t="n">
        <v>0.4</v>
      </c>
      <c r="E190" s="43" t="n">
        <v>0.4</v>
      </c>
      <c r="F190" s="43" t="n">
        <v>0.4</v>
      </c>
      <c r="G190" s="43" t="n">
        <v>0.4</v>
      </c>
      <c r="H190" s="43" t="n">
        <v>0.4</v>
      </c>
      <c r="I190" s="43" t="n">
        <v>0.38</v>
      </c>
      <c r="J190" s="43" t="n">
        <v>0.38</v>
      </c>
      <c r="K190" s="43" t="n">
        <v>0.38</v>
      </c>
      <c r="L190" s="43" t="n">
        <v>0.38</v>
      </c>
      <c r="M190" s="43" t="n">
        <v>0.38</v>
      </c>
      <c r="N190" s="43" t="n">
        <v>0.38</v>
      </c>
      <c r="O190" s="43" t="n">
        <v>0.38</v>
      </c>
      <c r="P190" s="43" t="n">
        <v>0.38</v>
      </c>
      <c r="Q190" s="43" t="n">
        <v>0.38</v>
      </c>
      <c r="R190" s="43" t="n">
        <v>0.38</v>
      </c>
      <c r="S190" s="43" t="n">
        <v>0.38</v>
      </c>
      <c r="T190" s="43" t="n">
        <v>0.38</v>
      </c>
      <c r="U190" s="43" t="n">
        <v>0.38</v>
      </c>
      <c r="V190" s="43" t="n">
        <v>0.38</v>
      </c>
      <c r="W190" s="43" t="n">
        <v>0.38</v>
      </c>
      <c r="X190" s="43" t="n">
        <v>0.38</v>
      </c>
      <c r="Y190" s="43" t="n">
        <v>0.38</v>
      </c>
      <c r="Z190" s="43" t="n">
        <v>0.38</v>
      </c>
      <c r="AA190" s="43" t="n">
        <v>0.38</v>
      </c>
      <c r="AB190" s="43" t="n">
        <v>0.38</v>
      </c>
      <c r="AC190" s="43" t="n">
        <v>0.38</v>
      </c>
      <c r="AD190" s="43" t="n">
        <v>0.38</v>
      </c>
      <c r="AE190" s="43" t="n">
        <v>0.38</v>
      </c>
      <c r="AF190" s="43" t="n">
        <v>0.38</v>
      </c>
      <c r="AG190" s="43" t="n">
        <v>0.38</v>
      </c>
      <c r="AH190" s="43" t="n">
        <v>0.38</v>
      </c>
      <c r="AI190" s="43" t="n">
        <v>0.25</v>
      </c>
      <c r="AJ190" s="43" t="n">
        <v>0.25</v>
      </c>
      <c r="AK190" s="43" t="n">
        <v>0.25</v>
      </c>
      <c r="AL190" s="43" t="n">
        <v>0.25</v>
      </c>
      <c r="AM190" s="43" t="n">
        <v>0.25</v>
      </c>
      <c r="AN190" s="43" t="n">
        <v>0.25</v>
      </c>
      <c r="AO190" s="43" t="n">
        <v>0.25</v>
      </c>
      <c r="AP190" s="43" t="n">
        <v>0.25</v>
      </c>
      <c r="AQ190" s="43" t="n">
        <v>0.25</v>
      </c>
      <c r="AR190" s="43" t="n">
        <v>0.25</v>
      </c>
      <c r="AS190" s="43" t="n">
        <v>0.25</v>
      </c>
      <c r="AT190" s="43" t="n">
        <v>0.25</v>
      </c>
      <c r="AU190" s="43" t="n">
        <v>0.25</v>
      </c>
      <c r="AV190" s="43" t="n">
        <v>0.25</v>
      </c>
      <c r="AW190" s="43" t="n">
        <v>0.25</v>
      </c>
      <c r="AX190" s="43" t="n">
        <v>0.25</v>
      </c>
      <c r="AY190" s="43" t="n">
        <v>0.25</v>
      </c>
      <c r="AZ190" s="43" t="n">
        <v>0.25</v>
      </c>
      <c r="BA190" s="43" t="n">
        <v>0.25</v>
      </c>
      <c r="BB190" s="43" t="n">
        <v>0.25</v>
      </c>
      <c r="BC190" s="43" t="n">
        <v>0.26</v>
      </c>
      <c r="BD190" s="43" t="n">
        <v>0.26</v>
      </c>
      <c r="BE190" s="43" t="n">
        <v>0.26</v>
      </c>
      <c r="BF190" s="43" t="n">
        <v>0.26</v>
      </c>
      <c r="BG190" s="43" t="n">
        <v>0.26</v>
      </c>
      <c r="BH190" s="43" t="n">
        <v>0.26</v>
      </c>
      <c r="BI190" s="43" t="n">
        <v>0.26</v>
      </c>
      <c r="BJ190" s="43" t="n">
        <v>0.26</v>
      </c>
      <c r="BK190" s="43" t="n">
        <v>0.26</v>
      </c>
      <c r="BL190" s="43" t="n">
        <v>0.26</v>
      </c>
      <c r="BM190" s="43" t="n">
        <v>0.26</v>
      </c>
      <c r="BN190" s="43" t="n">
        <v>0.26</v>
      </c>
      <c r="BO190" s="43" t="n">
        <v>0.26</v>
      </c>
      <c r="BP190" s="43" t="n">
        <v>0.26</v>
      </c>
      <c r="BQ190" s="43" t="n">
        <v>0.26</v>
      </c>
      <c r="BR190" s="43" t="n">
        <v>0.26</v>
      </c>
      <c r="BS190" s="43" t="n">
        <v>0.26</v>
      </c>
      <c r="BT190" s="43" t="n">
        <v>0.26</v>
      </c>
      <c r="BU190" s="43" t="n">
        <v>0.26</v>
      </c>
      <c r="BV190" s="43" t="n">
        <v>0.26</v>
      </c>
      <c r="BW190" s="43" t="n">
        <v>0.26</v>
      </c>
      <c r="BX190" s="43" t="n">
        <v>0.26</v>
      </c>
      <c r="BY190" s="45" t="n">
        <v>0.26</v>
      </c>
      <c r="BZ190" s="45" t="n">
        <v>0.26</v>
      </c>
      <c r="CA190" s="27" t="n">
        <f aca="false">IF(AND(ISNUMBER(CA191),ISNUMBER(CA189)),IFERROR(CA191/CA189*-1,""),"")</f>
        <v>0.263132323929692</v>
      </c>
      <c r="CB190" s="45" t="n">
        <v>0.26</v>
      </c>
      <c r="CC190" s="45" t="n">
        <v>0.26</v>
      </c>
      <c r="CD190" s="45" t="n">
        <v>0.26</v>
      </c>
      <c r="CE190" s="45" t="n">
        <v>0.26</v>
      </c>
      <c r="CF190" s="28" t="s">
        <v>388</v>
      </c>
    </row>
    <row r="191" customFormat="false" ht="15" hidden="false" customHeight="true" outlineLevel="0" collapsed="false">
      <c r="B191" s="29" t="s">
        <v>389</v>
      </c>
      <c r="C191" s="34" t="n">
        <f aca="false">-C189*C190</f>
        <v>-10.5256</v>
      </c>
      <c r="D191" s="34" t="n">
        <f aca="false">-D189*D190</f>
        <v>-15.428</v>
      </c>
      <c r="E191" s="34" t="n">
        <f aca="false">-E189*E190</f>
        <v>-22.7224</v>
      </c>
      <c r="F191" s="34" t="n">
        <f aca="false">-F189*F190</f>
        <v>-18.684</v>
      </c>
      <c r="G191" s="34" t="n">
        <f aca="false">-G189*G190</f>
        <v>-17.0552</v>
      </c>
      <c r="H191" s="34" t="n">
        <f aca="false">-H189*H190</f>
        <v>-19.3932</v>
      </c>
      <c r="I191" s="34" t="n">
        <f aca="false">-I189*I190</f>
        <v>-27.20078</v>
      </c>
      <c r="J191" s="34" t="n">
        <f aca="false">-J189*J190</f>
        <v>-7.9819</v>
      </c>
      <c r="K191" s="34" t="n">
        <f aca="false">-K189*K190</f>
        <v>-10.57046</v>
      </c>
      <c r="L191" s="34" t="n">
        <f aca="false">-L189*L190</f>
        <v>-12.38762</v>
      </c>
      <c r="M191" s="34" t="n">
        <f aca="false">-M189*M190</f>
        <v>-13.57778</v>
      </c>
      <c r="N191" s="34" t="n">
        <f aca="false">-N189*N190</f>
        <v>-44.51776</v>
      </c>
      <c r="O191" s="34" t="n">
        <f aca="false">-O189*O190</f>
        <v>-12.1163</v>
      </c>
      <c r="P191" s="34" t="n">
        <f aca="false">-P189*P190</f>
        <v>-14.39098</v>
      </c>
      <c r="Q191" s="34" t="n">
        <f aca="false">-Q189*Q190</f>
        <v>-17.13002</v>
      </c>
      <c r="R191" s="34" t="n">
        <f aca="false">-R189*R190</f>
        <v>-18.24684</v>
      </c>
      <c r="S191" s="34" t="n">
        <f aca="false">-S189*S190</f>
        <v>-61.88414</v>
      </c>
      <c r="T191" s="34" t="n">
        <f aca="false">-T189*T190</f>
        <v>-6.61238000000001</v>
      </c>
      <c r="U191" s="34" t="n">
        <f aca="false">-U189*U190</f>
        <v>-1.49036000000001</v>
      </c>
      <c r="V191" s="34" t="n">
        <f aca="false">-V189*V190</f>
        <v>-10.54234</v>
      </c>
      <c r="W191" s="34" t="n">
        <f aca="false">-W189*W190</f>
        <v>-21.72688</v>
      </c>
      <c r="X191" s="34" t="n">
        <f aca="false">-X189*X190</f>
        <v>-40.37196</v>
      </c>
      <c r="Y191" s="34" t="n">
        <f aca="false">-Y189*Y190</f>
        <v>-18.83774</v>
      </c>
      <c r="Z191" s="34" t="n">
        <f aca="false">-Z189*Z190</f>
        <v>-18.04582</v>
      </c>
      <c r="AA191" s="34" t="n">
        <f aca="false">-AA189*AA190</f>
        <v>-22.0799</v>
      </c>
      <c r="AB191" s="34" t="n">
        <f aca="false">-AB189*AB190</f>
        <v>-25.64886</v>
      </c>
      <c r="AC191" s="34" t="n">
        <f aca="false">-AC189*AC190</f>
        <v>-84.61232</v>
      </c>
      <c r="AD191" s="34" t="n">
        <f aca="false">-AD189*AD190</f>
        <v>-20.99766</v>
      </c>
      <c r="AE191" s="34" t="n">
        <f aca="false">-AE189*AE190</f>
        <v>-17.34662</v>
      </c>
      <c r="AF191" s="34" t="n">
        <f aca="false">-AF189*AF190</f>
        <v>-28.36016</v>
      </c>
      <c r="AG191" s="34" t="n">
        <f aca="false">-AG189*AG190</f>
        <v>-27.72328</v>
      </c>
      <c r="AH191" s="34" t="n">
        <f aca="false">-AH189*AH190</f>
        <v>-94.45584</v>
      </c>
      <c r="AI191" s="34" t="n">
        <f aca="false">-AI189*AI190</f>
        <v>-20.02175</v>
      </c>
      <c r="AJ191" s="34" t="n">
        <f aca="false">-AJ189*AJ190</f>
        <v>-20.143</v>
      </c>
      <c r="AK191" s="34" t="n">
        <f aca="false">-AK189*AK190</f>
        <v>-26.27075</v>
      </c>
      <c r="AL191" s="34" t="n">
        <f aca="false">-AL189*AL190</f>
        <v>-34.11375</v>
      </c>
      <c r="AM191" s="34" t="n">
        <f aca="false">-AM189*AM190</f>
        <v>-100.54925</v>
      </c>
      <c r="AN191" s="34" t="n">
        <f aca="false">-AN189*AN190</f>
        <v>-30.8115</v>
      </c>
      <c r="AO191" s="34" t="n">
        <f aca="false">-AO189*AO190</f>
        <v>-27.178</v>
      </c>
      <c r="AP191" s="34" t="n">
        <f aca="false">-AP189*AP190</f>
        <v>-31.9245</v>
      </c>
      <c r="AQ191" s="34" t="n">
        <f aca="false">-AQ189*AQ190</f>
        <v>-34.47075</v>
      </c>
      <c r="AR191" s="34" t="n">
        <f aca="false">-AR189*AR190</f>
        <v>-124.38475</v>
      </c>
      <c r="AS191" s="34" t="n">
        <f aca="false">-AS189*AS190</f>
        <v>-29.9345</v>
      </c>
      <c r="AT191" s="34" t="n">
        <f aca="false">-AT189*AT190</f>
        <v>-29.449</v>
      </c>
      <c r="AU191" s="34" t="n">
        <f aca="false">-AU189*AU190</f>
        <v>-29.73675</v>
      </c>
      <c r="AV191" s="34" t="n">
        <f aca="false">-AV189*AV190</f>
        <v>-37.446</v>
      </c>
      <c r="AW191" s="34" t="n">
        <f aca="false">-AW189*AW190</f>
        <v>-126.56625</v>
      </c>
      <c r="AX191" s="34" t="n">
        <f aca="false">-AX189*AX190</f>
        <v>-36.0465</v>
      </c>
      <c r="AY191" s="34" t="n">
        <f aca="false">-AY189*AY190</f>
        <v>-34.30125</v>
      </c>
      <c r="AZ191" s="34" t="n">
        <f aca="false">-AZ189*AZ190</f>
        <v>-32.9775</v>
      </c>
      <c r="BA191" s="34" t="n">
        <f aca="false">-BA189*BA190</f>
        <v>-45.90575</v>
      </c>
      <c r="BB191" s="34" t="n">
        <f aca="false">-BB189*BB190</f>
        <v>-149.231</v>
      </c>
      <c r="BC191" s="34" t="n">
        <f aca="false">-BC189*BC190</f>
        <v>-43.19458</v>
      </c>
      <c r="BD191" s="34" t="n">
        <f aca="false">-BD189*BD190</f>
        <v>-39.42146</v>
      </c>
      <c r="BE191" s="34" t="n">
        <f aca="false">-BE189*BE190</f>
        <v>-41.48482</v>
      </c>
      <c r="BF191" s="34" t="n">
        <f aca="false">-BF189*BF190</f>
        <v>-53.75318</v>
      </c>
      <c r="BG191" s="34" t="n">
        <f aca="false">-BG189*BG190</f>
        <v>-177.85404</v>
      </c>
      <c r="BH191" s="34" t="n">
        <f aca="false">-BH189*BH190</f>
        <v>-41.35976</v>
      </c>
      <c r="BI191" s="34" t="n">
        <f aca="false">-BI189*BI190</f>
        <v>-44.51408</v>
      </c>
      <c r="BJ191" s="34" t="n">
        <f aca="false">-BJ189*BJ190</f>
        <v>-42.22192</v>
      </c>
      <c r="BK191" s="34" t="n">
        <f aca="false">-BK189*BK190</f>
        <v>-46.90478</v>
      </c>
      <c r="BL191" s="34" t="n">
        <f aca="false">-BL189*BL190</f>
        <v>-175.006</v>
      </c>
      <c r="BM191" s="34" t="n">
        <f aca="false">-BM189*BM190</f>
        <v>-14.664</v>
      </c>
      <c r="BN191" s="34" t="n">
        <f aca="false">-BN189*BN190</f>
        <v>-21.502</v>
      </c>
      <c r="BO191" s="34" t="n">
        <f aca="false">-BO189*BO190</f>
        <v>-31.018</v>
      </c>
      <c r="BP191" s="34" t="n">
        <f aca="false">-BP189*BP190</f>
        <v>-37.44</v>
      </c>
      <c r="BQ191" s="34" t="n">
        <f aca="false">-BQ189*BQ190</f>
        <v>-104.546</v>
      </c>
      <c r="BR191" s="34" t="n">
        <f aca="false">-BR189*BR190</f>
        <v>-22.074</v>
      </c>
      <c r="BS191" s="34" t="n">
        <f aca="false">-BS189*BS190</f>
        <v>-25.87</v>
      </c>
      <c r="BT191" s="34" t="n">
        <f aca="false">-BT189*BT190</f>
        <v>-34.034</v>
      </c>
      <c r="BU191" s="34" t="n">
        <f aca="false">-BU189*BU190</f>
        <v>-46.254</v>
      </c>
      <c r="BV191" s="34" t="n">
        <f aca="false">-BV189*BV190</f>
        <v>-127.92</v>
      </c>
      <c r="BW191" s="34" t="n">
        <f aca="false">-BW189*BW190</f>
        <v>-33.02</v>
      </c>
      <c r="BX191" s="34" t="n">
        <f aca="false">-BX189*BX190</f>
        <v>-44.98</v>
      </c>
      <c r="BY191" s="36" t="n">
        <f aca="false">-BY189*BY190</f>
        <v>-47.9343160325631</v>
      </c>
      <c r="BZ191" s="36" t="n">
        <f aca="false">-BZ189*BZ190</f>
        <v>-70.6384688441492</v>
      </c>
      <c r="CA191" s="36" t="n">
        <f aca="false">SUM(BW191,BX191,BY191,BZ191)</f>
        <v>-196.572784876712</v>
      </c>
      <c r="CB191" s="36" t="n">
        <f aca="false">-CB189*CB190</f>
        <v>-232.271731823729</v>
      </c>
      <c r="CC191" s="36" t="n">
        <f aca="false">-CC189*CC190</f>
        <v>-288.365002576551</v>
      </c>
      <c r="CD191" s="36" t="n">
        <f aca="false">-CD189*CD190</f>
        <v>-352.642398252086</v>
      </c>
      <c r="CE191" s="36" t="n">
        <f aca="false">-CE189*CE190</f>
        <v>-419.619307191309</v>
      </c>
      <c r="CF191" s="28"/>
    </row>
    <row r="192" customFormat="false" ht="15" hidden="false" customHeight="true" outlineLevel="0" collapsed="false">
      <c r="B192" s="50" t="s">
        <v>390</v>
      </c>
      <c r="C192" s="51" t="n">
        <f aca="false">IF(ISNUMBER(C191),C189+C191,"")</f>
        <v>15.7884</v>
      </c>
      <c r="D192" s="51" t="n">
        <f aca="false">IF(ISNUMBER(D191),D189+D191,"")</f>
        <v>23.142</v>
      </c>
      <c r="E192" s="51" t="n">
        <f aca="false">IF(ISNUMBER(E191),E189+E191,"")</f>
        <v>34.0836</v>
      </c>
      <c r="F192" s="51" t="n">
        <f aca="false">IF(ISNUMBER(F191),F189+F191,"")</f>
        <v>28.026</v>
      </c>
      <c r="G192" s="51" t="n">
        <f aca="false">IF(ISNUMBER(G191),G189+G191,"")</f>
        <v>25.5828</v>
      </c>
      <c r="H192" s="51" t="n">
        <f aca="false">IF(ISNUMBER(H191),H189+H191,"")</f>
        <v>29.0898</v>
      </c>
      <c r="I192" s="51" t="n">
        <f aca="false">IF(ISNUMBER(I191),I189+I191,"")</f>
        <v>44.38022</v>
      </c>
      <c r="J192" s="51" t="n">
        <f aca="false">IF(ISNUMBER(J191),J189+J191,"")</f>
        <v>13.0231</v>
      </c>
      <c r="K192" s="51" t="n">
        <f aca="false">IF(ISNUMBER(K191),K189+K191,"")</f>
        <v>17.24654</v>
      </c>
      <c r="L192" s="51" t="n">
        <f aca="false">IF(ISNUMBER(L191),L189+L191,"")</f>
        <v>20.21138</v>
      </c>
      <c r="M192" s="51" t="n">
        <f aca="false">IF(ISNUMBER(M191),M189+M191,"")</f>
        <v>22.15322</v>
      </c>
      <c r="N192" s="51" t="n">
        <f aca="false">IF(ISNUMBER(N191),N189+N191,"")</f>
        <v>72.63424</v>
      </c>
      <c r="O192" s="51" t="n">
        <f aca="false">IF(ISNUMBER(O191),O189+O191,"")</f>
        <v>19.7687</v>
      </c>
      <c r="P192" s="51" t="n">
        <f aca="false">IF(ISNUMBER(P191),P189+P191,"")</f>
        <v>23.48002</v>
      </c>
      <c r="Q192" s="51" t="n">
        <f aca="false">IF(ISNUMBER(Q191),Q189+Q191,"")</f>
        <v>27.94898</v>
      </c>
      <c r="R192" s="51" t="n">
        <f aca="false">IF(ISNUMBER(R191),R189+R191,"")</f>
        <v>29.77116</v>
      </c>
      <c r="S192" s="51" t="n">
        <f aca="false">IF(ISNUMBER(S191),S189+S191,"")</f>
        <v>100.96886</v>
      </c>
      <c r="T192" s="51" t="n">
        <f aca="false">IF(ISNUMBER(T191),T189+T191,"")</f>
        <v>10.78862</v>
      </c>
      <c r="U192" s="51" t="n">
        <f aca="false">IF(ISNUMBER(U191),U189+U191,"")</f>
        <v>2.43164000000002</v>
      </c>
      <c r="V192" s="51" t="n">
        <f aca="false">IF(ISNUMBER(V191),V189+V191,"")</f>
        <v>17.20066</v>
      </c>
      <c r="W192" s="51" t="n">
        <f aca="false">IF(ISNUMBER(W191),W189+W191,"")</f>
        <v>35.44912</v>
      </c>
      <c r="X192" s="51" t="n">
        <f aca="false">IF(ISNUMBER(X191),X189+X191,"")</f>
        <v>65.87004</v>
      </c>
      <c r="Y192" s="51" t="n">
        <f aca="false">IF(ISNUMBER(Y191),Y189+Y191,"")</f>
        <v>30.73526</v>
      </c>
      <c r="Z192" s="51" t="n">
        <f aca="false">IF(ISNUMBER(Z191),Z189+Z191,"")</f>
        <v>29.44318</v>
      </c>
      <c r="AA192" s="51" t="n">
        <f aca="false">IF(ISNUMBER(AA191),AA189+AA191,"")</f>
        <v>36.0251</v>
      </c>
      <c r="AB192" s="51" t="n">
        <f aca="false">IF(ISNUMBER(AB191),AB189+AB191,"")</f>
        <v>41.84814</v>
      </c>
      <c r="AC192" s="51" t="n">
        <f aca="false">IF(ISNUMBER(AC191),AC189+AC191,"")</f>
        <v>138.05168</v>
      </c>
      <c r="AD192" s="51" t="n">
        <f aca="false">IF(ISNUMBER(AD191),AD189+AD191,"")</f>
        <v>34.25934</v>
      </c>
      <c r="AE192" s="51" t="n">
        <f aca="false">IF(ISNUMBER(AE191),AE189+AE191,"")</f>
        <v>28.30238</v>
      </c>
      <c r="AF192" s="51" t="n">
        <f aca="false">IF(ISNUMBER(AF191),AF189+AF191,"")</f>
        <v>46.27184</v>
      </c>
      <c r="AG192" s="51" t="n">
        <f aca="false">IF(ISNUMBER(AG191),AG189+AG191,"")</f>
        <v>45.23272</v>
      </c>
      <c r="AH192" s="51" t="n">
        <f aca="false">IF(ISNUMBER(AH191),AH189+AH191,"")</f>
        <v>154.11216</v>
      </c>
      <c r="AI192" s="51" t="n">
        <f aca="false">IF(ISNUMBER(AI191),AI189+AI191,"")</f>
        <v>60.06525</v>
      </c>
      <c r="AJ192" s="51" t="n">
        <f aca="false">IF(ISNUMBER(AJ191),AJ189+AJ191,"")</f>
        <v>60.429</v>
      </c>
      <c r="AK192" s="51" t="n">
        <f aca="false">IF(ISNUMBER(AK191),AK189+AK191,"")</f>
        <v>78.81225</v>
      </c>
      <c r="AL192" s="51" t="n">
        <f aca="false">IF(ISNUMBER(AL191),AL189+AL191,"")</f>
        <v>102.34125</v>
      </c>
      <c r="AM192" s="51" t="n">
        <f aca="false">IF(ISNUMBER(AM191),AM189+AM191,"")</f>
        <v>301.64775</v>
      </c>
      <c r="AN192" s="51" t="n">
        <f aca="false">IF(ISNUMBER(AN191),AN189+AN191,"")</f>
        <v>92.4345</v>
      </c>
      <c r="AO192" s="51" t="n">
        <f aca="false">IF(ISNUMBER(AO191),AO189+AO191,"")</f>
        <v>81.534</v>
      </c>
      <c r="AP192" s="51" t="n">
        <f aca="false">IF(ISNUMBER(AP191),AP189+AP191,"")</f>
        <v>95.7735</v>
      </c>
      <c r="AQ192" s="51" t="n">
        <f aca="false">IF(ISNUMBER(AQ191),AQ189+AQ191,"")</f>
        <v>103.41225</v>
      </c>
      <c r="AR192" s="51" t="n">
        <f aca="false">IF(ISNUMBER(AR191),AR189+AR191,"")</f>
        <v>373.15425</v>
      </c>
      <c r="AS192" s="51" t="n">
        <f aca="false">IF(ISNUMBER(AS191),AS189+AS191,"")</f>
        <v>89.8035</v>
      </c>
      <c r="AT192" s="51" t="n">
        <f aca="false">IF(ISNUMBER(AT191),AT189+AT191,"")</f>
        <v>88.347</v>
      </c>
      <c r="AU192" s="51" t="n">
        <f aca="false">IF(ISNUMBER(AU191),AU189+AU191,"")</f>
        <v>89.21025</v>
      </c>
      <c r="AV192" s="51" t="n">
        <f aca="false">IF(ISNUMBER(AV191),AV189+AV191,"")</f>
        <v>112.338</v>
      </c>
      <c r="AW192" s="51" t="n">
        <f aca="false">IF(ISNUMBER(AW191),AW189+AW191,"")</f>
        <v>379.69875</v>
      </c>
      <c r="AX192" s="51" t="n">
        <f aca="false">IF(ISNUMBER(AX191),AX189+AX191,"")</f>
        <v>108.1395</v>
      </c>
      <c r="AY192" s="51" t="n">
        <f aca="false">IF(ISNUMBER(AY191),AY189+AY191,"")</f>
        <v>102.90375</v>
      </c>
      <c r="AZ192" s="51" t="n">
        <f aca="false">IF(ISNUMBER(AZ191),AZ189+AZ191,"")</f>
        <v>98.9325</v>
      </c>
      <c r="BA192" s="51" t="n">
        <f aca="false">IF(ISNUMBER(BA191),BA189+BA191,"")</f>
        <v>137.71725</v>
      </c>
      <c r="BB192" s="51" t="n">
        <f aca="false">IF(ISNUMBER(BB191),BB189+BB191,"")</f>
        <v>447.693</v>
      </c>
      <c r="BC192" s="51" t="n">
        <f aca="false">IF(ISNUMBER(BC191),BC189+BC191,"")</f>
        <v>122.93842</v>
      </c>
      <c r="BD192" s="51" t="n">
        <f aca="false">IF(ISNUMBER(BD191),BD189+BD191,"")</f>
        <v>112.19954</v>
      </c>
      <c r="BE192" s="51" t="n">
        <f aca="false">IF(ISNUMBER(BE191),BE189+BE191,"")</f>
        <v>118.07218</v>
      </c>
      <c r="BF192" s="51" t="n">
        <f aca="false">IF(ISNUMBER(BF191),BF189+BF191,"")</f>
        <v>152.98982</v>
      </c>
      <c r="BG192" s="51" t="n">
        <f aca="false">IF(ISNUMBER(BG191),BG189+BG191,"")</f>
        <v>506.19996</v>
      </c>
      <c r="BH192" s="51" t="n">
        <f aca="false">IF(ISNUMBER(BH191),BH189+BH191,"")</f>
        <v>117.71624</v>
      </c>
      <c r="BI192" s="51" t="n">
        <f aca="false">IF(ISNUMBER(BI191),BI189+BI191,"")</f>
        <v>126.69392</v>
      </c>
      <c r="BJ192" s="51" t="n">
        <f aca="false">IF(ISNUMBER(BJ191),BJ189+BJ191,"")</f>
        <v>120.17008</v>
      </c>
      <c r="BK192" s="51" t="n">
        <f aca="false">IF(ISNUMBER(BK191),BK189+BK191,"")</f>
        <v>133.49822</v>
      </c>
      <c r="BL192" s="51" t="n">
        <f aca="false">IF(ISNUMBER(BL191),BL189+BL191,"")</f>
        <v>498.094</v>
      </c>
      <c r="BM192" s="51" t="n">
        <f aca="false">IF(ISNUMBER(BM191),BM189+BM191,"")</f>
        <v>41.736</v>
      </c>
      <c r="BN192" s="51" t="n">
        <f aca="false">IF(ISNUMBER(BN191),BN189+BN191,"")</f>
        <v>61.198</v>
      </c>
      <c r="BO192" s="51" t="n">
        <f aca="false">IF(ISNUMBER(BO191),BO189+BO191,"")</f>
        <v>88.282</v>
      </c>
      <c r="BP192" s="51" t="n">
        <f aca="false">IF(ISNUMBER(BP191),BP189+BP191,"")</f>
        <v>106.56</v>
      </c>
      <c r="BQ192" s="51" t="n">
        <f aca="false">IF(ISNUMBER(BQ191),BQ189+BQ191,"")</f>
        <v>297.554</v>
      </c>
      <c r="BR192" s="51" t="n">
        <f aca="false">IF(ISNUMBER(BR191),BR189+BR191,"")</f>
        <v>62.826</v>
      </c>
      <c r="BS192" s="51" t="n">
        <f aca="false">IF(ISNUMBER(BS191),BS189+BS191,"")</f>
        <v>73.63</v>
      </c>
      <c r="BT192" s="51" t="n">
        <f aca="false">IF(ISNUMBER(BT191),BT189+BT191,"")</f>
        <v>96.8660000000001</v>
      </c>
      <c r="BU192" s="51" t="n">
        <f aca="false">IF(ISNUMBER(BU191),BU189+BU191,"")</f>
        <v>131.646</v>
      </c>
      <c r="BV192" s="51" t="n">
        <f aca="false">IF(ISNUMBER(BV191),BV189+BV191,"")</f>
        <v>364.08</v>
      </c>
      <c r="BW192" s="51" t="n">
        <f aca="false">IF(ISNUMBER(BW191),BW189+BW191,"")</f>
        <v>93.98</v>
      </c>
      <c r="BX192" s="51" t="n">
        <f aca="false">IF(ISNUMBER(BX191),BX189+BX191,"")</f>
        <v>128.02</v>
      </c>
      <c r="BY192" s="51" t="n">
        <f aca="false">BY189+BY191</f>
        <v>136.428437938833</v>
      </c>
      <c r="BZ192" s="51" t="n">
        <f aca="false">BZ189+BZ191</f>
        <v>201.047949787194</v>
      </c>
      <c r="CA192" s="51" t="n">
        <f aca="false">CA189+CA191</f>
        <v>550.476387726028</v>
      </c>
      <c r="CB192" s="51" t="n">
        <f aca="false">CB189+CB191</f>
        <v>661.081082882921</v>
      </c>
      <c r="CC192" s="51" t="n">
        <f aca="false">CC189+CC191</f>
        <v>820.731161179415</v>
      </c>
      <c r="CD192" s="51" t="n">
        <f aca="false">CD189+CD191</f>
        <v>1003.67451810209</v>
      </c>
      <c r="CE192" s="51" t="n">
        <f aca="false">CE189+CE191</f>
        <v>1194.30110508296</v>
      </c>
      <c r="CF192" s="21"/>
      <c r="CH192" s="22" t="n">
        <f aca="false">IFERROR((CE192/BV192)^(1/5)-1,"n/m")</f>
        <v>0.268187307624763</v>
      </c>
      <c r="CI192" s="22" t="n">
        <f aca="false">IFERROR((BV192/AW192)^(1/5)-1,"n/m")</f>
        <v>-0.00836572125233048</v>
      </c>
      <c r="CJ192" s="22" t="n">
        <f aca="false">IFERROR((BV192/X192)^(1/10)-1,"n/m")</f>
        <v>0.186453958151273</v>
      </c>
      <c r="CK192" s="22" t="n">
        <f aca="false">IFERROR((BV192/C192)^(1/19)-1,"n/m")</f>
        <v>0.17958544564548</v>
      </c>
    </row>
    <row r="193" customFormat="false" ht="15" hidden="false" customHeight="true" outlineLevel="0" collapsed="false">
      <c r="B193" s="33" t="s">
        <v>391</v>
      </c>
      <c r="C193" s="34"/>
      <c r="D193" s="34"/>
      <c r="E193" s="34"/>
      <c r="F193" s="35" t="n">
        <v>28.026</v>
      </c>
      <c r="G193" s="35" t="n">
        <v>25.583</v>
      </c>
      <c r="H193" s="35" t="n">
        <v>29.09</v>
      </c>
      <c r="I193" s="35" t="n">
        <v>44.38</v>
      </c>
      <c r="J193" s="35" t="n">
        <v>13.023</v>
      </c>
      <c r="K193" s="35" t="n">
        <v>17.247</v>
      </c>
      <c r="L193" s="35" t="n">
        <v>20.211</v>
      </c>
      <c r="M193" s="35" t="n">
        <v>22.153</v>
      </c>
      <c r="N193" s="35" t="n">
        <v>72.634</v>
      </c>
      <c r="O193" s="35" t="n">
        <v>19.769</v>
      </c>
      <c r="P193" s="35" t="n">
        <v>23.48</v>
      </c>
      <c r="Q193" s="35" t="n">
        <v>27.949</v>
      </c>
      <c r="R193" s="35" t="n">
        <v>29.771</v>
      </c>
      <c r="S193" s="35" t="n">
        <v>100.968</v>
      </c>
      <c r="T193" s="35" t="n">
        <v>10.789</v>
      </c>
      <c r="U193" s="35" t="n">
        <v>2.431</v>
      </c>
      <c r="V193" s="35" t="n">
        <v>17.201</v>
      </c>
      <c r="W193" s="35" t="n">
        <v>35.449</v>
      </c>
      <c r="X193" s="35" t="n">
        <v>65.87</v>
      </c>
      <c r="Y193" s="35" t="n">
        <v>30.735</v>
      </c>
      <c r="Z193" s="35" t="n">
        <v>29.443</v>
      </c>
      <c r="AA193" s="35" t="n">
        <v>36.025</v>
      </c>
      <c r="AB193" s="35" t="n">
        <v>41.848</v>
      </c>
      <c r="AC193" s="35" t="n">
        <v>138.052</v>
      </c>
      <c r="AD193" s="35" t="n">
        <v>34.259</v>
      </c>
      <c r="AE193" s="35" t="n">
        <v>28.302</v>
      </c>
      <c r="AF193" s="35" t="n">
        <v>46.272</v>
      </c>
      <c r="AG193" s="35" t="n">
        <v>45.233</v>
      </c>
      <c r="AH193" s="35" t="n">
        <v>154.112</v>
      </c>
      <c r="AI193" s="35" t="n">
        <v>60.065</v>
      </c>
      <c r="AJ193" s="35" t="n">
        <v>60.429</v>
      </c>
      <c r="AK193" s="35" t="n">
        <v>78.812</v>
      </c>
      <c r="AL193" s="35" t="n">
        <v>102.342</v>
      </c>
      <c r="AM193" s="35" t="n">
        <v>301.648</v>
      </c>
      <c r="AN193" s="35" t="n">
        <v>92.434</v>
      </c>
      <c r="AO193" s="35" t="n">
        <v>81.534</v>
      </c>
      <c r="AP193" s="35" t="n">
        <v>95.773</v>
      </c>
      <c r="AQ193" s="35" t="n">
        <v>103.413</v>
      </c>
      <c r="AR193" s="35" t="n">
        <v>373.154</v>
      </c>
      <c r="AS193" s="35" t="n">
        <v>89.804</v>
      </c>
      <c r="AT193" s="35" t="n">
        <v>88.347</v>
      </c>
      <c r="AU193" s="35" t="n">
        <v>89.21</v>
      </c>
      <c r="AV193" s="35" t="n">
        <v>112.338</v>
      </c>
      <c r="AW193" s="35" t="n">
        <v>379.699</v>
      </c>
      <c r="AX193" s="35" t="n">
        <v>108.139</v>
      </c>
      <c r="AY193" s="35" t="n">
        <v>102.904</v>
      </c>
      <c r="AZ193" s="35" t="n">
        <v>98.932</v>
      </c>
      <c r="BA193" s="35" t="n">
        <v>137.717</v>
      </c>
      <c r="BB193" s="35" t="n">
        <v>447.693</v>
      </c>
      <c r="BC193" s="35" t="n">
        <v>122.938</v>
      </c>
      <c r="BD193" s="35" t="n">
        <v>112.2</v>
      </c>
      <c r="BE193" s="35" t="n">
        <v>118.072</v>
      </c>
      <c r="BF193" s="35" t="n">
        <v>152.99</v>
      </c>
      <c r="BG193" s="35" t="n">
        <v>506.2</v>
      </c>
      <c r="BH193" s="35" t="n">
        <v>117.716</v>
      </c>
      <c r="BI193" s="35" t="n">
        <v>126.694</v>
      </c>
      <c r="BJ193" s="35" t="n">
        <v>120.17</v>
      </c>
      <c r="BK193" s="35" t="n">
        <v>133.4</v>
      </c>
      <c r="BL193" s="35" t="n">
        <v>498</v>
      </c>
      <c r="BM193" s="35" t="n">
        <v>41.7</v>
      </c>
      <c r="BN193" s="35" t="n">
        <v>61.2</v>
      </c>
      <c r="BO193" s="35" t="n">
        <v>88.3</v>
      </c>
      <c r="BP193" s="35" t="n">
        <v>106</v>
      </c>
      <c r="BQ193" s="35" t="n">
        <v>297</v>
      </c>
      <c r="BR193" s="35" t="n">
        <v>62.8</v>
      </c>
      <c r="BS193" s="35" t="n">
        <v>73.6</v>
      </c>
      <c r="BT193" s="35" t="n">
        <v>96.8</v>
      </c>
      <c r="BU193" s="35" t="n">
        <v>131</v>
      </c>
      <c r="BV193" s="35" t="n">
        <v>364</v>
      </c>
      <c r="BW193" s="35" t="n">
        <v>94</v>
      </c>
      <c r="BX193" s="35" t="n">
        <v>128</v>
      </c>
      <c r="BY193" s="36"/>
      <c r="BZ193" s="36"/>
      <c r="CA193" s="36"/>
      <c r="CB193" s="36"/>
      <c r="CC193" s="36"/>
      <c r="CD193" s="36"/>
      <c r="CE193" s="36"/>
      <c r="CF193" s="28"/>
    </row>
    <row r="194" customFormat="false" ht="15" hidden="false" customHeight="true" outlineLevel="0" collapsed="false">
      <c r="B194" s="41" t="s">
        <v>392</v>
      </c>
      <c r="C194" s="34" t="str">
        <f aca="false">IF(ISNUMBER(C193),IF(ABS(C192-C193)&lt;=0.65,0,ROUND(C192-C193,1)),"n/p")</f>
        <v>n/p</v>
      </c>
      <c r="D194" s="34" t="str">
        <f aca="false">IF(ISNUMBER(D193),IF(ABS(D192-D193)&lt;=0.65,0,ROUND(D192-D193,1)),"n/p")</f>
        <v>n/p</v>
      </c>
      <c r="E194" s="34" t="str">
        <f aca="false">IF(ISNUMBER(E193),IF(ABS(E192-E193)&lt;=0.65,0,ROUND(E192-E193,1)),"n/p")</f>
        <v>n/p</v>
      </c>
      <c r="F194" s="34" t="n">
        <f aca="false">IF(ISNUMBER(F193),IF(ABS(F192-F193)&lt;=0.65,0,ROUND(F192-F193,1)),"n/p")</f>
        <v>0</v>
      </c>
      <c r="G194" s="34" t="n">
        <f aca="false">IF(ISNUMBER(G193),IF(ABS(G192-G193)&lt;=0.65,0,ROUND(G192-G193,1)),"n/p")</f>
        <v>0</v>
      </c>
      <c r="H194" s="34" t="n">
        <f aca="false">IF(ISNUMBER(H193),IF(ABS(H192-H193)&lt;=0.65,0,ROUND(H192-H193,1)),"n/p")</f>
        <v>0</v>
      </c>
      <c r="I194" s="34" t="n">
        <f aca="false">IF(ISNUMBER(I193),IF(ABS(I192-I193)&lt;=0.65,0,ROUND(I192-I193,1)),"n/p")</f>
        <v>0</v>
      </c>
      <c r="J194" s="34" t="n">
        <f aca="false">IF(ISNUMBER(J193),IF(ABS(J192-J193)&lt;=0.65,0,ROUND(J192-J193,1)),"n/p")</f>
        <v>0</v>
      </c>
      <c r="K194" s="34" t="n">
        <f aca="false">IF(ISNUMBER(K193),IF(ABS(K192-K193)&lt;=0.65,0,ROUND(K192-K193,1)),"n/p")</f>
        <v>0</v>
      </c>
      <c r="L194" s="34" t="n">
        <f aca="false">IF(ISNUMBER(L193),IF(ABS(L192-L193)&lt;=0.65,0,ROUND(L192-L193,1)),"n/p")</f>
        <v>0</v>
      </c>
      <c r="M194" s="34" t="n">
        <f aca="false">IF(ISNUMBER(M193),IF(ABS(M192-M193)&lt;=0.65,0,ROUND(M192-M193,1)),"n/p")</f>
        <v>0</v>
      </c>
      <c r="N194" s="34" t="n">
        <f aca="false">IF(ISNUMBER(N193),IF(ABS(N192-N193)&lt;=0.65,0,ROUND(N192-N193,1)),"n/p")</f>
        <v>0</v>
      </c>
      <c r="O194" s="34" t="n">
        <f aca="false">IF(ISNUMBER(O193),IF(ABS(O192-O193)&lt;=0.65,0,ROUND(O192-O193,1)),"n/p")</f>
        <v>0</v>
      </c>
      <c r="P194" s="34" t="n">
        <f aca="false">IF(ISNUMBER(P193),IF(ABS(P192-P193)&lt;=0.65,0,ROUND(P192-P193,1)),"n/p")</f>
        <v>0</v>
      </c>
      <c r="Q194" s="34" t="n">
        <f aca="false">IF(ISNUMBER(Q193),IF(ABS(Q192-Q193)&lt;=0.65,0,ROUND(Q192-Q193,1)),"n/p")</f>
        <v>0</v>
      </c>
      <c r="R194" s="34" t="n">
        <f aca="false">IF(ISNUMBER(R193),IF(ABS(R192-R193)&lt;=0.65,0,ROUND(R192-R193,1)),"n/p")</f>
        <v>0</v>
      </c>
      <c r="S194" s="34" t="n">
        <f aca="false">IF(ISNUMBER(S193),IF(ABS(S192-S193)&lt;=0.65,0,ROUND(S192-S193,1)),"n/p")</f>
        <v>0</v>
      </c>
      <c r="T194" s="34" t="n">
        <f aca="false">IF(ISNUMBER(T193),IF(ABS(T192-T193)&lt;=0.65,0,ROUND(T192-T193,1)),"n/p")</f>
        <v>0</v>
      </c>
      <c r="U194" s="34" t="n">
        <f aca="false">IF(ISNUMBER(U193),IF(ABS(U192-U193)&lt;=0.65,0,ROUND(U192-U193,1)),"n/p")</f>
        <v>0</v>
      </c>
      <c r="V194" s="34" t="n">
        <f aca="false">IF(ISNUMBER(V193),IF(ABS(V192-V193)&lt;=0.65,0,ROUND(V192-V193,1)),"n/p")</f>
        <v>0</v>
      </c>
      <c r="W194" s="34" t="n">
        <f aca="false">IF(ISNUMBER(W193),IF(ABS(W192-W193)&lt;=0.65,0,ROUND(W192-W193,1)),"n/p")</f>
        <v>0</v>
      </c>
      <c r="X194" s="34" t="n">
        <f aca="false">IF(ISNUMBER(X193),IF(ABS(X192-X193)&lt;=0.65,0,ROUND(X192-X193,1)),"n/p")</f>
        <v>0</v>
      </c>
      <c r="Y194" s="34" t="n">
        <f aca="false">IF(ISNUMBER(Y193),IF(ABS(Y192-Y193)&lt;=0.65,0,ROUND(Y192-Y193,1)),"n/p")</f>
        <v>0</v>
      </c>
      <c r="Z194" s="34" t="n">
        <f aca="false">IF(ISNUMBER(Z193),IF(ABS(Z192-Z193)&lt;=0.65,0,ROUND(Z192-Z193,1)),"n/p")</f>
        <v>0</v>
      </c>
      <c r="AA194" s="34" t="n">
        <f aca="false">IF(ISNUMBER(AA193),IF(ABS(AA192-AA193)&lt;=0.65,0,ROUND(AA192-AA193,1)),"n/p")</f>
        <v>0</v>
      </c>
      <c r="AB194" s="34" t="n">
        <f aca="false">IF(ISNUMBER(AB193),IF(ABS(AB192-AB193)&lt;=0.65,0,ROUND(AB192-AB193,1)),"n/p")</f>
        <v>0</v>
      </c>
      <c r="AC194" s="34" t="n">
        <f aca="false">IF(ISNUMBER(AC193),IF(ABS(AC192-AC193)&lt;=0.65,0,ROUND(AC192-AC193,1)),"n/p")</f>
        <v>0</v>
      </c>
      <c r="AD194" s="34" t="n">
        <f aca="false">IF(ISNUMBER(AD193),IF(ABS(AD192-AD193)&lt;=0.65,0,ROUND(AD192-AD193,1)),"n/p")</f>
        <v>0</v>
      </c>
      <c r="AE194" s="34" t="n">
        <f aca="false">IF(ISNUMBER(AE193),IF(ABS(AE192-AE193)&lt;=0.65,0,ROUND(AE192-AE193,1)),"n/p")</f>
        <v>0</v>
      </c>
      <c r="AF194" s="34" t="n">
        <f aca="false">IF(ISNUMBER(AF193),IF(ABS(AF192-AF193)&lt;=0.65,0,ROUND(AF192-AF193,1)),"n/p")</f>
        <v>0</v>
      </c>
      <c r="AG194" s="34" t="n">
        <f aca="false">IF(ISNUMBER(AG193),IF(ABS(AG192-AG193)&lt;=0.65,0,ROUND(AG192-AG193,1)),"n/p")</f>
        <v>0</v>
      </c>
      <c r="AH194" s="34" t="n">
        <f aca="false">IF(ISNUMBER(AH193),IF(ABS(AH192-AH193)&lt;=0.65,0,ROUND(AH192-AH193,1)),"n/p")</f>
        <v>0</v>
      </c>
      <c r="AI194" s="34" t="n">
        <f aca="false">IF(ISNUMBER(AI193),IF(ABS(AI192-AI193)&lt;=0.65,0,ROUND(AI192-AI193,1)),"n/p")</f>
        <v>0</v>
      </c>
      <c r="AJ194" s="34" t="n">
        <f aca="false">IF(ISNUMBER(AJ193),IF(ABS(AJ192-AJ193)&lt;=0.65,0,ROUND(AJ192-AJ193,1)),"n/p")</f>
        <v>0</v>
      </c>
      <c r="AK194" s="34" t="n">
        <f aca="false">IF(ISNUMBER(AK193),IF(ABS(AK192-AK193)&lt;=0.65,0,ROUND(AK192-AK193,1)),"n/p")</f>
        <v>0</v>
      </c>
      <c r="AL194" s="34" t="n">
        <f aca="false">IF(ISNUMBER(AL193),IF(ABS(AL192-AL193)&lt;=0.65,0,ROUND(AL192-AL193,1)),"n/p")</f>
        <v>0</v>
      </c>
      <c r="AM194" s="34" t="n">
        <f aca="false">IF(ISNUMBER(AM193),IF(ABS(AM192-AM193)&lt;=0.65,0,ROUND(AM192-AM193,1)),"n/p")</f>
        <v>0</v>
      </c>
      <c r="AN194" s="34" t="n">
        <f aca="false">IF(ISNUMBER(AN193),IF(ABS(AN192-AN193)&lt;=0.65,0,ROUND(AN192-AN193,1)),"n/p")</f>
        <v>0</v>
      </c>
      <c r="AO194" s="34" t="n">
        <f aca="false">IF(ISNUMBER(AO193),IF(ABS(AO192-AO193)&lt;=0.65,0,ROUND(AO192-AO193,1)),"n/p")</f>
        <v>0</v>
      </c>
      <c r="AP194" s="34" t="n">
        <f aca="false">IF(ISNUMBER(AP193),IF(ABS(AP192-AP193)&lt;=0.65,0,ROUND(AP192-AP193,1)),"n/p")</f>
        <v>0</v>
      </c>
      <c r="AQ194" s="34" t="n">
        <f aca="false">IF(ISNUMBER(AQ193),IF(ABS(AQ192-AQ193)&lt;=0.65,0,ROUND(AQ192-AQ193,1)),"n/p")</f>
        <v>0</v>
      </c>
      <c r="AR194" s="34" t="n">
        <f aca="false">IF(ISNUMBER(AR193),IF(ABS(AR192-AR193)&lt;=0.65,0,ROUND(AR192-AR193,1)),"n/p")</f>
        <v>0</v>
      </c>
      <c r="AS194" s="34" t="n">
        <f aca="false">IF(ISNUMBER(AS193),IF(ABS(AS192-AS193)&lt;=0.65,0,ROUND(AS192-AS193,1)),"n/p")</f>
        <v>0</v>
      </c>
      <c r="AT194" s="34" t="n">
        <f aca="false">IF(ISNUMBER(AT193),IF(ABS(AT192-AT193)&lt;=0.65,0,ROUND(AT192-AT193,1)),"n/p")</f>
        <v>0</v>
      </c>
      <c r="AU194" s="34" t="n">
        <f aca="false">IF(ISNUMBER(AU193),IF(ABS(AU192-AU193)&lt;=0.65,0,ROUND(AU192-AU193,1)),"n/p")</f>
        <v>0</v>
      </c>
      <c r="AV194" s="34" t="n">
        <f aca="false">IF(ISNUMBER(AV193),IF(ABS(AV192-AV193)&lt;=0.65,0,ROUND(AV192-AV193,1)),"n/p")</f>
        <v>0</v>
      </c>
      <c r="AW194" s="34" t="n">
        <f aca="false">IF(ISNUMBER(AW193),IF(ABS(AW192-AW193)&lt;=0.65,0,ROUND(AW192-AW193,1)),"n/p")</f>
        <v>0</v>
      </c>
      <c r="AX194" s="34" t="n">
        <f aca="false">IF(ISNUMBER(AX193),IF(ABS(AX192-AX193)&lt;=0.65,0,ROUND(AX192-AX193,1)),"n/p")</f>
        <v>0</v>
      </c>
      <c r="AY194" s="34" t="n">
        <f aca="false">IF(ISNUMBER(AY193),IF(ABS(AY192-AY193)&lt;=0.65,0,ROUND(AY192-AY193,1)),"n/p")</f>
        <v>0</v>
      </c>
      <c r="AZ194" s="34" t="n">
        <f aca="false">IF(ISNUMBER(AZ193),IF(ABS(AZ192-AZ193)&lt;=0.65,0,ROUND(AZ192-AZ193,1)),"n/p")</f>
        <v>0</v>
      </c>
      <c r="BA194" s="34" t="n">
        <f aca="false">IF(ISNUMBER(BA193),IF(ABS(BA192-BA193)&lt;=0.65,0,ROUND(BA192-BA193,1)),"n/p")</f>
        <v>0</v>
      </c>
      <c r="BB194" s="34" t="n">
        <f aca="false">IF(ISNUMBER(BB193),IF(ABS(BB192-BB193)&lt;=0.65,0,ROUND(BB192-BB193,1)),"n/p")</f>
        <v>0</v>
      </c>
      <c r="BC194" s="34" t="n">
        <f aca="false">IF(ISNUMBER(BC193),IF(ABS(BC192-BC193)&lt;=0.65,0,ROUND(BC192-BC193,1)),"n/p")</f>
        <v>0</v>
      </c>
      <c r="BD194" s="34" t="n">
        <f aca="false">IF(ISNUMBER(BD193),IF(ABS(BD192-BD193)&lt;=0.65,0,ROUND(BD192-BD193,1)),"n/p")</f>
        <v>0</v>
      </c>
      <c r="BE194" s="34" t="n">
        <f aca="false">IF(ISNUMBER(BE193),IF(ABS(BE192-BE193)&lt;=0.65,0,ROUND(BE192-BE193,1)),"n/p")</f>
        <v>0</v>
      </c>
      <c r="BF194" s="34" t="n">
        <f aca="false">IF(ISNUMBER(BF193),IF(ABS(BF192-BF193)&lt;=0.65,0,ROUND(BF192-BF193,1)),"n/p")</f>
        <v>0</v>
      </c>
      <c r="BG194" s="34" t="n">
        <f aca="false">IF(ISNUMBER(BG193),IF(ABS(BG192-BG193)&lt;=0.65,0,ROUND(BG192-BG193,1)),"n/p")</f>
        <v>0</v>
      </c>
      <c r="BH194" s="34" t="n">
        <f aca="false">IF(ISNUMBER(BH193),IF(ABS(BH192-BH193)&lt;=0.65,0,ROUND(BH192-BH193,1)),"n/p")</f>
        <v>0</v>
      </c>
      <c r="BI194" s="34" t="n">
        <f aca="false">IF(ISNUMBER(BI193),IF(ABS(BI192-BI193)&lt;=0.65,0,ROUND(BI192-BI193,1)),"n/p")</f>
        <v>0</v>
      </c>
      <c r="BJ194" s="34" t="n">
        <f aca="false">IF(ISNUMBER(BJ193),IF(ABS(BJ192-BJ193)&lt;=0.65,0,ROUND(BJ192-BJ193,1)),"n/p")</f>
        <v>0</v>
      </c>
      <c r="BK194" s="34" t="n">
        <f aca="false">IF(ISNUMBER(BK193),IF(ABS(BK192-BK193)&lt;=0.65,0,ROUND(BK192-BK193,1)),"n/p")</f>
        <v>0</v>
      </c>
      <c r="BL194" s="34" t="n">
        <f aca="false">IF(ISNUMBER(BL193),IF(ABS(BL192-BL193)&lt;=0.65,0,ROUND(BL192-BL193,1)),"n/p")</f>
        <v>0</v>
      </c>
      <c r="BM194" s="34" t="n">
        <f aca="false">IF(ISNUMBER(BM193),IF(ABS(BM192-BM193)&lt;=0.65,0,ROUND(BM192-BM193,1)),"n/p")</f>
        <v>0</v>
      </c>
      <c r="BN194" s="34" t="n">
        <f aca="false">IF(ISNUMBER(BN193),IF(ABS(BN192-BN193)&lt;=0.65,0,ROUND(BN192-BN193,1)),"n/p")</f>
        <v>0</v>
      </c>
      <c r="BO194" s="34" t="n">
        <f aca="false">IF(ISNUMBER(BO193),IF(ABS(BO192-BO193)&lt;=0.65,0,ROUND(BO192-BO193,1)),"n/p")</f>
        <v>0</v>
      </c>
      <c r="BP194" s="34" t="n">
        <f aca="false">IF(ISNUMBER(BP193),IF(ABS(BP192-BP193)&lt;=0.65,0,ROUND(BP192-BP193,1)),"n/p")</f>
        <v>0</v>
      </c>
      <c r="BQ194" s="34" t="n">
        <f aca="false">IF(ISNUMBER(BQ193),IF(ABS(BQ192-BQ193)&lt;=0.65,0,ROUND(BQ192-BQ193,1)),"n/p")</f>
        <v>0</v>
      </c>
      <c r="BR194" s="34" t="n">
        <f aca="false">IF(ISNUMBER(BR193),IF(ABS(BR192-BR193)&lt;=0.65,0,ROUND(BR192-BR193,1)),"n/p")</f>
        <v>0</v>
      </c>
      <c r="BS194" s="34" t="n">
        <f aca="false">IF(ISNUMBER(BS193),IF(ABS(BS192-BS193)&lt;=0.65,0,ROUND(BS192-BS193,1)),"n/p")</f>
        <v>0</v>
      </c>
      <c r="BT194" s="34" t="n">
        <f aca="false">IF(ISNUMBER(BT193),IF(ABS(BT192-BT193)&lt;=0.65,0,ROUND(BT192-BT193,1)),"n/p")</f>
        <v>0</v>
      </c>
      <c r="BU194" s="34" t="n">
        <f aca="false">IF(ISNUMBER(BU193),IF(ABS(BU192-BU193)&lt;=0.65,0,ROUND(BU192-BU193,1)),"n/p")</f>
        <v>0</v>
      </c>
      <c r="BV194" s="34" t="n">
        <f aca="false">IF(ISNUMBER(BV193),IF(ABS(BV192-BV193)&lt;=0.65,0,ROUND(BV192-BV193,1)),"n/p")</f>
        <v>0</v>
      </c>
      <c r="BW194" s="34" t="n">
        <f aca="false">IF(ISNUMBER(BW193),IF(ABS(BW192-BW193)&lt;=0.65,0,ROUND(BW192-BW193,1)),"n/p")</f>
        <v>0</v>
      </c>
      <c r="BX194" s="34" t="n">
        <f aca="false">IF(ISNUMBER(BX193),IF(ABS(BX192-BX193)&lt;=0.65,0,ROUND(BX192-BX193,1)),"n/p")</f>
        <v>0</v>
      </c>
      <c r="BY194" s="36"/>
      <c r="BZ194" s="36"/>
      <c r="CA194" s="36"/>
      <c r="CB194" s="36"/>
      <c r="CC194" s="36"/>
      <c r="CD194" s="36"/>
      <c r="CE194" s="36"/>
      <c r="CF194" s="28"/>
    </row>
    <row r="195" customFormat="false" ht="15" hidden="false" customHeight="true" outlineLevel="0" collapsed="false">
      <c r="B195" s="29" t="s">
        <v>393</v>
      </c>
      <c r="C195" s="54" t="n">
        <f aca="false">C145</f>
        <v>191.65</v>
      </c>
      <c r="D195" s="54" t="n">
        <f aca="false">D145</f>
        <v>194.04</v>
      </c>
      <c r="E195" s="54" t="n">
        <f aca="false">E145</f>
        <v>195.5</v>
      </c>
      <c r="F195" s="55" t="n">
        <v>199.25</v>
      </c>
      <c r="G195" s="55" t="n">
        <v>207.07</v>
      </c>
      <c r="H195" s="55" t="n">
        <v>235.27</v>
      </c>
      <c r="I195" s="55" t="n">
        <v>269.49</v>
      </c>
      <c r="J195" s="55" t="n">
        <v>278.96</v>
      </c>
      <c r="K195" s="55" t="n">
        <v>281.68</v>
      </c>
      <c r="L195" s="55" t="n">
        <v>283.49</v>
      </c>
      <c r="M195" s="55" t="n">
        <v>284.38</v>
      </c>
      <c r="N195" s="55" t="n">
        <v>282.12</v>
      </c>
      <c r="O195" s="55" t="n">
        <v>288.4</v>
      </c>
      <c r="P195" s="55" t="n">
        <v>294.86</v>
      </c>
      <c r="Q195" s="55" t="n">
        <v>320.75</v>
      </c>
      <c r="R195" s="55" t="n">
        <v>321.42</v>
      </c>
      <c r="S195" s="55" t="n">
        <v>306.41</v>
      </c>
      <c r="T195" s="55" t="n">
        <v>321.72</v>
      </c>
      <c r="U195" s="55" t="n">
        <v>322.86</v>
      </c>
      <c r="V195" s="55" t="n">
        <v>322.29</v>
      </c>
      <c r="W195" s="55" t="n">
        <v>322.84</v>
      </c>
      <c r="X195" s="55" t="n">
        <v>322.43</v>
      </c>
      <c r="Y195" s="55" t="n">
        <v>323.82</v>
      </c>
      <c r="Z195" s="55" t="n">
        <v>324.48</v>
      </c>
      <c r="AA195" s="55" t="n">
        <v>324.4</v>
      </c>
      <c r="AB195" s="55" t="n">
        <v>324.73</v>
      </c>
      <c r="AC195" s="55" t="n">
        <v>324.36</v>
      </c>
      <c r="AD195" s="55" t="n">
        <v>325.63</v>
      </c>
      <c r="AE195" s="55" t="n">
        <v>327.39</v>
      </c>
      <c r="AF195" s="55" t="n">
        <v>328.14</v>
      </c>
      <c r="AG195" s="55" t="n">
        <v>361.19</v>
      </c>
      <c r="AH195" s="55" t="n">
        <v>335.59</v>
      </c>
      <c r="AI195" s="55" t="n">
        <v>363.5</v>
      </c>
      <c r="AJ195" s="55" t="n">
        <v>364.5</v>
      </c>
      <c r="AK195" s="55" t="n">
        <v>365.18</v>
      </c>
      <c r="AL195" s="55" t="n">
        <v>364.74</v>
      </c>
      <c r="AM195" s="55" t="n">
        <v>364.48</v>
      </c>
      <c r="AN195" s="55" t="n">
        <v>365.67</v>
      </c>
      <c r="AO195" s="55" t="n">
        <v>366.27</v>
      </c>
      <c r="AP195" s="55" t="n">
        <v>366.52</v>
      </c>
      <c r="AQ195" s="55" t="n">
        <v>366.74</v>
      </c>
      <c r="AR195" s="55" t="n">
        <v>366.3</v>
      </c>
      <c r="AS195" s="55" t="n">
        <v>367.76</v>
      </c>
      <c r="AT195" s="55" t="n">
        <v>377.34</v>
      </c>
      <c r="AU195" s="55" t="n">
        <v>394.01</v>
      </c>
      <c r="AV195" s="55" t="n">
        <v>393.95</v>
      </c>
      <c r="AW195" s="55" t="n">
        <v>383.26</v>
      </c>
      <c r="AX195" s="55" t="n">
        <v>393.71</v>
      </c>
      <c r="AY195" s="55" t="n">
        <v>394.098</v>
      </c>
      <c r="AZ195" s="55" t="n">
        <v>394.295</v>
      </c>
      <c r="BA195" s="55" t="n">
        <v>394.532</v>
      </c>
      <c r="BB195" s="55" t="n">
        <v>394.16</v>
      </c>
      <c r="BC195" s="55" t="n">
        <v>394.234</v>
      </c>
      <c r="BD195" s="55" t="n">
        <v>394.478</v>
      </c>
      <c r="BE195" s="55" t="n">
        <v>396.209</v>
      </c>
      <c r="BF195" s="55" t="n">
        <v>406.087</v>
      </c>
      <c r="BG195" s="55" t="n">
        <v>397.752</v>
      </c>
      <c r="BH195" s="55" t="n">
        <v>406.157</v>
      </c>
      <c r="BI195" s="55" t="n">
        <v>406.751</v>
      </c>
      <c r="BJ195" s="55" t="n">
        <v>407.229</v>
      </c>
      <c r="BK195" s="55" t="n">
        <v>407.5</v>
      </c>
      <c r="BL195" s="55" t="n">
        <v>406.9</v>
      </c>
      <c r="BM195" s="55" t="n">
        <v>407.3</v>
      </c>
      <c r="BN195" s="55" t="n">
        <v>407.4</v>
      </c>
      <c r="BO195" s="55" t="n">
        <v>408</v>
      </c>
      <c r="BP195" s="55" t="n">
        <v>408.4</v>
      </c>
      <c r="BQ195" s="55" t="n">
        <v>407.8</v>
      </c>
      <c r="BR195" s="55" t="n">
        <v>415.5</v>
      </c>
      <c r="BS195" s="55" t="n">
        <v>424.3</v>
      </c>
      <c r="BT195" s="55" t="n">
        <v>423.3</v>
      </c>
      <c r="BU195" s="55" t="n">
        <v>419.6</v>
      </c>
      <c r="BV195" s="55" t="n">
        <v>420.7</v>
      </c>
      <c r="BW195" s="55" t="n">
        <v>414</v>
      </c>
      <c r="BX195" s="55" t="n">
        <v>404.4</v>
      </c>
      <c r="BY195" s="56" t="n">
        <f aca="false">BY145</f>
        <v>403.482196231319</v>
      </c>
      <c r="BZ195" s="56" t="n">
        <f aca="false">BZ145</f>
        <v>401.646588693957</v>
      </c>
      <c r="CA195" s="56" t="n">
        <f aca="false">CA145</f>
        <v>405.707196231319</v>
      </c>
      <c r="CB195" s="56" t="n">
        <f aca="false">CB145</f>
        <v>390.55053819711</v>
      </c>
      <c r="CC195" s="56" t="n">
        <f aca="false">CC145</f>
        <v>365.850338787844</v>
      </c>
      <c r="CD195" s="56" t="n">
        <f aca="false">CD145</f>
        <v>338.238070099536</v>
      </c>
      <c r="CE195" s="56" t="n">
        <f aca="false">CE145</f>
        <v>307.663695657916</v>
      </c>
      <c r="CF195" s="28"/>
    </row>
    <row r="196" customFormat="false" ht="15" hidden="false" customHeight="true" outlineLevel="0" collapsed="false">
      <c r="B196" s="50" t="s">
        <v>394</v>
      </c>
      <c r="C196" s="60" t="n">
        <f aca="false">IF(AND(ISNUMBER(C192),ISNUMBER(C195)),IFERROR(C192/C195,""),"")</f>
        <v>0.0823814244716932</v>
      </c>
      <c r="D196" s="60" t="n">
        <f aca="false">IF(AND(ISNUMBER(D192),ISNUMBER(D195)),IFERROR(D192/D195,""),"")</f>
        <v>0.119264069264069</v>
      </c>
      <c r="E196" s="60" t="n">
        <f aca="false">IF(AND(ISNUMBER(E192),ISNUMBER(E195)),IFERROR(E192/E195,""),"")</f>
        <v>0.174340664961637</v>
      </c>
      <c r="F196" s="60" t="n">
        <f aca="false">IF(AND(ISNUMBER(F192),ISNUMBER(F195)),IFERROR(F192/F195,""),"")</f>
        <v>0.140657465495608</v>
      </c>
      <c r="G196" s="60" t="n">
        <f aca="false">IF(AND(ISNUMBER(G192),ISNUMBER(G195)),IFERROR(G192/G195,""),"")</f>
        <v>0.123546626744579</v>
      </c>
      <c r="H196" s="60" t="n">
        <f aca="false">IF(AND(ISNUMBER(H192),ISNUMBER(H195)),IFERROR(H192/H195,""),"")</f>
        <v>0.123644323543163</v>
      </c>
      <c r="I196" s="60" t="n">
        <f aca="false">IF(AND(ISNUMBER(I192),ISNUMBER(I195)),IFERROR(I192/I195,""),"")</f>
        <v>0.164682251660544</v>
      </c>
      <c r="J196" s="60" t="n">
        <f aca="false">IF(AND(ISNUMBER(J192),ISNUMBER(J195)),IFERROR(J192/J195,""),"")</f>
        <v>0.0466844708918841</v>
      </c>
      <c r="K196" s="60" t="n">
        <f aca="false">IF(AND(ISNUMBER(K192),ISNUMBER(K195)),IFERROR(K192/K195,""),"")</f>
        <v>0.0612274211871627</v>
      </c>
      <c r="L196" s="60" t="n">
        <f aca="false">IF(AND(ISNUMBER(L192),ISNUMBER(L195)),IFERROR(L192/L195,""),"")</f>
        <v>0.0712948604889061</v>
      </c>
      <c r="M196" s="60" t="n">
        <f aca="false">IF(AND(ISNUMBER(M192),ISNUMBER(M195)),IFERROR(M192/M195,""),"")</f>
        <v>0.0779000632955904</v>
      </c>
      <c r="N196" s="60" t="n">
        <f aca="false">IF(AND(ISNUMBER(N192),ISNUMBER(N195)),IFERROR(N192/N195,""),"")</f>
        <v>0.257458670069474</v>
      </c>
      <c r="O196" s="60" t="n">
        <f aca="false">IF(AND(ISNUMBER(O192),ISNUMBER(O195)),IFERROR(O192/O195,""),"")</f>
        <v>0.0685461165048544</v>
      </c>
      <c r="P196" s="60" t="n">
        <f aca="false">IF(AND(ISNUMBER(P192),ISNUMBER(P195)),IFERROR(P192/P195,""),"")</f>
        <v>0.0796310791562097</v>
      </c>
      <c r="Q196" s="60" t="n">
        <f aca="false">IF(AND(ISNUMBER(Q192),ISNUMBER(Q195)),IFERROR(Q192/Q195,""),"")</f>
        <v>0.087136336710834</v>
      </c>
      <c r="R196" s="60" t="n">
        <f aca="false">IF(AND(ISNUMBER(R192),ISNUMBER(R195)),IFERROR(R192/R195,""),"")</f>
        <v>0.092623856636177</v>
      </c>
      <c r="S196" s="60" t="n">
        <f aca="false">IF(AND(ISNUMBER(S192),ISNUMBER(S195)),IFERROR(S192/S195,""),"")</f>
        <v>0.329522078261153</v>
      </c>
      <c r="T196" s="60" t="n">
        <f aca="false">IF(AND(ISNUMBER(T192),ISNUMBER(T195)),IFERROR(T192/T195,""),"")</f>
        <v>0.0335341912221808</v>
      </c>
      <c r="U196" s="60" t="n">
        <f aca="false">IF(AND(ISNUMBER(U192),ISNUMBER(U195)),IFERROR(U192/U195,""),"")</f>
        <v>0.00753156166759591</v>
      </c>
      <c r="V196" s="60" t="n">
        <f aca="false">IF(AND(ISNUMBER(V192),ISNUMBER(V195)),IFERROR(V192/V195,""),"")</f>
        <v>0.0533701324893729</v>
      </c>
      <c r="W196" s="60" t="n">
        <f aca="false">IF(AND(ISNUMBER(W192),ISNUMBER(W195)),IFERROR(W192/W195,""),"")</f>
        <v>0.109803989592368</v>
      </c>
      <c r="X196" s="60" t="n">
        <f aca="false">IF(AND(ISNUMBER(X192),ISNUMBER(X195)),IFERROR(X192/X195,""),"")</f>
        <v>0.204292528610861</v>
      </c>
      <c r="Y196" s="60" t="n">
        <f aca="false">IF(AND(ISNUMBER(Y192),ISNUMBER(Y195)),IFERROR(Y192/Y195,""),"")</f>
        <v>0.0949146439379903</v>
      </c>
      <c r="Z196" s="60" t="n">
        <f aca="false">IF(AND(ISNUMBER(Z192),ISNUMBER(Z195)),IFERROR(Z192/Z195,""),"")</f>
        <v>0.0907395833333333</v>
      </c>
      <c r="AA196" s="60" t="n">
        <f aca="false">IF(AND(ISNUMBER(AA192),ISNUMBER(AA195)),IFERROR(AA192/AA195,""),"")</f>
        <v>0.111051479654747</v>
      </c>
      <c r="AB196" s="60" t="n">
        <f aca="false">IF(AND(ISNUMBER(AB192),ISNUMBER(AB195)),IFERROR(AB192/AB195,""),"")</f>
        <v>0.128870569396114</v>
      </c>
      <c r="AC196" s="60" t="n">
        <f aca="false">IF(AND(ISNUMBER(AC192),ISNUMBER(AC195)),IFERROR(AC192/AC195,""),"")</f>
        <v>0.425612529288445</v>
      </c>
      <c r="AD196" s="60" t="n">
        <f aca="false">IF(AND(ISNUMBER(AD192),ISNUMBER(AD195)),IFERROR(AD192/AD195,""),"")</f>
        <v>0.105209409452446</v>
      </c>
      <c r="AE196" s="60" t="n">
        <f aca="false">IF(AND(ISNUMBER(AE192),ISNUMBER(AE195)),IFERROR(AE192/AE195,""),"")</f>
        <v>0.0864485170591649</v>
      </c>
      <c r="AF196" s="60" t="n">
        <f aca="false">IF(AND(ISNUMBER(AF192),ISNUMBER(AF195)),IFERROR(AF192/AF195,""),"")</f>
        <v>0.14101249466691</v>
      </c>
      <c r="AG196" s="60" t="n">
        <f aca="false">IF(AND(ISNUMBER(AG192),ISNUMBER(AG195)),IFERROR(AG192/AG195,""),"")</f>
        <v>0.125232481519422</v>
      </c>
      <c r="AH196" s="60" t="n">
        <f aca="false">IF(AND(ISNUMBER(AH192),ISNUMBER(AH195)),IFERROR(AH192/AH195,""),"")</f>
        <v>0.459227509758932</v>
      </c>
      <c r="AI196" s="60" t="n">
        <f aca="false">IF(AND(ISNUMBER(AI192),ISNUMBER(AI195)),IFERROR(AI192/AI195,""),"")</f>
        <v>0.165241403026135</v>
      </c>
      <c r="AJ196" s="60" t="n">
        <f aca="false">IF(AND(ISNUMBER(AJ192),ISNUMBER(AJ195)),IFERROR(AJ192/AJ195,""),"")</f>
        <v>0.165786008230453</v>
      </c>
      <c r="AK196" s="60" t="n">
        <f aca="false">IF(AND(ISNUMBER(AK192),ISNUMBER(AK195)),IFERROR(AK192/AK195,""),"")</f>
        <v>0.215817542034065</v>
      </c>
      <c r="AL196" s="60" t="n">
        <f aca="false">IF(AND(ISNUMBER(AL192),ISNUMBER(AL195)),IFERROR(AL192/AL195,""),"")</f>
        <v>0.280586856390854</v>
      </c>
      <c r="AM196" s="60" t="n">
        <f aca="false">IF(AND(ISNUMBER(AM192),ISNUMBER(AM195)),IFERROR(AM192/AM195,""),"")</f>
        <v>0.827611254389816</v>
      </c>
      <c r="AN196" s="60" t="n">
        <f aca="false">IF(AND(ISNUMBER(AN192),ISNUMBER(AN195)),IFERROR(AN192/AN195,""),"")</f>
        <v>0.252781196160473</v>
      </c>
      <c r="AO196" s="60" t="n">
        <f aca="false">IF(AND(ISNUMBER(AO192),ISNUMBER(AO195)),IFERROR(AO192/AO195,""),"")</f>
        <v>0.222606274060119</v>
      </c>
      <c r="AP196" s="60" t="n">
        <f aca="false">IF(AND(ISNUMBER(AP192),ISNUMBER(AP195)),IFERROR(AP192/AP195,""),"")</f>
        <v>0.261304976536069</v>
      </c>
      <c r="AQ196" s="60" t="n">
        <f aca="false">IF(AND(ISNUMBER(AQ192),ISNUMBER(AQ195)),IFERROR(AQ192/AQ195,""),"")</f>
        <v>0.281977013688172</v>
      </c>
      <c r="AR196" s="60" t="n">
        <f aca="false">IF(AND(ISNUMBER(AR192),ISNUMBER(AR195)),IFERROR(AR192/AR195,""),"")</f>
        <v>1.01871212121212</v>
      </c>
      <c r="AS196" s="60" t="n">
        <f aca="false">IF(AND(ISNUMBER(AS192),ISNUMBER(AS195)),IFERROR(AS192/AS195,""),"")</f>
        <v>0.244190504676963</v>
      </c>
      <c r="AT196" s="60" t="n">
        <f aca="false">IF(AND(ISNUMBER(AT192),ISNUMBER(AT195)),IFERROR(AT192/AT195,""),"")</f>
        <v>0.234131022420099</v>
      </c>
      <c r="AU196" s="60" t="n">
        <f aca="false">IF(AND(ISNUMBER(AU192),ISNUMBER(AU195)),IFERROR(AU192/AU195,""),"")</f>
        <v>0.226416207710464</v>
      </c>
      <c r="AV196" s="60" t="n">
        <f aca="false">IF(AND(ISNUMBER(AV192),ISNUMBER(AV195)),IFERROR(AV192/AV195,""),"")</f>
        <v>0.28515801497652</v>
      </c>
      <c r="AW196" s="60" t="n">
        <f aca="false">IF(AND(ISNUMBER(AW192),ISNUMBER(AW195)),IFERROR(AW192/AW195,""),"")</f>
        <v>0.990708005009654</v>
      </c>
      <c r="AX196" s="60" t="n">
        <f aca="false">IF(AND(ISNUMBER(AX192),ISNUMBER(AX195)),IFERROR(AX192/AX195,""),"")</f>
        <v>0.274667902771075</v>
      </c>
      <c r="AY196" s="60" t="n">
        <f aca="false">IF(AND(ISNUMBER(AY192),ISNUMBER(AY195)),IFERROR(AY192/AY195,""),"")</f>
        <v>0.261112083796416</v>
      </c>
      <c r="AZ196" s="60" t="n">
        <f aca="false">IF(AND(ISNUMBER(AZ192),ISNUMBER(AZ195)),IFERROR(AZ192/AZ195,""),"")</f>
        <v>0.250909851760738</v>
      </c>
      <c r="BA196" s="60" t="n">
        <f aca="false">IF(AND(ISNUMBER(BA192),ISNUMBER(BA195)),IFERROR(BA192/BA195,""),"")</f>
        <v>0.349064841381688</v>
      </c>
      <c r="BB196" s="60" t="n">
        <f aca="false">IF(AND(ISNUMBER(BB192),ISNUMBER(BB195)),IFERROR(BB192/BB195,""),"")</f>
        <v>1.13581540491171</v>
      </c>
      <c r="BC196" s="60" t="n">
        <f aca="false">IF(AND(ISNUMBER(BC192),ISNUMBER(BC195)),IFERROR(BC192/BC195,""),"")</f>
        <v>0.311841241496167</v>
      </c>
      <c r="BD196" s="60" t="n">
        <f aca="false">IF(AND(ISNUMBER(BD192),ISNUMBER(BD195)),IFERROR(BD192/BD195,""),"")</f>
        <v>0.284425341844159</v>
      </c>
      <c r="BE196" s="60" t="n">
        <f aca="false">IF(AND(ISNUMBER(BE192),ISNUMBER(BE195)),IFERROR(BE192/BE195,""),"")</f>
        <v>0.298004790401026</v>
      </c>
      <c r="BF196" s="60" t="n">
        <f aca="false">IF(AND(ISNUMBER(BF192),ISNUMBER(BF195)),IFERROR(BF192/BF195,""),"")</f>
        <v>0.376741486430248</v>
      </c>
      <c r="BG196" s="60" t="n">
        <f aca="false">IF(AND(ISNUMBER(BG192),ISNUMBER(BG195)),IFERROR(BG192/BG195,""),"")</f>
        <v>1.27265220539432</v>
      </c>
      <c r="BH196" s="60" t="n">
        <f aca="false">IF(AND(ISNUMBER(BH192),ISNUMBER(BH195)),IFERROR(BH192/BH195,""),"")</f>
        <v>0.28982940094594</v>
      </c>
      <c r="BI196" s="60" t="n">
        <f aca="false">IF(AND(ISNUMBER(BI192),ISNUMBER(BI195)),IFERROR(BI192/BI195,""),"")</f>
        <v>0.311477832875641</v>
      </c>
      <c r="BJ196" s="60" t="n">
        <f aca="false">IF(AND(ISNUMBER(BJ192),ISNUMBER(BJ195)),IFERROR(BJ192/BJ195,""),"")</f>
        <v>0.295092147170265</v>
      </c>
      <c r="BK196" s="60" t="n">
        <f aca="false">IF(AND(ISNUMBER(BK192),ISNUMBER(BK195)),IFERROR(BK192/BK195,""),"")</f>
        <v>0.327602993865031</v>
      </c>
      <c r="BL196" s="60" t="n">
        <f aca="false">IF(AND(ISNUMBER(BL192),ISNUMBER(BL195)),IFERROR(BL192/BL195,""),"")</f>
        <v>1.22411894814451</v>
      </c>
      <c r="BM196" s="60" t="n">
        <f aca="false">IF(AND(ISNUMBER(BM192),ISNUMBER(BM195)),IFERROR(BM192/BM195,""),"")</f>
        <v>0.102469923889025</v>
      </c>
      <c r="BN196" s="60" t="n">
        <f aca="false">IF(AND(ISNUMBER(BN192),ISNUMBER(BN195)),IFERROR(BN192/BN195,""),"")</f>
        <v>0.150216003927344</v>
      </c>
      <c r="BO196" s="60" t="n">
        <f aca="false">IF(AND(ISNUMBER(BO192),ISNUMBER(BO195)),IFERROR(BO192/BO195,""),"")</f>
        <v>0.216377450980392</v>
      </c>
      <c r="BP196" s="60" t="n">
        <f aca="false">IF(AND(ISNUMBER(BP192),ISNUMBER(BP195)),IFERROR(BP192/BP195,""),"")</f>
        <v>0.260920666013712</v>
      </c>
      <c r="BQ196" s="60" t="n">
        <f aca="false">IF(AND(ISNUMBER(BQ192),ISNUMBER(BQ195)),IFERROR(BQ192/BQ195,""),"")</f>
        <v>0.729656694458067</v>
      </c>
      <c r="BR196" s="60" t="n">
        <f aca="false">IF(AND(ISNUMBER(BR192),ISNUMBER(BR195)),IFERROR(BR192/BR195,""),"")</f>
        <v>0.151205776173285</v>
      </c>
      <c r="BS196" s="60" t="n">
        <f aca="false">IF(AND(ISNUMBER(BS192),ISNUMBER(BS195)),IFERROR(BS192/BS195,""),"")</f>
        <v>0.173532877680886</v>
      </c>
      <c r="BT196" s="60" t="n">
        <f aca="false">IF(AND(ISNUMBER(BT192),ISNUMBER(BT195)),IFERROR(BT192/BT195,""),"")</f>
        <v>0.228835341365462</v>
      </c>
      <c r="BU196" s="60" t="n">
        <f aca="false">IF(AND(ISNUMBER(BU192),ISNUMBER(BU195)),IFERROR(BU192/BU195,""),"")</f>
        <v>0.313741658722593</v>
      </c>
      <c r="BV196" s="60" t="n">
        <f aca="false">IF(AND(ISNUMBER(BV192),ISNUMBER(BV195)),IFERROR(BV192/BV195,""),"")</f>
        <v>0.865414784882339</v>
      </c>
      <c r="BW196" s="60" t="n">
        <f aca="false">IF(AND(ISNUMBER(BW192),ISNUMBER(BW195)),IFERROR(BW192/BW195,""),"")</f>
        <v>0.227004830917874</v>
      </c>
      <c r="BX196" s="60" t="n">
        <f aca="false">IF(AND(ISNUMBER(BX192),ISNUMBER(BX195)),IFERROR(BX192/BX195,""),"")</f>
        <v>0.316567754698319</v>
      </c>
      <c r="BY196" s="60" t="n">
        <f aca="false">IF(AND(ISNUMBER(BY192),ISNUMBER(BY195)),IFERROR(BY192/BY195,""),"")</f>
        <v>0.338127528830586</v>
      </c>
      <c r="BZ196" s="60" t="n">
        <f aca="false">IF(AND(ISNUMBER(BZ192),ISNUMBER(BZ195)),IFERROR(BZ192/BZ195,""),"")</f>
        <v>0.500559336109255</v>
      </c>
      <c r="CA196" s="60" t="n">
        <f aca="false">IF(AND(ISNUMBER(CA192),ISNUMBER(CA195)),IFERROR(CA192/CA195,""),"")</f>
        <v>1.35683170729899</v>
      </c>
      <c r="CB196" s="60" t="n">
        <f aca="false">IF(AND(ISNUMBER(CB192),ISNUMBER(CB195)),IFERROR(CB192/CB195,""),"")</f>
        <v>1.69269023654315</v>
      </c>
      <c r="CC196" s="60" t="n">
        <f aca="false">IF(AND(ISNUMBER(CC192),ISNUMBER(CC195)),IFERROR(CC192/CC195,""),"")</f>
        <v>2.24335219668979</v>
      </c>
      <c r="CD196" s="60" t="n">
        <f aca="false">IF(AND(ISNUMBER(CD192),ISNUMBER(CD195)),IFERROR(CD192/CD195,""),"")</f>
        <v>2.96736117790269</v>
      </c>
      <c r="CE196" s="60" t="n">
        <f aca="false">IF(AND(ISNUMBER(CE192),ISNUMBER(CE195)),IFERROR(CE192/CE195,""),"")</f>
        <v>3.88183956033237</v>
      </c>
      <c r="CF196" s="21"/>
      <c r="CH196" s="22" t="n">
        <f aca="false">IFERROR((CE196/BV196)^(1/5)-1,"n/m")</f>
        <v>0.350089794024966</v>
      </c>
      <c r="CI196" s="22" t="n">
        <f aca="false">IFERROR((BV196/AW196)^(1/5)-1,"n/m")</f>
        <v>-0.0266798202176514</v>
      </c>
      <c r="CJ196" s="22" t="n">
        <f aca="false">IFERROR((BV196/X196)^(1/10)-1,"n/m")</f>
        <v>0.155306409223252</v>
      </c>
      <c r="CK196" s="22" t="n">
        <f aca="false">IFERROR((BV196/C196)^(1/19)-1,"n/m")</f>
        <v>0.131768578270482</v>
      </c>
    </row>
    <row r="197" customFormat="false" ht="15" hidden="false" customHeight="true" outlineLevel="0" collapsed="false">
      <c r="B197" s="33" t="s">
        <v>395</v>
      </c>
      <c r="C197" s="58"/>
      <c r="D197" s="58"/>
      <c r="E197" s="58"/>
      <c r="F197" s="61" t="n">
        <v>0.141</v>
      </c>
      <c r="G197" s="61" t="n">
        <v>0.124</v>
      </c>
      <c r="H197" s="61" t="n">
        <v>0.124</v>
      </c>
      <c r="I197" s="61" t="n">
        <v>0.165</v>
      </c>
      <c r="J197" s="61" t="n">
        <v>0.047</v>
      </c>
      <c r="K197" s="61" t="n">
        <v>0.061</v>
      </c>
      <c r="L197" s="61" t="n">
        <v>0.071</v>
      </c>
      <c r="M197" s="61" t="n">
        <v>0.078</v>
      </c>
      <c r="N197" s="61" t="n">
        <v>0.257</v>
      </c>
      <c r="O197" s="61" t="n">
        <v>0.069</v>
      </c>
      <c r="P197" s="61" t="n">
        <v>0.08</v>
      </c>
      <c r="Q197" s="61" t="n">
        <v>0.087</v>
      </c>
      <c r="R197" s="61" t="n">
        <v>0.093</v>
      </c>
      <c r="S197" s="61" t="n">
        <v>0.33</v>
      </c>
      <c r="T197" s="61" t="n">
        <v>0.034</v>
      </c>
      <c r="U197" s="61" t="n">
        <v>0.008</v>
      </c>
      <c r="V197" s="61" t="n">
        <v>0.053</v>
      </c>
      <c r="W197" s="61" t="n">
        <v>0.11</v>
      </c>
      <c r="X197" s="61" t="n">
        <v>0.204</v>
      </c>
      <c r="Y197" s="61" t="n">
        <v>0.095</v>
      </c>
      <c r="Z197" s="61" t="n">
        <v>0.091</v>
      </c>
      <c r="AA197" s="61" t="n">
        <v>0.111</v>
      </c>
      <c r="AB197" s="61" t="n">
        <v>0.129</v>
      </c>
      <c r="AC197" s="61" t="n">
        <v>0.426</v>
      </c>
      <c r="AD197" s="61" t="n">
        <v>0.105</v>
      </c>
      <c r="AE197" s="61" t="n">
        <v>0.086</v>
      </c>
      <c r="AF197" s="61" t="n">
        <v>0.141</v>
      </c>
      <c r="AG197" s="61" t="n">
        <v>0.125</v>
      </c>
      <c r="AH197" s="61" t="n">
        <v>0.459</v>
      </c>
      <c r="AI197" s="61" t="n">
        <v>0.165</v>
      </c>
      <c r="AJ197" s="61" t="n">
        <v>0.166</v>
      </c>
      <c r="AK197" s="61" t="n">
        <v>0.216</v>
      </c>
      <c r="AL197" s="61" t="n">
        <v>0.281</v>
      </c>
      <c r="AM197" s="61" t="n">
        <v>0.828</v>
      </c>
      <c r="AN197" s="61" t="n">
        <v>0.253</v>
      </c>
      <c r="AO197" s="61" t="n">
        <v>0.223</v>
      </c>
      <c r="AP197" s="61" t="n">
        <v>0.261</v>
      </c>
      <c r="AQ197" s="61" t="n">
        <v>0.282</v>
      </c>
      <c r="AR197" s="61" t="n">
        <v>1.019</v>
      </c>
      <c r="AS197" s="61" t="n">
        <v>0.244</v>
      </c>
      <c r="AT197" s="61" t="n">
        <v>0.234</v>
      </c>
      <c r="AU197" s="61" t="n">
        <v>0.226</v>
      </c>
      <c r="AV197" s="61" t="n">
        <v>0.285</v>
      </c>
      <c r="AW197" s="61" t="n">
        <v>0.991</v>
      </c>
      <c r="AX197" s="61" t="n">
        <v>0.275</v>
      </c>
      <c r="AY197" s="61" t="n">
        <v>0.26</v>
      </c>
      <c r="AZ197" s="61" t="n">
        <v>0.25</v>
      </c>
      <c r="BA197" s="61" t="n">
        <v>0.35</v>
      </c>
      <c r="BB197" s="61" t="n">
        <v>1.14</v>
      </c>
      <c r="BC197" s="61" t="n">
        <v>0.31</v>
      </c>
      <c r="BD197" s="61" t="n">
        <v>0.28</v>
      </c>
      <c r="BE197" s="61" t="n">
        <v>0.3</v>
      </c>
      <c r="BF197" s="61" t="n">
        <v>0.38</v>
      </c>
      <c r="BG197" s="61" t="n">
        <v>1.27</v>
      </c>
      <c r="BH197" s="61" t="n">
        <v>0.29</v>
      </c>
      <c r="BI197" s="61" t="n">
        <v>0.31</v>
      </c>
      <c r="BJ197" s="61" t="n">
        <v>0.3</v>
      </c>
      <c r="BK197" s="61" t="n">
        <v>0.33</v>
      </c>
      <c r="BL197" s="61" t="n">
        <v>1.22</v>
      </c>
      <c r="BM197" s="61" t="n">
        <v>0.1</v>
      </c>
      <c r="BN197" s="61" t="n">
        <v>0.15</v>
      </c>
      <c r="BO197" s="61" t="n">
        <v>0.22</v>
      </c>
      <c r="BP197" s="61" t="n">
        <v>0.26</v>
      </c>
      <c r="BQ197" s="61" t="n">
        <v>0.73</v>
      </c>
      <c r="BR197" s="61" t="n">
        <v>0.15</v>
      </c>
      <c r="BS197" s="61" t="n">
        <v>0.17</v>
      </c>
      <c r="BT197" s="61" t="n">
        <v>0.23</v>
      </c>
      <c r="BU197" s="61" t="n">
        <v>0.31</v>
      </c>
      <c r="BV197" s="61" t="n">
        <v>0.87</v>
      </c>
      <c r="BW197" s="61" t="n">
        <v>0.23</v>
      </c>
      <c r="BX197" s="61" t="n">
        <v>0.32</v>
      </c>
      <c r="BY197" s="59"/>
      <c r="BZ197" s="59"/>
      <c r="CA197" s="59"/>
      <c r="CB197" s="59"/>
      <c r="CC197" s="59"/>
      <c r="CD197" s="59"/>
      <c r="CE197" s="59"/>
      <c r="CF197" s="28"/>
    </row>
    <row r="198" customFormat="false" ht="15" hidden="false" customHeight="true" outlineLevel="0" collapsed="false">
      <c r="B198" s="41" t="s">
        <v>396</v>
      </c>
      <c r="C198" s="58" t="str">
        <f aca="false">IF(ISNUMBER(C197),IF(ABS(C196-C197)&lt;=0.0101,0,ROUND(C196-C197,2)),"n/p")</f>
        <v>n/p</v>
      </c>
      <c r="D198" s="58" t="str">
        <f aca="false">IF(ISNUMBER(D197),IF(ABS(D196-D197)&lt;=0.0101,0,ROUND(D196-D197,2)),"n/p")</f>
        <v>n/p</v>
      </c>
      <c r="E198" s="58" t="str">
        <f aca="false">IF(ISNUMBER(E197),IF(ABS(E196-E197)&lt;=0.0101,0,ROUND(E196-E197,2)),"n/p")</f>
        <v>n/p</v>
      </c>
      <c r="F198" s="58" t="n">
        <f aca="false">IF(ISNUMBER(F197),IF(ABS(F196-F197)&lt;=0.0101,0,ROUND(F196-F197,2)),"n/p")</f>
        <v>0</v>
      </c>
      <c r="G198" s="58" t="n">
        <f aca="false">IF(ISNUMBER(G197),IF(ABS(G196-G197)&lt;=0.0101,0,ROUND(G196-G197,2)),"n/p")</f>
        <v>0</v>
      </c>
      <c r="H198" s="58" t="n">
        <f aca="false">IF(ISNUMBER(H197),IF(ABS(H196-H197)&lt;=0.0101,0,ROUND(H196-H197,2)),"n/p")</f>
        <v>0</v>
      </c>
      <c r="I198" s="58" t="n">
        <f aca="false">IF(ISNUMBER(I197),IF(ABS(I196-I197)&lt;=0.0101,0,ROUND(I196-I197,2)),"n/p")</f>
        <v>0</v>
      </c>
      <c r="J198" s="58" t="n">
        <f aca="false">IF(ISNUMBER(J197),IF(ABS(J196-J197)&lt;=0.0101,0,ROUND(J196-J197,2)),"n/p")</f>
        <v>0</v>
      </c>
      <c r="K198" s="58" t="n">
        <f aca="false">IF(ISNUMBER(K197),IF(ABS(K196-K197)&lt;=0.0101,0,ROUND(K196-K197,2)),"n/p")</f>
        <v>0</v>
      </c>
      <c r="L198" s="58" t="n">
        <f aca="false">IF(ISNUMBER(L197),IF(ABS(L196-L197)&lt;=0.0101,0,ROUND(L196-L197,2)),"n/p")</f>
        <v>0</v>
      </c>
      <c r="M198" s="58" t="n">
        <f aca="false">IF(ISNUMBER(M197),IF(ABS(M196-M197)&lt;=0.0101,0,ROUND(M196-M197,2)),"n/p")</f>
        <v>0</v>
      </c>
      <c r="N198" s="58" t="n">
        <f aca="false">IF(ISNUMBER(N197),IF(ABS(N196-N197)&lt;=0.0101,0,ROUND(N196-N197,2)),"n/p")</f>
        <v>0</v>
      </c>
      <c r="O198" s="58" t="n">
        <f aca="false">IF(ISNUMBER(O197),IF(ABS(O196-O197)&lt;=0.0101,0,ROUND(O196-O197,2)),"n/p")</f>
        <v>0</v>
      </c>
      <c r="P198" s="58" t="n">
        <f aca="false">IF(ISNUMBER(P197),IF(ABS(P196-P197)&lt;=0.0101,0,ROUND(P196-P197,2)),"n/p")</f>
        <v>0</v>
      </c>
      <c r="Q198" s="58" t="n">
        <f aca="false">IF(ISNUMBER(Q197),IF(ABS(Q196-Q197)&lt;=0.0101,0,ROUND(Q196-Q197,2)),"n/p")</f>
        <v>0</v>
      </c>
      <c r="R198" s="58" t="n">
        <f aca="false">IF(ISNUMBER(R197),IF(ABS(R196-R197)&lt;=0.0101,0,ROUND(R196-R197,2)),"n/p")</f>
        <v>0</v>
      </c>
      <c r="S198" s="58" t="n">
        <f aca="false">IF(ISNUMBER(S197),IF(ABS(S196-S197)&lt;=0.0101,0,ROUND(S196-S197,2)),"n/p")</f>
        <v>0</v>
      </c>
      <c r="T198" s="58" t="n">
        <f aca="false">IF(ISNUMBER(T197),IF(ABS(T196-T197)&lt;=0.0101,0,ROUND(T196-T197,2)),"n/p")</f>
        <v>0</v>
      </c>
      <c r="U198" s="58" t="n">
        <f aca="false">IF(ISNUMBER(U197),IF(ABS(U196-U197)&lt;=0.0101,0,ROUND(U196-U197,2)),"n/p")</f>
        <v>0</v>
      </c>
      <c r="V198" s="58" t="n">
        <f aca="false">IF(ISNUMBER(V197),IF(ABS(V196-V197)&lt;=0.0101,0,ROUND(V196-V197,2)),"n/p")</f>
        <v>0</v>
      </c>
      <c r="W198" s="58" t="n">
        <f aca="false">IF(ISNUMBER(W197),IF(ABS(W196-W197)&lt;=0.0101,0,ROUND(W196-W197,2)),"n/p")</f>
        <v>0</v>
      </c>
      <c r="X198" s="58" t="n">
        <f aca="false">IF(ISNUMBER(X197),IF(ABS(X196-X197)&lt;=0.0101,0,ROUND(X196-X197,2)),"n/p")</f>
        <v>0</v>
      </c>
      <c r="Y198" s="58" t="n">
        <f aca="false">IF(ISNUMBER(Y197),IF(ABS(Y196-Y197)&lt;=0.0101,0,ROUND(Y196-Y197,2)),"n/p")</f>
        <v>0</v>
      </c>
      <c r="Z198" s="58" t="n">
        <f aca="false">IF(ISNUMBER(Z197),IF(ABS(Z196-Z197)&lt;=0.0101,0,ROUND(Z196-Z197,2)),"n/p")</f>
        <v>0</v>
      </c>
      <c r="AA198" s="58" t="n">
        <f aca="false">IF(ISNUMBER(AA197),IF(ABS(AA196-AA197)&lt;=0.0101,0,ROUND(AA196-AA197,2)),"n/p")</f>
        <v>0</v>
      </c>
      <c r="AB198" s="58" t="n">
        <f aca="false">IF(ISNUMBER(AB197),IF(ABS(AB196-AB197)&lt;=0.0101,0,ROUND(AB196-AB197,2)),"n/p")</f>
        <v>0</v>
      </c>
      <c r="AC198" s="58" t="n">
        <f aca="false">IF(ISNUMBER(AC197),IF(ABS(AC196-AC197)&lt;=0.0101,0,ROUND(AC196-AC197,2)),"n/p")</f>
        <v>0</v>
      </c>
      <c r="AD198" s="58" t="n">
        <f aca="false">IF(ISNUMBER(AD197),IF(ABS(AD196-AD197)&lt;=0.0101,0,ROUND(AD196-AD197,2)),"n/p")</f>
        <v>0</v>
      </c>
      <c r="AE198" s="58" t="n">
        <f aca="false">IF(ISNUMBER(AE197),IF(ABS(AE196-AE197)&lt;=0.0101,0,ROUND(AE196-AE197,2)),"n/p")</f>
        <v>0</v>
      </c>
      <c r="AF198" s="58" t="n">
        <f aca="false">IF(ISNUMBER(AF197),IF(ABS(AF196-AF197)&lt;=0.0101,0,ROUND(AF196-AF197,2)),"n/p")</f>
        <v>0</v>
      </c>
      <c r="AG198" s="58" t="n">
        <f aca="false">IF(ISNUMBER(AG197),IF(ABS(AG196-AG197)&lt;=0.0101,0,ROUND(AG196-AG197,2)),"n/p")</f>
        <v>0</v>
      </c>
      <c r="AH198" s="58" t="n">
        <f aca="false">IF(ISNUMBER(AH197),IF(ABS(AH196-AH197)&lt;=0.0101,0,ROUND(AH196-AH197,2)),"n/p")</f>
        <v>0</v>
      </c>
      <c r="AI198" s="58" t="n">
        <f aca="false">IF(ISNUMBER(AI197),IF(ABS(AI196-AI197)&lt;=0.0101,0,ROUND(AI196-AI197,2)),"n/p")</f>
        <v>0</v>
      </c>
      <c r="AJ198" s="58" t="n">
        <f aca="false">IF(ISNUMBER(AJ197),IF(ABS(AJ196-AJ197)&lt;=0.0101,0,ROUND(AJ196-AJ197,2)),"n/p")</f>
        <v>0</v>
      </c>
      <c r="AK198" s="58" t="n">
        <f aca="false">IF(ISNUMBER(AK197),IF(ABS(AK196-AK197)&lt;=0.0101,0,ROUND(AK196-AK197,2)),"n/p")</f>
        <v>0</v>
      </c>
      <c r="AL198" s="58" t="n">
        <f aca="false">IF(ISNUMBER(AL197),IF(ABS(AL196-AL197)&lt;=0.0101,0,ROUND(AL196-AL197,2)),"n/p")</f>
        <v>0</v>
      </c>
      <c r="AM198" s="58" t="n">
        <f aca="false">IF(ISNUMBER(AM197),IF(ABS(AM196-AM197)&lt;=0.0101,0,ROUND(AM196-AM197,2)),"n/p")</f>
        <v>0</v>
      </c>
      <c r="AN198" s="58" t="n">
        <f aca="false">IF(ISNUMBER(AN197),IF(ABS(AN196-AN197)&lt;=0.0101,0,ROUND(AN196-AN197,2)),"n/p")</f>
        <v>0</v>
      </c>
      <c r="AO198" s="58" t="n">
        <f aca="false">IF(ISNUMBER(AO197),IF(ABS(AO196-AO197)&lt;=0.0101,0,ROUND(AO196-AO197,2)),"n/p")</f>
        <v>0</v>
      </c>
      <c r="AP198" s="58" t="n">
        <f aca="false">IF(ISNUMBER(AP197),IF(ABS(AP196-AP197)&lt;=0.0101,0,ROUND(AP196-AP197,2)),"n/p")</f>
        <v>0</v>
      </c>
      <c r="AQ198" s="58" t="n">
        <f aca="false">IF(ISNUMBER(AQ197),IF(ABS(AQ196-AQ197)&lt;=0.0101,0,ROUND(AQ196-AQ197,2)),"n/p")</f>
        <v>0</v>
      </c>
      <c r="AR198" s="58" t="n">
        <f aca="false">IF(ISNUMBER(AR197),IF(ABS(AR196-AR197)&lt;=0.0101,0,ROUND(AR196-AR197,2)),"n/p")</f>
        <v>0</v>
      </c>
      <c r="AS198" s="58" t="n">
        <f aca="false">IF(ISNUMBER(AS197),IF(ABS(AS196-AS197)&lt;=0.0101,0,ROUND(AS196-AS197,2)),"n/p")</f>
        <v>0</v>
      </c>
      <c r="AT198" s="58" t="n">
        <f aca="false">IF(ISNUMBER(AT197),IF(ABS(AT196-AT197)&lt;=0.0101,0,ROUND(AT196-AT197,2)),"n/p")</f>
        <v>0</v>
      </c>
      <c r="AU198" s="58" t="n">
        <f aca="false">IF(ISNUMBER(AU197),IF(ABS(AU196-AU197)&lt;=0.0101,0,ROUND(AU196-AU197,2)),"n/p")</f>
        <v>0</v>
      </c>
      <c r="AV198" s="58" t="n">
        <f aca="false">IF(ISNUMBER(AV197),IF(ABS(AV196-AV197)&lt;=0.0101,0,ROUND(AV196-AV197,2)),"n/p")</f>
        <v>0</v>
      </c>
      <c r="AW198" s="58" t="n">
        <f aca="false">IF(ISNUMBER(AW197),IF(ABS(AW196-AW197)&lt;=0.0101,0,ROUND(AW196-AW197,2)),"n/p")</f>
        <v>0</v>
      </c>
      <c r="AX198" s="58" t="n">
        <f aca="false">IF(ISNUMBER(AX197),IF(ABS(AX196-AX197)&lt;=0.0101,0,ROUND(AX196-AX197,2)),"n/p")</f>
        <v>0</v>
      </c>
      <c r="AY198" s="58" t="n">
        <f aca="false">IF(ISNUMBER(AY197),IF(ABS(AY196-AY197)&lt;=0.0101,0,ROUND(AY196-AY197,2)),"n/p")</f>
        <v>0</v>
      </c>
      <c r="AZ198" s="58" t="n">
        <f aca="false">IF(ISNUMBER(AZ197),IF(ABS(AZ196-AZ197)&lt;=0.0101,0,ROUND(AZ196-AZ197,2)),"n/p")</f>
        <v>0</v>
      </c>
      <c r="BA198" s="58" t="n">
        <f aca="false">IF(ISNUMBER(BA197),IF(ABS(BA196-BA197)&lt;=0.0101,0,ROUND(BA196-BA197,2)),"n/p")</f>
        <v>0</v>
      </c>
      <c r="BB198" s="58" t="n">
        <f aca="false">IF(ISNUMBER(BB197),IF(ABS(BB196-BB197)&lt;=0.0101,0,ROUND(BB196-BB197,2)),"n/p")</f>
        <v>0</v>
      </c>
      <c r="BC198" s="58" t="n">
        <f aca="false">IF(ISNUMBER(BC197),IF(ABS(BC196-BC197)&lt;=0.0101,0,ROUND(BC196-BC197,2)),"n/p")</f>
        <v>0</v>
      </c>
      <c r="BD198" s="58" t="n">
        <f aca="false">IF(ISNUMBER(BD197),IF(ABS(BD196-BD197)&lt;=0.0101,0,ROUND(BD196-BD197,2)),"n/p")</f>
        <v>0</v>
      </c>
      <c r="BE198" s="58" t="n">
        <f aca="false">IF(ISNUMBER(BE197),IF(ABS(BE196-BE197)&lt;=0.0101,0,ROUND(BE196-BE197,2)),"n/p")</f>
        <v>0</v>
      </c>
      <c r="BF198" s="58" t="n">
        <f aca="false">IF(ISNUMBER(BF197),IF(ABS(BF196-BF197)&lt;=0.0101,0,ROUND(BF196-BF197,2)),"n/p")</f>
        <v>0</v>
      </c>
      <c r="BG198" s="58" t="n">
        <f aca="false">IF(ISNUMBER(BG197),IF(ABS(BG196-BG197)&lt;=0.0101,0,ROUND(BG196-BG197,2)),"n/p")</f>
        <v>0</v>
      </c>
      <c r="BH198" s="58" t="n">
        <f aca="false">IF(ISNUMBER(BH197),IF(ABS(BH196-BH197)&lt;=0.0101,0,ROUND(BH196-BH197,2)),"n/p")</f>
        <v>0</v>
      </c>
      <c r="BI198" s="58" t="n">
        <f aca="false">IF(ISNUMBER(BI197),IF(ABS(BI196-BI197)&lt;=0.0101,0,ROUND(BI196-BI197,2)),"n/p")</f>
        <v>0</v>
      </c>
      <c r="BJ198" s="58" t="n">
        <f aca="false">IF(ISNUMBER(BJ197),IF(ABS(BJ196-BJ197)&lt;=0.0101,0,ROUND(BJ196-BJ197,2)),"n/p")</f>
        <v>0</v>
      </c>
      <c r="BK198" s="58" t="n">
        <f aca="false">IF(ISNUMBER(BK197),IF(ABS(BK196-BK197)&lt;=0.0101,0,ROUND(BK196-BK197,2)),"n/p")</f>
        <v>0</v>
      </c>
      <c r="BL198" s="58" t="n">
        <f aca="false">IF(ISNUMBER(BL197),IF(ABS(BL196-BL197)&lt;=0.0101,0,ROUND(BL196-BL197,2)),"n/p")</f>
        <v>0</v>
      </c>
      <c r="BM198" s="58" t="n">
        <f aca="false">IF(ISNUMBER(BM197),IF(ABS(BM196-BM197)&lt;=0.0101,0,ROUND(BM196-BM197,2)),"n/p")</f>
        <v>0</v>
      </c>
      <c r="BN198" s="58" t="n">
        <f aca="false">IF(ISNUMBER(BN197),IF(ABS(BN196-BN197)&lt;=0.0101,0,ROUND(BN196-BN197,2)),"n/p")</f>
        <v>0</v>
      </c>
      <c r="BO198" s="58" t="n">
        <f aca="false">IF(ISNUMBER(BO197),IF(ABS(BO196-BO197)&lt;=0.0101,0,ROUND(BO196-BO197,2)),"n/p")</f>
        <v>0</v>
      </c>
      <c r="BP198" s="58" t="n">
        <f aca="false">IF(ISNUMBER(BP197),IF(ABS(BP196-BP197)&lt;=0.0101,0,ROUND(BP196-BP197,2)),"n/p")</f>
        <v>0</v>
      </c>
      <c r="BQ198" s="58" t="n">
        <f aca="false">IF(ISNUMBER(BQ197),IF(ABS(BQ196-BQ197)&lt;=0.0101,0,ROUND(BQ196-BQ197,2)),"n/p")</f>
        <v>0</v>
      </c>
      <c r="BR198" s="58" t="n">
        <f aca="false">IF(ISNUMBER(BR197),IF(ABS(BR196-BR197)&lt;=0.0101,0,ROUND(BR196-BR197,2)),"n/p")</f>
        <v>0</v>
      </c>
      <c r="BS198" s="58" t="n">
        <f aca="false">IF(ISNUMBER(BS197),IF(ABS(BS196-BS197)&lt;=0.0101,0,ROUND(BS196-BS197,2)),"n/p")</f>
        <v>0</v>
      </c>
      <c r="BT198" s="58" t="n">
        <f aca="false">IF(ISNUMBER(BT197),IF(ABS(BT196-BT197)&lt;=0.0101,0,ROUND(BT196-BT197,2)),"n/p")</f>
        <v>0</v>
      </c>
      <c r="BU198" s="58" t="n">
        <f aca="false">IF(ISNUMBER(BU197),IF(ABS(BU196-BU197)&lt;=0.0101,0,ROUND(BU196-BU197,2)),"n/p")</f>
        <v>0</v>
      </c>
      <c r="BV198" s="58" t="n">
        <f aca="false">IF(ISNUMBER(BV197),IF(ABS(BV196-BV197)&lt;=0.0101,0,ROUND(BV196-BV197,2)),"n/p")</f>
        <v>0</v>
      </c>
      <c r="BW198" s="58" t="n">
        <f aca="false">IF(ISNUMBER(BW197),IF(ABS(BW196-BW197)&lt;=0.0101,0,ROUND(BW196-BW197,2)),"n/p")</f>
        <v>0</v>
      </c>
      <c r="BX198" s="58" t="n">
        <f aca="false">IF(ISNUMBER(BX197),IF(ABS(BX196-BX197)&lt;=0.0101,0,ROUND(BX196-BX197,2)),"n/p")</f>
        <v>0</v>
      </c>
      <c r="BY198" s="59"/>
      <c r="BZ198" s="59"/>
      <c r="CA198" s="59"/>
      <c r="CB198" s="59"/>
      <c r="CC198" s="59"/>
      <c r="CD198" s="59"/>
      <c r="CE198" s="59"/>
      <c r="CF198" s="28"/>
    </row>
    <row r="199" customFormat="false" ht="15" hidden="false" customHeight="true" outlineLevel="0" collapsed="false">
      <c r="B199" s="62" t="s">
        <v>397</v>
      </c>
      <c r="C199" s="5" t="s">
        <v>398</v>
      </c>
      <c r="D199" s="5"/>
      <c r="E199" s="5"/>
      <c r="F199" s="5" t="s">
        <v>399</v>
      </c>
      <c r="G199" s="5"/>
      <c r="H199" s="5"/>
      <c r="I199" s="5" t="s">
        <v>400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 t="s">
        <v>401</v>
      </c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 t="s">
        <v>402</v>
      </c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 t="s">
        <v>403</v>
      </c>
      <c r="BQ199" s="5"/>
      <c r="BR199" s="5"/>
      <c r="BS199" s="5" t="s">
        <v>404</v>
      </c>
      <c r="BT199" s="5"/>
      <c r="BU199" s="5" t="s">
        <v>405</v>
      </c>
      <c r="BV199" s="5"/>
      <c r="BW199" s="5"/>
      <c r="BX199" s="5"/>
      <c r="BY199" s="63"/>
      <c r="BZ199" s="63"/>
      <c r="CA199" s="63"/>
      <c r="CB199" s="63"/>
      <c r="CC199" s="63"/>
      <c r="CD199" s="63"/>
      <c r="CE199" s="63"/>
      <c r="CF199" s="28"/>
    </row>
    <row r="200" customFormat="false" ht="15" hidden="false" customHeight="true" outlineLevel="0" collapsed="false">
      <c r="B200" s="33" t="s">
        <v>406</v>
      </c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9"/>
      <c r="BZ200" s="59"/>
      <c r="CA200" s="59" t="n">
        <f aca="false">CHOOSE(MATCH($CF$2,{"Bull","Base","Bear"},0),$CO$15,$CP$15,$CQ$15)</f>
        <v>1.355</v>
      </c>
      <c r="CB200" s="59"/>
      <c r="CC200" s="59"/>
      <c r="CD200" s="59"/>
      <c r="CE200" s="59"/>
      <c r="CF200" s="28"/>
    </row>
    <row r="202" customFormat="false" ht="15" hidden="false" customHeight="true" outlineLevel="0" collapsed="false">
      <c r="B202" s="11" t="s">
        <v>407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 t="s">
        <v>408</v>
      </c>
    </row>
    <row r="203" customFormat="false" ht="15" hidden="false" customHeight="true" outlineLevel="0" collapsed="false">
      <c r="B203" s="24" t="s">
        <v>409</v>
      </c>
      <c r="C203" s="25"/>
      <c r="D203" s="26" t="n">
        <f aca="false">IF(AND(ISNUMBER(D121),ISNUMBER(C121)),IFERROR(D121/C121-1,""),"")</f>
        <v>0.213457193386578</v>
      </c>
      <c r="E203" s="26" t="n">
        <f aca="false">IF(AND(ISNUMBER(E121),ISNUMBER(D121)),IFERROR(E121/D121-1,""),"")</f>
        <v>0.101776406213532</v>
      </c>
      <c r="F203" s="26" t="n">
        <f aca="false">IF(AND(ISNUMBER(F121),ISNUMBER(E121)),IFERROR(F121/E121-1,""),"")</f>
        <v>-0.0130350048016269</v>
      </c>
      <c r="G203" s="26" t="n">
        <f aca="false">IF(AND(ISNUMBER(G121),ISNUMBER(F121)),IFERROR(G121/F121-1,""),"")</f>
        <v>0.0791809557424199</v>
      </c>
      <c r="H203" s="26" t="n">
        <f aca="false">IF(AND(ISNUMBER(H121),ISNUMBER(G121)),IFERROR(H121/G121-1,""),"")</f>
        <v>0.112604967736233</v>
      </c>
      <c r="I203" s="26" t="n">
        <f aca="false">IF(AND(ISNUMBER(I121),ISNUMBER(H121)),IFERROR(I121/H121-1,""),"")</f>
        <v>0.390080162708848</v>
      </c>
      <c r="J203" s="25"/>
      <c r="K203" s="25"/>
      <c r="L203" s="25"/>
      <c r="M203" s="25"/>
      <c r="N203" s="26" t="n">
        <f aca="false">IF(AND(ISNUMBER(N121),ISNUMBER(I121)),IFERROR(N121/I121-1,""),"")</f>
        <v>0.260067555210096</v>
      </c>
      <c r="O203" s="26" t="n">
        <f aca="false">IF(AND(ISNUMBER(O121),ISNUMBER(J121)),IFERROR(O121/J121-1,""),"")</f>
        <v>0.144598348600925</v>
      </c>
      <c r="P203" s="26" t="n">
        <f aca="false">IF(AND(ISNUMBER(P121),ISNUMBER(K121)),IFERROR(P121/K121-1,""),"")</f>
        <v>0.355131698455949</v>
      </c>
      <c r="Q203" s="26" t="n">
        <f aca="false">IF(AND(ISNUMBER(Q121),ISNUMBER(L121)),IFERROR(Q121/L121-1,""),"")</f>
        <v>0.362908611677545</v>
      </c>
      <c r="R203" s="26" t="n">
        <f aca="false">IF(AND(ISNUMBER(R121),ISNUMBER(M121)),IFERROR(R121/M121-1,""),"")</f>
        <v>0.350194619842574</v>
      </c>
      <c r="S203" s="26" t="n">
        <f aca="false">IF(AND(ISNUMBER(S121),ISNUMBER(N121)),IFERROR(S121/N121-1,""),"")</f>
        <v>0.30614614587373</v>
      </c>
      <c r="T203" s="26" t="n">
        <f aca="false">IF(AND(ISNUMBER(T121),ISNUMBER(O121)),IFERROR(T121/O121-1,""),"")</f>
        <v>0.335449628808492</v>
      </c>
      <c r="U203" s="26" t="n">
        <f aca="false">IF(AND(ISNUMBER(U121),ISNUMBER(P121)),IFERROR(U121/P121-1,""),"")</f>
        <v>0.155367346386113</v>
      </c>
      <c r="V203" s="26" t="n">
        <f aca="false">IF(AND(ISNUMBER(V121),ISNUMBER(Q121)),IFERROR(V121/Q121-1,""),"")</f>
        <v>0.235351766673636</v>
      </c>
      <c r="W203" s="26" t="n">
        <f aca="false">IF(AND(ISNUMBER(W121),ISNUMBER(R121)),IFERROR(W121/R121-1,""),"")</f>
        <v>0.23647627101271</v>
      </c>
      <c r="X203" s="26" t="n">
        <f aca="false">IF(AND(ISNUMBER(X121),ISNUMBER(S121)),IFERROR(X121/S121-1,""),"")</f>
        <v>0.235838704300478</v>
      </c>
      <c r="Y203" s="26" t="n">
        <f aca="false">IF(AND(ISNUMBER(Y121),ISNUMBER(T121)),IFERROR(Y121/T121-1,""),"")</f>
        <v>0.256062130549616</v>
      </c>
      <c r="Z203" s="26" t="n">
        <f aca="false">IF(AND(ISNUMBER(Z121),ISNUMBER(U121)),IFERROR(Z121/U121-1,""),"")</f>
        <v>0.212191706170857</v>
      </c>
      <c r="AA203" s="26" t="n">
        <f aca="false">IF(AND(ISNUMBER(AA121),ISNUMBER(V121)),IFERROR(AA121/V121-1,""),"")</f>
        <v>0.124990744560446</v>
      </c>
      <c r="AB203" s="26" t="n">
        <f aca="false">IF(AND(ISNUMBER(AB121),ISNUMBER(W121)),IFERROR(AB121/W121-1,""),"")</f>
        <v>0.131092332481905</v>
      </c>
      <c r="AC203" s="26" t="n">
        <f aca="false">IF(AND(ISNUMBER(AC121),ISNUMBER(X121)),IFERROR(AC121/X121-1,""),"")</f>
        <v>0.176836704300864</v>
      </c>
      <c r="AD203" s="26" t="n">
        <f aca="false">IF(AND(ISNUMBER(AD121),ISNUMBER(Y121)),IFERROR(AD121/Y121-1,""),"")</f>
        <v>0.134245189972915</v>
      </c>
      <c r="AE203" s="26" t="n">
        <f aca="false">IF(AND(ISNUMBER(AE121),ISNUMBER(Z121)),IFERROR(AE121/Z121-1,""),"")</f>
        <v>0.146392161222803</v>
      </c>
      <c r="AF203" s="26" t="n">
        <f aca="false">IF(AND(ISNUMBER(AF121),ISNUMBER(AA121)),IFERROR(AF121/AA121-1,""),"")</f>
        <v>0.163705685178482</v>
      </c>
      <c r="AG203" s="26" t="n">
        <f aca="false">IF(AND(ISNUMBER(AG121),ISNUMBER(AB121)),IFERROR(AG121/AB121-1,""),"")</f>
        <v>0.163436565266982</v>
      </c>
      <c r="AH203" s="26" t="n">
        <f aca="false">IF(AND(ISNUMBER(AH121),ISNUMBER(AC121)),IFERROR(AH121/AC121-1,""),"")</f>
        <v>0.152334562993207</v>
      </c>
      <c r="AI203" s="26" t="n">
        <f aca="false">IF(AND(ISNUMBER(AI121),ISNUMBER(AD121)),IFERROR(AI121/AD121-1,""),"")</f>
        <v>0.208185281148341</v>
      </c>
      <c r="AJ203" s="26" t="n">
        <f aca="false">IF(AND(ISNUMBER(AJ121),ISNUMBER(AE121)),IFERROR(AJ121/AE121-1,""),"")</f>
        <v>0.252431974295075</v>
      </c>
      <c r="AK203" s="26" t="n">
        <f aca="false">IF(AND(ISNUMBER(AK121),ISNUMBER(AF121)),IFERROR(AK121/AF121-1,""),"")</f>
        <v>0.234279873794605</v>
      </c>
      <c r="AL203" s="26" t="n">
        <f aca="false">IF(AND(ISNUMBER(AL121),ISNUMBER(AG121)),IFERROR(AL121/AG121-1,""),"")</f>
        <v>0.242449535613467</v>
      </c>
      <c r="AM203" s="26" t="n">
        <f aca="false">IF(AND(ISNUMBER(AM121),ISNUMBER(AH121)),IFERROR(AM121/AH121-1,""),"")</f>
        <v>0.234764771090828</v>
      </c>
      <c r="AN203" s="26" t="n">
        <f aca="false">IF(AND(ISNUMBER(AN121),ISNUMBER(AI121)),IFERROR(AN121/AI121-1,""),"")</f>
        <v>0.199866285739338</v>
      </c>
      <c r="AO203" s="26" t="n">
        <f aca="false">IF(AND(ISNUMBER(AO121),ISNUMBER(AJ121)),IFERROR(AO121/AJ121-1,""),"")</f>
        <v>0.157370933748123</v>
      </c>
      <c r="AP203" s="26" t="n">
        <f aca="false">IF(AND(ISNUMBER(AP121),ISNUMBER(AK121)),IFERROR(AP121/AK121-1,""),"")</f>
        <v>0.154759839620326</v>
      </c>
      <c r="AQ203" s="26" t="n">
        <f aca="false">IF(AND(ISNUMBER(AQ121),ISNUMBER(AL121)),IFERROR(AQ121/AL121-1,""),"")</f>
        <v>0.187453853490973</v>
      </c>
      <c r="AR203" s="26" t="n">
        <f aca="false">IF(AND(ISNUMBER(AR121),ISNUMBER(AM121)),IFERROR(AR121/AM121-1,""),"")</f>
        <v>0.17442642922828</v>
      </c>
      <c r="AS203" s="26" t="n">
        <f aca="false">IF(AND(ISNUMBER(AS121),ISNUMBER(AN121)),IFERROR(AS121/AN121-1,""),"")</f>
        <v>0.193109537946259</v>
      </c>
      <c r="AT203" s="26" t="n">
        <f aca="false">IF(AND(ISNUMBER(AT121),ISNUMBER(AO121)),IFERROR(AT121/AO121-1,""),"")</f>
        <v>0.155338026530137</v>
      </c>
      <c r="AU203" s="26" t="n">
        <f aca="false">IF(AND(ISNUMBER(AU121),ISNUMBER(AP121)),IFERROR(AU121/AP121-1,""),"")</f>
        <v>0.206378540169157</v>
      </c>
      <c r="AV203" s="26" t="n">
        <f aca="false">IF(AND(ISNUMBER(AV121),ISNUMBER(AQ121)),IFERROR(AV121/AQ121-1,""),"")</f>
        <v>0.185914508200659</v>
      </c>
      <c r="AW203" s="26" t="n">
        <f aca="false">IF(AND(ISNUMBER(AW121),ISNUMBER(AR121)),IFERROR(AW121/AR121-1,""),"")</f>
        <v>0.185251468330429</v>
      </c>
      <c r="AX203" s="26" t="n">
        <f aca="false">IF(AND(ISNUMBER(AX121),ISNUMBER(AS121)),IFERROR(AX121/AS121-1,""),"")</f>
        <v>0.16805028493264</v>
      </c>
      <c r="AY203" s="26" t="n">
        <f aca="false">IF(AND(ISNUMBER(AY121),ISNUMBER(AT121)),IFERROR(AY121/AT121-1,""),"")</f>
        <v>0.209422422757636</v>
      </c>
      <c r="AZ203" s="26" t="n">
        <f aca="false">IF(AND(ISNUMBER(AZ121),ISNUMBER(AU121)),IFERROR(AZ121/AU121-1,""),"")</f>
        <v>0.173156806541046</v>
      </c>
      <c r="BA203" s="26" t="n">
        <f aca="false">IF(AND(ISNUMBER(BA121),ISNUMBER(AV121)),IFERROR(BA121/AV121-1,""),"")</f>
        <v>0.140400501358032</v>
      </c>
      <c r="BB203" s="26" t="n">
        <f aca="false">IF(AND(ISNUMBER(BB121),ISNUMBER(AW121)),IFERROR(BB121/AW121-1,""),"")</f>
        <v>0.171858188483676</v>
      </c>
      <c r="BC203" s="26" t="n">
        <f aca="false">IF(AND(ISNUMBER(BC121),ISNUMBER(AX121)),IFERROR(BC121/AX121-1,""),"")</f>
        <v>0.127001050913596</v>
      </c>
      <c r="BD203" s="26" t="n">
        <f aca="false">IF(AND(ISNUMBER(BD121),ISNUMBER(AY121)),IFERROR(BD121/AY121-1,""),"")</f>
        <v>0.116533738052559</v>
      </c>
      <c r="BE203" s="26" t="n">
        <f aca="false">IF(AND(ISNUMBER(BE121),ISNUMBER(AZ121)),IFERROR(BE121/AZ121-1,""),"")</f>
        <v>0.115361121847957</v>
      </c>
      <c r="BF203" s="26" t="n">
        <f aca="false">IF(AND(ISNUMBER(BF121),ISNUMBER(BA121)),IFERROR(BF121/BA121-1,""),"")</f>
        <v>0.131335514398583</v>
      </c>
      <c r="BG203" s="26" t="n">
        <f aca="false">IF(AND(ISNUMBER(BG121),ISNUMBER(BB121)),IFERROR(BG121/BB121-1,""),"")</f>
        <v>0.122555275225229</v>
      </c>
      <c r="BH203" s="26" t="n">
        <f aca="false">IF(AND(ISNUMBER(BH121),ISNUMBER(BC121)),IFERROR(BH121/BC121-1,""),"")</f>
        <v>0.132876460039742</v>
      </c>
      <c r="BI203" s="26" t="n">
        <f aca="false">IF(AND(ISNUMBER(BI121),ISNUMBER(BD121)),IFERROR(BI121/BD121-1,""),"")</f>
        <v>0.129772444192516</v>
      </c>
      <c r="BJ203" s="26" t="n">
        <f aca="false">IF(AND(ISNUMBER(BJ121),ISNUMBER(BE121)),IFERROR(BJ121/BE121-1,""),"")</f>
        <v>0.121647414983453</v>
      </c>
      <c r="BK203" s="26" t="n">
        <f aca="false">IF(AND(ISNUMBER(BK121),ISNUMBER(BF121)),IFERROR(BK121/BF121-1,""),"")</f>
        <v>0.116359260131334</v>
      </c>
      <c r="BL203" s="26" t="n">
        <f aca="false">IF(AND(ISNUMBER(BL121),ISNUMBER(BG121)),IFERROR(BL121/BG121-1,""),"")</f>
        <v>0.124908873217042</v>
      </c>
      <c r="BM203" s="26" t="n">
        <f aca="false">IF(AND(ISNUMBER(BM121),ISNUMBER(BH121)),IFERROR(BM121/BH121-1,""),"")</f>
        <v>0.123268636436754</v>
      </c>
      <c r="BN203" s="26" t="n">
        <f aca="false">IF(AND(ISNUMBER(BN121),ISNUMBER(BI121)),IFERROR(BN121/BI121-1,""),"")</f>
        <v>0.118655368984628</v>
      </c>
      <c r="BO203" s="26" t="n">
        <f aca="false">IF(AND(ISNUMBER(BO121),ISNUMBER(BJ121)),IFERROR(BO121/BJ121-1,""),"")</f>
        <v>0.108747192513155</v>
      </c>
      <c r="BP203" s="26" t="n">
        <f aca="false">IF(AND(ISNUMBER(BP121),ISNUMBER(BK121)),IFERROR(BP121/BK121-1,""),"")</f>
        <v>0.108335325337195</v>
      </c>
      <c r="BQ203" s="26" t="n">
        <f aca="false">IF(AND(ISNUMBER(BQ121),ISNUMBER(BL121)),IFERROR(BQ121/BL121-1,""),"")</f>
        <v>0.114541751527495</v>
      </c>
      <c r="BR203" s="26" t="n">
        <f aca="false">IF(AND(ISNUMBER(BR121),ISNUMBER(BM121)),IFERROR(BR121/BM121-1,""),"")</f>
        <v>0.115478366849482</v>
      </c>
      <c r="BS203" s="26" t="n">
        <f aca="false">IF(AND(ISNUMBER(BS121),ISNUMBER(BN121)),IFERROR(BS121/BN121-1,""),"")</f>
        <v>0.152699911478312</v>
      </c>
      <c r="BT203" s="26" t="n">
        <f aca="false">IF(AND(ISNUMBER(BT121),ISNUMBER(BO121)),IFERROR(BT121/BO121-1,""),"")</f>
        <v>0.203580710366734</v>
      </c>
      <c r="BU203" s="26" t="n">
        <f aca="false">IF(AND(ISNUMBER(BU121),ISNUMBER(BP121)),IFERROR(BU121/BP121-1,""),"")</f>
        <v>0.26853679165492</v>
      </c>
      <c r="BV203" s="26" t="n">
        <f aca="false">IF(AND(ISNUMBER(BV121),ISNUMBER(BQ121)),IFERROR(BV121/BQ121-1,""),"")</f>
        <v>0.186682260068709</v>
      </c>
      <c r="BW203" s="26" t="n">
        <f aca="false">IF(AND(ISNUMBER(BW121),ISNUMBER(BR121)),IFERROR(BW121/BR121-1,""),"")</f>
        <v>0.2250751160885</v>
      </c>
      <c r="BX203" s="26" t="n">
        <f aca="false">IF(AND(ISNUMBER(BX121),ISNUMBER(BS121)),IFERROR(BX121/BS121-1,""),"")</f>
        <v>0.183924228849354</v>
      </c>
      <c r="BY203" s="27" t="n">
        <f aca="false">IF(AND(ISNUMBER(BY121),ISNUMBER(BT121)),IFERROR(BY121/BT121-1,""),"")</f>
        <v>0.159430135779232</v>
      </c>
      <c r="BZ203" s="27" t="n">
        <f aca="false">IF(AND(ISNUMBER(BZ121),ISNUMBER(BU121)),IFERROR(BZ121/BU121-1,""),"")</f>
        <v>0.12612497025474</v>
      </c>
      <c r="CA203" s="27" t="n">
        <f aca="false">IF(AND(ISNUMBER(CA121),ISNUMBER(BV121)),IFERROR(CA121/BV121-1,""),"")</f>
        <v>0.170896465019343</v>
      </c>
      <c r="CB203" s="27" t="n">
        <f aca="false">IF(AND(ISNUMBER(CB121),ISNUMBER(CA121)),IFERROR(CB121/CA121-1,""),"")</f>
        <v>0.137562526245657</v>
      </c>
      <c r="CC203" s="27" t="n">
        <f aca="false">IF(AND(ISNUMBER(CC121),ISNUMBER(CB121)),IFERROR(CC121/CB121-1,""),"")</f>
        <v>0.0984945851979384</v>
      </c>
      <c r="CD203" s="27" t="n">
        <f aca="false">IF(AND(ISNUMBER(CD121),ISNUMBER(CC121)),IFERROR(CD121/CC121-1,""),"")</f>
        <v>0.0913906733741658</v>
      </c>
      <c r="CE203" s="27" t="n">
        <f aca="false">IF(AND(ISNUMBER(CE121),ISNUMBER(CD121)),IFERROR(CE121/CD121-1,""),"")</f>
        <v>0.0841704628110715</v>
      </c>
      <c r="CF203" s="28"/>
    </row>
    <row r="204" customFormat="false" ht="15" hidden="false" customHeight="true" outlineLevel="0" collapsed="false">
      <c r="B204" s="24" t="s">
        <v>410</v>
      </c>
      <c r="C204" s="25"/>
      <c r="D204" s="26" t="str">
        <f aca="false">IF(AND(ISNUMBER(D20),ISNUMBER(C20)),IFERROR(D20/C20-1,""),"")</f>
        <v/>
      </c>
      <c r="E204" s="26" t="str">
        <f aca="false">IF(AND(ISNUMBER(E20),ISNUMBER(D20)),IFERROR(E20/D20-1,""),"")</f>
        <v/>
      </c>
      <c r="F204" s="26" t="str">
        <f aca="false">IF(AND(ISNUMBER(F20),ISNUMBER(E20)),IFERROR(F20/E20-1,""),"")</f>
        <v/>
      </c>
      <c r="G204" s="26" t="str">
        <f aca="false">IF(AND(ISNUMBER(G20),ISNUMBER(F20)),IFERROR(G20/F20-1,""),"")</f>
        <v/>
      </c>
      <c r="H204" s="26" t="str">
        <f aca="false">IF(AND(ISNUMBER(H20),ISNUMBER(G20)),IFERROR(H20/G20-1,""),"")</f>
        <v/>
      </c>
      <c r="I204" s="26" t="str">
        <f aca="false">IF(AND(ISNUMBER(I20),ISNUMBER(H20)),IFERROR(I20/H20-1,""),"")</f>
        <v/>
      </c>
      <c r="J204" s="25"/>
      <c r="K204" s="25"/>
      <c r="L204" s="25"/>
      <c r="M204" s="25"/>
      <c r="N204" s="26" t="str">
        <f aca="false">IF(AND(ISNUMBER(N20),ISNUMBER(I20)),IFERROR(N20/I20-1,""),"")</f>
        <v/>
      </c>
      <c r="O204" s="26" t="str">
        <f aca="false">IF(AND(ISNUMBER(O20),ISNUMBER(J20)),IFERROR(O20/J20-1,""),"")</f>
        <v/>
      </c>
      <c r="P204" s="26" t="str">
        <f aca="false">IF(AND(ISNUMBER(P20),ISNUMBER(K20)),IFERROR(P20/K20-1,""),"")</f>
        <v/>
      </c>
      <c r="Q204" s="26" t="str">
        <f aca="false">IF(AND(ISNUMBER(Q20),ISNUMBER(L20)),IFERROR(Q20/L20-1,""),"")</f>
        <v/>
      </c>
      <c r="R204" s="26" t="str">
        <f aca="false">IF(AND(ISNUMBER(R20),ISNUMBER(M20)),IFERROR(R20/M20-1,""),"")</f>
        <v/>
      </c>
      <c r="S204" s="26" t="str">
        <f aca="false">IF(AND(ISNUMBER(S20),ISNUMBER(N20)),IFERROR(S20/N20-1,""),"")</f>
        <v/>
      </c>
      <c r="T204" s="26" t="str">
        <f aca="false">IF(AND(ISNUMBER(T20),ISNUMBER(O20)),IFERROR(T20/O20-1,""),"")</f>
        <v/>
      </c>
      <c r="U204" s="26" t="str">
        <f aca="false">IF(AND(ISNUMBER(U20),ISNUMBER(P20)),IFERROR(U20/P20-1,""),"")</f>
        <v/>
      </c>
      <c r="V204" s="26" t="str">
        <f aca="false">IF(AND(ISNUMBER(V20),ISNUMBER(Q20)),IFERROR(V20/Q20-1,""),"")</f>
        <v/>
      </c>
      <c r="W204" s="26" t="str">
        <f aca="false">IF(AND(ISNUMBER(W20),ISNUMBER(R20)),IFERROR(W20/R20-1,""),"")</f>
        <v/>
      </c>
      <c r="X204" s="26" t="str">
        <f aca="false">IF(AND(ISNUMBER(X20),ISNUMBER(S20)),IFERROR(X20/S20-1,""),"")</f>
        <v/>
      </c>
      <c r="Y204" s="26" t="str">
        <f aca="false">IF(AND(ISNUMBER(Y20),ISNUMBER(T20)),IFERROR(Y20/T20-1,""),"")</f>
        <v/>
      </c>
      <c r="Z204" s="26" t="str">
        <f aca="false">IF(AND(ISNUMBER(Z20),ISNUMBER(U20)),IFERROR(Z20/U20-1,""),"")</f>
        <v/>
      </c>
      <c r="AA204" s="26" t="str">
        <f aca="false">IF(AND(ISNUMBER(AA20),ISNUMBER(V20)),IFERROR(AA20/V20-1,""),"")</f>
        <v/>
      </c>
      <c r="AB204" s="26" t="str">
        <f aca="false">IF(AND(ISNUMBER(AB20),ISNUMBER(W20)),IFERROR(AB20/W20-1,""),"")</f>
        <v/>
      </c>
      <c r="AC204" s="26" t="str">
        <f aca="false">IF(AND(ISNUMBER(AC20),ISNUMBER(X20)),IFERROR(AC20/X20-1,""),"")</f>
        <v/>
      </c>
      <c r="AD204" s="26" t="str">
        <f aca="false">IF(AND(ISNUMBER(AD20),ISNUMBER(Y20)),IFERROR(AD20/Y20-1,""),"")</f>
        <v/>
      </c>
      <c r="AE204" s="26" t="str">
        <f aca="false">IF(AND(ISNUMBER(AE20),ISNUMBER(Z20)),IFERROR(AE20/Z20-1,""),"")</f>
        <v/>
      </c>
      <c r="AF204" s="26" t="str">
        <f aca="false">IF(AND(ISNUMBER(AF20),ISNUMBER(AA20)),IFERROR(AF20/AA20-1,""),"")</f>
        <v/>
      </c>
      <c r="AG204" s="26" t="str">
        <f aca="false">IF(AND(ISNUMBER(AG20),ISNUMBER(AB20)),IFERROR(AG20/AB20-1,""),"")</f>
        <v/>
      </c>
      <c r="AH204" s="26" t="str">
        <f aca="false">IF(AND(ISNUMBER(AH20),ISNUMBER(AC20)),IFERROR(AH20/AC20-1,""),"")</f>
        <v/>
      </c>
      <c r="AI204" s="26" t="str">
        <f aca="false">IF(AND(ISNUMBER(AI20),ISNUMBER(AD20)),IFERROR(AI20/AD20-1,""),"")</f>
        <v/>
      </c>
      <c r="AJ204" s="26" t="str">
        <f aca="false">IF(AND(ISNUMBER(AJ20),ISNUMBER(AE20)),IFERROR(AJ20/AE20-1,""),"")</f>
        <v/>
      </c>
      <c r="AK204" s="26" t="str">
        <f aca="false">IF(AND(ISNUMBER(AK20),ISNUMBER(AF20)),IFERROR(AK20/AF20-1,""),"")</f>
        <v/>
      </c>
      <c r="AL204" s="26" t="str">
        <f aca="false">IF(AND(ISNUMBER(AL20),ISNUMBER(AG20)),IFERROR(AL20/AG20-1,""),"")</f>
        <v/>
      </c>
      <c r="AM204" s="26" t="str">
        <f aca="false">IF(AND(ISNUMBER(AM20),ISNUMBER(AH20)),IFERROR(AM20/AH20-1,""),"")</f>
        <v/>
      </c>
      <c r="AN204" s="26" t="str">
        <f aca="false">IF(AND(ISNUMBER(AN20),ISNUMBER(AI20)),IFERROR(AN20/AI20-1,""),"")</f>
        <v/>
      </c>
      <c r="AO204" s="26" t="str">
        <f aca="false">IF(AND(ISNUMBER(AO20),ISNUMBER(AJ20)),IFERROR(AO20/AJ20-1,""),"")</f>
        <v/>
      </c>
      <c r="AP204" s="26" t="str">
        <f aca="false">IF(AND(ISNUMBER(AP20),ISNUMBER(AK20)),IFERROR(AP20/AK20-1,""),"")</f>
        <v/>
      </c>
      <c r="AQ204" s="26" t="str">
        <f aca="false">IF(AND(ISNUMBER(AQ20),ISNUMBER(AL20)),IFERROR(AQ20/AL20-1,""),"")</f>
        <v/>
      </c>
      <c r="AR204" s="26" t="str">
        <f aca="false">IF(AND(ISNUMBER(AR20),ISNUMBER(AM20)),IFERROR(AR20/AM20-1,""),"")</f>
        <v/>
      </c>
      <c r="AS204" s="26" t="str">
        <f aca="false">IF(AND(ISNUMBER(AS20),ISNUMBER(AN20)),IFERROR(AS20/AN20-1,""),"")</f>
        <v/>
      </c>
      <c r="AT204" s="26" t="str">
        <f aca="false">IF(AND(ISNUMBER(AT20),ISNUMBER(AO20)),IFERROR(AT20/AO20-1,""),"")</f>
        <v/>
      </c>
      <c r="AU204" s="26" t="str">
        <f aca="false">IF(AND(ISNUMBER(AU20),ISNUMBER(AP20)),IFERROR(AU20/AP20-1,""),"")</f>
        <v/>
      </c>
      <c r="AV204" s="26" t="str">
        <f aca="false">IF(AND(ISNUMBER(AV20),ISNUMBER(AQ20)),IFERROR(AV20/AQ20-1,""),"")</f>
        <v/>
      </c>
      <c r="AW204" s="26" t="str">
        <f aca="false">IF(AND(ISNUMBER(AW20),ISNUMBER(AR20)),IFERROR(AW20/AR20-1,""),"")</f>
        <v/>
      </c>
      <c r="AX204" s="26" t="str">
        <f aca="false">IF(AND(ISNUMBER(AX20),ISNUMBER(AS20)),IFERROR(AX20/AS20-1,""),"")</f>
        <v/>
      </c>
      <c r="AY204" s="26" t="str">
        <f aca="false">IF(AND(ISNUMBER(AY20),ISNUMBER(AT20)),IFERROR(AY20/AT20-1,""),"")</f>
        <v/>
      </c>
      <c r="AZ204" s="26" t="str">
        <f aca="false">IF(AND(ISNUMBER(AZ20),ISNUMBER(AU20)),IFERROR(AZ20/AU20-1,""),"")</f>
        <v/>
      </c>
      <c r="BA204" s="26" t="str">
        <f aca="false">IF(AND(ISNUMBER(BA20),ISNUMBER(AV20)),IFERROR(BA20/AV20-1,""),"")</f>
        <v/>
      </c>
      <c r="BB204" s="26" t="str">
        <f aca="false">IF(AND(ISNUMBER(BB20),ISNUMBER(AW20)),IFERROR(BB20/AW20-1,""),"")</f>
        <v/>
      </c>
      <c r="BC204" s="26" t="str">
        <f aca="false">IF(AND(ISNUMBER(BC20),ISNUMBER(AX20)),IFERROR(BC20/AX20-1,""),"")</f>
        <v/>
      </c>
      <c r="BD204" s="26" t="str">
        <f aca="false">IF(AND(ISNUMBER(BD20),ISNUMBER(AY20)),IFERROR(BD20/AY20-1,""),"")</f>
        <v/>
      </c>
      <c r="BE204" s="26" t="str">
        <f aca="false">IF(AND(ISNUMBER(BE20),ISNUMBER(AZ20)),IFERROR(BE20/AZ20-1,""),"")</f>
        <v/>
      </c>
      <c r="BF204" s="26" t="str">
        <f aca="false">IF(AND(ISNUMBER(BF20),ISNUMBER(BA20)),IFERROR(BF20/BA20-1,""),"")</f>
        <v/>
      </c>
      <c r="BG204" s="26" t="str">
        <f aca="false">IF(AND(ISNUMBER(BG20),ISNUMBER(BB20)),IFERROR(BG20/BB20-1,""),"")</f>
        <v/>
      </c>
      <c r="BH204" s="26" t="str">
        <f aca="false">IF(AND(ISNUMBER(BH20),ISNUMBER(BC20)),IFERROR(BH20/BC20-1,""),"")</f>
        <v/>
      </c>
      <c r="BI204" s="26" t="str">
        <f aca="false">IF(AND(ISNUMBER(BI20),ISNUMBER(BD20)),IFERROR(BI20/BD20-1,""),"")</f>
        <v/>
      </c>
      <c r="BJ204" s="26" t="str">
        <f aca="false">IF(AND(ISNUMBER(BJ20),ISNUMBER(BE20)),IFERROR(BJ20/BE20-1,""),"")</f>
        <v/>
      </c>
      <c r="BK204" s="26" t="str">
        <f aca="false">IF(AND(ISNUMBER(BK20),ISNUMBER(BF20)),IFERROR(BK20/BF20-1,""),"")</f>
        <v/>
      </c>
      <c r="BL204" s="26" t="str">
        <f aca="false">IF(AND(ISNUMBER(BL20),ISNUMBER(BG20)),IFERROR(BL20/BG20-1,""),"")</f>
        <v/>
      </c>
      <c r="BM204" s="26" t="n">
        <f aca="false">IF(AND(ISNUMBER(BM20),ISNUMBER(BH20)),IFERROR(BM20/BH20-1,""),"")</f>
        <v>0.0603448275862069</v>
      </c>
      <c r="BN204" s="26" t="n">
        <f aca="false">IF(AND(ISNUMBER(BN20),ISNUMBER(BI20)),IFERROR(BN20/BI20-1,""),"")</f>
        <v>0.050561797752809</v>
      </c>
      <c r="BO204" s="26" t="n">
        <f aca="false">IF(AND(ISNUMBER(BO20),ISNUMBER(BJ20)),IFERROR(BO20/BJ20-1,""),"")</f>
        <v>0.0382513661202186</v>
      </c>
      <c r="BP204" s="26" t="n">
        <f aca="false">IF(AND(ISNUMBER(BP20),ISNUMBER(BK20)),IFERROR(BP20/BK20-1,""),"")</f>
        <v>0.0482573726541555</v>
      </c>
      <c r="BQ204" s="26" t="n">
        <f aca="false">IF(AND(ISNUMBER(BQ20),ISNUMBER(BL20)),IFERROR(BQ20/BL20-1,""),"")</f>
        <v>0.0506969970178237</v>
      </c>
      <c r="BR204" s="26" t="n">
        <f aca="false">IF(AND(ISNUMBER(BR20),ISNUMBER(BM20)),IFERROR(BR20/BM20-1,""),"")</f>
        <v>0.10840108401084</v>
      </c>
      <c r="BS204" s="26" t="n">
        <f aca="false">IF(AND(ISNUMBER(BS20),ISNUMBER(BN20)),IFERROR(BS20/BN20-1,""),"")</f>
        <v>0.192513368983957</v>
      </c>
      <c r="BT204" s="26" t="n">
        <f aca="false">IF(AND(ISNUMBER(BT20),ISNUMBER(BO20)),IFERROR(BT20/BO20-1,""),"")</f>
        <v>0.213157894736842</v>
      </c>
      <c r="BU204" s="26" t="n">
        <f aca="false">IF(AND(ISNUMBER(BU20),ISNUMBER(BP20)),IFERROR(BU20/BP20-1,""),"")</f>
        <v>0.20460358056266</v>
      </c>
      <c r="BV204" s="26" t="n">
        <f aca="false">IF(AND(ISNUMBER(BV20),ISNUMBER(BQ20)),IFERROR(BV20/BQ20-1,""),"")</f>
        <v>0.17953795379538</v>
      </c>
      <c r="BW204" s="26" t="n">
        <f aca="false">IF(AND(ISNUMBER(BW20),ISNUMBER(BR20)),IFERROR(BW20/BR20-1,""),"")</f>
        <v>0.154034229828851</v>
      </c>
      <c r="BX204" s="26" t="n">
        <f aca="false">IF(AND(ISNUMBER(BX20),ISNUMBER(BS20)),IFERROR(BX20/BS20-1,""),"")</f>
        <v>0.0784753363228699</v>
      </c>
      <c r="BY204" s="27" t="n">
        <f aca="false">IF(AND(ISNUMBER(BY20),ISNUMBER(BT20)),IFERROR(BY20/BT20-1,""),"")</f>
        <v>0.0637555674225716</v>
      </c>
      <c r="BZ204" s="27" t="n">
        <f aca="false">IF(AND(ISNUMBER(BZ20),ISNUMBER(BU20)),IFERROR(BZ20/BU20-1,""),"")</f>
        <v>0.0615954908666281</v>
      </c>
      <c r="CA204" s="27" t="n">
        <f aca="false">IF(AND(ISNUMBER(CA20),ISNUMBER(BV20)),IFERROR(CA20/BV20-1,""),"")</f>
        <v>0.0875225477224328</v>
      </c>
      <c r="CB204" s="27" t="n">
        <f aca="false">IF(AND(ISNUMBER(CB20),ISNUMBER(CA20)),IFERROR(CB20/CA20-1,""),"")</f>
        <v>0.0908819516499761</v>
      </c>
      <c r="CC204" s="27" t="n">
        <f aca="false">IF(AND(ISNUMBER(CC20),ISNUMBER(CB20)),IFERROR(CC20/CB20-1,""),"")</f>
        <v>0.0893345983898097</v>
      </c>
      <c r="CD204" s="27" t="n">
        <f aca="false">IF(AND(ISNUMBER(CD20),ISNUMBER(CC20)),IFERROR(CD20/CC20-1,""),"")</f>
        <v>0.084143664836996</v>
      </c>
      <c r="CE204" s="27" t="n">
        <f aca="false">IF(AND(ISNUMBER(CE20),ISNUMBER(CD20)),IFERROR(CE20/CD20-1,""),"")</f>
        <v>0.078851185793221</v>
      </c>
      <c r="CF204" s="28"/>
    </row>
    <row r="205" customFormat="false" ht="15" hidden="false" customHeight="true" outlineLevel="0" collapsed="false">
      <c r="B205" s="24" t="s">
        <v>411</v>
      </c>
      <c r="C205" s="25"/>
      <c r="D205" s="26" t="str">
        <f aca="false">IF(AND(ISNUMBER(D28),ISNUMBER(C28)),IFERROR(D28/C28-1,""),"")</f>
        <v/>
      </c>
      <c r="E205" s="26" t="str">
        <f aca="false">IF(AND(ISNUMBER(E28),ISNUMBER(D28)),IFERROR(E28/D28-1,""),"")</f>
        <v/>
      </c>
      <c r="F205" s="26" t="str">
        <f aca="false">IF(AND(ISNUMBER(F28),ISNUMBER(E28)),IFERROR(F28/E28-1,""),"")</f>
        <v/>
      </c>
      <c r="G205" s="26" t="str">
        <f aca="false">IF(AND(ISNUMBER(G28),ISNUMBER(F28)),IFERROR(G28/F28-1,""),"")</f>
        <v/>
      </c>
      <c r="H205" s="26" t="str">
        <f aca="false">IF(AND(ISNUMBER(H28),ISNUMBER(G28)),IFERROR(H28/G28-1,""),"")</f>
        <v/>
      </c>
      <c r="I205" s="26" t="str">
        <f aca="false">IF(AND(ISNUMBER(I28),ISNUMBER(H28)),IFERROR(I28/H28-1,""),"")</f>
        <v/>
      </c>
      <c r="J205" s="25"/>
      <c r="K205" s="25"/>
      <c r="L205" s="25"/>
      <c r="M205" s="25"/>
      <c r="N205" s="26" t="str">
        <f aca="false">IF(AND(ISNUMBER(N28),ISNUMBER(I28)),IFERROR(N28/I28-1,""),"")</f>
        <v/>
      </c>
      <c r="O205" s="26" t="str">
        <f aca="false">IF(AND(ISNUMBER(O28),ISNUMBER(J28)),IFERROR(O28/J28-1,""),"")</f>
        <v/>
      </c>
      <c r="P205" s="26" t="str">
        <f aca="false">IF(AND(ISNUMBER(P28),ISNUMBER(K28)),IFERROR(P28/K28-1,""),"")</f>
        <v/>
      </c>
      <c r="Q205" s="26" t="str">
        <f aca="false">IF(AND(ISNUMBER(Q28),ISNUMBER(L28)),IFERROR(Q28/L28-1,""),"")</f>
        <v/>
      </c>
      <c r="R205" s="26" t="str">
        <f aca="false">IF(AND(ISNUMBER(R28),ISNUMBER(M28)),IFERROR(R28/M28-1,""),"")</f>
        <v/>
      </c>
      <c r="S205" s="26" t="str">
        <f aca="false">IF(AND(ISNUMBER(S28),ISNUMBER(N28)),IFERROR(S28/N28-1,""),"")</f>
        <v/>
      </c>
      <c r="T205" s="26" t="str">
        <f aca="false">IF(AND(ISNUMBER(T28),ISNUMBER(O28)),IFERROR(T28/O28-1,""),"")</f>
        <v/>
      </c>
      <c r="U205" s="26" t="str">
        <f aca="false">IF(AND(ISNUMBER(U28),ISNUMBER(P28)),IFERROR(U28/P28-1,""),"")</f>
        <v/>
      </c>
      <c r="V205" s="26" t="str">
        <f aca="false">IF(AND(ISNUMBER(V28),ISNUMBER(Q28)),IFERROR(V28/Q28-1,""),"")</f>
        <v/>
      </c>
      <c r="W205" s="26" t="str">
        <f aca="false">IF(AND(ISNUMBER(W28),ISNUMBER(R28)),IFERROR(W28/R28-1,""),"")</f>
        <v/>
      </c>
      <c r="X205" s="26" t="str">
        <f aca="false">IF(AND(ISNUMBER(X28),ISNUMBER(S28)),IFERROR(X28/S28-1,""),"")</f>
        <v/>
      </c>
      <c r="Y205" s="26" t="str">
        <f aca="false">IF(AND(ISNUMBER(Y28),ISNUMBER(T28)),IFERROR(Y28/T28-1,""),"")</f>
        <v/>
      </c>
      <c r="Z205" s="26" t="str">
        <f aca="false">IF(AND(ISNUMBER(Z28),ISNUMBER(U28)),IFERROR(Z28/U28-1,""),"")</f>
        <v/>
      </c>
      <c r="AA205" s="26" t="str">
        <f aca="false">IF(AND(ISNUMBER(AA28),ISNUMBER(V28)),IFERROR(AA28/V28-1,""),"")</f>
        <v/>
      </c>
      <c r="AB205" s="26" t="str">
        <f aca="false">IF(AND(ISNUMBER(AB28),ISNUMBER(W28)),IFERROR(AB28/W28-1,""),"")</f>
        <v/>
      </c>
      <c r="AC205" s="26" t="str">
        <f aca="false">IF(AND(ISNUMBER(AC28),ISNUMBER(X28)),IFERROR(AC28/X28-1,""),"")</f>
        <v/>
      </c>
      <c r="AD205" s="26" t="str">
        <f aca="false">IF(AND(ISNUMBER(AD28),ISNUMBER(Y28)),IFERROR(AD28/Y28-1,""),"")</f>
        <v/>
      </c>
      <c r="AE205" s="26" t="str">
        <f aca="false">IF(AND(ISNUMBER(AE28),ISNUMBER(Z28)),IFERROR(AE28/Z28-1,""),"")</f>
        <v/>
      </c>
      <c r="AF205" s="26" t="str">
        <f aca="false">IF(AND(ISNUMBER(AF28),ISNUMBER(AA28)),IFERROR(AF28/AA28-1,""),"")</f>
        <v/>
      </c>
      <c r="AG205" s="26" t="str">
        <f aca="false">IF(AND(ISNUMBER(AG28),ISNUMBER(AB28)),IFERROR(AG28/AB28-1,""),"")</f>
        <v/>
      </c>
      <c r="AH205" s="26" t="str">
        <f aca="false">IF(AND(ISNUMBER(AH28),ISNUMBER(AC28)),IFERROR(AH28/AC28-1,""),"")</f>
        <v/>
      </c>
      <c r="AI205" s="26" t="str">
        <f aca="false">IF(AND(ISNUMBER(AI28),ISNUMBER(AD28)),IFERROR(AI28/AD28-1,""),"")</f>
        <v/>
      </c>
      <c r="AJ205" s="26" t="str">
        <f aca="false">IF(AND(ISNUMBER(AJ28),ISNUMBER(AE28)),IFERROR(AJ28/AE28-1,""),"")</f>
        <v/>
      </c>
      <c r="AK205" s="26" t="str">
        <f aca="false">IF(AND(ISNUMBER(AK28),ISNUMBER(AF28)),IFERROR(AK28/AF28-1,""),"")</f>
        <v/>
      </c>
      <c r="AL205" s="26" t="str">
        <f aca="false">IF(AND(ISNUMBER(AL28),ISNUMBER(AG28)),IFERROR(AL28/AG28-1,""),"")</f>
        <v/>
      </c>
      <c r="AM205" s="26" t="str">
        <f aca="false">IF(AND(ISNUMBER(AM28),ISNUMBER(AH28)),IFERROR(AM28/AH28-1,""),"")</f>
        <v/>
      </c>
      <c r="AN205" s="26" t="str">
        <f aca="false">IF(AND(ISNUMBER(AN28),ISNUMBER(AI28)),IFERROR(AN28/AI28-1,""),"")</f>
        <v/>
      </c>
      <c r="AO205" s="26" t="str">
        <f aca="false">IF(AND(ISNUMBER(AO28),ISNUMBER(AJ28)),IFERROR(AO28/AJ28-1,""),"")</f>
        <v/>
      </c>
      <c r="AP205" s="26" t="str">
        <f aca="false">IF(AND(ISNUMBER(AP28),ISNUMBER(AK28)),IFERROR(AP28/AK28-1,""),"")</f>
        <v/>
      </c>
      <c r="AQ205" s="26" t="str">
        <f aca="false">IF(AND(ISNUMBER(AQ28),ISNUMBER(AL28)),IFERROR(AQ28/AL28-1,""),"")</f>
        <v/>
      </c>
      <c r="AR205" s="26" t="str">
        <f aca="false">IF(AND(ISNUMBER(AR28),ISNUMBER(AM28)),IFERROR(AR28/AM28-1,""),"")</f>
        <v/>
      </c>
      <c r="AS205" s="26" t="str">
        <f aca="false">IF(AND(ISNUMBER(AS28),ISNUMBER(AN28)),IFERROR(AS28/AN28-1,""),"")</f>
        <v/>
      </c>
      <c r="AT205" s="26" t="str">
        <f aca="false">IF(AND(ISNUMBER(AT28),ISNUMBER(AO28)),IFERROR(AT28/AO28-1,""),"")</f>
        <v/>
      </c>
      <c r="AU205" s="26" t="str">
        <f aca="false">IF(AND(ISNUMBER(AU28),ISNUMBER(AP28)),IFERROR(AU28/AP28-1,""),"")</f>
        <v/>
      </c>
      <c r="AV205" s="26" t="str">
        <f aca="false">IF(AND(ISNUMBER(AV28),ISNUMBER(AQ28)),IFERROR(AV28/AQ28-1,""),"")</f>
        <v/>
      </c>
      <c r="AW205" s="26" t="str">
        <f aca="false">IF(AND(ISNUMBER(AW28),ISNUMBER(AR28)),IFERROR(AW28/AR28-1,""),"")</f>
        <v/>
      </c>
      <c r="AX205" s="26" t="str">
        <f aca="false">IF(AND(ISNUMBER(AX28),ISNUMBER(AS28)),IFERROR(AX28/AS28-1,""),"")</f>
        <v/>
      </c>
      <c r="AY205" s="26" t="str">
        <f aca="false">IF(AND(ISNUMBER(AY28),ISNUMBER(AT28)),IFERROR(AY28/AT28-1,""),"")</f>
        <v/>
      </c>
      <c r="AZ205" s="26" t="str">
        <f aca="false">IF(AND(ISNUMBER(AZ28),ISNUMBER(AU28)),IFERROR(AZ28/AU28-1,""),"")</f>
        <v/>
      </c>
      <c r="BA205" s="26" t="str">
        <f aca="false">IF(AND(ISNUMBER(BA28),ISNUMBER(AV28)),IFERROR(BA28/AV28-1,""),"")</f>
        <v/>
      </c>
      <c r="BB205" s="26" t="str">
        <f aca="false">IF(AND(ISNUMBER(BB28),ISNUMBER(AW28)),IFERROR(BB28/AW28-1,""),"")</f>
        <v/>
      </c>
      <c r="BC205" s="26" t="str">
        <f aca="false">IF(AND(ISNUMBER(BC28),ISNUMBER(AX28)),IFERROR(BC28/AX28-1,""),"")</f>
        <v/>
      </c>
      <c r="BD205" s="26" t="str">
        <f aca="false">IF(AND(ISNUMBER(BD28),ISNUMBER(AY28)),IFERROR(BD28/AY28-1,""),"")</f>
        <v/>
      </c>
      <c r="BE205" s="26" t="str">
        <f aca="false">IF(AND(ISNUMBER(BE28),ISNUMBER(AZ28)),IFERROR(BE28/AZ28-1,""),"")</f>
        <v/>
      </c>
      <c r="BF205" s="26" t="str">
        <f aca="false">IF(AND(ISNUMBER(BF28),ISNUMBER(BA28)),IFERROR(BF28/BA28-1,""),"")</f>
        <v/>
      </c>
      <c r="BG205" s="26" t="str">
        <f aca="false">IF(AND(ISNUMBER(BG28),ISNUMBER(BB28)),IFERROR(BG28/BB28-1,""),"")</f>
        <v/>
      </c>
      <c r="BH205" s="26" t="str">
        <f aca="false">IF(AND(ISNUMBER(BH28),ISNUMBER(BC28)),IFERROR(BH28/BC28-1,""),"")</f>
        <v/>
      </c>
      <c r="BI205" s="26" t="str">
        <f aca="false">IF(AND(ISNUMBER(BI28),ISNUMBER(BD28)),IFERROR(BI28/BD28-1,""),"")</f>
        <v/>
      </c>
      <c r="BJ205" s="26" t="str">
        <f aca="false">IF(AND(ISNUMBER(BJ28),ISNUMBER(BE28)),IFERROR(BJ28/BE28-1,""),"")</f>
        <v/>
      </c>
      <c r="BK205" s="26" t="str">
        <f aca="false">IF(AND(ISNUMBER(BK28),ISNUMBER(BF28)),IFERROR(BK28/BF28-1,""),"")</f>
        <v/>
      </c>
      <c r="BL205" s="26" t="str">
        <f aca="false">IF(AND(ISNUMBER(BL28),ISNUMBER(BG28)),IFERROR(BL28/BG28-1,""),"")</f>
        <v/>
      </c>
      <c r="BM205" s="26" t="n">
        <f aca="false">IF(AND(ISNUMBER(BM28),ISNUMBER(BH28)),IFERROR(BM28/BH28-1,""),"")</f>
        <v>0.216101694915254</v>
      </c>
      <c r="BN205" s="26" t="n">
        <f aca="false">IF(AND(ISNUMBER(BN28),ISNUMBER(BI28)),IFERROR(BN28/BI28-1,""),"")</f>
        <v>0.216</v>
      </c>
      <c r="BO205" s="26" t="n">
        <f aca="false">IF(AND(ISNUMBER(BO28),ISNUMBER(BJ28)),IFERROR(BO28/BJ28-1,""),"")</f>
        <v>0.208494208494209</v>
      </c>
      <c r="BP205" s="26" t="n">
        <f aca="false">IF(AND(ISNUMBER(BP28),ISNUMBER(BK28)),IFERROR(BP28/BK28-1,""),"")</f>
        <v>0.191011235955056</v>
      </c>
      <c r="BQ205" s="26" t="n">
        <f aca="false">IF(AND(ISNUMBER(BQ28),ISNUMBER(BL28)),IFERROR(BQ28/BL28-1,""),"")</f>
        <v>0.206521739130435</v>
      </c>
      <c r="BR205" s="26" t="n">
        <f aca="false">IF(AND(ISNUMBER(BR28),ISNUMBER(BM28)),IFERROR(BR28/BM28-1,""),"")</f>
        <v>0.125435540069687</v>
      </c>
      <c r="BS205" s="26" t="n">
        <f aca="false">IF(AND(ISNUMBER(BS28),ISNUMBER(BN28)),IFERROR(BS28/BN28-1,""),"")</f>
        <v>0.101973684210526</v>
      </c>
      <c r="BT205" s="26" t="n">
        <f aca="false">IF(AND(ISNUMBER(BT28),ISNUMBER(BO28)),IFERROR(BT28/BO28-1,""),"")</f>
        <v>0.191693290734824</v>
      </c>
      <c r="BU205" s="26" t="n">
        <f aca="false">IF(AND(ISNUMBER(BU28),ISNUMBER(BP28)),IFERROR(BU28/BP28-1,""),"")</f>
        <v>0.349056603773585</v>
      </c>
      <c r="BV205" s="26" t="n">
        <f aca="false">IF(AND(ISNUMBER(BV28),ISNUMBER(BQ28)),IFERROR(BV28/BQ28-1,""),"")</f>
        <v>0.195741195741196</v>
      </c>
      <c r="BW205" s="26" t="n">
        <f aca="false">IF(AND(ISNUMBER(BW28),ISNUMBER(BR28)),IFERROR(BW28/BR28-1,""),"")</f>
        <v>0.315789473684211</v>
      </c>
      <c r="BX205" s="26" t="n">
        <f aca="false">IF(AND(ISNUMBER(BX28),ISNUMBER(BS28)),IFERROR(BX28/BS28-1,""),"")</f>
        <v>0.325373134328358</v>
      </c>
      <c r="BY205" s="27" t="n">
        <f aca="false">IF(AND(ISNUMBER(BY28),ISNUMBER(BT28)),IFERROR(BY28/BT28-1,""),"")</f>
        <v>0.221142313565487</v>
      </c>
      <c r="BZ205" s="27" t="n">
        <f aca="false">IF(AND(ISNUMBER(BZ28),ISNUMBER(BU28)),IFERROR(BZ28/BU28-1,""),"")</f>
        <v>0.0888371194873803</v>
      </c>
      <c r="CA205" s="27" t="n">
        <f aca="false">IF(AND(ISNUMBER(CA28),ISNUMBER(BV28)),IFERROR(CA28/BV28-1,""),"")</f>
        <v>0.227121374808228</v>
      </c>
      <c r="CB205" s="27" t="n">
        <f aca="false">IF(AND(ISNUMBER(CB28),ISNUMBER(CA28)),IFERROR(CB28/CA28-1,""),"")</f>
        <v>0.12</v>
      </c>
      <c r="CC205" s="27" t="n">
        <f aca="false">IF(AND(ISNUMBER(CC28),ISNUMBER(CB28)),IFERROR(CC28/CB28-1,""),"")</f>
        <v>0.11</v>
      </c>
      <c r="CD205" s="27" t="n">
        <f aca="false">IF(AND(ISNUMBER(CD28),ISNUMBER(CC28)),IFERROR(CD28/CC28-1,""),"")</f>
        <v>0.1</v>
      </c>
      <c r="CE205" s="27" t="n">
        <f aca="false">IF(AND(ISNUMBER(CE28),ISNUMBER(CD28)),IFERROR(CE28/CD28-1,""),"")</f>
        <v>0.0900000000000001</v>
      </c>
      <c r="CF205" s="28"/>
    </row>
    <row r="206" customFormat="false" ht="15" hidden="false" customHeight="true" outlineLevel="0" collapsed="false">
      <c r="B206" s="24" t="s">
        <v>412</v>
      </c>
      <c r="C206" s="25"/>
      <c r="D206" s="26" t="n">
        <f aca="false">IF(AND(ISNUMBER(D168),ISNUMBER(C168)),IFERROR(D168/C168-1,""),"")</f>
        <v>0.313209733487833</v>
      </c>
      <c r="E206" s="26" t="n">
        <f aca="false">IF(AND(ISNUMBER(E168),ISNUMBER(D168)),IFERROR(E168/D168-1,""),"")</f>
        <v>0.664431306803141</v>
      </c>
      <c r="F206" s="26" t="n">
        <f aca="false">IF(AND(ISNUMBER(F168),ISNUMBER(E168)),IFERROR(F168/E168-1,""),"")</f>
        <v>-0.03988407641061</v>
      </c>
      <c r="G206" s="26" t="n">
        <f aca="false">IF(AND(ISNUMBER(G168),ISNUMBER(F168)),IFERROR(G168/F168-1,""),"")</f>
        <v>-0.0554921593167931</v>
      </c>
      <c r="H206" s="26" t="n">
        <f aca="false">IF(AND(ISNUMBER(H168),ISNUMBER(G168)),IFERROR(H168/G168-1,""),"")</f>
        <v>0.109710232476568</v>
      </c>
      <c r="I206" s="26" t="n">
        <f aca="false">IF(AND(ISNUMBER(I168),ISNUMBER(H168)),IFERROR(I168/H168-1,""),"")</f>
        <v>0.517165083323089</v>
      </c>
      <c r="J206" s="25"/>
      <c r="K206" s="25"/>
      <c r="L206" s="25"/>
      <c r="M206" s="25"/>
      <c r="N206" s="26" t="n">
        <f aca="false">IF(AND(ISNUMBER(N168),ISNUMBER(I168)),IFERROR(N168/I168-1,""),"")</f>
        <v>0.582918586078381</v>
      </c>
      <c r="O206" s="26" t="n">
        <f aca="false">IF(AND(ISNUMBER(O168),ISNUMBER(J168)),IFERROR(O168/J168-1,""),"")</f>
        <v>0.44285157771718</v>
      </c>
      <c r="P206" s="26" t="n">
        <f aca="false">IF(AND(ISNUMBER(P168),ISNUMBER(K168)),IFERROR(P168/K168-1,""),"")</f>
        <v>0.389166487845253</v>
      </c>
      <c r="Q206" s="26" t="n">
        <f aca="false">IF(AND(ISNUMBER(Q168),ISNUMBER(L168)),IFERROR(Q168/L168-1,""),"")</f>
        <v>0.374850680895118</v>
      </c>
      <c r="R206" s="26" t="n">
        <f aca="false">IF(AND(ISNUMBER(R168),ISNUMBER(M168)),IFERROR(R168/M168-1,""),"")</f>
        <v>0.33145420230888</v>
      </c>
      <c r="S206" s="26" t="n">
        <f aca="false">IF(AND(ISNUMBER(S168),ISNUMBER(N168)),IFERROR(S168/N168-1,""),"")</f>
        <v>0.378082932999905</v>
      </c>
      <c r="T206" s="26" t="n">
        <f aca="false">IF(AND(ISNUMBER(T168),ISNUMBER(O168)),IFERROR(T168/O168-1,""),"")</f>
        <v>-0.358118688914088</v>
      </c>
      <c r="U206" s="26" t="n">
        <f aca="false">IF(AND(ISNUMBER(U168),ISNUMBER(P168)),IFERROR(U168/P168-1,""),"")</f>
        <v>-0.751257833877659</v>
      </c>
      <c r="V206" s="26" t="n">
        <f aca="false">IF(AND(ISNUMBER(V168),ISNUMBER(Q168)),IFERROR(V168/Q168-1,""),"")</f>
        <v>-0.315203120173</v>
      </c>
      <c r="W206" s="26" t="n">
        <f aca="false">IF(AND(ISNUMBER(W168),ISNUMBER(R168)),IFERROR(W168/R168-1,""),"")</f>
        <v>0.198906520378484</v>
      </c>
      <c r="X206" s="26" t="n">
        <f aca="false">IF(AND(ISNUMBER(X168),ISNUMBER(S168)),IFERROR(X168/S168-1,""),"")</f>
        <v>-0.280302226372647</v>
      </c>
      <c r="Y206" s="26" t="n">
        <f aca="false">IF(AND(ISNUMBER(Y168),ISNUMBER(T168)),IFERROR(Y168/T168-1,""),"")</f>
        <v>1.42281483974089</v>
      </c>
      <c r="Z206" s="26" t="n">
        <f aca="false">IF(AND(ISNUMBER(Z168),ISNUMBER(U168)),IFERROR(Z168/U168-1,""),"")</f>
        <v>3.94224627395315</v>
      </c>
      <c r="AA206" s="26" t="n">
        <f aca="false">IF(AND(ISNUMBER(AA168),ISNUMBER(V168)),IFERROR(AA168/V168-1,""),"")</f>
        <v>0.890574336707362</v>
      </c>
      <c r="AB206" s="26" t="n">
        <f aca="false">IF(AND(ISNUMBER(AB168),ISNUMBER(W168)),IFERROR(AB168/W168-1,""),"")</f>
        <v>0.154052850584244</v>
      </c>
      <c r="AC206" s="26" t="n">
        <f aca="false">IF(AND(ISNUMBER(AC168),ISNUMBER(X168)),IFERROR(AC168/X168-1,""),"")</f>
        <v>0.8838248304335</v>
      </c>
      <c r="AD206" s="26" t="n">
        <f aca="false">IF(AND(ISNUMBER(AD168),ISNUMBER(Y168)),IFERROR(AD168/Y168-1,""),"")</f>
        <v>0.109704861111111</v>
      </c>
      <c r="AE206" s="26" t="n">
        <f aca="false">IF(AND(ISNUMBER(AE168),ISNUMBER(Z168)),IFERROR(AE168/Z168-1,""),"")</f>
        <v>-0.0260640112010631</v>
      </c>
      <c r="AF206" s="26" t="n">
        <f aca="false">IF(AND(ISNUMBER(AF168),ISNUMBER(AA168)),IFERROR(AF168/AA168-1,""),"")</f>
        <v>0.24676002565135</v>
      </c>
      <c r="AG206" s="26" t="n">
        <f aca="false">IF(AND(ISNUMBER(AG168),ISNUMBER(AB168)),IFERROR(AG168/AB168-1,""),"")</f>
        <v>0.0370010643959551</v>
      </c>
      <c r="AH206" s="26" t="n">
        <f aca="false">IF(AND(ISNUMBER(AH168),ISNUMBER(AC168)),IFERROR(AH168/AC168-1,""),"")</f>
        <v>0.0949742096570942</v>
      </c>
      <c r="AI206" s="26" t="n">
        <f aca="false">IF(AND(ISNUMBER(AI168),ISNUMBER(AD168)),IFERROR(AI168/AD168-1,""),"")</f>
        <v>0.319826655611008</v>
      </c>
      <c r="AJ206" s="26" t="n">
        <f aca="false">IF(AND(ISNUMBER(AJ168),ISNUMBER(AE168)),IFERROR(AJ168/AE168-1,""),"")</f>
        <v>0.568313765965683</v>
      </c>
      <c r="AK206" s="26" t="n">
        <f aca="false">IF(AND(ISNUMBER(AK168),ISNUMBER(AF168)),IFERROR(AK168/AF168-1,""),"")</f>
        <v>0.31053003026352</v>
      </c>
      <c r="AL206" s="26" t="n">
        <f aca="false">IF(AND(ISNUMBER(AL168),ISNUMBER(AG168)),IFERROR(AL168/AG168-1,""),"")</f>
        <v>0.783515736262045</v>
      </c>
      <c r="AM206" s="26" t="n">
        <f aca="false">IF(AND(ISNUMBER(AM168),ISNUMBER(AH168)),IFERROR(AM168/AH168-1,""),"")</f>
        <v>0.494056256478073</v>
      </c>
      <c r="AN206" s="26" t="n">
        <f aca="false">IF(AND(ISNUMBER(AN168),ISNUMBER(AI168)),IFERROR(AN168/AI168-1,""),"")</f>
        <v>0.487601052606624</v>
      </c>
      <c r="AO206" s="26" t="n">
        <f aca="false">IF(AND(ISNUMBER(AO168),ISNUMBER(AJ168)),IFERROR(AO168/AJ168-1,""),"")</f>
        <v>0.293212052836929</v>
      </c>
      <c r="AP206" s="26" t="n">
        <f aca="false">IF(AND(ISNUMBER(AP168),ISNUMBER(AK168)),IFERROR(AP168/AK168-1,""),"")</f>
        <v>0.180395951040079</v>
      </c>
      <c r="AQ206" s="26" t="n">
        <f aca="false">IF(AND(ISNUMBER(AQ168),ISNUMBER(AL168)),IFERROR(AQ168/AL168-1,""),"")</f>
        <v>0.0203512002819959</v>
      </c>
      <c r="AR206" s="26" t="n">
        <f aca="false">IF(AND(ISNUMBER(AR168),ISNUMBER(AM168)),IFERROR(AR168/AM168-1,""),"")</f>
        <v>0.212137160245154</v>
      </c>
      <c r="AS206" s="26" t="n">
        <f aca="false">IF(AND(ISNUMBER(AS168),ISNUMBER(AN168)),IFERROR(AS168/AN168-1,""),"")</f>
        <v>-0.0118249838641562</v>
      </c>
      <c r="AT206" s="26" t="n">
        <f aca="false">IF(AND(ISNUMBER(AT168),ISNUMBER(AO168)),IFERROR(AT168/AO168-1,""),"")</f>
        <v>0.170971083768016</v>
      </c>
      <c r="AU206" s="26" t="n">
        <f aca="false">IF(AND(ISNUMBER(AU168),ISNUMBER(AP168)),IFERROR(AU168/AP168-1,""),"")</f>
        <v>0.032414960989152</v>
      </c>
      <c r="AV206" s="26" t="n">
        <f aca="false">IF(AND(ISNUMBER(AV168),ISNUMBER(AQ168)),IFERROR(AV168/AQ168-1,""),"")</f>
        <v>0.17600360975197</v>
      </c>
      <c r="AW206" s="26" t="n">
        <f aca="false">IF(AND(ISNUMBER(AW168),ISNUMBER(AR168)),IFERROR(AW168/AR168-1,""),"")</f>
        <v>0.0917426485099664</v>
      </c>
      <c r="AX206" s="26" t="n">
        <f aca="false">IF(AND(ISNUMBER(AX168),ISNUMBER(AS168)),IFERROR(AX168/AS168-1,""),"")</f>
        <v>0.28650222154129</v>
      </c>
      <c r="AY206" s="26" t="n">
        <f aca="false">IF(AND(ISNUMBER(AY168),ISNUMBER(AT168)),IFERROR(AY168/AT168-1,""),"")</f>
        <v>0.167791953808904</v>
      </c>
      <c r="AZ206" s="26" t="n">
        <f aca="false">IF(AND(ISNUMBER(AZ168),ISNUMBER(AU168)),IFERROR(AZ168/AU168-1,""),"")</f>
        <v>0.0784031756731451</v>
      </c>
      <c r="BA206" s="26" t="n">
        <f aca="false">IF(AND(ISNUMBER(BA168),ISNUMBER(AV168)),IFERROR(BA168/AV168-1,""),"")</f>
        <v>0.159488495341783</v>
      </c>
      <c r="BB206" s="26" t="n">
        <f aca="false">IF(AND(ISNUMBER(BB168),ISNUMBER(AW168)),IFERROR(BB168/AW168-1,""),"")</f>
        <v>0.170326074774127</v>
      </c>
      <c r="BC206" s="26" t="n">
        <f aca="false">IF(AND(ISNUMBER(BC168),ISNUMBER(AX168)),IFERROR(BC168/AX168-1,""),"")</f>
        <v>0.115160176253424</v>
      </c>
      <c r="BD206" s="26" t="n">
        <f aca="false">IF(AND(ISNUMBER(BD168),ISNUMBER(AY168)),IFERROR(BD168/AY168-1,""),"")</f>
        <v>0.0541411644304441</v>
      </c>
      <c r="BE206" s="26" t="n">
        <f aca="false">IF(AND(ISNUMBER(BE168),ISNUMBER(AZ168)),IFERROR(BE168/AZ168-1,""),"")</f>
        <v>0.0603543473882331</v>
      </c>
      <c r="BF206" s="26" t="n">
        <f aca="false">IF(AND(ISNUMBER(BF168),ISNUMBER(BA168)),IFERROR(BF168/BA168-1,""),"")</f>
        <v>-0.0574287117706364</v>
      </c>
      <c r="BG206" s="26" t="n">
        <f aca="false">IF(AND(ISNUMBER(BG168),ISNUMBER(BB168)),IFERROR(BG168/BB168-1,""),"")</f>
        <v>0.0372300002471391</v>
      </c>
      <c r="BH206" s="26" t="n">
        <f aca="false">IF(AND(ISNUMBER(BH168),ISNUMBER(BC168)),IFERROR(BH168/BC168-1,""),"")</f>
        <v>-0.309263922300412</v>
      </c>
      <c r="BI206" s="26" t="n">
        <f aca="false">IF(AND(ISNUMBER(BI168),ISNUMBER(BD168)),IFERROR(BI168/BD168-1,""),"")</f>
        <v>-0.200782983659472</v>
      </c>
      <c r="BJ206" s="26" t="n">
        <f aca="false">IF(AND(ISNUMBER(BJ168),ISNUMBER(BE168)),IFERROR(BJ168/BE168-1,""),"")</f>
        <v>-0.266910324680854</v>
      </c>
      <c r="BK206" s="26" t="n">
        <f aca="false">IF(AND(ISNUMBER(BK168),ISNUMBER(BF168)),IFERROR(BK168/BF168-1,""),"")</f>
        <v>-0.286119430822061</v>
      </c>
      <c r="BL206" s="26" t="n">
        <f aca="false">IF(AND(ISNUMBER(BL168),ISNUMBER(BG168)),IFERROR(BL168/BG168-1,""),"")</f>
        <v>-0.267770743889527</v>
      </c>
      <c r="BM206" s="26" t="n">
        <f aca="false">IF(AND(ISNUMBER(BM168),ISNUMBER(BH168)),IFERROR(BM168/BH168-1,""),"")</f>
        <v>-0.899099216391495</v>
      </c>
      <c r="BN206" s="26" t="n">
        <f aca="false">IF(AND(ISNUMBER(BN168),ISNUMBER(BI168)),IFERROR(BN168/BI168-1,""),"")</f>
        <v>-0.678169986196017</v>
      </c>
      <c r="BO206" s="26" t="n">
        <f aca="false">IF(AND(ISNUMBER(BO168),ISNUMBER(BJ168)),IFERROR(BO168/BJ168-1,""),"")</f>
        <v>-0.321855204024195</v>
      </c>
      <c r="BP206" s="26" t="n">
        <f aca="false">IF(AND(ISNUMBER(BP168),ISNUMBER(BK168)),IFERROR(BP168/BK168-1,""),"")</f>
        <v>-0.140150147150354</v>
      </c>
      <c r="BQ206" s="26" t="n">
        <f aca="false">IF(AND(ISNUMBER(BQ168),ISNUMBER(BL168)),IFERROR(BQ168/BL168-1,""),"")</f>
        <v>-0.510270490136262</v>
      </c>
      <c r="BR206" s="26" t="n">
        <f aca="false">IF(AND(ISNUMBER(BR168),ISNUMBER(BM168)),IFERROR(BR168/BM168-1,""),"")</f>
        <v>4.29032258064514</v>
      </c>
      <c r="BS206" s="26" t="n">
        <f aca="false">IF(AND(ISNUMBER(BS168),ISNUMBER(BN168)),IFERROR(BS168/BN168-1,""),"")</f>
        <v>1.08333333333333</v>
      </c>
      <c r="BT206" s="26" t="n">
        <f aca="false">IF(AND(ISNUMBER(BT168),ISNUMBER(BO168)),IFERROR(BT168/BO168-1,""),"")</f>
        <v>0.509881422924902</v>
      </c>
      <c r="BU206" s="26" t="n">
        <f aca="false">IF(AND(ISNUMBER(BU168),ISNUMBER(BP168)),IFERROR(BU168/BP168-1,""),"")</f>
        <v>0.582663092046472</v>
      </c>
      <c r="BV206" s="26" t="n">
        <f aca="false">IF(AND(ISNUMBER(BV168),ISNUMBER(BQ168)),IFERROR(BV168/BQ168-1,""),"")</f>
        <v>0.835548172757476</v>
      </c>
      <c r="BW206" s="26" t="n">
        <f aca="false">IF(AND(ISNUMBER(BW168),ISNUMBER(BR168)),IFERROR(BW168/BR168-1,""),"")</f>
        <v>1.01219512195122</v>
      </c>
      <c r="BX206" s="26" t="n">
        <f aca="false">IF(AND(ISNUMBER(BX168),ISNUMBER(BS168)),IFERROR(BX168/BS168-1,""),"")</f>
        <v>1.16470588235294</v>
      </c>
      <c r="BY206" s="27" t="n">
        <f aca="false">IF(AND(ISNUMBER(BY168),ISNUMBER(BT168)),IFERROR(BY168/BT168-1,""),"")</f>
        <v>0.804321336861021</v>
      </c>
      <c r="BZ206" s="27" t="n">
        <f aca="false">IF(AND(ISNUMBER(BZ168),ISNUMBER(BU168)),IFERROR(BZ168/BU168-1,""),"")</f>
        <v>0.652241467175734</v>
      </c>
      <c r="CA206" s="27" t="n">
        <f aca="false">IF(AND(ISNUMBER(CA168),ISNUMBER(BV168)),IFERROR(CA168/BV168-1,""),"")</f>
        <v>0.84476739602058</v>
      </c>
      <c r="CB206" s="27" t="n">
        <f aca="false">IF(AND(ISNUMBER(CB168),ISNUMBER(CA168)),IFERROR(CB168/CA168-1,""),"")</f>
        <v>0.231284251767991</v>
      </c>
      <c r="CC206" s="27" t="n">
        <f aca="false">IF(AND(ISNUMBER(CC168),ISNUMBER(CB168)),IFERROR(CC168/CB168-1,""),"")</f>
        <v>0.230784699562616</v>
      </c>
      <c r="CD206" s="27" t="n">
        <f aca="false">IF(AND(ISNUMBER(CD168),ISNUMBER(CC168)),IFERROR(CD168/CC168-1,""),"")</f>
        <v>0.211094573872997</v>
      </c>
      <c r="CE206" s="27" t="n">
        <f aca="false">IF(AND(ISNUMBER(CE168),ISNUMBER(CD168)),IFERROR(CE168/CD168-1,""),"")</f>
        <v>0.191314697859943</v>
      </c>
      <c r="CF206" s="28"/>
    </row>
    <row r="207" customFormat="false" ht="15" hidden="false" customHeight="true" outlineLevel="0" collapsed="false">
      <c r="B207" s="24" t="s">
        <v>413</v>
      </c>
      <c r="C207" s="25"/>
      <c r="D207" s="26" t="n">
        <f aca="false">IF(AND(ISNUMBER(D131),ISNUMBER(C131)),IFERROR(D131/C131-1,""),"")</f>
        <v>0.267807684113343</v>
      </c>
      <c r="E207" s="26" t="n">
        <f aca="false">IF(AND(ISNUMBER(E131),ISNUMBER(D131)),IFERROR(E131/D131-1,""),"")</f>
        <v>1.22876988572709</v>
      </c>
      <c r="F207" s="26" t="n">
        <f aca="false">IF(AND(ISNUMBER(F131),ISNUMBER(E131)),IFERROR(F131/E131-1,""),"")</f>
        <v>-0.199884387252438</v>
      </c>
      <c r="G207" s="26" t="n">
        <f aca="false">IF(AND(ISNUMBER(G131),ISNUMBER(F131)),IFERROR(G131/F131-1,""),"")</f>
        <v>-0.284592429715722</v>
      </c>
      <c r="H207" s="26" t="n">
        <f aca="false">IF(AND(ISNUMBER(H131),ISNUMBER(G131)),IFERROR(H131/G131-1,""),"")</f>
        <v>-0.0440834248079018</v>
      </c>
      <c r="I207" s="26" t="n">
        <f aca="false">IF(AND(ISNUMBER(I131),ISNUMBER(H131)),IFERROR(I131/H131-1,""),"")</f>
        <v>0.260392264939598</v>
      </c>
      <c r="J207" s="25"/>
      <c r="K207" s="25"/>
      <c r="L207" s="25"/>
      <c r="M207" s="25"/>
      <c r="N207" s="26" t="n">
        <f aca="false">IF(AND(ISNUMBER(N131),ISNUMBER(I131)),IFERROR(N131/I131-1,""),"")</f>
        <v>0.973542274052478</v>
      </c>
      <c r="O207" s="26" t="n">
        <f aca="false">IF(AND(ISNUMBER(O131),ISNUMBER(J131)),IFERROR(O131/J131-1,""),"")</f>
        <v>-7.59776751347186</v>
      </c>
      <c r="P207" s="26" t="n">
        <f aca="false">IF(AND(ISNUMBER(P131),ISNUMBER(K131)),IFERROR(P131/K131-1,""),"")</f>
        <v>0.106392723941634</v>
      </c>
      <c r="Q207" s="26" t="n">
        <f aca="false">IF(AND(ISNUMBER(Q131),ISNUMBER(L131)),IFERROR(Q131/L131-1,""),"")</f>
        <v>0.187658067779464</v>
      </c>
      <c r="R207" s="26" t="n">
        <f aca="false">IF(AND(ISNUMBER(R131),ISNUMBER(M131)),IFERROR(R131/M131-1,""),"")</f>
        <v>0.0759942854509428</v>
      </c>
      <c r="S207" s="26" t="n">
        <f aca="false">IF(AND(ISNUMBER(S131),ISNUMBER(N131)),IFERROR(S131/N131-1,""),"")</f>
        <v>0.493481552609225</v>
      </c>
      <c r="T207" s="26" t="n">
        <f aca="false">IF(AND(ISNUMBER(T131),ISNUMBER(O131)),IFERROR(T131/O131-1,""),"")</f>
        <v>-1.20459716469284</v>
      </c>
      <c r="U207" s="26" t="n">
        <f aca="false">IF(AND(ISNUMBER(U131),ISNUMBER(P131)),IFERROR(U131/P131-1,""),"")</f>
        <v>-2.19043113135017</v>
      </c>
      <c r="V207" s="26" t="n">
        <f aca="false">IF(AND(ISNUMBER(V131),ISNUMBER(Q131)),IFERROR(V131/Q131-1,""),"")</f>
        <v>-1.01835604770017</v>
      </c>
      <c r="W207" s="26" t="n">
        <f aca="false">IF(AND(ISNUMBER(W131),ISNUMBER(R131)),IFERROR(W131/R131-1,""),"")</f>
        <v>0.521415110501969</v>
      </c>
      <c r="X207" s="26" t="n">
        <f aca="false">IF(AND(ISNUMBER(X131),ISNUMBER(S131)),IFERROR(X131/S131-1,""),"")</f>
        <v>-0.858366923019857</v>
      </c>
      <c r="Y207" s="26" t="n">
        <f aca="false">IF(AND(ISNUMBER(Y131),ISNUMBER(T131)),IFERROR(Y131/T131-1,""),"")</f>
        <v>-9.64014827487887</v>
      </c>
      <c r="Z207" s="26" t="n">
        <f aca="false">IF(AND(ISNUMBER(Z131),ISNUMBER(U131)),IFERROR(Z131/U131-1,""),"")</f>
        <v>-2.39693973868548</v>
      </c>
      <c r="AA207" s="26" t="n">
        <f aca="false">IF(AND(ISNUMBER(AA131),ISNUMBER(V131)),IFERROR(AA131/V131-1,""),"")</f>
        <v>-92.870069605566</v>
      </c>
      <c r="AB207" s="26" t="n">
        <f aca="false">IF(AND(ISNUMBER(AB131),ISNUMBER(W131)),IFERROR(AB131/W131-1,""),"")</f>
        <v>0.319998873937279</v>
      </c>
      <c r="AC207" s="26" t="n">
        <f aca="false">IF(AND(ISNUMBER(AC131),ISNUMBER(X131)),IFERROR(AC131/X131-1,""),"")</f>
        <v>11.6499345264076</v>
      </c>
      <c r="AD207" s="26" t="n">
        <f aca="false">IF(AND(ISNUMBER(AD131),ISNUMBER(Y131)),IFERROR(AD131/Y131-1,""),"")</f>
        <v>0.24292927626151</v>
      </c>
      <c r="AE207" s="26" t="n">
        <f aca="false">IF(AND(ISNUMBER(AE131),ISNUMBER(Z131)),IFERROR(AE131/Z131-1,""),"")</f>
        <v>-0.00839290159678574</v>
      </c>
      <c r="AF207" s="26" t="n">
        <f aca="false">IF(AND(ISNUMBER(AF131),ISNUMBER(AA131)),IFERROR(AF131/AA131-1,""),"")</f>
        <v>0.452495201535508</v>
      </c>
      <c r="AG207" s="26" t="n">
        <f aca="false">IF(AND(ISNUMBER(AG131),ISNUMBER(AB131)),IFERROR(AG131/AB131-1,""),"")</f>
        <v>0.0825140224786201</v>
      </c>
      <c r="AH207" s="26" t="n">
        <f aca="false">IF(AND(ISNUMBER(AH131),ISNUMBER(AC131)),IFERROR(AH131/AC131-1,""),"")</f>
        <v>0.19951692488182</v>
      </c>
      <c r="AI207" s="26" t="n">
        <f aca="false">IF(AND(ISNUMBER(AI131),ISNUMBER(AD131)),IFERROR(AI131/AD131-1,""),"")</f>
        <v>0.419069619244863</v>
      </c>
      <c r="AJ207" s="26" t="n">
        <f aca="false">IF(AND(ISNUMBER(AJ131),ISNUMBER(AE131)),IFERROR(AJ131/AE131-1,""),"")</f>
        <v>0.569917153821326</v>
      </c>
      <c r="AK207" s="26" t="n">
        <f aca="false">IF(AND(ISNUMBER(AK131),ISNUMBER(AF131)),IFERROR(AK131/AF131-1,""),"")</f>
        <v>0.229078643089388</v>
      </c>
      <c r="AL207" s="26" t="n">
        <f aca="false">IF(AND(ISNUMBER(AL131),ISNUMBER(AG131)),IFERROR(AL131/AG131-1,""),"")</f>
        <v>1.08158319870759</v>
      </c>
      <c r="AM207" s="26" t="n">
        <f aca="false">IF(AND(ISNUMBER(AM131),ISNUMBER(AH131)),IFERROR(AM131/AH131-1,""),"")</f>
        <v>0.573871220140839</v>
      </c>
      <c r="AN207" s="26" t="n">
        <f aca="false">IF(AND(ISNUMBER(AN131),ISNUMBER(AI131)),IFERROR(AN131/AI131-1,""),"")</f>
        <v>0.749312377210216</v>
      </c>
      <c r="AO207" s="26" t="n">
        <f aca="false">IF(AND(ISNUMBER(AO131),ISNUMBER(AJ131)),IFERROR(AO131/AJ131-1,""),"")</f>
        <v>0.7087768995294</v>
      </c>
      <c r="AP207" s="26" t="n">
        <f aca="false">IF(AND(ISNUMBER(AP131),ISNUMBER(AK131)),IFERROR(AP131/AK131-1,""),"")</f>
        <v>0.333592688999547</v>
      </c>
      <c r="AQ207" s="26" t="n">
        <f aca="false">IF(AND(ISNUMBER(AQ131),ISNUMBER(AL131)),IFERROR(AQ131/AL131-1,""),"")</f>
        <v>-0.0442090916834665</v>
      </c>
      <c r="AR207" s="26" t="n">
        <f aca="false">IF(AND(ISNUMBER(AR131),ISNUMBER(AM131)),IFERROR(AR131/AM131-1,""),"")</f>
        <v>0.328928513985758</v>
      </c>
      <c r="AS207" s="26" t="n">
        <f aca="false">IF(AND(ISNUMBER(AS131),ISNUMBER(AN131)),IFERROR(AS131/AN131-1,""),"")</f>
        <v>-0.188550892054935</v>
      </c>
      <c r="AT207" s="26" t="n">
        <f aca="false">IF(AND(ISNUMBER(AT131),ISNUMBER(AO131)),IFERROR(AT131/AO131-1,""),"")</f>
        <v>0.0871524064171125</v>
      </c>
      <c r="AU207" s="26" t="n">
        <f aca="false">IF(AND(ISNUMBER(AU131),ISNUMBER(AP131)),IFERROR(AU131/AP131-1,""),"")</f>
        <v>-0.185214651688253</v>
      </c>
      <c r="AV207" s="26" t="n">
        <f aca="false">IF(AND(ISNUMBER(AV131),ISNUMBER(AQ131)),IFERROR(AV131/AQ131-1,""),"")</f>
        <v>-0.453290555126453</v>
      </c>
      <c r="AW207" s="26" t="n">
        <f aca="false">IF(AND(ISNUMBER(AW131),ISNUMBER(AR131)),IFERROR(AW131/AR131-1,""),"")</f>
        <v>-0.204499005630634</v>
      </c>
      <c r="AX207" s="26" t="n">
        <f aca="false">IF(AND(ISNUMBER(AX131),ISNUMBER(AS131)),IFERROR(AX131/AS131-1,""),"")</f>
        <v>0.334084677844564</v>
      </c>
      <c r="AY207" s="26" t="n">
        <f aca="false">IF(AND(ISNUMBER(AY131),ISNUMBER(AT131)),IFERROR(AY131/AT131-1,""),"")</f>
        <v>0.242157429383049</v>
      </c>
      <c r="AZ207" s="26" t="n">
        <f aca="false">IF(AND(ISNUMBER(AZ131),ISNUMBER(AU131)),IFERROR(AZ131/AU131-1,""),"")</f>
        <v>0.168248512544103</v>
      </c>
      <c r="BA207" s="26" t="n">
        <f aca="false">IF(AND(ISNUMBER(BA131),ISNUMBER(AV131)),IFERROR(BA131/AV131-1,""),"")</f>
        <v>1.54274587936968</v>
      </c>
      <c r="BB207" s="26" t="n">
        <f aca="false">IF(AND(ISNUMBER(BB131),ISNUMBER(AW131)),IFERROR(BB131/AW131-1,""),"")</f>
        <v>0.494930878762941</v>
      </c>
      <c r="BC207" s="26" t="n">
        <f aca="false">IF(AND(ISNUMBER(BC131),ISNUMBER(AX131)),IFERROR(BC131/AX131-1,""),"")</f>
        <v>0.267426809868688</v>
      </c>
      <c r="BD207" s="26" t="n">
        <f aca="false">IF(AND(ISNUMBER(BD131),ISNUMBER(AY131)),IFERROR(BD131/AY131-1,""),"")</f>
        <v>0.090801991862272</v>
      </c>
      <c r="BE207" s="26" t="n">
        <f aca="false">IF(AND(ISNUMBER(BE131),ISNUMBER(AZ131)),IFERROR(BE131/AZ131-1,""),"")</f>
        <v>-0.0490683368252131</v>
      </c>
      <c r="BF207" s="26" t="n">
        <f aca="false">IF(AND(ISNUMBER(BF131),ISNUMBER(BA131)),IFERROR(BF131/BA131-1,""),"")</f>
        <v>-0.0941909748192468</v>
      </c>
      <c r="BG207" s="26" t="n">
        <f aca="false">IF(AND(ISNUMBER(BG131),ISNUMBER(BB131)),IFERROR(BG131/BB131-1,""),"")</f>
        <v>0.0430497505418224</v>
      </c>
      <c r="BH207" s="26" t="n">
        <f aca="false">IF(AND(ISNUMBER(BH131),ISNUMBER(BC131)),IFERROR(BH131/BC131-1,""),"")</f>
        <v>-0.436983044240889</v>
      </c>
      <c r="BI207" s="26" t="n">
        <f aca="false">IF(AND(ISNUMBER(BI131),ISNUMBER(BD131)),IFERROR(BI131/BD131-1,""),"")</f>
        <v>-0.281685922510732</v>
      </c>
      <c r="BJ207" s="26" t="n">
        <f aca="false">IF(AND(ISNUMBER(BJ131),ISNUMBER(BE131)),IFERROR(BJ131/BE131-1,""),"")</f>
        <v>-0.278158656494275</v>
      </c>
      <c r="BK207" s="26" t="n">
        <f aca="false">IF(AND(ISNUMBER(BK131),ISNUMBER(BF131)),IFERROR(BK131/BF131-1,""),"")</f>
        <v>-0.45471917711266</v>
      </c>
      <c r="BL207" s="26" t="n">
        <f aca="false">IF(AND(ISNUMBER(BL131),ISNUMBER(BG131)),IFERROR(BL131/BG131-1,""),"")</f>
        <v>-0.37398685882439</v>
      </c>
      <c r="BM207" s="26" t="n">
        <f aca="false">IF(AND(ISNUMBER(BM131),ISNUMBER(BH131)),IFERROR(BM131/BH131-1,""),"")</f>
        <v>-1.59262541366085</v>
      </c>
      <c r="BN207" s="26" t="n">
        <f aca="false">IF(AND(ISNUMBER(BN131),ISNUMBER(BI131)),IFERROR(BN131/BI131-1,""),"")</f>
        <v>-1.20342152477699</v>
      </c>
      <c r="BO207" s="26" t="n">
        <f aca="false">IF(AND(ISNUMBER(BO131),ISNUMBER(BJ131)),IFERROR(BO131/BJ131-1,""),"")</f>
        <v>-0.615222261908627</v>
      </c>
      <c r="BP207" s="26" t="n">
        <f aca="false">IF(AND(ISNUMBER(BP131),ISNUMBER(BK131)),IFERROR(BP131/BK131-1,""),"")</f>
        <v>-0.423124071590302</v>
      </c>
      <c r="BQ207" s="26" t="n">
        <f aca="false">IF(AND(ISNUMBER(BQ131),ISNUMBER(BL131)),IFERROR(BQ131/BL131-1,""),"")</f>
        <v>-0.983351044987603</v>
      </c>
      <c r="BR207" s="26" t="n">
        <f aca="false">IF(AND(ISNUMBER(BR131),ISNUMBER(BM131)),IFERROR(BR131/BM131-1,""),"")</f>
        <v>0</v>
      </c>
      <c r="BS207" s="26" t="n">
        <f aca="false">IF(AND(ISNUMBER(BS131),ISNUMBER(BN131)),IFERROR(BS131/BN131-1,""),"")</f>
        <v>0.68944099378882</v>
      </c>
      <c r="BT207" s="26" t="n">
        <f aca="false">IF(AND(ISNUMBER(BT131),ISNUMBER(BO131)),IFERROR(BT131/BO131-1,""),"")</f>
        <v>-3.15611814345991</v>
      </c>
      <c r="BU207" s="26" t="n">
        <f aca="false">IF(AND(ISNUMBER(BU131),ISNUMBER(BP131)),IFERROR(BU131/BP131-1,""),"")</f>
        <v>0.227500000000003</v>
      </c>
      <c r="BV207" s="26" t="n">
        <f aca="false">IF(AND(ISNUMBER(BV131),ISNUMBER(BQ131)),IFERROR(BV131/BQ131-1,""),"")</f>
        <v>-16.3191489361708</v>
      </c>
      <c r="BW207" s="26" t="n">
        <f aca="false">IF(AND(ISNUMBER(BW131),ISNUMBER(BR131)),IFERROR(BW131/BR131-1,""),"")</f>
        <v>-1.07009345794393</v>
      </c>
      <c r="BX207" s="26" t="n">
        <f aca="false">IF(AND(ISNUMBER(BX131),ISNUMBER(BS131)),IFERROR(BX131/BS131-1,""),"")</f>
        <v>-3.79411764705882</v>
      </c>
      <c r="BY207" s="27" t="n">
        <f aca="false">IF(AND(ISNUMBER(BY131),ISNUMBER(BT131)),IFERROR(BY131/BT131-1,""),"")</f>
        <v>-2.44360535075247</v>
      </c>
      <c r="BZ207" s="27" t="n">
        <f aca="false">IF(AND(ISNUMBER(BZ131),ISNUMBER(BU131)),IFERROR(BZ131/BU131-1,""),"")</f>
        <v>2.14909705105265</v>
      </c>
      <c r="CA207" s="27" t="n">
        <f aca="false">IF(AND(ISNUMBER(CA131),ISNUMBER(BV131)),IFERROR(CA131/BV131-1,""),"")</f>
        <v>-5.26929025875191</v>
      </c>
      <c r="CB207" s="27" t="n">
        <f aca="false">IF(AND(ISNUMBER(CB131),ISNUMBER(CA131)),IFERROR(CB131/CA131-1,""),"")</f>
        <v>0.528453412063464</v>
      </c>
      <c r="CC207" s="27" t="n">
        <f aca="false">IF(AND(ISNUMBER(CC131),ISNUMBER(CB131)),IFERROR(CC131/CB131-1,""),"")</f>
        <v>0.502929111670249</v>
      </c>
      <c r="CD207" s="27" t="n">
        <f aca="false">IF(AND(ISNUMBER(CD131),ISNUMBER(CC131)),IFERROR(CD131/CC131-1,""),"")</f>
        <v>0.351108260116766</v>
      </c>
      <c r="CE207" s="27" t="n">
        <f aca="false">IF(AND(ISNUMBER(CE131),ISNUMBER(CD131)),IFERROR(CE131/CD131-1,""),"")</f>
        <v>0.305276403686006</v>
      </c>
      <c r="CF207" s="28"/>
    </row>
    <row r="208" customFormat="false" ht="15" hidden="false" customHeight="true" outlineLevel="0" collapsed="false">
      <c r="B208" s="24" t="s">
        <v>414</v>
      </c>
      <c r="C208" s="25"/>
      <c r="D208" s="26" t="n">
        <f aca="false">IF(AND(ISNUMBER(D138),ISNUMBER(C138)),IFERROR(D138/C138-1,""),"")</f>
        <v>0.285334407735696</v>
      </c>
      <c r="E208" s="26" t="n">
        <f aca="false">IF(AND(ISNUMBER(E138),ISNUMBER(D138)),IFERROR(E138/D138-1,""),"")</f>
        <v>0.543664973982821</v>
      </c>
      <c r="F208" s="26" t="n">
        <f aca="false">IF(AND(ISNUMBER(F138),ISNUMBER(E138)),IFERROR(F138/E138-1,""),"")</f>
        <v>-0.240831742679609</v>
      </c>
      <c r="G208" s="26" t="n">
        <f aca="false">IF(AND(ISNUMBER(G138),ISNUMBER(F138)),IFERROR(G138/F138-1,""),"")</f>
        <v>-0.289092173540898</v>
      </c>
      <c r="H208" s="26" t="n">
        <f aca="false">IF(AND(ISNUMBER(H138),ISNUMBER(G138)),IFERROR(H138/G138-1,""),"")</f>
        <v>0.102867032884344</v>
      </c>
      <c r="I208" s="26" t="n">
        <f aca="false">IF(AND(ISNUMBER(I138),ISNUMBER(H138)),IFERROR(I138/H138-1,""),"")</f>
        <v>-0.323485262008735</v>
      </c>
      <c r="J208" s="25"/>
      <c r="K208" s="25"/>
      <c r="L208" s="25"/>
      <c r="M208" s="25"/>
      <c r="N208" s="26" t="n">
        <f aca="false">IF(AND(ISNUMBER(N138),ISNUMBER(I138)),IFERROR(N138/I138-1,""),"")</f>
        <v>1.99889056984367</v>
      </c>
      <c r="O208" s="26" t="n">
        <f aca="false">IF(AND(ISNUMBER(O138),ISNUMBER(J138)),IFERROR(O138/J138-1,""),"")</f>
        <v>-5.04149377593359</v>
      </c>
      <c r="P208" s="26" t="n">
        <f aca="false">IF(AND(ISNUMBER(P138),ISNUMBER(K138)),IFERROR(P138/K138-1,""),"")</f>
        <v>-0.00530567948872551</v>
      </c>
      <c r="Q208" s="26" t="n">
        <f aca="false">IF(AND(ISNUMBER(Q138),ISNUMBER(L138)),IFERROR(Q138/L138-1,""),"")</f>
        <v>0.172366992399566</v>
      </c>
      <c r="R208" s="26" t="n">
        <f aca="false">IF(AND(ISNUMBER(R138),ISNUMBER(M138)),IFERROR(R138/M138-1,""),"")</f>
        <v>0.0878193608875701</v>
      </c>
      <c r="S208" s="26" t="n">
        <f aca="false">IF(AND(ISNUMBER(S138),ISNUMBER(N138)),IFERROR(S138/N138-1,""),"")</f>
        <v>0.509013250823972</v>
      </c>
      <c r="T208" s="26" t="n">
        <f aca="false">IF(AND(ISNUMBER(T138),ISNUMBER(O138)),IFERROR(T138/O138-1,""),"")</f>
        <v>-1.62905544147844</v>
      </c>
      <c r="U208" s="26" t="n">
        <f aca="false">IF(AND(ISNUMBER(U138),ISNUMBER(P138)),IFERROR(U138/P138-1,""),"")</f>
        <v>-2.81428051885077</v>
      </c>
      <c r="V208" s="26" t="n">
        <f aca="false">IF(AND(ISNUMBER(V138),ISNUMBER(Q138)),IFERROR(V138/Q138-1,""),"")</f>
        <v>-1.41383036196651</v>
      </c>
      <c r="W208" s="26" t="n">
        <f aca="false">IF(AND(ISNUMBER(W138),ISNUMBER(R138)),IFERROR(W138/R138-1,""),"")</f>
        <v>0.651224592401061</v>
      </c>
      <c r="X208" s="26" t="n">
        <f aca="false">IF(AND(ISNUMBER(X138),ISNUMBER(S138)),IFERROR(X138/S138-1,""),"")</f>
        <v>-1.07722481000245</v>
      </c>
      <c r="Y208" s="26" t="n">
        <f aca="false">IF(AND(ISNUMBER(Y138),ISNUMBER(T138)),IFERROR(Y138/T138-1,""),"")</f>
        <v>-3.72906805940918</v>
      </c>
      <c r="Z208" s="26" t="n">
        <f aca="false">IF(AND(ISNUMBER(Z138),ISNUMBER(U138)),IFERROR(Z138/U138-1,""),"")</f>
        <v>-2.04075905385541</v>
      </c>
      <c r="AA208" s="26" t="n">
        <f aca="false">IF(AND(ISNUMBER(AA138),ISNUMBER(V138)),IFERROR(AA138/V138-1,""),"")</f>
        <v>-5.32693024990674</v>
      </c>
      <c r="AB208" s="26" t="n">
        <f aca="false">IF(AND(ISNUMBER(AB138),ISNUMBER(W138)),IFERROR(AB138/W138-1,""),"")</f>
        <v>0.286341887777295</v>
      </c>
      <c r="AC208" s="26" t="n">
        <f aca="false">IF(AND(ISNUMBER(AC138),ISNUMBER(X138)),IFERROR(AC138/X138-1,""),"")</f>
        <v>-25.5515151515154</v>
      </c>
      <c r="AD208" s="26" t="n">
        <f aca="false">IF(AND(ISNUMBER(AD138),ISNUMBER(Y138)),IFERROR(AD138/Y138-1,""),"")</f>
        <v>0.323485437473836</v>
      </c>
      <c r="AE208" s="26" t="n">
        <f aca="false">IF(AND(ISNUMBER(AE138),ISNUMBER(Z138)),IFERROR(AE138/Z138-1,""),"")</f>
        <v>0.424242424242423</v>
      </c>
      <c r="AF208" s="26" t="n">
        <f aca="false">IF(AND(ISNUMBER(AF138),ISNUMBER(AA138)),IFERROR(AF138/AA138-1,""),"")</f>
        <v>0.473083056764793</v>
      </c>
      <c r="AG208" s="26" t="n">
        <f aca="false">IF(AND(ISNUMBER(AG138),ISNUMBER(AB138)),IFERROR(AG138/AB138-1,""),"")</f>
        <v>0.494741825313632</v>
      </c>
      <c r="AH208" s="26" t="n">
        <f aca="false">IF(AND(ISNUMBER(AH138),ISNUMBER(AC138)),IFERROR(AH138/AC138-1,""),"")</f>
        <v>0.4422658720363</v>
      </c>
      <c r="AI208" s="26" t="n">
        <f aca="false">IF(AND(ISNUMBER(AI138),ISNUMBER(AD138)),IFERROR(AI138/AD138-1,""),"")</f>
        <v>1.36018978761862</v>
      </c>
      <c r="AJ208" s="26" t="n">
        <f aca="false">IF(AND(ISNUMBER(AJ138),ISNUMBER(AE138)),IFERROR(AJ138/AE138-1,""),"")</f>
        <v>0.975973674720521</v>
      </c>
      <c r="AK208" s="26" t="n">
        <f aca="false">IF(AND(ISNUMBER(AK138),ISNUMBER(AF138)),IFERROR(AK138/AF138-1,""),"")</f>
        <v>0.719255639757732</v>
      </c>
      <c r="AL208" s="26" t="n">
        <f aca="false">IF(AND(ISNUMBER(AL138),ISNUMBER(AG138)),IFERROR(AL138/AG138-1,""),"")</f>
        <v>0.889172925527102</v>
      </c>
      <c r="AM208" s="26" t="n">
        <f aca="false">IF(AND(ISNUMBER(AM138),ISNUMBER(AH138)),IFERROR(AM138/AH138-1,""),"")</f>
        <v>0.942491544072702</v>
      </c>
      <c r="AN208" s="26" t="n">
        <f aca="false">IF(AND(ISNUMBER(AN138),ISNUMBER(AI138)),IFERROR(AN138/AI138-1,""),"")</f>
        <v>0.630621661465413</v>
      </c>
      <c r="AO208" s="26" t="n">
        <f aca="false">IF(AND(ISNUMBER(AO138),ISNUMBER(AJ138)),IFERROR(AO138/AJ138-1,""),"")</f>
        <v>0.442865290293144</v>
      </c>
      <c r="AP208" s="26" t="n">
        <f aca="false">IF(AND(ISNUMBER(AP138),ISNUMBER(AK138)),IFERROR(AP138/AK138-1,""),"")</f>
        <v>0.337990775881142</v>
      </c>
      <c r="AQ208" s="26" t="n">
        <f aca="false">IF(AND(ISNUMBER(AQ138),ISNUMBER(AL138)),IFERROR(AQ138/AL138-1,""),"")</f>
        <v>0.0529044773617211</v>
      </c>
      <c r="AR208" s="26" t="n">
        <f aca="false">IF(AND(ISNUMBER(AR138),ISNUMBER(AM138)),IFERROR(AR138/AM138-1,""),"")</f>
        <v>0.321519380365368</v>
      </c>
      <c r="AS208" s="26" t="n">
        <f aca="false">IF(AND(ISNUMBER(AS138),ISNUMBER(AN138)),IFERROR(AS138/AN138-1,""),"")</f>
        <v>-0.145311087367469</v>
      </c>
      <c r="AT208" s="26" t="n">
        <f aca="false">IF(AND(ISNUMBER(AT138),ISNUMBER(AO138)),IFERROR(AT138/AO138-1,""),"")</f>
        <v>-0.0456615228940045</v>
      </c>
      <c r="AU208" s="26" t="n">
        <f aca="false">IF(AND(ISNUMBER(AU138),ISNUMBER(AP138)),IFERROR(AU138/AP138-1,""),"")</f>
        <v>-0.259899006601457</v>
      </c>
      <c r="AV208" s="26" t="n">
        <f aca="false">IF(AND(ISNUMBER(AV138),ISNUMBER(AQ138)),IFERROR(AV138/AQ138-1,""),"")</f>
        <v>-0.592969167604945</v>
      </c>
      <c r="AW208" s="26" t="n">
        <f aca="false">IF(AND(ISNUMBER(AW138),ISNUMBER(AR138)),IFERROR(AW138/AR138-1,""),"")</f>
        <v>-0.278874026472951</v>
      </c>
      <c r="AX208" s="26" t="n">
        <f aca="false">IF(AND(ISNUMBER(AX138),ISNUMBER(AS138)),IFERROR(AX138/AS138-1,""),"")</f>
        <v>0.019493632629511</v>
      </c>
      <c r="AY208" s="26" t="n">
        <f aca="false">IF(AND(ISNUMBER(AY138),ISNUMBER(AT138)),IFERROR(AY138/AT138-1,""),"")</f>
        <v>0.0130550033134547</v>
      </c>
      <c r="AZ208" s="26" t="n">
        <f aca="false">IF(AND(ISNUMBER(AZ138),ISNUMBER(AU138)),IFERROR(AZ138/AU138-1,""),"")</f>
        <v>0.105145567662324</v>
      </c>
      <c r="BA208" s="26" t="n">
        <f aca="false">IF(AND(ISNUMBER(BA138),ISNUMBER(AV138)),IFERROR(BA138/AV138-1,""),"")</f>
        <v>1.59576964989243</v>
      </c>
      <c r="BB208" s="26" t="n">
        <f aca="false">IF(AND(ISNUMBER(BB138),ISNUMBER(AW138)),IFERROR(BB138/AW138-1,""),"")</f>
        <v>0.288101863266528</v>
      </c>
      <c r="BC208" s="26" t="n">
        <f aca="false">IF(AND(ISNUMBER(BC138),ISNUMBER(AX138)),IFERROR(BC138/AX138-1,""),"")</f>
        <v>0.203551986201693</v>
      </c>
      <c r="BD208" s="26" t="n">
        <f aca="false">IF(AND(ISNUMBER(BD138),ISNUMBER(AY138)),IFERROR(BD138/AY138-1,""),"")</f>
        <v>0.365097795512526</v>
      </c>
      <c r="BE208" s="26" t="n">
        <f aca="false">IF(AND(ISNUMBER(BE138),ISNUMBER(AZ138)),IFERROR(BE138/AZ138-1,""),"")</f>
        <v>0.124191341129634</v>
      </c>
      <c r="BF208" s="26" t="n">
        <f aca="false">IF(AND(ISNUMBER(BF138),ISNUMBER(BA138)),IFERROR(BF138/BA138-1,""),"")</f>
        <v>0.338772874058128</v>
      </c>
      <c r="BG208" s="26" t="n">
        <f aca="false">IF(AND(ISNUMBER(BG138),ISNUMBER(BB138)),IFERROR(BG138/BB138-1,""),"")</f>
        <v>0.26281087215105</v>
      </c>
      <c r="BH208" s="26" t="n">
        <f aca="false">IF(AND(ISNUMBER(BH138),ISNUMBER(BC138)),IFERROR(BH138/BC138-1,""),"")</f>
        <v>-0.0244855460265578</v>
      </c>
      <c r="BI208" s="26" t="n">
        <f aca="false">IF(AND(ISNUMBER(BI138),ISNUMBER(BD138)),IFERROR(BI138/BD138-1,""),"")</f>
        <v>0.204221724389922</v>
      </c>
      <c r="BJ208" s="26" t="n">
        <f aca="false">IF(AND(ISNUMBER(BJ138),ISNUMBER(BE138)),IFERROR(BJ138/BE138-1,""),"")</f>
        <v>0.252925715866648</v>
      </c>
      <c r="BK208" s="26" t="n">
        <f aca="false">IF(AND(ISNUMBER(BK138),ISNUMBER(BF138)),IFERROR(BK138/BF138-1,""),"")</f>
        <v>-0.224302897758339</v>
      </c>
      <c r="BL208" s="26" t="n">
        <f aca="false">IF(AND(ISNUMBER(BL138),ISNUMBER(BG138)),IFERROR(BL138/BG138-1,""),"")</f>
        <v>0.0142020771248308</v>
      </c>
      <c r="BM208" s="26" t="n">
        <f aca="false">IF(AND(ISNUMBER(BM138),ISNUMBER(BH138)),IFERROR(BM138/BH138-1,""),"")</f>
        <v>-0.923104291239627</v>
      </c>
      <c r="BN208" s="26" t="n">
        <f aca="false">IF(AND(ISNUMBER(BN138),ISNUMBER(BI138)),IFERROR(BN138/BI138-1,""),"")</f>
        <v>-0.808993235177079</v>
      </c>
      <c r="BO208" s="26" t="n">
        <f aca="false">IF(AND(ISNUMBER(BO138),ISNUMBER(BJ138)),IFERROR(BO138/BJ138-1,""),"")</f>
        <v>-0.414843111709762</v>
      </c>
      <c r="BP208" s="26" t="n">
        <f aca="false">IF(AND(ISNUMBER(BP138),ISNUMBER(BK138)),IFERROR(BP138/BK138-1,""),"")</f>
        <v>-0.380150298004664</v>
      </c>
      <c r="BQ208" s="26" t="n">
        <f aca="false">IF(AND(ISNUMBER(BQ138),ISNUMBER(BL138)),IFERROR(BQ138/BL138-1,""),"")</f>
        <v>-0.62983720309581</v>
      </c>
      <c r="BR208" s="26" t="n">
        <f aca="false">IF(AND(ISNUMBER(BR138),ISNUMBER(BM138)),IFERROR(BR138/BM138-1,""),"")</f>
        <v>-3.20895522388057</v>
      </c>
      <c r="BS208" s="26" t="n">
        <f aca="false">IF(AND(ISNUMBER(BS138),ISNUMBER(BN138)),IFERROR(BS138/BN138-1,""),"")</f>
        <v>-0.677083333333335</v>
      </c>
      <c r="BT208" s="26" t="n">
        <f aca="false">IF(AND(ISNUMBER(BT138),ISNUMBER(BO138)),IFERROR(BT138/BO138-1,""),"")</f>
        <v>-1.58301886792453</v>
      </c>
      <c r="BU208" s="26" t="n">
        <f aca="false">IF(AND(ISNUMBER(BU138),ISNUMBER(BP138)),IFERROR(BU138/BP138-1,""),"")</f>
        <v>-0.222408026755851</v>
      </c>
      <c r="BV208" s="26" t="n">
        <f aca="false">IF(AND(ISNUMBER(BV138),ISNUMBER(BQ138)),IFERROR(BV138/BQ138-1,""),"")</f>
        <v>-0.949531362653208</v>
      </c>
      <c r="BW208" s="26" t="n">
        <f aca="false">IF(AND(ISNUMBER(BW138),ISNUMBER(BR138)),IFERROR(BW138/BR138-1,""),"")</f>
        <v>-1.2027027027027</v>
      </c>
      <c r="BX208" s="26" t="n">
        <f aca="false">IF(AND(ISNUMBER(BX138),ISNUMBER(BS138)),IFERROR(BX138/BS138-1,""),"")</f>
        <v>7.87096774193555</v>
      </c>
      <c r="BY208" s="27" t="n">
        <f aca="false">IF(AND(ISNUMBER(BY138),ISNUMBER(BT138)),IFERROR(BY138/BT138-1,""),"")</f>
        <v>-2.73100465730171</v>
      </c>
      <c r="BZ208" s="27" t="n">
        <f aca="false">IF(AND(ISNUMBER(BZ138),ISNUMBER(BU138)),IFERROR(BZ138/BU138-1,""),"")</f>
        <v>1.40954869548746</v>
      </c>
      <c r="CA208" s="27" t="n">
        <f aca="false">IF(AND(ISNUMBER(CA138),ISNUMBER(BV138)),IFERROR(CA138/BV138-1,""),"")</f>
        <v>30.9331511786844</v>
      </c>
      <c r="CB208" s="27" t="n">
        <f aca="false">IF(AND(ISNUMBER(CB138),ISNUMBER(CA138)),IFERROR(CB138/CA138-1,""),"")</f>
        <v>0.483816147664387</v>
      </c>
      <c r="CC208" s="27" t="n">
        <f aca="false">IF(AND(ISNUMBER(CC138),ISNUMBER(CB138)),IFERROR(CC138/CB138-1,""),"")</f>
        <v>0.505559002929703</v>
      </c>
      <c r="CD208" s="27" t="n">
        <f aca="false">IF(AND(ISNUMBER(CD138),ISNUMBER(CC138)),IFERROR(CD138/CC138-1,""),"")</f>
        <v>0.356478897866189</v>
      </c>
      <c r="CE208" s="27" t="n">
        <f aca="false">IF(AND(ISNUMBER(CE138),ISNUMBER(CD138)),IFERROR(CE138/CD138-1,""),"")</f>
        <v>0.29328820527729</v>
      </c>
      <c r="CF208" s="28"/>
    </row>
    <row r="209" customFormat="false" ht="15" hidden="false" customHeight="true" outlineLevel="0" collapsed="false">
      <c r="B209" s="24" t="s">
        <v>415</v>
      </c>
      <c r="C209" s="25"/>
      <c r="D209" s="26" t="n">
        <f aca="false">IF(AND(ISNUMBER(D196),ISNUMBER(C196)),IFERROR(D196/C196-1,""),"")</f>
        <v>0.447705839379472</v>
      </c>
      <c r="E209" s="26" t="n">
        <f aca="false">IF(AND(ISNUMBER(E196),ISNUMBER(D196)),IFERROR(E196/D196-1,""),"")</f>
        <v>0.46180376065837</v>
      </c>
      <c r="F209" s="26" t="n">
        <f aca="false">IF(AND(ISNUMBER(F196),ISNUMBER(E196)),IFERROR(F196/E196-1,""),"")</f>
        <v>-0.193203344001471</v>
      </c>
      <c r="G209" s="26" t="n">
        <f aca="false">IF(AND(ISNUMBER(G196),ISNUMBER(F196)),IFERROR(G196/F196-1,""),"")</f>
        <v>-0.121648990977757</v>
      </c>
      <c r="H209" s="26" t="n">
        <f aca="false">IF(AND(ISNUMBER(H196),ISNUMBER(G196)),IFERROR(H196/G196-1,""),"")</f>
        <v>0.000790768644668205</v>
      </c>
      <c r="I209" s="26" t="n">
        <f aca="false">IF(AND(ISNUMBER(I196),ISNUMBER(H196)),IFERROR(I196/H196-1,""),"")</f>
        <v>0.331903050147343</v>
      </c>
      <c r="J209" s="25"/>
      <c r="K209" s="25"/>
      <c r="L209" s="25"/>
      <c r="M209" s="25"/>
      <c r="N209" s="26" t="n">
        <f aca="false">IF(AND(ISNUMBER(N196),ISNUMBER(I196)),IFERROR(N196/I196-1,""),"")</f>
        <v>0.563366224796149</v>
      </c>
      <c r="O209" s="26" t="n">
        <f aca="false">IF(AND(ISNUMBER(O196),ISNUMBER(J196)),IFERROR(O196/J196-1,""),"")</f>
        <v>0.468285174819681</v>
      </c>
      <c r="P209" s="26" t="n">
        <f aca="false">IF(AND(ISNUMBER(P196),ISNUMBER(K196)),IFERROR(P196/K196-1,""),"")</f>
        <v>0.300578688636744</v>
      </c>
      <c r="Q209" s="26" t="n">
        <f aca="false">IF(AND(ISNUMBER(Q196),ISNUMBER(L196)),IFERROR(Q196/L196-1,""),"")</f>
        <v>0.222196608749839</v>
      </c>
      <c r="R209" s="26" t="n">
        <f aca="false">IF(AND(ISNUMBER(R196),ISNUMBER(M196)),IFERROR(R196/M196-1,""),"")</f>
        <v>0.189008746818567</v>
      </c>
      <c r="S209" s="26" t="n">
        <f aca="false">IF(AND(ISNUMBER(S196),ISNUMBER(N196)),IFERROR(S196/N196-1,""),"")</f>
        <v>0.279902821576113</v>
      </c>
      <c r="T209" s="26" t="n">
        <f aca="false">IF(AND(ISNUMBER(T196),ISNUMBER(O196)),IFERROR(T196/O196-1,""),"")</f>
        <v>-0.510779123135211</v>
      </c>
      <c r="U209" s="26" t="n">
        <f aca="false">IF(AND(ISNUMBER(U196),ISNUMBER(P196)),IFERROR(U196/P196-1,""),"")</f>
        <v>-0.905419319348649</v>
      </c>
      <c r="V209" s="26" t="n">
        <f aca="false">IF(AND(ISNUMBER(V196),ISNUMBER(Q196)),IFERROR(V196/Q196-1,""),"")</f>
        <v>-0.387510027343883</v>
      </c>
      <c r="W209" s="26" t="n">
        <f aca="false">IF(AND(ISNUMBER(W196),ISNUMBER(R196)),IFERROR(W196/R196-1,""),"")</f>
        <v>0.185482807347071</v>
      </c>
      <c r="X209" s="26" t="n">
        <f aca="false">IF(AND(ISNUMBER(X196),ISNUMBER(S196)),IFERROR(X196/S196-1,""),"")</f>
        <v>-0.380033866960031</v>
      </c>
      <c r="Y209" s="26" t="n">
        <f aca="false">IF(AND(ISNUMBER(Y196),ISNUMBER(T196)),IFERROR(Y196/T196-1,""),"")</f>
        <v>1.83038416847847</v>
      </c>
      <c r="Z209" s="26" t="n">
        <f aca="false">IF(AND(ISNUMBER(Z196),ISNUMBER(U196)),IFERROR(Z196/U196-1,""),"")</f>
        <v>11.0479108235593</v>
      </c>
      <c r="AA209" s="26" t="n">
        <f aca="false">IF(AND(ISNUMBER(AA196),ISNUMBER(V196)),IFERROR(AA196/V196-1,""),"")</f>
        <v>1.08077953857169</v>
      </c>
      <c r="AB209" s="26" t="n">
        <f aca="false">IF(AND(ISNUMBER(AB196),ISNUMBER(W196)),IFERROR(AB196/W196-1,""),"")</f>
        <v>0.173641958498302</v>
      </c>
      <c r="AC209" s="26" t="n">
        <f aca="false">IF(AND(ISNUMBER(AC196),ISNUMBER(X196)),IFERROR(AC196/X196-1,""),"")</f>
        <v>1.08334848162341</v>
      </c>
      <c r="AD209" s="26" t="n">
        <f aca="false">IF(AND(ISNUMBER(AD196),ISNUMBER(Y196)),IFERROR(AD196/Y196-1,""),"")</f>
        <v>0.108463405511815</v>
      </c>
      <c r="AE209" s="26" t="n">
        <f aca="false">IF(AND(ISNUMBER(AE196),ISNUMBER(Z196)),IFERROR(AE196/Z196-1,""),"")</f>
        <v>-0.0472899049845218</v>
      </c>
      <c r="AF209" s="26" t="n">
        <f aca="false">IF(AND(ISNUMBER(AF196),ISNUMBER(AA196)),IFERROR(AF196/AA196-1,""),"")</f>
        <v>0.269793928953583</v>
      </c>
      <c r="AG209" s="26" t="n">
        <f aca="false">IF(AND(ISNUMBER(AG196),ISNUMBER(AB196)),IFERROR(AG196/AB196-1,""),"")</f>
        <v>-0.0282305563926643</v>
      </c>
      <c r="AH209" s="26" t="n">
        <f aca="false">IF(AND(ISNUMBER(AH196),ISNUMBER(AC196)),IFERROR(AH196/AC196-1,""),"")</f>
        <v>0.078980241786317</v>
      </c>
      <c r="AI209" s="26" t="n">
        <f aca="false">IF(AND(ISNUMBER(AI196),ISNUMBER(AD196)),IFERROR(AI196/AD196-1,""),"")</f>
        <v>0.570595290726566</v>
      </c>
      <c r="AJ209" s="26" t="n">
        <f aca="false">IF(AND(ISNUMBER(AJ196),ISNUMBER(AE196)),IFERROR(AJ196/AE196-1,""),"")</f>
        <v>0.917742650426145</v>
      </c>
      <c r="AK209" s="26" t="n">
        <f aca="false">IF(AND(ISNUMBER(AK196),ISNUMBER(AF196)),IFERROR(AK196/AF196-1,""),"")</f>
        <v>0.530485242062088</v>
      </c>
      <c r="AL209" s="26" t="n">
        <f aca="false">IF(AND(ISNUMBER(AL196),ISNUMBER(AG196)),IFERROR(AL196/AG196-1,""),"")</f>
        <v>1.24052780066758</v>
      </c>
      <c r="AM209" s="26" t="n">
        <f aca="false">IF(AND(ISNUMBER(AM196),ISNUMBER(AH196)),IFERROR(AM196/AH196-1,""),"")</f>
        <v>0.802181351949634</v>
      </c>
      <c r="AN209" s="26" t="n">
        <f aca="false">IF(AND(ISNUMBER(AN196),ISNUMBER(AI196)),IFERROR(AN196/AI196-1,""),"")</f>
        <v>0.529769122817798</v>
      </c>
      <c r="AO209" s="26" t="n">
        <f aca="false">IF(AND(ISNUMBER(AO196),ISNUMBER(AJ196)),IFERROR(AO196/AJ196-1,""),"")</f>
        <v>0.342732576989749</v>
      </c>
      <c r="AP209" s="26" t="n">
        <f aca="false">IF(AND(ISNUMBER(AP196),ISNUMBER(AK196)),IFERROR(AP196/AK196-1,""),"")</f>
        <v>0.21076801298582</v>
      </c>
      <c r="AQ209" s="26" t="n">
        <f aca="false">IF(AND(ISNUMBER(AQ196),ISNUMBER(AL196)),IFERROR(AQ196/AL196-1,""),"")</f>
        <v>0.00495446335298455</v>
      </c>
      <c r="AR209" s="26" t="n">
        <f aca="false">IF(AND(ISNUMBER(AR196),ISNUMBER(AM196)),IFERROR(AR196/AM196-1,""),"")</f>
        <v>0.230906558856791</v>
      </c>
      <c r="AS209" s="26" t="n">
        <f aca="false">IF(AND(ISNUMBER(AS196),ISNUMBER(AN196)),IFERROR(AS196/AN196-1,""),"")</f>
        <v>-0.033984693537314</v>
      </c>
      <c r="AT209" s="26" t="n">
        <f aca="false">IF(AND(ISNUMBER(AT196),ISNUMBER(AO196)),IFERROR(AT196/AO196-1,""),"")</f>
        <v>0.0517718937107161</v>
      </c>
      <c r="AU209" s="26" t="n">
        <f aca="false">IF(AND(ISNUMBER(AU196),ISNUMBER(AP196)),IFERROR(AU196/AP196-1,""),"")</f>
        <v>-0.133517429664371</v>
      </c>
      <c r="AV209" s="26" t="n">
        <f aca="false">IF(AND(ISNUMBER(AV196),ISNUMBER(AQ196)),IFERROR(AV196/AQ196-1,""),"")</f>
        <v>0.0112810659519436</v>
      </c>
      <c r="AW209" s="26" t="n">
        <f aca="false">IF(AND(ISNUMBER(AW196),ISNUMBER(AR196)),IFERROR(AW196/AR196-1,""),"")</f>
        <v>-0.0274897251336778</v>
      </c>
      <c r="AX209" s="26" t="n">
        <f aca="false">IF(AND(ISNUMBER(AX196),ISNUMBER(AS196)),IFERROR(AX196/AS196-1,""),"")</f>
        <v>0.124809923032962</v>
      </c>
      <c r="AY209" s="26" t="n">
        <f aca="false">IF(AND(ISNUMBER(AY196),ISNUMBER(AT196)),IFERROR(AY196/AT196-1,""),"")</f>
        <v>0.115239155825775</v>
      </c>
      <c r="AZ209" s="26" t="n">
        <f aca="false">IF(AND(ISNUMBER(AZ196),ISNUMBER(AU196)),IFERROR(AZ196/AU196-1,""),"")</f>
        <v>0.10817972926035</v>
      </c>
      <c r="BA209" s="26" t="n">
        <f aca="false">IF(AND(ISNUMBER(BA196),ISNUMBER(AV196)),IFERROR(BA196/AV196-1,""),"")</f>
        <v>0.224110223275435</v>
      </c>
      <c r="BB209" s="26" t="n">
        <f aca="false">IF(AND(ISNUMBER(BB196),ISNUMBER(AW196)),IFERROR(BB196/AW196-1,""),"")</f>
        <v>0.146468383386731</v>
      </c>
      <c r="BC209" s="26" t="n">
        <f aca="false">IF(AND(ISNUMBER(BC196),ISNUMBER(AX196)),IFERROR(BC196/AX196-1,""),"")</f>
        <v>0.135339216377513</v>
      </c>
      <c r="BD209" s="26" t="n">
        <f aca="false">IF(AND(ISNUMBER(BD196),ISNUMBER(AY196)),IFERROR(BD196/AY196-1,""),"")</f>
        <v>0.0892844854546036</v>
      </c>
      <c r="BE209" s="26" t="n">
        <f aca="false">IF(AND(ISNUMBER(BE196),ISNUMBER(AZ196)),IFERROR(BE196/AZ196-1,""),"")</f>
        <v>0.187696650051019</v>
      </c>
      <c r="BF209" s="26" t="n">
        <f aca="false">IF(AND(ISNUMBER(BF196),ISNUMBER(BA196)),IFERROR(BF196/BA196-1,""),"")</f>
        <v>0.079287976809721</v>
      </c>
      <c r="BG209" s="26" t="n">
        <f aca="false">IF(AND(ISNUMBER(BG196),ISNUMBER(BB196)),IFERROR(BG196/BB196-1,""),"")</f>
        <v>0.120474506588719</v>
      </c>
      <c r="BH209" s="26" t="n">
        <f aca="false">IF(AND(ISNUMBER(BH196),ISNUMBER(BC196)),IFERROR(BH196/BC196-1,""),"")</f>
        <v>-0.0705866884207436</v>
      </c>
      <c r="BI209" s="26" t="n">
        <f aca="false">IF(AND(ISNUMBER(BI196),ISNUMBER(BD196)),IFERROR(BI196/BD196-1,""),"")</f>
        <v>0.0951128013280378</v>
      </c>
      <c r="BJ209" s="26" t="n">
        <f aca="false">IF(AND(ISNUMBER(BJ196),ISNUMBER(BE196)),IFERROR(BJ196/BE196-1,""),"")</f>
        <v>-0.00977381345729644</v>
      </c>
      <c r="BK209" s="26" t="n">
        <f aca="false">IF(AND(ISNUMBER(BK196),ISNUMBER(BF196)),IFERROR(BK196/BF196-1,""),"")</f>
        <v>-0.130430266734946</v>
      </c>
      <c r="BL209" s="26" t="n">
        <f aca="false">IF(AND(ISNUMBER(BL196),ISNUMBER(BG196)),IFERROR(BL196/BG196-1,""),"")</f>
        <v>-0.0381355228428419</v>
      </c>
      <c r="BM209" s="26" t="n">
        <f aca="false">IF(AND(ISNUMBER(BM196),ISNUMBER(BH196)),IFERROR(BM196/BH196-1,""),"")</f>
        <v>-0.646447449587288</v>
      </c>
      <c r="BN209" s="26" t="n">
        <f aca="false">IF(AND(ISNUMBER(BN196),ISNUMBER(BI196)),IFERROR(BN196/BI196-1,""),"")</f>
        <v>-0.517731318018646</v>
      </c>
      <c r="BO209" s="26" t="n">
        <f aca="false">IF(AND(ISNUMBER(BO196),ISNUMBER(BJ196)),IFERROR(BO196/BJ196-1,""),"")</f>
        <v>-0.266746156902832</v>
      </c>
      <c r="BP209" s="26" t="n">
        <f aca="false">IF(AND(ISNUMBER(BP196),ISNUMBER(BK196)),IFERROR(BP196/BK196-1,""),"")</f>
        <v>-0.203546149150246</v>
      </c>
      <c r="BQ209" s="26" t="n">
        <f aca="false">IF(AND(ISNUMBER(BQ196),ISNUMBER(BL196)),IFERROR(BQ196/BL196-1,""),"")</f>
        <v>-0.403933175314323</v>
      </c>
      <c r="BR209" s="26" t="n">
        <f aca="false">IF(AND(ISNUMBER(BR196),ISNUMBER(BM196)),IFERROR(BR196/BM196-1,""),"")</f>
        <v>0.475611286069078</v>
      </c>
      <c r="BS209" s="26" t="n">
        <f aca="false">IF(AND(ISNUMBER(BS196),ISNUMBER(BN196)),IFERROR(BS196/BN196-1,""),"")</f>
        <v>0.155222300846319</v>
      </c>
      <c r="BT209" s="26" t="n">
        <f aca="false">IF(AND(ISNUMBER(BT196),ISNUMBER(BO196)),IFERROR(BT196/BO196-1,""),"")</f>
        <v>0.0575748088750647</v>
      </c>
      <c r="BU209" s="26" t="n">
        <f aca="false">IF(AND(ISNUMBER(BU196),ISNUMBER(BP196)),IFERROR(BU196/BP196-1,""),"")</f>
        <v>0.202440816650779</v>
      </c>
      <c r="BV209" s="26" t="n">
        <f aca="false">IF(AND(ISNUMBER(BV196),ISNUMBER(BQ196)),IFERROR(BV196/BQ196-1,""),"")</f>
        <v>0.186057486288264</v>
      </c>
      <c r="BW209" s="26" t="n">
        <f aca="false">IF(AND(ISNUMBER(BW196),ISNUMBER(BR196)),IFERROR(BW196/BR196-1,""),"")</f>
        <v>0.501297348969802</v>
      </c>
      <c r="BX209" s="26" t="n">
        <f aca="false">IF(AND(ISNUMBER(BX196),ISNUMBER(BS196)),IFERROR(BX196/BS196-1,""),"")</f>
        <v>0.824252319957852</v>
      </c>
      <c r="BY209" s="27" t="n">
        <f aca="false">IF(AND(ISNUMBER(BY196),ISNUMBER(BT196)),IFERROR(BY196/BT196-1,""),"")</f>
        <v>0.477601872215089</v>
      </c>
      <c r="BZ209" s="27" t="n">
        <f aca="false">IF(AND(ISNUMBER(BZ196),ISNUMBER(BU196)),IFERROR(BZ196/BU196-1,""),"")</f>
        <v>0.595450658823231</v>
      </c>
      <c r="CA209" s="27" t="n">
        <f aca="false">IF(AND(ISNUMBER(CA196),ISNUMBER(BV196)),IFERROR(CA196/BV196-1,""),"")</f>
        <v>0.567839758461563</v>
      </c>
      <c r="CB209" s="27" t="n">
        <f aca="false">IF(AND(ISNUMBER(CB196),ISNUMBER(CA196)),IFERROR(CB196/CA196-1,""),"")</f>
        <v>0.247531456876654</v>
      </c>
      <c r="CC209" s="27" t="n">
        <f aca="false">IF(AND(ISNUMBER(CC196),ISNUMBER(CB196)),IFERROR(CC196/CB196-1,""),"")</f>
        <v>0.325317620589116</v>
      </c>
      <c r="CD209" s="27" t="n">
        <f aca="false">IF(AND(ISNUMBER(CD196),ISNUMBER(CC196)),IFERROR(CD196/CC196-1,""),"")</f>
        <v>0.322735316496987</v>
      </c>
      <c r="CE209" s="27" t="n">
        <f aca="false">IF(AND(ISNUMBER(CE196),ISNUMBER(CD196)),IFERROR(CE196/CD196-1,""),"")</f>
        <v>0.308178993928886</v>
      </c>
      <c r="CF209" s="28"/>
    </row>
    <row r="210" customFormat="false" ht="15" hidden="false" customHeight="true" outlineLevel="0" collapsed="false">
      <c r="B210" s="29" t="s">
        <v>304</v>
      </c>
      <c r="C210" s="25" t="n">
        <f aca="false">IF(AND(ISNUMBER(C123),ISNUMBER(C121)),IFERROR(C123/C121,""),"")</f>
        <v>0.646696750561713</v>
      </c>
      <c r="D210" s="25" t="n">
        <f aca="false">IF(AND(ISNUMBER(D123),ISNUMBER(D121)),IFERROR(D123/D121,""),"")</f>
        <v>0.602167993568632</v>
      </c>
      <c r="E210" s="25" t="n">
        <f aca="false">IF(AND(ISNUMBER(E123),ISNUMBER(E121)),IFERROR(E123/E121,""),"")</f>
        <v>0.654433502174854</v>
      </c>
      <c r="F210" s="25" t="n">
        <f aca="false">IF(AND(ISNUMBER(F123),ISNUMBER(F121)),IFERROR(F123/F121,""),"")</f>
        <v>0.648410037250965</v>
      </c>
      <c r="G210" s="25" t="n">
        <f aca="false">IF(AND(ISNUMBER(G123),ISNUMBER(G121)),IFERROR(G123/G121,""),"")</f>
        <v>0.63051798815522</v>
      </c>
      <c r="H210" s="25" t="n">
        <f aca="false">IF(AND(ISNUMBER(H123),ISNUMBER(H121)),IFERROR(H123/H121,""),"")</f>
        <v>0.649766821059991</v>
      </c>
      <c r="I210" s="25" t="n">
        <f aca="false">IF(AND(ISNUMBER(I123),ISNUMBER(I121)),IFERROR(I123/I121,""),"")</f>
        <v>0.671751405971378</v>
      </c>
      <c r="J210" s="25" t="n">
        <f aca="false">IF(AND(ISNUMBER(J123),ISNUMBER(J121)),IFERROR(J123/J121,""),"")</f>
        <v>0.676967885190276</v>
      </c>
      <c r="K210" s="25" t="n">
        <f aca="false">IF(AND(ISNUMBER(K123),ISNUMBER(K121)),IFERROR(K123/K121,""),"")</f>
        <v>0.705492710942302</v>
      </c>
      <c r="L210" s="25" t="n">
        <f aca="false">IF(AND(ISNUMBER(L123),ISNUMBER(L121)),IFERROR(L123/L121,""),"")</f>
        <v>0.717509194041015</v>
      </c>
      <c r="M210" s="25" t="n">
        <f aca="false">IF(AND(ISNUMBER(M123),ISNUMBER(M121)),IFERROR(M123/M121,""),"")</f>
        <v>0.725335178617767</v>
      </c>
      <c r="N210" s="25" t="n">
        <f aca="false">IF(AND(ISNUMBER(N123),ISNUMBER(N121)),IFERROR(N123/N121,""),"")</f>
        <v>0.707025624627219</v>
      </c>
      <c r="O210" s="25" t="n">
        <f aca="false">IF(AND(ISNUMBER(O123),ISNUMBER(O121)),IFERROR(O123/O121,""),"")</f>
        <v>0.717466156068393</v>
      </c>
      <c r="P210" s="25" t="n">
        <f aca="false">IF(AND(ISNUMBER(P123),ISNUMBER(P121)),IFERROR(P123/P121,""),"")</f>
        <v>0.732709128821729</v>
      </c>
      <c r="Q210" s="25" t="n">
        <f aca="false">IF(AND(ISNUMBER(Q123),ISNUMBER(Q121)),IFERROR(Q123/Q121,""),"")</f>
        <v>0.7325684716705</v>
      </c>
      <c r="R210" s="25" t="n">
        <f aca="false">IF(AND(ISNUMBER(R123),ISNUMBER(R121)),IFERROR(R123/R121,""),"")</f>
        <v>0.725021781467815</v>
      </c>
      <c r="S210" s="25" t="n">
        <f aca="false">IF(AND(ISNUMBER(S123),ISNUMBER(S121)),IFERROR(S123/S121,""),"")</f>
        <v>0.727436729081009</v>
      </c>
      <c r="T210" s="25" t="n">
        <f aca="false">IF(AND(ISNUMBER(T123),ISNUMBER(T121)),IFERROR(T123/T121,""),"")</f>
        <v>0.714526474657276</v>
      </c>
      <c r="U210" s="25" t="n">
        <f aca="false">IF(AND(ISNUMBER(U123),ISNUMBER(U121)),IFERROR(U123/U121,""),"")</f>
        <v>0.738457842338726</v>
      </c>
      <c r="V210" s="25" t="n">
        <f aca="false">IF(AND(ISNUMBER(V123),ISNUMBER(V121)),IFERROR(V123/V121,""),"")</f>
        <v>0.715842139222966</v>
      </c>
      <c r="W210" s="25" t="n">
        <f aca="false">IF(AND(ISNUMBER(W123),ISNUMBER(W121)),IFERROR(W123/W121,""),"")</f>
        <v>0.766192250102327</v>
      </c>
      <c r="X210" s="25" t="n">
        <f aca="false">IF(AND(ISNUMBER(X123),ISNUMBER(X121)),IFERROR(X123/X121,""),"")</f>
        <v>0.734624116982595</v>
      </c>
      <c r="Y210" s="25" t="n">
        <f aca="false">IF(AND(ISNUMBER(Y123),ISNUMBER(Y121)),IFERROR(Y123/Y121,""),"")</f>
        <v>0.7852197117238</v>
      </c>
      <c r="Z210" s="25" t="n">
        <f aca="false">IF(AND(ISNUMBER(Z123),ISNUMBER(Z121)),IFERROR(Z123/Z121,""),"")</f>
        <v>0.79369069314397</v>
      </c>
      <c r="AA210" s="25" t="n">
        <f aca="false">IF(AND(ISNUMBER(AA123),ISNUMBER(AA121)),IFERROR(AA123/AA121,""),"")</f>
        <v>0.801505328826436</v>
      </c>
      <c r="AB210" s="25" t="n">
        <f aca="false">IF(AND(ISNUMBER(AB123),ISNUMBER(AB121)),IFERROR(AB123/AB121,""),"")</f>
        <v>0.789231875626973</v>
      </c>
      <c r="AC210" s="25" t="n">
        <f aca="false">IF(AND(ISNUMBER(AC123),ISNUMBER(AC121)),IFERROR(AC123/AC121,""),"")</f>
        <v>0.792493105547796</v>
      </c>
      <c r="AD210" s="25" t="n">
        <f aca="false">IF(AND(ISNUMBER(AD123),ISNUMBER(AD121)),IFERROR(AD123/AD121,""),"")</f>
        <v>0.773359876055493</v>
      </c>
      <c r="AE210" s="25" t="n">
        <f aca="false">IF(AND(ISNUMBER(AE123),ISNUMBER(AE121)),IFERROR(AE123/AE121,""),"")</f>
        <v>0.76693105294894</v>
      </c>
      <c r="AF210" s="25" t="n">
        <f aca="false">IF(AND(ISNUMBER(AF123),ISNUMBER(AF121)),IFERROR(AF123/AF121,""),"")</f>
        <v>0.775856148473133</v>
      </c>
      <c r="AG210" s="25" t="n">
        <f aca="false">IF(AND(ISNUMBER(AG123),ISNUMBER(AG121)),IFERROR(AG123/AG121,""),"")</f>
        <v>0.770460370643054</v>
      </c>
      <c r="AH210" s="25" t="n">
        <f aca="false">IF(AND(ISNUMBER(AH123),ISNUMBER(AH121)),IFERROR(AH123/AH121,""),"")</f>
        <v>0.771657532401604</v>
      </c>
      <c r="AI210" s="25" t="n">
        <f aca="false">IF(AND(ISNUMBER(AI123),ISNUMBER(AI121)),IFERROR(AI123/AI121,""),"")</f>
        <v>0.771746834333146</v>
      </c>
      <c r="AJ210" s="25" t="n">
        <f aca="false">IF(AND(ISNUMBER(AJ123),ISNUMBER(AJ121)),IFERROR(AJ123/AJ121,""),"")</f>
        <v>0.773966560949168</v>
      </c>
      <c r="AK210" s="25" t="n">
        <f aca="false">IF(AND(ISNUMBER(AK123),ISNUMBER(AK121)),IFERROR(AK123/AK121,""),"")</f>
        <v>0.764104410441044</v>
      </c>
      <c r="AL210" s="25" t="n">
        <f aca="false">IF(AND(ISNUMBER(AL123),ISNUMBER(AL121)),IFERROR(AL123/AL121,""),"")</f>
        <v>0.78373171172256</v>
      </c>
      <c r="AM210" s="25" t="n">
        <f aca="false">IF(AND(ISNUMBER(AM123),ISNUMBER(AM121)),IFERROR(AM123/AM121,""),"")</f>
        <v>0.773514220124984</v>
      </c>
      <c r="AN210" s="25" t="n">
        <f aca="false">IF(AND(ISNUMBER(AN123),ISNUMBER(AN121)),IFERROR(AN123/AN121,""),"")</f>
        <v>0.783350841135724</v>
      </c>
      <c r="AO210" s="25" t="n">
        <f aca="false">IF(AND(ISNUMBER(AO123),ISNUMBER(AO121)),IFERROR(AO123/AO121,""),"")</f>
        <v>0.790790086106586</v>
      </c>
      <c r="AP210" s="25" t="n">
        <f aca="false">IF(AND(ISNUMBER(AP123),ISNUMBER(AP121)),IFERROR(AP123/AP121,""),"")</f>
        <v>0.798269880501576</v>
      </c>
      <c r="AQ210" s="25" t="n">
        <f aca="false">IF(AND(ISNUMBER(AQ123),ISNUMBER(AQ121)),IFERROR(AQ123/AQ121,""),"")</f>
        <v>0.799864434279981</v>
      </c>
      <c r="AR210" s="25" t="n">
        <f aca="false">IF(AND(ISNUMBER(AR123),ISNUMBER(AR121)),IFERROR(AR123/AR121,""),"")</f>
        <v>0.793359238532877</v>
      </c>
      <c r="AS210" s="25" t="n">
        <f aca="false">IF(AND(ISNUMBER(AS123),ISNUMBER(AS121)),IFERROR(AS123/AS121,""),"")</f>
        <v>0.798622931909648</v>
      </c>
      <c r="AT210" s="25" t="n">
        <f aca="false">IF(AND(ISNUMBER(AT123),ISNUMBER(AT121)),IFERROR(AT123/AT121,""),"")</f>
        <v>0.813575922993058</v>
      </c>
      <c r="AU210" s="25" t="n">
        <f aca="false">IF(AND(ISNUMBER(AU123),ISNUMBER(AU121)),IFERROR(AU123/AU121,""),"")</f>
        <v>0.817055119590245</v>
      </c>
      <c r="AV210" s="25" t="n">
        <f aca="false">IF(AND(ISNUMBER(AV123),ISNUMBER(AV121)),IFERROR(AV123/AV121,""),"")</f>
        <v>0.82413314341135</v>
      </c>
      <c r="AW210" s="25" t="n">
        <f aca="false">IF(AND(ISNUMBER(AW123),ISNUMBER(AW121)),IFERROR(AW123/AW121,""),"")</f>
        <v>0.813764640429073</v>
      </c>
      <c r="AX210" s="25" t="n">
        <f aca="false">IF(AND(ISNUMBER(AX123),ISNUMBER(AX121)),IFERROR(AX123/AX121,""),"")</f>
        <v>0.8060987946174</v>
      </c>
      <c r="AY210" s="25" t="n">
        <f aca="false">IF(AND(ISNUMBER(AY123),ISNUMBER(AY121)),IFERROR(AY123/AY121,""),"")</f>
        <v>0.813533527781768</v>
      </c>
      <c r="AZ210" s="25" t="n">
        <f aca="false">IF(AND(ISNUMBER(AZ123),ISNUMBER(AZ121)),IFERROR(AZ123/AZ121,""),"")</f>
        <v>0.814553421760438</v>
      </c>
      <c r="BA210" s="25" t="n">
        <f aca="false">IF(AND(ISNUMBER(BA123),ISNUMBER(BA121)),IFERROR(BA123/BA121,""),"")</f>
        <v>0.82965196355069</v>
      </c>
      <c r="BB210" s="25" t="n">
        <f aca="false">IF(AND(ISNUMBER(BB123),ISNUMBER(BB121)),IFERROR(BB123/BB121,""),"")</f>
        <v>0.81624681413585</v>
      </c>
      <c r="BC210" s="25" t="n">
        <f aca="false">IF(AND(ISNUMBER(BC123),ISNUMBER(BC121)),IFERROR(BC123/BC121,""),"")</f>
        <v>0.814900402268211</v>
      </c>
      <c r="BD210" s="25" t="n">
        <f aca="false">IF(AND(ISNUMBER(BD123),ISNUMBER(BD121)),IFERROR(BD123/BD121,""),"")</f>
        <v>0.81172945397048</v>
      </c>
      <c r="BE210" s="25" t="n">
        <f aca="false">IF(AND(ISNUMBER(BE123),ISNUMBER(BE121)),IFERROR(BE123/BE121,""),"")</f>
        <v>0.805423031273735</v>
      </c>
      <c r="BF210" s="25" t="n">
        <f aca="false">IF(AND(ISNUMBER(BF123),ISNUMBER(BF121)),IFERROR(BF123/BF121,""),"")</f>
        <v>0.809549224289041</v>
      </c>
      <c r="BG210" s="25" t="n">
        <f aca="false">IF(AND(ISNUMBER(BG123),ISNUMBER(BG121)),IFERROR(BG123/BG121,""),"")</f>
        <v>0.81029683389701</v>
      </c>
      <c r="BH210" s="25" t="n">
        <f aca="false">IF(AND(ISNUMBER(BH123),ISNUMBER(BH121)),IFERROR(BH123/BH121,""),"")</f>
        <v>0.796025093862408</v>
      </c>
      <c r="BI210" s="25" t="n">
        <f aca="false">IF(AND(ISNUMBER(BI123),ISNUMBER(BI121)),IFERROR(BI123/BI121,""),"")</f>
        <v>0.814555393080775</v>
      </c>
      <c r="BJ210" s="25" t="n">
        <f aca="false">IF(AND(ISNUMBER(BJ123),ISNUMBER(BJ121)),IFERROR(BJ123/BJ121,""),"")</f>
        <v>0.80202955485225</v>
      </c>
      <c r="BK210" s="25" t="n">
        <f aca="false">IF(AND(ISNUMBER(BK123),ISNUMBER(BK121)),IFERROR(BK123/BK121,""),"")</f>
        <v>0.787088377790173</v>
      </c>
      <c r="BL210" s="25" t="n">
        <f aca="false">IF(AND(ISNUMBER(BL123),ISNUMBER(BL121)),IFERROR(BL123/BL121,""),"")</f>
        <v>0.79979633401222</v>
      </c>
      <c r="BM210" s="25" t="n">
        <f aca="false">IF(AND(ISNUMBER(BM123),ISNUMBER(BM121)),IFERROR(BM123/BM121,""),"")</f>
        <v>0.784887263863498</v>
      </c>
      <c r="BN210" s="25" t="n">
        <f aca="false">IF(AND(ISNUMBER(BN123),ISNUMBER(BN121)),IFERROR(BN123/BN121,""),"")</f>
        <v>0.799645913248746</v>
      </c>
      <c r="BO210" s="25" t="n">
        <f aca="false">IF(AND(ISNUMBER(BO123),ISNUMBER(BO121)),IFERROR(BO123/BO121,""),"")</f>
        <v>0.796996823563384</v>
      </c>
      <c r="BP210" s="25" t="n">
        <f aca="false">IF(AND(ISNUMBER(BP123),ISNUMBER(BP121)),IFERROR(BP123/BP121,""),"")</f>
        <v>0.801381449111926</v>
      </c>
      <c r="BQ210" s="25" t="n">
        <f aca="false">IF(AND(ISNUMBER(BQ123),ISNUMBER(BQ121)),IFERROR(BQ123/BQ121,""),"")</f>
        <v>0.795884803742416</v>
      </c>
      <c r="BR210" s="25" t="n">
        <f aca="false">IF(AND(ISNUMBER(BR123),ISNUMBER(BR121)),IFERROR(BR123/BR121,""),"")</f>
        <v>0.790630975143404</v>
      </c>
      <c r="BS210" s="25" t="n">
        <f aca="false">IF(AND(ISNUMBER(BS123),ISNUMBER(BS121)),IFERROR(BS123/BS121,""),"")</f>
        <v>0.785229745296301</v>
      </c>
      <c r="BT210" s="25" t="n">
        <f aca="false">IF(AND(ISNUMBER(BT123),ISNUMBER(BT121)),IFERROR(BT123/BT121,""),"")</f>
        <v>0.793426103646833</v>
      </c>
      <c r="BU210" s="25" t="n">
        <f aca="false">IF(AND(ISNUMBER(BU123),ISNUMBER(BU121)),IFERROR(BU123/BU121,""),"")</f>
        <v>0.785865096121791</v>
      </c>
      <c r="BV210" s="25" t="n">
        <f aca="false">IF(AND(ISNUMBER(BV123),ISNUMBER(BV121)),IFERROR(BV123/BV121,""),"")</f>
        <v>0.788728056667693</v>
      </c>
      <c r="BW210" s="25" t="n">
        <f aca="false">IF(AND(ISNUMBER(BW123),ISNUMBER(BW121)),IFERROR(BW123/BW121,""),"")</f>
        <v>0.78149386845039</v>
      </c>
      <c r="BX210" s="25" t="n">
        <f aca="false">IF(AND(ISNUMBER(BX123),ISNUMBER(BX121)),IFERROR(BX123/BX121,""),"")</f>
        <v>0.787027027027027</v>
      </c>
      <c r="BY210" s="27" t="n">
        <f aca="false">IF(AND(ISNUMBER(BY123),ISNUMBER(BY121)),IFERROR(BY123/BY121,""),"")</f>
        <v>0.78430296377607</v>
      </c>
      <c r="BZ210" s="27" t="n">
        <f aca="false">IF(AND(ISNUMBER(BZ123),ISNUMBER(BZ121)),IFERROR(BZ123/BZ121,""),"")</f>
        <v>0.78430296377607</v>
      </c>
      <c r="CA210" s="27" t="n">
        <f aca="false">IF(AND(ISNUMBER(CA123),ISNUMBER(CA121)),IFERROR(CA123/CA121,""),"")</f>
        <v>0.78430296377607</v>
      </c>
      <c r="CB210" s="27" t="n">
        <f aca="false">IF(AND(ISNUMBER(CB123),ISNUMBER(CB121)),IFERROR(CB123/CB121,""),"")</f>
        <v>0.79</v>
      </c>
      <c r="CC210" s="27" t="n">
        <f aca="false">IF(AND(ISNUMBER(CC123),ISNUMBER(CC121)),IFERROR(CC123/CC121,""),"")</f>
        <v>0.79</v>
      </c>
      <c r="CD210" s="27" t="n">
        <f aca="false">IF(AND(ISNUMBER(CD123),ISNUMBER(CD121)),IFERROR(CD123/CD121,""),"")</f>
        <v>0.79</v>
      </c>
      <c r="CE210" s="27" t="n">
        <f aca="false">IF(AND(ISNUMBER(CE123),ISNUMBER(CE121)),IFERROR(CE123/CE121,""),"")</f>
        <v>0.79</v>
      </c>
      <c r="CF210" s="28"/>
      <c r="CH210" s="32" t="n">
        <f aca="false">IFERROR(AVERAGE(CA210,CB210,CC210,CD210,CE210),"n/m")</f>
        <v>0.788860592755214</v>
      </c>
      <c r="CI210" s="32" t="n">
        <f aca="false">IFERROR(AVERAGE(BB210,BG210,BL210,BQ210,BV210),"n/m")</f>
        <v>0.802190568491038</v>
      </c>
      <c r="CJ210" s="32" t="n">
        <f aca="false">IFERROR(AVERAGE(AC210,AH210,AM210,AR210,AW210,BB210,BG210,BL210,BQ210,BV210),"n/m")</f>
        <v>0.795574157949152</v>
      </c>
      <c r="CK210" s="32" t="n">
        <f aca="false">IFERROR(AVERAGE(C210,D210,E210,F210,G210,H210,I210,N210,S210,X210,AC210,AH210,AM210,AR210,AW210,BB210,BG210,BL210,BQ210,BV210),"n/m")</f>
        <v>0.731428627446255</v>
      </c>
    </row>
    <row r="211" customFormat="false" ht="15" hidden="false" customHeight="true" outlineLevel="0" collapsed="false">
      <c r="B211" s="29" t="s">
        <v>124</v>
      </c>
      <c r="C211" s="25" t="n">
        <f aca="false">IF(AND(ISNUMBER(C168),ISNUMBER(C121)),IFERROR(C168/C121,""),"")</f>
        <v>0.162943941997243</v>
      </c>
      <c r="D211" s="25" t="n">
        <f aca="false">IF(AND(ISNUMBER(D168),ISNUMBER(D121)),IFERROR(D168/D121,""),"")</f>
        <v>0.176338787894505</v>
      </c>
      <c r="E211" s="25" t="n">
        <f aca="false">IF(AND(ISNUMBER(E168),ISNUMBER(E121)),IFERROR(E168/E121,""),"")</f>
        <v>0.266391436157192</v>
      </c>
      <c r="F211" s="25" t="n">
        <f aca="false">IF(AND(ISNUMBER(F168),ISNUMBER(F121)),IFERROR(F168/F121,""),"")</f>
        <v>0.259144611011213</v>
      </c>
      <c r="G211" s="25" t="n">
        <f aca="false">IF(AND(ISNUMBER(G168),ISNUMBER(G121)),IFERROR(G168/G121,""),"")</f>
        <v>0.226805445063202</v>
      </c>
      <c r="H211" s="25" t="n">
        <f aca="false">IF(AND(ISNUMBER(H168),ISNUMBER(H121)),IFERROR(H168/H121,""),"")</f>
        <v>0.226215350880678</v>
      </c>
      <c r="I211" s="25" t="n">
        <f aca="false">IF(AND(ISNUMBER(I168),ISNUMBER(I121)),IFERROR(I168/I121,""),"")</f>
        <v>0.246896575373783</v>
      </c>
      <c r="J211" s="25" t="n">
        <f aca="false">IF(AND(ISNUMBER(J168),ISNUMBER(J121)),IFERROR(J168/J121,""),"")</f>
        <v>0.246748627839243</v>
      </c>
      <c r="K211" s="25" t="n">
        <f aca="false">IF(AND(ISNUMBER(K168),ISNUMBER(K121)),IFERROR(K168/K121,""),"")</f>
        <v>0.299277975027294</v>
      </c>
      <c r="L211" s="25" t="n">
        <f aca="false">IF(AND(ISNUMBER(L168),ISNUMBER(L121)),IFERROR(L168/L121,""),"")</f>
        <v>0.335446701276035</v>
      </c>
      <c r="M211" s="25" t="n">
        <f aca="false">IF(AND(ISNUMBER(M168),ISNUMBER(M121)),IFERROR(M168/M121,""),"")</f>
        <v>0.35290199809705</v>
      </c>
      <c r="N211" s="25" t="n">
        <f aca="false">IF(AND(ISNUMBER(N168),ISNUMBER(N121)),IFERROR(N168/N121,""),"")</f>
        <v>0.310155734414652</v>
      </c>
      <c r="O211" s="25" t="n">
        <f aca="false">IF(AND(ISNUMBER(O168),ISNUMBER(O121)),IFERROR(O168/O121,""),"")</f>
        <v>0.311045046860828</v>
      </c>
      <c r="P211" s="25" t="n">
        <f aca="false">IF(AND(ISNUMBER(P168),ISNUMBER(P121)),IFERROR(P168/P121,""),"")</f>
        <v>0.306794486419151</v>
      </c>
      <c r="Q211" s="25" t="n">
        <f aca="false">IF(AND(ISNUMBER(Q168),ISNUMBER(Q121)),IFERROR(Q168/Q121,""),"")</f>
        <v>0.338385950240435</v>
      </c>
      <c r="R211" s="25" t="n">
        <f aca="false">IF(AND(ISNUMBER(R168),ISNUMBER(R121)),IFERROR(R168/R121,""),"")</f>
        <v>0.348003792537925</v>
      </c>
      <c r="S211" s="25" t="n">
        <f aca="false">IF(AND(ISNUMBER(S168),ISNUMBER(S121)),IFERROR(S168/S121,""),"")</f>
        <v>0.327237748638738</v>
      </c>
      <c r="T211" s="25" t="n">
        <f aca="false">IF(AND(ISNUMBER(T168),ISNUMBER(T121)),IFERROR(T168/T121,""),"")</f>
        <v>0.149503207143756</v>
      </c>
      <c r="U211" s="25" t="n">
        <f aca="false">IF(AND(ISNUMBER(U168),ISNUMBER(U121)),IFERROR(U168/U121,""),"")</f>
        <v>0.0660506161481804</v>
      </c>
      <c r="V211" s="25" t="n">
        <f aca="false">IF(AND(ISNUMBER(V168),ISNUMBER(V121)),IFERROR(V168/V121,""),"")</f>
        <v>0.187578671236209</v>
      </c>
      <c r="W211" s="25" t="n">
        <f aca="false">IF(AND(ISNUMBER(W168),ISNUMBER(W121)),IFERROR(W168/W121,""),"")</f>
        <v>0.337429860783694</v>
      </c>
      <c r="X211" s="25" t="n">
        <f aca="false">IF(AND(ISNUMBER(X168),ISNUMBER(X121)),IFERROR(X168/X121,""),"")</f>
        <v>0.190568784035158</v>
      </c>
      <c r="Y211" s="25" t="n">
        <f aca="false">IF(AND(ISNUMBER(Y168),ISNUMBER(Y121)),IFERROR(Y168/Y121,""),"")</f>
        <v>0.288376331112101</v>
      </c>
      <c r="Z211" s="25" t="n">
        <f aca="false">IF(AND(ISNUMBER(Z168),ISNUMBER(Z121)),IFERROR(Z168/Z121,""),"")</f>
        <v>0.269296027921051</v>
      </c>
      <c r="AA211" s="25" t="n">
        <f aca="false">IF(AND(ISNUMBER(AA168),ISNUMBER(AA121)),IFERROR(AA168/AA121,""),"")</f>
        <v>0.315230524044361</v>
      </c>
      <c r="AB211" s="25" t="n">
        <f aca="false">IF(AND(ISNUMBER(AB168),ISNUMBER(AB121)),IFERROR(AB168/AB121,""),"")</f>
        <v>0.344279491184595</v>
      </c>
      <c r="AC211" s="25" t="n">
        <f aca="false">IF(AND(ISNUMBER(AC168),ISNUMBER(AC121)),IFERROR(AC168/AC121,""),"")</f>
        <v>0.30505354392751</v>
      </c>
      <c r="AD211" s="25" t="n">
        <f aca="false">IF(AND(ISNUMBER(AD168),ISNUMBER(AD121)),IFERROR(AD168/AD121,""),"")</f>
        <v>0.282137071678592</v>
      </c>
      <c r="AE211" s="25" t="n">
        <f aca="false">IF(AND(ISNUMBER(AE168),ISNUMBER(AE121)),IFERROR(AE168/AE121,""),"")</f>
        <v>0.228784792939579</v>
      </c>
      <c r="AF211" s="25" t="n">
        <f aca="false">IF(AND(ISNUMBER(AF168),ISNUMBER(AF121)),IFERROR(AF168/AF121,""),"")</f>
        <v>0.337728706879487</v>
      </c>
      <c r="AG211" s="25" t="n">
        <f aca="false">IF(AND(ISNUMBER(AG168),ISNUMBER(AG121)),IFERROR(AG168/AG121,""),"")</f>
        <v>0.306865203885177</v>
      </c>
      <c r="AH211" s="25" t="n">
        <f aca="false">IF(AND(ISNUMBER(AH168),ISNUMBER(AH121)),IFERROR(AH168/AH121,""),"")</f>
        <v>0.289868735948945</v>
      </c>
      <c r="AI211" s="25" t="n">
        <f aca="false">IF(AND(ISNUMBER(AI168),ISNUMBER(AI121)),IFERROR(AI168/AI121,""),"")</f>
        <v>0.308207717431809</v>
      </c>
      <c r="AJ211" s="25" t="n">
        <f aca="false">IF(AND(ISNUMBER(AJ168),ISNUMBER(AJ121)),IFERROR(AJ168/AJ121,""),"")</f>
        <v>0.286487687614892</v>
      </c>
      <c r="AK211" s="25" t="n">
        <f aca="false">IF(AND(ISNUMBER(AK168),ISNUMBER(AK121)),IFERROR(AK168/AK121,""),"")</f>
        <v>0.35859258653138</v>
      </c>
      <c r="AL211" s="25" t="n">
        <f aca="false">IF(AND(ISNUMBER(AL168),ISNUMBER(AL121)),IFERROR(AL168/AL121,""),"")</f>
        <v>0.440499919194096</v>
      </c>
      <c r="AM211" s="25" t="n">
        <f aca="false">IF(AND(ISNUMBER(AM168),ISNUMBER(AM121)),IFERROR(AM168/AM121,""),"")</f>
        <v>0.350739030333134</v>
      </c>
      <c r="AN211" s="25" t="n">
        <f aca="false">IF(AND(ISNUMBER(AN168),ISNUMBER(AN121)),IFERROR(AN168/AN121,""),"")</f>
        <v>0.382117682880414</v>
      </c>
      <c r="AO211" s="25" t="n">
        <f aca="false">IF(AND(ISNUMBER(AO168),ISNUMBER(AO121)),IFERROR(AO168/AO121,""),"")</f>
        <v>0.320112869443798</v>
      </c>
      <c r="AP211" s="25" t="n">
        <f aca="false">IF(AND(ISNUMBER(AP168),ISNUMBER(AP121)),IFERROR(AP168/AP121,""),"")</f>
        <v>0.366553479512936</v>
      </c>
      <c r="AQ211" s="25" t="n">
        <f aca="false">IF(AND(ISNUMBER(AQ168),ISNUMBER(AQ121)),IFERROR(AQ168/AQ121,""),"")</f>
        <v>0.378511232206999</v>
      </c>
      <c r="AR211" s="25" t="n">
        <f aca="false">IF(AND(ISNUMBER(AR168),ISNUMBER(AR121)),IFERROR(AR168/AR121,""),"")</f>
        <v>0.362001230246928</v>
      </c>
      <c r="AS211" s="25" t="n">
        <f aca="false">IF(AND(ISNUMBER(AS168),ISNUMBER(AS121)),IFERROR(AS168/AS121,""),"")</f>
        <v>0.316483219215663</v>
      </c>
      <c r="AT211" s="25" t="n">
        <f aca="false">IF(AND(ISNUMBER(AT168),ISNUMBER(AT121)),IFERROR(AT168/AT121,""),"")</f>
        <v>0.324444366110298</v>
      </c>
      <c r="AU211" s="25" t="n">
        <f aca="false">IF(AND(ISNUMBER(AU168),ISNUMBER(AU121)),IFERROR(AU168/AU121,""),"")</f>
        <v>0.313695315069781</v>
      </c>
      <c r="AV211" s="25" t="n">
        <f aca="false">IF(AND(ISNUMBER(AV168),ISNUMBER(AV121)),IFERROR(AV168/AV121,""),"")</f>
        <v>0.37534794652481</v>
      </c>
      <c r="AW211" s="25" t="n">
        <f aca="false">IF(AND(ISNUMBER(AW168),ISNUMBER(AW121)),IFERROR(AW168/AW121,""),"")</f>
        <v>0.333441630264632</v>
      </c>
      <c r="AX211" s="25" t="n">
        <f aca="false">IF(AND(ISNUMBER(AX168),ISNUMBER(AX121)),IFERROR(AX168/AX121,""),"")</f>
        <v>0.348577770883357</v>
      </c>
      <c r="AY211" s="25" t="n">
        <f aca="false">IF(AND(ISNUMBER(AY168),ISNUMBER(AY121)),IFERROR(AY168/AY121,""),"")</f>
        <v>0.31327641448745</v>
      </c>
      <c r="AZ211" s="25" t="n">
        <f aca="false">IF(AND(ISNUMBER(AZ168),ISNUMBER(AZ121)),IFERROR(AZ168/AZ121,""),"")</f>
        <v>0.288358744610159</v>
      </c>
      <c r="BA211" s="25" t="n">
        <f aca="false">IF(AND(ISNUMBER(BA168),ISNUMBER(BA121)),IFERROR(BA168/BA121,""),"")</f>
        <v>0.381630510708662</v>
      </c>
      <c r="BB211" s="25" t="n">
        <f aca="false">IF(AND(ISNUMBER(BB168),ISNUMBER(BB121)),IFERROR(BB168/BB121,""),"")</f>
        <v>0.333005681189835</v>
      </c>
      <c r="BC211" s="25" t="n">
        <f aca="false">IF(AND(ISNUMBER(BC168),ISNUMBER(BC121)),IFERROR(BC168/BC121,""),"")</f>
        <v>0.344915426743566</v>
      </c>
      <c r="BD211" s="25" t="n">
        <f aca="false">IF(AND(ISNUMBER(BD168),ISNUMBER(BD121)),IFERROR(BD168/BD121,""),"")</f>
        <v>0.295770340923499</v>
      </c>
      <c r="BE211" s="25" t="n">
        <f aca="false">IF(AND(ISNUMBER(BE168),ISNUMBER(BE121)),IFERROR(BE168/BE121,""),"")</f>
        <v>0.27413762454639</v>
      </c>
      <c r="BF211" s="25" t="n">
        <f aca="false">IF(AND(ISNUMBER(BF168),ISNUMBER(BF121)),IFERROR(BF168/BF121,""),"")</f>
        <v>0.317955157889229</v>
      </c>
      <c r="BG211" s="25" t="n">
        <f aca="false">IF(AND(ISNUMBER(BG168),ISNUMBER(BG121)),IFERROR(BG168/BG121,""),"")</f>
        <v>0.307693964302586</v>
      </c>
      <c r="BH211" s="25" t="n">
        <f aca="false">IF(AND(ISNUMBER(BH168),ISNUMBER(BH121)),IFERROR(BH168/BH121,""),"")</f>
        <v>0.210301420684982</v>
      </c>
      <c r="BI211" s="25" t="n">
        <f aca="false">IF(AND(ISNUMBER(BI168),ISNUMBER(BI121)),IFERROR(BI168/BI121,""),"")</f>
        <v>0.209232125115117</v>
      </c>
      <c r="BJ211" s="25" t="n">
        <f aca="false">IF(AND(ISNUMBER(BJ168),ISNUMBER(BJ121)),IFERROR(BJ168/BJ121,""),"")</f>
        <v>0.179171689326667</v>
      </c>
      <c r="BK211" s="25" t="n">
        <f aca="false">IF(AND(ISNUMBER(BK168),ISNUMBER(BK121)),IFERROR(BK168/BK121,""),"")</f>
        <v>0.203323443620041</v>
      </c>
      <c r="BL211" s="25" t="n">
        <f aca="false">IF(AND(ISNUMBER(BL168),ISNUMBER(BL121)),IFERROR(BL168/BL121,""),"")</f>
        <v>0.200285132382892</v>
      </c>
      <c r="BM211" s="25" t="n">
        <f aca="false">IF(AND(ISNUMBER(BM168),ISNUMBER(BM121)),IFERROR(BM168/BM121,""),"")</f>
        <v>0.0188909201706277</v>
      </c>
      <c r="BN211" s="25" t="n">
        <f aca="false">IF(AND(ISNUMBER(BN168),ISNUMBER(BN121)),IFERROR(BN168/BN121,""),"")</f>
        <v>0.0601947477131897</v>
      </c>
      <c r="BO211" s="25" t="n">
        <f aca="false">IF(AND(ISNUMBER(BO168),ISNUMBER(BO121)),IFERROR(BO168/BO121,""),"")</f>
        <v>0.109587063239965</v>
      </c>
      <c r="BP211" s="25" t="n">
        <f aca="false">IF(AND(ISNUMBER(BP168),ISNUMBER(BP121)),IFERROR(BP168/BP121,""),"")</f>
        <v>0.157738934310685</v>
      </c>
      <c r="BQ211" s="25" t="n">
        <f aca="false">IF(AND(ISNUMBER(BQ168),ISNUMBER(BQ121)),IFERROR(BQ168/BQ121,""),"")</f>
        <v>0.088005262773189</v>
      </c>
      <c r="BR211" s="25" t="n">
        <f aca="false">IF(AND(ISNUMBER(BR168),ISNUMBER(BR121)),IFERROR(BR168/BR121,""),"")</f>
        <v>0.0895930073750342</v>
      </c>
      <c r="BS211" s="25" t="n">
        <f aca="false">IF(AND(ISNUMBER(BS168),ISNUMBER(BS121)),IFERROR(BS168/BS121,""),"")</f>
        <v>0.108793037245616</v>
      </c>
      <c r="BT211" s="25" t="n">
        <f aca="false">IF(AND(ISNUMBER(BT168),ISNUMBER(BT121)),IFERROR(BT168/BT121,""),"")</f>
        <v>0.137476007677543</v>
      </c>
      <c r="BU211" s="25" t="n">
        <f aca="false">IF(AND(ISNUMBER(BU168),ISNUMBER(BU121)),IFERROR(BU168/BU121,""),"")</f>
        <v>0.196799644404934</v>
      </c>
      <c r="BV211" s="25" t="n">
        <f aca="false">IF(AND(ISNUMBER(BV168),ISNUMBER(BV121)),IFERROR(BV168/BV121,""),"")</f>
        <v>0.136125654450262</v>
      </c>
      <c r="BW211" s="25" t="n">
        <f aca="false">IF(AND(ISNUMBER(BW168),ISNUMBER(BW121)),IFERROR(BW168/BW121,""),"")</f>
        <v>0.147157190635452</v>
      </c>
      <c r="BX211" s="25" t="n">
        <f aca="false">IF(AND(ISNUMBER(BX168),ISNUMBER(BX121)),IFERROR(BX168/BX121,""),"")</f>
        <v>0.198918918918919</v>
      </c>
      <c r="BY211" s="27" t="n">
        <f aca="false">IF(AND(ISNUMBER(BY168),ISNUMBER(BY121)),IFERROR(BY168/BY121,""),"")</f>
        <v>0.213942079220108</v>
      </c>
      <c r="BZ211" s="27" t="n">
        <f aca="false">IF(AND(ISNUMBER(BZ168),ISNUMBER(BZ121)),IFERROR(BZ168/BZ121,""),"")</f>
        <v>0.288742849861252</v>
      </c>
      <c r="CA211" s="27" t="n">
        <f aca="false">IF(AND(ISNUMBER(CA168),ISNUMBER(CA121)),IFERROR(CA168/CA121,""),"")</f>
        <v>0.214468295527443</v>
      </c>
      <c r="CB211" s="27" t="n">
        <f aca="false">IF(AND(ISNUMBER(CB168),ISNUMBER(CB121)),IFERROR(CB168/CB121,""),"")</f>
        <v>0.232137951711533</v>
      </c>
      <c r="CC211" s="27" t="n">
        <f aca="false">IF(AND(ISNUMBER(CC168),ISNUMBER(CC121)),IFERROR(CC168/CC121,""),"")</f>
        <v>0.260093989541949</v>
      </c>
      <c r="CD211" s="27" t="n">
        <f aca="false">IF(AND(ISNUMBER(CD168),ISNUMBER(CD121)),IFERROR(CD168/CD121,""),"")</f>
        <v>0.288621139172262</v>
      </c>
      <c r="CE211" s="27" t="n">
        <f aca="false">IF(AND(ISNUMBER(CE168),ISNUMBER(CE121)),IFERROR(CE168/CE121,""),"")</f>
        <v>0.31714441317418</v>
      </c>
      <c r="CF211" s="28"/>
      <c r="CH211" s="32" t="n">
        <f aca="false">IFERROR(AVERAGE(CA211,CB211,CC211,CD211,CE211),"n/m")</f>
        <v>0.262493157825473</v>
      </c>
      <c r="CI211" s="32" t="n">
        <f aca="false">IFERROR(AVERAGE(BB211,BG211,BL211,BQ211,BV211),"n/m")</f>
        <v>0.213023139019753</v>
      </c>
      <c r="CJ211" s="32" t="n">
        <f aca="false">IFERROR(AVERAGE(AC211,AH211,AM211,AR211,AW211,BB211,BG211,BL211,BQ211,BV211),"n/m")</f>
        <v>0.270621986581991</v>
      </c>
      <c r="CK211" s="32" t="n">
        <f aca="false">IFERROR(AVERAGE(C211,D211,E211,F211,G211,H211,I211,N211,S211,X211,AC211,AH211,AM211,AR211,AW211,BB211,BG211,BL211,BQ211,BV211),"n/m")</f>
        <v>0.254945914064314</v>
      </c>
    </row>
    <row r="212" customFormat="false" ht="15" hidden="false" customHeight="true" outlineLevel="0" collapsed="false">
      <c r="B212" s="29" t="s">
        <v>416</v>
      </c>
      <c r="C212" s="25"/>
      <c r="D212" s="25" t="n">
        <f aca="false">IFERROR((D168-C168)/(D121-C121),"")</f>
        <v>0.239090694657389</v>
      </c>
      <c r="E212" s="25" t="n">
        <f aca="false">IFERROR((E168-D168)/(E121-D121),"")</f>
        <v>1.15120012230546</v>
      </c>
      <c r="F212" s="25" t="n">
        <f aca="false">IFERROR((F168-E168)/(F121-E121),"")</f>
        <v>0.815095702419646</v>
      </c>
      <c r="G212" s="25" t="n">
        <f aca="false">IFERROR((G168-F168)/(G121-F121),"")</f>
        <v>-0.18161556532739</v>
      </c>
      <c r="H212" s="25" t="n">
        <f aca="false">IFERROR((H168-G168)/(H121-G121),"")</f>
        <v>0.220974958787975</v>
      </c>
      <c r="I212" s="25" t="n">
        <f aca="false">IFERROR((I168-H168)/(I121-H121),"")</f>
        <v>0.299914458542944</v>
      </c>
      <c r="J212" s="25"/>
      <c r="K212" s="25"/>
      <c r="L212" s="25"/>
      <c r="M212" s="25"/>
      <c r="N212" s="25" t="n">
        <f aca="false">IFERROR((N168-I168)/(N121-I121),"")</f>
        <v>0.553396991440219</v>
      </c>
      <c r="O212" s="25" t="n">
        <f aca="false">IFERROR((O168-J168)/(O121-J121),"")</f>
        <v>0.7557003257329</v>
      </c>
      <c r="P212" s="25" t="n">
        <f aca="false">IFERROR((P168-K168)/(P121-K121),"")</f>
        <v>0.327959905965021</v>
      </c>
      <c r="Q212" s="25" t="n">
        <f aca="false">IFERROR((Q168-L168)/(Q121-L121),"")</f>
        <v>0.346485093853515</v>
      </c>
      <c r="R212" s="25" t="n">
        <f aca="false">IFERROR((R168-M168)/(R121-M121),"")</f>
        <v>0.334016697129872</v>
      </c>
      <c r="S212" s="25" t="n">
        <f aca="false">IFERROR((S168-N168)/(S121-N121),"")</f>
        <v>0.383034675872082</v>
      </c>
      <c r="T212" s="25" t="n">
        <f aca="false">IFERROR((T168-O168)/(T121-O121),"")</f>
        <v>-0.332064890847185</v>
      </c>
      <c r="U212" s="25" t="n">
        <f aca="false">IFERROR((U168-P168)/(U121-P121),"")</f>
        <v>-1.48346333173559</v>
      </c>
      <c r="V212" s="25" t="n">
        <f aca="false">IFERROR((V168-Q168)/(V121-Q121),"")</f>
        <v>-0.453195269557493</v>
      </c>
      <c r="W212" s="25" t="n">
        <f aca="false">IFERROR((W168-R168)/(W121-R121),"")</f>
        <v>0.292715303551594</v>
      </c>
      <c r="X212" s="25" t="n">
        <f aca="false">IFERROR((X168-S168)/(X121-S121),"")</f>
        <v>-0.38893306240245</v>
      </c>
      <c r="Y212" s="25" t="n">
        <f aca="false">IFERROR((Y168-T168)/(Y121-T121),"")</f>
        <v>0.830717846705469</v>
      </c>
      <c r="Z212" s="25" t="n">
        <f aca="false">IFERROR((Z168-U168)/(Z121-U121),"")</f>
        <v>1.22713465149674</v>
      </c>
      <c r="AA212" s="25" t="n">
        <f aca="false">IFERROR((AA168-V168)/(AA121-V121),"")</f>
        <v>1.33652096644523</v>
      </c>
      <c r="AB212" s="25" t="n">
        <f aca="false">IFERROR((AB168-W168)/(AB121-W121),"")</f>
        <v>0.396529918583512</v>
      </c>
      <c r="AC212" s="25" t="n">
        <f aca="false">IFERROR((AC168-X168)/(AC121-X121),"")</f>
        <v>0.952457375303894</v>
      </c>
      <c r="AD212" s="25" t="n">
        <f aca="false">IFERROR((AD168-Y168)/(AD121-Y121),"")</f>
        <v>0.235660475870814</v>
      </c>
      <c r="AE212" s="25" t="n">
        <f aca="false">IFERROR((AE168-Z168)/(AE121-Z121),"")</f>
        <v>-0.0479461101571794</v>
      </c>
      <c r="AF212" s="25" t="n">
        <f aca="false">IFERROR((AF168-AA168)/(AF121-AA121),"")</f>
        <v>0.475159381999885</v>
      </c>
      <c r="AG212" s="25" t="n">
        <f aca="false">IFERROR((AG168-AB168)/(AG121-AB121),"")</f>
        <v>0.0779428251121074</v>
      </c>
      <c r="AH212" s="25" t="n">
        <f aca="false">IFERROR((AH168-AC168)/(AH121-AC121),"")</f>
        <v>0.190188087774295</v>
      </c>
      <c r="AI212" s="25" t="n">
        <f aca="false">IFERROR((AI168-AD168)/(AI121-AD121),"")</f>
        <v>0.433435810452666</v>
      </c>
      <c r="AJ212" s="25" t="n">
        <f aca="false">IFERROR((AJ168-AE168)/(AJ121-AE121),"")</f>
        <v>0.515075586736825</v>
      </c>
      <c r="AK212" s="25" t="n">
        <f aca="false">IFERROR((AK168-AF168)/(AK121-AF121),"")</f>
        <v>0.447647951441578</v>
      </c>
      <c r="AL212" s="25" t="n">
        <f aca="false">IFERROR((AL168-AG168)/(AL121-AG121),"")</f>
        <v>0.991685612211758</v>
      </c>
      <c r="AM212" s="25" t="n">
        <f aca="false">IFERROR((AM168-AH168)/(AM121-AH121),"")</f>
        <v>0.610021094253361</v>
      </c>
      <c r="AN212" s="25" t="n">
        <f aca="false">IFERROR((AN168-AI168)/(AN121-AI121),"")</f>
        <v>0.751914745827774</v>
      </c>
      <c r="AO212" s="25" t="n">
        <f aca="false">IFERROR((AO168-AJ168)/(AO121-AJ121),"")</f>
        <v>0.533781181806511</v>
      </c>
      <c r="AP212" s="25" t="n">
        <f aca="false">IFERROR((AP168-AK168)/(AP121-AK121),"")</f>
        <v>0.417993782120424</v>
      </c>
      <c r="AQ212" s="25" t="n">
        <f aca="false">IFERROR((AQ168-AL168)/(AQ121-AL121),"")</f>
        <v>0.0478235144958158</v>
      </c>
      <c r="AR212" s="25" t="n">
        <f aca="false">IFERROR((AR168-AM168)/(AR121-AM121),"")</f>
        <v>0.42656827988282</v>
      </c>
      <c r="AS212" s="25" t="n">
        <f aca="false">IFERROR((AS168-AN168)/(AS121-AN121),"")</f>
        <v>-0.0233988205985306</v>
      </c>
      <c r="AT212" s="25" t="n">
        <f aca="false">IFERROR((AT168-AO168)/(AT121-AO121),"")</f>
        <v>0.352328695293919</v>
      </c>
      <c r="AU212" s="25" t="n">
        <f aca="false">IFERROR((AU168-AP168)/(AU121-AP121),"")</f>
        <v>0.0575729275394178</v>
      </c>
      <c r="AV212" s="25" t="n">
        <f aca="false">IFERROR((AV168-AQ168)/(AV121-AQ121),"")</f>
        <v>0.35833321371668</v>
      </c>
      <c r="AW212" s="25" t="n">
        <f aca="false">IFERROR((AW168-AR168)/(AW121-AR121),"")</f>
        <v>0.179274971075974</v>
      </c>
      <c r="AX212" s="25" t="n">
        <f aca="false">IFERROR((AX168-AS168)/(AX121-AS121),"")</f>
        <v>0.53955960516325</v>
      </c>
      <c r="AY212" s="25" t="n">
        <f aca="false">IFERROR((AY168-AT168)/(AY121-AT121),"")</f>
        <v>0.259949022531081</v>
      </c>
      <c r="AZ212" s="25" t="n">
        <f aca="false">IFERROR((AZ168-AU168)/(AZ121-AU121),"")</f>
        <v>0.14203720538949</v>
      </c>
      <c r="BA212" s="25" t="n">
        <f aca="false">IFERROR((BA168-AV168)/(BA121-AV121),"")</f>
        <v>0.426377959065921</v>
      </c>
      <c r="BB212" s="25" t="n">
        <f aca="false">IFERROR((BB168-AW168)/(BB121-AW121),"")</f>
        <v>0.330469002090378</v>
      </c>
      <c r="BC212" s="25" t="n">
        <f aca="false">IFERROR((BC168-AX168)/(BC121-AX121),"")</f>
        <v>0.316078309936692</v>
      </c>
      <c r="BD212" s="25" t="n">
        <f aca="false">IFERROR((BD168-AY168)/(BD121-AY121),"")</f>
        <v>0.145547119249664</v>
      </c>
      <c r="BE212" s="25" t="n">
        <f aca="false">IFERROR((BE168-AZ168)/(BE121-AZ121),"")</f>
        <v>0.150862817263289</v>
      </c>
      <c r="BF212" s="25" t="n">
        <f aca="false">IFERROR((BF168-BA168)/(BF121-BA121),"")</f>
        <v>-0.166874502321247</v>
      </c>
      <c r="BG212" s="25" t="n">
        <f aca="false">IFERROR((BG168-BB168)/(BG121-BB121),"")</f>
        <v>0.101160897156095</v>
      </c>
      <c r="BH212" s="25" t="n">
        <f aca="false">IFERROR((BH168-BC168)/(BH121-BC121),"")</f>
        <v>-0.802774981397997</v>
      </c>
      <c r="BI212" s="25" t="n">
        <f aca="false">IFERROR((BI168-BD168)/(BI121-BD121),"")</f>
        <v>-0.457613724532315</v>
      </c>
      <c r="BJ212" s="25" t="n">
        <f aca="false">IFERROR((BJ168-BE168)/(BJ121-BE121),"")</f>
        <v>-0.601493771033832</v>
      </c>
      <c r="BK212" s="25" t="n">
        <f aca="false">IFERROR((BK168-BF168)/(BK121-BF121),"")</f>
        <v>-0.781829900770456</v>
      </c>
      <c r="BL212" s="25" t="n">
        <f aca="false">IFERROR((BL168-BG168)/(BL121-BG121),"")</f>
        <v>-0.65961240054145</v>
      </c>
      <c r="BM212" s="25" t="n">
        <f aca="false">IFERROR((BM168-BH168)/(BM121-BH121),"")</f>
        <v>-1.5339006580226</v>
      </c>
      <c r="BN212" s="25" t="n">
        <f aca="false">IFERROR((BN168-BI168)/(BN121-BI121),"")</f>
        <v>-1.19585779063622</v>
      </c>
      <c r="BO212" s="25" t="n">
        <f aca="false">IFERROR((BO168-BJ168)/(BO121-BJ121),"")</f>
        <v>-0.530288086440652</v>
      </c>
      <c r="BP212" s="25" t="n">
        <f aca="false">IFERROR((BP168-BK168)/(BP121-BK121),"")</f>
        <v>-0.263033414574349</v>
      </c>
      <c r="BQ212" s="25" t="n">
        <f aca="false">IFERROR((BQ168-BL168)/(BQ121-BL121),"")</f>
        <v>-0.892247510668564</v>
      </c>
      <c r="BR212" s="25" t="n">
        <f aca="false">IFERROR((BR168-BM168)/(BR121-BM121),"")</f>
        <v>0.701846965699208</v>
      </c>
      <c r="BS212" s="25" t="n">
        <f aca="false">IFERROR((BS168-BN168)/(BS121-BN121),"")</f>
        <v>0.427053140096618</v>
      </c>
      <c r="BT212" s="25" t="n">
        <f aca="false">IFERROR((BT168-BO168)/(BT121-BO121),"")</f>
        <v>0.274468085106383</v>
      </c>
      <c r="BU212" s="25" t="n">
        <f aca="false">IFERROR((BU168-BP168)/(BU121-BP121),"")</f>
        <v>0.34225721784777</v>
      </c>
      <c r="BV212" s="25" t="n">
        <f aca="false">IFERROR((BV168-BQ168)/(BV121-BQ121),"")</f>
        <v>0.39389193422083</v>
      </c>
      <c r="BW212" s="25" t="n">
        <f aca="false">IFERROR((BW168-BR168)/(BW121-BR121),"")</f>
        <v>0.402912621359223</v>
      </c>
      <c r="BX212" s="25" t="n">
        <f aca="false">IFERROR((BX168-BS168)/(BX121-BS121),"")</f>
        <v>0.688935281837161</v>
      </c>
      <c r="BY212" s="27" t="n">
        <f aca="false">IFERROR((BY168-BT168)/(BY121-BT121),"")</f>
        <v>0.693563269836477</v>
      </c>
      <c r="BZ212" s="27" t="n">
        <f aca="false">IFERROR((BZ168-BU168)/(BZ121-BU121),"")</f>
        <v>1.01772780240963</v>
      </c>
      <c r="CA212" s="27" t="n">
        <f aca="false">IFERROR((CA168-BV168)/(CA121-BV121),"")</f>
        <v>0.672889954912343</v>
      </c>
      <c r="CB212" s="27" t="n">
        <f aca="false">IFERROR((CB168-CA168)/(CB121-CA121),"")</f>
        <v>0.360586132086877</v>
      </c>
      <c r="CC212" s="27" t="n">
        <f aca="false">IFERROR((CC168-CB168)/(CC121-CB121),"")</f>
        <v>0.543927235544605</v>
      </c>
      <c r="CD212" s="27" t="n">
        <f aca="false">IFERROR((CD168-CC168)/(CD121-CC121),"")</f>
        <v>0.600766225504206</v>
      </c>
      <c r="CE212" s="27" t="n">
        <f aca="false">IFERROR((CE168-CD168)/(CE121-CD121),"")</f>
        <v>0.656019513171441</v>
      </c>
      <c r="CF212" s="28"/>
    </row>
    <row r="213" customFormat="false" ht="15" hidden="false" customHeight="true" outlineLevel="0" collapsed="false">
      <c r="B213" s="29" t="s">
        <v>417</v>
      </c>
      <c r="C213" s="25" t="n">
        <f aca="false">IF(AND(ISNUMBER(C131),ISNUMBER(C121)),IFERROR(C131/C121,""),"")</f>
        <v>0.0886216163485201</v>
      </c>
      <c r="D213" s="25" t="n">
        <f aca="false">IF(AND(ISNUMBER(D131),ISNUMBER(D121)),IFERROR(D131/D121,""),"")</f>
        <v>0.0925909597780141</v>
      </c>
      <c r="E213" s="25" t="n">
        <f aca="false">IF(AND(ISNUMBER(E131),ISNUMBER(E121)),IFERROR(E131/E121,""),"")</f>
        <v>0.187301109081665</v>
      </c>
      <c r="F213" s="25" t="n">
        <f aca="false">IF(AND(ISNUMBER(F131),ISNUMBER(F121)),IFERROR(F131/F121,""),"")</f>
        <v>0.151841800256607</v>
      </c>
      <c r="G213" s="25" t="n">
        <f aca="false">IF(AND(ISNUMBER(G131),ISNUMBER(G121)),IFERROR(G131/G121,""),"")</f>
        <v>0.100658534429417</v>
      </c>
      <c r="H213" s="25" t="n">
        <f aca="false">IF(AND(ISNUMBER(H131),ISNUMBER(H121)),IFERROR(H131/H121,""),"")</f>
        <v>0.0864827717706505</v>
      </c>
      <c r="I213" s="25" t="n">
        <f aca="false">IF(AND(ISNUMBER(I131),ISNUMBER(I121)),IFERROR(I131/I121,""),"")</f>
        <v>0.0784143386219194</v>
      </c>
      <c r="J213" s="25" t="n">
        <f aca="false">IF(AND(ISNUMBER(J131),ISNUMBER(J121)),IFERROR(J131/J121,""),"")</f>
        <v>-0.0249728451549029</v>
      </c>
      <c r="K213" s="25" t="n">
        <f aca="false">IF(AND(ISNUMBER(K131),ISNUMBER(K121)),IFERROR(K131/K121,""),"")</f>
        <v>0.140212295525647</v>
      </c>
      <c r="L213" s="25" t="n">
        <f aca="false">IF(AND(ISNUMBER(L131),ISNUMBER(L121)),IFERROR(L131/L121,""),"")</f>
        <v>0.176044736912405</v>
      </c>
      <c r="M213" s="25" t="n">
        <f aca="false">IF(AND(ISNUMBER(M131),ISNUMBER(M121)),IFERROR(M131/M121,""),"")</f>
        <v>0.187691376178531</v>
      </c>
      <c r="N213" s="25" t="n">
        <f aca="false">IF(AND(ISNUMBER(N131),ISNUMBER(N121)),IFERROR(N131/N121,""),"")</f>
        <v>0.122814059867148</v>
      </c>
      <c r="O213" s="25" t="n">
        <f aca="false">IF(AND(ISNUMBER(O131),ISNUMBER(O121)),IFERROR(O131/O121,""),"")</f>
        <v>0.14395008230038</v>
      </c>
      <c r="P213" s="25" t="n">
        <f aca="false">IF(AND(ISNUMBER(P131),ISNUMBER(P121)),IFERROR(P131/P121,""),"")</f>
        <v>0.114475857773445</v>
      </c>
      <c r="Q213" s="25" t="n">
        <f aca="false">IF(AND(ISNUMBER(Q131),ISNUMBER(Q121)),IFERROR(Q131/Q121,""),"")</f>
        <v>0.153407902989755</v>
      </c>
      <c r="R213" s="25" t="n">
        <f aca="false">IF(AND(ISNUMBER(R131),ISNUMBER(R121)),IFERROR(R131/R121,""),"")</f>
        <v>0.149574620746207</v>
      </c>
      <c r="S213" s="25" t="n">
        <f aca="false">IF(AND(ISNUMBER(S131),ISNUMBER(S121)),IFERROR(S131/S121,""),"")</f>
        <v>0.140428797644183</v>
      </c>
      <c r="T213" s="25" t="n">
        <f aca="false">IF(AND(ISNUMBER(T131),ISNUMBER(T121)),IFERROR(T131/T121,""),"")</f>
        <v>-0.022053829706955</v>
      </c>
      <c r="U213" s="25" t="n">
        <f aca="false">IF(AND(ISNUMBER(U131),ISNUMBER(U121)),IFERROR(U131/U121,""),"")</f>
        <v>-0.117950040138992</v>
      </c>
      <c r="V213" s="25" t="n">
        <f aca="false">IF(AND(ISNUMBER(V131),ISNUMBER(V121)),IFERROR(V131/V121,""),"")</f>
        <v>-0.00227948254159665</v>
      </c>
      <c r="W213" s="25" t="n">
        <f aca="false">IF(AND(ISNUMBER(W131),ISNUMBER(W121)),IFERROR(W131/W121,""),"")</f>
        <v>0.184043231144662</v>
      </c>
      <c r="X213" s="25" t="n">
        <f aca="false">IF(AND(ISNUMBER(X131),ISNUMBER(X121)),IFERROR(X131/X121,""),"")</f>
        <v>0.0160938176137035</v>
      </c>
      <c r="Y213" s="25" t="n">
        <f aca="false">IF(AND(ISNUMBER(Y131),ISNUMBER(Y121)),IFERROR(Y131/Y121,""),"")</f>
        <v>0.151702972378955</v>
      </c>
      <c r="Z213" s="25" t="n">
        <f aca="false">IF(AND(ISNUMBER(Z131),ISNUMBER(Z121)),IFERROR(Z131/Z121,""),"")</f>
        <v>0.135926600892352</v>
      </c>
      <c r="AA213" s="25" t="n">
        <f aca="false">IF(AND(ISNUMBER(AA131),ISNUMBER(AA121)),IFERROR(AA131/AA121,""),"")</f>
        <v>0.186149282359634</v>
      </c>
      <c r="AB213" s="25" t="n">
        <f aca="false">IF(AND(ISNUMBER(AB131),ISNUMBER(AB121)),IFERROR(AB131/AB121,""),"")</f>
        <v>0.21478074856512</v>
      </c>
      <c r="AC213" s="25" t="n">
        <f aca="false">IF(AND(ISNUMBER(AC131),ISNUMBER(AC121)),IFERROR(AC131/AC121,""),"")</f>
        <v>0.172994042715758</v>
      </c>
      <c r="AD213" s="25" t="n">
        <f aca="false">IF(AND(ISNUMBER(AD131),ISNUMBER(AD121)),IFERROR(AD131/AD121,""),"")</f>
        <v>0.166239246445644</v>
      </c>
      <c r="AE213" s="25" t="n">
        <f aca="false">IF(AND(ISNUMBER(AE131),ISNUMBER(AE121)),IFERROR(AE131/AE121,""),"")</f>
        <v>0.117573886900018</v>
      </c>
      <c r="AF213" s="25" t="n">
        <f aca="false">IF(AND(ISNUMBER(AF131),ISNUMBER(AF121)),IFERROR(AF131/AF121,""),"")</f>
        <v>0.232344778271988</v>
      </c>
      <c r="AG213" s="25" t="n">
        <f aca="false">IF(AND(ISNUMBER(AG131),ISNUMBER(AG121)),IFERROR(AG131/AG121,""),"")</f>
        <v>0.199841726675355</v>
      </c>
      <c r="AH213" s="25" t="n">
        <f aca="false">IF(AND(ISNUMBER(AH131),ISNUMBER(AH121)),IFERROR(AH131/AH121,""),"")</f>
        <v>0.18007728727868</v>
      </c>
      <c r="AI213" s="25" t="n">
        <f aca="false">IF(AND(ISNUMBER(AI131),ISNUMBER(AI121)),IFERROR(AI131/AI121,""),"")</f>
        <v>0.195255701123054</v>
      </c>
      <c r="AJ213" s="25" t="n">
        <f aca="false">IF(AND(ISNUMBER(AJ131),ISNUMBER(AJ121)),IFERROR(AJ131/AJ121,""),"")</f>
        <v>0.147378273370638</v>
      </c>
      <c r="AK213" s="25" t="n">
        <f aca="false">IF(AND(ISNUMBER(AK131),ISNUMBER(AK121)),IFERROR(AK131/AK121,""),"")</f>
        <v>0.231365682022748</v>
      </c>
      <c r="AL213" s="25" t="n">
        <f aca="false">IF(AND(ISNUMBER(AL131),ISNUMBER(AL121)),IFERROR(AL131/AL121,""),"")</f>
        <v>0.334812134194841</v>
      </c>
      <c r="AM213" s="25" t="n">
        <f aca="false">IF(AND(ISNUMBER(AM131),ISNUMBER(AM121)),IFERROR(AM131/AM121,""),"")</f>
        <v>0.229532350197008</v>
      </c>
      <c r="AN213" s="25" t="n">
        <f aca="false">IF(AND(ISNUMBER(AN131),ISNUMBER(AN121)),IFERROR(AN131/AN121,""),"")</f>
        <v>0.284667732358986</v>
      </c>
      <c r="AO213" s="25" t="n">
        <f aca="false">IF(AND(ISNUMBER(AO131),ISNUMBER(AO121)),IFERROR(AO131/AO121,""),"")</f>
        <v>0.217593670002327</v>
      </c>
      <c r="AP213" s="25" t="n">
        <f aca="false">IF(AND(ISNUMBER(AP131),ISNUMBER(AP121)),IFERROR(AP131/AP121,""),"")</f>
        <v>0.267196322078864</v>
      </c>
      <c r="AQ213" s="25" t="n">
        <f aca="false">IF(AND(ISNUMBER(AQ131),ISNUMBER(AQ121)),IFERROR(AQ131/AQ121,""),"")</f>
        <v>0.269492909485864</v>
      </c>
      <c r="AR213" s="25" t="n">
        <f aca="false">IF(AND(ISNUMBER(AR131),ISNUMBER(AR121)),IFERROR(AR131/AR121,""),"")</f>
        <v>0.259728559803789</v>
      </c>
      <c r="AS213" s="25" t="n">
        <f aca="false">IF(AND(ISNUMBER(AS131),ISNUMBER(AS121)),IFERROR(AS131/AS121,""),"")</f>
        <v>0.193606177921485</v>
      </c>
      <c r="AT213" s="25" t="n">
        <f aca="false">IF(AND(ISNUMBER(AT131),ISNUMBER(AT121)),IFERROR(AT131/AT121,""),"")</f>
        <v>0.204751749299399</v>
      </c>
      <c r="AU213" s="25" t="n">
        <f aca="false">IF(AND(ISNUMBER(AU131),ISNUMBER(AU121)),IFERROR(AU131/AU121,""),"")</f>
        <v>0.180463793994643</v>
      </c>
      <c r="AV213" s="25" t="n">
        <f aca="false">IF(AND(ISNUMBER(AV131),ISNUMBER(AV121)),IFERROR(AV131/AV121,""),"")</f>
        <v>0.124236880418908</v>
      </c>
      <c r="AW213" s="25" t="n">
        <f aca="false">IF(AND(ISNUMBER(AW131),ISNUMBER(AW121)),IFERROR(AW131/AW121,""),"")</f>
        <v>0.174321089752438</v>
      </c>
      <c r="AX213" s="25" t="n">
        <f aca="false">IF(AND(ISNUMBER(AX131),ISNUMBER(AX121)),IFERROR(AX131/AX121,""),"")</f>
        <v>0.221126640550408</v>
      </c>
      <c r="AY213" s="25" t="n">
        <f aca="false">IF(AND(ISNUMBER(AY131),ISNUMBER(AY121)),IFERROR(AY131/AY121,""),"")</f>
        <v>0.21029369208445</v>
      </c>
      <c r="AZ213" s="25" t="n">
        <f aca="false">IF(AND(ISNUMBER(AZ131),ISNUMBER(AZ121)),IFERROR(AZ131/AZ121,""),"")</f>
        <v>0.179708763335663</v>
      </c>
      <c r="BA213" s="25" t="n">
        <f aca="false">IF(AND(ISNUMBER(BA131),ISNUMBER(BA121)),IFERROR(BA131/BA121,""),"")</f>
        <v>0.277010414652338</v>
      </c>
      <c r="BB213" s="25" t="n">
        <f aca="false">IF(AND(ISNUMBER(BB131),ISNUMBER(BB121)),IFERROR(BB131/BB121,""),"")</f>
        <v>0.222380133066891</v>
      </c>
      <c r="BC213" s="25" t="n">
        <f aca="false">IF(AND(ISNUMBER(BC131),ISNUMBER(BC121)),IFERROR(BC131/BC121,""),"")</f>
        <v>0.248679300150245</v>
      </c>
      <c r="BD213" s="25" t="n">
        <f aca="false">IF(AND(ISNUMBER(BD131),ISNUMBER(BD121)),IFERROR(BD131/BD121,""),"")</f>
        <v>0.205447243002156</v>
      </c>
      <c r="BE213" s="25" t="n">
        <f aca="false">IF(AND(ISNUMBER(BE131),ISNUMBER(BE121)),IFERROR(BE131/BE121,""),"")</f>
        <v>0.153215626632862</v>
      </c>
      <c r="BF213" s="25" t="n">
        <f aca="false">IF(AND(ISNUMBER(BF131),ISNUMBER(BF121)),IFERROR(BF131/BF121,""),"")</f>
        <v>0.221789672884563</v>
      </c>
      <c r="BG213" s="25" t="n">
        <f aca="false">IF(AND(ISNUMBER(BG131),ISNUMBER(BG121)),IFERROR(BG131/BG121,""),"")</f>
        <v>0.20662995171827</v>
      </c>
      <c r="BH213" s="25" t="n">
        <f aca="false">IF(AND(ISNUMBER(BH131),ISNUMBER(BH121)),IFERROR(BH131/BH121,""),"")</f>
        <v>0.123588641365172</v>
      </c>
      <c r="BI213" s="25" t="n">
        <f aca="false">IF(AND(ISNUMBER(BI131),ISNUMBER(BI121)),IFERROR(BI131/BI121,""),"")</f>
        <v>0.130624222239093</v>
      </c>
      <c r="BJ213" s="25" t="n">
        <f aca="false">IF(AND(ISNUMBER(BJ131),ISNUMBER(BJ121)),IFERROR(BJ131/BJ121,""),"")</f>
        <v>0.0986026199475242</v>
      </c>
      <c r="BK213" s="25" t="n">
        <f aca="false">IF(AND(ISNUMBER(BK131),ISNUMBER(BK121)),IFERROR(BK131/BK121,""),"")</f>
        <v>0.108332200625255</v>
      </c>
      <c r="BL213" s="25" t="n">
        <f aca="false">IF(AND(ISNUMBER(BL131),ISNUMBER(BL121)),IFERROR(BL131/BL121,""),"")</f>
        <v>0.114989816700611</v>
      </c>
      <c r="BM213" s="25" t="n">
        <f aca="false">IF(AND(ISNUMBER(BM131),ISNUMBER(BM121)),IFERROR(BM131/BM121,""),"")</f>
        <v>-0.065204143814747</v>
      </c>
      <c r="BN213" s="25" t="n">
        <f aca="false">IF(AND(ISNUMBER(BN131),ISNUMBER(BN121)),IFERROR(BN131/BN121,""),"")</f>
        <v>-0.023753319563293</v>
      </c>
      <c r="BO213" s="25" t="n">
        <f aca="false">IF(AND(ISNUMBER(BO131),ISNUMBER(BO121)),IFERROR(BO131/BO121,""),"")</f>
        <v>0.0342188853595149</v>
      </c>
      <c r="BP213" s="25" t="n">
        <f aca="false">IF(AND(ISNUMBER(BP131),ISNUMBER(BP121)),IFERROR(BP131/BP121,""),"")</f>
        <v>0.0563856780377784</v>
      </c>
      <c r="BQ213" s="25" t="n">
        <f aca="false">IF(AND(ISNUMBER(BQ131),ISNUMBER(BQ121)),IFERROR(BQ131/BQ121,""),"")</f>
        <v>0.00171771069366268</v>
      </c>
      <c r="BR213" s="25" t="n">
        <f aca="false">IF(AND(ISNUMBER(BR131),ISNUMBER(BR121)),IFERROR(BR131/BR121,""),"")</f>
        <v>-0.0584539743239551</v>
      </c>
      <c r="BS213" s="25" t="n">
        <f aca="false">IF(AND(ISNUMBER(BS131),ISNUMBER(BS121)),IFERROR(BS131/BS121,""),"")</f>
        <v>-0.0348137719185973</v>
      </c>
      <c r="BT213" s="25" t="n">
        <f aca="false">IF(AND(ISNUMBER(BT131),ISNUMBER(BT121)),IFERROR(BT131/BT121,""),"")</f>
        <v>-0.0613003838771592</v>
      </c>
      <c r="BU213" s="25" t="n">
        <f aca="false">IF(AND(ISNUMBER(BU131),ISNUMBER(BU121)),IFERROR(BU131/BU121,""),"")</f>
        <v>0.054561617957551</v>
      </c>
      <c r="BV213" s="25" t="n">
        <f aca="false">IF(AND(ISNUMBER(BV131),ISNUMBER(BV121)),IFERROR(BV131/BV121,""),"")</f>
        <v>-0.0221743147520788</v>
      </c>
      <c r="BW213" s="25" t="n">
        <f aca="false">IF(AND(ISNUMBER(BW131),ISNUMBER(BW121)),IFERROR(BW131/BW121,""),"")</f>
        <v>0.00334448160535117</v>
      </c>
      <c r="BX213" s="25" t="n">
        <f aca="false">IF(AND(ISNUMBER(BX131),ISNUMBER(BX121)),IFERROR(BX131/BX121,""),"")</f>
        <v>0.0821621621621622</v>
      </c>
      <c r="BY213" s="27" t="n">
        <f aca="false">IF(AND(ISNUMBER(BY131),ISNUMBER(BY121)),IFERROR(BY131/BY121,""),"")</f>
        <v>0.0763250492094314</v>
      </c>
      <c r="BZ213" s="27" t="n">
        <f aca="false">IF(AND(ISNUMBER(BZ131),ISNUMBER(BZ121)),IFERROR(BZ131/BZ121,""),"")</f>
        <v>0.152576165833458</v>
      </c>
      <c r="CA213" s="27" t="n">
        <f aca="false">IF(AND(ISNUMBER(CA131),ISNUMBER(CA121)),IFERROR(CA131/CA121,""),"")</f>
        <v>0.0808513722551762</v>
      </c>
      <c r="CB213" s="27" t="n">
        <f aca="false">IF(AND(ISNUMBER(CB131),ISNUMBER(CB121)),IFERROR(CB131/CB121,""),"")</f>
        <v>0.108633638101006</v>
      </c>
      <c r="CC213" s="27" t="n">
        <f aca="false">IF(AND(ISNUMBER(CC131),ISNUMBER(CC121)),IFERROR(CC131/CC121,""),"")</f>
        <v>0.148629460180028</v>
      </c>
      <c r="CD213" s="27" t="n">
        <f aca="false">IF(AND(ISNUMBER(CD131),ISNUMBER(CD121)),IFERROR(CD131/CD121,""),"")</f>
        <v>0.183998724054595</v>
      </c>
      <c r="CE213" s="27" t="n">
        <f aca="false">IF(AND(ISNUMBER(CE131),ISNUMBER(CE121)),IFERROR(CE131/CE121,""),"")</f>
        <v>0.221523460613451</v>
      </c>
      <c r="CF213" s="28"/>
      <c r="CH213" s="32" t="n">
        <f aca="false">IFERROR(AVERAGE(CA213,CB213,CC213,CD213,CE213),"n/m")</f>
        <v>0.148727331040851</v>
      </c>
      <c r="CI213" s="32" t="n">
        <f aca="false">IFERROR(AVERAGE(BB213,BG213,BL213,BQ213,BV213),"n/m")</f>
        <v>0.104708659485471</v>
      </c>
      <c r="CJ213" s="32" t="n">
        <f aca="false">IFERROR(AVERAGE(AC213,AH213,AM213,AR213,AW213,BB213,BG213,BL213,BQ213,BV213),"n/m")</f>
        <v>0.154019662717503</v>
      </c>
      <c r="CK213" s="32" t="n">
        <f aca="false">IFERROR(AVERAGE(C213,D213,E213,F213,G213,H213,I213,N213,S213,X213,AC213,AH213,AM213,AR213,AW213,BB213,BG213,BL213,BQ213,BV213),"n/m")</f>
        <v>0.130272221629343</v>
      </c>
    </row>
    <row r="214" customFormat="false" ht="15" hidden="false" customHeight="true" outlineLevel="0" collapsed="false">
      <c r="B214" s="29" t="s">
        <v>418</v>
      </c>
      <c r="C214" s="25" t="n">
        <f aca="false">IF(AND(ISNUMBER(C138),ISNUMBER(C121)),IFERROR(C138/C121,""),"")</f>
        <v>0.0781048404861256</v>
      </c>
      <c r="D214" s="25" t="n">
        <f aca="false">IF(AND(ISNUMBER(D138),ISNUMBER(D121)),IFERROR(D138/D121,""),"")</f>
        <v>0.082731256969477</v>
      </c>
      <c r="E214" s="25" t="n">
        <f aca="false">IF(AND(ISNUMBER(E138),ISNUMBER(E121)),IFERROR(E138/E121,""),"")</f>
        <v>0.115912214962246</v>
      </c>
      <c r="F214" s="25" t="n">
        <f aca="false">IF(AND(ISNUMBER(F138),ISNUMBER(F121)),IFERROR(F138/F121,""),"")</f>
        <v>0.0891590630500002</v>
      </c>
      <c r="G214" s="25" t="n">
        <f aca="false">IF(AND(ISNUMBER(G138),ISNUMBER(G121)),IFERROR(G138/G121,""),"")</f>
        <v>0.0587333156545566</v>
      </c>
      <c r="H214" s="25" t="n">
        <f aca="false">IF(AND(ISNUMBER(H138),ISNUMBER(H121)),IFERROR(H138/H121,""),"")</f>
        <v>0.0582192597065203</v>
      </c>
      <c r="I214" s="25" t="n">
        <f aca="false">IF(AND(ISNUMBER(I138),ISNUMBER(I121)),IFERROR(I138/I121,""),"")</f>
        <v>0.0283337524575922</v>
      </c>
      <c r="J214" s="25" t="n">
        <f aca="false">IF(AND(ISNUMBER(J138),ISNUMBER(J121)),IFERROR(J138/J121,""),"")</f>
        <v>-0.0231657262599369</v>
      </c>
      <c r="K214" s="25" t="n">
        <f aca="false">IF(AND(ISNUMBER(K138),ISNUMBER(K121)),IFERROR(K138/K121,""),"")</f>
        <v>0.0760832668189616</v>
      </c>
      <c r="L214" s="25" t="n">
        <f aca="false">IF(AND(ISNUMBER(L138),ISNUMBER(L121)),IFERROR(L138/L121,""),"")</f>
        <v>0.098414083578953</v>
      </c>
      <c r="M214" s="25" t="n">
        <f aca="false">IF(AND(ISNUMBER(M138),ISNUMBER(M121)),IFERROR(M138/M121,""),"")</f>
        <v>0.11070841622697</v>
      </c>
      <c r="N214" s="25" t="n">
        <f aca="false">IF(AND(ISNUMBER(N138),ISNUMBER(N121)),IFERROR(N138/N121,""),"")</f>
        <v>0.0674327520790669</v>
      </c>
      <c r="O214" s="25" t="n">
        <f aca="false">IF(AND(ISNUMBER(O138),ISNUMBER(O121)),IFERROR(O138/O121,""),"")</f>
        <v>0.081796499714468</v>
      </c>
      <c r="P214" s="25" t="n">
        <f aca="false">IF(AND(ISNUMBER(P138),ISNUMBER(P121)),IFERROR(P138/P121,""),"")</f>
        <v>0.0558466704579305</v>
      </c>
      <c r="Q214" s="25" t="n">
        <f aca="false">IF(AND(ISNUMBER(Q138),ISNUMBER(Q121)),IFERROR(Q138/Q121,""),"")</f>
        <v>0.0846552895672172</v>
      </c>
      <c r="R214" s="25" t="n">
        <f aca="false">IF(AND(ISNUMBER(R138),ISNUMBER(R121)),IFERROR(R138/R121,""),"")</f>
        <v>0.089195110701107</v>
      </c>
      <c r="S214" s="25" t="n">
        <f aca="false">IF(AND(ISNUMBER(S138),ISNUMBER(S121)),IFERROR(S138/S121,""),"")</f>
        <v>0.0779062256917435</v>
      </c>
      <c r="T214" s="25" t="n">
        <f aca="false">IF(AND(ISNUMBER(T138),ISNUMBER(T121)),IFERROR(T138/T121,""),"")</f>
        <v>-0.0385297446862028</v>
      </c>
      <c r="U214" s="25" t="n">
        <f aca="false">IF(AND(ISNUMBER(U138),ISNUMBER(U121)),IFERROR(U138/U121,""),"")</f>
        <v>-0.087696373427401</v>
      </c>
      <c r="V214" s="25" t="n">
        <f aca="false">IF(AND(ISNUMBER(V138),ISNUMBER(V121)),IFERROR(V138/V121,""),"")</f>
        <v>-0.0283586667935985</v>
      </c>
      <c r="W214" s="25" t="n">
        <f aca="false">IF(AND(ISNUMBER(W138),ISNUMBER(W121)),IFERROR(W138/W121,""),"")</f>
        <v>0.119113616463481</v>
      </c>
      <c r="X214" s="25" t="n">
        <f aca="false">IF(AND(ISNUMBER(X138),ISNUMBER(X121)),IFERROR(X138/X121,""),"")</f>
        <v>-0.00486818664613546</v>
      </c>
      <c r="Y214" s="25" t="n">
        <f aca="false">IF(AND(ISNUMBER(Y138),ISNUMBER(Y121)),IFERROR(Y138/Y121,""),"")</f>
        <v>0.0837142470924557</v>
      </c>
      <c r="Z214" s="25" t="n">
        <f aca="false">IF(AND(ISNUMBER(Z138),ISNUMBER(Z121)),IFERROR(Z138/Z121,""),"")</f>
        <v>0.0752940266545495</v>
      </c>
      <c r="AA214" s="25" t="n">
        <f aca="false">IF(AND(ISNUMBER(AA138),ISNUMBER(AA121)),IFERROR(AA138/AA121,""),"")</f>
        <v>0.109072873523231</v>
      </c>
      <c r="AB214" s="25" t="n">
        <f aca="false">IF(AND(ISNUMBER(AB138),ISNUMBER(AB121)),IFERROR(AB138/AB121,""),"")</f>
        <v>0.135462711452927</v>
      </c>
      <c r="AC214" s="25" t="n">
        <f aca="false">IF(AND(ISNUMBER(AC138),ISNUMBER(AC121)),IFERROR(AC138/AC121,""),"")</f>
        <v>0.101561548655134</v>
      </c>
      <c r="AD214" s="25" t="n">
        <f aca="false">IF(AND(ISNUMBER(AD138),ISNUMBER(AD121)),IFERROR(AD138/AD121,""),"")</f>
        <v>0.0976813372588313</v>
      </c>
      <c r="AE214" s="25" t="n">
        <f aca="false">IF(AND(ISNUMBER(AE138),ISNUMBER(AE121)),IFERROR(AE138/AE121,""),"")</f>
        <v>0.0935429870168203</v>
      </c>
      <c r="AF214" s="25" t="n">
        <f aca="false">IF(AND(ISNUMBER(AF138),ISNUMBER(AF121)),IFERROR(AF138/AF121,""),"")</f>
        <v>0.138070479491623</v>
      </c>
      <c r="AG214" s="25" t="n">
        <f aca="false">IF(AND(ISNUMBER(AG138),ISNUMBER(AG121)),IFERROR(AG138/AG121,""),"")</f>
        <v>0.17403766275183</v>
      </c>
      <c r="AH214" s="25" t="n">
        <f aca="false">IF(AND(ISNUMBER(AH138),ISNUMBER(AH121)),IFERROR(AH138/AH121,""),"")</f>
        <v>0.127114780933042</v>
      </c>
      <c r="AI214" s="25" t="n">
        <f aca="false">IF(AND(ISNUMBER(AI138),ISNUMBER(AI121)),IFERROR(AI138/AI121,""),"")</f>
        <v>0.190820479471573</v>
      </c>
      <c r="AJ214" s="25" t="n">
        <f aca="false">IF(AND(ISNUMBER(AJ138),ISNUMBER(AJ121)),IFERROR(AJ138/AJ121,""),"")</f>
        <v>0.14758364812907</v>
      </c>
      <c r="AK214" s="25" t="n">
        <f aca="false">IF(AND(ISNUMBER(AK138),ISNUMBER(AK121)),IFERROR(AK138/AK121,""),"")</f>
        <v>0.192321413959578</v>
      </c>
      <c r="AL214" s="25" t="n">
        <f aca="false">IF(AND(ISNUMBER(AL138),ISNUMBER(AL121)),IFERROR(AL138/AL121,""),"")</f>
        <v>0.264628245307712</v>
      </c>
      <c r="AM214" s="25" t="n">
        <f aca="false">IF(AND(ISNUMBER(AM138),ISNUMBER(AM121)),IFERROR(AM138/AM121,""),"")</f>
        <v>0.199972814960498</v>
      </c>
      <c r="AN214" s="25" t="n">
        <f aca="false">IF(AND(ISNUMBER(AN138),ISNUMBER(AN121)),IFERROR(AN138/AN121,""),"")</f>
        <v>0.259325569003578</v>
      </c>
      <c r="AO214" s="25" t="n">
        <f aca="false">IF(AND(ISNUMBER(AO138),ISNUMBER(AO121)),IFERROR(AO138/AO121,""),"")</f>
        <v>0.183988829415871</v>
      </c>
      <c r="AP214" s="25" t="n">
        <f aca="false">IF(AND(ISNUMBER(AP138),ISNUMBER(AP121)),IFERROR(AP138/AP121,""),"")</f>
        <v>0.222837917507539</v>
      </c>
      <c r="AQ214" s="25" t="n">
        <f aca="false">IF(AND(ISNUMBER(AQ138),ISNUMBER(AQ121)),IFERROR(AQ138/AQ121,""),"")</f>
        <v>0.23464344614465</v>
      </c>
      <c r="AR214" s="25" t="n">
        <f aca="false">IF(AND(ISNUMBER(AR138),ISNUMBER(AR121)),IFERROR(AR138/AR121,""),"")</f>
        <v>0.225018735903421</v>
      </c>
      <c r="AS214" s="25" t="n">
        <f aca="false">IF(AND(ISNUMBER(AS138),ISNUMBER(AS121)),IFERROR(AS138/AS121,""),"")</f>
        <v>0.185768935324247</v>
      </c>
      <c r="AT214" s="25" t="n">
        <f aca="false">IF(AND(ISNUMBER(AT138),ISNUMBER(AT121)),IFERROR(AT138/AT121,""),"")</f>
        <v>0.151979433929484</v>
      </c>
      <c r="AU214" s="25" t="n">
        <f aca="false">IF(AND(ISNUMBER(AU138),ISNUMBER(AU121)),IFERROR(AU138/AU121,""),"")</f>
        <v>0.136708801278135</v>
      </c>
      <c r="AV214" s="25" t="n">
        <f aca="false">IF(AND(ISNUMBER(AV138),ISNUMBER(AV121)),IFERROR(AV138/AV121,""),"")</f>
        <v>0.0805345718766947</v>
      </c>
      <c r="AW214" s="25" t="n">
        <f aca="false">IF(AND(ISNUMBER(AW138),ISNUMBER(AW121)),IFERROR(AW138/AW121,""),"")</f>
        <v>0.136905002293524</v>
      </c>
      <c r="AX214" s="25" t="n">
        <f aca="false">IF(AND(ISNUMBER(AX138),ISNUMBER(AX121)),IFERROR(AX138/AX121,""),"")</f>
        <v>0.162142203248</v>
      </c>
      <c r="AY214" s="25" t="n">
        <f aca="false">IF(AND(ISNUMBER(AY138),ISNUMBER(AY121)),IFERROR(AY138/AY121,""),"")</f>
        <v>0.127303349967627</v>
      </c>
      <c r="AZ214" s="25" t="n">
        <f aca="false">IF(AND(ISNUMBER(AZ138),ISNUMBER(AZ121)),IFERROR(AZ138/AZ121,""),"")</f>
        <v>0.128783402994879</v>
      </c>
      <c r="BA214" s="25" t="n">
        <f aca="false">IF(AND(ISNUMBER(BA138),ISNUMBER(BA121)),IFERROR(BA138/BA121,""),"")</f>
        <v>0.183312088337089</v>
      </c>
      <c r="BB214" s="25" t="n">
        <f aca="false">IF(AND(ISNUMBER(BB138),ISNUMBER(BB121)),IFERROR(BB138/BB121,""),"")</f>
        <v>0.150485434396274</v>
      </c>
      <c r="BC214" s="25" t="n">
        <f aca="false">IF(AND(ISNUMBER(BC138),ISNUMBER(BC121)),IFERROR(BC138/BC121,""),"")</f>
        <v>0.173155624485048</v>
      </c>
      <c r="BD214" s="25" t="n">
        <f aca="false">IF(AND(ISNUMBER(BD138),ISNUMBER(BD121)),IFERROR(BD138/BD121,""),"")</f>
        <v>0.155643771862437</v>
      </c>
      <c r="BE214" s="25" t="n">
        <f aca="false">IF(AND(ISNUMBER(BE138),ISNUMBER(BE121)),IFERROR(BE138/BE121,""),"")</f>
        <v>0.129802970259696</v>
      </c>
      <c r="BF214" s="25" t="n">
        <f aca="false">IF(AND(ISNUMBER(BF138),ISNUMBER(BF121)),IFERROR(BF138/BF121,""),"")</f>
        <v>0.216923492835902</v>
      </c>
      <c r="BG214" s="25" t="n">
        <f aca="false">IF(AND(ISNUMBER(BG138),ISNUMBER(BG121)),IFERROR(BG138/BG121,""),"")</f>
        <v>0.169287559241</v>
      </c>
      <c r="BH214" s="25" t="n">
        <f aca="false">IF(AND(ISNUMBER(BH138),ISNUMBER(BH121)),IFERROR(BH138/BH121,""),"")</f>
        <v>0.149103472823539</v>
      </c>
      <c r="BI214" s="25" t="n">
        <f aca="false">IF(AND(ISNUMBER(BI138),ISNUMBER(BI121)),IFERROR(BI138/BI121,""),"")</f>
        <v>0.165900321171931</v>
      </c>
      <c r="BJ214" s="25" t="n">
        <f aca="false">IF(AND(ISNUMBER(BJ138),ISNUMBER(BJ121)),IFERROR(BJ138/BJ121,""),"")</f>
        <v>0.144995189452334</v>
      </c>
      <c r="BK214" s="25" t="n">
        <f aca="false">IF(AND(ISNUMBER(BK138),ISNUMBER(BK121)),IFERROR(BK138/BK121,""),"")</f>
        <v>0.150728292235559</v>
      </c>
      <c r="BL214" s="25" t="n">
        <f aca="false">IF(AND(ISNUMBER(BL138),ISNUMBER(BL121)),IFERROR(BL138/BL121,""),"")</f>
        <v>0.152627291242363</v>
      </c>
      <c r="BM214" s="25" t="n">
        <f aca="false">IF(AND(ISNUMBER(BM138),ISNUMBER(BM121)),IFERROR(BM138/BM121,""),"")</f>
        <v>0.0102071907373553</v>
      </c>
      <c r="BN214" s="25" t="n">
        <f aca="false">IF(AND(ISNUMBER(BN138),ISNUMBER(BN121)),IFERROR(BN138/BN121,""),"")</f>
        <v>0.0283269401003246</v>
      </c>
      <c r="BO214" s="25" t="n">
        <f aca="false">IF(AND(ISNUMBER(BO138),ISNUMBER(BO121)),IFERROR(BO138/BO121,""),"")</f>
        <v>0.0765232457406873</v>
      </c>
      <c r="BP214" s="25" t="n">
        <f aca="false">IF(AND(ISNUMBER(BP138),ISNUMBER(BP121)),IFERROR(BP138/BP121,""),"")</f>
        <v>0.0842965886664787</v>
      </c>
      <c r="BQ214" s="25" t="n">
        <f aca="false">IF(AND(ISNUMBER(BQ138),ISNUMBER(BQ121)),IFERROR(BQ138/BQ121,""),"")</f>
        <v>0.0506907389810686</v>
      </c>
      <c r="BR214" s="25" t="n">
        <f aca="false">IF(AND(ISNUMBER(BR138),ISNUMBER(BR121)),IFERROR(BR138/BR121,""),"")</f>
        <v>-0.0202130565419284</v>
      </c>
      <c r="BS214" s="25" t="n">
        <f aca="false">IF(AND(ISNUMBER(BS138),ISNUMBER(BS121)),IFERROR(BS138/BS121,""),"")</f>
        <v>0.00793549212850372</v>
      </c>
      <c r="BT214" s="25" t="n">
        <f aca="false">IF(AND(ISNUMBER(BT138),ISNUMBER(BT121)),IFERROR(BT138/BT121,""),"")</f>
        <v>-0.0370681381957773</v>
      </c>
      <c r="BU214" s="25" t="n">
        <f aca="false">IF(AND(ISNUMBER(BU138),ISNUMBER(BU121)),IFERROR(BU138/BU121,""),"")</f>
        <v>0.0516724080453385</v>
      </c>
      <c r="BV214" s="25" t="n">
        <f aca="false">IF(AND(ISNUMBER(BV138),ISNUMBER(BV121)),IFERROR(BV138/BV121,""),"")</f>
        <v>0.00215583615645211</v>
      </c>
      <c r="BW214" s="25" t="n">
        <f aca="false">IF(AND(ISNUMBER(BW138),ISNUMBER(BW121)),IFERROR(BW138/BW121,""),"")</f>
        <v>0.00334448160535117</v>
      </c>
      <c r="BX214" s="25" t="n">
        <f aca="false">IF(AND(ISNUMBER(BX138),ISNUMBER(BX121)),IFERROR(BX138/BX121,""),"")</f>
        <v>0.0594594594594595</v>
      </c>
      <c r="BY214" s="27" t="n">
        <f aca="false">IF(AND(ISNUMBER(BY138),ISNUMBER(BY121)),IFERROR(BY138/BY121,""),"")</f>
        <v>0.0553419459045454</v>
      </c>
      <c r="BZ214" s="27" t="n">
        <f aca="false">IF(AND(ISNUMBER(BZ138),ISNUMBER(BZ121)),IFERROR(BZ138/BZ121,""),"")</f>
        <v>0.110562492340594</v>
      </c>
      <c r="CA214" s="27" t="n">
        <f aca="false">IF(AND(ISNUMBER(CA138),ISNUMBER(CA121)),IFERROR(CA138/CA121,""),"")</f>
        <v>0.0587948157306306</v>
      </c>
      <c r="CB214" s="27" t="n">
        <f aca="false">IF(AND(ISNUMBER(CB138),ISNUMBER(CB121)),IFERROR(CB138/CB121,""),"")</f>
        <v>0.076690902668872</v>
      </c>
      <c r="CC214" s="27" t="n">
        <f aca="false">IF(AND(ISNUMBER(CC138),ISNUMBER(CC121)),IFERROR(CC138/CC121,""),"")</f>
        <v>0.105109920896989</v>
      </c>
      <c r="CD214" s="27" t="n">
        <f aca="false">IF(AND(ISNUMBER(CD138),ISNUMBER(CD121)),IFERROR(CD138/CD121,""),"")</f>
        <v>0.130640102697917</v>
      </c>
      <c r="CE214" s="27" t="n">
        <f aca="false">IF(AND(ISNUMBER(CE138),ISNUMBER(CE121)),IFERROR(CE138/CE121,""),"")</f>
        <v>0.155838320403377</v>
      </c>
      <c r="CF214" s="28"/>
      <c r="CH214" s="32" t="n">
        <f aca="false">IFERROR(AVERAGE(CA214,CB214,CC214,CD214,CE214),"n/m")</f>
        <v>0.105414812479557</v>
      </c>
      <c r="CI214" s="32" t="n">
        <f aca="false">IFERROR(AVERAGE(BB214,BG214,BL214,BQ214,BV214),"n/m")</f>
        <v>0.105049372003431</v>
      </c>
      <c r="CJ214" s="32" t="n">
        <f aca="false">IFERROR(AVERAGE(AC214,AH214,AM214,AR214,AW214,BB214,BG214,BL214,BQ214,BV214),"n/m")</f>
        <v>0.131581974276278</v>
      </c>
      <c r="CK214" s="32" t="n">
        <f aca="false">IFERROR(AVERAGE(C214,D214,E214,F214,G214,H214,I214,N214,S214,X214,AC214,AH214,AM214,AR214,AW214,BB214,BG214,BL214,BQ214,BV214),"n/m")</f>
        <v>0.0983742118586985</v>
      </c>
    </row>
    <row r="215" customFormat="false" ht="15" hidden="false" customHeight="true" outlineLevel="0" collapsed="false">
      <c r="B215" s="29" t="s">
        <v>419</v>
      </c>
      <c r="C215" s="25" t="n">
        <f aca="false">IF(AND(ISNUMBER(C125),ISNUMBER(C121)),IFERROR(C125/C121,""),"")</f>
        <v>0.26291310285797</v>
      </c>
      <c r="D215" s="25" t="n">
        <f aca="false">IF(AND(ISNUMBER(D125),ISNUMBER(D121)),IFERROR(D125/D121,""),"")</f>
        <v>0.268545940198646</v>
      </c>
      <c r="E215" s="25" t="n">
        <f aca="false">IF(AND(ISNUMBER(E125),ISNUMBER(E121)),IFERROR(E125/E121,""),"")</f>
        <v>0.196325343175099</v>
      </c>
      <c r="F215" s="25" t="n">
        <f aca="false">IF(AND(ISNUMBER(F125),ISNUMBER(F121)),IFERROR(F125/F121,""),"")</f>
        <v>0.202748272194373</v>
      </c>
      <c r="G215" s="25" t="n">
        <f aca="false">IF(AND(ISNUMBER(G125),ISNUMBER(G121)),IFERROR(G125/G121,""),"")</f>
        <v>0.231835057014055</v>
      </c>
      <c r="H215" s="25" t="n">
        <f aca="false">IF(AND(ISNUMBER(H125),ISNUMBER(H121)),IFERROR(H125/H121,""),"")</f>
        <v>0.242966894151856</v>
      </c>
      <c r="I215" s="25" t="n">
        <f aca="false">IF(AND(ISNUMBER(I125),ISNUMBER(I121)),IFERROR(I125/I121,""),"")</f>
        <v>0.240366809930959</v>
      </c>
      <c r="J215" s="25" t="n">
        <f aca="false">IF(AND(ISNUMBER(J125),ISNUMBER(J121)),IFERROR(J125/J121,""),"")</f>
        <v>0.259321561427624</v>
      </c>
      <c r="K215" s="25" t="n">
        <f aca="false">IF(AND(ISNUMBER(K125),ISNUMBER(K121)),IFERROR(K125/K121,""),"")</f>
        <v>0.215928586500794</v>
      </c>
      <c r="L215" s="25" t="n">
        <f aca="false">IF(AND(ISNUMBER(L125),ISNUMBER(L121)),IFERROR(L125/L121,""),"")</f>
        <v>0.210372124914293</v>
      </c>
      <c r="M215" s="25" t="n">
        <f aca="false">IF(AND(ISNUMBER(M125),ISNUMBER(M121)),IFERROR(M125/M121,""),"")</f>
        <v>0.212516218320215</v>
      </c>
      <c r="N215" s="25" t="n">
        <f aca="false">IF(AND(ISNUMBER(N125),ISNUMBER(N121)),IFERROR(N125/N121,""),"")</f>
        <v>0.223856598245125</v>
      </c>
      <c r="O215" s="25" t="n">
        <f aca="false">IF(AND(ISNUMBER(O125),ISNUMBER(O121)),IFERROR(O125/O121,""),"")</f>
        <v>0.233002452215392</v>
      </c>
      <c r="P215" s="25" t="n">
        <f aca="false">IF(AND(ISNUMBER(P125),ISNUMBER(P121)),IFERROR(P125/P121,""),"")</f>
        <v>0.276823191702548</v>
      </c>
      <c r="Q215" s="25" t="n">
        <f aca="false">IF(AND(ISNUMBER(Q125),ISNUMBER(Q121)),IFERROR(Q125/Q121,""),"")</f>
        <v>0.265706669454317</v>
      </c>
      <c r="R215" s="25" t="n">
        <f aca="false">IF(AND(ISNUMBER(R125),ISNUMBER(R121)),IFERROR(R125/R121,""),"")</f>
        <v>0.262678095530955</v>
      </c>
      <c r="S215" s="25" t="n">
        <f aca="false">IF(AND(ISNUMBER(S125),ISNUMBER(S121)),IFERROR(S125/S121,""),"")</f>
        <v>0.260975177797533</v>
      </c>
      <c r="T215" s="25" t="n">
        <f aca="false">IF(AND(ISNUMBER(T125),ISNUMBER(T121)),IFERROR(T125/T121,""),"")</f>
        <v>0.436913595774116</v>
      </c>
      <c r="U215" s="25" t="n">
        <f aca="false">IF(AND(ISNUMBER(U125),ISNUMBER(U121)),IFERROR(U125/U121,""),"")</f>
        <v>0.541636147359909</v>
      </c>
      <c r="V215" s="25" t="n">
        <f aca="false">IF(AND(ISNUMBER(V125),ISNUMBER(V121)),IFERROR(V125/V121,""),"")</f>
        <v>0.425781952421752</v>
      </c>
      <c r="W215" s="25" t="n">
        <f aca="false">IF(AND(ISNUMBER(W125),ISNUMBER(W121)),IFERROR(W125/W121,""),"")</f>
        <v>0.309871560393557</v>
      </c>
      <c r="X215" s="25" t="n">
        <f aca="false">IF(AND(ISNUMBER(X125),ISNUMBER(X121)),IFERROR(X125/X121,""),"")</f>
        <v>0.424615462428558</v>
      </c>
      <c r="Y215" s="25" t="n">
        <f aca="false">IF(AND(ISNUMBER(Y125),ISNUMBER(Y121)),IFERROR(Y125/Y121,""),"")</f>
        <v>0.376511347308237</v>
      </c>
      <c r="Z215" s="25" t="n">
        <f aca="false">IF(AND(ISNUMBER(Z125),ISNUMBER(Z121)),IFERROR(Z125/Z121,""),"")</f>
        <v>0.388980465898709</v>
      </c>
      <c r="AA215" s="25" t="n">
        <f aca="false">IF(AND(ISNUMBER(AA125),ISNUMBER(AA121)),IFERROR(AA125/AA121,""),"")</f>
        <v>0.35453737700448</v>
      </c>
      <c r="AB215" s="25" t="n">
        <f aca="false">IF(AND(ISNUMBER(AB125),ISNUMBER(AB121)),IFERROR(AB125/AB121,""),"")</f>
        <v>0.299558886176143</v>
      </c>
      <c r="AC215" s="25" t="n">
        <f aca="false">IF(AND(ISNUMBER(AC125),ISNUMBER(AC121)),IFERROR(AC125/AC121,""),"")</f>
        <v>0.353954610030682</v>
      </c>
      <c r="AD215" s="25" t="n">
        <f aca="false">IF(AND(ISNUMBER(AD125),ISNUMBER(AD121)),IFERROR(AD125/AD121,""),"")</f>
        <v>0.337236761375925</v>
      </c>
      <c r="AE215" s="25" t="n">
        <f aca="false">IF(AND(ISNUMBER(AE125),ISNUMBER(AE121)),IFERROR(AE125/AE121,""),"")</f>
        <v>0.386779842548903</v>
      </c>
      <c r="AF215" s="25" t="n">
        <f aca="false">IF(AND(ISNUMBER(AF125),ISNUMBER(AF121)),IFERROR(AF125/AF121,""),"")</f>
        <v>0.293718413302469</v>
      </c>
      <c r="AG215" s="25" t="n">
        <f aca="false">IF(AND(ISNUMBER(AG125),ISNUMBER(AG121)),IFERROR(AG125/AG121,""),"")</f>
        <v>0.305243099164931</v>
      </c>
      <c r="AH215" s="25" t="n">
        <f aca="false">IF(AND(ISNUMBER(AH125),ISNUMBER(AH121)),IFERROR(AH125/AH121,""),"")</f>
        <v>0.329830195911855</v>
      </c>
      <c r="AI215" s="25" t="n">
        <f aca="false">IF(AND(ISNUMBER(AI125),ISNUMBER(AI121)),IFERROR(AI125/AI121,""),"")</f>
        <v>0.323288932404884</v>
      </c>
      <c r="AJ215" s="25" t="n">
        <f aca="false">IF(AND(ISNUMBER(AJ125),ISNUMBER(AJ121)),IFERROR(AJ125/AJ121,""),"")</f>
        <v>0.38033048502111</v>
      </c>
      <c r="AK215" s="25" t="n">
        <f aca="false">IF(AND(ISNUMBER(AK125),ISNUMBER(AK121)),IFERROR(AK125/AK121,""),"")</f>
        <v>0.292123394157598</v>
      </c>
      <c r="AL215" s="25" t="n">
        <f aca="false">IF(AND(ISNUMBER(AL125),ISNUMBER(AL121)),IFERROR(AL125/AL121,""),"")</f>
        <v>0.219132936803445</v>
      </c>
      <c r="AM215" s="25" t="n">
        <f aca="false">IF(AND(ISNUMBER(AM125),ISNUMBER(AM121)),IFERROR(AM125/AM121,""),"")</f>
        <v>0.30193685016009</v>
      </c>
      <c r="AN215" s="25" t="n">
        <f aca="false">IF(AND(ISNUMBER(AN125),ISNUMBER(AN121)),IFERROR(AN125/AN121,""),"")</f>
        <v>0.26823171195859</v>
      </c>
      <c r="AO215" s="25" t="n">
        <f aca="false">IF(AND(ISNUMBER(AO125),ISNUMBER(AO121)),IFERROR(AO125/AO121,""),"")</f>
        <v>0.346389923202234</v>
      </c>
      <c r="AP215" s="25" t="n">
        <f aca="false">IF(AND(ISNUMBER(AP125),ISNUMBER(AP121)),IFERROR(AP125/AP121,""),"")</f>
        <v>0.287924310106347</v>
      </c>
      <c r="AQ215" s="25" t="n">
        <f aca="false">IF(AND(ISNUMBER(AQ125),ISNUMBER(AQ121)),IFERROR(AQ125/AQ121,""),"")</f>
        <v>0.266448018018499</v>
      </c>
      <c r="AR215" s="25" t="n">
        <f aca="false">IF(AND(ISNUMBER(AR125),ISNUMBER(AR121)),IFERROR(AR125/AR121,""),"")</f>
        <v>0.291912876798843</v>
      </c>
      <c r="AS215" s="25" t="n">
        <f aca="false">IF(AND(ISNUMBER(AS125),ISNUMBER(AS121)),IFERROR(AS125/AS121,""),"")</f>
        <v>0.319275125240209</v>
      </c>
      <c r="AT215" s="25" t="n">
        <f aca="false">IF(AND(ISNUMBER(AT125),ISNUMBER(AT121)),IFERROR(AT125/AT121,""),"")</f>
        <v>0.328485568752062</v>
      </c>
      <c r="AU215" s="25" t="n">
        <f aca="false">IF(AND(ISNUMBER(AU125),ISNUMBER(AU121)),IFERROR(AU125/AU121,""),"")</f>
        <v>0.344518584652977</v>
      </c>
      <c r="AV215" s="25" t="n">
        <f aca="false">IF(AND(ISNUMBER(AV125),ISNUMBER(AV121)),IFERROR(AV125/AV121,""),"")</f>
        <v>0.3005807922267</v>
      </c>
      <c r="AW215" s="25" t="n">
        <f aca="false">IF(AND(ISNUMBER(AW125),ISNUMBER(AW121)),IFERROR(AW125/AW121,""),"")</f>
        <v>0.322948682323711</v>
      </c>
      <c r="AX215" s="25" t="n">
        <f aca="false">IF(AND(ISNUMBER(AX125),ISNUMBER(AX121)),IFERROR(AX125/AX121,""),"")</f>
        <v>0.303010506951105</v>
      </c>
      <c r="AY215" s="25" t="n">
        <f aca="false">IF(AND(ISNUMBER(AY125),ISNUMBER(AY121)),IFERROR(AY125/AY121,""),"")</f>
        <v>0.342703915825063</v>
      </c>
      <c r="AZ215" s="25" t="n">
        <f aca="false">IF(AND(ISNUMBER(AZ125),ISNUMBER(AZ121)),IFERROR(AZ125/AZ121,""),"")</f>
        <v>0.360601138750979</v>
      </c>
      <c r="BA215" s="25" t="n">
        <f aca="false">IF(AND(ISNUMBER(BA125),ISNUMBER(BA121)),IFERROR(BA125/BA121,""),"")</f>
        <v>0.273592798538239</v>
      </c>
      <c r="BB215" s="25" t="n">
        <f aca="false">IF(AND(ISNUMBER(BB125),ISNUMBER(BB121)),IFERROR(BB125/BB121,""),"")</f>
        <v>0.319940230488109</v>
      </c>
      <c r="BC215" s="25" t="n">
        <f aca="false">IF(AND(ISNUMBER(BC125),ISNUMBER(BC121)),IFERROR(BC125/BC121,""),"")</f>
        <v>0.279158629380119</v>
      </c>
      <c r="BD215" s="25" t="n">
        <f aca="false">IF(AND(ISNUMBER(BD125),ISNUMBER(BD121)),IFERROR(BD125/BD121,""),"")</f>
        <v>0.338134057295435</v>
      </c>
      <c r="BE215" s="25" t="n">
        <f aca="false">IF(AND(ISNUMBER(BE125),ISNUMBER(BE121)),IFERROR(BE125/BE121,""),"")</f>
        <v>0.332892816036745</v>
      </c>
      <c r="BF215" s="25" t="n">
        <f aca="false">IF(AND(ISNUMBER(BF125),ISNUMBER(BF121)),IFERROR(BF125/BF121,""),"")</f>
        <v>0.3025857031979</v>
      </c>
      <c r="BG215" s="25" t="n">
        <f aca="false">IF(AND(ISNUMBER(BG125),ISNUMBER(BG121)),IFERROR(BG125/BG121,""),"")</f>
        <v>0.313518288818864</v>
      </c>
      <c r="BH215" s="25" t="n">
        <f aca="false">IF(AND(ISNUMBER(BH125),ISNUMBER(BH121)),IFERROR(BH125/BH121,""),"")</f>
        <v>0.387144358159099</v>
      </c>
      <c r="BI215" s="25" t="n">
        <f aca="false">IF(AND(ISNUMBER(BI125),ISNUMBER(BI121)),IFERROR(BI125/BI121,""),"")</f>
        <v>0.412648166547286</v>
      </c>
      <c r="BJ215" s="25" t="n">
        <f aca="false">IF(AND(ISNUMBER(BJ125),ISNUMBER(BJ121)),IFERROR(BJ125/BJ121,""),"")</f>
        <v>0.427255074287343</v>
      </c>
      <c r="BK215" s="25" t="n">
        <f aca="false">IF(AND(ISNUMBER(BK125),ISNUMBER(BK121)),IFERROR(BK125/BK121,""),"")</f>
        <v>0.385506648605832</v>
      </c>
      <c r="BL215" s="25" t="n">
        <f aca="false">IF(AND(ISNUMBER(BL125),ISNUMBER(BL121)),IFERROR(BL125/BL121,""),"")</f>
        <v>0.403217922606925</v>
      </c>
      <c r="BM215" s="25" t="n">
        <f aca="false">IF(AND(ISNUMBER(BM125),ISNUMBER(BM121)),IFERROR(BM125/BM121,""),"")</f>
        <v>0.557739183424741</v>
      </c>
      <c r="BN215" s="25" t="n">
        <f aca="false">IF(AND(ISNUMBER(BN125),ISNUMBER(BN121)),IFERROR(BN125/BN121,""),"")</f>
        <v>0.528769548539392</v>
      </c>
      <c r="BO215" s="25" t="n">
        <f aca="false">IF(AND(ISNUMBER(BO125),ISNUMBER(BO121)),IFERROR(BO125/BO121,""),"")</f>
        <v>0.478198094138031</v>
      </c>
      <c r="BP215" s="25" t="n">
        <f aca="false">IF(AND(ISNUMBER(BP125),ISNUMBER(BP121)),IFERROR(BP125/BP121,""),"")</f>
        <v>0.43501550606146</v>
      </c>
      <c r="BQ215" s="25" t="n">
        <f aca="false">IF(AND(ISNUMBER(BQ125),ISNUMBER(BQ121)),IFERROR(BQ125/BQ121,""),"")</f>
        <v>0.498611212630656</v>
      </c>
      <c r="BR215" s="25" t="n">
        <f aca="false">IF(AND(ISNUMBER(BR125),ISNUMBER(BR121)),IFERROR(BR125/BR121,""),"")</f>
        <v>0.503824091778203</v>
      </c>
      <c r="BS215" s="25" t="n">
        <f aca="false">IF(AND(ISNUMBER(BS125),ISNUMBER(BS121)),IFERROR(BS125/BS121,""),"")</f>
        <v>0.505439651862281</v>
      </c>
      <c r="BT215" s="25" t="n">
        <f aca="false">IF(AND(ISNUMBER(BT125),ISNUMBER(BT121)),IFERROR(BT125/BT121,""),"")</f>
        <v>0.501799424184261</v>
      </c>
      <c r="BU215" s="25" t="n">
        <f aca="false">IF(AND(ISNUMBER(BU125),ISNUMBER(BU121)),IFERROR(BU125/BU121,""),"")</f>
        <v>0.419935548394266</v>
      </c>
      <c r="BV215" s="25" t="n">
        <f aca="false">IF(AND(ISNUMBER(BV125),ISNUMBER(BV121)),IFERROR(BV125/BV121,""),"")</f>
        <v>0.480443486295042</v>
      </c>
      <c r="BW215" s="25" t="n">
        <f aca="false">IF(AND(ISNUMBER(BW125),ISNUMBER(BW121)),IFERROR(BW125/BW121,""),"")</f>
        <v>0.469342251950948</v>
      </c>
      <c r="BX215" s="25" t="n">
        <f aca="false">IF(AND(ISNUMBER(BX125),ISNUMBER(BX121)),IFERROR(BX125/BX121,""),"")</f>
        <v>0.427027027027027</v>
      </c>
      <c r="BY215" s="27" t="n">
        <f aca="false">IF(AND(ISNUMBER(BY125),ISNUMBER(BY121)),IFERROR(BY125/BY121,""),"")</f>
        <v>0.415948493784045</v>
      </c>
      <c r="BZ215" s="27" t="n">
        <f aca="false">IF(AND(ISNUMBER(BZ125),ISNUMBER(BZ121)),IFERROR(BZ125/BZ121,""),"")</f>
        <v>0.338966651751653</v>
      </c>
      <c r="CA215" s="27" t="n">
        <f aca="false">IF(AND(ISNUMBER(CA125),ISNUMBER(CA121)),IFERROR(CA125/CA121,""),"")</f>
        <v>0.410721754686984</v>
      </c>
      <c r="CB215" s="27" t="n">
        <f aca="false">IF(AND(ISNUMBER(CB125),ISNUMBER(CB121)),IFERROR(CB125/CB121,""),"")</f>
        <v>0.41300707179522</v>
      </c>
      <c r="CC215" s="27" t="n">
        <f aca="false">IF(AND(ISNUMBER(CC125),ISNUMBER(CC121)),IFERROR(CC125/CC121,""),"")</f>
        <v>0.379148060517927</v>
      </c>
      <c r="CD215" s="27" t="n">
        <f aca="false">IF(AND(ISNUMBER(CD125),ISNUMBER(CD121)),IFERROR(CD125/CD121,""),"")</f>
        <v>0.347610352082597</v>
      </c>
      <c r="CE215" s="27" t="n">
        <f aca="false">IF(AND(ISNUMBER(CE125),ISNUMBER(CE121)),IFERROR(CE125/CE121,""),"")</f>
        <v>0.315173619455247</v>
      </c>
      <c r="CF215" s="28"/>
      <c r="CH215" s="32" t="n">
        <f aca="false">IFERROR(AVERAGE(CA215,CB215,CC215,CD215,CE215),"n/m")</f>
        <v>0.373132171707595</v>
      </c>
      <c r="CI215" s="32" t="n">
        <f aca="false">IFERROR(AVERAGE(BB215,BG215,BL215,BQ215,BV215),"n/m")</f>
        <v>0.403146228167919</v>
      </c>
      <c r="CJ215" s="32" t="n">
        <f aca="false">IFERROR(AVERAGE(AC215,AH215,AM215,AR215,AW215,BB215,BG215,BL215,BQ215,BV215),"n/m")</f>
        <v>0.361631435606478</v>
      </c>
      <c r="CK215" s="32" t="n">
        <f aca="false">IFERROR(AVERAGE(C215,D215,E215,F215,G215,H215,I215,N215,S215,X215,AC215,AH215,AM215,AR215,AW215,BB215,BG215,BL215,BQ215,BV215),"n/m")</f>
        <v>0.308573150702947</v>
      </c>
    </row>
    <row r="216" customFormat="false" ht="15" hidden="false" customHeight="true" outlineLevel="0" collapsed="false">
      <c r="B216" s="29" t="s">
        <v>284</v>
      </c>
      <c r="C216" s="25" t="str">
        <f aca="false">IF(AND(ISNUMBER(C162),ISNUMBER(C121)),IFERROR(C162/C121,""),"")</f>
        <v/>
      </c>
      <c r="D216" s="25" t="str">
        <f aca="false">IF(AND(ISNUMBER(D162),ISNUMBER(D121)),IFERROR(D162/D121,""),"")</f>
        <v/>
      </c>
      <c r="E216" s="25" t="str">
        <f aca="false">IF(AND(ISNUMBER(E162),ISNUMBER(E121)),IFERROR(E162/E121,""),"")</f>
        <v/>
      </c>
      <c r="F216" s="25" t="n">
        <f aca="false">IF(AND(ISNUMBER(F162),ISNUMBER(F121)),IFERROR(F162/F121,""),"")</f>
        <v>0.0308119374794309</v>
      </c>
      <c r="G216" s="25" t="n">
        <f aca="false">IF(AND(ISNUMBER(G162),ISNUMBER(G121)),IFERROR(G162/G121,""),"")</f>
        <v>0.0367099796694069</v>
      </c>
      <c r="H216" s="25" t="n">
        <f aca="false">IF(AND(ISNUMBER(H162),ISNUMBER(H121)),IFERROR(H162/H121,""),"")</f>
        <v>0.0321882274428175</v>
      </c>
      <c r="I216" s="25" t="n">
        <f aca="false">IF(AND(ISNUMBER(I162),ISNUMBER(I121)),IFERROR(I162/I121,""),"")</f>
        <v>0.0350978464633533</v>
      </c>
      <c r="J216" s="25" t="n">
        <f aca="false">IF(AND(ISNUMBER(J162),ISNUMBER(J121)),IFERROR(J162/J121,""),"")</f>
        <v>0.166543308373305</v>
      </c>
      <c r="K216" s="25" t="n">
        <f aca="false">IF(AND(ISNUMBER(K162),ISNUMBER(K121)),IFERROR(K162/K121,""),"")</f>
        <v>0.065651978458518</v>
      </c>
      <c r="L216" s="25" t="n">
        <f aca="false">IF(AND(ISNUMBER(L162),ISNUMBER(L121)),IFERROR(L162/L121,""),"")</f>
        <v>0.0693493379400005</v>
      </c>
      <c r="M216" s="25" t="n">
        <f aca="false">IF(AND(ISNUMBER(M162),ISNUMBER(M121)),IFERROR(M162/M121,""),"")</f>
        <v>0.0802612230775884</v>
      </c>
      <c r="N216" s="25" t="n">
        <f aca="false">IF(AND(ISNUMBER(N162),ISNUMBER(N121)),IFERROR(N162/N121,""),"")</f>
        <v>0.0942275985785011</v>
      </c>
      <c r="O216" s="25" t="n">
        <f aca="false">IF(AND(ISNUMBER(O162),ISNUMBER(O121)),IFERROR(O162/O121,""),"")</f>
        <v>0.0661678255903793</v>
      </c>
      <c r="P216" s="25" t="n">
        <f aca="false">IF(AND(ISNUMBER(P162),ISNUMBER(P121)),IFERROR(P162/P121,""),"")</f>
        <v>0.043193327375633</v>
      </c>
      <c r="Q216" s="25" t="n">
        <f aca="false">IF(AND(ISNUMBER(Q162),ISNUMBER(Q121)),IFERROR(Q162/Q121,""),"")</f>
        <v>0.0434285490278068</v>
      </c>
      <c r="R216" s="25" t="n">
        <f aca="false">IF(AND(ISNUMBER(R162),ISNUMBER(R121)),IFERROR(R162/R121,""),"")</f>
        <v>0.0471568778187782</v>
      </c>
      <c r="S216" s="25" t="n">
        <f aca="false">IF(AND(ISNUMBER(S162),ISNUMBER(S121)),IFERROR(S162/S121,""),"")</f>
        <v>0.0490801061229025</v>
      </c>
      <c r="T216" s="25" t="n">
        <f aca="false">IF(AND(ISNUMBER(T162),ISNUMBER(T121)),IFERROR(T162/T121,""),"")</f>
        <v>0.0467991447616652</v>
      </c>
      <c r="U216" s="25" t="n">
        <f aca="false">IF(AND(ISNUMBER(U162),ISNUMBER(U121)),IFERROR(U162/U121,""),"")</f>
        <v>0.0493094335421342</v>
      </c>
      <c r="V216" s="25" t="n">
        <f aca="false">IF(AND(ISNUMBER(V162),ISNUMBER(V121)),IFERROR(V162/V121,""),"")</f>
        <v>0.0492495160727319</v>
      </c>
      <c r="W216" s="25" t="n">
        <f aca="false">IF(AND(ISNUMBER(W162),ISNUMBER(W121)),IFERROR(W162/W121,""),"")</f>
        <v>0.0485365967390122</v>
      </c>
      <c r="X216" s="25" t="n">
        <f aca="false">IF(AND(ISNUMBER(X162),ISNUMBER(X121)),IFERROR(X162/X121,""),"")</f>
        <v>0.0485231059733282</v>
      </c>
      <c r="Y216" s="25" t="n">
        <f aca="false">IF(AND(ISNUMBER(Y162),ISNUMBER(Y121)),IFERROR(Y162/Y121,""),"")</f>
        <v>0.0417094308072034</v>
      </c>
      <c r="Z216" s="25" t="n">
        <f aca="false">IF(AND(ISNUMBER(Z162),ISNUMBER(Z121)),IFERROR(Z162/Z121,""),"")</f>
        <v>0.0451445117441473</v>
      </c>
      <c r="AA216" s="25" t="n">
        <f aca="false">IF(AND(ISNUMBER(AA162),ISNUMBER(AA121)),IFERROR(AA162/AA121,""),"")</f>
        <v>0.0437730065675964</v>
      </c>
      <c r="AB216" s="25" t="n">
        <f aca="false">IF(AND(ISNUMBER(AB162),ISNUMBER(AB121)),IFERROR(AB162/AB121,""),"")</f>
        <v>0.0429112596250304</v>
      </c>
      <c r="AC216" s="25" t="n">
        <f aca="false">IF(AND(ISNUMBER(AC162),ISNUMBER(AC121)),IFERROR(AC162/AC121,""),"")</f>
        <v>0.0433950550959254</v>
      </c>
      <c r="AD216" s="25" t="n">
        <f aca="false">IF(AND(ISNUMBER(AD162),ISNUMBER(AD121)),IFERROR(AD162/AD121,""),"")</f>
        <v>0.041301593887523</v>
      </c>
      <c r="AE216" s="25" t="n">
        <f aca="false">IF(AND(ISNUMBER(AE162),ISNUMBER(AE121)),IFERROR(AE162/AE121,""),"")</f>
        <v>0.0426011899491046</v>
      </c>
      <c r="AF216" s="25" t="n">
        <f aca="false">IF(AND(ISNUMBER(AF162),ISNUMBER(AF121)),IFERROR(AF162/AF121,""),"")</f>
        <v>0.0393604085111884</v>
      </c>
      <c r="AG216" s="25" t="n">
        <f aca="false">IF(AND(ISNUMBER(AG162),ISNUMBER(AG121)),IFERROR(AG162/AG121,""),"")</f>
        <v>0.0386903472957703</v>
      </c>
      <c r="AH216" s="25" t="n">
        <f aca="false">IF(AND(ISNUMBER(AH162),ISNUMBER(AH121)),IFERROR(AH162/AH121,""),"")</f>
        <v>0.0404359582690136</v>
      </c>
      <c r="AI216" s="25" t="n">
        <f aca="false">IF(AND(ISNUMBER(AI162),ISNUMBER(AI121)),IFERROR(AI162/AI121,""),"")</f>
        <v>0.0380391497818923</v>
      </c>
      <c r="AJ216" s="25" t="n">
        <f aca="false">IF(AND(ISNUMBER(AJ162),ISNUMBER(AJ121)),IFERROR(AJ162/AJ121,""),"")</f>
        <v>0.0378024227487896</v>
      </c>
      <c r="AK216" s="25" t="n">
        <f aca="false">IF(AND(ISNUMBER(AK162),ISNUMBER(AK121)),IFERROR(AK162/AK121,""),"")</f>
        <v>0.0293036576384911</v>
      </c>
      <c r="AL216" s="25" t="n">
        <f aca="false">IF(AND(ISNUMBER(AL162),ISNUMBER(AL121)),IFERROR(AL162/AL121,""),"")</f>
        <v>0.0384224152409442</v>
      </c>
      <c r="AM216" s="25" t="n">
        <f aca="false">IF(AND(ISNUMBER(AM162),ISNUMBER(AM121)),IFERROR(AM162/AM121,""),"")</f>
        <v>0.0358422999214654</v>
      </c>
      <c r="AN216" s="25" t="n">
        <f aca="false">IF(AND(ISNUMBER(AN162),ISNUMBER(AN121)),IFERROR(AN162/AN121,""),"")</f>
        <v>0.0366263226002893</v>
      </c>
      <c r="AO216" s="25" t="n">
        <f aca="false">IF(AND(ISNUMBER(AO162),ISNUMBER(AO121)),IFERROR(AO162/AO121,""),"")</f>
        <v>0.0401908308121946</v>
      </c>
      <c r="AP216" s="25" t="n">
        <f aca="false">IF(AND(ISNUMBER(AP162),ISNUMBER(AP121)),IFERROR(AP162/AP121,""),"")</f>
        <v>0.0372412190199769</v>
      </c>
      <c r="AQ216" s="25" t="n">
        <f aca="false">IF(AND(ISNUMBER(AQ162),ISNUMBER(AQ121)),IFERROR(AQ162/AQ121,""),"")</f>
        <v>0.0354152100468075</v>
      </c>
      <c r="AR216" s="25" t="n">
        <f aca="false">IF(AND(ISNUMBER(AR162),ISNUMBER(AR121)),IFERROR(AR162/AR121,""),"")</f>
        <v>0.0373324931646995</v>
      </c>
      <c r="AS216" s="25" t="n">
        <f aca="false">IF(AND(ISNUMBER(AS162),ISNUMBER(AS121)),IFERROR(AS162/AS121,""),"")</f>
        <v>0.0387396101029228</v>
      </c>
      <c r="AT216" s="25" t="n">
        <f aca="false">IF(AND(ISNUMBER(AT162),ISNUMBER(AT121)),IFERROR(AT162/AT121,""),"")</f>
        <v>0.0239878738741914</v>
      </c>
      <c r="AU216" s="25" t="n">
        <f aca="false">IF(AND(ISNUMBER(AU162),ISNUMBER(AU121)),IFERROR(AU162/AU121,""),"")</f>
        <v>0.0393073633757812</v>
      </c>
      <c r="AV216" s="25" t="n">
        <f aca="false">IF(AND(ISNUMBER(AV162),ISNUMBER(AV121)),IFERROR(AV162/AV121,""),"")</f>
        <v>0.0285040493437115</v>
      </c>
      <c r="AW216" s="25" t="n">
        <f aca="false">IF(AND(ISNUMBER(AW162),ISNUMBER(AW121)),IFERROR(AW162/AW121,""),"")</f>
        <v>0.0326120436233702</v>
      </c>
      <c r="AX216" s="25" t="n">
        <f aca="false">IF(AND(ISNUMBER(AX162),ISNUMBER(AX121)),IFERROR(AX162/AX121,""),"")</f>
        <v>0.0339635173488137</v>
      </c>
      <c r="AY216" s="25" t="n">
        <f aca="false">IF(AND(ISNUMBER(AY162),ISNUMBER(AY121)),IFERROR(AY162/AY121,""),"")</f>
        <v>0.0315281273616429</v>
      </c>
      <c r="AZ216" s="25" t="n">
        <f aca="false">IF(AND(ISNUMBER(AZ162),ISNUMBER(AZ121)),IFERROR(AZ162/AZ121,""),"")</f>
        <v>0.0326424590291978</v>
      </c>
      <c r="BA216" s="25" t="n">
        <f aca="false">IF(AND(ISNUMBER(BA162),ISNUMBER(BA121)),IFERROR(BA162/BA121,""),"")</f>
        <v>0.0329942026812106</v>
      </c>
      <c r="BB216" s="25" t="n">
        <f aca="false">IF(AND(ISNUMBER(BB162),ISNUMBER(BB121)),IFERROR(BB162/BB121,""),"")</f>
        <v>0.0327698436579764</v>
      </c>
      <c r="BC216" s="25" t="n">
        <f aca="false">IF(AND(ISNUMBER(BC162),ISNUMBER(BC121)),IFERROR(BC162/BC121,""),"")</f>
        <v>0.0345989434401202</v>
      </c>
      <c r="BD216" s="25" t="n">
        <f aca="false">IF(AND(ISNUMBER(BD162),ISNUMBER(BD121)),IFERROR(BD162/BD121,""),"")</f>
        <v>0.0337716386852331</v>
      </c>
      <c r="BE216" s="25" t="n">
        <f aca="false">IF(AND(ISNUMBER(BE162),ISNUMBER(BE121)),IFERROR(BE162/BE121,""),"")</f>
        <v>0.0325683535007658</v>
      </c>
      <c r="BF216" s="25" t="n">
        <f aca="false">IF(AND(ISNUMBER(BF162),ISNUMBER(BF121)),IFERROR(BF162/BF121,""),"")</f>
        <v>0.0368190182176525</v>
      </c>
      <c r="BG216" s="25" t="n">
        <f aca="false">IF(AND(ISNUMBER(BG162),ISNUMBER(BG121)),IFERROR(BG162/BG121,""),"")</f>
        <v>0.0344607012741483</v>
      </c>
      <c r="BH216" s="25" t="n">
        <f aca="false">IF(AND(ISNUMBER(BH162),ISNUMBER(BH121)),IFERROR(BH162/BH121,""),"")</f>
        <v>0.0343021325676032</v>
      </c>
      <c r="BI216" s="25" t="n">
        <f aca="false">IF(AND(ISNUMBER(BI162),ISNUMBER(BI121)),IFERROR(BI162/BI121,""),"")</f>
        <v>0.0360220892349638</v>
      </c>
      <c r="BJ216" s="25" t="n">
        <f aca="false">IF(AND(ISNUMBER(BJ162),ISNUMBER(BJ121)),IFERROR(BJ162/BJ121,""),"")</f>
        <v>0.0350569661692833</v>
      </c>
      <c r="BK216" s="25" t="n">
        <f aca="false">IF(AND(ISNUMBER(BK162),ISNUMBER(BK121)),IFERROR(BK162/BK121,""),"")</f>
        <v>0.0331219465705505</v>
      </c>
      <c r="BL216" s="25" t="n">
        <f aca="false">IF(AND(ISNUMBER(BL162),ISNUMBER(BL121)),IFERROR(BL162/BL121,""),"")</f>
        <v>0.0346232179226069</v>
      </c>
      <c r="BM216" s="25" t="n">
        <f aca="false">IF(AND(ISNUMBER(BM162),ISNUMBER(BM121)),IFERROR(BM162/BM121,""),"")</f>
        <v>0.0347349177330896</v>
      </c>
      <c r="BN216" s="25" t="n">
        <f aca="false">IF(AND(ISNUMBER(BN162),ISNUMBER(BN121)),IFERROR(BN162/BN121,""),"")</f>
        <v>0.0334907052227796</v>
      </c>
      <c r="BO216" s="25" t="n">
        <f aca="false">IF(AND(ISNUMBER(BO162),ISNUMBER(BO121)),IFERROR(BO162/BO121,""),"")</f>
        <v>0.0314755991914525</v>
      </c>
      <c r="BP216" s="25" t="n">
        <f aca="false">IF(AND(ISNUMBER(BP162),ISNUMBER(BP121)),IFERROR(BP162/BP121,""),"")</f>
        <v>0.0307301945305892</v>
      </c>
      <c r="BQ216" s="25" t="n">
        <f aca="false">IF(AND(ISNUMBER(BQ162),ISNUMBER(BQ121)),IFERROR(BQ162/BQ121,""),"")</f>
        <v>0.032526862071486</v>
      </c>
      <c r="BR216" s="25" t="n">
        <f aca="false">IF(AND(ISNUMBER(BR162),ISNUMBER(BR121)),IFERROR(BR162/BR121,""),"")</f>
        <v>0.0415187107347719</v>
      </c>
      <c r="BS216" s="25" t="n">
        <f aca="false">IF(AND(ISNUMBER(BS162),ISNUMBER(BS121)),IFERROR(BS162/BS121,""),"")</f>
        <v>0.0662997568155638</v>
      </c>
      <c r="BT216" s="25" t="n">
        <f aca="false">IF(AND(ISNUMBER(BT162),ISNUMBER(BT121)),IFERROR(BT162/BT121,""),"")</f>
        <v>0.0849328214971209</v>
      </c>
      <c r="BU216" s="25" t="n">
        <f aca="false">IF(AND(ISNUMBER(BU162),ISNUMBER(BU121)),IFERROR(BU162/BU121,""),"")</f>
        <v>0.0455606178464274</v>
      </c>
      <c r="BV216" s="25" t="n">
        <f aca="false">IF(AND(ISNUMBER(BV162),ISNUMBER(BV121)),IFERROR(BV162/BV121,""),"")</f>
        <v>0.0597474591931013</v>
      </c>
      <c r="BW216" s="25" t="n">
        <f aca="false">IF(AND(ISNUMBER(BW162),ISNUMBER(BW121)),IFERROR(BW162/BW121,""),"")</f>
        <v>0.0468227424749164</v>
      </c>
      <c r="BX216" s="25" t="n">
        <f aca="false">IF(AND(ISNUMBER(BX162),ISNUMBER(BX121)),IFERROR(BX162/BX121,""),"")</f>
        <v>0.0410810810810811</v>
      </c>
      <c r="BY216" s="27" t="n">
        <f aca="false">IF(AND(ISNUMBER(BY162),ISNUMBER(BY121)),IFERROR(BY162/BY121,""),"")</f>
        <v>0.0351784440631012</v>
      </c>
      <c r="BZ216" s="27" t="n">
        <f aca="false">IF(AND(ISNUMBER(BZ162),ISNUMBER(BZ121)),IFERROR(BZ162/BZ121,""),"")</f>
        <v>0.041444647495464</v>
      </c>
      <c r="CA216" s="27" t="n">
        <f aca="false">IF(AND(ISNUMBER(CA162),ISNUMBER(CA121)),IFERROR(CA162/CA121,""),"")</f>
        <v>0.041032106650617</v>
      </c>
      <c r="CB216" s="27" t="n">
        <f aca="false">IF(AND(ISNUMBER(CB162),ISNUMBER(CB121)),IFERROR(CB162/CB121,""),"")</f>
        <v>0.04</v>
      </c>
      <c r="CC216" s="27" t="n">
        <f aca="false">IF(AND(ISNUMBER(CC162),ISNUMBER(CC121)),IFERROR(CC162/CC121,""),"")</f>
        <v>0.04</v>
      </c>
      <c r="CD216" s="27" t="n">
        <f aca="false">IF(AND(ISNUMBER(CD162),ISNUMBER(CD121)),IFERROR(CD162/CD121,""),"")</f>
        <v>0.04</v>
      </c>
      <c r="CE216" s="27" t="n">
        <f aca="false">IF(AND(ISNUMBER(CE162),ISNUMBER(CE121)),IFERROR(CE162/CE121,""),"")</f>
        <v>0.04</v>
      </c>
      <c r="CF216" s="28"/>
      <c r="CH216" s="32" t="n">
        <f aca="false">IFERROR(AVERAGE(CA216,CB216,CC216,CD216,CE216),"n/m")</f>
        <v>0.0402064213301234</v>
      </c>
      <c r="CI216" s="32" t="n">
        <f aca="false">IFERROR(AVERAGE(BB216,BG216,BL216,BQ216,BV216),"n/m")</f>
        <v>0.0388256168238638</v>
      </c>
      <c r="CJ216" s="32" t="n">
        <f aca="false">IFERROR(AVERAGE(AC216,AH216,AM216,AR216,AW216,BB216,BG216,BL216,BQ216,BV216),"n/m")</f>
        <v>0.0383745934193793</v>
      </c>
      <c r="CK216" s="32" t="n">
        <f aca="false">IFERROR(AVERAGE(C216,D216,E216,F216,G216,H216,I216,N216,S216,X216,AC216,AH216,AM216,AR216,AW216,BB216,BG216,BL216,BQ216,BV216),"n/m")</f>
        <v>0.0417873374072667</v>
      </c>
    </row>
    <row r="218" customFormat="false" ht="15" hidden="false" customHeight="true" outlineLevel="0" collapsed="false">
      <c r="B218" s="11" t="s">
        <v>420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 t="s">
        <v>421</v>
      </c>
    </row>
    <row r="219" customFormat="false" ht="15" hidden="false" customHeight="true" outlineLevel="0" collapsed="false">
      <c r="B219" s="29" t="s">
        <v>324</v>
      </c>
      <c r="C219" s="35" t="n">
        <v>12.41</v>
      </c>
      <c r="D219" s="35" t="n">
        <v>15.951</v>
      </c>
      <c r="E219" s="35" t="n">
        <v>24.623</v>
      </c>
      <c r="F219" s="35" t="n">
        <v>18.693</v>
      </c>
      <c r="G219" s="35" t="n">
        <v>13.289</v>
      </c>
      <c r="H219" s="35" t="n">
        <v>14.656</v>
      </c>
      <c r="I219" s="35" t="n">
        <v>9.915</v>
      </c>
      <c r="J219" s="35" t="n">
        <v>-2.41</v>
      </c>
      <c r="K219" s="35" t="n">
        <v>8.293</v>
      </c>
      <c r="L219" s="35" t="n">
        <v>11.052</v>
      </c>
      <c r="M219" s="35" t="n">
        <v>12.799</v>
      </c>
      <c r="N219" s="35" t="n">
        <v>29.734</v>
      </c>
      <c r="O219" s="35" t="n">
        <v>9.74</v>
      </c>
      <c r="P219" s="35" t="n">
        <v>8.249</v>
      </c>
      <c r="Q219" s="35" t="n">
        <v>12.957</v>
      </c>
      <c r="R219" s="35" t="n">
        <v>13.923</v>
      </c>
      <c r="S219" s="35" t="n">
        <v>44.869</v>
      </c>
      <c r="T219" s="35" t="n">
        <v>-6.127</v>
      </c>
      <c r="U219" s="35" t="n">
        <v>-14.966</v>
      </c>
      <c r="V219" s="35" t="n">
        <v>-5.362</v>
      </c>
      <c r="W219" s="35" t="n">
        <v>22.99</v>
      </c>
      <c r="X219" s="35" t="n">
        <v>-3.465</v>
      </c>
      <c r="Y219" s="35" t="n">
        <v>16.721</v>
      </c>
      <c r="Z219" s="35" t="n">
        <v>15.576</v>
      </c>
      <c r="AA219" s="35" t="n">
        <v>23.201</v>
      </c>
      <c r="AB219" s="35" t="n">
        <v>29.573</v>
      </c>
      <c r="AC219" s="35" t="n">
        <v>85.071</v>
      </c>
      <c r="AD219" s="35" t="n">
        <v>22.13</v>
      </c>
      <c r="AE219" s="35" t="n">
        <v>22.184</v>
      </c>
      <c r="AF219" s="35" t="n">
        <v>34.177</v>
      </c>
      <c r="AG219" s="35" t="n">
        <v>44.204</v>
      </c>
      <c r="AH219" s="35" t="n">
        <v>122.695</v>
      </c>
      <c r="AI219" s="35" t="n">
        <v>52.231</v>
      </c>
      <c r="AJ219" s="35" t="n">
        <v>43.835</v>
      </c>
      <c r="AK219" s="35" t="n">
        <v>58.759</v>
      </c>
      <c r="AL219" s="35" t="n">
        <v>83.509</v>
      </c>
      <c r="AM219" s="35" t="n">
        <v>238.334</v>
      </c>
      <c r="AN219" s="35" t="n">
        <v>85.169</v>
      </c>
      <c r="AO219" s="35" t="n">
        <v>63.248</v>
      </c>
      <c r="AP219" s="35" t="n">
        <v>78.619</v>
      </c>
      <c r="AQ219" s="35" t="n">
        <v>87.927</v>
      </c>
      <c r="AR219" s="35" t="n">
        <v>314.963</v>
      </c>
      <c r="AS219" s="35" t="n">
        <v>72.793</v>
      </c>
      <c r="AT219" s="35" t="n">
        <v>60.36</v>
      </c>
      <c r="AU219" s="35" t="n">
        <v>58.186</v>
      </c>
      <c r="AV219" s="35" t="n">
        <v>35.789</v>
      </c>
      <c r="AW219" s="35" t="n">
        <v>227.128</v>
      </c>
      <c r="AX219" s="35" t="n">
        <v>74.212</v>
      </c>
      <c r="AY219" s="35" t="n">
        <v>61.148</v>
      </c>
      <c r="AZ219" s="35" t="n">
        <v>64.304</v>
      </c>
      <c r="BA219" s="35" t="n">
        <v>92.9</v>
      </c>
      <c r="BB219" s="35" t="n">
        <v>292.564</v>
      </c>
      <c r="BC219" s="35" t="n">
        <v>89.318</v>
      </c>
      <c r="BD219" s="35" t="n">
        <v>83.473</v>
      </c>
      <c r="BE219" s="35" t="n">
        <v>72.29</v>
      </c>
      <c r="BF219" s="35" t="n">
        <v>124.372</v>
      </c>
      <c r="BG219" s="35" t="n">
        <v>369.453</v>
      </c>
      <c r="BH219" s="35" t="n">
        <v>87.131</v>
      </c>
      <c r="BI219" s="35" t="n">
        <v>100.52</v>
      </c>
      <c r="BJ219" s="35" t="n">
        <v>90.574</v>
      </c>
      <c r="BK219" s="35" t="n">
        <v>96.475</v>
      </c>
      <c r="BL219" s="35" t="n">
        <v>374.7</v>
      </c>
      <c r="BM219" s="35" t="n">
        <v>6.7</v>
      </c>
      <c r="BN219" s="35" t="n">
        <v>19.2</v>
      </c>
      <c r="BO219" s="35" t="n">
        <v>53</v>
      </c>
      <c r="BP219" s="35" t="n">
        <v>59.8</v>
      </c>
      <c r="BQ219" s="35" t="n">
        <v>138.7</v>
      </c>
      <c r="BR219" s="35" t="n">
        <v>-14.8</v>
      </c>
      <c r="BS219" s="35" t="n">
        <v>6.2</v>
      </c>
      <c r="BT219" s="35" t="n">
        <v>-30.9</v>
      </c>
      <c r="BU219" s="35" t="n">
        <v>46.5</v>
      </c>
      <c r="BV219" s="35" t="n">
        <v>7</v>
      </c>
      <c r="BW219" s="35" t="n">
        <v>3</v>
      </c>
      <c r="BX219" s="35" t="n">
        <v>55</v>
      </c>
      <c r="BY219" s="36"/>
      <c r="BZ219" s="36"/>
      <c r="CA219" s="36" t="n">
        <f aca="false">CA138</f>
        <v>223.532058250791</v>
      </c>
      <c r="CB219" s="36" t="n">
        <f aca="false">CB138</f>
        <v>331.680477553179</v>
      </c>
      <c r="CC219" s="36" t="n">
        <f aca="false">CC138</f>
        <v>499.364529076212</v>
      </c>
      <c r="CD219" s="36" t="n">
        <f aca="false">CD138</f>
        <v>677.377446034769</v>
      </c>
      <c r="CE219" s="36" t="n">
        <f aca="false">CE138</f>
        <v>876.044261477621</v>
      </c>
      <c r="CF219" s="28"/>
    </row>
    <row r="220" customFormat="false" ht="15" hidden="false" customHeight="true" outlineLevel="0" collapsed="false">
      <c r="B220" s="29" t="s">
        <v>422</v>
      </c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6"/>
      <c r="BZ220" s="36"/>
      <c r="CA220" s="36"/>
      <c r="CB220" s="36"/>
      <c r="CC220" s="36"/>
      <c r="CD220" s="36"/>
      <c r="CE220" s="36"/>
      <c r="CF220" s="28"/>
    </row>
    <row r="221" customFormat="false" ht="15" hidden="false" customHeight="true" outlineLevel="0" collapsed="false">
      <c r="B221" s="29" t="s">
        <v>423</v>
      </c>
      <c r="C221" s="35" t="n">
        <v>11.81</v>
      </c>
      <c r="D221" s="35" t="n">
        <v>16.147</v>
      </c>
      <c r="E221" s="35" t="n">
        <v>16.801</v>
      </c>
      <c r="F221" s="35" t="n">
        <v>14.676</v>
      </c>
      <c r="G221" s="35" t="n">
        <v>13.649</v>
      </c>
      <c r="H221" s="35" t="n">
        <v>12.852</v>
      </c>
      <c r="I221" s="35" t="n">
        <v>32.752</v>
      </c>
      <c r="J221" s="35" t="n">
        <v>10.166</v>
      </c>
      <c r="K221" s="35" t="n">
        <v>10.049</v>
      </c>
      <c r="L221" s="35" t="n">
        <v>10.022</v>
      </c>
      <c r="M221" s="35" t="n">
        <v>9.821</v>
      </c>
      <c r="N221" s="35" t="n">
        <v>40.058</v>
      </c>
      <c r="O221" s="35" t="n">
        <v>9.851</v>
      </c>
      <c r="P221" s="35" t="n">
        <v>20.67</v>
      </c>
      <c r="Q221" s="35" t="n">
        <v>20.212</v>
      </c>
      <c r="R221" s="35" t="n">
        <v>19.639</v>
      </c>
      <c r="S221" s="35" t="n">
        <v>70.372</v>
      </c>
      <c r="T221" s="35" t="n">
        <v>17.813</v>
      </c>
      <c r="U221" s="35" t="n">
        <v>18.674</v>
      </c>
      <c r="V221" s="35" t="n">
        <v>22.52</v>
      </c>
      <c r="W221" s="35" t="n">
        <v>19.525</v>
      </c>
      <c r="X221" s="35" t="n">
        <v>78.532</v>
      </c>
      <c r="Y221" s="35" t="n">
        <v>17.521</v>
      </c>
      <c r="Z221" s="35" t="n">
        <v>17.44</v>
      </c>
      <c r="AA221" s="35" t="n">
        <v>18.08</v>
      </c>
      <c r="AB221" s="35" t="n">
        <v>17.124</v>
      </c>
      <c r="AC221" s="35" t="n">
        <v>70.165</v>
      </c>
      <c r="AD221" s="35" t="n">
        <v>17.298</v>
      </c>
      <c r="AE221" s="35" t="n">
        <v>15.86</v>
      </c>
      <c r="AF221" s="35" t="n">
        <v>15.119</v>
      </c>
      <c r="AG221" s="35" t="n">
        <v>15.366</v>
      </c>
      <c r="AH221" s="35" t="n">
        <v>63.643</v>
      </c>
      <c r="AI221" s="35" t="n">
        <v>16.983</v>
      </c>
      <c r="AJ221" s="35" t="n">
        <v>20.584</v>
      </c>
      <c r="AK221" s="35" t="n">
        <v>20.433</v>
      </c>
      <c r="AL221" s="35" t="n">
        <v>19.743</v>
      </c>
      <c r="AM221" s="35" t="n">
        <v>77.743</v>
      </c>
      <c r="AN221" s="35" t="n">
        <v>19.659</v>
      </c>
      <c r="AO221" s="35" t="n">
        <v>18.754</v>
      </c>
      <c r="AP221" s="35" t="n">
        <v>18.822</v>
      </c>
      <c r="AQ221" s="35" t="n">
        <v>23.93</v>
      </c>
      <c r="AR221" s="35" t="n">
        <v>81.165</v>
      </c>
      <c r="AS221" s="35" t="n">
        <v>24.256</v>
      </c>
      <c r="AT221" s="35" t="n">
        <v>27.979</v>
      </c>
      <c r="AU221" s="35" t="n">
        <v>31.676</v>
      </c>
      <c r="AV221" s="35" t="n">
        <v>33.033</v>
      </c>
      <c r="AW221" s="35" t="n">
        <v>116.944</v>
      </c>
      <c r="AX221" s="35" t="n">
        <v>35.41</v>
      </c>
      <c r="AY221" s="35" t="n">
        <v>33.106</v>
      </c>
      <c r="AZ221" s="35" t="n">
        <v>33.874</v>
      </c>
      <c r="BA221" s="35" t="n">
        <v>37.168</v>
      </c>
      <c r="BB221" s="35" t="n">
        <v>139.558</v>
      </c>
      <c r="BC221" s="35" t="n">
        <v>32.19</v>
      </c>
      <c r="BD221" s="35" t="n">
        <v>31.937</v>
      </c>
      <c r="BE221" s="35" t="n">
        <v>45.856</v>
      </c>
      <c r="BF221" s="35" t="n">
        <v>27.902</v>
      </c>
      <c r="BG221" s="35" t="n">
        <v>137.885</v>
      </c>
      <c r="BH221" s="35" t="n">
        <v>25.627</v>
      </c>
      <c r="BI221" s="35" t="n">
        <v>26.063</v>
      </c>
      <c r="BJ221" s="35" t="n">
        <v>27.125</v>
      </c>
      <c r="BK221" s="35" t="n">
        <v>28.685</v>
      </c>
      <c r="BL221" s="35" t="n">
        <v>107.5</v>
      </c>
      <c r="BM221" s="35" t="n">
        <v>33.3</v>
      </c>
      <c r="BN221" s="35" t="n">
        <v>38.8</v>
      </c>
      <c r="BO221" s="35" t="n">
        <v>35.5</v>
      </c>
      <c r="BP221" s="35" t="n">
        <v>39.3</v>
      </c>
      <c r="BQ221" s="35" t="n">
        <v>146.9</v>
      </c>
      <c r="BR221" s="35" t="n">
        <v>47.3</v>
      </c>
      <c r="BS221" s="35" t="n">
        <v>65.5</v>
      </c>
      <c r="BT221" s="35" t="n">
        <v>69.2</v>
      </c>
      <c r="BU221" s="35" t="n">
        <v>81</v>
      </c>
      <c r="BV221" s="35" t="n">
        <v>263</v>
      </c>
      <c r="BW221" s="35" t="n">
        <v>82</v>
      </c>
      <c r="BX221" s="35" t="n">
        <v>85</v>
      </c>
      <c r="BY221" s="36"/>
      <c r="BZ221" s="36"/>
      <c r="CA221" s="36" t="n">
        <f aca="false">CA141</f>
        <v>356.998290410959</v>
      </c>
      <c r="CB221" s="36" t="n">
        <f aca="false">CB141</f>
        <v>360.147797877358</v>
      </c>
      <c r="CC221" s="36" t="n">
        <f aca="false">CC141</f>
        <v>343.519340761785</v>
      </c>
      <c r="CD221" s="36" t="n">
        <f aca="false">CD141</f>
        <v>339.071433694629</v>
      </c>
      <c r="CE221" s="36" t="n">
        <f aca="false">CE141</f>
        <v>316.672879062228</v>
      </c>
      <c r="CF221" s="28"/>
    </row>
    <row r="222" customFormat="false" ht="15" hidden="false" customHeight="true" outlineLevel="0" collapsed="false">
      <c r="B222" s="29" t="s">
        <v>424</v>
      </c>
      <c r="C222" s="34"/>
      <c r="D222" s="35" t="n">
        <v>5.44</v>
      </c>
      <c r="E222" s="35" t="n">
        <v>4.94</v>
      </c>
      <c r="F222" s="35" t="n">
        <v>6.46</v>
      </c>
      <c r="G222" s="35" t="n">
        <v>8.306</v>
      </c>
      <c r="H222" s="35" t="n">
        <v>8.103</v>
      </c>
      <c r="I222" s="35" t="n">
        <v>12.282</v>
      </c>
      <c r="J222" s="35" t="n">
        <v>17.326</v>
      </c>
      <c r="K222" s="35" t="n">
        <v>7.156</v>
      </c>
      <c r="L222" s="35" t="n">
        <v>7.788</v>
      </c>
      <c r="M222" s="35" t="n">
        <v>9.279</v>
      </c>
      <c r="N222" s="35" t="n">
        <v>41.549</v>
      </c>
      <c r="O222" s="35" t="n">
        <v>7.879</v>
      </c>
      <c r="P222" s="35" t="n">
        <v>6.38</v>
      </c>
      <c r="Q222" s="35" t="n">
        <v>6.647</v>
      </c>
      <c r="R222" s="35" t="n">
        <v>7.361</v>
      </c>
      <c r="S222" s="35" t="n">
        <v>28.267</v>
      </c>
      <c r="T222" s="35" t="n">
        <v>7.442</v>
      </c>
      <c r="U222" s="35" t="n">
        <v>8.415</v>
      </c>
      <c r="V222" s="35" t="n">
        <v>9.312</v>
      </c>
      <c r="W222" s="35" t="n">
        <v>9.368</v>
      </c>
      <c r="X222" s="35" t="n">
        <v>34.537</v>
      </c>
      <c r="Y222" s="35" t="n">
        <v>8.331</v>
      </c>
      <c r="Z222" s="35" t="n">
        <v>9.339</v>
      </c>
      <c r="AA222" s="35" t="n">
        <v>9.311</v>
      </c>
      <c r="AB222" s="35" t="n">
        <v>9.368</v>
      </c>
      <c r="AC222" s="35" t="n">
        <v>36.349</v>
      </c>
      <c r="AD222" s="35" t="n">
        <v>9.357</v>
      </c>
      <c r="AE222" s="35" t="n">
        <v>10.103</v>
      </c>
      <c r="AF222" s="35" t="n">
        <v>9.743</v>
      </c>
      <c r="AG222" s="35" t="n">
        <v>9.827</v>
      </c>
      <c r="AH222" s="35" t="n">
        <v>39.03</v>
      </c>
      <c r="AI222" s="35" t="n">
        <v>10.412</v>
      </c>
      <c r="AJ222" s="35" t="n">
        <v>11.228</v>
      </c>
      <c r="AK222" s="35" t="n">
        <v>8.953</v>
      </c>
      <c r="AL222" s="35" t="n">
        <v>10.621</v>
      </c>
      <c r="AM222" s="35" t="n">
        <v>41.214</v>
      </c>
      <c r="AN222" s="35" t="n">
        <v>12.029</v>
      </c>
      <c r="AO222" s="35" t="n">
        <v>13.816</v>
      </c>
      <c r="AP222" s="35" t="n">
        <v>13.139</v>
      </c>
      <c r="AQ222" s="35" t="n">
        <v>13.271</v>
      </c>
      <c r="AR222" s="35" t="n">
        <v>52.255</v>
      </c>
      <c r="AS222" s="35" t="n">
        <v>15.18</v>
      </c>
      <c r="AT222" s="35" t="n">
        <v>8.873</v>
      </c>
      <c r="AU222" s="35" t="n">
        <v>16.73</v>
      </c>
      <c r="AV222" s="35" t="n">
        <v>12.667</v>
      </c>
      <c r="AW222" s="35" t="n">
        <v>53.45</v>
      </c>
      <c r="AX222" s="35" t="n">
        <v>15.545</v>
      </c>
      <c r="AY222" s="35" t="n">
        <v>15.144</v>
      </c>
      <c r="AZ222" s="35" t="n">
        <v>16.299</v>
      </c>
      <c r="BA222" s="35" t="n">
        <v>16.721</v>
      </c>
      <c r="BB222" s="35" t="n">
        <v>63.709</v>
      </c>
      <c r="BC222" s="35" t="n">
        <v>17.847</v>
      </c>
      <c r="BD222" s="35" t="n">
        <v>18.112</v>
      </c>
      <c r="BE222" s="35" t="n">
        <v>18.138</v>
      </c>
      <c r="BF222" s="35" t="n">
        <v>21.11</v>
      </c>
      <c r="BG222" s="35" t="n">
        <v>75.207</v>
      </c>
      <c r="BH222" s="35" t="n">
        <v>20.045</v>
      </c>
      <c r="BI222" s="35" t="n">
        <v>21.826</v>
      </c>
      <c r="BJ222" s="35" t="n">
        <v>21.899</v>
      </c>
      <c r="BK222" s="35" t="n">
        <v>21.23</v>
      </c>
      <c r="BL222" s="35" t="n">
        <v>85</v>
      </c>
      <c r="BM222" s="35" t="n">
        <v>22.8</v>
      </c>
      <c r="BN222" s="35" t="n">
        <v>22.7</v>
      </c>
      <c r="BO222" s="35" t="n">
        <v>21.8</v>
      </c>
      <c r="BP222" s="35" t="n">
        <v>21.7</v>
      </c>
      <c r="BQ222" s="35" t="n">
        <v>89</v>
      </c>
      <c r="BR222" s="35" t="n">
        <v>30.4</v>
      </c>
      <c r="BS222" s="35" t="n">
        <v>51.8</v>
      </c>
      <c r="BT222" s="35" t="n">
        <v>70.8</v>
      </c>
      <c r="BU222" s="35" t="n">
        <v>41</v>
      </c>
      <c r="BV222" s="35" t="n">
        <v>194</v>
      </c>
      <c r="BW222" s="35" t="n">
        <v>42</v>
      </c>
      <c r="BX222" s="35" t="n">
        <v>38</v>
      </c>
      <c r="BY222" s="36"/>
      <c r="BZ222" s="36"/>
      <c r="CA222" s="36" t="n">
        <f aca="false">CA162</f>
        <v>156</v>
      </c>
      <c r="CB222" s="36" t="n">
        <f aca="false">CB162</f>
        <v>172.99599614065</v>
      </c>
      <c r="CC222" s="36" t="n">
        <f aca="false">CC162</f>
        <v>190.035165021428</v>
      </c>
      <c r="CD222" s="36" t="n">
        <f aca="false">CD162</f>
        <v>207.402606717507</v>
      </c>
      <c r="CE222" s="36" t="n">
        <f aca="false">CE162</f>
        <v>224.859780113142</v>
      </c>
      <c r="CF222" s="28"/>
    </row>
    <row r="223" customFormat="false" ht="15" hidden="false" customHeight="true" outlineLevel="0" collapsed="false">
      <c r="B223" s="29" t="s">
        <v>425</v>
      </c>
      <c r="C223" s="34"/>
      <c r="D223" s="34"/>
      <c r="E223" s="34"/>
      <c r="F223" s="34"/>
      <c r="G223" s="34"/>
      <c r="H223" s="34"/>
      <c r="I223" s="34"/>
      <c r="J223" s="35" t="n">
        <v>0</v>
      </c>
      <c r="K223" s="35" t="n">
        <v>0</v>
      </c>
      <c r="L223" s="35" t="n">
        <v>0</v>
      </c>
      <c r="M223" s="35" t="n">
        <v>0</v>
      </c>
      <c r="N223" s="34"/>
      <c r="O223" s="35" t="n">
        <v>0</v>
      </c>
      <c r="P223" s="35" t="n">
        <v>0</v>
      </c>
      <c r="Q223" s="35" t="n">
        <v>0</v>
      </c>
      <c r="R223" s="35" t="n">
        <v>0</v>
      </c>
      <c r="S223" s="34"/>
      <c r="T223" s="35" t="n">
        <v>0</v>
      </c>
      <c r="U223" s="35" t="n">
        <v>0</v>
      </c>
      <c r="V223" s="35" t="n">
        <v>0</v>
      </c>
      <c r="W223" s="35" t="n">
        <v>0</v>
      </c>
      <c r="X223" s="34"/>
      <c r="Y223" s="35" t="n">
        <v>0</v>
      </c>
      <c r="Z223" s="35" t="n">
        <v>0</v>
      </c>
      <c r="AA223" s="35" t="n">
        <v>0</v>
      </c>
      <c r="AB223" s="35" t="n">
        <v>0</v>
      </c>
      <c r="AC223" s="34"/>
      <c r="AD223" s="35" t="n">
        <v>0</v>
      </c>
      <c r="AE223" s="35" t="n">
        <v>0</v>
      </c>
      <c r="AF223" s="35" t="n">
        <v>0</v>
      </c>
      <c r="AG223" s="35" t="n">
        <v>0</v>
      </c>
      <c r="AH223" s="34"/>
      <c r="AI223" s="35" t="n">
        <v>12.006</v>
      </c>
      <c r="AJ223" s="35" t="n">
        <v>12.269</v>
      </c>
      <c r="AK223" s="35" t="n">
        <v>11.967</v>
      </c>
      <c r="AL223" s="35" t="n">
        <v>12.071</v>
      </c>
      <c r="AM223" s="35" t="n">
        <v>48.313</v>
      </c>
      <c r="AN223" s="35" t="n">
        <v>12.407</v>
      </c>
      <c r="AO223" s="35" t="n">
        <v>13.143</v>
      </c>
      <c r="AP223" s="35" t="n">
        <v>13.639</v>
      </c>
      <c r="AQ223" s="35" t="n">
        <v>14.232</v>
      </c>
      <c r="AR223" s="35" t="n">
        <v>53.421</v>
      </c>
      <c r="AS223" s="35" t="n">
        <v>14.747</v>
      </c>
      <c r="AT223" s="35" t="n">
        <v>14.915</v>
      </c>
      <c r="AU223" s="35" t="n">
        <v>15.355</v>
      </c>
      <c r="AV223" s="35" t="n">
        <v>15.499</v>
      </c>
      <c r="AW223" s="35" t="n">
        <v>60.516</v>
      </c>
      <c r="AX223" s="35" t="n">
        <v>15.317</v>
      </c>
      <c r="AY223" s="35" t="n">
        <v>15.53</v>
      </c>
      <c r="AZ223" s="35" t="n">
        <v>15.881</v>
      </c>
      <c r="BA223" s="35" t="n">
        <v>16.663</v>
      </c>
      <c r="BB223" s="35" t="n">
        <v>63.391</v>
      </c>
      <c r="BC223" s="35" t="n">
        <v>17.583</v>
      </c>
      <c r="BD223" s="35" t="n">
        <v>18.413</v>
      </c>
      <c r="BE223" s="35" t="n">
        <v>19.377</v>
      </c>
      <c r="BF223" s="35" t="n">
        <v>20.709</v>
      </c>
      <c r="BG223" s="35" t="n">
        <v>76.082</v>
      </c>
      <c r="BH223" s="35" t="n">
        <v>21.889</v>
      </c>
      <c r="BI223" s="35" t="n">
        <v>23.378</v>
      </c>
      <c r="BJ223" s="35" t="n">
        <v>24.544</v>
      </c>
      <c r="BK223" s="35" t="n">
        <v>25.389</v>
      </c>
      <c r="BL223" s="35" t="n">
        <v>95.2</v>
      </c>
      <c r="BM223" s="35" t="n">
        <v>27.2</v>
      </c>
      <c r="BN223" s="35" t="n">
        <v>29.1</v>
      </c>
      <c r="BO223" s="35" t="n">
        <v>29.8</v>
      </c>
      <c r="BP223" s="35" t="n">
        <v>30.6</v>
      </c>
      <c r="BQ223" s="35" t="n">
        <v>116.7</v>
      </c>
      <c r="BR223" s="35" t="n">
        <v>31</v>
      </c>
      <c r="BS223" s="35" t="n">
        <v>35.9</v>
      </c>
      <c r="BT223" s="35" t="n">
        <v>43.5</v>
      </c>
      <c r="BU223" s="35" t="n">
        <v>30.6</v>
      </c>
      <c r="BV223" s="35" t="n">
        <v>141</v>
      </c>
      <c r="BW223" s="35" t="n">
        <v>30</v>
      </c>
      <c r="BX223" s="35" t="n">
        <v>30</v>
      </c>
      <c r="BY223" s="36"/>
      <c r="BZ223" s="36"/>
      <c r="CA223" s="36" t="n">
        <f aca="false">(BW223+BX223)+(BY121+BZ121)*(BW223+BX223)/(BW121+BX121)</f>
        <v>125.19980752748</v>
      </c>
      <c r="CB223" s="36" t="n">
        <f aca="false">CB121*CB311</f>
        <v>151.371496623069</v>
      </c>
      <c r="CC223" s="36" t="n">
        <f aca="false">CC121*CC311</f>
        <v>166.28076939375</v>
      </c>
      <c r="CD223" s="36" t="n">
        <f aca="false">CD121*CD311</f>
        <v>181.477280877819</v>
      </c>
      <c r="CE223" s="36" t="n">
        <f aca="false">CE121*CE311</f>
        <v>196.752307598999</v>
      </c>
      <c r="CF223" s="28"/>
    </row>
    <row r="224" customFormat="false" ht="15" hidden="false" customHeight="true" outlineLevel="0" collapsed="false">
      <c r="B224" s="29" t="s">
        <v>426</v>
      </c>
      <c r="C224" s="34"/>
      <c r="D224" s="35" t="n">
        <v>9.946</v>
      </c>
      <c r="E224" s="35" t="n">
        <v>2.148</v>
      </c>
      <c r="F224" s="35" t="n">
        <v>-2.428</v>
      </c>
      <c r="G224" s="35" t="n">
        <v>1.675</v>
      </c>
      <c r="H224" s="35" t="n">
        <v>-17.104</v>
      </c>
      <c r="I224" s="35" t="n">
        <v>13.643</v>
      </c>
      <c r="J224" s="35" t="n">
        <v>-7.657</v>
      </c>
      <c r="K224" s="35" t="n">
        <v>1.538</v>
      </c>
      <c r="L224" s="35" t="n">
        <v>-0.329</v>
      </c>
      <c r="M224" s="35" t="n">
        <v>-6.292</v>
      </c>
      <c r="N224" s="35" t="n">
        <v>-12.74</v>
      </c>
      <c r="O224" s="35" t="n">
        <v>5.09</v>
      </c>
      <c r="P224" s="35" t="n">
        <v>-2.657</v>
      </c>
      <c r="Q224" s="35" t="n">
        <v>-3.669</v>
      </c>
      <c r="R224" s="35" t="n">
        <v>-0.13</v>
      </c>
      <c r="S224" s="35" t="n">
        <v>-1.366</v>
      </c>
      <c r="T224" s="35" t="n">
        <v>3.886</v>
      </c>
      <c r="U224" s="35" t="n">
        <v>-19.67</v>
      </c>
      <c r="V224" s="35" t="n">
        <v>2.082</v>
      </c>
      <c r="W224" s="35" t="n">
        <v>7.91</v>
      </c>
      <c r="X224" s="35" t="n">
        <v>-5.792</v>
      </c>
      <c r="Y224" s="35" t="n">
        <v>1.706</v>
      </c>
      <c r="Z224" s="35" t="n">
        <v>1.768</v>
      </c>
      <c r="AA224" s="35" t="n">
        <v>2.08</v>
      </c>
      <c r="AB224" s="35" t="n">
        <v>10.081</v>
      </c>
      <c r="AC224" s="35" t="n">
        <v>15.635</v>
      </c>
      <c r="AD224" s="35" t="n">
        <v>2.091</v>
      </c>
      <c r="AE224" s="35" t="n">
        <v>1.343</v>
      </c>
      <c r="AF224" s="35" t="n">
        <v>2.653</v>
      </c>
      <c r="AG224" s="35" t="n">
        <v>-8.99</v>
      </c>
      <c r="AH224" s="35" t="n">
        <v>-2.903</v>
      </c>
      <c r="AI224" s="35" t="n">
        <v>1.851</v>
      </c>
      <c r="AJ224" s="35" t="n">
        <v>2.44</v>
      </c>
      <c r="AK224" s="35" t="n">
        <v>3.353</v>
      </c>
      <c r="AL224" s="35" t="n">
        <v>-3.978</v>
      </c>
      <c r="AM224" s="35" t="n">
        <v>3.666</v>
      </c>
      <c r="AN224" s="35" t="n">
        <v>3.702</v>
      </c>
      <c r="AO224" s="35" t="n">
        <v>2.657</v>
      </c>
      <c r="AP224" s="35" t="n">
        <v>6.929</v>
      </c>
      <c r="AQ224" s="35" t="n">
        <v>-5.068</v>
      </c>
      <c r="AR224" s="35" t="n">
        <v>8.22</v>
      </c>
      <c r="AS224" s="35" t="n">
        <v>2.825</v>
      </c>
      <c r="AT224" s="35" t="n">
        <v>0.744</v>
      </c>
      <c r="AU224" s="35" t="n">
        <v>3.243</v>
      </c>
      <c r="AV224" s="35" t="n">
        <v>-18.342</v>
      </c>
      <c r="AW224" s="35" t="n">
        <v>-11.53</v>
      </c>
      <c r="AX224" s="35" t="n">
        <v>5.464</v>
      </c>
      <c r="AY224" s="35" t="n">
        <v>4.465</v>
      </c>
      <c r="AZ224" s="35" t="n">
        <v>6.326</v>
      </c>
      <c r="BA224" s="35" t="n">
        <v>7.91</v>
      </c>
      <c r="BB224" s="35" t="n">
        <v>24.165</v>
      </c>
      <c r="BC224" s="35" t="n">
        <v>-10.211</v>
      </c>
      <c r="BD224" s="35" t="n">
        <v>-4.735</v>
      </c>
      <c r="BE224" s="35" t="n">
        <v>-6.73</v>
      </c>
      <c r="BF224" s="35" t="n">
        <v>-9.527</v>
      </c>
      <c r="BG224" s="35" t="n">
        <v>-31.203</v>
      </c>
      <c r="BH224" s="35" t="n">
        <v>-2.907</v>
      </c>
      <c r="BI224" s="35" t="n">
        <v>-4.082</v>
      </c>
      <c r="BJ224" s="35" t="n">
        <v>-5.96</v>
      </c>
      <c r="BK224" s="35" t="n">
        <v>-24.251</v>
      </c>
      <c r="BL224" s="35" t="n">
        <v>-37.2</v>
      </c>
      <c r="BM224" s="35" t="n">
        <v>-2.8</v>
      </c>
      <c r="BN224" s="35" t="n">
        <v>-3.6</v>
      </c>
      <c r="BO224" s="35" t="n">
        <v>-9</v>
      </c>
      <c r="BP224" s="35" t="n">
        <v>-34.7</v>
      </c>
      <c r="BQ224" s="35" t="n">
        <v>-50.1</v>
      </c>
      <c r="BR224" s="35" t="n">
        <v>-0.5</v>
      </c>
      <c r="BS224" s="35" t="n">
        <v>-5</v>
      </c>
      <c r="BT224" s="35" t="n">
        <v>10.9</v>
      </c>
      <c r="BU224" s="35" t="n">
        <v>30.6</v>
      </c>
      <c r="BV224" s="35" t="n">
        <v>36</v>
      </c>
      <c r="BW224" s="35" t="n">
        <v>3</v>
      </c>
      <c r="BX224" s="35" t="n">
        <v>21</v>
      </c>
      <c r="BY224" s="36"/>
      <c r="BZ224" s="36"/>
      <c r="CA224" s="36" t="n">
        <f aca="false">(BW224+BX224)</f>
        <v>24</v>
      </c>
      <c r="CB224" s="44" t="n">
        <v>0</v>
      </c>
      <c r="CC224" s="44" t="n">
        <v>0</v>
      </c>
      <c r="CD224" s="44" t="n">
        <v>0</v>
      </c>
      <c r="CE224" s="44" t="n">
        <v>0</v>
      </c>
      <c r="CF224" s="28" t="s">
        <v>427</v>
      </c>
    </row>
    <row r="225" customFormat="false" ht="15" hidden="false" customHeight="true" outlineLevel="0" collapsed="false">
      <c r="B225" s="29" t="s">
        <v>428</v>
      </c>
      <c r="C225" s="35" t="n">
        <v>13.626</v>
      </c>
      <c r="D225" s="35" t="n">
        <v>2.464</v>
      </c>
      <c r="E225" s="35" t="n">
        <v>-1.275</v>
      </c>
      <c r="F225" s="35" t="n">
        <v>4.372</v>
      </c>
      <c r="G225" s="35" t="n">
        <v>1.243</v>
      </c>
      <c r="H225" s="35" t="n">
        <v>-1.595</v>
      </c>
      <c r="I225" s="35" t="n">
        <v>3.369</v>
      </c>
      <c r="J225" s="35" t="n">
        <v>-6.237</v>
      </c>
      <c r="K225" s="35" t="n">
        <v>-0.957</v>
      </c>
      <c r="L225" s="35" t="n">
        <v>-4.119</v>
      </c>
      <c r="M225" s="35" t="n">
        <v>-2.837</v>
      </c>
      <c r="N225" s="35" t="n">
        <v>-14.15</v>
      </c>
      <c r="O225" s="35" t="n">
        <v>-20.68</v>
      </c>
      <c r="P225" s="35" t="n">
        <v>-1.495</v>
      </c>
      <c r="Q225" s="35" t="n">
        <v>2.064</v>
      </c>
      <c r="R225" s="35" t="n">
        <v>2.642</v>
      </c>
      <c r="S225" s="35" t="n">
        <v>-17.469</v>
      </c>
      <c r="T225" s="35" t="n">
        <v>1.692</v>
      </c>
      <c r="U225" s="35" t="n">
        <v>-1.26</v>
      </c>
      <c r="V225" s="35" t="n">
        <v>2.352</v>
      </c>
      <c r="W225" s="35" t="n">
        <v>2.46</v>
      </c>
      <c r="X225" s="35" t="n">
        <v>5.244</v>
      </c>
      <c r="Y225" s="35" t="n">
        <v>2.599</v>
      </c>
      <c r="Z225" s="35" t="n">
        <v>-0.211</v>
      </c>
      <c r="AA225" s="35" t="n">
        <v>1.753</v>
      </c>
      <c r="AB225" s="35" t="n">
        <v>1.8</v>
      </c>
      <c r="AC225" s="35" t="n">
        <v>5.941</v>
      </c>
      <c r="AD225" s="35" t="n">
        <v>2.572</v>
      </c>
      <c r="AE225" s="35" t="n">
        <v>1.264</v>
      </c>
      <c r="AF225" s="35" t="n">
        <v>2.313</v>
      </c>
      <c r="AG225" s="35" t="n">
        <v>5.761</v>
      </c>
      <c r="AH225" s="35" t="n">
        <v>11.91</v>
      </c>
      <c r="AI225" s="35" t="n">
        <v>1.65</v>
      </c>
      <c r="AJ225" s="35" t="n">
        <v>1.643</v>
      </c>
      <c r="AK225" s="35" t="n">
        <v>1.883</v>
      </c>
      <c r="AL225" s="35" t="n">
        <v>2.315</v>
      </c>
      <c r="AM225" s="35" t="n">
        <v>7.491</v>
      </c>
      <c r="AN225" s="35" t="n">
        <v>2.404</v>
      </c>
      <c r="AO225" s="35" t="n">
        <v>3.258</v>
      </c>
      <c r="AP225" s="35" t="n">
        <v>2.453</v>
      </c>
      <c r="AQ225" s="35" t="n">
        <v>26.592</v>
      </c>
      <c r="AR225" s="35" t="n">
        <v>34.707</v>
      </c>
      <c r="AS225" s="35" t="n">
        <v>13.277</v>
      </c>
      <c r="AT225" s="35" t="n">
        <v>15.071</v>
      </c>
      <c r="AU225" s="35" t="n">
        <v>12.918</v>
      </c>
      <c r="AV225" s="35" t="n">
        <v>12.218</v>
      </c>
      <c r="AW225" s="35" t="n">
        <v>53.484</v>
      </c>
      <c r="AX225" s="35" t="n">
        <v>8.745</v>
      </c>
      <c r="AY225" s="35" t="n">
        <v>11.612</v>
      </c>
      <c r="AZ225" s="35" t="n">
        <v>10.31</v>
      </c>
      <c r="BA225" s="35" t="n">
        <v>10.419</v>
      </c>
      <c r="BB225" s="35" t="n">
        <v>41.086</v>
      </c>
      <c r="BC225" s="35" t="n">
        <v>11.416</v>
      </c>
      <c r="BD225" s="35" t="n">
        <v>10.583</v>
      </c>
      <c r="BE225" s="35" t="n">
        <v>14.574</v>
      </c>
      <c r="BF225" s="35" t="n">
        <v>20.151</v>
      </c>
      <c r="BG225" s="35" t="n">
        <v>56.724</v>
      </c>
      <c r="BH225" s="35" t="n">
        <v>12.326</v>
      </c>
      <c r="BI225" s="35" t="n">
        <v>17.496</v>
      </c>
      <c r="BJ225" s="35" t="n">
        <v>20.057</v>
      </c>
      <c r="BK225" s="35" t="n">
        <v>14.321</v>
      </c>
      <c r="BL225" s="35" t="n">
        <v>64.2</v>
      </c>
      <c r="BM225" s="35" t="n">
        <v>16.9</v>
      </c>
      <c r="BN225" s="35" t="n">
        <v>18.4</v>
      </c>
      <c r="BO225" s="35" t="n">
        <v>17.3</v>
      </c>
      <c r="BP225" s="35" t="n">
        <v>18</v>
      </c>
      <c r="BQ225" s="35" t="n">
        <v>70.6</v>
      </c>
      <c r="BR225" s="35" t="n">
        <v>15</v>
      </c>
      <c r="BS225" s="35" t="n">
        <v>-8.6</v>
      </c>
      <c r="BT225" s="35" t="n">
        <v>35.9</v>
      </c>
      <c r="BU225" s="35" t="n">
        <v>14.7</v>
      </c>
      <c r="BV225" s="35" t="n">
        <v>57</v>
      </c>
      <c r="BW225" s="35" t="n">
        <v>17</v>
      </c>
      <c r="BX225" s="35" t="n">
        <v>18</v>
      </c>
      <c r="BY225" s="36"/>
      <c r="BZ225" s="36"/>
      <c r="CA225" s="36" t="n">
        <f aca="false">(BW225+BX225)</f>
        <v>35</v>
      </c>
      <c r="CB225" s="44" t="n">
        <v>0</v>
      </c>
      <c r="CC225" s="44" t="n">
        <v>0</v>
      </c>
      <c r="CD225" s="44" t="n">
        <v>0</v>
      </c>
      <c r="CE225" s="44" t="n">
        <v>0</v>
      </c>
      <c r="CF225" s="28" t="s">
        <v>429</v>
      </c>
    </row>
    <row r="226" customFormat="false" ht="15" hidden="false" customHeight="true" outlineLevel="0" collapsed="false">
      <c r="B226" s="29" t="s">
        <v>430</v>
      </c>
      <c r="C226" s="35" t="n">
        <v>-5.095</v>
      </c>
      <c r="D226" s="35" t="n">
        <v>1.784</v>
      </c>
      <c r="E226" s="35" t="n">
        <v>-6.329</v>
      </c>
      <c r="F226" s="35" t="n">
        <v>-3.328</v>
      </c>
      <c r="G226" s="35" t="n">
        <v>1.107</v>
      </c>
      <c r="H226" s="35" t="n">
        <v>8.773</v>
      </c>
      <c r="I226" s="35" t="n">
        <v>14.165</v>
      </c>
      <c r="J226" s="35" t="n">
        <v>-0.48</v>
      </c>
      <c r="K226" s="35" t="n">
        <v>4.78</v>
      </c>
      <c r="L226" s="35" t="n">
        <v>6.847</v>
      </c>
      <c r="M226" s="35" t="n">
        <v>12.7</v>
      </c>
      <c r="N226" s="35" t="n">
        <v>23.847</v>
      </c>
      <c r="O226" s="35" t="n">
        <v>-18.435</v>
      </c>
      <c r="P226" s="35" t="n">
        <v>18.742</v>
      </c>
      <c r="Q226" s="35" t="n">
        <v>14.491</v>
      </c>
      <c r="R226" s="35" t="n">
        <v>4.438</v>
      </c>
      <c r="S226" s="35" t="n">
        <v>19.236</v>
      </c>
      <c r="T226" s="35" t="n">
        <v>5.463</v>
      </c>
      <c r="U226" s="35" t="n">
        <v>5.594</v>
      </c>
      <c r="V226" s="35" t="n">
        <v>11.856</v>
      </c>
      <c r="W226" s="35" t="n">
        <v>-0.724</v>
      </c>
      <c r="X226" s="35" t="n">
        <v>22.189</v>
      </c>
      <c r="Y226" s="35" t="n">
        <v>1.048</v>
      </c>
      <c r="Z226" s="35" t="n">
        <v>-9.474</v>
      </c>
      <c r="AA226" s="35" t="n">
        <v>6.943</v>
      </c>
      <c r="AB226" s="35" t="n">
        <v>-15.734</v>
      </c>
      <c r="AC226" s="35" t="n">
        <v>-17.217</v>
      </c>
      <c r="AD226" s="35" t="n">
        <v>11.109</v>
      </c>
      <c r="AE226" s="35" t="n">
        <v>-19.948</v>
      </c>
      <c r="AF226" s="35" t="n">
        <v>3.939</v>
      </c>
      <c r="AG226" s="35" t="n">
        <v>5.228</v>
      </c>
      <c r="AH226" s="35" t="n">
        <v>0.328</v>
      </c>
      <c r="AI226" s="35" t="n">
        <v>-22.148</v>
      </c>
      <c r="AJ226" s="35" t="n">
        <v>-45.667</v>
      </c>
      <c r="AK226" s="35" t="n">
        <v>-3.981</v>
      </c>
      <c r="AL226" s="35" t="n">
        <v>-9.507</v>
      </c>
      <c r="AM226" s="35" t="n">
        <v>-81.303</v>
      </c>
      <c r="AN226" s="35" t="n">
        <v>13.124</v>
      </c>
      <c r="AO226" s="35" t="n">
        <v>-29.803</v>
      </c>
      <c r="AP226" s="35" t="n">
        <v>-17.151</v>
      </c>
      <c r="AQ226" s="35" t="n">
        <v>-53.121</v>
      </c>
      <c r="AR226" s="35" t="n">
        <v>-86.951</v>
      </c>
      <c r="AS226" s="35" t="n">
        <v>-11.614</v>
      </c>
      <c r="AT226" s="35" t="n">
        <v>-10.76</v>
      </c>
      <c r="AU226" s="35" t="n">
        <v>-31.416</v>
      </c>
      <c r="AV226" s="35" t="n">
        <v>39.904</v>
      </c>
      <c r="AW226" s="35" t="n">
        <v>-13.886</v>
      </c>
      <c r="AX226" s="35" t="n">
        <v>-66.84</v>
      </c>
      <c r="AY226" s="35" t="n">
        <v>-8.569</v>
      </c>
      <c r="AZ226" s="35" t="n">
        <v>-48.065</v>
      </c>
      <c r="BA226" s="35" t="n">
        <v>-31.268</v>
      </c>
      <c r="BB226" s="35" t="n">
        <v>-154.742</v>
      </c>
      <c r="BC226" s="35" t="n">
        <v>-27.436</v>
      </c>
      <c r="BD226" s="35" t="n">
        <v>-76.391</v>
      </c>
      <c r="BE226" s="35" t="n">
        <v>-82.015</v>
      </c>
      <c r="BF226" s="35" t="n">
        <v>-19.686</v>
      </c>
      <c r="BG226" s="35" t="n">
        <v>-205.528</v>
      </c>
      <c r="BH226" s="35" t="n">
        <v>-40.895</v>
      </c>
      <c r="BI226" s="35" t="n">
        <v>-10.037</v>
      </c>
      <c r="BJ226" s="35" t="n">
        <v>-135.634</v>
      </c>
      <c r="BK226" s="35" t="n">
        <v>-13.334</v>
      </c>
      <c r="BL226" s="35" t="n">
        <v>-199.9</v>
      </c>
      <c r="BM226" s="35" t="n">
        <v>35.5</v>
      </c>
      <c r="BN226" s="35" t="n">
        <v>-66.5</v>
      </c>
      <c r="BO226" s="35" t="n">
        <v>-48.1</v>
      </c>
      <c r="BP226" s="35" t="n">
        <v>-40.1</v>
      </c>
      <c r="BQ226" s="35" t="n">
        <v>-119.2</v>
      </c>
      <c r="BR226" s="35" t="n">
        <v>-55.2</v>
      </c>
      <c r="BS226" s="35" t="n">
        <v>0.7</v>
      </c>
      <c r="BT226" s="35" t="n">
        <v>-131.2</v>
      </c>
      <c r="BU226" s="35" t="n">
        <v>-82.3</v>
      </c>
      <c r="BV226" s="35" t="n">
        <v>-268</v>
      </c>
      <c r="BW226" s="35" t="n">
        <v>-25</v>
      </c>
      <c r="BX226" s="35" t="n">
        <v>-132</v>
      </c>
      <c r="BY226" s="36"/>
      <c r="BZ226" s="36"/>
      <c r="CA226" s="36" t="n">
        <f aca="false">(BW226+BX226)-(CA272-BX272-CA320)-(CA279-BX279+CA223-(BW223+BX223))+(CA285-BX285-CA325)+(CA283-BX283)+(CA284-BX284)</f>
        <v>-263.379758212412</v>
      </c>
      <c r="CB226" s="36" t="n">
        <f aca="false">-(CB272-CA272)-(CB279-CA279+CB223)+(CB285-CA285)+(CB283-CA283)+(CB284-CA284)</f>
        <v>-155.122813540466</v>
      </c>
      <c r="CC226" s="36" t="n">
        <f aca="false">-(CC272-CB272)-(CC279-CB279+CC223)+(CC285-CB285)+(CC283-CB283)+(CC284-CB284)</f>
        <v>-170.213783032669</v>
      </c>
      <c r="CD226" s="36" t="n">
        <f aca="false">-(CD272-CC272)-(CD279-CC279+CD223)+(CD285-CC285)+(CD283-CC283)+(CD284-CC284)</f>
        <v>-185.48606707753</v>
      </c>
      <c r="CE226" s="36" t="n">
        <f aca="false">-(CE272-CD272)-(CE279-CD279+CE223)+(CE285-CD285)+(CE283-CD283)+(CE284-CD284)</f>
        <v>-200.781805841691</v>
      </c>
      <c r="CF226" s="28" t="s">
        <v>431</v>
      </c>
    </row>
    <row r="227" customFormat="false" ht="15" hidden="false" customHeight="true" outlineLevel="0" collapsed="false">
      <c r="B227" s="17" t="s">
        <v>432</v>
      </c>
      <c r="C227" s="19" t="n">
        <v>32.751</v>
      </c>
      <c r="D227" s="19" t="n">
        <v>51.732</v>
      </c>
      <c r="E227" s="19" t="n">
        <v>40.908</v>
      </c>
      <c r="F227" s="19" t="n">
        <v>38.445</v>
      </c>
      <c r="G227" s="19" t="n">
        <v>39.269</v>
      </c>
      <c r="H227" s="19" t="n">
        <v>25.685</v>
      </c>
      <c r="I227" s="19" t="n">
        <v>86.126</v>
      </c>
      <c r="J227" s="19" t="n">
        <v>10.708</v>
      </c>
      <c r="K227" s="19" t="n">
        <v>30.859</v>
      </c>
      <c r="L227" s="19" t="n">
        <v>31.261</v>
      </c>
      <c r="M227" s="19" t="n">
        <v>35.47</v>
      </c>
      <c r="N227" s="19" t="n">
        <v>108.298</v>
      </c>
      <c r="O227" s="19" t="n">
        <v>-6.555</v>
      </c>
      <c r="P227" s="19" t="n">
        <v>49.889</v>
      </c>
      <c r="Q227" s="19" t="n">
        <v>52.702</v>
      </c>
      <c r="R227" s="19" t="n">
        <v>47.873</v>
      </c>
      <c r="S227" s="19" t="n">
        <v>143.909</v>
      </c>
      <c r="T227" s="19" t="n">
        <v>30.169</v>
      </c>
      <c r="U227" s="19" t="n">
        <v>-3.213</v>
      </c>
      <c r="V227" s="19" t="n">
        <v>42.76</v>
      </c>
      <c r="W227" s="19" t="n">
        <v>61.529</v>
      </c>
      <c r="X227" s="19" t="n">
        <v>131.245</v>
      </c>
      <c r="Y227" s="19" t="n">
        <v>47.926</v>
      </c>
      <c r="Z227" s="19" t="n">
        <v>34.438</v>
      </c>
      <c r="AA227" s="19" t="n">
        <v>61.368</v>
      </c>
      <c r="AB227" s="19" t="n">
        <v>52.212</v>
      </c>
      <c r="AC227" s="19" t="n">
        <v>195.944</v>
      </c>
      <c r="AD227" s="19" t="n">
        <v>64.557</v>
      </c>
      <c r="AE227" s="19" t="n">
        <v>30.806</v>
      </c>
      <c r="AF227" s="19" t="n">
        <v>67.944</v>
      </c>
      <c r="AG227" s="19" t="n">
        <v>71.396</v>
      </c>
      <c r="AH227" s="19" t="n">
        <v>234.703</v>
      </c>
      <c r="AI227" s="19" t="n">
        <v>72.985</v>
      </c>
      <c r="AJ227" s="19" t="n">
        <v>46.332</v>
      </c>
      <c r="AK227" s="19" t="n">
        <v>101.367</v>
      </c>
      <c r="AL227" s="19" t="n">
        <v>114.774</v>
      </c>
      <c r="AM227" s="19" t="n">
        <v>335.458</v>
      </c>
      <c r="AN227" s="19" t="n">
        <v>148.494</v>
      </c>
      <c r="AO227" s="19" t="n">
        <v>85.073</v>
      </c>
      <c r="AP227" s="19" t="n">
        <v>116.45</v>
      </c>
      <c r="AQ227" s="19" t="n">
        <v>107.763</v>
      </c>
      <c r="AR227" s="19" t="n">
        <v>457.78</v>
      </c>
      <c r="AS227" s="19" t="n">
        <v>131.464</v>
      </c>
      <c r="AT227" s="19" t="n">
        <v>117.182</v>
      </c>
      <c r="AU227" s="19" t="n">
        <v>106.692</v>
      </c>
      <c r="AV227" s="19" t="n">
        <v>130.768</v>
      </c>
      <c r="AW227" s="19" t="n">
        <v>486.106</v>
      </c>
      <c r="AX227" s="19" t="n">
        <v>87.853</v>
      </c>
      <c r="AY227" s="19" t="n">
        <v>132.436</v>
      </c>
      <c r="AZ227" s="19" t="n">
        <v>98.929</v>
      </c>
      <c r="BA227" s="19" t="n">
        <v>150.513</v>
      </c>
      <c r="BB227" s="19" t="n">
        <v>469.731</v>
      </c>
      <c r="BC227" s="19" t="n">
        <v>130.707</v>
      </c>
      <c r="BD227" s="19" t="n">
        <v>81.392</v>
      </c>
      <c r="BE227" s="19" t="n">
        <v>81.49</v>
      </c>
      <c r="BF227" s="19" t="n">
        <v>185.031</v>
      </c>
      <c r="BG227" s="19" t="n">
        <v>478.62</v>
      </c>
      <c r="BH227" s="19" t="n">
        <v>123.216</v>
      </c>
      <c r="BI227" s="19" t="n">
        <v>175.164</v>
      </c>
      <c r="BJ227" s="19" t="n">
        <v>42.605</v>
      </c>
      <c r="BK227" s="19" t="n">
        <v>148.515</v>
      </c>
      <c r="BL227" s="19" t="n">
        <v>489.5</v>
      </c>
      <c r="BM227" s="19" t="n">
        <v>139.6</v>
      </c>
      <c r="BN227" s="19" t="n">
        <v>58.1</v>
      </c>
      <c r="BO227" s="19" t="n">
        <v>100.3</v>
      </c>
      <c r="BP227" s="19" t="n">
        <v>94.6</v>
      </c>
      <c r="BQ227" s="19" t="n">
        <v>392.6</v>
      </c>
      <c r="BR227" s="19" t="n">
        <v>53.2</v>
      </c>
      <c r="BS227" s="19" t="n">
        <v>146.5</v>
      </c>
      <c r="BT227" s="19" t="n">
        <v>68.2</v>
      </c>
      <c r="BU227" s="19" t="n">
        <v>162.1</v>
      </c>
      <c r="BV227" s="19" t="n">
        <v>430</v>
      </c>
      <c r="BW227" s="19" t="n">
        <v>152</v>
      </c>
      <c r="BX227" s="19" t="n">
        <v>115</v>
      </c>
      <c r="BY227" s="20"/>
      <c r="BZ227" s="20"/>
      <c r="CA227" s="20" t="n">
        <f aca="false">SUM(CA219:CA226)</f>
        <v>657.350397976818</v>
      </c>
      <c r="CB227" s="20" t="n">
        <f aca="false">SUM(CB219:CB226)</f>
        <v>861.072954653791</v>
      </c>
      <c r="CC227" s="20" t="n">
        <f aca="false">SUM(CC219:CC226)</f>
        <v>1028.98602122051</v>
      </c>
      <c r="CD227" s="20" t="n">
        <f aca="false">SUM(CD219:CD226)</f>
        <v>1219.84270024719</v>
      </c>
      <c r="CE227" s="20" t="n">
        <f aca="false">SUM(CE219:CE226)</f>
        <v>1413.5474224103</v>
      </c>
      <c r="CF227" s="21"/>
      <c r="CH227" s="22" t="n">
        <f aca="false">IFERROR((CE227/BV227)^(1/5)-1,"n/m")</f>
        <v>0.268727593686981</v>
      </c>
      <c r="CI227" s="22" t="n">
        <f aca="false">IFERROR((BV227/AW227)^(1/5)-1,"n/m")</f>
        <v>-0.0242299254584422</v>
      </c>
      <c r="CJ227" s="22" t="n">
        <f aca="false">IFERROR((BV227/X227)^(1/10)-1,"n/m")</f>
        <v>0.126000462336216</v>
      </c>
      <c r="CK227" s="22" t="n">
        <f aca="false">IFERROR((BV227/C227)^(1/19)-1,"n/m")</f>
        <v>0.145130393371238</v>
      </c>
    </row>
    <row r="228" customFormat="false" ht="15" hidden="false" customHeight="true" outlineLevel="0" collapsed="false">
      <c r="B228" s="29" t="s">
        <v>433</v>
      </c>
      <c r="C228" s="35" t="n">
        <v>-12.959</v>
      </c>
      <c r="D228" s="35" t="n">
        <v>-14.271</v>
      </c>
      <c r="E228" s="35" t="n">
        <v>-3.656</v>
      </c>
      <c r="F228" s="35" t="n">
        <v>-9.42</v>
      </c>
      <c r="G228" s="35" t="n">
        <v>-57.358</v>
      </c>
      <c r="H228" s="35" t="n">
        <v>-15.013</v>
      </c>
      <c r="I228" s="35" t="n">
        <v>-14.834</v>
      </c>
      <c r="J228" s="35" t="n">
        <v>-4.643</v>
      </c>
      <c r="K228" s="35" t="n">
        <v>-4.269</v>
      </c>
      <c r="L228" s="35" t="n">
        <v>-6.419</v>
      </c>
      <c r="M228" s="35" t="n">
        <v>-3.711</v>
      </c>
      <c r="N228" s="35" t="n">
        <v>-19.042</v>
      </c>
      <c r="O228" s="35" t="n">
        <v>-4.149</v>
      </c>
      <c r="P228" s="35" t="n">
        <v>-7.288</v>
      </c>
      <c r="Q228" s="35" t="n">
        <v>-9.428</v>
      </c>
      <c r="R228" s="35" t="n">
        <v>-6.579</v>
      </c>
      <c r="S228" s="35" t="n">
        <v>-27.444</v>
      </c>
      <c r="T228" s="35" t="n">
        <v>-11.744</v>
      </c>
      <c r="U228" s="35" t="n">
        <v>-6.186</v>
      </c>
      <c r="V228" s="35" t="n">
        <v>-10.023</v>
      </c>
      <c r="W228" s="35" t="n">
        <v>-7.108</v>
      </c>
      <c r="X228" s="35" t="n">
        <v>-35.061</v>
      </c>
      <c r="Y228" s="35" t="n">
        <v>-3.794</v>
      </c>
      <c r="Z228" s="35" t="n">
        <v>-3.6</v>
      </c>
      <c r="AA228" s="35" t="n">
        <v>-4.298</v>
      </c>
      <c r="AB228" s="35" t="n">
        <v>-7.074</v>
      </c>
      <c r="AC228" s="35" t="n">
        <v>-18.766</v>
      </c>
      <c r="AD228" s="35" t="n">
        <v>-6.146</v>
      </c>
      <c r="AE228" s="35" t="n">
        <v>-6.528</v>
      </c>
      <c r="AF228" s="35" t="n">
        <v>-7.08</v>
      </c>
      <c r="AG228" s="35" t="n">
        <v>-4.745</v>
      </c>
      <c r="AH228" s="35" t="n">
        <v>-24.499</v>
      </c>
      <c r="AI228" s="35" t="n">
        <v>-8.617</v>
      </c>
      <c r="AJ228" s="35" t="n">
        <v>-7.234</v>
      </c>
      <c r="AK228" s="35" t="n">
        <v>-5.95</v>
      </c>
      <c r="AL228" s="35" t="n">
        <v>-7.831</v>
      </c>
      <c r="AM228" s="35" t="n">
        <v>-29.632</v>
      </c>
      <c r="AN228" s="35" t="n">
        <v>-9.429</v>
      </c>
      <c r="AO228" s="35" t="n">
        <v>-4.958</v>
      </c>
      <c r="AP228" s="35" t="n">
        <v>-29.775</v>
      </c>
      <c r="AQ228" s="35" t="n">
        <v>-2.035</v>
      </c>
      <c r="AR228" s="35" t="n">
        <v>-46.197</v>
      </c>
      <c r="AS228" s="35" t="n">
        <v>-7.133</v>
      </c>
      <c r="AT228" s="35" t="n">
        <v>-5.649</v>
      </c>
      <c r="AU228" s="35" t="n">
        <v>-29.355</v>
      </c>
      <c r="AV228" s="35" t="n">
        <v>-6.21</v>
      </c>
      <c r="AW228" s="35" t="n">
        <v>-48.347</v>
      </c>
      <c r="AX228" s="35" t="n">
        <v>-10.619</v>
      </c>
      <c r="AY228" s="35" t="n">
        <v>-2.474</v>
      </c>
      <c r="AZ228" s="35" t="n">
        <v>-8.44</v>
      </c>
      <c r="BA228" s="35" t="n">
        <v>-43.687</v>
      </c>
      <c r="BB228" s="35" t="n">
        <v>-65.22</v>
      </c>
      <c r="BC228" s="35" t="n">
        <v>-12.416</v>
      </c>
      <c r="BD228" s="35" t="n">
        <v>-18.33</v>
      </c>
      <c r="BE228" s="35" t="n">
        <v>-12.913</v>
      </c>
      <c r="BF228" s="35" t="n">
        <v>-14.915</v>
      </c>
      <c r="BG228" s="35" t="n">
        <v>-58.574</v>
      </c>
      <c r="BH228" s="35" t="n">
        <v>-3.917</v>
      </c>
      <c r="BI228" s="35" t="n">
        <v>-4.884</v>
      </c>
      <c r="BJ228" s="35" t="n">
        <v>-5.34</v>
      </c>
      <c r="BK228" s="35" t="n">
        <v>-11.159</v>
      </c>
      <c r="BL228" s="35" t="n">
        <v>-25.3</v>
      </c>
      <c r="BM228" s="35" t="n">
        <v>-3.6</v>
      </c>
      <c r="BN228" s="35" t="n">
        <v>-19.4</v>
      </c>
      <c r="BO228" s="35" t="n">
        <v>-26.5</v>
      </c>
      <c r="BP228" s="35" t="n">
        <v>-9.4</v>
      </c>
      <c r="BQ228" s="35" t="n">
        <v>-58.9</v>
      </c>
      <c r="BR228" s="35" t="n">
        <v>-25.5</v>
      </c>
      <c r="BS228" s="35" t="n">
        <v>-32.7</v>
      </c>
      <c r="BT228" s="35" t="n">
        <v>-18.1</v>
      </c>
      <c r="BU228" s="35" t="n">
        <v>-5.7</v>
      </c>
      <c r="BV228" s="35" t="n">
        <v>-82</v>
      </c>
      <c r="BW228" s="35" t="n">
        <v>-9</v>
      </c>
      <c r="BX228" s="35" t="n">
        <v>-20</v>
      </c>
      <c r="BY228" s="36"/>
      <c r="BZ228" s="36"/>
      <c r="CA228" s="36" t="n">
        <f aca="false">(BW228+BX228)+(BY121+BZ121)*(BW228+BX228)/(BW121+BX121)</f>
        <v>-60.5132403049486</v>
      </c>
      <c r="CB228" s="36" t="n">
        <f aca="false">-CB121*CB331</f>
        <v>-86.4979980703252</v>
      </c>
      <c r="CC228" s="36" t="n">
        <f aca="false">-CC121*CC331</f>
        <v>-95.017582510714</v>
      </c>
      <c r="CD228" s="36" t="n">
        <f aca="false">-CD121*CD331</f>
        <v>-103.701303358754</v>
      </c>
      <c r="CE228" s="36" t="n">
        <f aca="false">-CE121*CE331</f>
        <v>-112.429890056571</v>
      </c>
      <c r="CF228" s="28" t="s">
        <v>434</v>
      </c>
    </row>
    <row r="229" customFormat="false" ht="15" hidden="false" customHeight="true" outlineLevel="0" collapsed="false">
      <c r="B229" s="29" t="s">
        <v>435</v>
      </c>
      <c r="C229" s="34"/>
      <c r="D229" s="34"/>
      <c r="E229" s="34"/>
      <c r="F229" s="34"/>
      <c r="G229" s="34"/>
      <c r="H229" s="34"/>
      <c r="I229" s="34"/>
      <c r="J229" s="35" t="n">
        <v>0</v>
      </c>
      <c r="K229" s="35" t="n">
        <v>0</v>
      </c>
      <c r="L229" s="35" t="n">
        <v>0</v>
      </c>
      <c r="M229" s="35" t="n">
        <v>0</v>
      </c>
      <c r="N229" s="34"/>
      <c r="O229" s="35" t="n">
        <v>0</v>
      </c>
      <c r="P229" s="35" t="n">
        <v>0</v>
      </c>
      <c r="Q229" s="35" t="n">
        <v>0</v>
      </c>
      <c r="R229" s="35" t="n">
        <v>0</v>
      </c>
      <c r="S229" s="34"/>
      <c r="T229" s="35" t="n">
        <v>0</v>
      </c>
      <c r="U229" s="35" t="n">
        <v>0</v>
      </c>
      <c r="V229" s="35" t="n">
        <v>0</v>
      </c>
      <c r="W229" s="35" t="n">
        <v>0</v>
      </c>
      <c r="X229" s="34"/>
      <c r="Y229" s="35" t="n">
        <v>0</v>
      </c>
      <c r="Z229" s="35" t="n">
        <v>0</v>
      </c>
      <c r="AA229" s="35" t="n">
        <v>0</v>
      </c>
      <c r="AB229" s="35" t="n">
        <v>0</v>
      </c>
      <c r="AC229" s="34"/>
      <c r="AD229" s="35" t="n">
        <v>0</v>
      </c>
      <c r="AE229" s="35" t="n">
        <v>0</v>
      </c>
      <c r="AF229" s="35" t="n">
        <v>0</v>
      </c>
      <c r="AG229" s="35" t="n">
        <v>0</v>
      </c>
      <c r="AH229" s="34"/>
      <c r="AI229" s="35" t="n">
        <v>0</v>
      </c>
      <c r="AJ229" s="35" t="n">
        <v>0</v>
      </c>
      <c r="AK229" s="35" t="n">
        <v>0</v>
      </c>
      <c r="AL229" s="35" t="n">
        <v>0</v>
      </c>
      <c r="AM229" s="34"/>
      <c r="AN229" s="35" t="n">
        <v>0</v>
      </c>
      <c r="AO229" s="35" t="n">
        <v>0</v>
      </c>
      <c r="AP229" s="35" t="n">
        <v>0</v>
      </c>
      <c r="AQ229" s="35" t="n">
        <v>0</v>
      </c>
      <c r="AR229" s="34"/>
      <c r="AS229" s="35" t="n">
        <v>0</v>
      </c>
      <c r="AT229" s="35" t="n">
        <v>0</v>
      </c>
      <c r="AU229" s="35" t="n">
        <v>0</v>
      </c>
      <c r="AV229" s="35" t="n">
        <v>0</v>
      </c>
      <c r="AW229" s="34"/>
      <c r="AX229" s="35" t="n">
        <v>-123.259</v>
      </c>
      <c r="AY229" s="35" t="n">
        <v>-0.364</v>
      </c>
      <c r="AZ229" s="35" t="n">
        <v>0</v>
      </c>
      <c r="BA229" s="35" t="n">
        <v>-0.141</v>
      </c>
      <c r="BB229" s="35" t="n">
        <v>-123.764</v>
      </c>
      <c r="BC229" s="35" t="n">
        <v>0</v>
      </c>
      <c r="BD229" s="35" t="n">
        <v>-25.664</v>
      </c>
      <c r="BE229" s="35" t="n">
        <v>-5.866</v>
      </c>
      <c r="BF229" s="35" t="n">
        <v>-3.639</v>
      </c>
      <c r="BG229" s="35" t="n">
        <v>-35.169</v>
      </c>
      <c r="BH229" s="35" t="n">
        <v>-15.713</v>
      </c>
      <c r="BI229" s="35" t="n">
        <v>-29.908</v>
      </c>
      <c r="BJ229" s="35" t="n">
        <v>-16.19</v>
      </c>
      <c r="BK229" s="35" t="n">
        <v>-55.689</v>
      </c>
      <c r="BL229" s="35" t="n">
        <v>-117.5</v>
      </c>
      <c r="BM229" s="35" t="n">
        <v>-376.7</v>
      </c>
      <c r="BN229" s="35" t="n">
        <v>-72.8</v>
      </c>
      <c r="BO229" s="35" t="n">
        <v>-60.1</v>
      </c>
      <c r="BP229" s="35" t="n">
        <v>-69.4</v>
      </c>
      <c r="BQ229" s="35" t="n">
        <v>-579</v>
      </c>
      <c r="BR229" s="35" t="n">
        <v>-53.7</v>
      </c>
      <c r="BS229" s="35" t="n">
        <v>-118.8</v>
      </c>
      <c r="BT229" s="35" t="n">
        <v>-73.7</v>
      </c>
      <c r="BU229" s="35" t="n">
        <v>-60.8</v>
      </c>
      <c r="BV229" s="35" t="n">
        <v>-307</v>
      </c>
      <c r="BW229" s="35" t="n">
        <v>-45</v>
      </c>
      <c r="BX229" s="35" t="n">
        <v>-38</v>
      </c>
      <c r="BY229" s="36"/>
      <c r="BZ229" s="36"/>
      <c r="CA229" s="36" t="n">
        <f aca="false">(BW229+BX229)+CA332</f>
        <v>-143</v>
      </c>
      <c r="CB229" s="36" t="n">
        <f aca="false">CB332</f>
        <v>-80</v>
      </c>
      <c r="CC229" s="36" t="n">
        <f aca="false">CC332</f>
        <v>-40</v>
      </c>
      <c r="CD229" s="36" t="n">
        <f aca="false">CD332</f>
        <v>-20</v>
      </c>
      <c r="CE229" s="36" t="n">
        <f aca="false">CE332</f>
        <v>-20</v>
      </c>
      <c r="CF229" s="28" t="s">
        <v>436</v>
      </c>
    </row>
    <row r="230" customFormat="false" ht="15" hidden="false" customHeight="true" outlineLevel="0" collapsed="false">
      <c r="B230" s="29" t="s">
        <v>437</v>
      </c>
      <c r="C230" s="35" t="n">
        <v>-1.887</v>
      </c>
      <c r="D230" s="35" t="n">
        <v>-16.737</v>
      </c>
      <c r="E230" s="35" t="n">
        <v>-3.024</v>
      </c>
      <c r="F230" s="35" t="n">
        <v>-3.207</v>
      </c>
      <c r="G230" s="35" t="n">
        <v>0</v>
      </c>
      <c r="H230" s="35" t="n">
        <v>-15.085</v>
      </c>
      <c r="I230" s="35" t="n">
        <v>-640.929</v>
      </c>
      <c r="J230" s="35" t="n">
        <v>0</v>
      </c>
      <c r="K230" s="35" t="n">
        <v>0</v>
      </c>
      <c r="L230" s="35" t="n">
        <v>0</v>
      </c>
      <c r="M230" s="35" t="n">
        <v>0</v>
      </c>
      <c r="N230" s="35" t="n">
        <v>0</v>
      </c>
      <c r="O230" s="35" t="n">
        <v>0</v>
      </c>
      <c r="P230" s="35" t="n">
        <v>-584.218</v>
      </c>
      <c r="Q230" s="35" t="n">
        <v>0</v>
      </c>
      <c r="R230" s="35" t="n">
        <v>0</v>
      </c>
      <c r="S230" s="35" t="n">
        <v>-584.218</v>
      </c>
      <c r="T230" s="35" t="n">
        <v>0</v>
      </c>
      <c r="U230" s="35" t="n">
        <v>-172.667</v>
      </c>
      <c r="V230" s="35" t="n">
        <v>-4.809</v>
      </c>
      <c r="W230" s="35" t="n">
        <v>-4.865</v>
      </c>
      <c r="X230" s="35" t="n">
        <v>-182.341</v>
      </c>
      <c r="Y230" s="35" t="n">
        <v>-0.49</v>
      </c>
      <c r="Z230" s="35" t="n">
        <v>-10.305</v>
      </c>
      <c r="AA230" s="35" t="n">
        <v>0.352</v>
      </c>
      <c r="AB230" s="35" t="n">
        <v>0</v>
      </c>
      <c r="AC230" s="35" t="n">
        <v>-10.443</v>
      </c>
      <c r="AD230" s="35" t="n">
        <v>-13.673</v>
      </c>
      <c r="AE230" s="35" t="n">
        <v>-31.395</v>
      </c>
      <c r="AF230" s="35" t="n">
        <v>-2.699</v>
      </c>
      <c r="AG230" s="35" t="n">
        <v>-0.001</v>
      </c>
      <c r="AH230" s="35" t="n">
        <v>-47.768</v>
      </c>
      <c r="AI230" s="35" t="n">
        <v>-340.074</v>
      </c>
      <c r="AJ230" s="35" t="n">
        <v>0</v>
      </c>
      <c r="AK230" s="35" t="n">
        <v>0</v>
      </c>
      <c r="AL230" s="35" t="n">
        <v>-78.295</v>
      </c>
      <c r="AM230" s="35" t="n">
        <v>-418.369</v>
      </c>
      <c r="AN230" s="35" t="n">
        <v>0</v>
      </c>
      <c r="AO230" s="35" t="n">
        <v>-13.721</v>
      </c>
      <c r="AP230" s="35" t="n">
        <v>0</v>
      </c>
      <c r="AQ230" s="35" t="n">
        <v>-423.835</v>
      </c>
      <c r="AR230" s="35" t="n">
        <v>-437.556</v>
      </c>
      <c r="AS230" s="35" t="n">
        <v>-0.432</v>
      </c>
      <c r="AT230" s="35" t="n">
        <v>-184.07</v>
      </c>
      <c r="AU230" s="35" t="n">
        <v>-7.5</v>
      </c>
      <c r="AV230" s="35" t="n">
        <v>-234.073</v>
      </c>
      <c r="AW230" s="35" t="n">
        <v>-426.075</v>
      </c>
      <c r="AX230" s="35" t="n">
        <v>-0.442</v>
      </c>
      <c r="AY230" s="35" t="n">
        <v>-147.833</v>
      </c>
      <c r="AZ230" s="35" t="n">
        <v>-4.319</v>
      </c>
      <c r="BA230" s="35" t="n">
        <v>-40.377</v>
      </c>
      <c r="BB230" s="35" t="n">
        <v>-192.971</v>
      </c>
      <c r="BC230" s="35" t="n">
        <v>0</v>
      </c>
      <c r="BD230" s="35" t="n">
        <v>-6.331</v>
      </c>
      <c r="BE230" s="35" t="n">
        <v>0</v>
      </c>
      <c r="BF230" s="35" t="n">
        <v>0.058</v>
      </c>
      <c r="BG230" s="35" t="n">
        <v>-6.273</v>
      </c>
      <c r="BH230" s="35" t="n">
        <v>0</v>
      </c>
      <c r="BI230" s="35" t="n">
        <v>0</v>
      </c>
      <c r="BJ230" s="35" t="n">
        <v>0</v>
      </c>
      <c r="BK230" s="35" t="n">
        <v>-99.6</v>
      </c>
      <c r="BL230" s="35" t="n">
        <v>-99.6</v>
      </c>
      <c r="BM230" s="35" t="n">
        <v>0</v>
      </c>
      <c r="BN230" s="35" t="n">
        <v>-5.1</v>
      </c>
      <c r="BO230" s="35" t="n">
        <v>0</v>
      </c>
      <c r="BP230" s="35" t="n">
        <v>-271.6</v>
      </c>
      <c r="BQ230" s="35" t="n">
        <v>-276.7</v>
      </c>
      <c r="BR230" s="35" t="n">
        <v>-750.1</v>
      </c>
      <c r="BS230" s="35" t="n">
        <v>0</v>
      </c>
      <c r="BT230" s="35" t="n">
        <v>-1597.1</v>
      </c>
      <c r="BU230" s="35" t="n">
        <v>0.2</v>
      </c>
      <c r="BV230" s="35" t="n">
        <v>-2347</v>
      </c>
      <c r="BW230" s="35" t="n">
        <v>0</v>
      </c>
      <c r="BX230" s="35" t="n">
        <v>0</v>
      </c>
      <c r="BY230" s="36"/>
      <c r="BZ230" s="36"/>
      <c r="CA230" s="36" t="n">
        <f aca="false">(BW230+BX230)-(CA318-CA319)</f>
        <v>-795</v>
      </c>
      <c r="CB230" s="36" t="n">
        <f aca="false">-CB67</f>
        <v>-0</v>
      </c>
      <c r="CC230" s="36" t="n">
        <f aca="false">-CC67</f>
        <v>-0</v>
      </c>
      <c r="CD230" s="36" t="n">
        <f aca="false">-CD67</f>
        <v>-0</v>
      </c>
      <c r="CE230" s="36" t="n">
        <f aca="false">-CE67</f>
        <v>-0</v>
      </c>
      <c r="CF230" s="28" t="s">
        <v>438</v>
      </c>
    </row>
    <row r="231" customFormat="false" ht="15" hidden="false" customHeight="true" outlineLevel="0" collapsed="false">
      <c r="B231" s="29" t="s">
        <v>439</v>
      </c>
      <c r="C231" s="35" t="n">
        <v>-13.647</v>
      </c>
      <c r="D231" s="35" t="n">
        <v>-9.323</v>
      </c>
      <c r="E231" s="35" t="n">
        <v>59.11</v>
      </c>
      <c r="F231" s="35" t="n">
        <v>17.159</v>
      </c>
      <c r="G231" s="35" t="n">
        <v>16.854</v>
      </c>
      <c r="H231" s="35" t="n">
        <v>88.464</v>
      </c>
      <c r="I231" s="35" t="n">
        <v>15.365</v>
      </c>
      <c r="J231" s="35" t="n">
        <v>0.083</v>
      </c>
      <c r="K231" s="35" t="n">
        <v>-0.005</v>
      </c>
      <c r="L231" s="35" t="n">
        <v>0.009</v>
      </c>
      <c r="M231" s="35" t="n">
        <v>-0.011</v>
      </c>
      <c r="N231" s="35" t="n">
        <v>0.076</v>
      </c>
      <c r="O231" s="35" t="n">
        <v>0</v>
      </c>
      <c r="P231" s="35" t="n">
        <v>0.55</v>
      </c>
      <c r="Q231" s="35" t="n">
        <v>0.6</v>
      </c>
      <c r="R231" s="35" t="n">
        <v>4.525</v>
      </c>
      <c r="S231" s="35" t="n">
        <v>5.675</v>
      </c>
      <c r="T231" s="35" t="n">
        <v>0.65</v>
      </c>
      <c r="U231" s="35" t="n">
        <v>0.7</v>
      </c>
      <c r="V231" s="35" t="n">
        <v>0.55</v>
      </c>
      <c r="W231" s="35" t="n">
        <v>0</v>
      </c>
      <c r="X231" s="35" t="n">
        <v>1.9</v>
      </c>
      <c r="Y231" s="35" t="n">
        <v>4.7</v>
      </c>
      <c r="Z231" s="35" t="n">
        <v>0</v>
      </c>
      <c r="AA231" s="35" t="n">
        <v>0</v>
      </c>
      <c r="AB231" s="35" t="n">
        <v>1.25</v>
      </c>
      <c r="AC231" s="35" t="n">
        <v>5.95</v>
      </c>
      <c r="AD231" s="35" t="n">
        <v>0</v>
      </c>
      <c r="AE231" s="35" t="n">
        <v>0</v>
      </c>
      <c r="AF231" s="35" t="n">
        <v>0</v>
      </c>
      <c r="AG231" s="35" t="n">
        <v>0</v>
      </c>
      <c r="AH231" s="35" t="n">
        <v>0</v>
      </c>
      <c r="AI231" s="35" t="n">
        <v>0</v>
      </c>
      <c r="AJ231" s="35" t="n">
        <v>0</v>
      </c>
      <c r="AK231" s="35" t="n">
        <v>0</v>
      </c>
      <c r="AL231" s="35" t="n">
        <v>0</v>
      </c>
      <c r="AM231" s="35" t="n">
        <v>0</v>
      </c>
      <c r="AN231" s="35" t="n">
        <v>0</v>
      </c>
      <c r="AO231" s="35" t="n">
        <v>0</v>
      </c>
      <c r="AP231" s="35" t="n">
        <v>0</v>
      </c>
      <c r="AQ231" s="35" t="n">
        <v>0</v>
      </c>
      <c r="AR231" s="34"/>
      <c r="AS231" s="35" t="n">
        <v>10.259</v>
      </c>
      <c r="AT231" s="35" t="n">
        <v>0</v>
      </c>
      <c r="AU231" s="35" t="n">
        <v>0</v>
      </c>
      <c r="AV231" s="35" t="n">
        <v>0</v>
      </c>
      <c r="AW231" s="35" t="n">
        <v>10.259</v>
      </c>
      <c r="AX231" s="35" t="n">
        <v>0</v>
      </c>
      <c r="AY231" s="35" t="n">
        <v>0.201</v>
      </c>
      <c r="AZ231" s="35" t="n">
        <v>0.044</v>
      </c>
      <c r="BA231" s="35" t="n">
        <v>0.367</v>
      </c>
      <c r="BB231" s="35" t="n">
        <v>0.612</v>
      </c>
      <c r="BC231" s="35" t="n">
        <v>0.015</v>
      </c>
      <c r="BD231" s="35" t="n">
        <v>5.019</v>
      </c>
      <c r="BE231" s="35" t="n">
        <v>0</v>
      </c>
      <c r="BF231" s="35" t="n">
        <v>25.927</v>
      </c>
      <c r="BG231" s="35" t="n">
        <v>30.961</v>
      </c>
      <c r="BH231" s="35" t="n">
        <v>0</v>
      </c>
      <c r="BI231" s="35" t="n">
        <v>0</v>
      </c>
      <c r="BJ231" s="35" t="n">
        <v>0</v>
      </c>
      <c r="BK231" s="35" t="n">
        <v>3.8</v>
      </c>
      <c r="BL231" s="35" t="n">
        <v>3.8</v>
      </c>
      <c r="BM231" s="35" t="n">
        <v>0</v>
      </c>
      <c r="BN231" s="35" t="n">
        <v>0</v>
      </c>
      <c r="BO231" s="35" t="n">
        <v>1.4</v>
      </c>
      <c r="BP231" s="35" t="n">
        <v>0.3</v>
      </c>
      <c r="BQ231" s="35" t="n">
        <v>1.7</v>
      </c>
      <c r="BR231" s="35" t="n">
        <v>-81.3</v>
      </c>
      <c r="BS231" s="35" t="n">
        <v>0.7</v>
      </c>
      <c r="BT231" s="35" t="n">
        <v>0.5</v>
      </c>
      <c r="BU231" s="35" t="n">
        <v>0.1</v>
      </c>
      <c r="BV231" s="35" t="n">
        <v>-80</v>
      </c>
      <c r="BW231" s="35" t="n">
        <v>0</v>
      </c>
      <c r="BX231" s="35" t="n">
        <v>2</v>
      </c>
      <c r="BY231" s="36"/>
      <c r="BZ231" s="36"/>
      <c r="CA231" s="36" t="n">
        <f aca="false">(BW231+BX231)</f>
        <v>2</v>
      </c>
      <c r="CB231" s="44" t="n">
        <v>0</v>
      </c>
      <c r="CC231" s="44" t="n">
        <v>0</v>
      </c>
      <c r="CD231" s="44" t="n">
        <v>0</v>
      </c>
      <c r="CE231" s="44" t="n">
        <v>0</v>
      </c>
      <c r="CF231" s="28"/>
    </row>
    <row r="232" customFormat="false" ht="15" hidden="false" customHeight="true" outlineLevel="0" collapsed="false">
      <c r="B232" s="17" t="s">
        <v>440</v>
      </c>
      <c r="C232" s="19" t="n">
        <v>-28.493</v>
      </c>
      <c r="D232" s="19" t="n">
        <v>-40.331</v>
      </c>
      <c r="E232" s="19" t="n">
        <v>52.43</v>
      </c>
      <c r="F232" s="19" t="n">
        <v>4.532</v>
      </c>
      <c r="G232" s="19" t="n">
        <v>-40.504</v>
      </c>
      <c r="H232" s="19" t="n">
        <v>58.366</v>
      </c>
      <c r="I232" s="19" t="n">
        <v>-640.398</v>
      </c>
      <c r="J232" s="19" t="n">
        <v>-4.56</v>
      </c>
      <c r="K232" s="19" t="n">
        <v>-4.274</v>
      </c>
      <c r="L232" s="19" t="n">
        <v>-6.41</v>
      </c>
      <c r="M232" s="19" t="n">
        <v>-3.722</v>
      </c>
      <c r="N232" s="19" t="n">
        <v>-18.966</v>
      </c>
      <c r="O232" s="19" t="n">
        <v>-4.149</v>
      </c>
      <c r="P232" s="19" t="n">
        <v>-590.956</v>
      </c>
      <c r="Q232" s="19" t="n">
        <v>-8.828</v>
      </c>
      <c r="R232" s="19" t="n">
        <v>-2.054</v>
      </c>
      <c r="S232" s="19" t="n">
        <v>-605.987</v>
      </c>
      <c r="T232" s="19" t="n">
        <v>-11.094</v>
      </c>
      <c r="U232" s="19" t="n">
        <v>-178.153</v>
      </c>
      <c r="V232" s="19" t="n">
        <v>-14.282</v>
      </c>
      <c r="W232" s="19" t="n">
        <v>-11.973</v>
      </c>
      <c r="X232" s="19" t="n">
        <v>-215.502</v>
      </c>
      <c r="Y232" s="19" t="n">
        <v>0.416</v>
      </c>
      <c r="Z232" s="19" t="n">
        <v>-13.905</v>
      </c>
      <c r="AA232" s="19" t="n">
        <v>-3.946</v>
      </c>
      <c r="AB232" s="19" t="n">
        <v>-5.824</v>
      </c>
      <c r="AC232" s="19" t="n">
        <v>-23.259</v>
      </c>
      <c r="AD232" s="19" t="n">
        <v>-19.819</v>
      </c>
      <c r="AE232" s="19" t="n">
        <v>-37.923</v>
      </c>
      <c r="AF232" s="19" t="n">
        <v>-9.779</v>
      </c>
      <c r="AG232" s="19" t="n">
        <v>-4.746</v>
      </c>
      <c r="AH232" s="19" t="n">
        <v>-72.267</v>
      </c>
      <c r="AI232" s="19" t="n">
        <v>-348.691</v>
      </c>
      <c r="AJ232" s="19" t="n">
        <v>-7.234</v>
      </c>
      <c r="AK232" s="19" t="n">
        <v>-5.95</v>
      </c>
      <c r="AL232" s="19" t="n">
        <v>-86.126</v>
      </c>
      <c r="AM232" s="19" t="n">
        <v>-448.001</v>
      </c>
      <c r="AN232" s="19" t="n">
        <v>-9.429</v>
      </c>
      <c r="AO232" s="19" t="n">
        <v>-18.679</v>
      </c>
      <c r="AP232" s="19" t="n">
        <v>-29.775</v>
      </c>
      <c r="AQ232" s="19" t="n">
        <v>-425.87</v>
      </c>
      <c r="AR232" s="19" t="n">
        <v>-483.753</v>
      </c>
      <c r="AS232" s="19" t="n">
        <v>2.694</v>
      </c>
      <c r="AT232" s="19" t="n">
        <v>-189.719</v>
      </c>
      <c r="AU232" s="19" t="n">
        <v>-36.855</v>
      </c>
      <c r="AV232" s="19" t="n">
        <v>-240.283</v>
      </c>
      <c r="AW232" s="19" t="n">
        <v>-464.163</v>
      </c>
      <c r="AX232" s="19" t="n">
        <v>-134.32</v>
      </c>
      <c r="AY232" s="19" t="n">
        <v>-150.47</v>
      </c>
      <c r="AZ232" s="19" t="n">
        <v>-12.715</v>
      </c>
      <c r="BA232" s="19" t="n">
        <v>-83.838</v>
      </c>
      <c r="BB232" s="19" t="n">
        <v>-381.343</v>
      </c>
      <c r="BC232" s="19" t="n">
        <v>-12.401</v>
      </c>
      <c r="BD232" s="19" t="n">
        <v>-45.306</v>
      </c>
      <c r="BE232" s="19" t="n">
        <v>-18.779</v>
      </c>
      <c r="BF232" s="19" t="n">
        <v>7.431</v>
      </c>
      <c r="BG232" s="19" t="n">
        <v>-69.055</v>
      </c>
      <c r="BH232" s="19" t="n">
        <v>-19.63</v>
      </c>
      <c r="BI232" s="19" t="n">
        <v>-34.792</v>
      </c>
      <c r="BJ232" s="19" t="n">
        <v>-21.53</v>
      </c>
      <c r="BK232" s="19" t="n">
        <v>-162.648</v>
      </c>
      <c r="BL232" s="19" t="n">
        <v>-238.6</v>
      </c>
      <c r="BM232" s="19" t="n">
        <v>-380.3</v>
      </c>
      <c r="BN232" s="19" t="n">
        <v>-97.3</v>
      </c>
      <c r="BO232" s="19" t="n">
        <v>-85.2</v>
      </c>
      <c r="BP232" s="19" t="n">
        <v>-350.1</v>
      </c>
      <c r="BQ232" s="19" t="n">
        <v>-912.9</v>
      </c>
      <c r="BR232" s="19" t="n">
        <v>-910.6</v>
      </c>
      <c r="BS232" s="19" t="n">
        <v>-150.8</v>
      </c>
      <c r="BT232" s="19" t="n">
        <v>-1688.4</v>
      </c>
      <c r="BU232" s="19" t="n">
        <v>-66.2</v>
      </c>
      <c r="BV232" s="19" t="n">
        <v>-2816</v>
      </c>
      <c r="BW232" s="19" t="n">
        <v>-54</v>
      </c>
      <c r="BX232" s="19" t="n">
        <v>-56</v>
      </c>
      <c r="BY232" s="20"/>
      <c r="BZ232" s="20"/>
      <c r="CA232" s="20" t="n">
        <f aca="false">SUM(CA228:CA231)</f>
        <v>-996.513240304949</v>
      </c>
      <c r="CB232" s="20" t="n">
        <f aca="false">SUM(CB228:CB231)</f>
        <v>-166.497998070325</v>
      </c>
      <c r="CC232" s="20" t="n">
        <f aca="false">SUM(CC228:CC231)</f>
        <v>-135.017582510714</v>
      </c>
      <c r="CD232" s="20" t="n">
        <f aca="false">SUM(CD228:CD231)</f>
        <v>-123.701303358754</v>
      </c>
      <c r="CE232" s="20" t="n">
        <f aca="false">SUM(CE228:CE231)</f>
        <v>-132.429890056571</v>
      </c>
      <c r="CF232" s="21"/>
    </row>
    <row r="233" customFormat="false" ht="15" hidden="false" customHeight="true" outlineLevel="0" collapsed="false">
      <c r="B233" s="29" t="s">
        <v>441</v>
      </c>
      <c r="C233" s="34"/>
      <c r="D233" s="34"/>
      <c r="E233" s="34"/>
      <c r="F233" s="34"/>
      <c r="G233" s="34"/>
      <c r="H233" s="34"/>
      <c r="I233" s="35" t="n">
        <v>175</v>
      </c>
      <c r="J233" s="35" t="n">
        <v>0</v>
      </c>
      <c r="K233" s="35" t="n">
        <v>0</v>
      </c>
      <c r="L233" s="35" t="n">
        <v>0</v>
      </c>
      <c r="M233" s="35" t="n">
        <v>0</v>
      </c>
      <c r="N233" s="35" t="n">
        <v>0</v>
      </c>
      <c r="O233" s="35" t="n">
        <v>0</v>
      </c>
      <c r="P233" s="35" t="n">
        <v>550</v>
      </c>
      <c r="Q233" s="35" t="n">
        <v>0</v>
      </c>
      <c r="R233" s="35" t="n">
        <v>0</v>
      </c>
      <c r="S233" s="35" t="n">
        <v>550</v>
      </c>
      <c r="T233" s="35" t="n">
        <v>0</v>
      </c>
      <c r="U233" s="35" t="n">
        <v>0</v>
      </c>
      <c r="V233" s="35" t="n">
        <v>0</v>
      </c>
      <c r="W233" s="35" t="n">
        <v>0</v>
      </c>
      <c r="X233" s="35" t="n">
        <v>0</v>
      </c>
      <c r="Y233" s="35" t="n">
        <v>0</v>
      </c>
      <c r="Z233" s="35" t="n">
        <v>0</v>
      </c>
      <c r="AA233" s="35" t="n">
        <v>0</v>
      </c>
      <c r="AB233" s="35" t="n">
        <v>0</v>
      </c>
      <c r="AC233" s="35" t="n">
        <v>0</v>
      </c>
      <c r="AD233" s="35" t="n">
        <v>0</v>
      </c>
      <c r="AE233" s="35" t="n">
        <v>0</v>
      </c>
      <c r="AF233" s="35" t="n">
        <v>0</v>
      </c>
      <c r="AG233" s="35" t="n">
        <v>0</v>
      </c>
      <c r="AH233" s="34"/>
      <c r="AI233" s="35" t="n">
        <v>0</v>
      </c>
      <c r="AJ233" s="35" t="n">
        <v>0</v>
      </c>
      <c r="AK233" s="35" t="n">
        <v>0</v>
      </c>
      <c r="AL233" s="35" t="n">
        <v>0</v>
      </c>
      <c r="AM233" s="34"/>
      <c r="AN233" s="35" t="n">
        <v>0</v>
      </c>
      <c r="AO233" s="35" t="n">
        <v>0</v>
      </c>
      <c r="AP233" s="35" t="n">
        <v>0</v>
      </c>
      <c r="AQ233" s="35" t="n">
        <v>0</v>
      </c>
      <c r="AR233" s="34"/>
      <c r="AS233" s="35" t="n">
        <v>745</v>
      </c>
      <c r="AT233" s="35" t="n">
        <v>0</v>
      </c>
      <c r="AU233" s="35" t="n">
        <v>999.21</v>
      </c>
      <c r="AV233" s="35" t="n">
        <v>0</v>
      </c>
      <c r="AW233" s="35" t="n">
        <v>1744.21</v>
      </c>
      <c r="AX233" s="35" t="n">
        <v>0</v>
      </c>
      <c r="AY233" s="35" t="n">
        <v>0</v>
      </c>
      <c r="AZ233" s="35" t="n">
        <v>0</v>
      </c>
      <c r="BA233" s="35" t="n">
        <v>0</v>
      </c>
      <c r="BB233" s="35" t="n">
        <v>0</v>
      </c>
      <c r="BC233" s="35" t="n">
        <v>0</v>
      </c>
      <c r="BD233" s="35" t="n">
        <v>0</v>
      </c>
      <c r="BE233" s="35" t="n">
        <v>0</v>
      </c>
      <c r="BF233" s="35" t="n">
        <v>0</v>
      </c>
      <c r="BG233" s="35" t="n">
        <v>0</v>
      </c>
      <c r="BH233" s="35" t="n">
        <v>0</v>
      </c>
      <c r="BI233" s="35" t="n">
        <v>0</v>
      </c>
      <c r="BJ233" s="35" t="n">
        <v>0</v>
      </c>
      <c r="BK233" s="35" t="n">
        <v>0</v>
      </c>
      <c r="BL233" s="34"/>
      <c r="BM233" s="35" t="n">
        <v>0</v>
      </c>
      <c r="BN233" s="35" t="n">
        <v>0</v>
      </c>
      <c r="BO233" s="35" t="n">
        <v>0</v>
      </c>
      <c r="BP233" s="35" t="n">
        <v>0</v>
      </c>
      <c r="BQ233" s="34"/>
      <c r="BR233" s="35" t="n">
        <v>0</v>
      </c>
      <c r="BS233" s="35" t="n">
        <v>0</v>
      </c>
      <c r="BT233" s="35" t="n">
        <v>0</v>
      </c>
      <c r="BU233" s="35" t="n">
        <v>0</v>
      </c>
      <c r="BV233" s="34"/>
      <c r="BW233" s="35" t="n">
        <v>0</v>
      </c>
      <c r="BX233" s="35" t="n">
        <v>0</v>
      </c>
      <c r="BY233" s="36"/>
      <c r="BZ233" s="36"/>
      <c r="CA233" s="36" t="n">
        <f aca="false">(BW233+BX233)+CA339+MAX(0,CA343-BX343)</f>
        <v>0</v>
      </c>
      <c r="CB233" s="36" t="n">
        <f aca="false">CB339+MAX(0,CB343-CA343)</f>
        <v>0</v>
      </c>
      <c r="CC233" s="36" t="n">
        <f aca="false">CC339+MAX(0,CC343-CB343)</f>
        <v>23.8375527960728</v>
      </c>
      <c r="CD233" s="36" t="n">
        <f aca="false">CD339+MAX(0,CD343-CC343)</f>
        <v>130.422154930222</v>
      </c>
      <c r="CE233" s="36" t="n">
        <f aca="false">CE339+MAX(0,CE343-CD343)</f>
        <v>1143.15307990443</v>
      </c>
      <c r="CF233" s="28"/>
    </row>
    <row r="234" customFormat="false" ht="15" hidden="false" customHeight="true" outlineLevel="0" collapsed="false">
      <c r="B234" s="29" t="s">
        <v>442</v>
      </c>
      <c r="C234" s="34"/>
      <c r="D234" s="34"/>
      <c r="E234" s="34"/>
      <c r="F234" s="34"/>
      <c r="G234" s="34"/>
      <c r="H234" s="34"/>
      <c r="I234" s="35" t="n">
        <v>-4.375</v>
      </c>
      <c r="J234" s="35" t="n">
        <v>-4.375</v>
      </c>
      <c r="K234" s="35" t="n">
        <v>-4.375</v>
      </c>
      <c r="L234" s="35" t="n">
        <v>-4.375</v>
      </c>
      <c r="M234" s="35" t="n">
        <v>-4.375</v>
      </c>
      <c r="N234" s="35" t="n">
        <v>-17.5</v>
      </c>
      <c r="O234" s="35" t="n">
        <v>-4.375</v>
      </c>
      <c r="P234" s="35" t="n">
        <v>-303.75</v>
      </c>
      <c r="Q234" s="35" t="n">
        <v>-5</v>
      </c>
      <c r="R234" s="35" t="n">
        <v>-5</v>
      </c>
      <c r="S234" s="35" t="n">
        <v>-318.125</v>
      </c>
      <c r="T234" s="35" t="n">
        <v>-5</v>
      </c>
      <c r="U234" s="35" t="n">
        <v>-5</v>
      </c>
      <c r="V234" s="35" t="n">
        <v>-5</v>
      </c>
      <c r="W234" s="35" t="n">
        <v>-5</v>
      </c>
      <c r="X234" s="35" t="n">
        <v>-20</v>
      </c>
      <c r="Y234" s="35" t="n">
        <v>-5</v>
      </c>
      <c r="Z234" s="35" t="n">
        <v>-15</v>
      </c>
      <c r="AA234" s="35" t="n">
        <v>0</v>
      </c>
      <c r="AB234" s="35" t="n">
        <v>0</v>
      </c>
      <c r="AC234" s="35" t="n">
        <v>-20</v>
      </c>
      <c r="AD234" s="35" t="n">
        <v>-35</v>
      </c>
      <c r="AE234" s="35" t="n">
        <v>0</v>
      </c>
      <c r="AF234" s="35" t="n">
        <v>0</v>
      </c>
      <c r="AG234" s="35" t="n">
        <v>-310</v>
      </c>
      <c r="AH234" s="35" t="n">
        <v>-345</v>
      </c>
      <c r="AI234" s="35" t="n">
        <v>0</v>
      </c>
      <c r="AJ234" s="35" t="n">
        <v>0</v>
      </c>
      <c r="AK234" s="35" t="n">
        <v>0</v>
      </c>
      <c r="AL234" s="35" t="n">
        <v>0</v>
      </c>
      <c r="AM234" s="35" t="n">
        <v>0</v>
      </c>
      <c r="AN234" s="35" t="n">
        <v>0</v>
      </c>
      <c r="AO234" s="35" t="n">
        <v>0</v>
      </c>
      <c r="AP234" s="35" t="n">
        <v>0</v>
      </c>
      <c r="AQ234" s="35" t="n">
        <v>0</v>
      </c>
      <c r="AR234" s="35" t="n">
        <v>0</v>
      </c>
      <c r="AS234" s="35" t="n">
        <v>0</v>
      </c>
      <c r="AT234" s="35" t="n">
        <v>0</v>
      </c>
      <c r="AU234" s="35" t="n">
        <v>-745</v>
      </c>
      <c r="AV234" s="35" t="n">
        <v>0</v>
      </c>
      <c r="AW234" s="35" t="n">
        <v>-745</v>
      </c>
      <c r="AX234" s="35" t="n">
        <v>0</v>
      </c>
      <c r="AY234" s="35" t="n">
        <v>0</v>
      </c>
      <c r="AZ234" s="35" t="n">
        <v>0</v>
      </c>
      <c r="BA234" s="35" t="n">
        <v>0</v>
      </c>
      <c r="BB234" s="35" t="n">
        <v>0</v>
      </c>
      <c r="BC234" s="35" t="n">
        <v>0</v>
      </c>
      <c r="BD234" s="35" t="n">
        <v>-2.155</v>
      </c>
      <c r="BE234" s="35" t="n">
        <v>0</v>
      </c>
      <c r="BF234" s="35" t="n">
        <v>0</v>
      </c>
      <c r="BG234" s="35" t="n">
        <v>-2.155</v>
      </c>
      <c r="BH234" s="35" t="n">
        <v>0</v>
      </c>
      <c r="BI234" s="35" t="n">
        <v>0</v>
      </c>
      <c r="BJ234" s="35" t="n">
        <v>0</v>
      </c>
      <c r="BK234" s="35" t="n">
        <v>0</v>
      </c>
      <c r="BL234" s="35" t="n">
        <v>0</v>
      </c>
      <c r="BM234" s="35" t="n">
        <v>0</v>
      </c>
      <c r="BN234" s="35" t="n">
        <v>0</v>
      </c>
      <c r="BO234" s="35" t="n">
        <v>0</v>
      </c>
      <c r="BP234" s="35" t="n">
        <v>0</v>
      </c>
      <c r="BQ234" s="35" t="n">
        <v>0</v>
      </c>
      <c r="BR234" s="35" t="n">
        <v>0</v>
      </c>
      <c r="BS234" s="35" t="n">
        <v>0</v>
      </c>
      <c r="BT234" s="35" t="n">
        <v>0</v>
      </c>
      <c r="BU234" s="35" t="n">
        <v>0</v>
      </c>
      <c r="BV234" s="34"/>
      <c r="BW234" s="35" t="n">
        <v>0</v>
      </c>
      <c r="BX234" s="35" t="n">
        <v>0</v>
      </c>
      <c r="BY234" s="36"/>
      <c r="BZ234" s="36"/>
      <c r="CA234" s="36" t="n">
        <f aca="false">(BW234+BX234)+CA337+MIN(0,CA343-BX343)</f>
        <v>0</v>
      </c>
      <c r="CB234" s="36" t="n">
        <f aca="false">CB337+MIN(0,CB343-CA343)</f>
        <v>0</v>
      </c>
      <c r="CC234" s="36" t="n">
        <f aca="false">CC337+MIN(0,CC343-CB343)</f>
        <v>0</v>
      </c>
      <c r="CD234" s="36" t="n">
        <f aca="false">CD337+MIN(0,CD343-CC343)</f>
        <v>0</v>
      </c>
      <c r="CE234" s="36" t="n">
        <f aca="false">CE337+MIN(0,CE343-CD343)</f>
        <v>-1000</v>
      </c>
      <c r="CF234" s="28" t="s">
        <v>443</v>
      </c>
    </row>
    <row r="235" customFormat="false" ht="15" hidden="false" customHeight="true" outlineLevel="0" collapsed="false">
      <c r="B235" s="29" t="s">
        <v>444</v>
      </c>
      <c r="C235" s="34"/>
      <c r="D235" s="34"/>
      <c r="E235" s="34"/>
      <c r="F235" s="34"/>
      <c r="G235" s="34"/>
      <c r="H235" s="35" t="n">
        <v>247.924</v>
      </c>
      <c r="I235" s="35" t="n">
        <v>0</v>
      </c>
      <c r="J235" s="35" t="n">
        <v>0</v>
      </c>
      <c r="K235" s="35" t="n">
        <v>0</v>
      </c>
      <c r="L235" s="35" t="n">
        <v>0</v>
      </c>
      <c r="M235" s="35" t="n">
        <v>0</v>
      </c>
      <c r="N235" s="35" t="n">
        <v>0</v>
      </c>
      <c r="O235" s="35" t="n">
        <v>0</v>
      </c>
      <c r="P235" s="35" t="n">
        <v>529.36</v>
      </c>
      <c r="Q235" s="35" t="n">
        <v>0</v>
      </c>
      <c r="R235" s="35" t="n">
        <v>0</v>
      </c>
      <c r="S235" s="35" t="n">
        <v>529.36</v>
      </c>
      <c r="T235" s="35" t="n">
        <v>0</v>
      </c>
      <c r="U235" s="35" t="n">
        <v>0</v>
      </c>
      <c r="V235" s="35" t="n">
        <v>0</v>
      </c>
      <c r="W235" s="35" t="n">
        <v>0</v>
      </c>
      <c r="X235" s="35" t="n">
        <v>0</v>
      </c>
      <c r="Y235" s="35" t="n">
        <v>0</v>
      </c>
      <c r="Z235" s="35" t="n">
        <v>0</v>
      </c>
      <c r="AA235" s="35" t="n">
        <v>0</v>
      </c>
      <c r="AB235" s="35" t="n">
        <v>0</v>
      </c>
      <c r="AC235" s="35" t="n">
        <v>0</v>
      </c>
      <c r="AD235" s="35" t="n">
        <v>0</v>
      </c>
      <c r="AE235" s="35" t="n">
        <v>0</v>
      </c>
      <c r="AF235" s="35" t="n">
        <v>0</v>
      </c>
      <c r="AG235" s="35" t="n">
        <v>833.911</v>
      </c>
      <c r="AH235" s="35" t="n">
        <v>833.911</v>
      </c>
      <c r="AI235" s="35" t="n">
        <v>0</v>
      </c>
      <c r="AJ235" s="35" t="n">
        <v>0</v>
      </c>
      <c r="AK235" s="35" t="n">
        <v>0</v>
      </c>
      <c r="AL235" s="35" t="n">
        <v>0</v>
      </c>
      <c r="AM235" s="35" t="n">
        <v>0</v>
      </c>
      <c r="AN235" s="35" t="n">
        <v>0</v>
      </c>
      <c r="AO235" s="35" t="n">
        <v>0</v>
      </c>
      <c r="AP235" s="35" t="n">
        <v>0</v>
      </c>
      <c r="AQ235" s="35" t="n">
        <v>0</v>
      </c>
      <c r="AR235" s="35" t="n">
        <v>0</v>
      </c>
      <c r="AS235" s="35" t="n">
        <v>0</v>
      </c>
      <c r="AT235" s="35" t="n">
        <v>1690.148</v>
      </c>
      <c r="AU235" s="35" t="n">
        <v>-0.177</v>
      </c>
      <c r="AV235" s="35" t="n">
        <v>0</v>
      </c>
      <c r="AW235" s="35" t="n">
        <v>1689.971</v>
      </c>
      <c r="AX235" s="35" t="n">
        <v>0</v>
      </c>
      <c r="AY235" s="35" t="n">
        <v>0</v>
      </c>
      <c r="AZ235" s="35" t="n">
        <v>0</v>
      </c>
      <c r="BA235" s="35" t="n">
        <v>0</v>
      </c>
      <c r="BB235" s="35" t="n">
        <v>0</v>
      </c>
      <c r="BC235" s="35" t="n">
        <v>0</v>
      </c>
      <c r="BD235" s="35" t="n">
        <v>0</v>
      </c>
      <c r="BE235" s="35" t="n">
        <v>746.17</v>
      </c>
      <c r="BF235" s="35" t="n">
        <v>-0.47</v>
      </c>
      <c r="BG235" s="35" t="n">
        <v>745.7</v>
      </c>
      <c r="BH235" s="35" t="n">
        <v>0</v>
      </c>
      <c r="BI235" s="35" t="n">
        <v>0</v>
      </c>
      <c r="BJ235" s="35" t="n">
        <v>0</v>
      </c>
      <c r="BK235" s="35" t="n">
        <v>0</v>
      </c>
      <c r="BL235" s="35" t="n">
        <v>0</v>
      </c>
      <c r="BM235" s="35" t="n">
        <v>0</v>
      </c>
      <c r="BN235" s="35" t="n">
        <v>0</v>
      </c>
      <c r="BO235" s="35" t="n">
        <v>0</v>
      </c>
      <c r="BP235" s="35" t="n">
        <v>0</v>
      </c>
      <c r="BQ235" s="35" t="n">
        <v>0</v>
      </c>
      <c r="BR235" s="35" t="n">
        <v>0</v>
      </c>
      <c r="BS235" s="35" t="n">
        <v>0</v>
      </c>
      <c r="BT235" s="35" t="n">
        <v>0</v>
      </c>
      <c r="BU235" s="35" t="n">
        <v>0</v>
      </c>
      <c r="BV235" s="34"/>
      <c r="BW235" s="35" t="n">
        <v>0</v>
      </c>
      <c r="BX235" s="35" t="n">
        <v>0</v>
      </c>
      <c r="BY235" s="36"/>
      <c r="BZ235" s="36"/>
      <c r="CA235" s="36" t="n">
        <f aca="false">(BW235+BX235)</f>
        <v>0</v>
      </c>
      <c r="CB235" s="44" t="n">
        <v>0</v>
      </c>
      <c r="CC235" s="44" t="n">
        <v>0</v>
      </c>
      <c r="CD235" s="44" t="n">
        <v>0</v>
      </c>
      <c r="CE235" s="44" t="n">
        <v>0</v>
      </c>
      <c r="CF235" s="28"/>
    </row>
    <row r="236" customFormat="false" ht="15" hidden="false" customHeight="true" outlineLevel="0" collapsed="false">
      <c r="B236" s="29" t="s">
        <v>445</v>
      </c>
      <c r="C236" s="34"/>
      <c r="D236" s="34"/>
      <c r="E236" s="34"/>
      <c r="F236" s="34"/>
      <c r="G236" s="34"/>
      <c r="H236" s="34"/>
      <c r="I236" s="34"/>
      <c r="J236" s="35" t="n">
        <v>0</v>
      </c>
      <c r="K236" s="35" t="n">
        <v>0</v>
      </c>
      <c r="L236" s="35" t="n">
        <v>0</v>
      </c>
      <c r="M236" s="35" t="n">
        <v>0</v>
      </c>
      <c r="N236" s="34"/>
      <c r="O236" s="35" t="n">
        <v>0</v>
      </c>
      <c r="P236" s="35" t="n">
        <v>0</v>
      </c>
      <c r="Q236" s="35" t="n">
        <v>0</v>
      </c>
      <c r="R236" s="35" t="n">
        <v>0</v>
      </c>
      <c r="S236" s="34"/>
      <c r="T236" s="35" t="n">
        <v>0</v>
      </c>
      <c r="U236" s="35" t="n">
        <v>0</v>
      </c>
      <c r="V236" s="35" t="n">
        <v>0</v>
      </c>
      <c r="W236" s="35" t="n">
        <v>0</v>
      </c>
      <c r="X236" s="34"/>
      <c r="Y236" s="35" t="n">
        <v>0</v>
      </c>
      <c r="Z236" s="35" t="n">
        <v>0</v>
      </c>
      <c r="AA236" s="35" t="n">
        <v>0</v>
      </c>
      <c r="AB236" s="35" t="n">
        <v>0</v>
      </c>
      <c r="AC236" s="34"/>
      <c r="AD236" s="35" t="n">
        <v>0</v>
      </c>
      <c r="AE236" s="35" t="n">
        <v>0</v>
      </c>
      <c r="AF236" s="35" t="n">
        <v>0</v>
      </c>
      <c r="AG236" s="35" t="n">
        <v>0</v>
      </c>
      <c r="AH236" s="34"/>
      <c r="AI236" s="35" t="n">
        <v>0</v>
      </c>
      <c r="AJ236" s="35" t="n">
        <v>0</v>
      </c>
      <c r="AK236" s="35" t="n">
        <v>0</v>
      </c>
      <c r="AL236" s="35" t="n">
        <v>0</v>
      </c>
      <c r="AM236" s="34"/>
      <c r="AN236" s="35" t="n">
        <v>0</v>
      </c>
      <c r="AO236" s="35" t="n">
        <v>0</v>
      </c>
      <c r="AP236" s="35" t="n">
        <v>0</v>
      </c>
      <c r="AQ236" s="35" t="n">
        <v>0</v>
      </c>
      <c r="AR236" s="34"/>
      <c r="AS236" s="35" t="n">
        <v>0</v>
      </c>
      <c r="AT236" s="35" t="n">
        <v>0</v>
      </c>
      <c r="AU236" s="35" t="n">
        <v>0</v>
      </c>
      <c r="AV236" s="35" t="n">
        <v>0</v>
      </c>
      <c r="AW236" s="34"/>
      <c r="AX236" s="35" t="n">
        <v>0</v>
      </c>
      <c r="AY236" s="35" t="n">
        <v>0</v>
      </c>
      <c r="AZ236" s="35" t="n">
        <v>0</v>
      </c>
      <c r="BA236" s="35" t="n">
        <v>0</v>
      </c>
      <c r="BB236" s="34"/>
      <c r="BC236" s="35" t="n">
        <v>0</v>
      </c>
      <c r="BD236" s="35" t="n">
        <v>0</v>
      </c>
      <c r="BE236" s="35" t="n">
        <v>0</v>
      </c>
      <c r="BF236" s="35" t="n">
        <v>0</v>
      </c>
      <c r="BG236" s="34"/>
      <c r="BH236" s="35" t="n">
        <v>0</v>
      </c>
      <c r="BI236" s="35" t="n">
        <v>0</v>
      </c>
      <c r="BJ236" s="35" t="n">
        <v>0</v>
      </c>
      <c r="BK236" s="35" t="n">
        <v>0</v>
      </c>
      <c r="BL236" s="34"/>
      <c r="BM236" s="35" t="n">
        <v>0</v>
      </c>
      <c r="BN236" s="35" t="n">
        <v>0</v>
      </c>
      <c r="BO236" s="35" t="n">
        <v>0</v>
      </c>
      <c r="BP236" s="35" t="n">
        <v>0</v>
      </c>
      <c r="BQ236" s="34"/>
      <c r="BR236" s="35" t="n">
        <v>-18.5</v>
      </c>
      <c r="BS236" s="35" t="n">
        <v>-45.3</v>
      </c>
      <c r="BT236" s="35" t="n">
        <v>-51.2</v>
      </c>
      <c r="BU236" s="35" t="n">
        <v>-385</v>
      </c>
      <c r="BV236" s="35" t="n">
        <v>-500</v>
      </c>
      <c r="BW236" s="35" t="n">
        <v>-505</v>
      </c>
      <c r="BX236" s="35" t="n">
        <v>-82</v>
      </c>
      <c r="BY236" s="36"/>
      <c r="BZ236" s="36"/>
      <c r="CA236" s="36" t="n">
        <f aca="false">(BW236+BX236)-CA259</f>
        <v>-700</v>
      </c>
      <c r="CB236" s="36" t="n">
        <f aca="false">-CB259</f>
        <v>-849.39881673517</v>
      </c>
      <c r="CC236" s="36" t="n">
        <f aca="false">-CC259</f>
        <v>-999.81928902603</v>
      </c>
      <c r="CD236" s="36" t="n">
        <f aca="false">-CD259</f>
        <v>-1216.56355181866</v>
      </c>
      <c r="CE236" s="36" t="n">
        <f aca="false">-CE259</f>
        <v>-1414.27061225815</v>
      </c>
      <c r="CF236" s="28" t="s">
        <v>446</v>
      </c>
    </row>
    <row r="237" customFormat="false" ht="15" hidden="false" customHeight="true" outlineLevel="0" collapsed="false">
      <c r="B237" s="29" t="s">
        <v>447</v>
      </c>
      <c r="C237" s="35" t="n">
        <v>5.582</v>
      </c>
      <c r="D237" s="35" t="n">
        <v>8.161</v>
      </c>
      <c r="E237" s="35" t="n">
        <v>11.475</v>
      </c>
      <c r="F237" s="35" t="n">
        <v>2.172</v>
      </c>
      <c r="G237" s="35" t="n">
        <v>2.042</v>
      </c>
      <c r="H237" s="35" t="n">
        <v>6.856</v>
      </c>
      <c r="I237" s="35" t="n">
        <v>5.862</v>
      </c>
      <c r="J237" s="35" t="n">
        <v>10.968</v>
      </c>
      <c r="K237" s="35" t="n">
        <v>0.487</v>
      </c>
      <c r="L237" s="35" t="n">
        <v>12.233</v>
      </c>
      <c r="M237" s="35" t="n">
        <v>5.561</v>
      </c>
      <c r="N237" s="35" t="n">
        <v>29.249</v>
      </c>
      <c r="O237" s="35" t="n">
        <v>-16.125</v>
      </c>
      <c r="P237" s="35" t="n">
        <v>-3.264</v>
      </c>
      <c r="Q237" s="35" t="n">
        <v>2.715</v>
      </c>
      <c r="R237" s="35" t="n">
        <v>0.265</v>
      </c>
      <c r="S237" s="35" t="n">
        <v>-16.409</v>
      </c>
      <c r="T237" s="35" t="n">
        <v>0.947</v>
      </c>
      <c r="U237" s="35" t="n">
        <v>-4.064</v>
      </c>
      <c r="V237" s="35" t="n">
        <v>0.621</v>
      </c>
      <c r="W237" s="35" t="n">
        <v>1.992</v>
      </c>
      <c r="X237" s="35" t="n">
        <v>-0.504</v>
      </c>
      <c r="Y237" s="35" t="n">
        <v>-3.225</v>
      </c>
      <c r="Z237" s="35" t="n">
        <v>-2.575</v>
      </c>
      <c r="AA237" s="35" t="n">
        <v>0.746</v>
      </c>
      <c r="AB237" s="35" t="n">
        <v>-0.811</v>
      </c>
      <c r="AC237" s="35" t="n">
        <v>-5.865</v>
      </c>
      <c r="AD237" s="35" t="n">
        <v>-4.547</v>
      </c>
      <c r="AE237" s="35" t="n">
        <v>-1.226</v>
      </c>
      <c r="AF237" s="35" t="n">
        <v>0.522</v>
      </c>
      <c r="AG237" s="35" t="n">
        <v>0.237</v>
      </c>
      <c r="AH237" s="35" t="n">
        <v>-5.014</v>
      </c>
      <c r="AI237" s="35" t="n">
        <v>-4.776</v>
      </c>
      <c r="AJ237" s="35" t="n">
        <v>-3.404</v>
      </c>
      <c r="AK237" s="35" t="n">
        <v>10.282</v>
      </c>
      <c r="AL237" s="35" t="n">
        <v>0.642</v>
      </c>
      <c r="AM237" s="35" t="n">
        <v>2.744</v>
      </c>
      <c r="AN237" s="35" t="n">
        <v>-6.618</v>
      </c>
      <c r="AO237" s="35" t="n">
        <v>-0.912</v>
      </c>
      <c r="AP237" s="35" t="n">
        <v>5.46</v>
      </c>
      <c r="AQ237" s="35" t="n">
        <v>-0.427</v>
      </c>
      <c r="AR237" s="35" t="n">
        <v>-2.497</v>
      </c>
      <c r="AS237" s="35" t="n">
        <v>-19.849</v>
      </c>
      <c r="AT237" s="35" t="n">
        <v>2.709</v>
      </c>
      <c r="AU237" s="35" t="n">
        <v>11.258</v>
      </c>
      <c r="AV237" s="35" t="n">
        <v>-2.705</v>
      </c>
      <c r="AW237" s="35" t="n">
        <v>-8.587</v>
      </c>
      <c r="AX237" s="35" t="n">
        <v>-18.543</v>
      </c>
      <c r="AY237" s="35" t="n">
        <v>2.462</v>
      </c>
      <c r="AZ237" s="35" t="n">
        <v>1.8</v>
      </c>
      <c r="BA237" s="35" t="n">
        <v>-0.987</v>
      </c>
      <c r="BB237" s="35" t="n">
        <v>-15.268</v>
      </c>
      <c r="BC237" s="35" t="n">
        <v>-15.754</v>
      </c>
      <c r="BD237" s="35" t="n">
        <v>3.339</v>
      </c>
      <c r="BE237" s="35" t="n">
        <v>2.933</v>
      </c>
      <c r="BF237" s="35" t="n">
        <v>-0.086</v>
      </c>
      <c r="BG237" s="35" t="n">
        <v>-9.568</v>
      </c>
      <c r="BH237" s="35" t="n">
        <v>-15.9</v>
      </c>
      <c r="BI237" s="35" t="n">
        <v>9.63</v>
      </c>
      <c r="BJ237" s="35" t="n">
        <v>3.296</v>
      </c>
      <c r="BK237" s="35" t="n">
        <v>-0.026</v>
      </c>
      <c r="BL237" s="35" t="n">
        <v>-3</v>
      </c>
      <c r="BM237" s="35" t="n">
        <v>-21.4</v>
      </c>
      <c r="BN237" s="35" t="n">
        <v>11.7</v>
      </c>
      <c r="BO237" s="35" t="n">
        <v>2.7</v>
      </c>
      <c r="BP237" s="35" t="n">
        <v>2</v>
      </c>
      <c r="BQ237" s="35" t="n">
        <v>-5</v>
      </c>
      <c r="BR237" s="35" t="n">
        <v>-28.1</v>
      </c>
      <c r="BS237" s="35" t="n">
        <v>-4.5</v>
      </c>
      <c r="BT237" s="35" t="n">
        <v>-11.2</v>
      </c>
      <c r="BU237" s="35" t="n">
        <v>-7.2</v>
      </c>
      <c r="BV237" s="35" t="n">
        <v>-51</v>
      </c>
      <c r="BW237" s="35" t="n">
        <v>-8</v>
      </c>
      <c r="BX237" s="35" t="n">
        <v>2</v>
      </c>
      <c r="BY237" s="36"/>
      <c r="BZ237" s="36"/>
      <c r="CA237" s="36" t="n">
        <f aca="false">(BW237+BX237)+CA333</f>
        <v>-6</v>
      </c>
      <c r="CB237" s="36" t="n">
        <f aca="false">CB333</f>
        <v>-10</v>
      </c>
      <c r="CC237" s="36" t="n">
        <f aca="false">CC333</f>
        <v>-10</v>
      </c>
      <c r="CD237" s="36" t="n">
        <f aca="false">CD333</f>
        <v>-10</v>
      </c>
      <c r="CE237" s="36" t="n">
        <f aca="false">CE333</f>
        <v>-10</v>
      </c>
      <c r="CF237" s="28"/>
    </row>
    <row r="238" customFormat="false" ht="15" hidden="false" customHeight="true" outlineLevel="0" collapsed="false">
      <c r="B238" s="29" t="s">
        <v>448</v>
      </c>
      <c r="C238" s="34"/>
      <c r="D238" s="34"/>
      <c r="E238" s="34"/>
      <c r="F238" s="34"/>
      <c r="G238" s="34"/>
      <c r="H238" s="34"/>
      <c r="I238" s="35" t="n">
        <v>-11.546</v>
      </c>
      <c r="J238" s="35" t="n">
        <v>-1.344</v>
      </c>
      <c r="K238" s="35" t="n">
        <v>0</v>
      </c>
      <c r="L238" s="35" t="n">
        <v>0</v>
      </c>
      <c r="M238" s="35" t="n">
        <v>0</v>
      </c>
      <c r="N238" s="35" t="n">
        <v>-1.344</v>
      </c>
      <c r="O238" s="35" t="n">
        <v>-1.344</v>
      </c>
      <c r="P238" s="35" t="n">
        <v>-9.969</v>
      </c>
      <c r="Q238" s="35" t="n">
        <v>0</v>
      </c>
      <c r="R238" s="35" t="n">
        <v>0</v>
      </c>
      <c r="S238" s="35" t="n">
        <v>-11.313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0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5" t="n">
        <v>0</v>
      </c>
      <c r="AD238" s="35" t="n">
        <v>0</v>
      </c>
      <c r="AE238" s="35" t="n">
        <v>0</v>
      </c>
      <c r="AF238" s="35" t="n">
        <v>-0.643</v>
      </c>
      <c r="AG238" s="35" t="n">
        <v>-2.824</v>
      </c>
      <c r="AH238" s="35" t="n">
        <v>-3.467</v>
      </c>
      <c r="AI238" s="35" t="n">
        <v>0</v>
      </c>
      <c r="AJ238" s="35" t="n">
        <v>0</v>
      </c>
      <c r="AK238" s="35" t="n">
        <v>0</v>
      </c>
      <c r="AL238" s="35" t="n">
        <v>0</v>
      </c>
      <c r="AM238" s="35" t="n">
        <v>0</v>
      </c>
      <c r="AN238" s="35" t="n">
        <v>0</v>
      </c>
      <c r="AO238" s="35" t="n">
        <v>-0.123</v>
      </c>
      <c r="AP238" s="35" t="n">
        <v>0</v>
      </c>
      <c r="AQ238" s="35" t="n">
        <v>-1.534</v>
      </c>
      <c r="AR238" s="35" t="n">
        <v>-1.657</v>
      </c>
      <c r="AS238" s="35" t="n">
        <v>0</v>
      </c>
      <c r="AT238" s="35" t="n">
        <v>-1.65</v>
      </c>
      <c r="AU238" s="35" t="n">
        <v>-15.747</v>
      </c>
      <c r="AV238" s="35" t="n">
        <v>-0.9</v>
      </c>
      <c r="AW238" s="35" t="n">
        <v>-18.297</v>
      </c>
      <c r="AX238" s="35" t="n">
        <v>0</v>
      </c>
      <c r="AY238" s="35" t="n">
        <v>-0.057</v>
      </c>
      <c r="AZ238" s="35" t="n">
        <v>0</v>
      </c>
      <c r="BA238" s="35" t="n">
        <v>-0.354</v>
      </c>
      <c r="BB238" s="35" t="n">
        <v>-0.411</v>
      </c>
      <c r="BC238" s="35" t="n">
        <v>0</v>
      </c>
      <c r="BD238" s="35" t="n">
        <v>0</v>
      </c>
      <c r="BE238" s="35" t="n">
        <v>0</v>
      </c>
      <c r="BF238" s="35" t="n">
        <v>0</v>
      </c>
      <c r="BG238" s="35" t="n">
        <v>0</v>
      </c>
      <c r="BH238" s="35" t="n">
        <v>0</v>
      </c>
      <c r="BI238" s="35" t="n">
        <v>0</v>
      </c>
      <c r="BJ238" s="35" t="n">
        <v>0</v>
      </c>
      <c r="BK238" s="35" t="n">
        <v>-0.7</v>
      </c>
      <c r="BL238" s="35" t="n">
        <v>-0.7</v>
      </c>
      <c r="BM238" s="35" t="n">
        <v>-1.1</v>
      </c>
      <c r="BN238" s="35" t="n">
        <v>-4.5</v>
      </c>
      <c r="BO238" s="35" t="n">
        <v>-1.2</v>
      </c>
      <c r="BP238" s="35" t="n">
        <v>-1.9</v>
      </c>
      <c r="BQ238" s="35" t="n">
        <v>-8.7</v>
      </c>
      <c r="BR238" s="35" t="n">
        <v>-0.7</v>
      </c>
      <c r="BS238" s="35" t="n">
        <v>-1.3</v>
      </c>
      <c r="BT238" s="35" t="n">
        <v>-1.3</v>
      </c>
      <c r="BU238" s="35" t="n">
        <v>-4.7</v>
      </c>
      <c r="BV238" s="35" t="n">
        <v>-8</v>
      </c>
      <c r="BW238" s="35" t="n">
        <v>-1</v>
      </c>
      <c r="BX238" s="35" t="n">
        <v>-28</v>
      </c>
      <c r="BY238" s="36"/>
      <c r="BZ238" s="36"/>
      <c r="CA238" s="36" t="n">
        <f aca="false">(BW238+BX238)</f>
        <v>-29</v>
      </c>
      <c r="CB238" s="44" t="n">
        <v>0</v>
      </c>
      <c r="CC238" s="44" t="n">
        <v>0</v>
      </c>
      <c r="CD238" s="44" t="n">
        <v>0</v>
      </c>
      <c r="CE238" s="44" t="n">
        <v>0</v>
      </c>
      <c r="CF238" s="28"/>
    </row>
    <row r="239" customFormat="false" ht="15" hidden="false" customHeight="true" outlineLevel="0" collapsed="false">
      <c r="B239" s="17" t="s">
        <v>449</v>
      </c>
      <c r="C239" s="19" t="n">
        <v>5.582</v>
      </c>
      <c r="D239" s="19" t="n">
        <v>8.161</v>
      </c>
      <c r="E239" s="19" t="n">
        <v>11.475</v>
      </c>
      <c r="F239" s="19" t="n">
        <v>2.172</v>
      </c>
      <c r="G239" s="19" t="n">
        <v>2.042</v>
      </c>
      <c r="H239" s="19" t="n">
        <v>254.78</v>
      </c>
      <c r="I239" s="19" t="n">
        <v>164.941</v>
      </c>
      <c r="J239" s="19" t="n">
        <v>5.249</v>
      </c>
      <c r="K239" s="19" t="n">
        <v>-3.888</v>
      </c>
      <c r="L239" s="19" t="n">
        <v>7.858</v>
      </c>
      <c r="M239" s="19" t="n">
        <v>1.186</v>
      </c>
      <c r="N239" s="19" t="n">
        <v>10.405</v>
      </c>
      <c r="O239" s="19" t="n">
        <v>-21.844</v>
      </c>
      <c r="P239" s="19" t="n">
        <v>762.377</v>
      </c>
      <c r="Q239" s="19" t="n">
        <v>-2.285</v>
      </c>
      <c r="R239" s="19" t="n">
        <v>-4.735</v>
      </c>
      <c r="S239" s="19" t="n">
        <v>733.513</v>
      </c>
      <c r="T239" s="19" t="n">
        <v>-4.053</v>
      </c>
      <c r="U239" s="19" t="n">
        <v>-9.064</v>
      </c>
      <c r="V239" s="19" t="n">
        <v>-4.379</v>
      </c>
      <c r="W239" s="19" t="n">
        <v>-3.008</v>
      </c>
      <c r="X239" s="19" t="n">
        <v>-20.504</v>
      </c>
      <c r="Y239" s="19" t="n">
        <v>-8.225</v>
      </c>
      <c r="Z239" s="19" t="n">
        <v>-17.575</v>
      </c>
      <c r="AA239" s="19" t="n">
        <v>0.746</v>
      </c>
      <c r="AB239" s="19" t="n">
        <v>-0.811</v>
      </c>
      <c r="AC239" s="19" t="n">
        <v>-25.865</v>
      </c>
      <c r="AD239" s="19" t="n">
        <v>-39.547</v>
      </c>
      <c r="AE239" s="19" t="n">
        <v>-1.226</v>
      </c>
      <c r="AF239" s="19" t="n">
        <v>-0.121</v>
      </c>
      <c r="AG239" s="19" t="n">
        <v>521.324</v>
      </c>
      <c r="AH239" s="19" t="n">
        <v>480.43</v>
      </c>
      <c r="AI239" s="19" t="n">
        <v>-4.776</v>
      </c>
      <c r="AJ239" s="19" t="n">
        <v>-3.404</v>
      </c>
      <c r="AK239" s="19" t="n">
        <v>10.282</v>
      </c>
      <c r="AL239" s="19" t="n">
        <v>0.642</v>
      </c>
      <c r="AM239" s="19" t="n">
        <v>2.744</v>
      </c>
      <c r="AN239" s="19" t="n">
        <v>-6.618</v>
      </c>
      <c r="AO239" s="19" t="n">
        <v>-1.035</v>
      </c>
      <c r="AP239" s="19" t="n">
        <v>5.46</v>
      </c>
      <c r="AQ239" s="19" t="n">
        <v>-1.961</v>
      </c>
      <c r="AR239" s="19" t="n">
        <v>-4.154</v>
      </c>
      <c r="AS239" s="19" t="n">
        <v>725.151</v>
      </c>
      <c r="AT239" s="19" t="n">
        <v>1691.207</v>
      </c>
      <c r="AU239" s="19" t="n">
        <v>249.544</v>
      </c>
      <c r="AV239" s="19" t="n">
        <v>-3.605</v>
      </c>
      <c r="AW239" s="19" t="n">
        <v>2662.297</v>
      </c>
      <c r="AX239" s="19" t="n">
        <v>-18.543</v>
      </c>
      <c r="AY239" s="19" t="n">
        <v>2.405</v>
      </c>
      <c r="AZ239" s="19" t="n">
        <v>1.8</v>
      </c>
      <c r="BA239" s="19" t="n">
        <v>-1.341</v>
      </c>
      <c r="BB239" s="19" t="n">
        <v>-15.679</v>
      </c>
      <c r="BC239" s="19" t="n">
        <v>-15.754</v>
      </c>
      <c r="BD239" s="19" t="n">
        <v>1.184</v>
      </c>
      <c r="BE239" s="19" t="n">
        <v>749.103</v>
      </c>
      <c r="BF239" s="19" t="n">
        <v>-0.556</v>
      </c>
      <c r="BG239" s="19" t="n">
        <v>733.977</v>
      </c>
      <c r="BH239" s="19" t="n">
        <v>-15.9</v>
      </c>
      <c r="BI239" s="19" t="n">
        <v>9.63</v>
      </c>
      <c r="BJ239" s="19" t="n">
        <v>3.296</v>
      </c>
      <c r="BK239" s="19" t="n">
        <v>-0.726</v>
      </c>
      <c r="BL239" s="19" t="n">
        <v>-3.7</v>
      </c>
      <c r="BM239" s="19" t="n">
        <v>-22.5</v>
      </c>
      <c r="BN239" s="19" t="n">
        <v>7.2</v>
      </c>
      <c r="BO239" s="19" t="n">
        <v>1.5</v>
      </c>
      <c r="BP239" s="19" t="n">
        <v>0.1</v>
      </c>
      <c r="BQ239" s="19" t="n">
        <v>-13.7</v>
      </c>
      <c r="BR239" s="19" t="n">
        <v>-47.3</v>
      </c>
      <c r="BS239" s="19" t="n">
        <v>-51.1</v>
      </c>
      <c r="BT239" s="19" t="n">
        <v>-63.7</v>
      </c>
      <c r="BU239" s="19" t="n">
        <v>-396.9</v>
      </c>
      <c r="BV239" s="19" t="n">
        <v>-559</v>
      </c>
      <c r="BW239" s="19" t="n">
        <v>-514</v>
      </c>
      <c r="BX239" s="19" t="n">
        <v>-108</v>
      </c>
      <c r="BY239" s="20"/>
      <c r="BZ239" s="20"/>
      <c r="CA239" s="20" t="n">
        <f aca="false">SUM(CA233:CA238)</f>
        <v>-735</v>
      </c>
      <c r="CB239" s="20" t="n">
        <f aca="false">SUM(CB233:CB238)</f>
        <v>-859.39881673517</v>
      </c>
      <c r="CC239" s="20" t="n">
        <f aca="false">SUM(CC233:CC238)</f>
        <v>-985.981736229957</v>
      </c>
      <c r="CD239" s="20" t="n">
        <f aca="false">SUM(CD233:CD238)</f>
        <v>-1096.14139688844</v>
      </c>
      <c r="CE239" s="20" t="n">
        <f aca="false">SUM(CE233:CE238)</f>
        <v>-1281.11753235373</v>
      </c>
      <c r="CF239" s="21"/>
    </row>
    <row r="240" customFormat="false" ht="15" hidden="false" customHeight="true" outlineLevel="0" collapsed="false">
      <c r="B240" s="29" t="s">
        <v>450</v>
      </c>
      <c r="C240" s="35" t="n">
        <v>0.254</v>
      </c>
      <c r="D240" s="35" t="n">
        <v>0.064</v>
      </c>
      <c r="E240" s="35" t="n">
        <v>-2.616</v>
      </c>
      <c r="F240" s="35" t="n">
        <v>0.655</v>
      </c>
      <c r="G240" s="35" t="n">
        <v>-0.188</v>
      </c>
      <c r="H240" s="35" t="n">
        <v>0.044</v>
      </c>
      <c r="I240" s="35" t="n">
        <v>0.078</v>
      </c>
      <c r="J240" s="35" t="n">
        <v>-0.03</v>
      </c>
      <c r="K240" s="35" t="n">
        <v>0.01</v>
      </c>
      <c r="L240" s="35" t="n">
        <v>0.128</v>
      </c>
      <c r="M240" s="35" t="n">
        <v>0.081</v>
      </c>
      <c r="N240" s="35" t="n">
        <v>0.189</v>
      </c>
      <c r="O240" s="35" t="n">
        <v>0.038</v>
      </c>
      <c r="P240" s="35" t="n">
        <v>0.104</v>
      </c>
      <c r="Q240" s="35" t="n">
        <v>-0.251</v>
      </c>
      <c r="R240" s="35" t="n">
        <v>-0.267</v>
      </c>
      <c r="S240" s="35" t="n">
        <v>-0.376</v>
      </c>
      <c r="T240" s="35" t="n">
        <v>-0.263</v>
      </c>
      <c r="U240" s="35" t="n">
        <v>0.44</v>
      </c>
      <c r="V240" s="35" t="n">
        <v>-0.371</v>
      </c>
      <c r="W240" s="35" t="n">
        <v>-0.239</v>
      </c>
      <c r="X240" s="35" t="n">
        <v>-0.433</v>
      </c>
      <c r="Y240" s="35" t="n">
        <v>-0.215</v>
      </c>
      <c r="Z240" s="35" t="n">
        <v>-0.527</v>
      </c>
      <c r="AA240" s="35" t="n">
        <v>-0.22</v>
      </c>
      <c r="AB240" s="35" t="n">
        <v>-0.453</v>
      </c>
      <c r="AC240" s="35" t="n">
        <v>-1.415</v>
      </c>
      <c r="AD240" s="35" t="n">
        <v>0.058</v>
      </c>
      <c r="AE240" s="35" t="n">
        <v>0.509</v>
      </c>
      <c r="AF240" s="35" t="n">
        <v>0.313</v>
      </c>
      <c r="AG240" s="35" t="n">
        <v>0.494</v>
      </c>
      <c r="AH240" s="35" t="n">
        <v>1.374</v>
      </c>
      <c r="AI240" s="35" t="n">
        <v>0.448</v>
      </c>
      <c r="AJ240" s="35" t="n">
        <v>-0.845</v>
      </c>
      <c r="AK240" s="35" t="n">
        <v>-0.191</v>
      </c>
      <c r="AL240" s="35" t="n">
        <v>-0.66</v>
      </c>
      <c r="AM240" s="35" t="n">
        <v>-1.248</v>
      </c>
      <c r="AN240" s="35" t="n">
        <v>-0.046</v>
      </c>
      <c r="AO240" s="35" t="n">
        <v>-0.364</v>
      </c>
      <c r="AP240" s="35" t="n">
        <v>-0.328</v>
      </c>
      <c r="AQ240" s="35" t="n">
        <v>1.18</v>
      </c>
      <c r="AR240" s="35" t="n">
        <v>0.442</v>
      </c>
      <c r="AS240" s="35" t="n">
        <v>-2.117</v>
      </c>
      <c r="AT240" s="35" t="n">
        <v>1.812</v>
      </c>
      <c r="AU240" s="35" t="n">
        <v>0.019</v>
      </c>
      <c r="AV240" s="35" t="n">
        <v>1.227</v>
      </c>
      <c r="AW240" s="35" t="n">
        <v>0.941</v>
      </c>
      <c r="AX240" s="35" t="n">
        <v>-0.606</v>
      </c>
      <c r="AY240" s="35" t="n">
        <v>0.242</v>
      </c>
      <c r="AZ240" s="35" t="n">
        <v>-1.336</v>
      </c>
      <c r="BA240" s="35" t="n">
        <v>0.205</v>
      </c>
      <c r="BB240" s="35" t="n">
        <v>-1.495</v>
      </c>
      <c r="BC240" s="35" t="n">
        <v>-0.581</v>
      </c>
      <c r="BD240" s="35" t="n">
        <v>-2.251</v>
      </c>
      <c r="BE240" s="35" t="n">
        <v>-1.465</v>
      </c>
      <c r="BF240" s="35" t="n">
        <v>1.599</v>
      </c>
      <c r="BG240" s="35" t="n">
        <v>-2.698</v>
      </c>
      <c r="BH240" s="35" t="n">
        <v>-0.01</v>
      </c>
      <c r="BI240" s="35" t="n">
        <v>-0.353</v>
      </c>
      <c r="BJ240" s="35" t="n">
        <v>0.214</v>
      </c>
      <c r="BK240" s="35" t="n">
        <v>0.849</v>
      </c>
      <c r="BL240" s="35" t="n">
        <v>0.7</v>
      </c>
      <c r="BM240" s="35" t="n">
        <v>-1.1</v>
      </c>
      <c r="BN240" s="35" t="n">
        <v>-0.1</v>
      </c>
      <c r="BO240" s="35" t="n">
        <v>1.5</v>
      </c>
      <c r="BP240" s="35" t="n">
        <v>-1.2</v>
      </c>
      <c r="BQ240" s="35" t="n">
        <v>-0.9</v>
      </c>
      <c r="BR240" s="35" t="n">
        <v>1.9</v>
      </c>
      <c r="BS240" s="35" t="n">
        <v>4.2</v>
      </c>
      <c r="BT240" s="35" t="n">
        <v>-8.3</v>
      </c>
      <c r="BU240" s="35" t="n">
        <v>-0.8</v>
      </c>
      <c r="BV240" s="35" t="n">
        <v>-3</v>
      </c>
      <c r="BW240" s="35" t="n">
        <v>-1</v>
      </c>
      <c r="BX240" s="35" t="n">
        <v>-1</v>
      </c>
      <c r="BY240" s="36"/>
      <c r="BZ240" s="36"/>
      <c r="CA240" s="36" t="n">
        <f aca="false">(BW240+BX240)</f>
        <v>-2</v>
      </c>
      <c r="CB240" s="44" t="n">
        <v>0</v>
      </c>
      <c r="CC240" s="44" t="n">
        <v>0</v>
      </c>
      <c r="CD240" s="44" t="n">
        <v>0</v>
      </c>
      <c r="CE240" s="44" t="n">
        <v>0</v>
      </c>
      <c r="CF240" s="28"/>
    </row>
    <row r="241" customFormat="false" ht="15" hidden="false" customHeight="true" outlineLevel="0" collapsed="false">
      <c r="B241" s="29" t="s">
        <v>451</v>
      </c>
      <c r="C241" s="35" t="n">
        <v>10.094</v>
      </c>
      <c r="D241" s="35" t="n">
        <v>19.626</v>
      </c>
      <c r="E241" s="35" t="n">
        <v>102.197</v>
      </c>
      <c r="F241" s="35" t="n">
        <v>45.804</v>
      </c>
      <c r="G241" s="35" t="n">
        <v>0.619</v>
      </c>
      <c r="H241" s="35" t="n">
        <v>338.875</v>
      </c>
      <c r="I241" s="35" t="n">
        <v>-389.253</v>
      </c>
      <c r="J241" s="35" t="n">
        <v>11.367</v>
      </c>
      <c r="K241" s="35" t="n">
        <v>22.707</v>
      </c>
      <c r="L241" s="35" t="n">
        <v>32.837</v>
      </c>
      <c r="M241" s="35" t="n">
        <v>33.015</v>
      </c>
      <c r="N241" s="35" t="n">
        <v>99.926</v>
      </c>
      <c r="O241" s="35" t="n">
        <v>-32.51</v>
      </c>
      <c r="P241" s="35" t="n">
        <v>221.414</v>
      </c>
      <c r="Q241" s="35" t="n">
        <v>41.338</v>
      </c>
      <c r="R241" s="35" t="n">
        <v>40.817</v>
      </c>
      <c r="S241" s="35" t="n">
        <v>271.059</v>
      </c>
      <c r="T241" s="35" t="n">
        <v>14.759</v>
      </c>
      <c r="U241" s="35" t="n">
        <v>-189.99</v>
      </c>
      <c r="V241" s="35" t="n">
        <v>23.728</v>
      </c>
      <c r="W241" s="35" t="n">
        <v>46.309</v>
      </c>
      <c r="X241" s="35" t="n">
        <v>-105.194</v>
      </c>
      <c r="Y241" s="35" t="n">
        <v>39.902</v>
      </c>
      <c r="Z241" s="35" t="n">
        <v>2.431</v>
      </c>
      <c r="AA241" s="35" t="n">
        <v>57.948</v>
      </c>
      <c r="AB241" s="35" t="n">
        <v>45.124</v>
      </c>
      <c r="AC241" s="35" t="n">
        <v>145.405</v>
      </c>
      <c r="AD241" s="35" t="n">
        <v>5.249</v>
      </c>
      <c r="AE241" s="35" t="n">
        <v>-7.834</v>
      </c>
      <c r="AF241" s="35" t="n">
        <v>58.357</v>
      </c>
      <c r="AG241" s="35" t="n">
        <v>588.468</v>
      </c>
      <c r="AH241" s="35" t="n">
        <v>644.24</v>
      </c>
      <c r="AI241" s="35" t="n">
        <v>-280.034</v>
      </c>
      <c r="AJ241" s="35" t="n">
        <v>34.849</v>
      </c>
      <c r="AK241" s="35" t="n">
        <v>105.508</v>
      </c>
      <c r="AL241" s="35" t="n">
        <v>28.63</v>
      </c>
      <c r="AM241" s="35" t="n">
        <v>-111.047</v>
      </c>
      <c r="AN241" s="35" t="n">
        <v>132.401</v>
      </c>
      <c r="AO241" s="35" t="n">
        <v>64.995</v>
      </c>
      <c r="AP241" s="35" t="n">
        <v>91.807</v>
      </c>
      <c r="AQ241" s="35" t="n">
        <v>-318.888</v>
      </c>
      <c r="AR241" s="35" t="n">
        <v>-29.685</v>
      </c>
      <c r="AS241" s="35" t="n">
        <v>857.192</v>
      </c>
      <c r="AT241" s="35" t="n">
        <v>1620.482</v>
      </c>
      <c r="AU241" s="35" t="n">
        <v>319.4</v>
      </c>
      <c r="AV241" s="35" t="n">
        <v>-111.893</v>
      </c>
      <c r="AW241" s="35" t="n">
        <v>2685.181</v>
      </c>
      <c r="AX241" s="35" t="n">
        <v>-65.616</v>
      </c>
      <c r="AY241" s="35" t="n">
        <v>-15.387</v>
      </c>
      <c r="AZ241" s="35" t="n">
        <v>86.678</v>
      </c>
      <c r="BA241" s="35" t="n">
        <v>65.539</v>
      </c>
      <c r="BB241" s="35" t="n">
        <v>71.214</v>
      </c>
      <c r="BC241" s="35" t="n">
        <v>101.971</v>
      </c>
      <c r="BD241" s="35" t="n">
        <v>35.019</v>
      </c>
      <c r="BE241" s="35" t="n">
        <v>810.349</v>
      </c>
      <c r="BF241" s="35" t="n">
        <v>193.505</v>
      </c>
      <c r="BG241" s="35" t="n">
        <v>1140.844</v>
      </c>
      <c r="BH241" s="35" t="n">
        <v>87.676</v>
      </c>
      <c r="BI241" s="35" t="n">
        <v>149.649</v>
      </c>
      <c r="BJ241" s="35" t="n">
        <v>24.585</v>
      </c>
      <c r="BK241" s="35" t="n">
        <v>-14.01</v>
      </c>
      <c r="BL241" s="35" t="n">
        <v>247.9</v>
      </c>
      <c r="BM241" s="35" t="n">
        <v>-264.3</v>
      </c>
      <c r="BN241" s="35" t="n">
        <v>-32.1</v>
      </c>
      <c r="BO241" s="35" t="n">
        <v>18.1</v>
      </c>
      <c r="BP241" s="35" t="n">
        <v>-256.6</v>
      </c>
      <c r="BQ241" s="35" t="n">
        <v>-534.9</v>
      </c>
      <c r="BR241" s="35" t="n">
        <v>-902.8</v>
      </c>
      <c r="BS241" s="35" t="n">
        <v>-51.2</v>
      </c>
      <c r="BT241" s="35" t="n">
        <v>-1692.2</v>
      </c>
      <c r="BU241" s="35" t="n">
        <v>-301.8</v>
      </c>
      <c r="BV241" s="35" t="n">
        <v>-2948</v>
      </c>
      <c r="BW241" s="35" t="n">
        <v>-417</v>
      </c>
      <c r="BX241" s="35" t="n">
        <v>-50</v>
      </c>
      <c r="BY241" s="36"/>
      <c r="BZ241" s="36"/>
      <c r="CA241" s="36" t="n">
        <f aca="false">CA227+CA232+CA239+CA240</f>
        <v>-1076.16284232813</v>
      </c>
      <c r="CB241" s="36" t="n">
        <f aca="false">CB227+CB232+CB239+CB240</f>
        <v>-164.823860151705</v>
      </c>
      <c r="CC241" s="36" t="n">
        <f aca="false">CC227+CC232+CC239+CC240</f>
        <v>-92.0132975201643</v>
      </c>
      <c r="CD241" s="36" t="n">
        <f aca="false">CD227+CD232+CD239+CD240</f>
        <v>0</v>
      </c>
      <c r="CE241" s="36" t="n">
        <f aca="false">CE227+CE232+CE239+CE240</f>
        <v>0</v>
      </c>
      <c r="CF241" s="28"/>
    </row>
    <row r="242" customFormat="false" ht="15" hidden="false" customHeight="true" outlineLevel="0" collapsed="false">
      <c r="B242" s="29" t="s">
        <v>452</v>
      </c>
      <c r="C242" s="35" t="n">
        <v>28.065</v>
      </c>
      <c r="D242" s="35" t="n">
        <v>38.159</v>
      </c>
      <c r="E242" s="35" t="n">
        <v>57.785</v>
      </c>
      <c r="F242" s="35" t="n">
        <v>159.982</v>
      </c>
      <c r="G242" s="35" t="n">
        <v>205.786</v>
      </c>
      <c r="H242" s="35" t="n">
        <v>206.405</v>
      </c>
      <c r="I242" s="35" t="n">
        <v>545.28</v>
      </c>
      <c r="J242" s="35" t="n">
        <v>156.027</v>
      </c>
      <c r="K242" s="35" t="n">
        <v>167.394</v>
      </c>
      <c r="L242" s="35" t="n">
        <v>190.101</v>
      </c>
      <c r="M242" s="35" t="n">
        <v>222.938</v>
      </c>
      <c r="N242" s="35" t="n">
        <v>156.027</v>
      </c>
      <c r="O242" s="35" t="n">
        <v>255.953</v>
      </c>
      <c r="P242" s="35" t="n">
        <v>223.443</v>
      </c>
      <c r="Q242" s="35" t="n">
        <v>444.857</v>
      </c>
      <c r="R242" s="35" t="n">
        <v>486.195</v>
      </c>
      <c r="S242" s="35" t="n">
        <v>255.953</v>
      </c>
      <c r="T242" s="35" t="n">
        <v>527.012</v>
      </c>
      <c r="U242" s="35" t="n">
        <v>541.771</v>
      </c>
      <c r="V242" s="35" t="n">
        <v>351.781</v>
      </c>
      <c r="W242" s="35" t="n">
        <v>375.509</v>
      </c>
      <c r="X242" s="35" t="n">
        <v>527.012</v>
      </c>
      <c r="Y242" s="35" t="n">
        <v>421.818</v>
      </c>
      <c r="Z242" s="35" t="n">
        <v>461.72</v>
      </c>
      <c r="AA242" s="35" t="n">
        <v>464.151</v>
      </c>
      <c r="AB242" s="35" t="n">
        <v>522.099</v>
      </c>
      <c r="AC242" s="35" t="n">
        <v>421.818</v>
      </c>
      <c r="AD242" s="35" t="n">
        <v>567.223</v>
      </c>
      <c r="AE242" s="35" t="n">
        <v>572.472</v>
      </c>
      <c r="AF242" s="35" t="n">
        <v>564.638</v>
      </c>
      <c r="AG242" s="35" t="n">
        <v>622.995</v>
      </c>
      <c r="AH242" s="35" t="n">
        <v>567.223</v>
      </c>
      <c r="AI242" s="35" t="n">
        <v>1211.463</v>
      </c>
      <c r="AJ242" s="35" t="n">
        <v>931.429</v>
      </c>
      <c r="AK242" s="35" t="n">
        <v>966.278</v>
      </c>
      <c r="AL242" s="35" t="n">
        <v>1071.786</v>
      </c>
      <c r="AM242" s="35" t="n">
        <v>1211.463</v>
      </c>
      <c r="AN242" s="35" t="n">
        <v>1100.416</v>
      </c>
      <c r="AO242" s="35" t="n">
        <v>1232.817</v>
      </c>
      <c r="AP242" s="35" t="n">
        <v>1297.812</v>
      </c>
      <c r="AQ242" s="35" t="n">
        <v>1389.619</v>
      </c>
      <c r="AR242" s="35" t="n">
        <v>1100.416</v>
      </c>
      <c r="AS242" s="35" t="n">
        <v>1070.731</v>
      </c>
      <c r="AT242" s="35" t="n">
        <v>1927.923</v>
      </c>
      <c r="AU242" s="35" t="n">
        <v>3548.405</v>
      </c>
      <c r="AV242" s="35" t="n">
        <v>3867.805</v>
      </c>
      <c r="AW242" s="35" t="n">
        <v>1070.731</v>
      </c>
      <c r="AX242" s="35" t="n">
        <v>3755.912</v>
      </c>
      <c r="AY242" s="35" t="n">
        <v>3690.296</v>
      </c>
      <c r="AZ242" s="35" t="n">
        <v>3674.909</v>
      </c>
      <c r="BA242" s="35" t="n">
        <v>3761.587</v>
      </c>
      <c r="BB242" s="35" t="n">
        <v>3755.912</v>
      </c>
      <c r="BC242" s="35" t="n">
        <v>3827.126</v>
      </c>
      <c r="BD242" s="35" t="n">
        <v>3929.097</v>
      </c>
      <c r="BE242" s="35" t="n">
        <v>3964.116</v>
      </c>
      <c r="BF242" s="35" t="n">
        <v>4774.465</v>
      </c>
      <c r="BG242" s="35" t="n">
        <v>3827.126</v>
      </c>
      <c r="BH242" s="35" t="n">
        <v>4967.97</v>
      </c>
      <c r="BI242" s="35" t="n">
        <v>5055.646</v>
      </c>
      <c r="BJ242" s="35" t="n">
        <v>5205.295</v>
      </c>
      <c r="BK242" s="35" t="n">
        <v>5229.88</v>
      </c>
      <c r="BL242" s="35" t="n">
        <v>4968</v>
      </c>
      <c r="BM242" s="35" t="n">
        <v>5215.9</v>
      </c>
      <c r="BN242" s="35" t="n">
        <v>4951.6</v>
      </c>
      <c r="BO242" s="35" t="n">
        <v>4919.5</v>
      </c>
      <c r="BP242" s="35" t="n">
        <v>4937.6</v>
      </c>
      <c r="BQ242" s="35" t="n">
        <v>5215.9</v>
      </c>
      <c r="BR242" s="35" t="n">
        <v>4681</v>
      </c>
      <c r="BS242" s="35" t="n">
        <v>3778.2</v>
      </c>
      <c r="BT242" s="35" t="n">
        <v>3727</v>
      </c>
      <c r="BU242" s="35" t="n">
        <v>2034.8</v>
      </c>
      <c r="BV242" s="35" t="n">
        <v>4681</v>
      </c>
      <c r="BW242" s="35" t="n">
        <v>1733</v>
      </c>
      <c r="BX242" s="35" t="n">
        <v>1316</v>
      </c>
      <c r="BY242" s="36"/>
      <c r="BZ242" s="36"/>
      <c r="CA242" s="36" t="n">
        <f aca="false">BV243</f>
        <v>1733</v>
      </c>
      <c r="CB242" s="36" t="n">
        <f aca="false">CA243</f>
        <v>656.837157671869</v>
      </c>
      <c r="CC242" s="36" t="n">
        <f aca="false">CB243</f>
        <v>492.013297520164</v>
      </c>
      <c r="CD242" s="36" t="n">
        <f aca="false">CC243</f>
        <v>400</v>
      </c>
      <c r="CE242" s="36" t="n">
        <f aca="false">CD243</f>
        <v>400</v>
      </c>
      <c r="CF242" s="28"/>
    </row>
    <row r="243" customFormat="false" ht="15" hidden="false" customHeight="true" outlineLevel="0" collapsed="false">
      <c r="B243" s="17" t="s">
        <v>453</v>
      </c>
      <c r="C243" s="19" t="n">
        <v>38.159</v>
      </c>
      <c r="D243" s="19" t="n">
        <v>57.785</v>
      </c>
      <c r="E243" s="19" t="n">
        <v>159.982</v>
      </c>
      <c r="F243" s="19" t="n">
        <v>205.786</v>
      </c>
      <c r="G243" s="19" t="n">
        <v>206.405</v>
      </c>
      <c r="H243" s="19" t="n">
        <v>545.28</v>
      </c>
      <c r="I243" s="19" t="n">
        <v>156.027</v>
      </c>
      <c r="J243" s="19" t="n">
        <v>167.394</v>
      </c>
      <c r="K243" s="19" t="n">
        <v>190.101</v>
      </c>
      <c r="L243" s="19" t="n">
        <v>222.938</v>
      </c>
      <c r="M243" s="19" t="n">
        <v>255.953</v>
      </c>
      <c r="N243" s="19" t="n">
        <v>255.953</v>
      </c>
      <c r="O243" s="19" t="n">
        <v>223.443</v>
      </c>
      <c r="P243" s="19" t="n">
        <v>444.857</v>
      </c>
      <c r="Q243" s="19" t="n">
        <v>486.195</v>
      </c>
      <c r="R243" s="19" t="n">
        <v>527.012</v>
      </c>
      <c r="S243" s="19" t="n">
        <v>527.012</v>
      </c>
      <c r="T243" s="19" t="n">
        <v>541.771</v>
      </c>
      <c r="U243" s="19" t="n">
        <v>351.781</v>
      </c>
      <c r="V243" s="19" t="n">
        <v>375.509</v>
      </c>
      <c r="W243" s="19" t="n">
        <v>421.818</v>
      </c>
      <c r="X243" s="19" t="n">
        <v>421.818</v>
      </c>
      <c r="Y243" s="19" t="n">
        <v>461.72</v>
      </c>
      <c r="Z243" s="19" t="n">
        <v>464.151</v>
      </c>
      <c r="AA243" s="19" t="n">
        <v>522.099</v>
      </c>
      <c r="AB243" s="19" t="n">
        <v>567.223</v>
      </c>
      <c r="AC243" s="19" t="n">
        <v>567.223</v>
      </c>
      <c r="AD243" s="19" t="n">
        <v>572.472</v>
      </c>
      <c r="AE243" s="19" t="n">
        <v>564.638</v>
      </c>
      <c r="AF243" s="19" t="n">
        <v>622.995</v>
      </c>
      <c r="AG243" s="19" t="n">
        <v>1211.463</v>
      </c>
      <c r="AH243" s="19" t="n">
        <v>1211.463</v>
      </c>
      <c r="AI243" s="19" t="n">
        <v>931.429</v>
      </c>
      <c r="AJ243" s="19" t="n">
        <v>966.278</v>
      </c>
      <c r="AK243" s="19" t="n">
        <v>1071.786</v>
      </c>
      <c r="AL243" s="19" t="n">
        <v>1100.416</v>
      </c>
      <c r="AM243" s="19" t="n">
        <v>1100.416</v>
      </c>
      <c r="AN243" s="19" t="n">
        <v>1232.817</v>
      </c>
      <c r="AO243" s="19" t="n">
        <v>1297.812</v>
      </c>
      <c r="AP243" s="19" t="n">
        <v>1389.619</v>
      </c>
      <c r="AQ243" s="19" t="n">
        <v>1070.731</v>
      </c>
      <c r="AR243" s="19" t="n">
        <v>1070.731</v>
      </c>
      <c r="AS243" s="19" t="n">
        <v>1927.923</v>
      </c>
      <c r="AT243" s="19" t="n">
        <v>3548.405</v>
      </c>
      <c r="AU243" s="19" t="n">
        <v>3867.805</v>
      </c>
      <c r="AV243" s="19" t="n">
        <v>3755.912</v>
      </c>
      <c r="AW243" s="19" t="n">
        <v>3755.912</v>
      </c>
      <c r="AX243" s="19" t="n">
        <v>3690.296</v>
      </c>
      <c r="AY243" s="19" t="n">
        <v>3674.909</v>
      </c>
      <c r="AZ243" s="19" t="n">
        <v>3761.587</v>
      </c>
      <c r="BA243" s="19" t="n">
        <v>3827.126</v>
      </c>
      <c r="BB243" s="19" t="n">
        <v>3827.126</v>
      </c>
      <c r="BC243" s="19" t="n">
        <v>3929.097</v>
      </c>
      <c r="BD243" s="19" t="n">
        <v>3964.116</v>
      </c>
      <c r="BE243" s="19" t="n">
        <v>4774.465</v>
      </c>
      <c r="BF243" s="19" t="n">
        <v>4967.97</v>
      </c>
      <c r="BG243" s="19" t="n">
        <v>4967.97</v>
      </c>
      <c r="BH243" s="19" t="n">
        <v>5055.646</v>
      </c>
      <c r="BI243" s="19" t="n">
        <v>5205.295</v>
      </c>
      <c r="BJ243" s="19" t="n">
        <v>5229.88</v>
      </c>
      <c r="BK243" s="19" t="n">
        <v>5215.9</v>
      </c>
      <c r="BL243" s="19" t="n">
        <v>5215.9</v>
      </c>
      <c r="BM243" s="19" t="n">
        <v>4951.6</v>
      </c>
      <c r="BN243" s="19" t="n">
        <v>4919.5</v>
      </c>
      <c r="BO243" s="19" t="n">
        <v>4937.6</v>
      </c>
      <c r="BP243" s="19" t="n">
        <v>4681</v>
      </c>
      <c r="BQ243" s="19" t="n">
        <v>4681</v>
      </c>
      <c r="BR243" s="19" t="n">
        <v>3778.2</v>
      </c>
      <c r="BS243" s="19" t="n">
        <v>3727</v>
      </c>
      <c r="BT243" s="19" t="n">
        <v>2034.8</v>
      </c>
      <c r="BU243" s="19" t="n">
        <v>1733</v>
      </c>
      <c r="BV243" s="19" t="n">
        <v>1733</v>
      </c>
      <c r="BW243" s="19" t="n">
        <v>1316</v>
      </c>
      <c r="BX243" s="19" t="n">
        <v>1266</v>
      </c>
      <c r="BY243" s="20"/>
      <c r="BZ243" s="20"/>
      <c r="CA243" s="20" t="n">
        <f aca="false">CA242+CA241</f>
        <v>656.837157671869</v>
      </c>
      <c r="CB243" s="20" t="n">
        <f aca="false">CB242+CB241</f>
        <v>492.013297520164</v>
      </c>
      <c r="CC243" s="20" t="n">
        <f aca="false">CC242+CC241</f>
        <v>400</v>
      </c>
      <c r="CD243" s="20" t="n">
        <f aca="false">CD242+CD241</f>
        <v>400</v>
      </c>
      <c r="CE243" s="20" t="n">
        <f aca="false">CE242+CE241</f>
        <v>400</v>
      </c>
      <c r="CF243" s="21"/>
    </row>
    <row r="244" customFormat="false" ht="15" hidden="false" customHeight="true" outlineLevel="0" collapsed="false">
      <c r="B244" s="41" t="s">
        <v>454</v>
      </c>
      <c r="C244" s="34" t="n">
        <f aca="false">IF(ISNUMBER(C227),ROUND(C227+C232+C239+N(C240)-C241,1),"")</f>
        <v>0</v>
      </c>
      <c r="D244" s="34" t="n">
        <f aca="false">IF(ISNUMBER(D227),ROUND(D227+D232+D239+N(D240)-D241,1),"")</f>
        <v>0</v>
      </c>
      <c r="E244" s="34" t="n">
        <f aca="false">IF(ISNUMBER(E227),ROUND(E227+E232+E239+N(E240)-E241,1),"")</f>
        <v>0</v>
      </c>
      <c r="F244" s="34" t="n">
        <f aca="false">IF(ISNUMBER(F227),ROUND(F227+F232+F239+N(F240)-F241,1),"")</f>
        <v>0</v>
      </c>
      <c r="G244" s="34" t="n">
        <f aca="false">IF(ISNUMBER(G227),ROUND(G227+G232+G239+N(G240)-G241,1),"")</f>
        <v>0</v>
      </c>
      <c r="H244" s="34" t="n">
        <f aca="false">IF(ISNUMBER(H227),ROUND(H227+H232+H239+N(H240)-H241,1),"")</f>
        <v>0</v>
      </c>
      <c r="I244" s="34" t="n">
        <f aca="false">IF(ISNUMBER(I227),ROUND(I227+I232+I239+N(I240)-I241,1),"")</f>
        <v>0</v>
      </c>
      <c r="J244" s="34" t="n">
        <f aca="false">IF(ISNUMBER(J227),ROUND(J227+J232+J239+N(J240)-J241,1),"")</f>
        <v>0</v>
      </c>
      <c r="K244" s="34" t="n">
        <f aca="false">IF(ISNUMBER(K227),ROUND(K227+K232+K239+N(K240)-K241,1),"")</f>
        <v>0</v>
      </c>
      <c r="L244" s="34" t="n">
        <f aca="false">IF(ISNUMBER(L227),ROUND(L227+L232+L239+N(L240)-L241,1),"")</f>
        <v>0</v>
      </c>
      <c r="M244" s="34" t="n">
        <f aca="false">IF(ISNUMBER(M227),ROUND(M227+M232+M239+N(M240)-M241,1),"")</f>
        <v>0</v>
      </c>
      <c r="N244" s="34" t="n">
        <f aca="false">IF(ISNUMBER(N227),ROUND(N227+N232+N239+N(N240)-N241,1),"")</f>
        <v>0</v>
      </c>
      <c r="O244" s="34" t="n">
        <f aca="false">IF(ISNUMBER(O227),ROUND(O227+O232+O239+N(O240)-O241,1),"")</f>
        <v>0</v>
      </c>
      <c r="P244" s="34" t="n">
        <f aca="false">IF(ISNUMBER(P227),ROUND(P227+P232+P239+N(P240)-P241,1),"")</f>
        <v>0</v>
      </c>
      <c r="Q244" s="34" t="n">
        <f aca="false">IF(ISNUMBER(Q227),ROUND(Q227+Q232+Q239+N(Q240)-Q241,1),"")</f>
        <v>0</v>
      </c>
      <c r="R244" s="34" t="n">
        <f aca="false">IF(ISNUMBER(R227),ROUND(R227+R232+R239+N(R240)-R241,1),"")</f>
        <v>0</v>
      </c>
      <c r="S244" s="34" t="n">
        <f aca="false">IF(ISNUMBER(S227),ROUND(S227+S232+S239+N(S240)-S241,1),"")</f>
        <v>0</v>
      </c>
      <c r="T244" s="34" t="n">
        <f aca="false">IF(ISNUMBER(T227),ROUND(T227+T232+T239+N(T240)-T241,1),"")</f>
        <v>0</v>
      </c>
      <c r="U244" s="34" t="n">
        <f aca="false">IF(ISNUMBER(U227),ROUND(U227+U232+U239+N(U240)-U241,1),"")</f>
        <v>0</v>
      </c>
      <c r="V244" s="34" t="n">
        <f aca="false">IF(ISNUMBER(V227),ROUND(V227+V232+V239+N(V240)-V241,1),"")</f>
        <v>0</v>
      </c>
      <c r="W244" s="34" t="n">
        <f aca="false">IF(ISNUMBER(W227),ROUND(W227+W232+W239+N(W240)-W241,1),"")</f>
        <v>0</v>
      </c>
      <c r="X244" s="34" t="n">
        <f aca="false">IF(ISNUMBER(X227),ROUND(X227+X232+X239+N(X240)-X241,1),"")</f>
        <v>0</v>
      </c>
      <c r="Y244" s="34" t="n">
        <f aca="false">IF(ISNUMBER(Y227),ROUND(Y227+Y232+Y239+N(Y240)-Y241,1),"")</f>
        <v>0</v>
      </c>
      <c r="Z244" s="34" t="n">
        <f aca="false">IF(ISNUMBER(Z227),ROUND(Z227+Z232+Z239+N(Z240)-Z241,1),"")</f>
        <v>0</v>
      </c>
      <c r="AA244" s="34" t="n">
        <f aca="false">IF(ISNUMBER(AA227),ROUND(AA227+AA232+AA239+N(AA240)-AA241,1),"")</f>
        <v>0</v>
      </c>
      <c r="AB244" s="34" t="n">
        <f aca="false">IF(ISNUMBER(AB227),ROUND(AB227+AB232+AB239+N(AB240)-AB241,1),"")</f>
        <v>0</v>
      </c>
      <c r="AC244" s="34" t="n">
        <f aca="false">IF(ISNUMBER(AC227),ROUND(AC227+AC232+AC239+N(AC240)-AC241,1),"")</f>
        <v>0</v>
      </c>
      <c r="AD244" s="34" t="n">
        <f aca="false">IF(ISNUMBER(AD227),ROUND(AD227+AD232+AD239+N(AD240)-AD241,1),"")</f>
        <v>0</v>
      </c>
      <c r="AE244" s="34" t="n">
        <f aca="false">IF(ISNUMBER(AE227),ROUND(AE227+AE232+AE239+N(AE240)-AE241,1),"")</f>
        <v>0</v>
      </c>
      <c r="AF244" s="34" t="n">
        <f aca="false">IF(ISNUMBER(AF227),ROUND(AF227+AF232+AF239+N(AF240)-AF241,1),"")</f>
        <v>0</v>
      </c>
      <c r="AG244" s="34" t="n">
        <f aca="false">IF(ISNUMBER(AG227),ROUND(AG227+AG232+AG239+N(AG240)-AG241,1),"")</f>
        <v>0</v>
      </c>
      <c r="AH244" s="34" t="n">
        <f aca="false">IF(ISNUMBER(AH227),ROUND(AH227+AH232+AH239+N(AH240)-AH241,1),"")</f>
        <v>0</v>
      </c>
      <c r="AI244" s="34" t="n">
        <f aca="false">IF(ISNUMBER(AI227),ROUND(AI227+AI232+AI239+N(AI240)-AI241,1),"")</f>
        <v>0</v>
      </c>
      <c r="AJ244" s="34" t="n">
        <f aca="false">IF(ISNUMBER(AJ227),ROUND(AJ227+AJ232+AJ239+N(AJ240)-AJ241,1),"")</f>
        <v>0</v>
      </c>
      <c r="AK244" s="34" t="n">
        <f aca="false">IF(ISNUMBER(AK227),ROUND(AK227+AK232+AK239+N(AK240)-AK241,1),"")</f>
        <v>0</v>
      </c>
      <c r="AL244" s="34" t="n">
        <f aca="false">IF(ISNUMBER(AL227),ROUND(AL227+AL232+AL239+N(AL240)-AL241,1),"")</f>
        <v>0</v>
      </c>
      <c r="AM244" s="34" t="n">
        <f aca="false">IF(ISNUMBER(AM227),ROUND(AM227+AM232+AM239+N(AM240)-AM241,1),"")</f>
        <v>0</v>
      </c>
      <c r="AN244" s="34" t="n">
        <f aca="false">IF(ISNUMBER(AN227),ROUND(AN227+AN232+AN239+N(AN240)-AN241,1),"")</f>
        <v>0</v>
      </c>
      <c r="AO244" s="34" t="n">
        <f aca="false">IF(ISNUMBER(AO227),ROUND(AO227+AO232+AO239+N(AO240)-AO241,1),"")</f>
        <v>0</v>
      </c>
      <c r="AP244" s="34" t="n">
        <f aca="false">IF(ISNUMBER(AP227),ROUND(AP227+AP232+AP239+N(AP240)-AP241,1),"")</f>
        <v>0</v>
      </c>
      <c r="AQ244" s="34" t="n">
        <f aca="false">IF(ISNUMBER(AQ227),ROUND(AQ227+AQ232+AQ239+N(AQ240)-AQ241,1),"")</f>
        <v>0</v>
      </c>
      <c r="AR244" s="34" t="n">
        <f aca="false">IF(ISNUMBER(AR227),ROUND(AR227+AR232+AR239+N(AR240)-AR241,1),"")</f>
        <v>0</v>
      </c>
      <c r="AS244" s="34" t="n">
        <f aca="false">IF(ISNUMBER(AS227),ROUND(AS227+AS232+AS239+N(AS240)-AS241,1),"")</f>
        <v>0</v>
      </c>
      <c r="AT244" s="34" t="n">
        <f aca="false">IF(ISNUMBER(AT227),ROUND(AT227+AT232+AT239+N(AT240)-AT241,1),"")</f>
        <v>0</v>
      </c>
      <c r="AU244" s="34" t="n">
        <f aca="false">IF(ISNUMBER(AU227),ROUND(AU227+AU232+AU239+N(AU240)-AU241,1),"")</f>
        <v>0</v>
      </c>
      <c r="AV244" s="34" t="n">
        <f aca="false">IF(ISNUMBER(AV227),ROUND(AV227+AV232+AV239+N(AV240)-AV241,1),"")</f>
        <v>0</v>
      </c>
      <c r="AW244" s="34" t="n">
        <f aca="false">IF(ISNUMBER(AW227),ROUND(AW227+AW232+AW239+N(AW240)-AW241,1),"")</f>
        <v>0</v>
      </c>
      <c r="AX244" s="34" t="n">
        <f aca="false">IF(ISNUMBER(AX227),ROUND(AX227+AX232+AX239+N(AX240)-AX241,1),"")</f>
        <v>0</v>
      </c>
      <c r="AY244" s="34" t="n">
        <f aca="false">IF(ISNUMBER(AY227),ROUND(AY227+AY232+AY239+N(AY240)-AY241,1),"")</f>
        <v>0</v>
      </c>
      <c r="AZ244" s="34" t="n">
        <f aca="false">IF(ISNUMBER(AZ227),ROUND(AZ227+AZ232+AZ239+N(AZ240)-AZ241,1),"")</f>
        <v>0</v>
      </c>
      <c r="BA244" s="34" t="n">
        <f aca="false">IF(ISNUMBER(BA227),ROUND(BA227+BA232+BA239+N(BA240)-BA241,1),"")</f>
        <v>0</v>
      </c>
      <c r="BB244" s="34" t="n">
        <f aca="false">IF(ISNUMBER(BB227),ROUND(BB227+BB232+BB239+N(BB240)-BB241,1),"")</f>
        <v>0</v>
      </c>
      <c r="BC244" s="34" t="n">
        <f aca="false">IF(ISNUMBER(BC227),ROUND(BC227+BC232+BC239+N(BC240)-BC241,1),"")</f>
        <v>0</v>
      </c>
      <c r="BD244" s="34" t="n">
        <f aca="false">IF(ISNUMBER(BD227),ROUND(BD227+BD232+BD239+N(BD240)-BD241,1),"")</f>
        <v>0</v>
      </c>
      <c r="BE244" s="34" t="n">
        <f aca="false">IF(ISNUMBER(BE227),ROUND(BE227+BE232+BE239+N(BE240)-BE241,1),"")</f>
        <v>0</v>
      </c>
      <c r="BF244" s="34" t="n">
        <f aca="false">IF(ISNUMBER(BF227),ROUND(BF227+BF232+BF239+N(BF240)-BF241,1),"")</f>
        <v>0</v>
      </c>
      <c r="BG244" s="34" t="n">
        <f aca="false">IF(ISNUMBER(BG227),ROUND(BG227+BG232+BG239+N(BG240)-BG241,1),"")</f>
        <v>0</v>
      </c>
      <c r="BH244" s="34" t="n">
        <f aca="false">IF(ISNUMBER(BH227),ROUND(BH227+BH232+BH239+N(BH240)-BH241,1),"")</f>
        <v>0</v>
      </c>
      <c r="BI244" s="34" t="n">
        <f aca="false">IF(ISNUMBER(BI227),ROUND(BI227+BI232+BI239+N(BI240)-BI241,1),"")</f>
        <v>0</v>
      </c>
      <c r="BJ244" s="34" t="n">
        <f aca="false">IF(ISNUMBER(BJ227),ROUND(BJ227+BJ232+BJ239+N(BJ240)-BJ241,1),"")</f>
        <v>0</v>
      </c>
      <c r="BK244" s="34" t="n">
        <f aca="false">IF(ISNUMBER(BK227),ROUND(BK227+BK232+BK239+N(BK240)-BK241,1),"")</f>
        <v>0</v>
      </c>
      <c r="BL244" s="34" t="n">
        <f aca="false">IF(ISNUMBER(BL227),ROUND(BL227+BL232+BL239+N(BL240)-BL241,1),"")</f>
        <v>0</v>
      </c>
      <c r="BM244" s="34" t="n">
        <f aca="false">IF(ISNUMBER(BM227),ROUND(BM227+BM232+BM239+N(BM240)-BM241,1),"")</f>
        <v>0</v>
      </c>
      <c r="BN244" s="34" t="n">
        <f aca="false">IF(ISNUMBER(BN227),ROUND(BN227+BN232+BN239+N(BN240)-BN241,1),"")</f>
        <v>0</v>
      </c>
      <c r="BO244" s="34" t="n">
        <f aca="false">IF(ISNUMBER(BO227),ROUND(BO227+BO232+BO239+N(BO240)-BO241,1),"")</f>
        <v>0</v>
      </c>
      <c r="BP244" s="34" t="n">
        <f aca="false">IF(ISNUMBER(BP227),ROUND(BP227+BP232+BP239+N(BP240)-BP241,1),"")</f>
        <v>0</v>
      </c>
      <c r="BQ244" s="34" t="n">
        <f aca="false">IF(ISNUMBER(BQ227),ROUND(BQ227+BQ232+BQ239+N(BQ240)-BQ241,1),"")</f>
        <v>0</v>
      </c>
      <c r="BR244" s="34" t="n">
        <f aca="false">IF(ISNUMBER(BR227),ROUND(BR227+BR232+BR239+N(BR240)-BR241,1),"")</f>
        <v>0</v>
      </c>
      <c r="BS244" s="34" t="n">
        <f aca="false">IF(ISNUMBER(BS227),ROUND(BS227+BS232+BS239+N(BS240)-BS241,1),"")</f>
        <v>0</v>
      </c>
      <c r="BT244" s="34" t="n">
        <f aca="false">IF(ISNUMBER(BT227),ROUND(BT227+BT232+BT239+N(BT240)-BT241,1),"")</f>
        <v>0</v>
      </c>
      <c r="BU244" s="34" t="n">
        <f aca="false">IF(ISNUMBER(BU227),ROUND(BU227+BU232+BU239+N(BU240)-BU241,1),"")</f>
        <v>0</v>
      </c>
      <c r="BV244" s="34" t="n">
        <f aca="false">IF(ISNUMBER(BV227),ROUND(BV227+BV232+BV239+N(BV240)-BV241,1),"")</f>
        <v>0</v>
      </c>
      <c r="BW244" s="34" t="n">
        <f aca="false">IF(ISNUMBER(BW227),ROUND(BW227+BW232+BW239+N(BW240)-BW241,1),"")</f>
        <v>0</v>
      </c>
      <c r="BX244" s="34" t="n">
        <f aca="false">IF(ISNUMBER(BX227),ROUND(BX227+BX232+BX239+N(BX240)-BX241,1),"")</f>
        <v>0</v>
      </c>
      <c r="BY244" s="36"/>
      <c r="BZ244" s="36"/>
      <c r="CA244" s="36" t="n">
        <f aca="false">ROUND(CA227+CA232+CA239+N(CA240)-CA241,1)</f>
        <v>0</v>
      </c>
      <c r="CB244" s="36" t="n">
        <f aca="false">ROUND(CB227+CB232+CB239+N(CB240)-CB241,1)</f>
        <v>0</v>
      </c>
      <c r="CC244" s="36" t="n">
        <f aca="false">ROUND(CC227+CC232+CC239+N(CC240)-CC241,1)</f>
        <v>0</v>
      </c>
      <c r="CD244" s="36" t="n">
        <f aca="false">ROUND(CD227+CD232+CD239+N(CD240)-CD241,1)</f>
        <v>0</v>
      </c>
      <c r="CE244" s="36" t="n">
        <f aca="false">ROUND(CE227+CE232+CE239+N(CE240)-CE241,1)</f>
        <v>0</v>
      </c>
      <c r="CF244" s="28"/>
    </row>
    <row r="245" customFormat="false" ht="15" hidden="false" customHeight="true" outlineLevel="0" collapsed="false">
      <c r="B245" s="41" t="s">
        <v>455</v>
      </c>
      <c r="C245" s="34" t="n">
        <f aca="false">IF(ISNUMBER(C242),ROUND(C242+C241-C243,1),"")</f>
        <v>0</v>
      </c>
      <c r="D245" s="34" t="n">
        <f aca="false">IF(ISNUMBER(D242),ROUND(D242+D241-D243,1),"")</f>
        <v>0</v>
      </c>
      <c r="E245" s="34" t="n">
        <f aca="false">IF(ISNUMBER(E242),ROUND(E242+E241-E243,1),"")</f>
        <v>0</v>
      </c>
      <c r="F245" s="34" t="n">
        <f aca="false">IF(ISNUMBER(F242),ROUND(F242+F241-F243,1),"")</f>
        <v>0</v>
      </c>
      <c r="G245" s="34" t="n">
        <f aca="false">IF(ISNUMBER(G242),ROUND(G242+G241-G243,1),"")</f>
        <v>0</v>
      </c>
      <c r="H245" s="34" t="n">
        <f aca="false">IF(ISNUMBER(H242),ROUND(H242+H241-H243,1),"")</f>
        <v>0</v>
      </c>
      <c r="I245" s="34" t="n">
        <f aca="false">IF(ISNUMBER(I242),ROUND(I242+I241-I243,1),"")</f>
        <v>0</v>
      </c>
      <c r="J245" s="34" t="n">
        <f aca="false">IF(ISNUMBER(J242),ROUND(J242+J241-J243,1),"")</f>
        <v>0</v>
      </c>
      <c r="K245" s="34" t="n">
        <f aca="false">IF(ISNUMBER(K242),ROUND(K242+K241-K243,1),"")</f>
        <v>0</v>
      </c>
      <c r="L245" s="34" t="n">
        <f aca="false">IF(ISNUMBER(L242),ROUND(L242+L241-L243,1),"")</f>
        <v>0</v>
      </c>
      <c r="M245" s="34" t="n">
        <f aca="false">IF(ISNUMBER(M242),ROUND(M242+M241-M243,1),"")</f>
        <v>0</v>
      </c>
      <c r="N245" s="34" t="n">
        <f aca="false">IF(ISNUMBER(N242),ROUND(N242+N241-N243,1),"")</f>
        <v>0</v>
      </c>
      <c r="O245" s="34" t="n">
        <f aca="false">IF(ISNUMBER(O242),ROUND(O242+O241-O243,1),"")</f>
        <v>0</v>
      </c>
      <c r="P245" s="34" t="n">
        <f aca="false">IF(ISNUMBER(P242),ROUND(P242+P241-P243,1),"")</f>
        <v>0</v>
      </c>
      <c r="Q245" s="34" t="n">
        <f aca="false">IF(ISNUMBER(Q242),ROUND(Q242+Q241-Q243,1),"")</f>
        <v>0</v>
      </c>
      <c r="R245" s="34" t="n">
        <f aca="false">IF(ISNUMBER(R242),ROUND(R242+R241-R243,1),"")</f>
        <v>0</v>
      </c>
      <c r="S245" s="34" t="n">
        <f aca="false">IF(ISNUMBER(S242),ROUND(S242+S241-S243,1),"")</f>
        <v>0</v>
      </c>
      <c r="T245" s="34" t="n">
        <f aca="false">IF(ISNUMBER(T242),ROUND(T242+T241-T243,1),"")</f>
        <v>0</v>
      </c>
      <c r="U245" s="34" t="n">
        <f aca="false">IF(ISNUMBER(U242),ROUND(U242+U241-U243,1),"")</f>
        <v>0</v>
      </c>
      <c r="V245" s="34" t="n">
        <f aca="false">IF(ISNUMBER(V242),ROUND(V242+V241-V243,1),"")</f>
        <v>0</v>
      </c>
      <c r="W245" s="34" t="n">
        <f aca="false">IF(ISNUMBER(W242),ROUND(W242+W241-W243,1),"")</f>
        <v>0</v>
      </c>
      <c r="X245" s="34" t="n">
        <f aca="false">IF(ISNUMBER(X242),ROUND(X242+X241-X243,1),"")</f>
        <v>0</v>
      </c>
      <c r="Y245" s="34" t="n">
        <f aca="false">IF(ISNUMBER(Y242),ROUND(Y242+Y241-Y243,1),"")</f>
        <v>0</v>
      </c>
      <c r="Z245" s="34" t="n">
        <f aca="false">IF(ISNUMBER(Z242),ROUND(Z242+Z241-Z243,1),"")</f>
        <v>0</v>
      </c>
      <c r="AA245" s="34" t="n">
        <f aca="false">IF(ISNUMBER(AA242),ROUND(AA242+AA241-AA243,1),"")</f>
        <v>0</v>
      </c>
      <c r="AB245" s="34" t="n">
        <f aca="false">IF(ISNUMBER(AB242),ROUND(AB242+AB241-AB243,1),"")</f>
        <v>0</v>
      </c>
      <c r="AC245" s="34" t="n">
        <f aca="false">IF(ISNUMBER(AC242),ROUND(AC242+AC241-AC243,1),"")</f>
        <v>0</v>
      </c>
      <c r="AD245" s="34" t="n">
        <f aca="false">IF(ISNUMBER(AD242),ROUND(AD242+AD241-AD243,1),"")</f>
        <v>0</v>
      </c>
      <c r="AE245" s="34" t="n">
        <f aca="false">IF(ISNUMBER(AE242),ROUND(AE242+AE241-AE243,1),"")</f>
        <v>0</v>
      </c>
      <c r="AF245" s="34" t="n">
        <f aca="false">IF(ISNUMBER(AF242),ROUND(AF242+AF241-AF243,1),"")</f>
        <v>0</v>
      </c>
      <c r="AG245" s="34" t="n">
        <f aca="false">IF(ISNUMBER(AG242),ROUND(AG242+AG241-AG243,1),"")</f>
        <v>0</v>
      </c>
      <c r="AH245" s="34" t="n">
        <f aca="false">IF(ISNUMBER(AH242),ROUND(AH242+AH241-AH243,1),"")</f>
        <v>0</v>
      </c>
      <c r="AI245" s="34" t="n">
        <f aca="false">IF(ISNUMBER(AI242),ROUND(AI242+AI241-AI243,1),"")</f>
        <v>0</v>
      </c>
      <c r="AJ245" s="34" t="n">
        <f aca="false">IF(ISNUMBER(AJ242),ROUND(AJ242+AJ241-AJ243,1),"")</f>
        <v>0</v>
      </c>
      <c r="AK245" s="34" t="n">
        <f aca="false">IF(ISNUMBER(AK242),ROUND(AK242+AK241-AK243,1),"")</f>
        <v>0</v>
      </c>
      <c r="AL245" s="34" t="n">
        <f aca="false">IF(ISNUMBER(AL242),ROUND(AL242+AL241-AL243,1),"")</f>
        <v>0</v>
      </c>
      <c r="AM245" s="34" t="n">
        <f aca="false">IF(ISNUMBER(AM242),ROUND(AM242+AM241-AM243,1),"")</f>
        <v>0</v>
      </c>
      <c r="AN245" s="34" t="n">
        <f aca="false">IF(ISNUMBER(AN242),ROUND(AN242+AN241-AN243,1),"")</f>
        <v>0</v>
      </c>
      <c r="AO245" s="34" t="n">
        <f aca="false">IF(ISNUMBER(AO242),ROUND(AO242+AO241-AO243,1),"")</f>
        <v>0</v>
      </c>
      <c r="AP245" s="34" t="n">
        <f aca="false">IF(ISNUMBER(AP242),ROUND(AP242+AP241-AP243,1),"")</f>
        <v>0</v>
      </c>
      <c r="AQ245" s="34" t="n">
        <f aca="false">IF(ISNUMBER(AQ242),ROUND(AQ242+AQ241-AQ243,1),"")</f>
        <v>0</v>
      </c>
      <c r="AR245" s="34" t="n">
        <f aca="false">IF(ISNUMBER(AR242),ROUND(AR242+AR241-AR243,1),"")</f>
        <v>0</v>
      </c>
      <c r="AS245" s="34" t="n">
        <f aca="false">IF(ISNUMBER(AS242),ROUND(AS242+AS241-AS243,1),"")</f>
        <v>0</v>
      </c>
      <c r="AT245" s="34" t="n">
        <f aca="false">IF(ISNUMBER(AT242),ROUND(AT242+AT241-AT243,1),"")</f>
        <v>0</v>
      </c>
      <c r="AU245" s="34" t="n">
        <f aca="false">IF(ISNUMBER(AU242),ROUND(AU242+AU241-AU243,1),"")</f>
        <v>0</v>
      </c>
      <c r="AV245" s="34" t="n">
        <f aca="false">IF(ISNUMBER(AV242),ROUND(AV242+AV241-AV243,1),"")</f>
        <v>0</v>
      </c>
      <c r="AW245" s="34" t="n">
        <f aca="false">IF(ISNUMBER(AW242),ROUND(AW242+AW241-AW243,1),"")</f>
        <v>0</v>
      </c>
      <c r="AX245" s="34" t="n">
        <f aca="false">IF(ISNUMBER(AX242),ROUND(AX242+AX241-AX243,1),"")</f>
        <v>0</v>
      </c>
      <c r="AY245" s="34" t="n">
        <f aca="false">IF(ISNUMBER(AY242),ROUND(AY242+AY241-AY243,1),"")</f>
        <v>0</v>
      </c>
      <c r="AZ245" s="34" t="n">
        <f aca="false">IF(ISNUMBER(AZ242),ROUND(AZ242+AZ241-AZ243,1),"")</f>
        <v>0</v>
      </c>
      <c r="BA245" s="34" t="n">
        <f aca="false">IF(ISNUMBER(BA242),ROUND(BA242+BA241-BA243,1),"")</f>
        <v>0</v>
      </c>
      <c r="BB245" s="34" t="n">
        <f aca="false">IF(ISNUMBER(BB242),ROUND(BB242+BB241-BB243,1),"")</f>
        <v>0</v>
      </c>
      <c r="BC245" s="34" t="n">
        <f aca="false">IF(ISNUMBER(BC242),ROUND(BC242+BC241-BC243,1),"")</f>
        <v>0</v>
      </c>
      <c r="BD245" s="34" t="n">
        <f aca="false">IF(ISNUMBER(BD242),ROUND(BD242+BD241-BD243,1),"")</f>
        <v>0</v>
      </c>
      <c r="BE245" s="34" t="n">
        <f aca="false">IF(ISNUMBER(BE242),ROUND(BE242+BE241-BE243,1),"")</f>
        <v>0</v>
      </c>
      <c r="BF245" s="34" t="n">
        <f aca="false">IF(ISNUMBER(BF242),ROUND(BF242+BF241-BF243,1),"")</f>
        <v>0</v>
      </c>
      <c r="BG245" s="34" t="n">
        <f aca="false">IF(ISNUMBER(BG242),ROUND(BG242+BG241-BG243,1),"")</f>
        <v>0</v>
      </c>
      <c r="BH245" s="34" t="n">
        <f aca="false">IF(ISNUMBER(BH242),ROUND(BH242+BH241-BH243,1),"")</f>
        <v>0</v>
      </c>
      <c r="BI245" s="34" t="n">
        <f aca="false">IF(ISNUMBER(BI242),ROUND(BI242+BI241-BI243,1),"")</f>
        <v>0</v>
      </c>
      <c r="BJ245" s="34" t="n">
        <f aca="false">IF(ISNUMBER(BJ242),ROUND(BJ242+BJ241-BJ243,1),"")</f>
        <v>0</v>
      </c>
      <c r="BK245" s="34" t="n">
        <f aca="false">IF(ISNUMBER(BK242),ROUND(BK242+BK241-BK243,1),"")</f>
        <v>-0</v>
      </c>
      <c r="BL245" s="34" t="n">
        <f aca="false">IF(ISNUMBER(BL242),ROUND(BL242+BL241-BL243,1),"")</f>
        <v>0</v>
      </c>
      <c r="BM245" s="34" t="n">
        <f aca="false">IF(ISNUMBER(BM242),ROUND(BM242+BM241-BM243,1),"")</f>
        <v>0</v>
      </c>
      <c r="BN245" s="34" t="n">
        <f aca="false">IF(ISNUMBER(BN242),ROUND(BN242+BN241-BN243,1),"")</f>
        <v>0</v>
      </c>
      <c r="BO245" s="34" t="n">
        <f aca="false">IF(ISNUMBER(BO242),ROUND(BO242+BO241-BO243,1),"")</f>
        <v>0</v>
      </c>
      <c r="BP245" s="34" t="n">
        <f aca="false">IF(ISNUMBER(BP242),ROUND(BP242+BP241-BP243,1),"")</f>
        <v>0</v>
      </c>
      <c r="BQ245" s="34" t="n">
        <f aca="false">IF(ISNUMBER(BQ242),ROUND(BQ242+BQ241-BQ243,1),"")</f>
        <v>0</v>
      </c>
      <c r="BR245" s="34" t="n">
        <f aca="false">IF(ISNUMBER(BR242),ROUND(BR242+BR241-BR243,1),"")</f>
        <v>0</v>
      </c>
      <c r="BS245" s="34" t="n">
        <f aca="false">IF(ISNUMBER(BS242),ROUND(BS242+BS241-BS243,1),"")</f>
        <v>0</v>
      </c>
      <c r="BT245" s="34" t="n">
        <f aca="false">IF(ISNUMBER(BT242),ROUND(BT242+BT241-BT243,1),"")</f>
        <v>0</v>
      </c>
      <c r="BU245" s="34" t="n">
        <f aca="false">IF(ISNUMBER(BU242),ROUND(BU242+BU241-BU243,1),"")</f>
        <v>0</v>
      </c>
      <c r="BV245" s="34" t="n">
        <f aca="false">IF(ISNUMBER(BV242),ROUND(BV242+BV241-BV243,1),"")</f>
        <v>0</v>
      </c>
      <c r="BW245" s="34" t="n">
        <f aca="false">IF(ISNUMBER(BW242),ROUND(BW242+BW241-BW243,1),"")</f>
        <v>0</v>
      </c>
      <c r="BX245" s="34" t="n">
        <f aca="false">IF(ISNUMBER(BX242),ROUND(BX242+BX241-BX243,1),"")</f>
        <v>0</v>
      </c>
      <c r="BY245" s="36"/>
      <c r="BZ245" s="36"/>
      <c r="CA245" s="36" t="n">
        <f aca="false">ROUND(CA242+CA241-CA243,1)</f>
        <v>0</v>
      </c>
      <c r="CB245" s="36" t="n">
        <f aca="false">ROUND(CB242+CB241-CB243,1)</f>
        <v>0</v>
      </c>
      <c r="CC245" s="36" t="n">
        <f aca="false">ROUND(CC242+CC241-CC243,1)</f>
        <v>0</v>
      </c>
      <c r="CD245" s="36" t="n">
        <f aca="false">ROUND(CD242+CD241-CD243,1)</f>
        <v>0</v>
      </c>
      <c r="CE245" s="36" t="n">
        <f aca="false">ROUND(CE242+CE241-CE243,1)</f>
        <v>0</v>
      </c>
      <c r="CF245" s="28"/>
    </row>
    <row r="246" customFormat="false" ht="15" hidden="false" customHeight="true" outlineLevel="0" collapsed="false">
      <c r="B246" s="41" t="s">
        <v>456</v>
      </c>
      <c r="C246" s="34" t="n">
        <f aca="false">IF(ISNUMBER(C227),ROUND(SUM(C219:C226)-C227,1)+ROUND(SUM(C228:C231)-C232,1)+ROUND(SUM(C233:C238)-C239,1),"")</f>
        <v>0</v>
      </c>
      <c r="D246" s="34" t="n">
        <f aca="false">IF(ISNUMBER(D227),ROUND(SUM(D219:D226)-D227,1)+ROUND(SUM(D228:D231)-D232,1)+ROUND(SUM(D233:D238)-D239,1),"")</f>
        <v>0</v>
      </c>
      <c r="E246" s="34" t="n">
        <f aca="false">IF(ISNUMBER(E227),ROUND(SUM(E219:E226)-E227,1)+ROUND(SUM(E228:E231)-E232,1)+ROUND(SUM(E233:E238)-E239,1),"")</f>
        <v>0</v>
      </c>
      <c r="F246" s="34" t="n">
        <f aca="false">IF(ISNUMBER(F227),ROUND(SUM(F219:F226)-F227,1)+ROUND(SUM(F228:F231)-F232,1)+ROUND(SUM(F233:F238)-F239,1),"")</f>
        <v>0</v>
      </c>
      <c r="G246" s="34" t="n">
        <f aca="false">IF(ISNUMBER(G227),ROUND(SUM(G219:G226)-G227,1)+ROUND(SUM(G228:G231)-G232,1)+ROUND(SUM(G233:G238)-G239,1),"")</f>
        <v>0</v>
      </c>
      <c r="H246" s="34" t="n">
        <f aca="false">IF(ISNUMBER(H227),ROUND(SUM(H219:H226)-H227,1)+ROUND(SUM(H228:H231)-H232,1)+ROUND(SUM(H233:H238)-H239,1),"")</f>
        <v>0</v>
      </c>
      <c r="I246" s="34" t="n">
        <f aca="false">IF(ISNUMBER(I227),ROUND(SUM(I219:I226)-I227,1)+ROUND(SUM(I228:I231)-I232,1)+ROUND(SUM(I233:I238)-I239,1),"")</f>
        <v>0</v>
      </c>
      <c r="J246" s="34" t="n">
        <f aca="false">IF(ISNUMBER(J227),ROUND(SUM(J219:J226)-J227,1)+ROUND(SUM(J228:J231)-J232,1)+ROUND(SUM(J233:J238)-J239,1),"")</f>
        <v>0</v>
      </c>
      <c r="K246" s="34" t="n">
        <f aca="false">IF(ISNUMBER(K227),ROUND(SUM(K219:K226)-K227,1)+ROUND(SUM(K228:K231)-K232,1)+ROUND(SUM(K233:K238)-K239,1),"")</f>
        <v>0</v>
      </c>
      <c r="L246" s="34" t="n">
        <f aca="false">IF(ISNUMBER(L227),ROUND(SUM(L219:L226)-L227,1)+ROUND(SUM(L228:L231)-L232,1)+ROUND(SUM(L233:L238)-L239,1),"")</f>
        <v>0</v>
      </c>
      <c r="M246" s="34" t="n">
        <f aca="false">IF(ISNUMBER(M227),ROUND(SUM(M219:M226)-M227,1)+ROUND(SUM(M228:M231)-M232,1)+ROUND(SUM(M233:M238)-M239,1),"")</f>
        <v>0</v>
      </c>
      <c r="N246" s="34" t="n">
        <f aca="false">IF(ISNUMBER(N227),ROUND(SUM(N219:N226)-N227,1)+ROUND(SUM(N228:N231)-N232,1)+ROUND(SUM(N233:N238)-N239,1),"")</f>
        <v>0</v>
      </c>
      <c r="O246" s="34" t="n">
        <f aca="false">IF(ISNUMBER(O227),ROUND(SUM(O219:O226)-O227,1)+ROUND(SUM(O228:O231)-O232,1)+ROUND(SUM(O233:O238)-O239,1),"")</f>
        <v>0</v>
      </c>
      <c r="P246" s="34" t="n">
        <f aca="false">IF(ISNUMBER(P227),ROUND(SUM(P219:P226)-P227,1)+ROUND(SUM(P228:P231)-P232,1)+ROUND(SUM(P233:P238)-P239,1),"")</f>
        <v>0</v>
      </c>
      <c r="Q246" s="34" t="n">
        <f aca="false">IF(ISNUMBER(Q227),ROUND(SUM(Q219:Q226)-Q227,1)+ROUND(SUM(Q228:Q231)-Q232,1)+ROUND(SUM(Q233:Q238)-Q239,1),"")</f>
        <v>0</v>
      </c>
      <c r="R246" s="34" t="n">
        <f aca="false">IF(ISNUMBER(R227),ROUND(SUM(R219:R226)-R227,1)+ROUND(SUM(R228:R231)-R232,1)+ROUND(SUM(R233:R238)-R239,1),"")</f>
        <v>0</v>
      </c>
      <c r="S246" s="34" t="n">
        <f aca="false">IF(ISNUMBER(S227),ROUND(SUM(S219:S226)-S227,1)+ROUND(SUM(S228:S231)-S232,1)+ROUND(SUM(S233:S238)-S239,1),"")</f>
        <v>0</v>
      </c>
      <c r="T246" s="34" t="n">
        <f aca="false">IF(ISNUMBER(T227),ROUND(SUM(T219:T226)-T227,1)+ROUND(SUM(T228:T231)-T232,1)+ROUND(SUM(T233:T238)-T239,1),"")</f>
        <v>0</v>
      </c>
      <c r="U246" s="34" t="n">
        <f aca="false">IF(ISNUMBER(U227),ROUND(SUM(U219:U226)-U227,1)+ROUND(SUM(U228:U231)-U232,1)+ROUND(SUM(U233:U238)-U239,1),"")</f>
        <v>0</v>
      </c>
      <c r="V246" s="34" t="n">
        <f aca="false">IF(ISNUMBER(V227),ROUND(SUM(V219:V226)-V227,1)+ROUND(SUM(V228:V231)-V232,1)+ROUND(SUM(V233:V238)-V239,1),"")</f>
        <v>0</v>
      </c>
      <c r="W246" s="34" t="n">
        <f aca="false">IF(ISNUMBER(W227),ROUND(SUM(W219:W226)-W227,1)+ROUND(SUM(W228:W231)-W232,1)+ROUND(SUM(W233:W238)-W239,1),"")</f>
        <v>0</v>
      </c>
      <c r="X246" s="34" t="n">
        <f aca="false">IF(ISNUMBER(X227),ROUND(SUM(X219:X226)-X227,1)+ROUND(SUM(X228:X231)-X232,1)+ROUND(SUM(X233:X238)-X239,1),"")</f>
        <v>0</v>
      </c>
      <c r="Y246" s="34" t="n">
        <f aca="false">IF(ISNUMBER(Y227),ROUND(SUM(Y219:Y226)-Y227,1)+ROUND(SUM(Y228:Y231)-Y232,1)+ROUND(SUM(Y233:Y238)-Y239,1),"")</f>
        <v>0</v>
      </c>
      <c r="Z246" s="34" t="n">
        <f aca="false">IF(ISNUMBER(Z227),ROUND(SUM(Z219:Z226)-Z227,1)+ROUND(SUM(Z228:Z231)-Z232,1)+ROUND(SUM(Z233:Z238)-Z239,1),"")</f>
        <v>0</v>
      </c>
      <c r="AA246" s="34" t="n">
        <f aca="false">IF(ISNUMBER(AA227),ROUND(SUM(AA219:AA226)-AA227,1)+ROUND(SUM(AA228:AA231)-AA232,1)+ROUND(SUM(AA233:AA238)-AA239,1),"")</f>
        <v>0</v>
      </c>
      <c r="AB246" s="34" t="n">
        <f aca="false">IF(ISNUMBER(AB227),ROUND(SUM(AB219:AB226)-AB227,1)+ROUND(SUM(AB228:AB231)-AB232,1)+ROUND(SUM(AB233:AB238)-AB239,1),"")</f>
        <v>0</v>
      </c>
      <c r="AC246" s="34" t="n">
        <f aca="false">IF(ISNUMBER(AC227),ROUND(SUM(AC219:AC226)-AC227,1)+ROUND(SUM(AC228:AC231)-AC232,1)+ROUND(SUM(AC233:AC238)-AC239,1),"")</f>
        <v>0</v>
      </c>
      <c r="AD246" s="34" t="n">
        <f aca="false">IF(ISNUMBER(AD227),ROUND(SUM(AD219:AD226)-AD227,1)+ROUND(SUM(AD228:AD231)-AD232,1)+ROUND(SUM(AD233:AD238)-AD239,1),"")</f>
        <v>0</v>
      </c>
      <c r="AE246" s="34" t="n">
        <f aca="false">IF(ISNUMBER(AE227),ROUND(SUM(AE219:AE226)-AE227,1)+ROUND(SUM(AE228:AE231)-AE232,1)+ROUND(SUM(AE233:AE238)-AE239,1),"")</f>
        <v>0</v>
      </c>
      <c r="AF246" s="34" t="n">
        <f aca="false">IF(ISNUMBER(AF227),ROUND(SUM(AF219:AF226)-AF227,1)+ROUND(SUM(AF228:AF231)-AF232,1)+ROUND(SUM(AF233:AF238)-AF239,1),"")</f>
        <v>0</v>
      </c>
      <c r="AG246" s="34" t="n">
        <f aca="false">IF(ISNUMBER(AG227),ROUND(SUM(AG219:AG226)-AG227,1)+ROUND(SUM(AG228:AG231)-AG232,1)+ROUND(SUM(AG233:AG238)-AG239,1),"")</f>
        <v>0</v>
      </c>
      <c r="AH246" s="34" t="n">
        <f aca="false">IF(ISNUMBER(AH227),ROUND(SUM(AH219:AH226)-AH227,1)+ROUND(SUM(AH228:AH231)-AH232,1)+ROUND(SUM(AH233:AH238)-AH239,1),"")</f>
        <v>0</v>
      </c>
      <c r="AI246" s="34" t="n">
        <f aca="false">IF(ISNUMBER(AI227),ROUND(SUM(AI219:AI226)-AI227,1)+ROUND(SUM(AI228:AI231)-AI232,1)+ROUND(SUM(AI233:AI238)-AI239,1),"")</f>
        <v>0</v>
      </c>
      <c r="AJ246" s="34" t="n">
        <f aca="false">IF(ISNUMBER(AJ227),ROUND(SUM(AJ219:AJ226)-AJ227,1)+ROUND(SUM(AJ228:AJ231)-AJ232,1)+ROUND(SUM(AJ233:AJ238)-AJ239,1),"")</f>
        <v>0</v>
      </c>
      <c r="AK246" s="34" t="n">
        <f aca="false">IF(ISNUMBER(AK227),ROUND(SUM(AK219:AK226)-AK227,1)+ROUND(SUM(AK228:AK231)-AK232,1)+ROUND(SUM(AK233:AK238)-AK239,1),"")</f>
        <v>0</v>
      </c>
      <c r="AL246" s="34" t="n">
        <f aca="false">IF(ISNUMBER(AL227),ROUND(SUM(AL219:AL226)-AL227,1)+ROUND(SUM(AL228:AL231)-AL232,1)+ROUND(SUM(AL233:AL238)-AL239,1),"")</f>
        <v>0</v>
      </c>
      <c r="AM246" s="34" t="n">
        <f aca="false">IF(ISNUMBER(AM227),ROUND(SUM(AM219:AM226)-AM227,1)+ROUND(SUM(AM228:AM231)-AM232,1)+ROUND(SUM(AM233:AM238)-AM239,1),"")</f>
        <v>0</v>
      </c>
      <c r="AN246" s="34" t="n">
        <f aca="false">IF(ISNUMBER(AN227),ROUND(SUM(AN219:AN226)-AN227,1)+ROUND(SUM(AN228:AN231)-AN232,1)+ROUND(SUM(AN233:AN238)-AN239,1),"")</f>
        <v>0</v>
      </c>
      <c r="AO246" s="34" t="n">
        <f aca="false">IF(ISNUMBER(AO227),ROUND(SUM(AO219:AO226)-AO227,1)+ROUND(SUM(AO228:AO231)-AO232,1)+ROUND(SUM(AO233:AO238)-AO239,1),"")</f>
        <v>0</v>
      </c>
      <c r="AP246" s="34" t="n">
        <f aca="false">IF(ISNUMBER(AP227),ROUND(SUM(AP219:AP226)-AP227,1)+ROUND(SUM(AP228:AP231)-AP232,1)+ROUND(SUM(AP233:AP238)-AP239,1),"")</f>
        <v>0</v>
      </c>
      <c r="AQ246" s="34" t="n">
        <f aca="false">IF(ISNUMBER(AQ227),ROUND(SUM(AQ219:AQ226)-AQ227,1)+ROUND(SUM(AQ228:AQ231)-AQ232,1)+ROUND(SUM(AQ233:AQ238)-AQ239,1),"")</f>
        <v>0</v>
      </c>
      <c r="AR246" s="34" t="n">
        <f aca="false">IF(ISNUMBER(AR227),ROUND(SUM(AR219:AR226)-AR227,1)+ROUND(SUM(AR228:AR231)-AR232,1)+ROUND(SUM(AR233:AR238)-AR239,1),"")</f>
        <v>0</v>
      </c>
      <c r="AS246" s="34" t="n">
        <f aca="false">IF(ISNUMBER(AS227),ROUND(SUM(AS219:AS226)-AS227,1)+ROUND(SUM(AS228:AS231)-AS232,1)+ROUND(SUM(AS233:AS238)-AS239,1),"")</f>
        <v>0</v>
      </c>
      <c r="AT246" s="34" t="n">
        <f aca="false">IF(ISNUMBER(AT227),ROUND(SUM(AT219:AT226)-AT227,1)+ROUND(SUM(AT228:AT231)-AT232,1)+ROUND(SUM(AT233:AT238)-AT239,1),"")</f>
        <v>0</v>
      </c>
      <c r="AU246" s="34" t="n">
        <f aca="false">IF(ISNUMBER(AU227),ROUND(SUM(AU219:AU226)-AU227,1)+ROUND(SUM(AU228:AU231)-AU232,1)+ROUND(SUM(AU233:AU238)-AU239,1),"")</f>
        <v>0</v>
      </c>
      <c r="AV246" s="34" t="n">
        <f aca="false">IF(ISNUMBER(AV227),ROUND(SUM(AV219:AV226)-AV227,1)+ROUND(SUM(AV228:AV231)-AV232,1)+ROUND(SUM(AV233:AV238)-AV239,1),"")</f>
        <v>0</v>
      </c>
      <c r="AW246" s="34" t="n">
        <f aca="false">IF(ISNUMBER(AW227),ROUND(SUM(AW219:AW226)-AW227,1)+ROUND(SUM(AW228:AW231)-AW232,1)+ROUND(SUM(AW233:AW238)-AW239,1),"")</f>
        <v>0</v>
      </c>
      <c r="AX246" s="34" t="n">
        <f aca="false">IF(ISNUMBER(AX227),ROUND(SUM(AX219:AX226)-AX227,1)+ROUND(SUM(AX228:AX231)-AX232,1)+ROUND(SUM(AX233:AX238)-AX239,1),"")</f>
        <v>0</v>
      </c>
      <c r="AY246" s="34" t="n">
        <f aca="false">IF(ISNUMBER(AY227),ROUND(SUM(AY219:AY226)-AY227,1)+ROUND(SUM(AY228:AY231)-AY232,1)+ROUND(SUM(AY233:AY238)-AY239,1),"")</f>
        <v>0</v>
      </c>
      <c r="AZ246" s="34" t="n">
        <f aca="false">IF(ISNUMBER(AZ227),ROUND(SUM(AZ219:AZ226)-AZ227,1)+ROUND(SUM(AZ228:AZ231)-AZ232,1)+ROUND(SUM(AZ233:AZ238)-AZ239,1),"")</f>
        <v>0</v>
      </c>
      <c r="BA246" s="34" t="n">
        <f aca="false">IF(ISNUMBER(BA227),ROUND(SUM(BA219:BA226)-BA227,1)+ROUND(SUM(BA228:BA231)-BA232,1)+ROUND(SUM(BA233:BA238)-BA239,1),"")</f>
        <v>0</v>
      </c>
      <c r="BB246" s="34" t="n">
        <f aca="false">IF(ISNUMBER(BB227),ROUND(SUM(BB219:BB226)-BB227,1)+ROUND(SUM(BB228:BB231)-BB232,1)+ROUND(SUM(BB233:BB238)-BB239,1),"")</f>
        <v>0</v>
      </c>
      <c r="BC246" s="34" t="n">
        <f aca="false">IF(ISNUMBER(BC227),ROUND(SUM(BC219:BC226)-BC227,1)+ROUND(SUM(BC228:BC231)-BC232,1)+ROUND(SUM(BC233:BC238)-BC239,1),"")</f>
        <v>0</v>
      </c>
      <c r="BD246" s="34" t="n">
        <f aca="false">IF(ISNUMBER(BD227),ROUND(SUM(BD219:BD226)-BD227,1)+ROUND(SUM(BD228:BD231)-BD232,1)+ROUND(SUM(BD233:BD238)-BD239,1),"")</f>
        <v>0</v>
      </c>
      <c r="BE246" s="34" t="n">
        <f aca="false">IF(ISNUMBER(BE227),ROUND(SUM(BE219:BE226)-BE227,1)+ROUND(SUM(BE228:BE231)-BE232,1)+ROUND(SUM(BE233:BE238)-BE239,1),"")</f>
        <v>0</v>
      </c>
      <c r="BF246" s="34" t="n">
        <f aca="false">IF(ISNUMBER(BF227),ROUND(SUM(BF219:BF226)-BF227,1)+ROUND(SUM(BF228:BF231)-BF232,1)+ROUND(SUM(BF233:BF238)-BF239,1),"")</f>
        <v>0</v>
      </c>
      <c r="BG246" s="34" t="n">
        <f aca="false">IF(ISNUMBER(BG227),ROUND(SUM(BG219:BG226)-BG227,1)+ROUND(SUM(BG228:BG231)-BG232,1)+ROUND(SUM(BG233:BG238)-BG239,1),"")</f>
        <v>0</v>
      </c>
      <c r="BH246" s="34" t="n">
        <f aca="false">IF(ISNUMBER(BH227),ROUND(SUM(BH219:BH226)-BH227,1)+ROUND(SUM(BH228:BH231)-BH232,1)+ROUND(SUM(BH233:BH238)-BH239,1),"")</f>
        <v>0</v>
      </c>
      <c r="BI246" s="34" t="n">
        <f aca="false">IF(ISNUMBER(BI227),ROUND(SUM(BI219:BI226)-BI227,1)+ROUND(SUM(BI228:BI231)-BI232,1)+ROUND(SUM(BI233:BI238)-BI239,1),"")</f>
        <v>0</v>
      </c>
      <c r="BJ246" s="34" t="n">
        <f aca="false">IF(ISNUMBER(BJ227),ROUND(SUM(BJ219:BJ226)-BJ227,1)+ROUND(SUM(BJ228:BJ231)-BJ232,1)+ROUND(SUM(BJ233:BJ238)-BJ239,1),"")</f>
        <v>0</v>
      </c>
      <c r="BK246" s="34" t="n">
        <f aca="false">IF(ISNUMBER(BK227),ROUND(SUM(BK219:BK226)-BK227,1)+ROUND(SUM(BK228:BK231)-BK232,1)+ROUND(SUM(BK233:BK238)-BK239,1),"")</f>
        <v>0</v>
      </c>
      <c r="BL246" s="34" t="n">
        <f aca="false">IF(ISNUMBER(BL227),ROUND(SUM(BL219:BL226)-BL227,1)+ROUND(SUM(BL228:BL231)-BL232,1)+ROUND(SUM(BL233:BL238)-BL239,1),"")</f>
        <v>0</v>
      </c>
      <c r="BM246" s="34" t="n">
        <f aca="false">IF(ISNUMBER(BM227),ROUND(SUM(BM219:BM226)-BM227,1)+ROUND(SUM(BM228:BM231)-BM232,1)+ROUND(SUM(BM233:BM238)-BM239,1),"")</f>
        <v>0</v>
      </c>
      <c r="BN246" s="34" t="n">
        <f aca="false">IF(ISNUMBER(BN227),ROUND(SUM(BN219:BN226)-BN227,1)+ROUND(SUM(BN228:BN231)-BN232,1)+ROUND(SUM(BN233:BN238)-BN239,1),"")</f>
        <v>0</v>
      </c>
      <c r="BO246" s="34" t="n">
        <f aca="false">IF(ISNUMBER(BO227),ROUND(SUM(BO219:BO226)-BO227,1)+ROUND(SUM(BO228:BO231)-BO232,1)+ROUND(SUM(BO233:BO238)-BO239,1),"")</f>
        <v>0</v>
      </c>
      <c r="BP246" s="34" t="n">
        <f aca="false">IF(ISNUMBER(BP227),ROUND(SUM(BP219:BP226)-BP227,1)+ROUND(SUM(BP228:BP231)-BP232,1)+ROUND(SUM(BP233:BP238)-BP239,1),"")</f>
        <v>0</v>
      </c>
      <c r="BQ246" s="34" t="n">
        <f aca="false">IF(ISNUMBER(BQ227),ROUND(SUM(BQ219:BQ226)-BQ227,1)+ROUND(SUM(BQ228:BQ231)-BQ232,1)+ROUND(SUM(BQ233:BQ238)-BQ239,1),"")</f>
        <v>0</v>
      </c>
      <c r="BR246" s="34" t="n">
        <f aca="false">IF(ISNUMBER(BR227),ROUND(SUM(BR219:BR226)-BR227,1)+ROUND(SUM(BR228:BR231)-BR232,1)+ROUND(SUM(BR233:BR238)-BR239,1),"")</f>
        <v>0</v>
      </c>
      <c r="BS246" s="34" t="n">
        <f aca="false">IF(ISNUMBER(BS227),ROUND(SUM(BS219:BS226)-BS227,1)+ROUND(SUM(BS228:BS231)-BS232,1)+ROUND(SUM(BS233:BS238)-BS239,1),"")</f>
        <v>0</v>
      </c>
      <c r="BT246" s="34" t="n">
        <f aca="false">IF(ISNUMBER(BT227),ROUND(SUM(BT219:BT226)-BT227,1)+ROUND(SUM(BT228:BT231)-BT232,1)+ROUND(SUM(BT233:BT238)-BT239,1),"")</f>
        <v>0</v>
      </c>
      <c r="BU246" s="34" t="n">
        <f aca="false">IF(ISNUMBER(BU227),ROUND(SUM(BU219:BU226)-BU227,1)+ROUND(SUM(BU228:BU231)-BU232,1)+ROUND(SUM(BU233:BU238)-BU239,1),"")</f>
        <v>0</v>
      </c>
      <c r="BV246" s="34" t="n">
        <f aca="false">IF(ISNUMBER(BV227),ROUND(SUM(BV219:BV226)-BV227,1)+ROUND(SUM(BV228:BV231)-BV232,1)+ROUND(SUM(BV233:BV238)-BV239,1),"")</f>
        <v>0</v>
      </c>
      <c r="BW246" s="34" t="n">
        <f aca="false">IF(ISNUMBER(BW227),ROUND(SUM(BW219:BW226)-BW227,1)+ROUND(SUM(BW228:BW231)-BW232,1)+ROUND(SUM(BW233:BW238)-BW239,1),"")</f>
        <v>0</v>
      </c>
      <c r="BX246" s="34" t="n">
        <f aca="false">IF(ISNUMBER(BX227),ROUND(SUM(BX219:BX226)-BX227,1)+ROUND(SUM(BX228:BX231)-BX232,1)+ROUND(SUM(BX233:BX238)-BX239,1),"")</f>
        <v>0</v>
      </c>
      <c r="BY246" s="36"/>
      <c r="BZ246" s="36"/>
      <c r="CA246" s="36"/>
      <c r="CB246" s="36"/>
      <c r="CC246" s="36"/>
      <c r="CD246" s="36"/>
      <c r="CE246" s="36"/>
      <c r="CF246" s="28"/>
    </row>
    <row r="247" customFormat="false" ht="15" hidden="false" customHeight="true" outlineLevel="0" collapsed="false">
      <c r="B247" s="29" t="s">
        <v>457</v>
      </c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6"/>
      <c r="BZ247" s="36"/>
      <c r="CA247" s="36"/>
      <c r="CB247" s="36"/>
      <c r="CC247" s="36"/>
      <c r="CD247" s="36"/>
      <c r="CE247" s="36"/>
      <c r="CF247" s="28"/>
    </row>
    <row r="248" customFormat="false" ht="15" hidden="false" customHeight="true" outlineLevel="0" collapsed="false">
      <c r="B248" s="50" t="s">
        <v>458</v>
      </c>
      <c r="C248" s="51" t="n">
        <f aca="false">IF(ISNUMBER(C227),C227+C228+N(C229),"")</f>
        <v>19.792</v>
      </c>
      <c r="D248" s="51" t="n">
        <f aca="false">IF(ISNUMBER(D227),D227+D228+N(D229),"")</f>
        <v>37.461</v>
      </c>
      <c r="E248" s="51" t="n">
        <f aca="false">IF(ISNUMBER(E227),E227+E228+N(E229),"")</f>
        <v>37.252</v>
      </c>
      <c r="F248" s="51" t="n">
        <f aca="false">IF(ISNUMBER(F227),F227+F228+N(F229),"")</f>
        <v>29.025</v>
      </c>
      <c r="G248" s="51" t="n">
        <f aca="false">IF(ISNUMBER(G227),G227+G228+N(G229),"")</f>
        <v>-18.089</v>
      </c>
      <c r="H248" s="51" t="n">
        <f aca="false">IF(ISNUMBER(H227),H227+H228+N(H229),"")</f>
        <v>10.672</v>
      </c>
      <c r="I248" s="51" t="n">
        <f aca="false">IF(ISNUMBER(I227),I227+I228+N(I229),"")</f>
        <v>71.292</v>
      </c>
      <c r="J248" s="51" t="n">
        <f aca="false">IF(ISNUMBER(J227),J227+J228+N(J229),"")</f>
        <v>6.065</v>
      </c>
      <c r="K248" s="51" t="n">
        <f aca="false">IF(ISNUMBER(K227),K227+K228+N(K229),"")</f>
        <v>26.59</v>
      </c>
      <c r="L248" s="51" t="n">
        <f aca="false">IF(ISNUMBER(L227),L227+L228+N(L229),"")</f>
        <v>24.842</v>
      </c>
      <c r="M248" s="51" t="n">
        <f aca="false">IF(ISNUMBER(M227),M227+M228+N(M229),"")</f>
        <v>31.759</v>
      </c>
      <c r="N248" s="51" t="n">
        <f aca="false">IF(ISNUMBER(N227),N227+N228+N(N229),"")</f>
        <v>89.256</v>
      </c>
      <c r="O248" s="51" t="n">
        <f aca="false">IF(ISNUMBER(O227),O227+O228+N(O229),"")</f>
        <v>-10.704</v>
      </c>
      <c r="P248" s="51" t="n">
        <f aca="false">IF(ISNUMBER(P227),P227+P228+N(P229),"")</f>
        <v>42.601</v>
      </c>
      <c r="Q248" s="51" t="n">
        <f aca="false">IF(ISNUMBER(Q227),Q227+Q228+N(Q229),"")</f>
        <v>43.274</v>
      </c>
      <c r="R248" s="51" t="n">
        <f aca="false">IF(ISNUMBER(R227),R227+R228+N(R229),"")</f>
        <v>41.294</v>
      </c>
      <c r="S248" s="51" t="n">
        <f aca="false">IF(ISNUMBER(S227),S227+S228+N(S229),"")</f>
        <v>116.465</v>
      </c>
      <c r="T248" s="51" t="n">
        <f aca="false">IF(ISNUMBER(T227),T227+T228+N(T229),"")</f>
        <v>18.425</v>
      </c>
      <c r="U248" s="51" t="n">
        <f aca="false">IF(ISNUMBER(U227),U227+U228+N(U229),"")</f>
        <v>-9.399</v>
      </c>
      <c r="V248" s="51" t="n">
        <f aca="false">IF(ISNUMBER(V227),V227+V228+N(V229),"")</f>
        <v>32.737</v>
      </c>
      <c r="W248" s="51" t="n">
        <f aca="false">IF(ISNUMBER(W227),W227+W228+N(W229),"")</f>
        <v>54.421</v>
      </c>
      <c r="X248" s="51" t="n">
        <f aca="false">IF(ISNUMBER(X227),X227+X228+N(X229),"")</f>
        <v>96.184</v>
      </c>
      <c r="Y248" s="51" t="n">
        <f aca="false">IF(ISNUMBER(Y227),Y227+Y228+N(Y229),"")</f>
        <v>44.132</v>
      </c>
      <c r="Z248" s="51" t="n">
        <f aca="false">IF(ISNUMBER(Z227),Z227+Z228+N(Z229),"")</f>
        <v>30.838</v>
      </c>
      <c r="AA248" s="51" t="n">
        <f aca="false">IF(ISNUMBER(AA227),AA227+AA228+N(AA229),"")</f>
        <v>57.07</v>
      </c>
      <c r="AB248" s="51" t="n">
        <f aca="false">IF(ISNUMBER(AB227),AB227+AB228+N(AB229),"")</f>
        <v>45.138</v>
      </c>
      <c r="AC248" s="51" t="n">
        <f aca="false">IF(ISNUMBER(AC227),AC227+AC228+N(AC229),"")</f>
        <v>177.178</v>
      </c>
      <c r="AD248" s="51" t="n">
        <f aca="false">IF(ISNUMBER(AD227),AD227+AD228+N(AD229),"")</f>
        <v>58.411</v>
      </c>
      <c r="AE248" s="51" t="n">
        <f aca="false">IF(ISNUMBER(AE227),AE227+AE228+N(AE229),"")</f>
        <v>24.278</v>
      </c>
      <c r="AF248" s="51" t="n">
        <f aca="false">IF(ISNUMBER(AF227),AF227+AF228+N(AF229),"")</f>
        <v>60.864</v>
      </c>
      <c r="AG248" s="51" t="n">
        <f aca="false">IF(ISNUMBER(AG227),AG227+AG228+N(AG229),"")</f>
        <v>66.651</v>
      </c>
      <c r="AH248" s="51" t="n">
        <f aca="false">IF(ISNUMBER(AH227),AH227+AH228+N(AH229),"")</f>
        <v>210.204</v>
      </c>
      <c r="AI248" s="51" t="n">
        <f aca="false">IF(ISNUMBER(AI227),AI227+AI228+N(AI229),"")</f>
        <v>64.368</v>
      </c>
      <c r="AJ248" s="51" t="n">
        <f aca="false">IF(ISNUMBER(AJ227),AJ227+AJ228+N(AJ229),"")</f>
        <v>39.098</v>
      </c>
      <c r="AK248" s="51" t="n">
        <f aca="false">IF(ISNUMBER(AK227),AK227+AK228+N(AK229),"")</f>
        <v>95.417</v>
      </c>
      <c r="AL248" s="51" t="n">
        <f aca="false">IF(ISNUMBER(AL227),AL227+AL228+N(AL229),"")</f>
        <v>106.943</v>
      </c>
      <c r="AM248" s="51" t="n">
        <f aca="false">IF(ISNUMBER(AM227),AM227+AM228+N(AM229),"")</f>
        <v>305.826</v>
      </c>
      <c r="AN248" s="51" t="n">
        <f aca="false">IF(ISNUMBER(AN227),AN227+AN228+N(AN229),"")</f>
        <v>139.065</v>
      </c>
      <c r="AO248" s="51" t="n">
        <f aca="false">IF(ISNUMBER(AO227),AO227+AO228+N(AO229),"")</f>
        <v>80.115</v>
      </c>
      <c r="AP248" s="51" t="n">
        <f aca="false">IF(ISNUMBER(AP227),AP227+AP228+N(AP229),"")</f>
        <v>86.675</v>
      </c>
      <c r="AQ248" s="51" t="n">
        <f aca="false">IF(ISNUMBER(AQ227),AQ227+AQ228+N(AQ229),"")</f>
        <v>105.728</v>
      </c>
      <c r="AR248" s="51" t="n">
        <f aca="false">IF(ISNUMBER(AR227),AR227+AR228+N(AR229),"")</f>
        <v>411.583</v>
      </c>
      <c r="AS248" s="51" t="n">
        <f aca="false">IF(ISNUMBER(AS227),AS227+AS228+N(AS229),"")</f>
        <v>124.331</v>
      </c>
      <c r="AT248" s="51" t="n">
        <f aca="false">IF(ISNUMBER(AT227),AT227+AT228+N(AT229),"")</f>
        <v>111.533</v>
      </c>
      <c r="AU248" s="51" t="n">
        <f aca="false">IF(ISNUMBER(AU227),AU227+AU228+N(AU229),"")</f>
        <v>77.337</v>
      </c>
      <c r="AV248" s="51" t="n">
        <f aca="false">IF(ISNUMBER(AV227),AV227+AV228+N(AV229),"")</f>
        <v>124.558</v>
      </c>
      <c r="AW248" s="51" t="n">
        <f aca="false">IF(ISNUMBER(AW227),AW227+AW228+N(AW229),"")</f>
        <v>437.759</v>
      </c>
      <c r="AX248" s="51" t="n">
        <f aca="false">IF(ISNUMBER(AX227),AX227+AX228+N(AX229),"")</f>
        <v>-46.025</v>
      </c>
      <c r="AY248" s="51" t="n">
        <f aca="false">IF(ISNUMBER(AY227),AY227+AY228+N(AY229),"")</f>
        <v>129.598</v>
      </c>
      <c r="AZ248" s="51" t="n">
        <f aca="false">IF(ISNUMBER(AZ227),AZ227+AZ228+N(AZ229),"")</f>
        <v>90.489</v>
      </c>
      <c r="BA248" s="51" t="n">
        <f aca="false">IF(ISNUMBER(BA227),BA227+BA228+N(BA229),"")</f>
        <v>106.685</v>
      </c>
      <c r="BB248" s="51" t="n">
        <f aca="false">IF(ISNUMBER(BB227),BB227+BB228+N(BB229),"")</f>
        <v>280.747</v>
      </c>
      <c r="BC248" s="51" t="n">
        <f aca="false">IF(ISNUMBER(BC227),BC227+BC228+N(BC229),"")</f>
        <v>118.291</v>
      </c>
      <c r="BD248" s="51" t="n">
        <f aca="false">IF(ISNUMBER(BD227),BD227+BD228+N(BD229),"")</f>
        <v>37.398</v>
      </c>
      <c r="BE248" s="51" t="n">
        <f aca="false">IF(ISNUMBER(BE227),BE227+BE228+N(BE229),"")</f>
        <v>62.711</v>
      </c>
      <c r="BF248" s="51" t="n">
        <f aca="false">IF(ISNUMBER(BF227),BF227+BF228+N(BF229),"")</f>
        <v>166.477</v>
      </c>
      <c r="BG248" s="51" t="n">
        <f aca="false">IF(ISNUMBER(BG227),BG227+BG228+N(BG229),"")</f>
        <v>384.877</v>
      </c>
      <c r="BH248" s="51" t="n">
        <f aca="false">IF(ISNUMBER(BH227),BH227+BH228+N(BH229),"")</f>
        <v>103.586</v>
      </c>
      <c r="BI248" s="51" t="n">
        <f aca="false">IF(ISNUMBER(BI227),BI227+BI228+N(BI229),"")</f>
        <v>140.372</v>
      </c>
      <c r="BJ248" s="51" t="n">
        <f aca="false">IF(ISNUMBER(BJ227),BJ227+BJ228+N(BJ229),"")</f>
        <v>21.075</v>
      </c>
      <c r="BK248" s="51" t="n">
        <f aca="false">IF(ISNUMBER(BK227),BK227+BK228+N(BK229),"")</f>
        <v>81.667</v>
      </c>
      <c r="BL248" s="51" t="n">
        <f aca="false">IF(ISNUMBER(BL227),BL227+BL228+N(BL229),"")</f>
        <v>346.7</v>
      </c>
      <c r="BM248" s="51" t="n">
        <f aca="false">IF(ISNUMBER(BM227),BM227+BM228+N(BM229),"")</f>
        <v>-240.7</v>
      </c>
      <c r="BN248" s="51" t="n">
        <f aca="false">IF(ISNUMBER(BN227),BN227+BN228+N(BN229),"")</f>
        <v>-34.1</v>
      </c>
      <c r="BO248" s="51" t="n">
        <f aca="false">IF(ISNUMBER(BO227),BO227+BO228+N(BO229),"")</f>
        <v>13.7</v>
      </c>
      <c r="BP248" s="51" t="n">
        <f aca="false">IF(ISNUMBER(BP227),BP227+BP228+N(BP229),"")</f>
        <v>15.8</v>
      </c>
      <c r="BQ248" s="51" t="n">
        <f aca="false">IF(ISNUMBER(BQ227),BQ227+BQ228+N(BQ229),"")</f>
        <v>-245.3</v>
      </c>
      <c r="BR248" s="51" t="n">
        <f aca="false">IF(ISNUMBER(BR227),BR227+BR228+N(BR229),"")</f>
        <v>-26</v>
      </c>
      <c r="BS248" s="51" t="n">
        <f aca="false">IF(ISNUMBER(BS227),BS227+BS228+N(BS229),"")</f>
        <v>-5</v>
      </c>
      <c r="BT248" s="51" t="n">
        <f aca="false">IF(ISNUMBER(BT227),BT227+BT228+N(BT229),"")</f>
        <v>-23.6</v>
      </c>
      <c r="BU248" s="51" t="n">
        <f aca="false">IF(ISNUMBER(BU227),BU227+BU228+N(BU229),"")</f>
        <v>95.6</v>
      </c>
      <c r="BV248" s="51" t="n">
        <f aca="false">IF(ISNUMBER(BV227),BV227+BV228+N(BV229),"")</f>
        <v>41</v>
      </c>
      <c r="BW248" s="51" t="n">
        <f aca="false">IF(ISNUMBER(BW227),BW227+BW228+N(BW229),"")</f>
        <v>98</v>
      </c>
      <c r="BX248" s="51" t="n">
        <f aca="false">IF(ISNUMBER(BX227),BX227+BX228+N(BX229),"")</f>
        <v>57</v>
      </c>
      <c r="BY248" s="51"/>
      <c r="BZ248" s="51"/>
      <c r="CA248" s="51" t="n">
        <f aca="false">CA227+CA228+N(CA229)</f>
        <v>453.837157671869</v>
      </c>
      <c r="CB248" s="51" t="n">
        <f aca="false">CB227+CB228+N(CB229)</f>
        <v>694.574956583466</v>
      </c>
      <c r="CC248" s="51" t="n">
        <f aca="false">CC227+CC228+N(CC229)</f>
        <v>893.968438709793</v>
      </c>
      <c r="CD248" s="51" t="n">
        <f aca="false">CD227+CD228+N(CD229)</f>
        <v>1096.14139688844</v>
      </c>
      <c r="CE248" s="51" t="n">
        <f aca="false">CE227+CE228+N(CE229)</f>
        <v>1281.11753235373</v>
      </c>
      <c r="CF248" s="21" t="s">
        <v>459</v>
      </c>
      <c r="CH248" s="22" t="n">
        <f aca="false">IFERROR((CE248/BV248)^(1/5)-1,"n/m")</f>
        <v>0.990494691010661</v>
      </c>
      <c r="CI248" s="22" t="n">
        <f aca="false">IFERROR((BV248/AW248)^(1/5)-1,"n/m")</f>
        <v>-0.377255709312356</v>
      </c>
      <c r="CJ248" s="22" t="n">
        <f aca="false">IFERROR((BV248/X248)^(1/10)-1,"n/m")</f>
        <v>-0.0817348500488607</v>
      </c>
      <c r="CK248" s="22" t="n">
        <f aca="false">IFERROR((BV248/C248)^(1/19)-1,"n/m")</f>
        <v>0.0390753969956255</v>
      </c>
    </row>
    <row r="249" customFormat="false" ht="15" hidden="false" customHeight="true" outlineLevel="0" collapsed="false">
      <c r="B249" s="24" t="s">
        <v>460</v>
      </c>
      <c r="C249" s="25"/>
      <c r="D249" s="26" t="n">
        <f aca="false">IF(AND(ISNUMBER(D248),ISNUMBER(C248)),IFERROR(D248/C248-1,""),"")</f>
        <v>0.892734438156831</v>
      </c>
      <c r="E249" s="26" t="n">
        <f aca="false">IF(AND(ISNUMBER(E248),ISNUMBER(D248)),IFERROR(E248/D248-1,""),"")</f>
        <v>-0.00557913563439305</v>
      </c>
      <c r="F249" s="26" t="n">
        <f aca="false">IF(AND(ISNUMBER(F248),ISNUMBER(E248)),IFERROR(F248/E248-1,""),"")</f>
        <v>-0.220847202834747</v>
      </c>
      <c r="G249" s="26" t="n">
        <f aca="false">IF(AND(ISNUMBER(G248),ISNUMBER(F248)),IFERROR(G248/F248-1,""),"")</f>
        <v>-1.62322136089578</v>
      </c>
      <c r="H249" s="26" t="n">
        <f aca="false">IF(AND(ISNUMBER(H248),ISNUMBER(G248)),IFERROR(H248/G248-1,""),"")</f>
        <v>-1.58997180606999</v>
      </c>
      <c r="I249" s="26" t="n">
        <f aca="false">IF(AND(ISNUMBER(I248),ISNUMBER(H248)),IFERROR(I248/H248-1,""),"")</f>
        <v>5.68028485757122</v>
      </c>
      <c r="J249" s="25"/>
      <c r="K249" s="25"/>
      <c r="L249" s="25"/>
      <c r="M249" s="25"/>
      <c r="N249" s="26" t="n">
        <f aca="false">IF(AND(ISNUMBER(N248),ISNUMBER(I248)),IFERROR(N248/I248-1,""),"")</f>
        <v>0.251977781518263</v>
      </c>
      <c r="O249" s="26" t="n">
        <f aca="false">IF(AND(ISNUMBER(O248),ISNUMBER(J248)),IFERROR(O248/J248-1,""),"")</f>
        <v>-2.76488046166529</v>
      </c>
      <c r="P249" s="26" t="n">
        <f aca="false">IF(AND(ISNUMBER(P248),ISNUMBER(K248)),IFERROR(P248/K248-1,""),"")</f>
        <v>0.602143663031215</v>
      </c>
      <c r="Q249" s="26" t="n">
        <f aca="false">IF(AND(ISNUMBER(Q248),ISNUMBER(L248)),IFERROR(Q248/L248-1,""),"")</f>
        <v>0.741969245632397</v>
      </c>
      <c r="R249" s="26" t="n">
        <f aca="false">IF(AND(ISNUMBER(R248),ISNUMBER(M248)),IFERROR(R248/M248-1,""),"")</f>
        <v>0.300229856103782</v>
      </c>
      <c r="S249" s="26" t="n">
        <f aca="false">IF(AND(ISNUMBER(S248),ISNUMBER(N248)),IFERROR(S248/N248-1,""),"")</f>
        <v>0.304842251501299</v>
      </c>
      <c r="T249" s="26" t="n">
        <f aca="false">IF(AND(ISNUMBER(T248),ISNUMBER(O248)),IFERROR(T248/O248-1,""),"")</f>
        <v>-2.72131913303438</v>
      </c>
      <c r="U249" s="26" t="n">
        <f aca="false">IF(AND(ISNUMBER(U248),ISNUMBER(P248)),IFERROR(U248/P248-1,""),"")</f>
        <v>-1.22062862374123</v>
      </c>
      <c r="V249" s="26" t="n">
        <f aca="false">IF(AND(ISNUMBER(V248),ISNUMBER(Q248)),IFERROR(V248/Q248-1,""),"")</f>
        <v>-0.243494939224477</v>
      </c>
      <c r="W249" s="26" t="n">
        <f aca="false">IF(AND(ISNUMBER(W248),ISNUMBER(R248)),IFERROR(W248/R248-1,""),"")</f>
        <v>0.317891219063303</v>
      </c>
      <c r="X249" s="26" t="n">
        <f aca="false">IF(AND(ISNUMBER(X248),ISNUMBER(S248)),IFERROR(X248/S248-1,""),"")</f>
        <v>-0.174138153093204</v>
      </c>
      <c r="Y249" s="26" t="n">
        <f aca="false">IF(AND(ISNUMBER(Y248),ISNUMBER(T248)),IFERROR(Y248/T248-1,""),"")</f>
        <v>1.39522388059702</v>
      </c>
      <c r="Z249" s="26" t="n">
        <f aca="false">IF(AND(ISNUMBER(Z248),ISNUMBER(U248)),IFERROR(Z248/U248-1,""),"")</f>
        <v>-4.28098733907863</v>
      </c>
      <c r="AA249" s="26" t="n">
        <f aca="false">IF(AND(ISNUMBER(AA248),ISNUMBER(V248)),IFERROR(AA248/V248-1,""),"")</f>
        <v>0.74328741179705</v>
      </c>
      <c r="AB249" s="26" t="n">
        <f aca="false">IF(AND(ISNUMBER(AB248),ISNUMBER(W248)),IFERROR(AB248/W248-1,""),"")</f>
        <v>-0.170577534407674</v>
      </c>
      <c r="AC249" s="26" t="n">
        <f aca="false">IF(AND(ISNUMBER(AC248),ISNUMBER(X248)),IFERROR(AC248/X248-1,""),"")</f>
        <v>0.842073525742327</v>
      </c>
      <c r="AD249" s="26" t="n">
        <f aca="false">IF(AND(ISNUMBER(AD248),ISNUMBER(Y248)),IFERROR(AD248/Y248-1,""),"")</f>
        <v>0.323552071059549</v>
      </c>
      <c r="AE249" s="26" t="n">
        <f aca="false">IF(AND(ISNUMBER(AE248),ISNUMBER(Z248)),IFERROR(AE248/Z248-1,""),"")</f>
        <v>-0.212724560607043</v>
      </c>
      <c r="AF249" s="26" t="n">
        <f aca="false">IF(AND(ISNUMBER(AF248),ISNUMBER(AA248)),IFERROR(AF248/AA248-1,""),"")</f>
        <v>0.0664797616961628</v>
      </c>
      <c r="AG249" s="26" t="n">
        <f aca="false">IF(AND(ISNUMBER(AG248),ISNUMBER(AB248)),IFERROR(AG248/AB248-1,""),"")</f>
        <v>0.476605077761531</v>
      </c>
      <c r="AH249" s="26" t="n">
        <f aca="false">IF(AND(ISNUMBER(AH248),ISNUMBER(AC248)),IFERROR(AH248/AC248-1,""),"")</f>
        <v>0.186400117396065</v>
      </c>
      <c r="AI249" s="26" t="n">
        <f aca="false">IF(AND(ISNUMBER(AI248),ISNUMBER(AD248)),IFERROR(AI248/AD248-1,""),"")</f>
        <v>0.101984215301912</v>
      </c>
      <c r="AJ249" s="26" t="n">
        <f aca="false">IF(AND(ISNUMBER(AJ248),ISNUMBER(AE248)),IFERROR(AJ248/AE248-1,""),"")</f>
        <v>0.610429195156108</v>
      </c>
      <c r="AK249" s="26" t="n">
        <f aca="false">IF(AND(ISNUMBER(AK248),ISNUMBER(AF248)),IFERROR(AK248/AF248-1,""),"")</f>
        <v>0.567708333333333</v>
      </c>
      <c r="AL249" s="26" t="n">
        <f aca="false">IF(AND(ISNUMBER(AL248),ISNUMBER(AG248)),IFERROR(AL248/AG248-1,""),"")</f>
        <v>0.604522062684731</v>
      </c>
      <c r="AM249" s="26" t="n">
        <f aca="false">IF(AND(ISNUMBER(AM248),ISNUMBER(AH248)),IFERROR(AM248/AH248-1,""),"")</f>
        <v>0.454900953359594</v>
      </c>
      <c r="AN249" s="26" t="n">
        <f aca="false">IF(AND(ISNUMBER(AN248),ISNUMBER(AI248)),IFERROR(AN248/AI248-1,""),"")</f>
        <v>1.16046793437733</v>
      </c>
      <c r="AO249" s="26" t="n">
        <f aca="false">IF(AND(ISNUMBER(AO248),ISNUMBER(AJ248)),IFERROR(AO248/AJ248-1,""),"")</f>
        <v>1.04908179446519</v>
      </c>
      <c r="AP249" s="26" t="n">
        <f aca="false">IF(AND(ISNUMBER(AP248),ISNUMBER(AK248)),IFERROR(AP248/AK248-1,""),"")</f>
        <v>-0.0916188939077941</v>
      </c>
      <c r="AQ249" s="26" t="n">
        <f aca="false">IF(AND(ISNUMBER(AQ248),ISNUMBER(AL248)),IFERROR(AQ248/AL248-1,""),"")</f>
        <v>-0.0113611924109104</v>
      </c>
      <c r="AR249" s="26" t="n">
        <f aca="false">IF(AND(ISNUMBER(AR248),ISNUMBER(AM248)),IFERROR(AR248/AM248-1,""),"")</f>
        <v>0.345807746888754</v>
      </c>
      <c r="AS249" s="26" t="n">
        <f aca="false">IF(AND(ISNUMBER(AS248),ISNUMBER(AN248)),IFERROR(AS248/AN248-1,""),"")</f>
        <v>-0.105950454823284</v>
      </c>
      <c r="AT249" s="26" t="n">
        <f aca="false">IF(AND(ISNUMBER(AT248),ISNUMBER(AO248)),IFERROR(AT248/AO248-1,""),"")</f>
        <v>0.392161268176996</v>
      </c>
      <c r="AU249" s="26" t="n">
        <f aca="false">IF(AND(ISNUMBER(AU248),ISNUMBER(AP248)),IFERROR(AU248/AP248-1,""),"")</f>
        <v>-0.107735794635132</v>
      </c>
      <c r="AV249" s="26" t="n">
        <f aca="false">IF(AND(ISNUMBER(AV248),ISNUMBER(AQ248)),IFERROR(AV248/AQ248-1,""),"")</f>
        <v>0.178098516949152</v>
      </c>
      <c r="AW249" s="26" t="n">
        <f aca="false">IF(AND(ISNUMBER(AW248),ISNUMBER(AR248)),IFERROR(AW248/AR248-1,""),"")</f>
        <v>0.0635983507579274</v>
      </c>
      <c r="AX249" s="26" t="n">
        <f aca="false">IF(AND(ISNUMBER(AX248),ISNUMBER(AS248)),IFERROR(AX248/AS248-1,""),"")</f>
        <v>-1.37018120983504</v>
      </c>
      <c r="AY249" s="26" t="n">
        <f aca="false">IF(AND(ISNUMBER(AY248),ISNUMBER(AT248)),IFERROR(AY248/AT248-1,""),"")</f>
        <v>0.161969999910341</v>
      </c>
      <c r="AZ249" s="26" t="n">
        <f aca="false">IF(AND(ISNUMBER(AZ248),ISNUMBER(AU248)),IFERROR(AZ248/AU248-1,""),"")</f>
        <v>0.170060902284806</v>
      </c>
      <c r="BA249" s="26" t="n">
        <f aca="false">IF(AND(ISNUMBER(BA248),ISNUMBER(AV248)),IFERROR(BA248/AV248-1,""),"")</f>
        <v>-0.143491385539267</v>
      </c>
      <c r="BB249" s="26" t="n">
        <f aca="false">IF(AND(ISNUMBER(BB248),ISNUMBER(AW248)),IFERROR(BB248/AW248-1,""),"")</f>
        <v>-0.358672237463993</v>
      </c>
      <c r="BC249" s="26" t="n">
        <f aca="false">IF(AND(ISNUMBER(BC248),ISNUMBER(AX248)),IFERROR(BC248/AX248-1,""),"")</f>
        <v>-3.57014665942423</v>
      </c>
      <c r="BD249" s="26" t="n">
        <f aca="false">IF(AND(ISNUMBER(BD248),ISNUMBER(AY248)),IFERROR(BD248/AY248-1,""),"")</f>
        <v>-0.71143073195574</v>
      </c>
      <c r="BE249" s="26" t="n">
        <f aca="false">IF(AND(ISNUMBER(BE248),ISNUMBER(AZ248)),IFERROR(BE248/AZ248-1,""),"")</f>
        <v>-0.3069765385848</v>
      </c>
      <c r="BF249" s="26" t="n">
        <f aca="false">IF(AND(ISNUMBER(BF248),ISNUMBER(BA248)),IFERROR(BF248/BA248-1,""),"")</f>
        <v>0.560453672025121</v>
      </c>
      <c r="BG249" s="26" t="n">
        <f aca="false">IF(AND(ISNUMBER(BG248),ISNUMBER(BB248)),IFERROR(BG248/BB248-1,""),"")</f>
        <v>0.370903340017881</v>
      </c>
      <c r="BH249" s="26" t="n">
        <f aca="false">IF(AND(ISNUMBER(BH248),ISNUMBER(BC248)),IFERROR(BH248/BC248-1,""),"")</f>
        <v>-0.124312077841932</v>
      </c>
      <c r="BI249" s="26" t="n">
        <f aca="false">IF(AND(ISNUMBER(BI248),ISNUMBER(BD248)),IFERROR(BI248/BD248-1,""),"")</f>
        <v>2.75346275201882</v>
      </c>
      <c r="BJ249" s="26" t="n">
        <f aca="false">IF(AND(ISNUMBER(BJ248),ISNUMBER(BE248)),IFERROR(BJ248/BE248-1,""),"")</f>
        <v>-0.663934556935785</v>
      </c>
      <c r="BK249" s="26" t="n">
        <f aca="false">IF(AND(ISNUMBER(BK248),ISNUMBER(BF248)),IFERROR(BK248/BF248-1,""),"")</f>
        <v>-0.509439742426882</v>
      </c>
      <c r="BL249" s="26" t="n">
        <f aca="false">IF(AND(ISNUMBER(BL248),ISNUMBER(BG248)),IFERROR(BL248/BG248-1,""),"")</f>
        <v>-0.0991927291056624</v>
      </c>
      <c r="BM249" s="26" t="n">
        <f aca="false">IF(AND(ISNUMBER(BM248),ISNUMBER(BH248)),IFERROR(BM248/BH248-1,""),"")</f>
        <v>-3.32367308323519</v>
      </c>
      <c r="BN249" s="26" t="n">
        <f aca="false">IF(AND(ISNUMBER(BN248),ISNUMBER(BI248)),IFERROR(BN248/BI248-1,""),"")</f>
        <v>-1.24292593964608</v>
      </c>
      <c r="BO249" s="26" t="n">
        <f aca="false">IF(AND(ISNUMBER(BO248),ISNUMBER(BJ248)),IFERROR(BO248/BJ248-1,""),"")</f>
        <v>-0.34994068801898</v>
      </c>
      <c r="BP249" s="26" t="n">
        <f aca="false">IF(AND(ISNUMBER(BP248),ISNUMBER(BK248)),IFERROR(BP248/BK248-1,""),"")</f>
        <v>-0.806531401912646</v>
      </c>
      <c r="BQ249" s="26" t="n">
        <f aca="false">IF(AND(ISNUMBER(BQ248),ISNUMBER(BL248)),IFERROR(BQ248/BL248-1,""),"")</f>
        <v>-1.70752812229593</v>
      </c>
      <c r="BR249" s="26" t="n">
        <f aca="false">IF(AND(ISNUMBER(BR248),ISNUMBER(BM248)),IFERROR(BR248/BM248-1,""),"")</f>
        <v>-0.891981719983382</v>
      </c>
      <c r="BS249" s="26" t="n">
        <f aca="false">IF(AND(ISNUMBER(BS248),ISNUMBER(BN248)),IFERROR(BS248/BN248-1,""),"")</f>
        <v>-0.853372434017595</v>
      </c>
      <c r="BT249" s="26" t="n">
        <f aca="false">IF(AND(ISNUMBER(BT248),ISNUMBER(BO248)),IFERROR(BT248/BO248-1,""),"")</f>
        <v>-2.72262773722628</v>
      </c>
      <c r="BU249" s="26" t="n">
        <f aca="false">IF(AND(ISNUMBER(BU248),ISNUMBER(BP248)),IFERROR(BU248/BP248-1,""),"")</f>
        <v>5.05063291139241</v>
      </c>
      <c r="BV249" s="26" t="n">
        <f aca="false">IF(AND(ISNUMBER(BV248),ISNUMBER(BQ248)),IFERROR(BV248/BQ248-1,""),"")</f>
        <v>-1.16714227476559</v>
      </c>
      <c r="BW249" s="26" t="n">
        <f aca="false">IF(AND(ISNUMBER(BW248),ISNUMBER(BR248)),IFERROR(BW248/BR248-1,""),"")</f>
        <v>-4.76923076923077</v>
      </c>
      <c r="BX249" s="26" t="n">
        <f aca="false">IF(AND(ISNUMBER(BX248),ISNUMBER(BS248)),IFERROR(BX248/BS248-1,""),"")</f>
        <v>-12.4</v>
      </c>
      <c r="BY249" s="27"/>
      <c r="BZ249" s="27"/>
      <c r="CA249" s="27" t="n">
        <f aca="false">IF(AND(ISNUMBER(CA248),ISNUMBER(BV248)),IFERROR(CA248/BV248-1,""),"")</f>
        <v>10.0691989676066</v>
      </c>
      <c r="CB249" s="27" t="n">
        <f aca="false">IF(AND(ISNUMBER(CB248),ISNUMBER(CA248)),IFERROR(CB248/CA248-1,""),"")</f>
        <v>0.530449732557274</v>
      </c>
      <c r="CC249" s="27" t="n">
        <f aca="false">IF(AND(ISNUMBER(CC248),ISNUMBER(CB248)),IFERROR(CC248/CB248-1,""),"")</f>
        <v>0.28707266254908</v>
      </c>
      <c r="CD249" s="27" t="n">
        <f aca="false">IF(AND(ISNUMBER(CD248),ISNUMBER(CC248)),IFERROR(CD248/CC248-1,""),"")</f>
        <v>0.226152232477503</v>
      </c>
      <c r="CE249" s="27" t="n">
        <f aca="false">IF(AND(ISNUMBER(CE248),ISNUMBER(CD248)),IFERROR(CE248/CD248-1,""),"")</f>
        <v>0.168752075225305</v>
      </c>
      <c r="CF249" s="28"/>
    </row>
    <row r="250" customFormat="false" ht="15" hidden="false" customHeight="true" outlineLevel="0" collapsed="false">
      <c r="B250" s="29" t="s">
        <v>461</v>
      </c>
      <c r="C250" s="25" t="n">
        <f aca="false">IF(AND(ISNUMBER(C248),ISNUMBER(C121)),IFERROR(C248/C121,""),"")</f>
        <v>0.12456494785668</v>
      </c>
      <c r="D250" s="25" t="n">
        <f aca="false">IF(AND(ISNUMBER(D248),ISNUMBER(D121)),IFERROR(D248/D121,""),"")</f>
        <v>0.194294753766759</v>
      </c>
      <c r="E250" s="25" t="n">
        <f aca="false">IF(AND(ISNUMBER(E248),ISNUMBER(E121)),IFERROR(E248/E121,""),"")</f>
        <v>0.175362946504227</v>
      </c>
      <c r="F250" s="25" t="n">
        <f aca="false">IF(AND(ISNUMBER(F248),ISNUMBER(F121)),IFERROR(F248/F121,""),"")</f>
        <v>0.138439084418031</v>
      </c>
      <c r="G250" s="25" t="n">
        <f aca="false">IF(AND(ISNUMBER(G248),ISNUMBER(G121)),IFERROR(G248/G121,""),"")</f>
        <v>-0.0799478476089455</v>
      </c>
      <c r="H250" s="25" t="n">
        <f aca="false">IF(AND(ISNUMBER(H248),ISNUMBER(H121)),IFERROR(H248/H121,""),"")</f>
        <v>0.042393281904202</v>
      </c>
      <c r="I250" s="25" t="n">
        <f aca="false">IF(AND(ISNUMBER(I248),ISNUMBER(I121)),IFERROR(I248/I121,""),"")</f>
        <v>0.203728681816104</v>
      </c>
      <c r="J250" s="25" t="n">
        <f aca="false">IF(AND(ISNUMBER(J248),ISNUMBER(J121)),IFERROR(J248/J121,""),"")</f>
        <v>0.0582988090317496</v>
      </c>
      <c r="K250" s="25" t="n">
        <f aca="false">IF(AND(ISNUMBER(K248),ISNUMBER(K121)),IFERROR(K248/K121,""),"")</f>
        <v>0.243947192176075</v>
      </c>
      <c r="L250" s="25" t="n">
        <f aca="false">IF(AND(ISNUMBER(L248),ISNUMBER(L121)),IFERROR(L248/L121,""),"")</f>
        <v>0.221209072047444</v>
      </c>
      <c r="M250" s="25" t="n">
        <f aca="false">IF(AND(ISNUMBER(M248),ISNUMBER(M121)),IFERROR(M248/M121,""),"")</f>
        <v>0.274708070236139</v>
      </c>
      <c r="N250" s="25" t="n">
        <f aca="false">IF(AND(ISNUMBER(N248),ISNUMBER(N121)),IFERROR(N248/N121,""),"")</f>
        <v>0.202420721045577</v>
      </c>
      <c r="O250" s="25" t="n">
        <f aca="false">IF(AND(ISNUMBER(O248),ISNUMBER(O121)),IFERROR(O248/O121,""),"")</f>
        <v>-0.0898921697067419</v>
      </c>
      <c r="P250" s="25" t="n">
        <f aca="false">IF(AND(ISNUMBER(P248),ISNUMBER(P121)),IFERROR(P248/P121,""),"")</f>
        <v>0.288413626885477</v>
      </c>
      <c r="Q250" s="25" t="n">
        <f aca="false">IF(AND(ISNUMBER(Q248),ISNUMBER(Q121)),IFERROR(Q248/Q121,""),"")</f>
        <v>0.282733117290404</v>
      </c>
      <c r="R250" s="25" t="n">
        <f aca="false">IF(AND(ISNUMBER(R248),ISNUMBER(R121)),IFERROR(R248/R121,""),"")</f>
        <v>0.264542332923329</v>
      </c>
      <c r="S250" s="25" t="n">
        <f aca="false">IF(AND(ISNUMBER(S248),ISNUMBER(S121)),IFERROR(S248/S121,""),"")</f>
        <v>0.202218649294366</v>
      </c>
      <c r="T250" s="25" t="n">
        <f aca="false">IF(AND(ISNUMBER(T248),ISNUMBER(T121)),IFERROR(T248/T121,""),"")</f>
        <v>0.115865928813986</v>
      </c>
      <c r="U250" s="25" t="n">
        <f aca="false">IF(AND(ISNUMBER(U248),ISNUMBER(U121)),IFERROR(U248/U121,""),"")</f>
        <v>-0.0550753851292358</v>
      </c>
      <c r="V250" s="25" t="n">
        <f aca="false">IF(AND(ISNUMBER(V248),ISNUMBER(V121)),IFERROR(V248/V121,""),"")</f>
        <v>0.173140185531897</v>
      </c>
      <c r="W250" s="25" t="n">
        <f aca="false">IF(AND(ISNUMBER(W248),ISNUMBER(W121)),IFERROR(W248/W121,""),"")</f>
        <v>0.281960944826407</v>
      </c>
      <c r="X250" s="25" t="n">
        <f aca="false">IF(AND(ISNUMBER(X248),ISNUMBER(X121)),IFERROR(X248/X121,""),"")</f>
        <v>0.135134679472409</v>
      </c>
      <c r="Y250" s="25" t="n">
        <f aca="false">IF(AND(ISNUMBER(Y248),ISNUMBER(Y121)),IFERROR(Y248/Y121,""),"")</f>
        <v>0.220948337580543</v>
      </c>
      <c r="Z250" s="25" t="n">
        <f aca="false">IF(AND(ISNUMBER(Z248),ISNUMBER(Z121)),IFERROR(Z248/Z121,""),"")</f>
        <v>0.149070184512904</v>
      </c>
      <c r="AA250" s="25" t="n">
        <f aca="false">IF(AND(ISNUMBER(AA248),ISNUMBER(AA121)),IFERROR(AA248/AA121,""),"")</f>
        <v>0.268298301451265</v>
      </c>
      <c r="AB250" s="25" t="n">
        <f aca="false">IF(AND(ISNUMBER(AB248),ISNUMBER(AB121)),IFERROR(AB248/AB121,""),"")</f>
        <v>0.206760080802158</v>
      </c>
      <c r="AC250" s="25" t="n">
        <f aca="false">IF(AND(ISNUMBER(AC248),ISNUMBER(AC121)),IFERROR(AC248/AC121,""),"")</f>
        <v>0.211522987476571</v>
      </c>
      <c r="AD250" s="25" t="n">
        <f aca="false">IF(AND(ISNUMBER(AD248),ISNUMBER(AD121)),IFERROR(AD248/AD121,""),"")</f>
        <v>0.257824879829444</v>
      </c>
      <c r="AE250" s="25" t="n">
        <f aca="false">IF(AND(ISNUMBER(AE248),ISNUMBER(AE121)),IFERROR(AE248/AE121,""),"")</f>
        <v>0.102372729841073</v>
      </c>
      <c r="AF250" s="25" t="n">
        <f aca="false">IF(AND(ISNUMBER(AF248),ISNUMBER(AF121)),IFERROR(AF248/AF121,""),"")</f>
        <v>0.245882367199525</v>
      </c>
      <c r="AG250" s="25" t="n">
        <f aca="false">IF(AND(ISNUMBER(AG248),ISNUMBER(AG121)),IFERROR(AG248/AG121,""),"")</f>
        <v>0.262414809973582</v>
      </c>
      <c r="AH250" s="25" t="n">
        <f aca="false">IF(AND(ISNUMBER(AH248),ISNUMBER(AH121)),IFERROR(AH248/AH121,""),"")</f>
        <v>0.217776074096329</v>
      </c>
      <c r="AI250" s="25" t="n">
        <f aca="false">IF(AND(ISNUMBER(AI248),ISNUMBER(AI121)),IFERROR(AI248/AI121,""),"")</f>
        <v>0.23516173580108</v>
      </c>
      <c r="AJ250" s="25" t="n">
        <f aca="false">IF(AND(ISNUMBER(AJ248),ISNUMBER(AJ121)),IFERROR(AJ248/AJ121,""),"")</f>
        <v>0.131635119757052</v>
      </c>
      <c r="AK250" s="25" t="n">
        <f aca="false">IF(AND(ISNUMBER(AK248),ISNUMBER(AK121)),IFERROR(AK248/AK121,""),"")</f>
        <v>0.312305048686687</v>
      </c>
      <c r="AL250" s="25" t="n">
        <f aca="false">IF(AND(ISNUMBER(AL248),ISNUMBER(AL121)),IFERROR(AL248/AL121,""),"")</f>
        <v>0.338887286854622</v>
      </c>
      <c r="AM250" s="25" t="n">
        <f aca="false">IF(AND(ISNUMBER(AM248),ISNUMBER(AM121)),IFERROR(AM248/AM121,""),"")</f>
        <v>0.256601601568006</v>
      </c>
      <c r="AN250" s="25" t="n">
        <f aca="false">IF(AND(ISNUMBER(AN248),ISNUMBER(AN121)),IFERROR(AN248/AN121,""),"")</f>
        <v>0.423430006850879</v>
      </c>
      <c r="AO250" s="25" t="n">
        <f aca="false">IF(AND(ISNUMBER(AO248),ISNUMBER(AO121)),IFERROR(AO248/AO121,""),"")</f>
        <v>0.233055038398883</v>
      </c>
      <c r="AP250" s="25" t="n">
        <f aca="false">IF(AND(ISNUMBER(AP248),ISNUMBER(AP121)),IFERROR(AP248/AP121,""),"")</f>
        <v>0.245671866851092</v>
      </c>
      <c r="AQ250" s="25" t="n">
        <f aca="false">IF(AND(ISNUMBER(AQ248),ISNUMBER(AQ121)),IFERROR(AQ248/AQ121,""),"")</f>
        <v>0.282147489098701</v>
      </c>
      <c r="AR250" s="25" t="n">
        <f aca="false">IF(AND(ISNUMBER(AR248),ISNUMBER(AR121)),IFERROR(AR248/AR121,""),"")</f>
        <v>0.294046876551651</v>
      </c>
      <c r="AS250" s="25" t="n">
        <f aca="false">IF(AND(ISNUMBER(AS248),ISNUMBER(AS121)),IFERROR(AS248/AS121,""),"")</f>
        <v>0.317294760454974</v>
      </c>
      <c r="AT250" s="25" t="n">
        <f aca="false">IF(AND(ISNUMBER(AT248),ISNUMBER(AT121)),IFERROR(AT248/AT121,""),"")</f>
        <v>0.280827074295182</v>
      </c>
      <c r="AU250" s="25" t="n">
        <f aca="false">IF(AND(ISNUMBER(AU248),ISNUMBER(AU121)),IFERROR(AU248/AU121,""),"")</f>
        <v>0.181704337202199</v>
      </c>
      <c r="AV250" s="25" t="n">
        <f aca="false">IF(AND(ISNUMBER(AV248),ISNUMBER(AV121)),IFERROR(AV248/AV121,""),"")</f>
        <v>0.28028794332944</v>
      </c>
      <c r="AW250" s="25" t="n">
        <f aca="false">IF(AND(ISNUMBER(AW248),ISNUMBER(AW121)),IFERROR(AW248/AW121,""),"")</f>
        <v>0.263866176336739</v>
      </c>
      <c r="AX250" s="25" t="n">
        <f aca="false">IF(AND(ISNUMBER(AX248),ISNUMBER(AX121)),IFERROR(AX248/AX121,""),"")</f>
        <v>-0.100557792600782</v>
      </c>
      <c r="AY250" s="25" t="n">
        <f aca="false">IF(AND(ISNUMBER(AY248),ISNUMBER(AY121)),IFERROR(AY248/AY121,""),"")</f>
        <v>0.269808653579912</v>
      </c>
      <c r="AZ250" s="25" t="n">
        <f aca="false">IF(AND(ISNUMBER(AZ248),ISNUMBER(AZ121)),IFERROR(AZ248/AZ121,""),"")</f>
        <v>0.18122482821603</v>
      </c>
      <c r="BA250" s="25" t="n">
        <f aca="false">IF(AND(ISNUMBER(BA248),ISNUMBER(BA121)),IFERROR(BA248/BA121,""),"")</f>
        <v>0.21051291866784</v>
      </c>
      <c r="BB250" s="25" t="n">
        <f aca="false">IF(AND(ISNUMBER(BB248),ISNUMBER(BB121)),IFERROR(BB248/BB121,""),"")</f>
        <v>0.144407152795459</v>
      </c>
      <c r="BC250" s="25" t="n">
        <f aca="false">IF(AND(ISNUMBER(BC248),ISNUMBER(BC121)),IFERROR(BC248/BC121,""),"")</f>
        <v>0.229323898609024</v>
      </c>
      <c r="BD250" s="25" t="n">
        <f aca="false">IF(AND(ISNUMBER(BD248),ISNUMBER(BD121)),IFERROR(BD248/BD121,""),"")</f>
        <v>0.0697323179963752</v>
      </c>
      <c r="BE250" s="25" t="n">
        <f aca="false">IF(AND(ISNUMBER(BE248),ISNUMBER(BE121)),IFERROR(BE248/BE121,""),"")</f>
        <v>0.112603044237872</v>
      </c>
      <c r="BF250" s="25" t="n">
        <f aca="false">IF(AND(ISNUMBER(BF248),ISNUMBER(BF121)),IFERROR(BF248/BF121,""),"")</f>
        <v>0.290360951957373</v>
      </c>
      <c r="BG250" s="25" t="n">
        <f aca="false">IF(AND(ISNUMBER(BG248),ISNUMBER(BG121)),IFERROR(BG248/BG121,""),"")</f>
        <v>0.176355011159738</v>
      </c>
      <c r="BH250" s="25" t="n">
        <f aca="false">IF(AND(ISNUMBER(BH248),ISNUMBER(BH121)),IFERROR(BH248/BH121,""),"")</f>
        <v>0.177262195268034</v>
      </c>
      <c r="BI250" s="25" t="n">
        <f aca="false">IF(AND(ISNUMBER(BI248),ISNUMBER(BI121)),IFERROR(BI248/BI121,""),"")</f>
        <v>0.231672899756728</v>
      </c>
      <c r="BJ250" s="25" t="n">
        <f aca="false">IF(AND(ISNUMBER(BJ248),ISNUMBER(BJ121)),IFERROR(BJ248/BJ121,""),"")</f>
        <v>0.0337378675746675</v>
      </c>
      <c r="BK250" s="25" t="n">
        <f aca="false">IF(AND(ISNUMBER(BK248),ISNUMBER(BK121)),IFERROR(BK248/BK121,""),"")</f>
        <v>0.127592925027224</v>
      </c>
      <c r="BL250" s="25" t="n">
        <f aca="false">IF(AND(ISNUMBER(BL248),ISNUMBER(BL121)),IFERROR(BL248/BL121,""),"")</f>
        <v>0.14122199592668</v>
      </c>
      <c r="BM250" s="25" t="n">
        <f aca="false">IF(AND(ISNUMBER(BM248),ISNUMBER(BM121)),IFERROR(BM248/BM121,""),"")</f>
        <v>-0.366697135892748</v>
      </c>
      <c r="BN250" s="25" t="n">
        <f aca="false">IF(AND(ISNUMBER(BN248),ISNUMBER(BN121)),IFERROR(BN248/BN121,""),"")</f>
        <v>-0.0503098259073473</v>
      </c>
      <c r="BO250" s="25" t="n">
        <f aca="false">IF(AND(ISNUMBER(BO248),ISNUMBER(BO121)),IFERROR(BO248/BO121,""),"")</f>
        <v>0.019780537106555</v>
      </c>
      <c r="BP250" s="25" t="n">
        <f aca="false">IF(AND(ISNUMBER(BP248),ISNUMBER(BP121)),IFERROR(BP248/BP121,""),"")</f>
        <v>0.0222723428249224</v>
      </c>
      <c r="BQ250" s="25" t="n">
        <f aca="false">IF(AND(ISNUMBER(BQ248),ISNUMBER(BQ121)),IFERROR(BQ248/BQ121,""),"")</f>
        <v>-0.0896498793947811</v>
      </c>
      <c r="BR250" s="25" t="n">
        <f aca="false">IF(AND(ISNUMBER(BR248),ISNUMBER(BR121)),IFERROR(BR248/BR121,""),"")</f>
        <v>-0.0355094236547391</v>
      </c>
      <c r="BS250" s="25" t="n">
        <f aca="false">IF(AND(ISNUMBER(BS248),ISNUMBER(BS121)),IFERROR(BS248/BS121,""),"")</f>
        <v>-0.00639959042621272</v>
      </c>
      <c r="BT250" s="25" t="n">
        <f aca="false">IF(AND(ISNUMBER(BT248),ISNUMBER(BT121)),IFERROR(BT248/BT121,""),"")</f>
        <v>-0.0283109404990403</v>
      </c>
      <c r="BU250" s="25" t="n">
        <f aca="false">IF(AND(ISNUMBER(BU248),ISNUMBER(BU121)),IFERROR(BU248/BU121,""),"")</f>
        <v>0.106234026002889</v>
      </c>
      <c r="BV250" s="25" t="n">
        <f aca="false">IF(AND(ISNUMBER(BV248),ISNUMBER(BV121)),IFERROR(BV248/BV121,""),"")</f>
        <v>0.0126270403449338</v>
      </c>
      <c r="BW250" s="25" t="n">
        <f aca="false">IF(AND(ISNUMBER(BW248),ISNUMBER(BW121)),IFERROR(BW248/BW121,""),"")</f>
        <v>0.109253065774805</v>
      </c>
      <c r="BX250" s="25" t="n">
        <f aca="false">IF(AND(ISNUMBER(BX248),ISNUMBER(BX121)),IFERROR(BX248/BX121,""),"")</f>
        <v>0.0616216216216216</v>
      </c>
      <c r="BY250" s="27"/>
      <c r="BZ250" s="27"/>
      <c r="CA250" s="27" t="n">
        <f aca="false">IF(AND(ISNUMBER(CA248),ISNUMBER(CA121)),IFERROR(CA248/CA121,""),"")</f>
        <v>0.119371119587212</v>
      </c>
      <c r="CB250" s="27" t="n">
        <f aca="false">IF(AND(ISNUMBER(CB248),ISNUMBER(CB121)),IFERROR(CB248/CB121,""),"")</f>
        <v>0.160599082540328</v>
      </c>
      <c r="CC250" s="27" t="n">
        <f aca="false">IF(AND(ISNUMBER(CC248),ISNUMBER(CC121)),IFERROR(CC248/CC121,""),"")</f>
        <v>0.188169055681666</v>
      </c>
      <c r="CD250" s="27" t="n">
        <f aca="false">IF(AND(ISNUMBER(CD248),ISNUMBER(CD121)),IFERROR(CD248/CD121,""),"")</f>
        <v>0.211403591157645</v>
      </c>
      <c r="CE250" s="27" t="n">
        <f aca="false">IF(AND(ISNUMBER(CE248),ISNUMBER(CE121)),IFERROR(CE248/CE121,""),"")</f>
        <v>0.227896252804145</v>
      </c>
      <c r="CF250" s="28"/>
      <c r="CH250" s="32" t="n">
        <f aca="false">IFERROR(AVERAGE(CA250,CB250,CC250,CD250,CE250),"n/m")</f>
        <v>0.181487820354199</v>
      </c>
      <c r="CI250" s="32" t="n">
        <f aca="false">IFERROR(AVERAGE(BB250,BG250,BL250,BQ250,BV250),"n/m")</f>
        <v>0.0769922641664059</v>
      </c>
      <c r="CJ250" s="32" t="n">
        <f aca="false">IFERROR(AVERAGE(AC250,AH250,AM250,AR250,AW250,BB250,BG250,BL250,BQ250,BV250),"n/m")</f>
        <v>0.162877503686133</v>
      </c>
      <c r="CK250" s="32" t="n">
        <f aca="false">IFERROR(AVERAGE(C250,D250,E250,F250,G250,H250,I250,N250,S250,X250,AC250,AH250,AM250,AR250,AW250,BB250,BG250,BL250,BQ250,BV250),"n/m")</f>
        <v>0.148369246766537</v>
      </c>
    </row>
    <row r="251" customFormat="false" ht="15" hidden="false" customHeight="true" outlineLevel="0" collapsed="false">
      <c r="B251" s="29" t="s">
        <v>462</v>
      </c>
      <c r="C251" s="25" t="n">
        <f aca="false">IF(AND(ISNUMBER(C248),ISNUMBER(C192)),IFERROR(C248/C192,""),"")</f>
        <v>1.25357857667655</v>
      </c>
      <c r="D251" s="25" t="n">
        <f aca="false">IF(AND(ISNUMBER(D248),ISNUMBER(D192)),IFERROR(D248/D192,""),"")</f>
        <v>1.61874513870884</v>
      </c>
      <c r="E251" s="25" t="n">
        <f aca="false">IF(AND(ISNUMBER(E248),ISNUMBER(E192)),IFERROR(E248/E192,""),"")</f>
        <v>1.09295966388527</v>
      </c>
      <c r="F251" s="25" t="n">
        <f aca="false">IF(AND(ISNUMBER(F248),ISNUMBER(F192)),IFERROR(F248/F192,""),"")</f>
        <v>1.03564547206166</v>
      </c>
      <c r="G251" s="25" t="n">
        <f aca="false">IF(AND(ISNUMBER(G248),ISNUMBER(G192)),IFERROR(G248/G192,""),"")</f>
        <v>-0.70707662961052</v>
      </c>
      <c r="H251" s="25" t="n">
        <f aca="false">IF(AND(ISNUMBER(H248),ISNUMBER(H192)),IFERROR(H248/H192,""),"")</f>
        <v>0.366863986689492</v>
      </c>
      <c r="I251" s="25" t="n">
        <f aca="false">IF(AND(ISNUMBER(I248),ISNUMBER(I192)),IFERROR(I248/I192,""),"")</f>
        <v>1.60639131577086</v>
      </c>
      <c r="J251" s="25" t="n">
        <f aca="false">IF(AND(ISNUMBER(J248),ISNUMBER(J192)),IFERROR(J248/J192,""),"")</f>
        <v>0.465710929041473</v>
      </c>
      <c r="K251" s="25" t="n">
        <f aca="false">IF(AND(ISNUMBER(K248),ISNUMBER(K192)),IFERROR(K248/K192,""),"")</f>
        <v>1.54175852083954</v>
      </c>
      <c r="L251" s="25" t="n">
        <f aca="false">IF(AND(ISNUMBER(L248),ISNUMBER(L192)),IFERROR(L248/L192,""),"")</f>
        <v>1.22910954125844</v>
      </c>
      <c r="M251" s="25" t="n">
        <f aca="false">IF(AND(ISNUMBER(M248),ISNUMBER(M192)),IFERROR(M248/M192,""),"")</f>
        <v>1.43360649151681</v>
      </c>
      <c r="N251" s="25" t="n">
        <f aca="false">IF(AND(ISNUMBER(N248),ISNUMBER(N192)),IFERROR(N248/N192,""),"")</f>
        <v>1.22884193460274</v>
      </c>
      <c r="O251" s="25" t="n">
        <f aca="false">IF(AND(ISNUMBER(O248),ISNUMBER(O192)),IFERROR(O248/O192,""),"")</f>
        <v>-0.541462008123954</v>
      </c>
      <c r="P251" s="25" t="n">
        <f aca="false">IF(AND(ISNUMBER(P248),ISNUMBER(P192)),IFERROR(P248/P192,""),"")</f>
        <v>1.81435109510128</v>
      </c>
      <c r="Q251" s="25" t="n">
        <f aca="false">IF(AND(ISNUMBER(Q248),ISNUMBER(Q192)),IFERROR(Q248/Q192,""),"")</f>
        <v>1.54832126252908</v>
      </c>
      <c r="R251" s="25" t="n">
        <f aca="false">IF(AND(ISNUMBER(R248),ISNUMBER(R192)),IFERROR(R248/R192,""),"")</f>
        <v>1.38704706165296</v>
      </c>
      <c r="S251" s="25" t="n">
        <f aca="false">IF(AND(ISNUMBER(S248),ISNUMBER(S192)),IFERROR(S248/S192,""),"")</f>
        <v>1.15347444746826</v>
      </c>
      <c r="T251" s="25" t="n">
        <f aca="false">IF(AND(ISNUMBER(T248),ISNUMBER(T192)),IFERROR(T248/T192,""),"")</f>
        <v>1.70781805272593</v>
      </c>
      <c r="U251" s="25" t="n">
        <f aca="false">IF(AND(ISNUMBER(U248),ISNUMBER(U192)),IFERROR(U248/U192,""),"")</f>
        <v>-3.86529255975389</v>
      </c>
      <c r="V251" s="25" t="n">
        <f aca="false">IF(AND(ISNUMBER(V248),ISNUMBER(V192)),IFERROR(V248/V192,""),"")</f>
        <v>1.90324092215066</v>
      </c>
      <c r="W251" s="25" t="n">
        <f aca="false">IF(AND(ISNUMBER(W248),ISNUMBER(W192)),IFERROR(W248/W192,""),"")</f>
        <v>1.53518620490438</v>
      </c>
      <c r="X251" s="25" t="n">
        <f aca="false">IF(AND(ISNUMBER(X248),ISNUMBER(X192)),IFERROR(X248/X192,""),"")</f>
        <v>1.46020861684614</v>
      </c>
      <c r="Y251" s="25" t="n">
        <f aca="false">IF(AND(ISNUMBER(Y248),ISNUMBER(Y192)),IFERROR(Y248/Y192,""),"")</f>
        <v>1.43587527810079</v>
      </c>
      <c r="Z251" s="25" t="n">
        <f aca="false">IF(AND(ISNUMBER(Z248),ISNUMBER(Z192)),IFERROR(Z248/Z192,""),"")</f>
        <v>1.04737327965254</v>
      </c>
      <c r="AA251" s="25" t="n">
        <f aca="false">IF(AND(ISNUMBER(AA248),ISNUMBER(AA192)),IFERROR(AA248/AA192,""),"")</f>
        <v>1.58417325697916</v>
      </c>
      <c r="AB251" s="25" t="n">
        <f aca="false">IF(AND(ISNUMBER(AB248),ISNUMBER(AB192)),IFERROR(AB248/AB192,""),"")</f>
        <v>1.07861424665469</v>
      </c>
      <c r="AC251" s="25" t="n">
        <f aca="false">IF(AND(ISNUMBER(AC248),ISNUMBER(AC192)),IFERROR(AC248/AC192,""),"")</f>
        <v>1.28341792001372</v>
      </c>
      <c r="AD251" s="25" t="n">
        <f aca="false">IF(AND(ISNUMBER(AD248),ISNUMBER(AD192)),IFERROR(AD248/AD192,""),"")</f>
        <v>1.70496571154027</v>
      </c>
      <c r="AE251" s="25" t="n">
        <f aca="false">IF(AND(ISNUMBER(AE248),ISNUMBER(AE192)),IFERROR(AE248/AE192,""),"")</f>
        <v>0.857807717937503</v>
      </c>
      <c r="AF251" s="25" t="n">
        <f aca="false">IF(AND(ISNUMBER(AF248),ISNUMBER(AF192)),IFERROR(AF248/AF192,""),"")</f>
        <v>1.315357245357</v>
      </c>
      <c r="AG251" s="25" t="n">
        <f aca="false">IF(AND(ISNUMBER(AG248),ISNUMBER(AG192)),IFERROR(AG248/AG192,""),"")</f>
        <v>1.47351297910009</v>
      </c>
      <c r="AH251" s="25" t="n">
        <f aca="false">IF(AND(ISNUMBER(AH248),ISNUMBER(AH192)),IFERROR(AH248/AH192,""),"")</f>
        <v>1.36396764538243</v>
      </c>
      <c r="AI251" s="25" t="n">
        <f aca="false">IF(AND(ISNUMBER(AI248),ISNUMBER(AI192)),IFERROR(AI248/AI192,""),"")</f>
        <v>1.07163459737535</v>
      </c>
      <c r="AJ251" s="25" t="n">
        <f aca="false">IF(AND(ISNUMBER(AJ248),ISNUMBER(AJ192)),IFERROR(AJ248/AJ192,""),"")</f>
        <v>0.647007231627199</v>
      </c>
      <c r="AK251" s="25" t="n">
        <f aca="false">IF(AND(ISNUMBER(AK248),ISNUMBER(AK192)),IFERROR(AK248/AK192,""),"")</f>
        <v>1.21068742486098</v>
      </c>
      <c r="AL251" s="25" t="n">
        <f aca="false">IF(AND(ISNUMBER(AL248),ISNUMBER(AL192)),IFERROR(AL248/AL192,""),"")</f>
        <v>1.04496476249801</v>
      </c>
      <c r="AM251" s="25" t="n">
        <f aca="false">IF(AND(ISNUMBER(AM248),ISNUMBER(AM192)),IFERROR(AM248/AM192,""),"")</f>
        <v>1.01385142106977</v>
      </c>
      <c r="AN251" s="25" t="n">
        <f aca="false">IF(AND(ISNUMBER(AN248),ISNUMBER(AN192)),IFERROR(AN248/AN192,""),"")</f>
        <v>1.50447073333009</v>
      </c>
      <c r="AO251" s="25" t="n">
        <f aca="false">IF(AND(ISNUMBER(AO248),ISNUMBER(AO192)),IFERROR(AO248/AO192,""),"")</f>
        <v>0.982596217528884</v>
      </c>
      <c r="AP251" s="25" t="n">
        <f aca="false">IF(AND(ISNUMBER(AP248),ISNUMBER(AP192)),IFERROR(AP248/AP192,""),"")</f>
        <v>0.904999817277222</v>
      </c>
      <c r="AQ251" s="25" t="n">
        <f aca="false">IF(AND(ISNUMBER(AQ248),ISNUMBER(AQ192)),IFERROR(AQ248/AQ192,""),"")</f>
        <v>1.02239338182855</v>
      </c>
      <c r="AR251" s="25" t="n">
        <f aca="false">IF(AND(ISNUMBER(AR248),ISNUMBER(AR192)),IFERROR(AR248/AR192,""),"")</f>
        <v>1.10298355170817</v>
      </c>
      <c r="AS251" s="25" t="n">
        <f aca="false">IF(AND(ISNUMBER(AS248),ISNUMBER(AS192)),IFERROR(AS248/AS192,""),"")</f>
        <v>1.38447833324982</v>
      </c>
      <c r="AT251" s="25" t="n">
        <f aca="false">IF(AND(ISNUMBER(AT248),ISNUMBER(AT192)),IFERROR(AT248/AT192,""),"")</f>
        <v>1.26244241456982</v>
      </c>
      <c r="AU251" s="25" t="n">
        <f aca="false">IF(AND(ISNUMBER(AU248),ISNUMBER(AU192)),IFERROR(AU248/AU192,""),"")</f>
        <v>0.866907109889278</v>
      </c>
      <c r="AV251" s="25" t="n">
        <f aca="false">IF(AND(ISNUMBER(AV248),ISNUMBER(AV192)),IFERROR(AV248/AV192,""),"")</f>
        <v>1.10877886378607</v>
      </c>
      <c r="AW251" s="25" t="n">
        <f aca="false">IF(AND(ISNUMBER(AW248),ISNUMBER(AW192)),IFERROR(AW248/AW192,""),"")</f>
        <v>1.15291135406688</v>
      </c>
      <c r="AX251" s="25" t="n">
        <f aca="false">IF(AND(ISNUMBER(AX248),ISNUMBER(AX192)),IFERROR(AX248/AX192,""),"")</f>
        <v>-0.425607664174515</v>
      </c>
      <c r="AY251" s="25" t="n">
        <f aca="false">IF(AND(ISNUMBER(AY248),ISNUMBER(AY192)),IFERROR(AY248/AY192,""),"")</f>
        <v>1.25940988545121</v>
      </c>
      <c r="AZ251" s="25" t="n">
        <f aca="false">IF(AND(ISNUMBER(AZ248),ISNUMBER(AZ192)),IFERROR(AZ248/AZ192,""),"")</f>
        <v>0.914653930710333</v>
      </c>
      <c r="BA251" s="25" t="n">
        <f aca="false">IF(AND(ISNUMBER(BA248),ISNUMBER(BA192)),IFERROR(BA248/BA192,""),"")</f>
        <v>0.774666935333083</v>
      </c>
      <c r="BB251" s="25" t="n">
        <f aca="false">IF(AND(ISNUMBER(BB248),ISNUMBER(BB192)),IFERROR(BB248/BB192,""),"")</f>
        <v>0.62709714022779</v>
      </c>
      <c r="BC251" s="25" t="n">
        <f aca="false">IF(AND(ISNUMBER(BC248),ISNUMBER(BC192)),IFERROR(BC248/BC192,""),"")</f>
        <v>0.962197171559549</v>
      </c>
      <c r="BD251" s="25" t="n">
        <f aca="false">IF(AND(ISNUMBER(BD248),ISNUMBER(BD192)),IFERROR(BD248/BD192,""),"")</f>
        <v>0.333316874561161</v>
      </c>
      <c r="BE251" s="25" t="n">
        <f aca="false">IF(AND(ISNUMBER(BE248),ISNUMBER(BE192)),IFERROR(BE248/BE192,""),"")</f>
        <v>0.531124266529169</v>
      </c>
      <c r="BF251" s="25" t="n">
        <f aca="false">IF(AND(ISNUMBER(BF248),ISNUMBER(BF192)),IFERROR(BF248/BF192,""),"")</f>
        <v>1.08815736890206</v>
      </c>
      <c r="BG251" s="25" t="n">
        <f aca="false">IF(AND(ISNUMBER(BG248),ISNUMBER(BG192)),IFERROR(BG248/BG192,""),"")</f>
        <v>0.760326018200397</v>
      </c>
      <c r="BH251" s="25" t="n">
        <f aca="false">IF(AND(ISNUMBER(BH248),ISNUMBER(BH192)),IFERROR(BH248/BH192,""),"")</f>
        <v>0.879963546236271</v>
      </c>
      <c r="BI251" s="25" t="n">
        <f aca="false">IF(AND(ISNUMBER(BI248),ISNUMBER(BI192)),IFERROR(BI248/BI192,""),"")</f>
        <v>1.10796161331183</v>
      </c>
      <c r="BJ251" s="25" t="n">
        <f aca="false">IF(AND(ISNUMBER(BJ248),ISNUMBER(BJ192)),IFERROR(BJ248/BJ192,""),"")</f>
        <v>0.175376433135436</v>
      </c>
      <c r="BK251" s="25" t="n">
        <f aca="false">IF(AND(ISNUMBER(BK248),ISNUMBER(BK192)),IFERROR(BK248/BK192,""),"")</f>
        <v>0.611745984328481</v>
      </c>
      <c r="BL251" s="25" t="n">
        <f aca="false">IF(AND(ISNUMBER(BL248),ISNUMBER(BL192)),IFERROR(BL248/BL192,""),"")</f>
        <v>0.696053355390749</v>
      </c>
      <c r="BM251" s="25" t="n">
        <f aca="false">IF(AND(ISNUMBER(BM248),ISNUMBER(BM192)),IFERROR(BM248/BM192,""),"")</f>
        <v>-5.76720337358635</v>
      </c>
      <c r="BN251" s="25" t="n">
        <f aca="false">IF(AND(ISNUMBER(BN248),ISNUMBER(BN192)),IFERROR(BN248/BN192,""),"")</f>
        <v>-0.557207751887317</v>
      </c>
      <c r="BO251" s="25" t="n">
        <f aca="false">IF(AND(ISNUMBER(BO248),ISNUMBER(BO192)),IFERROR(BO248/BO192,""),"")</f>
        <v>0.155184522326182</v>
      </c>
      <c r="BP251" s="25" t="n">
        <f aca="false">IF(AND(ISNUMBER(BP248),ISNUMBER(BP192)),IFERROR(BP248/BP192,""),"")</f>
        <v>0.148273273273273</v>
      </c>
      <c r="BQ251" s="25" t="n">
        <f aca="false">IF(AND(ISNUMBER(BQ248),ISNUMBER(BQ192)),IFERROR(BQ248/BQ192,""),"")</f>
        <v>-0.824388178280245</v>
      </c>
      <c r="BR251" s="25" t="n">
        <f aca="false">IF(AND(ISNUMBER(BR248),ISNUMBER(BR192)),IFERROR(BR248/BR192,""),"")</f>
        <v>-0.413841403240696</v>
      </c>
      <c r="BS251" s="25" t="n">
        <f aca="false">IF(AND(ISNUMBER(BS248),ISNUMBER(BS192)),IFERROR(BS248/BS192,""),"")</f>
        <v>-0.0679071030829825</v>
      </c>
      <c r="BT251" s="25" t="n">
        <f aca="false">IF(AND(ISNUMBER(BT248),ISNUMBER(BT192)),IFERROR(BT248/BT192,""),"")</f>
        <v>-0.243635537753185</v>
      </c>
      <c r="BU251" s="25" t="n">
        <f aca="false">IF(AND(ISNUMBER(BU248),ISNUMBER(BU192)),IFERROR(BU248/BU192,""),"")</f>
        <v>0.726189933609832</v>
      </c>
      <c r="BV251" s="25" t="n">
        <f aca="false">IF(AND(ISNUMBER(BV248),ISNUMBER(BV192)),IFERROR(BV248/BV192,""),"")</f>
        <v>0.112612612612613</v>
      </c>
      <c r="BW251" s="25" t="n">
        <f aca="false">IF(AND(ISNUMBER(BW248),ISNUMBER(BW192)),IFERROR(BW248/BW192,""),"")</f>
        <v>1.04277505852309</v>
      </c>
      <c r="BX251" s="25" t="n">
        <f aca="false">IF(AND(ISNUMBER(BX248),ISNUMBER(BX192)),IFERROR(BX248/BX192,""),"")</f>
        <v>0.445242930792064</v>
      </c>
      <c r="BY251" s="27"/>
      <c r="BZ251" s="27"/>
      <c r="CA251" s="27" t="n">
        <f aca="false">IF(AND(ISNUMBER(CA248),ISNUMBER(CA192)),IFERROR(CA248/CA192,""),"")</f>
        <v>0.824444368171055</v>
      </c>
      <c r="CB251" s="27" t="n">
        <f aca="false">IF(AND(ISNUMBER(CB248),ISNUMBER(CB192)),IFERROR(CB248/CB192,""),"")</f>
        <v>1.05066530349724</v>
      </c>
      <c r="CC251" s="27" t="n">
        <f aca="false">IF(AND(ISNUMBER(CC248),ISNUMBER(CC192)),IFERROR(CC248/CC192,""),"")</f>
        <v>1.0892341865333</v>
      </c>
      <c r="CD251" s="27" t="n">
        <f aca="false">IF(AND(ISNUMBER(CD248),ISNUMBER(CD192)),IFERROR(CD248/CD192,""),"")</f>
        <v>1.09212835149108</v>
      </c>
      <c r="CE251" s="27" t="n">
        <f aca="false">IF(AND(ISNUMBER(CE248),ISNUMBER(CE192)),IFERROR(CE248/CE192,""),"")</f>
        <v>1.0726922439419</v>
      </c>
      <c r="CF251" s="28"/>
      <c r="CH251" s="32" t="n">
        <f aca="false">IFERROR(AVERAGE(CA251,CB251,CC251,CD251,CE251),"n/m")</f>
        <v>1.02583289072691</v>
      </c>
      <c r="CI251" s="32" t="n">
        <f aca="false">IFERROR(AVERAGE(BB251,BG251,BL251,BQ251,BV251),"n/m")</f>
        <v>0.274340189630261</v>
      </c>
      <c r="CJ251" s="32" t="n">
        <f aca="false">IFERROR(AVERAGE(AC251,AH251,AM251,AR251,AW251,BB251,BG251,BL251,BQ251,BV251),"n/m")</f>
        <v>0.728883284039228</v>
      </c>
      <c r="CK251" s="32" t="n">
        <f aca="false">IFERROR(AVERAGE(C251,D251,E251,F251,G251,H251,I251,N251,S251,X251,AC251,AH251,AM251,AR251,AW251,BB251,BG251,BL251,BQ251,BV251),"n/m")</f>
        <v>0.869923268174578</v>
      </c>
    </row>
    <row r="252" customFormat="false" ht="15" hidden="false" customHeight="true" outlineLevel="0" collapsed="false">
      <c r="B252" s="29" t="s">
        <v>463</v>
      </c>
      <c r="C252" s="58" t="n">
        <f aca="false">IF(AND(ISNUMBER(C248),ISNUMBER(C145)),IFERROR(C248/C145,""),"")</f>
        <v>0.103271588833812</v>
      </c>
      <c r="D252" s="58" t="n">
        <f aca="false">IF(AND(ISNUMBER(D248),ISNUMBER(D145)),IFERROR(D248/D145,""),"")</f>
        <v>0.193058132343847</v>
      </c>
      <c r="E252" s="58" t="n">
        <f aca="false">IF(AND(ISNUMBER(E248),ISNUMBER(E145)),IFERROR(E248/E145,""),"")</f>
        <v>0.190547314578005</v>
      </c>
      <c r="F252" s="58" t="n">
        <f aca="false">IF(AND(ISNUMBER(F248),ISNUMBER(F145)),IFERROR(F248/F145,""),"")</f>
        <v>0.145671267252196</v>
      </c>
      <c r="G252" s="58" t="n">
        <f aca="false">IF(AND(ISNUMBER(G248),ISNUMBER(G145)),IFERROR(G248/G145,""),"")</f>
        <v>-0.0873569324383059</v>
      </c>
      <c r="H252" s="58" t="n">
        <f aca="false">IF(AND(ISNUMBER(H248),ISNUMBER(H145)),IFERROR(H248/H145,""),"")</f>
        <v>0.0453606494665703</v>
      </c>
      <c r="I252" s="58" t="n">
        <f aca="false">IF(AND(ISNUMBER(I248),ISNUMBER(I145)),IFERROR(I248/I145,""),"")</f>
        <v>0.264544138929088</v>
      </c>
      <c r="J252" s="58" t="n">
        <f aca="false">IF(AND(ISNUMBER(J248),ISNUMBER(J145)),IFERROR(J248/J145,""),"")</f>
        <v>0.0221124398424967</v>
      </c>
      <c r="K252" s="58" t="n">
        <f aca="false">IF(AND(ISNUMBER(K248),ISNUMBER(K145)),IFERROR(K248/K145,""),"")</f>
        <v>0.0943978983243397</v>
      </c>
      <c r="L252" s="58" t="n">
        <f aca="false">IF(AND(ISNUMBER(L248),ISNUMBER(L145)),IFERROR(L248/L145,""),"")</f>
        <v>0.0876291932696039</v>
      </c>
      <c r="M252" s="58" t="n">
        <f aca="false">IF(AND(ISNUMBER(M248),ISNUMBER(M145)),IFERROR(M248/M145,""),"")</f>
        <v>0.111678036430129</v>
      </c>
      <c r="N252" s="58" t="n">
        <f aca="false">IF(AND(ISNUMBER(N248),ISNUMBER(N145)),IFERROR(N248/N145,""),"")</f>
        <v>0.316376010208422</v>
      </c>
      <c r="O252" s="58" t="n">
        <f aca="false">IF(AND(ISNUMBER(O248),ISNUMBER(O145)),IFERROR(O248/O145,""),"")</f>
        <v>-0.0371151178918169</v>
      </c>
      <c r="P252" s="58" t="n">
        <f aca="false">IF(AND(ISNUMBER(P248),ISNUMBER(P145)),IFERROR(P248/P145,""),"")</f>
        <v>0.144478735671166</v>
      </c>
      <c r="Q252" s="58" t="n">
        <f aca="false">IF(AND(ISNUMBER(Q248),ISNUMBER(Q145)),IFERROR(Q248/Q145,""),"")</f>
        <v>0.134915042868278</v>
      </c>
      <c r="R252" s="58" t="n">
        <f aca="false">IF(AND(ISNUMBER(R248),ISNUMBER(R145)),IFERROR(R248/R145,""),"")</f>
        <v>0.128473648186174</v>
      </c>
      <c r="S252" s="58" t="n">
        <f aca="false">IF(AND(ISNUMBER(S248),ISNUMBER(S145)),IFERROR(S248/S145,""),"")</f>
        <v>0.380095297150876</v>
      </c>
      <c r="T252" s="58" t="n">
        <f aca="false">IF(AND(ISNUMBER(T248),ISNUMBER(T145)),IFERROR(T248/T145,""),"")</f>
        <v>0.0578838239452107</v>
      </c>
      <c r="U252" s="58" t="n">
        <f aca="false">IF(AND(ISNUMBER(U248),ISNUMBER(U145)),IFERROR(U248/U145,""),"")</f>
        <v>-0.0293801381638586</v>
      </c>
      <c r="V252" s="58" t="n">
        <f aca="false">IF(AND(ISNUMBER(V248),ISNUMBER(V145)),IFERROR(V248/V145,""),"")</f>
        <v>0.102367104440275</v>
      </c>
      <c r="W252" s="58" t="n">
        <f aca="false">IF(AND(ISNUMBER(W248),ISNUMBER(W145)),IFERROR(W248/W145,""),"")</f>
        <v>0.168569570065667</v>
      </c>
      <c r="X252" s="58" t="n">
        <f aca="false">IF(AND(ISNUMBER(X248),ISNUMBER(X145)),IFERROR(X248/X145,""),"")</f>
        <v>0.301045383411581</v>
      </c>
      <c r="Y252" s="58" t="n">
        <f aca="false">IF(AND(ISNUMBER(Y248),ISNUMBER(Y145)),IFERROR(Y248/Y145,""),"")</f>
        <v>0.136285590760299</v>
      </c>
      <c r="Z252" s="58" t="n">
        <f aca="false">IF(AND(ISNUMBER(Z248),ISNUMBER(Z145)),IFERROR(Z248/Z145,""),"")</f>
        <v>0.0950382149901381</v>
      </c>
      <c r="AA252" s="58" t="n">
        <f aca="false">IF(AND(ISNUMBER(AA248),ISNUMBER(AA145)),IFERROR(AA248/AA145,""),"")</f>
        <v>0.175924784217016</v>
      </c>
      <c r="AB252" s="58" t="n">
        <f aca="false">IF(AND(ISNUMBER(AB248),ISNUMBER(AB145)),IFERROR(AB248/AB145,""),"")</f>
        <v>0.13900163212515</v>
      </c>
      <c r="AC252" s="58" t="n">
        <f aca="false">IF(AND(ISNUMBER(AC248),ISNUMBER(AC145)),IFERROR(AC248/AC145,""),"")</f>
        <v>0.546238747071156</v>
      </c>
      <c r="AD252" s="58" t="n">
        <f aca="false">IF(AND(ISNUMBER(AD248),ISNUMBER(AD145)),IFERROR(AD248/AD145,""),"")</f>
        <v>0.179378435647821</v>
      </c>
      <c r="AE252" s="58" t="n">
        <f aca="false">IF(AND(ISNUMBER(AE248),ISNUMBER(AE145)),IFERROR(AE248/AE145,""),"")</f>
        <v>0.0741562051376035</v>
      </c>
      <c r="AF252" s="58" t="n">
        <f aca="false">IF(AND(ISNUMBER(AF248),ISNUMBER(AF145)),IFERROR(AF248/AF145,""),"")</f>
        <v>0.185481806545986</v>
      </c>
      <c r="AG252" s="58" t="n">
        <f aca="false">IF(AND(ISNUMBER(AG248),ISNUMBER(AG145)),IFERROR(AG248/AG145,""),"")</f>
        <v>0.18453168692378</v>
      </c>
      <c r="AH252" s="58" t="n">
        <f aca="false">IF(AND(ISNUMBER(AH248),ISNUMBER(AH145)),IFERROR(AH248/AH145,""),"")</f>
        <v>0.626371465180727</v>
      </c>
      <c r="AI252" s="58" t="n">
        <f aca="false">IF(AND(ISNUMBER(AI248),ISNUMBER(AI145)),IFERROR(AI248/AI145,""),"")</f>
        <v>0.177078404401651</v>
      </c>
      <c r="AJ252" s="58" t="n">
        <f aca="false">IF(AND(ISNUMBER(AJ248),ISNUMBER(AJ145)),IFERROR(AJ248/AJ145,""),"")</f>
        <v>0.107264746227709</v>
      </c>
      <c r="AK252" s="58" t="n">
        <f aca="false">IF(AND(ISNUMBER(AK248),ISNUMBER(AK145)),IFERROR(AK248/AK145,""),"")</f>
        <v>0.26128758420505</v>
      </c>
      <c r="AL252" s="58" t="n">
        <f aca="false">IF(AND(ISNUMBER(AL248),ISNUMBER(AL145)),IFERROR(AL248/AL145,""),"")</f>
        <v>0.293203377748533</v>
      </c>
      <c r="AM252" s="58" t="n">
        <f aca="false">IF(AND(ISNUMBER(AM248),ISNUMBER(AM145)),IFERROR(AM248/AM145,""),"")</f>
        <v>0.839074846356453</v>
      </c>
      <c r="AN252" s="58" t="n">
        <f aca="false">IF(AND(ISNUMBER(AN248),ISNUMBER(AN145)),IFERROR(AN248/AN145,""),"")</f>
        <v>0.380301911559603</v>
      </c>
      <c r="AO252" s="58" t="n">
        <f aca="false">IF(AND(ISNUMBER(AO248),ISNUMBER(AO145)),IFERROR(AO248/AO145,""),"")</f>
        <v>0.218732082889672</v>
      </c>
      <c r="AP252" s="58" t="n">
        <f aca="false">IF(AND(ISNUMBER(AP248),ISNUMBER(AP145)),IFERROR(AP248/AP145,""),"")</f>
        <v>0.236480956018771</v>
      </c>
      <c r="AQ252" s="58" t="n">
        <f aca="false">IF(AND(ISNUMBER(AQ248),ISNUMBER(AQ145)),IFERROR(AQ248/AQ145,""),"")</f>
        <v>0.288291432622566</v>
      </c>
      <c r="AR252" s="58" t="n">
        <f aca="false">IF(AND(ISNUMBER(AR248),ISNUMBER(AR145)),IFERROR(AR248/AR145,""),"")</f>
        <v>1.12362271362271</v>
      </c>
      <c r="AS252" s="58" t="n">
        <f aca="false">IF(AND(ISNUMBER(AS248),ISNUMBER(AS145)),IFERROR(AS248/AS145,""),"")</f>
        <v>0.338076462910594</v>
      </c>
      <c r="AT252" s="58" t="n">
        <f aca="false">IF(AND(ISNUMBER(AT248),ISNUMBER(AT145)),IFERROR(AT248/AT145,""),"")</f>
        <v>0.29557693326973</v>
      </c>
      <c r="AU252" s="58" t="n">
        <f aca="false">IF(AND(ISNUMBER(AU248),ISNUMBER(AU145)),IFERROR(AU248/AU145,""),"")</f>
        <v>0.196281820258369</v>
      </c>
      <c r="AV252" s="58" t="n">
        <f aca="false">IF(AND(ISNUMBER(AV248),ISNUMBER(AV145)),IFERROR(AV248/AV145,""),"")</f>
        <v>0.316177179845158</v>
      </c>
      <c r="AW252" s="58" t="n">
        <f aca="false">IF(AND(ISNUMBER(AW248),ISNUMBER(AW145)),IFERROR(AW248/AW145,""),"")</f>
        <v>1.14219850754057</v>
      </c>
      <c r="AX252" s="58" t="n">
        <f aca="false">IF(AND(ISNUMBER(AX248),ISNUMBER(AX145)),IFERROR(AX248/AX145,""),"")</f>
        <v>-0.11690076452211</v>
      </c>
      <c r="AY252" s="58" t="n">
        <f aca="false">IF(AND(ISNUMBER(AY248),ISNUMBER(AY145)),IFERROR(AY248/AY145,""),"")</f>
        <v>0.328847139543971</v>
      </c>
      <c r="AZ252" s="58" t="n">
        <f aca="false">IF(AND(ISNUMBER(AZ248),ISNUMBER(AZ145)),IFERROR(AZ248/AZ145,""),"")</f>
        <v>0.229495682166906</v>
      </c>
      <c r="BA252" s="58" t="n">
        <f aca="false">IF(AND(ISNUMBER(BA248),ISNUMBER(BA145)),IFERROR(BA248/BA145,""),"")</f>
        <v>0.270408990905681</v>
      </c>
      <c r="BB252" s="58" t="n">
        <f aca="false">IF(AND(ISNUMBER(BB248),ISNUMBER(BB145)),IFERROR(BB248/BB145,""),"")</f>
        <v>0.712266592246803</v>
      </c>
      <c r="BC252" s="58" t="n">
        <f aca="false">IF(AND(ISNUMBER(BC248),ISNUMBER(BC145)),IFERROR(BC248/BC145,""),"")</f>
        <v>0.300052760543231</v>
      </c>
      <c r="BD252" s="58" t="n">
        <f aca="false">IF(AND(ISNUMBER(BD248),ISNUMBER(BD145)),IFERROR(BD248/BD145,""),"")</f>
        <v>0.0948037659894848</v>
      </c>
      <c r="BE252" s="58" t="n">
        <f aca="false">IF(AND(ISNUMBER(BE248),ISNUMBER(BE145)),IFERROR(BE248/BE145,""),"")</f>
        <v>0.158277575723923</v>
      </c>
      <c r="BF252" s="58" t="n">
        <f aca="false">IF(AND(ISNUMBER(BF248),ISNUMBER(BF145)),IFERROR(BF248/BF145,""),"")</f>
        <v>0.40995402463019</v>
      </c>
      <c r="BG252" s="58" t="n">
        <f aca="false">IF(AND(ISNUMBER(BG248),ISNUMBER(BG145)),IFERROR(BG248/BG145,""),"")</f>
        <v>0.967630583881414</v>
      </c>
      <c r="BH252" s="58" t="n">
        <f aca="false">IF(AND(ISNUMBER(BH248),ISNUMBER(BH145)),IFERROR(BH248/BH145,""),"")</f>
        <v>0.255039307459923</v>
      </c>
      <c r="BI252" s="58" t="n">
        <f aca="false">IF(AND(ISNUMBER(BI248),ISNUMBER(BI145)),IFERROR(BI248/BI145,""),"")</f>
        <v>0.345105482223768</v>
      </c>
      <c r="BJ252" s="58" t="n">
        <f aca="false">IF(AND(ISNUMBER(BJ248),ISNUMBER(BJ145)),IFERROR(BJ248/BJ145,""),"")</f>
        <v>0.0517522082169983</v>
      </c>
      <c r="BK252" s="58" t="n">
        <f aca="false">IF(AND(ISNUMBER(BK248),ISNUMBER(BK145)),IFERROR(BK248/BK145,""),"")</f>
        <v>0.20040981595092</v>
      </c>
      <c r="BL252" s="58" t="n">
        <f aca="false">IF(AND(ISNUMBER(BL248),ISNUMBER(BL145)),IFERROR(BL248/BL145,""),"")</f>
        <v>0.852052101253379</v>
      </c>
      <c r="BM252" s="58" t="n">
        <f aca="false">IF(AND(ISNUMBER(BM248),ISNUMBER(BM145)),IFERROR(BM248/BM145,""),"")</f>
        <v>-0.590964890743923</v>
      </c>
      <c r="BN252" s="58" t="n">
        <f aca="false">IF(AND(ISNUMBER(BN248),ISNUMBER(BN145)),IFERROR(BN248/BN145,""),"")</f>
        <v>-0.0837015218458517</v>
      </c>
      <c r="BO252" s="58" t="n">
        <f aca="false">IF(AND(ISNUMBER(BO248),ISNUMBER(BO145)),IFERROR(BO248/BO145,""),"")</f>
        <v>0.033578431372549</v>
      </c>
      <c r="BP252" s="58" t="n">
        <f aca="false">IF(AND(ISNUMBER(BP248),ISNUMBER(BP145)),IFERROR(BP248/BP145,""),"")</f>
        <v>0.0386875612144956</v>
      </c>
      <c r="BQ252" s="58" t="n">
        <f aca="false">IF(AND(ISNUMBER(BQ248),ISNUMBER(BQ145)),IFERROR(BQ248/BQ145,""),"")</f>
        <v>-0.601520353114272</v>
      </c>
      <c r="BR252" s="58" t="n">
        <f aca="false">IF(AND(ISNUMBER(BR248),ISNUMBER(BR145)),IFERROR(BR248/BR145,""),"")</f>
        <v>-0.0633373934226553</v>
      </c>
      <c r="BS252" s="58" t="n">
        <f aca="false">IF(AND(ISNUMBER(BS248),ISNUMBER(BS145)),IFERROR(BS248/BS145,""),"")</f>
        <v>-0.0117841150129625</v>
      </c>
      <c r="BT252" s="58" t="n">
        <f aca="false">IF(AND(ISNUMBER(BT248),ISNUMBER(BT145)),IFERROR(BT248/BT145,""),"")</f>
        <v>-0.0562038580614432</v>
      </c>
      <c r="BU252" s="58" t="n">
        <f aca="false">IF(AND(ISNUMBER(BU248),ISNUMBER(BU145)),IFERROR(BU248/BU145,""),"")</f>
        <v>0.227836034318399</v>
      </c>
      <c r="BV252" s="58" t="n">
        <f aca="false">IF(AND(ISNUMBER(BV248),ISNUMBER(BV145)),IFERROR(BV248/BV145,""),"")</f>
        <v>0.0974566199191823</v>
      </c>
      <c r="BW252" s="58" t="n">
        <f aca="false">IF(AND(ISNUMBER(BW248),ISNUMBER(BW145)),IFERROR(BW248/BW145,""),"")</f>
        <v>0.236714975845411</v>
      </c>
      <c r="BX252" s="58" t="n">
        <f aca="false">IF(AND(ISNUMBER(BX248),ISNUMBER(BX145)),IFERROR(BX248/BX145,""),"")</f>
        <v>0.140949554896142</v>
      </c>
      <c r="BY252" s="59"/>
      <c r="BZ252" s="59"/>
      <c r="CA252" s="59" t="n">
        <f aca="false">IF(AND(ISNUMBER(CA248),ISNUMBER(CA145)),IFERROR(CA248/CA145,""),"")</f>
        <v>1.11863225963857</v>
      </c>
      <c r="CB252" s="59" t="n">
        <f aca="false">IF(AND(ISNUMBER(CB248),ISNUMBER(CB145)),IFERROR(CB248/CB145,""),"")</f>
        <v>1.77845090110442</v>
      </c>
      <c r="CC252" s="59" t="n">
        <f aca="false">IF(AND(ISNUMBER(CC248),ISNUMBER(CC145)),IFERROR(CC248/CC145,""),"")</f>
        <v>2.44353590506911</v>
      </c>
      <c r="CD252" s="59" t="n">
        <f aca="false">IF(AND(ISNUMBER(CD248),ISNUMBER(CD145)),IFERROR(CD248/CD145,""),"")</f>
        <v>3.24073927150149</v>
      </c>
      <c r="CE252" s="59" t="n">
        <f aca="false">IF(AND(ISNUMBER(CE248),ISNUMBER(CE145)),IFERROR(CE248/CE145,""),"")</f>
        <v>4.16401918859537</v>
      </c>
      <c r="CF252" s="28"/>
    </row>
    <row r="253" customFormat="false" ht="15" hidden="false" customHeight="true" outlineLevel="0" collapsed="false">
      <c r="B253" s="29" t="s">
        <v>464</v>
      </c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6"/>
      <c r="BZ253" s="36"/>
      <c r="CA253" s="36"/>
      <c r="CB253" s="36"/>
      <c r="CC253" s="36"/>
      <c r="CD253" s="36"/>
      <c r="CE253" s="36"/>
      <c r="CF253" s="28"/>
    </row>
    <row r="254" customFormat="false" ht="15" hidden="false" customHeight="true" outlineLevel="0" collapsed="false">
      <c r="B254" s="29" t="s">
        <v>465</v>
      </c>
      <c r="C254" s="25" t="n">
        <f aca="false">IFERROR(-(N(C228)+N(C229))/C121,"")</f>
        <v>0.0815600828251169</v>
      </c>
      <c r="D254" s="25" t="n">
        <f aca="false">IFERROR(-(N(D228)+N(D229))/D121,"")</f>
        <v>0.0740177899950728</v>
      </c>
      <c r="E254" s="25" t="n">
        <f aca="false">IFERROR(-(N(E228)+N(E229))/E121,"")</f>
        <v>0.017210537217316</v>
      </c>
      <c r="F254" s="25" t="n">
        <f aca="false">IFERROR(-(N(F228)+N(F229))/F121,"")</f>
        <v>0.0449301007826995</v>
      </c>
      <c r="G254" s="25" t="n">
        <f aca="false">IFERROR(-(N(G228)+N(G229))/G121,"")</f>
        <v>0.253504817466631</v>
      </c>
      <c r="H254" s="25" t="n">
        <f aca="false">IFERROR(-(N(H228)+N(H229))/H121,"")</f>
        <v>0.0596374007897099</v>
      </c>
      <c r="I254" s="25" t="n">
        <f aca="false">IFERROR(-(N(I228)+N(I229))/I121,"")</f>
        <v>0.0423906085684239</v>
      </c>
      <c r="J254" s="25" t="n">
        <f aca="false">IFERROR(-(N(J228)+N(J229))/J121,"")</f>
        <v>0.0446300693049321</v>
      </c>
      <c r="K254" s="25" t="n">
        <f aca="false">IFERROR(-(N(K228)+N(K229))/K121,"")</f>
        <v>0.0391654969311645</v>
      </c>
      <c r="L254" s="25" t="n">
        <f aca="false">IFERROR(-(N(L228)+N(L229))/L121,"")</f>
        <v>0.0571588854952316</v>
      </c>
      <c r="M254" s="25" t="n">
        <f aca="false">IFERROR(-(N(M228)+N(M229))/M121,"")</f>
        <v>0.0320992993685667</v>
      </c>
      <c r="N254" s="25" t="n">
        <f aca="false">IFERROR(-(N(N228)+N(N229))/N121,"")</f>
        <v>0.0431847200205015</v>
      </c>
      <c r="O254" s="25" t="n">
        <f aca="false">IFERROR(-(N(O228)+N(O229))/O121,"")</f>
        <v>0.0348432933588633</v>
      </c>
      <c r="P254" s="25" t="n">
        <f aca="false">IFERROR(-(N(P228)+N(P229))/P121,"")</f>
        <v>0.0493405908955507</v>
      </c>
      <c r="Q254" s="25" t="n">
        <f aca="false">IFERROR(-(N(Q228)+N(Q229))/Q121,"")</f>
        <v>0.0615983692243362</v>
      </c>
      <c r="R254" s="25" t="n">
        <f aca="false">IFERROR(-(N(R228)+N(R229))/R121,"")</f>
        <v>0.0421471402214022</v>
      </c>
      <c r="S254" s="25" t="n">
        <f aca="false">IFERROR(-(N(S228)+N(S229))/S121,"")</f>
        <v>0.0476511279031003</v>
      </c>
      <c r="T254" s="25" t="n">
        <f aca="false">IFERROR(-(N(T228)+N(T229))/T121,"")</f>
        <v>0.0738523456169035</v>
      </c>
      <c r="U254" s="25" t="n">
        <f aca="false">IFERROR(-(N(U228)+N(U229))/U121,"")</f>
        <v>0.0362481468676937</v>
      </c>
      <c r="V254" s="25" t="n">
        <f aca="false">IFERROR(-(N(V228)+N(V229))/V121,"")</f>
        <v>0.0530098689429759</v>
      </c>
      <c r="W254" s="25" t="n">
        <f aca="false">IFERROR(-(N(W228)+N(W229))/W121,"")</f>
        <v>0.0368272982088918</v>
      </c>
      <c r="X254" s="25" t="n">
        <f aca="false">IFERROR(-(N(X228)+N(X229))/X121,"")</f>
        <v>0.0492593050505505</v>
      </c>
      <c r="Y254" s="25" t="n">
        <f aca="false">IFERROR(-(N(Y228)+N(Y229))/Y121,"")</f>
        <v>0.0189947881985992</v>
      </c>
      <c r="Z254" s="25" t="n">
        <f aca="false">IFERROR(-(N(Z228)+N(Z229))/Z121,"")</f>
        <v>0.0174023174086016</v>
      </c>
      <c r="AA254" s="25" t="n">
        <f aca="false">IFERROR(-(N(AA228)+N(AA229))/AA121,"")</f>
        <v>0.0202058191630898</v>
      </c>
      <c r="AB254" s="25" t="n">
        <f aca="false">IFERROR(-(N(AB228)+N(AB229))/AB121,"")</f>
        <v>0.0324033145375176</v>
      </c>
      <c r="AC254" s="25" t="n">
        <f aca="false">IFERROR(-(N(AC228)+N(AC229))/AC121,"")</f>
        <v>0.022403686591932</v>
      </c>
      <c r="AD254" s="25" t="n">
        <f aca="false">IFERROR(-(N(AD228)+N(AD229))/AD121,"")</f>
        <v>0.0271283099318923</v>
      </c>
      <c r="AE254" s="25" t="n">
        <f aca="false">IFERROR(-(N(AE228)+N(AE229))/AE121,"")</f>
        <v>0.0275265335036875</v>
      </c>
      <c r="AF254" s="25" t="n">
        <f aca="false">IFERROR(-(N(AF228)+N(AF229))/AF121,"")</f>
        <v>0.0286022469731309</v>
      </c>
      <c r="AG254" s="25" t="n">
        <f aca="false">IFERROR(-(N(AG228)+N(AG229))/AG121,"")</f>
        <v>0.0186817643144836</v>
      </c>
      <c r="AH254" s="25" t="n">
        <f aca="false">IFERROR(-(N(AH228)+N(AH229))/AH121,"")</f>
        <v>0.025381515286512</v>
      </c>
      <c r="AI254" s="25" t="n">
        <f aca="false">IFERROR(-(N(AI228)+N(AI229))/AI121,"")</f>
        <v>0.031481305577273</v>
      </c>
      <c r="AJ254" s="25" t="n">
        <f aca="false">IFERROR(-(N(AJ228)+N(AJ229))/AJ121,"")</f>
        <v>0.0243554262704617</v>
      </c>
      <c r="AK254" s="25" t="n">
        <f aca="false">IFERROR(-(N(AK228)+N(AK229))/AK121,"")</f>
        <v>0.0194746747402013</v>
      </c>
      <c r="AL254" s="25" t="n">
        <f aca="false">IFERROR(-(N(AL228)+N(AL229))/AL121,"")</f>
        <v>0.0248153347424193</v>
      </c>
      <c r="AM254" s="25" t="n">
        <f aca="false">IFERROR(-(N(AM228)+N(AM229))/AM121,"")</f>
        <v>0.0248625645225166</v>
      </c>
      <c r="AN254" s="25" t="n">
        <f aca="false">IFERROR(-(N(AN228)+N(AN229))/AN121,"")</f>
        <v>0.0287097510847225</v>
      </c>
      <c r="AO254" s="25" t="n">
        <f aca="false">IFERROR(-(N(AO228)+N(AO229))/AO121,"")</f>
        <v>0.0144228531533628</v>
      </c>
      <c r="AP254" s="25" t="n">
        <f aca="false">IFERROR(-(N(AP228)+N(AP229))/AP121,"")</f>
        <v>0.0843943447994377</v>
      </c>
      <c r="AQ254" s="25" t="n">
        <f aca="false">IFERROR(-(N(AQ228)+N(AQ229))/AQ121,"")</f>
        <v>0.00543063465038455</v>
      </c>
      <c r="AR254" s="25" t="n">
        <f aca="false">IFERROR(-(N(AR228)+N(AR229))/AR121,"")</f>
        <v>0.0330044816138096</v>
      </c>
      <c r="AS254" s="25" t="n">
        <f aca="false">IFERROR(-(N(AS228)+N(AS229))/AS121,"")</f>
        <v>0.0182035335220124</v>
      </c>
      <c r="AT254" s="25" t="n">
        <f aca="false">IFERROR(-(N(AT228)+N(AT229))/AT121,"")</f>
        <v>0.0142235225690467</v>
      </c>
      <c r="AU254" s="25" t="n">
        <f aca="false">IFERROR(-(N(AU228)+N(AU229))/AU121,"")</f>
        <v>0.0689699732155444</v>
      </c>
      <c r="AV254" s="25" t="n">
        <f aca="false">IFERROR(-(N(AV228)+N(AV229))/AV121,"")</f>
        <v>0.0139741175041011</v>
      </c>
      <c r="AW254" s="25" t="n">
        <f aca="false">IFERROR(-(N(AW228)+N(AW229))/AW121,"")</f>
        <v>0.0291419206169429</v>
      </c>
      <c r="AX254" s="25" t="n">
        <f aca="false">IFERROR(-(N(AX228)+N(AX229))/AX121,"")</f>
        <v>0.292503555845898</v>
      </c>
      <c r="AY254" s="25" t="n">
        <f aca="false">IFERROR(-(N(AY228)+N(AY229))/AY121,"")</f>
        <v>0.0059084010467738</v>
      </c>
      <c r="AZ254" s="25" t="n">
        <f aca="false">IFERROR(-(N(AZ228)+N(AZ229))/AZ121,"")</f>
        <v>0.0169030219158494</v>
      </c>
      <c r="BA254" s="25" t="n">
        <f aca="false">IFERROR(-(N(BA228)+N(BA229))/BA121,"")</f>
        <v>0.0864822627302254</v>
      </c>
      <c r="BB254" s="25" t="n">
        <f aca="false">IFERROR(-(N(BB228)+N(BB229))/BB121,"")</f>
        <v>0.0972072412666816</v>
      </c>
      <c r="BC254" s="25" t="n">
        <f aca="false">IFERROR(-(N(BC228)+N(BC229))/BC121,"")</f>
        <v>0.0240701788397228</v>
      </c>
      <c r="BD254" s="25" t="n">
        <f aca="false">IFERROR(-(N(BD228)+N(BD229))/BD121,"")</f>
        <v>0.082031220865622</v>
      </c>
      <c r="BE254" s="25" t="n">
        <f aca="false">IFERROR(-(N(BE228)+N(BE229))/BE121,"")</f>
        <v>0.0337193246438902</v>
      </c>
      <c r="BF254" s="25" t="n">
        <f aca="false">IFERROR(-(N(BF228)+N(BF229))/BF121,"")</f>
        <v>0.0323609693988785</v>
      </c>
      <c r="BG254" s="25" t="n">
        <f aca="false">IFERROR(-(N(BG228)+N(BG229))/BG121,"")</f>
        <v>0.0429541069254522</v>
      </c>
      <c r="BH254" s="25" t="n">
        <f aca="false">IFERROR(-(N(BH228)+N(BH229))/BH121,"")</f>
        <v>0.0335919612023971</v>
      </c>
      <c r="BI254" s="25" t="n">
        <f aca="false">IFERROR(-(N(BI228)+N(BI229))/BI121,"")</f>
        <v>0.0574214482114388</v>
      </c>
      <c r="BJ254" s="25" t="n">
        <f aca="false">IFERROR(-(N(BJ228)+N(BJ229))/BJ121,"")</f>
        <v>0.0344662533277624</v>
      </c>
      <c r="BK254" s="25" t="n">
        <f aca="false">IFERROR(-(N(BK228)+N(BK229))/BK121,"")</f>
        <v>0.104440371903215</v>
      </c>
      <c r="BL254" s="25" t="n">
        <f aca="false">IFERROR(-(N(BL228)+N(BL229))/BL121,"")</f>
        <v>0.0581670061099796</v>
      </c>
      <c r="BM254" s="25" t="n">
        <f aca="false">IFERROR(-(N(BM228)+N(BM229))/BM121,"")</f>
        <v>0.579372333942718</v>
      </c>
      <c r="BN254" s="25" t="n">
        <f aca="false">IFERROR(-(N(BN228)+N(BN229))/BN121,"")</f>
        <v>0.1360283269401</v>
      </c>
      <c r="BO254" s="25" t="n">
        <f aca="false">IFERROR(-(N(BO228)+N(BO229))/BO121,"")</f>
        <v>0.125036095870632</v>
      </c>
      <c r="BP254" s="25" t="n">
        <f aca="false">IFERROR(-(N(BP228)+N(BP229))/BP121,"")</f>
        <v>0.111079785734423</v>
      </c>
      <c r="BQ254" s="25" t="n">
        <f aca="false">IFERROR(-(N(BQ228)+N(BQ229))/BQ121,"")</f>
        <v>0.233133542869673</v>
      </c>
      <c r="BR254" s="25" t="n">
        <f aca="false">IFERROR(-(N(BR228)+N(BR229))/BR121,"")</f>
        <v>0.10816716744059</v>
      </c>
      <c r="BS254" s="25" t="n">
        <f aca="false">IFERROR(-(N(BS228)+N(BS229))/BS121,"")</f>
        <v>0.193907589914246</v>
      </c>
      <c r="BT254" s="25" t="n">
        <f aca="false">IFERROR(-(N(BT228)+N(BT229))/BT121,"")</f>
        <v>0.110124760076775</v>
      </c>
      <c r="BU254" s="25" t="n">
        <f aca="false">IFERROR(-(N(BU228)+N(BU229))/BU121,"")</f>
        <v>0.073897099677742</v>
      </c>
      <c r="BV254" s="25" t="n">
        <f aca="false">IFERROR(-(N(BV228)+N(BV229))/BV121,"")</f>
        <v>0.119802894979982</v>
      </c>
      <c r="BW254" s="25" t="n">
        <f aca="false">IFERROR(-(N(BW228)+N(BW229))/BW121,"")</f>
        <v>0.0602006688963211</v>
      </c>
      <c r="BX254" s="25" t="n">
        <f aca="false">IFERROR(-(N(BX228)+N(BX229))/BX121,"")</f>
        <v>0.0627027027027027</v>
      </c>
      <c r="BY254" s="27"/>
      <c r="BZ254" s="27"/>
      <c r="CA254" s="27" t="n">
        <f aca="false">IFERROR(-(N(CA228)+N(CA229))/CA121,"")</f>
        <v>0.0535293396218289</v>
      </c>
      <c r="CB254" s="27" t="n">
        <f aca="false">IFERROR(-(N(CB228)+N(CB229))/CB121,"")</f>
        <v>0.0384975379279779</v>
      </c>
      <c r="CC254" s="27" t="n">
        <f aca="false">IFERROR(-(N(CC228)+N(CC229))/CC121,"")</f>
        <v>0.028419494359476</v>
      </c>
      <c r="CD254" s="27" t="n">
        <f aca="false">IFERROR(-(N(CD228)+N(CD229))/CD121,"")</f>
        <v>0.0238572321373455</v>
      </c>
      <c r="CE254" s="27" t="n">
        <f aca="false">IFERROR(-(N(CE228)+N(CE229))/CE121,"")</f>
        <v>0.0235577727577491</v>
      </c>
      <c r="CF254" s="28"/>
      <c r="CH254" s="32" t="n">
        <f aca="false">IFERROR(AVERAGE(CA254,CB254,CC254,CD254,CE254),"n/m")</f>
        <v>0.0335722753608755</v>
      </c>
      <c r="CI254" s="32" t="n">
        <f aca="false">IFERROR(AVERAGE(BB254,BG254,BL254,BQ254,BV254),"n/m")</f>
        <v>0.110252958430354</v>
      </c>
      <c r="CJ254" s="32" t="n">
        <f aca="false">IFERROR(AVERAGE(AC254,AH254,AM254,AR254,AW254,BB254,BG254,BL254,BQ254,BV254),"n/m")</f>
        <v>0.0686058960783481</v>
      </c>
      <c r="CK254" s="32" t="n">
        <f aca="false">IFERROR(AVERAGE(C254,D254,E254,F254,G254,H254,I254,N254,S254,X254,AC254,AH254,AM254,AR254,AW254,BB254,BG254,BL254,BQ254,BV254),"n/m")</f>
        <v>0.0699702725701302</v>
      </c>
    </row>
    <row r="255" customFormat="false" ht="15" hidden="false" customHeight="true" outlineLevel="0" collapsed="false">
      <c r="B255" s="29" t="s">
        <v>466</v>
      </c>
      <c r="C255" s="46" t="n">
        <f aca="false">IFERROR(-(N(C228)+N(C229))/C141,"")</f>
        <v>1.09729043183743</v>
      </c>
      <c r="D255" s="46" t="n">
        <f aca="false">IFERROR(-(N(D228)+N(D229))/D141,"")</f>
        <v>0.883817427385892</v>
      </c>
      <c r="E255" s="46" t="n">
        <f aca="false">IFERROR(-(N(E228)+N(E229))/E141,"")</f>
        <v>0.217606094875305</v>
      </c>
      <c r="F255" s="46" t="n">
        <f aca="false">IFERROR(-(N(F228)+N(F229))/F141,"")</f>
        <v>0.641864268192968</v>
      </c>
      <c r="G255" s="46" t="n">
        <f aca="false">IFERROR(-(N(G228)+N(G229))/G141,"")</f>
        <v>4.20235914719027</v>
      </c>
      <c r="H255" s="46" t="n">
        <f aca="false">IFERROR(-(N(H228)+N(H229))/H141,"")</f>
        <v>1.16814503579209</v>
      </c>
      <c r="I255" s="46" t="n">
        <f aca="false">IFERROR(-(N(I228)+N(I229))/I141,"")</f>
        <v>0.452918905715681</v>
      </c>
      <c r="J255" s="46" t="n">
        <f aca="false">IFERROR(-(N(J228)+N(J229))/J141,"")</f>
        <v>0.456718473342514</v>
      </c>
      <c r="K255" s="46" t="n">
        <f aca="false">IFERROR(-(N(K228)+N(K229))/K141,"")</f>
        <v>0.424818389889541</v>
      </c>
      <c r="L255" s="46" t="n">
        <f aca="false">IFERROR(-(N(L228)+N(L229))/L141,"")</f>
        <v>0.640490919976053</v>
      </c>
      <c r="M255" s="46" t="n">
        <f aca="false">IFERROR(-(N(M228)+N(M229))/M141,"")</f>
        <v>0.377863761327767</v>
      </c>
      <c r="N255" s="46" t="n">
        <f aca="false">IFERROR(-(N(N228)+N(N229))/N141,"")</f>
        <v>0.475360726945928</v>
      </c>
      <c r="O255" s="46" t="n">
        <f aca="false">IFERROR(-(N(O228)+N(O229))/O141,"")</f>
        <v>0.421175515176124</v>
      </c>
      <c r="P255" s="46" t="n">
        <f aca="false">IFERROR(-(N(P228)+N(P229))/P141,"")</f>
        <v>0.352588292210934</v>
      </c>
      <c r="Q255" s="46" t="n">
        <f aca="false">IFERROR(-(N(Q228)+N(Q229))/Q141,"")</f>
        <v>0.466455570947952</v>
      </c>
      <c r="R255" s="46" t="n">
        <f aca="false">IFERROR(-(N(R228)+N(R229))/R141,"")</f>
        <v>0.334996690259178</v>
      </c>
      <c r="S255" s="46" t="n">
        <f aca="false">IFERROR(-(N(S228)+N(S229))/S141,"")</f>
        <v>0.389984652986983</v>
      </c>
      <c r="T255" s="46" t="n">
        <f aca="false">IFERROR(-(N(T228)+N(T229))/T141,"")</f>
        <v>0.659293774209847</v>
      </c>
      <c r="U255" s="46" t="n">
        <f aca="false">IFERROR(-(N(U228)+N(U229))/U141,"")</f>
        <v>0.331262718217843</v>
      </c>
      <c r="V255" s="46" t="n">
        <f aca="false">IFERROR(-(N(V228)+N(V229))/V141,"")</f>
        <v>0.445071047957371</v>
      </c>
      <c r="W255" s="46" t="n">
        <f aca="false">IFERROR(-(N(W228)+N(W229))/W141,"")</f>
        <v>0.36404609475032</v>
      </c>
      <c r="X255" s="46" t="n">
        <f aca="false">IFERROR(-(N(X228)+N(X229))/X141,"")</f>
        <v>0.446454948301329</v>
      </c>
      <c r="Y255" s="46" t="n">
        <f aca="false">IFERROR(-(N(Y228)+N(Y229))/Y141,"")</f>
        <v>0.216540151817819</v>
      </c>
      <c r="Z255" s="46" t="n">
        <f aca="false">IFERROR(-(N(Z228)+N(Z229))/Z141,"")</f>
        <v>0.206422018348624</v>
      </c>
      <c r="AA255" s="46" t="n">
        <f aca="false">IFERROR(-(N(AA228)+N(AA229))/AA141,"")</f>
        <v>0.237721238938053</v>
      </c>
      <c r="AB255" s="46" t="n">
        <f aca="false">IFERROR(-(N(AB228)+N(AB229))/AB141,"")</f>
        <v>0.413104414856342</v>
      </c>
      <c r="AC255" s="46" t="n">
        <f aca="false">IFERROR(-(N(AC228)+N(AC229))/AC141,"")</f>
        <v>0.267455283973491</v>
      </c>
      <c r="AD255" s="46" t="n">
        <f aca="false">IFERROR(-(N(AD228)+N(AD229))/AD141,"")</f>
        <v>0.35530119088912</v>
      </c>
      <c r="AE255" s="46" t="n">
        <f aca="false">IFERROR(-(N(AE228)+N(AE229))/AE141,"")</f>
        <v>0.411601513240858</v>
      </c>
      <c r="AF255" s="46" t="n">
        <f aca="false">IFERROR(-(N(AF228)+N(AF229))/AF141,"")</f>
        <v>0.468284939480124</v>
      </c>
      <c r="AG255" s="46" t="n">
        <f aca="false">IFERROR(-(N(AG228)+N(AG229))/AG141,"")</f>
        <v>0.308798646362098</v>
      </c>
      <c r="AH255" s="46" t="n">
        <f aca="false">IFERROR(-(N(AH228)+N(AH229))/AH141,"")</f>
        <v>0.384944141539525</v>
      </c>
      <c r="AI255" s="46" t="n">
        <f aca="false">IFERROR(-(N(AI228)+N(AI229))/AI141,"")</f>
        <v>0.50738974268386</v>
      </c>
      <c r="AJ255" s="46" t="n">
        <f aca="false">IFERROR(-(N(AJ228)+N(AJ229))/AJ141,"")</f>
        <v>0.351438010104936</v>
      </c>
      <c r="AK255" s="46" t="n">
        <f aca="false">IFERROR(-(N(AK228)+N(AK229))/AK141,"")</f>
        <v>0.291195614936622</v>
      </c>
      <c r="AL255" s="46" t="n">
        <f aca="false">IFERROR(-(N(AL228)+N(AL229))/AL141,"")</f>
        <v>0.396646912829864</v>
      </c>
      <c r="AM255" s="46" t="n">
        <f aca="false">IFERROR(-(N(AM228)+N(AM229))/AM141,"")</f>
        <v>0.381153287112666</v>
      </c>
      <c r="AN255" s="46" t="n">
        <f aca="false">IFERROR(-(N(AN228)+N(AN229))/AN141,"")</f>
        <v>0.479627651457348</v>
      </c>
      <c r="AO255" s="46" t="n">
        <f aca="false">IFERROR(-(N(AO228)+N(AO229))/AO141,"")</f>
        <v>0.264370267676229</v>
      </c>
      <c r="AP255" s="46" t="n">
        <f aca="false">IFERROR(-(N(AP228)+N(AP229))/AP141,"")</f>
        <v>1.58192540643927</v>
      </c>
      <c r="AQ255" s="46" t="n">
        <f aca="false">IFERROR(-(N(AQ228)+N(AQ229))/AQ141,"")</f>
        <v>0.0850396991224405</v>
      </c>
      <c r="AR255" s="46" t="n">
        <f aca="false">IFERROR(-(N(AR228)+N(AR229))/AR141,"")</f>
        <v>0.569173905008316</v>
      </c>
      <c r="AS255" s="46" t="n">
        <f aca="false">IFERROR(-(N(AS228)+N(AS229))/AS141,"")</f>
        <v>0.294071569920844</v>
      </c>
      <c r="AT255" s="46" t="n">
        <f aca="false">IFERROR(-(N(AT228)+N(AT229))/AT141,"")</f>
        <v>0.201901426069552</v>
      </c>
      <c r="AU255" s="46" t="n">
        <f aca="false">IFERROR(-(N(AU228)+N(AU229))/AU141,"")</f>
        <v>0.926726859451951</v>
      </c>
      <c r="AV255" s="46" t="n">
        <f aca="false">IFERROR(-(N(AV228)+N(AV229))/AV141,"")</f>
        <v>0.187993824357461</v>
      </c>
      <c r="AW255" s="46" t="n">
        <f aca="false">IFERROR(-(N(AW228)+N(AW229))/AW141,"")</f>
        <v>0.413420098508688</v>
      </c>
      <c r="AX255" s="46" t="n">
        <f aca="false">IFERROR(-(N(AX228)+N(AX229))/AX141,"")</f>
        <v>3.78079638520192</v>
      </c>
      <c r="AY255" s="46" t="n">
        <f aca="false">IFERROR(-(N(AY228)+N(AY229))/AY141,"")</f>
        <v>0.0857246420588413</v>
      </c>
      <c r="AZ255" s="46" t="n">
        <f aca="false">IFERROR(-(N(AZ228)+N(AZ229))/AZ141,"")</f>
        <v>0.24915864674972</v>
      </c>
      <c r="BA255" s="46" t="n">
        <f aca="false">IFERROR(-(N(BA228)+N(BA229))/BA141,"")</f>
        <v>1.17918639690056</v>
      </c>
      <c r="BB255" s="46" t="n">
        <f aca="false">IFERROR(-(N(BB228)+N(BB229))/BB141,"")</f>
        <v>1.35416099399533</v>
      </c>
      <c r="BC255" s="46" t="n">
        <f aca="false">IFERROR(-(N(BC228)+N(BC229))/BC141,"")</f>
        <v>0.385709847778813</v>
      </c>
      <c r="BD255" s="46" t="n">
        <f aca="false">IFERROR(-(N(BD228)+N(BD229))/BD141,"")</f>
        <v>1.37752450136206</v>
      </c>
      <c r="BE255" s="46" t="n">
        <f aca="false">IFERROR(-(N(BE228)+N(BE229))/BE141,"")</f>
        <v>0.409521109560363</v>
      </c>
      <c r="BF255" s="46" t="n">
        <f aca="false">IFERROR(-(N(BF228)+N(BF229))/BF141,"")</f>
        <v>0.664970253028457</v>
      </c>
      <c r="BG255" s="46" t="n">
        <f aca="false">IFERROR(-(N(BG228)+N(BG229))/BG141,"")</f>
        <v>0.679863654494688</v>
      </c>
      <c r="BH255" s="46" t="n">
        <f aca="false">IFERROR(-(N(BH228)+N(BH229))/BH141,"")</f>
        <v>0.765988995980802</v>
      </c>
      <c r="BI255" s="46" t="n">
        <f aca="false">IFERROR(-(N(BI228)+N(BI229))/BI141,"")</f>
        <v>1.33491923416337</v>
      </c>
      <c r="BJ255" s="46" t="n">
        <f aca="false">IFERROR(-(N(BJ228)+N(BJ229))/BJ141,"")</f>
        <v>0.793732718894009</v>
      </c>
      <c r="BK255" s="46" t="n">
        <f aca="false">IFERROR(-(N(BK228)+N(BK229))/BK141,"")</f>
        <v>2.3304165940387</v>
      </c>
      <c r="BL255" s="46" t="n">
        <f aca="false">IFERROR(-(N(BL228)+N(BL229))/BL141,"")</f>
        <v>1.32837209302326</v>
      </c>
      <c r="BM255" s="46" t="n">
        <f aca="false">IFERROR(-(N(BM228)+N(BM229))/BM141,"")</f>
        <v>11.4204204204204</v>
      </c>
      <c r="BN255" s="46" t="n">
        <f aca="false">IFERROR(-(N(BN228)+N(BN229))/BN141,"")</f>
        <v>2.37628865979381</v>
      </c>
      <c r="BO255" s="46" t="n">
        <f aca="false">IFERROR(-(N(BO228)+N(BO229))/BO141,"")</f>
        <v>2.43943661971831</v>
      </c>
      <c r="BP255" s="46" t="n">
        <f aca="false">IFERROR(-(N(BP228)+N(BP229))/BP141,"")</f>
        <v>2.00508905852417</v>
      </c>
      <c r="BQ255" s="46" t="n">
        <f aca="false">IFERROR(-(N(BQ228)+N(BQ229))/BQ141,"")</f>
        <v>4.34240980258679</v>
      </c>
      <c r="BR255" s="46" t="n">
        <f aca="false">IFERROR(-(N(BR228)+N(BR229))/BR141,"")</f>
        <v>1.67441860465116</v>
      </c>
      <c r="BS255" s="46" t="n">
        <f aca="false">IFERROR(-(N(BS228)+N(BS229))/BS141,"")</f>
        <v>2.31297709923664</v>
      </c>
      <c r="BT255" s="46" t="n">
        <f aca="false">IFERROR(-(N(BT228)+N(BT229))/BT141,"")</f>
        <v>1.32658959537572</v>
      </c>
      <c r="BU255" s="46" t="n">
        <f aca="false">IFERROR(-(N(BU228)+N(BU229))/BU141,"")</f>
        <v>0.820987654320988</v>
      </c>
      <c r="BV255" s="46" t="n">
        <f aca="false">IFERROR(-(N(BV228)+N(BV229))/BV141,"")</f>
        <v>1.47908745247148</v>
      </c>
      <c r="BW255" s="46" t="n">
        <f aca="false">IFERROR(-(N(BW228)+N(BW229))/BW141,"")</f>
        <v>0.658536585365854</v>
      </c>
      <c r="BX255" s="46" t="n">
        <f aca="false">IFERROR(-(N(BX228)+N(BX229))/BX141,"")</f>
        <v>0.682352941176471</v>
      </c>
      <c r="BY255" s="47"/>
      <c r="BZ255" s="47"/>
      <c r="CA255" s="47" t="n">
        <f aca="false">IFERROR(-(N(CA228)+N(CA229))/CA141,"")</f>
        <v>0.570067828814178</v>
      </c>
      <c r="CB255" s="47" t="n">
        <f aca="false">IFERROR(-(N(CB228)+N(CB229))/CB141,"")</f>
        <v>0.46230464007175</v>
      </c>
      <c r="CC255" s="47" t="n">
        <f aca="false">IFERROR(-(N(CC228)+N(CC229))/CC141,"")</f>
        <v>0.393042156553108</v>
      </c>
      <c r="CD255" s="47" t="n">
        <f aca="false">IFERROR(-(N(CD228)+N(CD229))/CD141,"")</f>
        <v>0.364823724637801</v>
      </c>
      <c r="CE255" s="47" t="n">
        <f aca="false">IFERROR(-(N(CE228)+N(CE229))/CE141,"")</f>
        <v>0.418191448692225</v>
      </c>
      <c r="CF255" s="28"/>
    </row>
    <row r="257" customFormat="false" ht="15" hidden="false" customHeight="true" outlineLevel="0" collapsed="false">
      <c r="B257" s="11" t="s">
        <v>467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 t="s">
        <v>468</v>
      </c>
    </row>
    <row r="258" customFormat="false" ht="15" hidden="false" customHeight="true" outlineLevel="0" collapsed="false">
      <c r="B258" s="29" t="s">
        <v>469</v>
      </c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  <c r="BT258" s="58"/>
      <c r="BU258" s="58"/>
      <c r="BV258" s="58"/>
      <c r="BW258" s="58"/>
      <c r="BX258" s="58"/>
      <c r="BY258" s="59"/>
      <c r="BZ258" s="59"/>
      <c r="CA258" s="59" t="n">
        <f aca="false">CA388</f>
        <v>30.78</v>
      </c>
      <c r="CB258" s="59" t="n">
        <f aca="false">CA258*(1+CB334)</f>
        <v>33.2424</v>
      </c>
      <c r="CC258" s="59" t="n">
        <f aca="false">CB258*(1+CC334)</f>
        <v>35.901792</v>
      </c>
      <c r="CD258" s="59" t="n">
        <f aca="false">CC258*(1+CD334)</f>
        <v>38.77393536</v>
      </c>
      <c r="CE258" s="59" t="n">
        <f aca="false">CD258*(1+CE334)</f>
        <v>41.8758501888</v>
      </c>
      <c r="CF258" s="28" t="s">
        <v>470</v>
      </c>
    </row>
    <row r="259" customFormat="false" ht="15" hidden="false" customHeight="true" outlineLevel="0" collapsed="false">
      <c r="B259" s="29" t="s">
        <v>471</v>
      </c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6"/>
      <c r="BZ259" s="36"/>
      <c r="CA259" s="36" t="n">
        <f aca="false">CHOOSE(MATCH($CF$2,{"Bull","Base","Bear"},0),$CO$39,$CP$39,$CQ$39)</f>
        <v>113</v>
      </c>
      <c r="CB259" s="36" t="n">
        <f aca="false">CB353</f>
        <v>849.39881673517</v>
      </c>
      <c r="CC259" s="36" t="n">
        <f aca="false">CC353</f>
        <v>999.81928902603</v>
      </c>
      <c r="CD259" s="36" t="n">
        <f aca="false">CD353</f>
        <v>1216.56355181866</v>
      </c>
      <c r="CE259" s="36" t="n">
        <f aca="false">CE353</f>
        <v>1414.27061225815</v>
      </c>
      <c r="CF259" s="28" t="s">
        <v>472</v>
      </c>
    </row>
    <row r="260" customFormat="false" ht="15" hidden="false" customHeight="true" outlineLevel="0" collapsed="false">
      <c r="B260" s="29" t="s">
        <v>473</v>
      </c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  <c r="BI260" s="54"/>
      <c r="BJ260" s="54"/>
      <c r="BK260" s="54"/>
      <c r="BL260" s="54"/>
      <c r="BM260" s="54"/>
      <c r="BN260" s="54"/>
      <c r="BO260" s="54"/>
      <c r="BP260" s="54"/>
      <c r="BQ260" s="54"/>
      <c r="BR260" s="54"/>
      <c r="BS260" s="54"/>
      <c r="BT260" s="54"/>
      <c r="BU260" s="54"/>
      <c r="BV260" s="54"/>
      <c r="BW260" s="54"/>
      <c r="BX260" s="54"/>
      <c r="BY260" s="56"/>
      <c r="BZ260" s="56"/>
      <c r="CA260" s="56" t="n">
        <f aca="false">IFERROR(CA259/CA258,0)</f>
        <v>3.67121507472385</v>
      </c>
      <c r="CB260" s="56" t="n">
        <f aca="false">IFERROR(CB259/CB258,0)</f>
        <v>25.551669456332</v>
      </c>
      <c r="CC260" s="56" t="n">
        <f aca="false">IFERROR(CC259/CC258,0)</f>
        <v>27.8487293622009</v>
      </c>
      <c r="CD260" s="56" t="n">
        <f aca="false">IFERROR(CD259/CD258,0)</f>
        <v>31.3758080144141</v>
      </c>
      <c r="CE260" s="56" t="n">
        <f aca="false">IFERROR(CE259/CE258,0)</f>
        <v>33.7729408688259</v>
      </c>
      <c r="CF260" s="28"/>
    </row>
    <row r="261" customFormat="false" ht="15" hidden="false" customHeight="true" outlineLevel="0" collapsed="false">
      <c r="B261" s="29" t="s">
        <v>474</v>
      </c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  <c r="BI261" s="54"/>
      <c r="BJ261" s="54"/>
      <c r="BK261" s="54"/>
      <c r="BL261" s="54"/>
      <c r="BM261" s="54"/>
      <c r="BN261" s="54"/>
      <c r="BO261" s="54"/>
      <c r="BP261" s="54"/>
      <c r="BQ261" s="54"/>
      <c r="BR261" s="54"/>
      <c r="BS261" s="54"/>
      <c r="BT261" s="54"/>
      <c r="BU261" s="54"/>
      <c r="BV261" s="54"/>
      <c r="BW261" s="54"/>
      <c r="BX261" s="54"/>
      <c r="BY261" s="56"/>
      <c r="BZ261" s="56"/>
      <c r="CA261" s="64" t="n">
        <v>0.5</v>
      </c>
      <c r="CB261" s="64" t="n">
        <v>2</v>
      </c>
      <c r="CC261" s="64" t="n">
        <v>2</v>
      </c>
      <c r="CD261" s="64" t="n">
        <v>2</v>
      </c>
      <c r="CE261" s="64" t="n">
        <v>2</v>
      </c>
      <c r="CF261" s="28" t="s">
        <v>475</v>
      </c>
    </row>
    <row r="262" customFormat="false" ht="15" hidden="false" customHeight="true" outlineLevel="0" collapsed="false">
      <c r="B262" s="29" t="s">
        <v>476</v>
      </c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  <c r="BI262" s="54"/>
      <c r="BJ262" s="54"/>
      <c r="BK262" s="54"/>
      <c r="BL262" s="54"/>
      <c r="BM262" s="54"/>
      <c r="BN262" s="54"/>
      <c r="BO262" s="54"/>
      <c r="BP262" s="54"/>
      <c r="BQ262" s="54"/>
      <c r="BR262" s="54"/>
      <c r="BS262" s="54"/>
      <c r="BT262" s="54"/>
      <c r="BU262" s="54"/>
      <c r="BV262" s="54"/>
      <c r="BW262" s="54"/>
      <c r="BX262" s="54"/>
      <c r="BY262" s="56"/>
      <c r="BZ262" s="56"/>
      <c r="CA262" s="56" t="n">
        <f aca="false">BX105</f>
        <v>405.197588</v>
      </c>
      <c r="CB262" s="56" t="n">
        <f aca="false">CA263</f>
        <v>402.026372925276</v>
      </c>
      <c r="CC262" s="56" t="n">
        <f aca="false">CB263</f>
        <v>378.474703468944</v>
      </c>
      <c r="CD262" s="56" t="n">
        <f aca="false">CC263</f>
        <v>352.625974106743</v>
      </c>
      <c r="CE262" s="56" t="n">
        <f aca="false">CD263</f>
        <v>323.250166092329</v>
      </c>
      <c r="CF262" s="28" t="s">
        <v>477</v>
      </c>
    </row>
    <row r="263" customFormat="false" ht="15" hidden="false" customHeight="true" outlineLevel="0" collapsed="false">
      <c r="B263" s="29" t="s">
        <v>478</v>
      </c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  <c r="BL263" s="54"/>
      <c r="BM263" s="54"/>
      <c r="BN263" s="54"/>
      <c r="BO263" s="54"/>
      <c r="BP263" s="54"/>
      <c r="BQ263" s="54"/>
      <c r="BR263" s="54"/>
      <c r="BS263" s="54"/>
      <c r="BT263" s="54"/>
      <c r="BU263" s="54"/>
      <c r="BV263" s="54"/>
      <c r="BW263" s="54"/>
      <c r="BX263" s="54"/>
      <c r="BY263" s="56"/>
      <c r="BZ263" s="56"/>
      <c r="CA263" s="56" t="n">
        <f aca="false">CA262-CA260+CA261</f>
        <v>402.026372925276</v>
      </c>
      <c r="CB263" s="56" t="n">
        <f aca="false">CB262-CB260+CB261</f>
        <v>378.474703468944</v>
      </c>
      <c r="CC263" s="56" t="n">
        <f aca="false">CC262-CC260+CC261</f>
        <v>352.625974106743</v>
      </c>
      <c r="CD263" s="56" t="n">
        <f aca="false">CD262-CD260+CD261</f>
        <v>323.250166092329</v>
      </c>
      <c r="CE263" s="56" t="n">
        <f aca="false">CE262-CE260+CE261</f>
        <v>291.477225223503</v>
      </c>
      <c r="CF263" s="28"/>
    </row>
    <row r="264" customFormat="false" ht="15" hidden="false" customHeight="true" outlineLevel="0" collapsed="false">
      <c r="B264" s="29" t="s">
        <v>479</v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7"/>
      <c r="BZ264" s="27"/>
      <c r="CA264" s="27" t="n">
        <f aca="false">IFERROR(CA260/CA262,"")</f>
        <v>0.00906030831240744</v>
      </c>
      <c r="CB264" s="27" t="n">
        <f aca="false">IFERROR(CB260/CB262,"")</f>
        <v>0.0635571971818904</v>
      </c>
      <c r="CC264" s="27" t="n">
        <f aca="false">IFERROR(CC260/CC262,"")</f>
        <v>0.0735814814225386</v>
      </c>
      <c r="CD264" s="27" t="n">
        <f aca="false">IFERROR(CD260/CD262,"")</f>
        <v>0.0889775862197727</v>
      </c>
      <c r="CE264" s="27" t="n">
        <f aca="false">IFERROR(CE260/CE262,"")</f>
        <v>0.10447926841646</v>
      </c>
      <c r="CF264" s="28"/>
    </row>
    <row r="265" customFormat="false" ht="15" hidden="false" customHeight="true" outlineLevel="0" collapsed="false">
      <c r="B265" s="29" t="s">
        <v>480</v>
      </c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  <c r="BI265" s="54"/>
      <c r="BJ265" s="54"/>
      <c r="BK265" s="54"/>
      <c r="BL265" s="54"/>
      <c r="BM265" s="54"/>
      <c r="BN265" s="54"/>
      <c r="BO265" s="54"/>
      <c r="BP265" s="54"/>
      <c r="BQ265" s="54"/>
      <c r="BR265" s="54"/>
      <c r="BS265" s="54"/>
      <c r="BT265" s="54"/>
      <c r="BU265" s="54"/>
      <c r="BV265" s="54"/>
      <c r="BW265" s="54"/>
      <c r="BX265" s="54"/>
      <c r="BY265" s="56"/>
      <c r="BZ265" s="56"/>
      <c r="CA265" s="56" t="n">
        <f aca="false">BX145-BX144</f>
        <v>0.299999999999955</v>
      </c>
      <c r="CB265" s="56"/>
      <c r="CC265" s="56"/>
      <c r="CD265" s="56"/>
      <c r="CE265" s="56"/>
      <c r="CF265" s="28"/>
    </row>
    <row r="267" customFormat="false" ht="15" hidden="false" customHeight="true" outlineLevel="0" collapsed="false">
      <c r="B267" s="11" t="s">
        <v>481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 t="s">
        <v>482</v>
      </c>
    </row>
    <row r="268" customFormat="false" ht="15" hidden="false" customHeight="true" outlineLevel="0" collapsed="false">
      <c r="B268" s="29" t="s">
        <v>483</v>
      </c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6"/>
      <c r="BZ268" s="36"/>
      <c r="CA268" s="36"/>
      <c r="CB268" s="36"/>
      <c r="CC268" s="36"/>
      <c r="CD268" s="36"/>
      <c r="CE268" s="36"/>
      <c r="CF268" s="28"/>
    </row>
    <row r="269" customFormat="false" ht="15" hidden="false" customHeight="true" outlineLevel="0" collapsed="false">
      <c r="B269" s="29" t="s">
        <v>484</v>
      </c>
      <c r="C269" s="35" t="n">
        <v>38.159</v>
      </c>
      <c r="D269" s="35" t="n">
        <v>57.785</v>
      </c>
      <c r="E269" s="35" t="n">
        <v>159.982</v>
      </c>
      <c r="F269" s="35" t="n">
        <v>205.786</v>
      </c>
      <c r="G269" s="35" t="n">
        <v>206.405</v>
      </c>
      <c r="H269" s="35" t="n">
        <v>545.28</v>
      </c>
      <c r="I269" s="35" t="n">
        <v>156.027</v>
      </c>
      <c r="J269" s="35" t="n">
        <v>167.394</v>
      </c>
      <c r="K269" s="35" t="n">
        <v>190.101</v>
      </c>
      <c r="L269" s="35" t="n">
        <v>222.938</v>
      </c>
      <c r="M269" s="35" t="n">
        <v>255.953</v>
      </c>
      <c r="N269" s="35" t="n">
        <v>255.953</v>
      </c>
      <c r="O269" s="35" t="n">
        <v>223.443</v>
      </c>
      <c r="P269" s="35" t="n">
        <v>444.857</v>
      </c>
      <c r="Q269" s="35" t="n">
        <v>486.195</v>
      </c>
      <c r="R269" s="35" t="n">
        <v>527.012</v>
      </c>
      <c r="S269" s="35" t="n">
        <v>527.012</v>
      </c>
      <c r="T269" s="34"/>
      <c r="U269" s="35" t="n">
        <v>351.781</v>
      </c>
      <c r="V269" s="35" t="n">
        <v>375.509</v>
      </c>
      <c r="W269" s="35" t="n">
        <v>421.818</v>
      </c>
      <c r="X269" s="35" t="n">
        <v>421.818</v>
      </c>
      <c r="Y269" s="35" t="n">
        <v>461.72</v>
      </c>
      <c r="Z269" s="35" t="n">
        <v>464.151</v>
      </c>
      <c r="AA269" s="35" t="n">
        <v>522.099</v>
      </c>
      <c r="AB269" s="35" t="n">
        <v>567.223</v>
      </c>
      <c r="AC269" s="35" t="n">
        <v>567.223</v>
      </c>
      <c r="AD269" s="35" t="n">
        <v>572.472</v>
      </c>
      <c r="AE269" s="35" t="n">
        <v>564.638</v>
      </c>
      <c r="AF269" s="35" t="n">
        <v>622.995</v>
      </c>
      <c r="AG269" s="35" t="n">
        <v>1211.463</v>
      </c>
      <c r="AH269" s="35" t="n">
        <v>1211.463</v>
      </c>
      <c r="AI269" s="35" t="n">
        <v>931.429</v>
      </c>
      <c r="AJ269" s="35" t="n">
        <v>966.278</v>
      </c>
      <c r="AK269" s="35" t="n">
        <v>1071.786</v>
      </c>
      <c r="AL269" s="35" t="n">
        <v>1100.416</v>
      </c>
      <c r="AM269" s="35" t="n">
        <v>1100.416</v>
      </c>
      <c r="AN269" s="35" t="n">
        <v>1232.817</v>
      </c>
      <c r="AO269" s="35" t="n">
        <v>1297.812</v>
      </c>
      <c r="AP269" s="35" t="n">
        <v>1389.619</v>
      </c>
      <c r="AQ269" s="35" t="n">
        <v>1070.731</v>
      </c>
      <c r="AR269" s="35" t="n">
        <v>1070.731</v>
      </c>
      <c r="AS269" s="35" t="n">
        <v>1927.923</v>
      </c>
      <c r="AT269" s="35" t="n">
        <v>3548.405</v>
      </c>
      <c r="AU269" s="35" t="n">
        <v>3867.805</v>
      </c>
      <c r="AV269" s="35" t="n">
        <v>3755.912</v>
      </c>
      <c r="AW269" s="35" t="n">
        <v>3755.912</v>
      </c>
      <c r="AX269" s="35" t="n">
        <v>3690.296</v>
      </c>
      <c r="AY269" s="35" t="n">
        <v>3674.909</v>
      </c>
      <c r="AZ269" s="35" t="n">
        <v>3761.587</v>
      </c>
      <c r="BA269" s="35" t="n">
        <v>3827.126</v>
      </c>
      <c r="BB269" s="35" t="n">
        <v>3827.126</v>
      </c>
      <c r="BC269" s="35" t="n">
        <v>3929.097</v>
      </c>
      <c r="BD269" s="35" t="n">
        <v>3964.116</v>
      </c>
      <c r="BE269" s="35" t="n">
        <v>4774.465</v>
      </c>
      <c r="BF269" s="35" t="n">
        <v>4967.97</v>
      </c>
      <c r="BG269" s="35" t="n">
        <v>4967.97</v>
      </c>
      <c r="BH269" s="35" t="n">
        <v>5055.646</v>
      </c>
      <c r="BI269" s="35" t="n">
        <v>5205.295</v>
      </c>
      <c r="BJ269" s="35" t="n">
        <v>5229.88</v>
      </c>
      <c r="BK269" s="35" t="n">
        <v>5215.9</v>
      </c>
      <c r="BL269" s="35" t="n">
        <v>5215.9</v>
      </c>
      <c r="BM269" s="35" t="n">
        <v>4951.6</v>
      </c>
      <c r="BN269" s="35" t="n">
        <v>4919.5</v>
      </c>
      <c r="BO269" s="35" t="n">
        <v>4937.6</v>
      </c>
      <c r="BP269" s="35" t="n">
        <v>4681</v>
      </c>
      <c r="BQ269" s="35" t="n">
        <v>4681</v>
      </c>
      <c r="BR269" s="35" t="n">
        <v>3680.8</v>
      </c>
      <c r="BS269" s="35" t="n">
        <v>3628.6</v>
      </c>
      <c r="BT269" s="35" t="n">
        <v>1935.3</v>
      </c>
      <c r="BU269" s="35" t="n">
        <v>1633</v>
      </c>
      <c r="BV269" s="35" t="n">
        <v>1633</v>
      </c>
      <c r="BW269" s="35" t="n">
        <v>1215</v>
      </c>
      <c r="BX269" s="35" t="n">
        <v>1266</v>
      </c>
      <c r="BY269" s="36"/>
      <c r="BZ269" s="36"/>
      <c r="CA269" s="36" t="n">
        <f aca="false">CA243-CA270</f>
        <v>656.837157671869</v>
      </c>
      <c r="CB269" s="36" t="n">
        <f aca="false">CB243-CB270</f>
        <v>492.013297520164</v>
      </c>
      <c r="CC269" s="36" t="n">
        <f aca="false">CC243-CC270</f>
        <v>400</v>
      </c>
      <c r="CD269" s="36" t="n">
        <f aca="false">CD243-CD270</f>
        <v>400</v>
      </c>
      <c r="CE269" s="36" t="n">
        <f aca="false">CE243-CE270</f>
        <v>400</v>
      </c>
      <c r="CF269" s="28"/>
    </row>
    <row r="270" customFormat="false" ht="15" hidden="false" customHeight="true" outlineLevel="0" collapsed="false">
      <c r="B270" s="29" t="s">
        <v>485</v>
      </c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5" t="n">
        <v>97.4</v>
      </c>
      <c r="BS270" s="35" t="n">
        <v>98.4</v>
      </c>
      <c r="BT270" s="35" t="n">
        <v>99.5</v>
      </c>
      <c r="BU270" s="35" t="n">
        <v>100</v>
      </c>
      <c r="BV270" s="35" t="n">
        <v>100</v>
      </c>
      <c r="BW270" s="35" t="n">
        <v>101</v>
      </c>
      <c r="BX270" s="35" t="n">
        <v>0</v>
      </c>
      <c r="BY270" s="36"/>
      <c r="BZ270" s="36"/>
      <c r="CA270" s="36" t="n">
        <f aca="false">N(BX270)</f>
        <v>0</v>
      </c>
      <c r="CB270" s="36" t="n">
        <f aca="false">CA270</f>
        <v>0</v>
      </c>
      <c r="CC270" s="36" t="n">
        <f aca="false">CB270</f>
        <v>0</v>
      </c>
      <c r="CD270" s="36" t="n">
        <f aca="false">CC270</f>
        <v>0</v>
      </c>
      <c r="CE270" s="36" t="n">
        <f aca="false">CD270</f>
        <v>0</v>
      </c>
      <c r="CF270" s="28"/>
    </row>
    <row r="271" customFormat="false" ht="15" hidden="false" customHeight="true" outlineLevel="0" collapsed="false">
      <c r="B271" s="29" t="s">
        <v>486</v>
      </c>
      <c r="C271" s="35" t="n">
        <v>119.989</v>
      </c>
      <c r="D271" s="35" t="n">
        <v>129.641</v>
      </c>
      <c r="E271" s="35" t="n">
        <v>35.268</v>
      </c>
      <c r="F271" s="35" t="n">
        <v>20.188</v>
      </c>
      <c r="G271" s="35" t="n">
        <v>3.722</v>
      </c>
      <c r="H271" s="35" t="n">
        <v>3.515</v>
      </c>
      <c r="I271" s="35" t="n">
        <v>0.037</v>
      </c>
      <c r="J271" s="35" t="n">
        <v>0</v>
      </c>
      <c r="K271" s="35" t="n">
        <v>0</v>
      </c>
      <c r="L271" s="35" t="n">
        <v>0</v>
      </c>
      <c r="M271" s="35" t="n">
        <v>0</v>
      </c>
      <c r="N271" s="35" t="n">
        <v>0</v>
      </c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5" t="n">
        <v>1.092</v>
      </c>
      <c r="Z271" s="35" t="n">
        <v>1.13</v>
      </c>
      <c r="AA271" s="35" t="n">
        <v>1.171</v>
      </c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6"/>
      <c r="BZ271" s="36"/>
      <c r="CA271" s="36" t="n">
        <f aca="false">N(BX271)</f>
        <v>0</v>
      </c>
      <c r="CB271" s="36" t="n">
        <f aca="false">CA271</f>
        <v>0</v>
      </c>
      <c r="CC271" s="36" t="n">
        <f aca="false">CB271</f>
        <v>0</v>
      </c>
      <c r="CD271" s="36" t="n">
        <f aca="false">CC271</f>
        <v>0</v>
      </c>
      <c r="CE271" s="36" t="n">
        <f aca="false">CD271</f>
        <v>0</v>
      </c>
      <c r="CF271" s="28"/>
    </row>
    <row r="272" customFormat="false" ht="15" hidden="false" customHeight="true" outlineLevel="0" collapsed="false">
      <c r="B272" s="29" t="s">
        <v>487</v>
      </c>
      <c r="C272" s="35" t="n">
        <v>9.202</v>
      </c>
      <c r="D272" s="35" t="n">
        <v>10.875</v>
      </c>
      <c r="E272" s="35" t="n">
        <v>12.294</v>
      </c>
      <c r="F272" s="35" t="n">
        <v>12.855</v>
      </c>
      <c r="G272" s="35" t="n">
        <v>13.094</v>
      </c>
      <c r="H272" s="35" t="n">
        <v>16.589</v>
      </c>
      <c r="I272" s="35" t="n">
        <v>16.392</v>
      </c>
      <c r="J272" s="35" t="n">
        <v>24.42</v>
      </c>
      <c r="K272" s="35" t="n">
        <v>24.808</v>
      </c>
      <c r="L272" s="35" t="n">
        <v>22.96</v>
      </c>
      <c r="M272" s="35" t="n">
        <v>20.761</v>
      </c>
      <c r="N272" s="35" t="n">
        <v>20.761</v>
      </c>
      <c r="O272" s="35" t="n">
        <v>32.286</v>
      </c>
      <c r="P272" s="35" t="n">
        <v>39.661</v>
      </c>
      <c r="Q272" s="35" t="n">
        <v>39.051</v>
      </c>
      <c r="R272" s="35" t="n">
        <v>38.694</v>
      </c>
      <c r="S272" s="35" t="n">
        <v>38.694</v>
      </c>
      <c r="T272" s="34"/>
      <c r="U272" s="35" t="n">
        <v>54.382</v>
      </c>
      <c r="V272" s="35" t="n">
        <v>51.066</v>
      </c>
      <c r="W272" s="35" t="n">
        <v>40.276</v>
      </c>
      <c r="X272" s="35" t="n">
        <v>40.276</v>
      </c>
      <c r="Y272" s="35" t="n">
        <v>47.315</v>
      </c>
      <c r="Z272" s="35" t="n">
        <v>45.89</v>
      </c>
      <c r="AA272" s="35" t="n">
        <v>47.461</v>
      </c>
      <c r="AB272" s="35" t="n">
        <v>48.537</v>
      </c>
      <c r="AC272" s="35" t="n">
        <v>48.537</v>
      </c>
      <c r="AD272" s="35" t="n">
        <v>49.557</v>
      </c>
      <c r="AE272" s="35" t="n">
        <v>51.512</v>
      </c>
      <c r="AF272" s="35" t="n">
        <v>60.871</v>
      </c>
      <c r="AG272" s="35" t="n">
        <v>60.9</v>
      </c>
      <c r="AH272" s="35" t="n">
        <v>60.9</v>
      </c>
      <c r="AI272" s="35" t="n">
        <v>68.914</v>
      </c>
      <c r="AJ272" s="35" t="n">
        <v>69.984</v>
      </c>
      <c r="AK272" s="35" t="n">
        <v>82.279</v>
      </c>
      <c r="AL272" s="35" t="n">
        <v>89.192</v>
      </c>
      <c r="AM272" s="35" t="n">
        <v>89.192</v>
      </c>
      <c r="AN272" s="35" t="n">
        <v>92.841</v>
      </c>
      <c r="AO272" s="35" t="n">
        <v>95.583</v>
      </c>
      <c r="AP272" s="35" t="n">
        <v>91.325</v>
      </c>
      <c r="AQ272" s="35" t="n">
        <v>92.24</v>
      </c>
      <c r="AR272" s="35" t="n">
        <v>92.24</v>
      </c>
      <c r="AS272" s="35" t="n">
        <v>103.937</v>
      </c>
      <c r="AT272" s="35" t="n">
        <v>100.304</v>
      </c>
      <c r="AU272" s="35" t="n">
        <v>105.014</v>
      </c>
      <c r="AV272" s="35" t="n">
        <v>103.949</v>
      </c>
      <c r="AW272" s="35" t="n">
        <v>103.949</v>
      </c>
      <c r="AX272" s="35" t="n">
        <v>109.798</v>
      </c>
      <c r="AY272" s="35" t="n">
        <v>108.269</v>
      </c>
      <c r="AZ272" s="35" t="n">
        <v>115.651</v>
      </c>
      <c r="BA272" s="35" t="n">
        <v>124.817</v>
      </c>
      <c r="BB272" s="35" t="n">
        <v>124.817</v>
      </c>
      <c r="BC272" s="35" t="n">
        <v>134.978</v>
      </c>
      <c r="BD272" s="35" t="n">
        <v>152.173</v>
      </c>
      <c r="BE272" s="35" t="n">
        <v>147.77</v>
      </c>
      <c r="BF272" s="35" t="n">
        <v>153.945</v>
      </c>
      <c r="BG272" s="35" t="n">
        <v>153.945</v>
      </c>
      <c r="BH272" s="35" t="n">
        <v>181.758</v>
      </c>
      <c r="BI272" s="35" t="n">
        <v>181.213</v>
      </c>
      <c r="BJ272" s="35" t="n">
        <v>192.831</v>
      </c>
      <c r="BK272" s="35" t="n">
        <v>190</v>
      </c>
      <c r="BL272" s="35" t="n">
        <v>190</v>
      </c>
      <c r="BM272" s="35" t="n">
        <v>197.4</v>
      </c>
      <c r="BN272" s="35" t="n">
        <v>203.8</v>
      </c>
      <c r="BO272" s="35" t="n">
        <v>178.8</v>
      </c>
      <c r="BP272" s="35" t="n">
        <v>187.9</v>
      </c>
      <c r="BQ272" s="35" t="n">
        <v>187.9</v>
      </c>
      <c r="BR272" s="35" t="n">
        <v>207</v>
      </c>
      <c r="BS272" s="35" t="n">
        <v>203.8</v>
      </c>
      <c r="BT272" s="35" t="n">
        <v>243.8</v>
      </c>
      <c r="BU272" s="35" t="n">
        <v>234</v>
      </c>
      <c r="BV272" s="35" t="n">
        <v>234</v>
      </c>
      <c r="BW272" s="35" t="n">
        <v>269</v>
      </c>
      <c r="BX272" s="35" t="n">
        <v>253</v>
      </c>
      <c r="BY272" s="36"/>
      <c r="BZ272" s="36"/>
      <c r="CA272" s="36" t="n">
        <f aca="false">CA305*CA306/365</f>
        <v>279.133150684932</v>
      </c>
      <c r="CB272" s="36" t="n">
        <f aca="false">CB305*CB306/365</f>
        <v>308.075061620336</v>
      </c>
      <c r="CC272" s="36" t="n">
        <f aca="false">CC305*CC306/365</f>
        <v>338.418787024461</v>
      </c>
      <c r="CD272" s="36" t="n">
        <f aca="false">CD305*CD306/365</f>
        <v>369.347107853095</v>
      </c>
      <c r="CE272" s="36" t="n">
        <f aca="false">CE305*CE306/365</f>
        <v>400.43522485902</v>
      </c>
      <c r="CF272" s="28" t="s">
        <v>488</v>
      </c>
    </row>
    <row r="273" customFormat="false" ht="15" hidden="false" customHeight="true" outlineLevel="0" collapsed="false">
      <c r="B273" s="29" t="s">
        <v>489</v>
      </c>
      <c r="C273" s="35" t="n">
        <v>11.401</v>
      </c>
      <c r="D273" s="35" t="n">
        <v>7.377</v>
      </c>
      <c r="E273" s="35" t="n">
        <v>4.939</v>
      </c>
      <c r="F273" s="35" t="n">
        <v>8.578</v>
      </c>
      <c r="G273" s="35" t="n">
        <v>15.952</v>
      </c>
      <c r="H273" s="35" t="n">
        <v>17.799</v>
      </c>
      <c r="I273" s="35" t="n">
        <v>27.107</v>
      </c>
      <c r="J273" s="35" t="n">
        <v>33.651</v>
      </c>
      <c r="K273" s="35" t="n">
        <v>29.789</v>
      </c>
      <c r="L273" s="35" t="n">
        <v>31.672</v>
      </c>
      <c r="M273" s="35" t="n">
        <v>31.752</v>
      </c>
      <c r="N273" s="35" t="n">
        <v>31.752</v>
      </c>
      <c r="O273" s="35" t="n">
        <v>48.022</v>
      </c>
      <c r="P273" s="35" t="n">
        <v>46.496</v>
      </c>
      <c r="Q273" s="35" t="n">
        <v>37.506</v>
      </c>
      <c r="R273" s="35" t="n">
        <v>34.105</v>
      </c>
      <c r="S273" s="35" t="n">
        <v>34.105</v>
      </c>
      <c r="T273" s="34"/>
      <c r="U273" s="35" t="n">
        <v>44.185</v>
      </c>
      <c r="V273" s="35" t="n">
        <v>49.899</v>
      </c>
      <c r="W273" s="35" t="n">
        <v>10.639</v>
      </c>
      <c r="X273" s="35" t="n">
        <v>10.639</v>
      </c>
      <c r="Y273" s="35" t="n">
        <v>9.81</v>
      </c>
      <c r="Z273" s="35" t="n">
        <v>13.048</v>
      </c>
      <c r="AA273" s="35" t="n">
        <v>12.712</v>
      </c>
      <c r="AB273" s="35" t="n">
        <v>11.731</v>
      </c>
      <c r="AC273" s="35" t="n">
        <v>11.731</v>
      </c>
      <c r="AD273" s="35" t="n">
        <v>12.134</v>
      </c>
      <c r="AE273" s="35" t="n">
        <v>19.837</v>
      </c>
      <c r="AF273" s="35" t="n">
        <v>16.215</v>
      </c>
      <c r="AG273" s="35" t="n">
        <v>15.572</v>
      </c>
      <c r="AH273" s="35" t="n">
        <v>15.572</v>
      </c>
      <c r="AI273" s="35" t="n">
        <v>31.661</v>
      </c>
      <c r="AJ273" s="35" t="n">
        <v>39.723</v>
      </c>
      <c r="AK273" s="35" t="n">
        <v>25.203</v>
      </c>
      <c r="AL273" s="35" t="n">
        <v>23.69</v>
      </c>
      <c r="AM273" s="35" t="n">
        <v>23.69</v>
      </c>
      <c r="AN273" s="35" t="n">
        <v>20.713</v>
      </c>
      <c r="AO273" s="35" t="n">
        <v>20.367</v>
      </c>
      <c r="AP273" s="35" t="n">
        <v>23.778</v>
      </c>
      <c r="AQ273" s="35" t="n">
        <v>36.194</v>
      </c>
      <c r="AR273" s="35" t="n">
        <v>36.194</v>
      </c>
      <c r="AS273" s="35" t="n">
        <v>38.53</v>
      </c>
      <c r="AT273" s="35" t="n">
        <v>41.939</v>
      </c>
      <c r="AU273" s="35" t="n">
        <v>34.414</v>
      </c>
      <c r="AV273" s="35" t="n">
        <v>28.651</v>
      </c>
      <c r="AW273" s="35" t="n">
        <v>28.651</v>
      </c>
      <c r="AX273" s="35" t="n">
        <v>22.233</v>
      </c>
      <c r="AY273" s="35" t="n">
        <v>34.753</v>
      </c>
      <c r="AZ273" s="35" t="n">
        <v>37.599</v>
      </c>
      <c r="BA273" s="35" t="n">
        <v>36.182</v>
      </c>
      <c r="BB273" s="35" t="n">
        <v>36.182</v>
      </c>
      <c r="BC273" s="35" t="n">
        <v>36.183</v>
      </c>
      <c r="BD273" s="35" t="n">
        <v>64.472</v>
      </c>
      <c r="BE273" s="35" t="n">
        <v>84.352</v>
      </c>
      <c r="BF273" s="35" t="n">
        <v>63.952</v>
      </c>
      <c r="BG273" s="35" t="n">
        <v>63.952</v>
      </c>
      <c r="BH273" s="35" t="n">
        <v>60.232</v>
      </c>
      <c r="BI273" s="35" t="n">
        <v>58.376</v>
      </c>
      <c r="BJ273" s="35" t="n">
        <v>76.013</v>
      </c>
      <c r="BK273" s="35" t="n">
        <v>70.2</v>
      </c>
      <c r="BL273" s="35" t="n">
        <v>70.2</v>
      </c>
      <c r="BM273" s="35" t="n">
        <v>67.2</v>
      </c>
      <c r="BN273" s="35" t="n">
        <v>83.9</v>
      </c>
      <c r="BO273" s="35" t="n">
        <v>78.7</v>
      </c>
      <c r="BP273" s="35" t="n">
        <v>81.3</v>
      </c>
      <c r="BQ273" s="35" t="n">
        <v>81.3</v>
      </c>
      <c r="BR273" s="35" t="n">
        <v>368.1</v>
      </c>
      <c r="BS273" s="35" t="n">
        <v>400.7</v>
      </c>
      <c r="BT273" s="35" t="n">
        <v>126.5</v>
      </c>
      <c r="BU273" s="35" t="n">
        <v>152</v>
      </c>
      <c r="BV273" s="35" t="n">
        <v>152</v>
      </c>
      <c r="BW273" s="35" t="n">
        <v>121</v>
      </c>
      <c r="BX273" s="35" t="n">
        <v>135</v>
      </c>
      <c r="BY273" s="36"/>
      <c r="BZ273" s="36"/>
      <c r="CA273" s="36" t="n">
        <f aca="false">BX273+CA321</f>
        <v>140</v>
      </c>
      <c r="CB273" s="36" t="n">
        <f aca="false">CA273</f>
        <v>140</v>
      </c>
      <c r="CC273" s="36" t="n">
        <f aca="false">CB273</f>
        <v>140</v>
      </c>
      <c r="CD273" s="36" t="n">
        <f aca="false">CC273</f>
        <v>140</v>
      </c>
      <c r="CE273" s="36" t="n">
        <f aca="false">CD273</f>
        <v>140</v>
      </c>
      <c r="CF273" s="28"/>
    </row>
    <row r="274" customFormat="false" ht="15" hidden="false" customHeight="true" outlineLevel="0" collapsed="false">
      <c r="B274" s="17" t="s">
        <v>490</v>
      </c>
      <c r="C274" s="18" t="n">
        <f aca="false">IF(ISNUMBER(C269),SUM(C269:C273),"")</f>
        <v>178.751</v>
      </c>
      <c r="D274" s="18" t="n">
        <f aca="false">IF(ISNUMBER(D269),SUM(D269:D273),"")</f>
        <v>205.678</v>
      </c>
      <c r="E274" s="18" t="n">
        <f aca="false">IF(ISNUMBER(E269),SUM(E269:E273),"")</f>
        <v>212.483</v>
      </c>
      <c r="F274" s="18" t="n">
        <f aca="false">IF(ISNUMBER(F269),SUM(F269:F273),"")</f>
        <v>247.407</v>
      </c>
      <c r="G274" s="18" t="n">
        <f aca="false">IF(ISNUMBER(G269),SUM(G269:G273),"")</f>
        <v>239.173</v>
      </c>
      <c r="H274" s="18" t="n">
        <f aca="false">IF(ISNUMBER(H269),SUM(H269:H273),"")</f>
        <v>583.183</v>
      </c>
      <c r="I274" s="18" t="n">
        <f aca="false">IF(ISNUMBER(I269),SUM(I269:I273),"")</f>
        <v>199.563</v>
      </c>
      <c r="J274" s="18" t="n">
        <f aca="false">IF(ISNUMBER(J269),SUM(J269:J273),"")</f>
        <v>225.465</v>
      </c>
      <c r="K274" s="18" t="n">
        <f aca="false">IF(ISNUMBER(K269),SUM(K269:K273),"")</f>
        <v>244.698</v>
      </c>
      <c r="L274" s="18" t="n">
        <f aca="false">IF(ISNUMBER(L269),SUM(L269:L273),"")</f>
        <v>277.57</v>
      </c>
      <c r="M274" s="18" t="n">
        <f aca="false">IF(ISNUMBER(M269),SUM(M269:M273),"")</f>
        <v>308.466</v>
      </c>
      <c r="N274" s="18" t="n">
        <f aca="false">IF(ISNUMBER(N269),SUM(N269:N273),"")</f>
        <v>308.466</v>
      </c>
      <c r="O274" s="18" t="n">
        <f aca="false">IF(ISNUMBER(O269),SUM(O269:O273),"")</f>
        <v>303.751</v>
      </c>
      <c r="P274" s="18" t="n">
        <f aca="false">IF(ISNUMBER(P269),SUM(P269:P273),"")</f>
        <v>531.014</v>
      </c>
      <c r="Q274" s="18" t="n">
        <f aca="false">IF(ISNUMBER(Q269),SUM(Q269:Q273),"")</f>
        <v>562.752</v>
      </c>
      <c r="R274" s="18" t="n">
        <f aca="false">IF(ISNUMBER(R269),SUM(R269:R273),"")</f>
        <v>599.811</v>
      </c>
      <c r="S274" s="18" t="n">
        <f aca="false">IF(ISNUMBER(S269),SUM(S269:S273),"")</f>
        <v>599.811</v>
      </c>
      <c r="T274" s="18" t="str">
        <f aca="false">IF(ISNUMBER(T269),SUM(T269:T273),"")</f>
        <v/>
      </c>
      <c r="U274" s="18" t="n">
        <f aca="false">IF(ISNUMBER(U269),SUM(U269:U273),"")</f>
        <v>450.348</v>
      </c>
      <c r="V274" s="18" t="n">
        <f aca="false">IF(ISNUMBER(V269),SUM(V269:V273),"")</f>
        <v>476.474</v>
      </c>
      <c r="W274" s="18" t="n">
        <f aca="false">IF(ISNUMBER(W269),SUM(W269:W273),"")</f>
        <v>472.733</v>
      </c>
      <c r="X274" s="18" t="n">
        <f aca="false">IF(ISNUMBER(X269),SUM(X269:X273),"")</f>
        <v>472.733</v>
      </c>
      <c r="Y274" s="18" t="n">
        <f aca="false">IF(ISNUMBER(Y269),SUM(Y269:Y273),"")</f>
        <v>519.937</v>
      </c>
      <c r="Z274" s="18" t="n">
        <f aca="false">IF(ISNUMBER(Z269),SUM(Z269:Z273),"")</f>
        <v>524.219</v>
      </c>
      <c r="AA274" s="18" t="n">
        <f aca="false">IF(ISNUMBER(AA269),SUM(AA269:AA273),"")</f>
        <v>583.443</v>
      </c>
      <c r="AB274" s="18" t="n">
        <f aca="false">IF(ISNUMBER(AB269),SUM(AB269:AB273),"")</f>
        <v>627.491</v>
      </c>
      <c r="AC274" s="18" t="n">
        <f aca="false">IF(ISNUMBER(AC269),SUM(AC269:AC273),"")</f>
        <v>627.491</v>
      </c>
      <c r="AD274" s="18" t="n">
        <f aca="false">IF(ISNUMBER(AD269),SUM(AD269:AD273),"")</f>
        <v>634.163</v>
      </c>
      <c r="AE274" s="18" t="n">
        <f aca="false">IF(ISNUMBER(AE269),SUM(AE269:AE273),"")</f>
        <v>635.987</v>
      </c>
      <c r="AF274" s="18" t="n">
        <f aca="false">IF(ISNUMBER(AF269),SUM(AF269:AF273),"")</f>
        <v>700.081</v>
      </c>
      <c r="AG274" s="18" t="n">
        <f aca="false">IF(ISNUMBER(AG269),SUM(AG269:AG273),"")</f>
        <v>1287.935</v>
      </c>
      <c r="AH274" s="18" t="n">
        <f aca="false">IF(ISNUMBER(AH269),SUM(AH269:AH273),"")</f>
        <v>1287.935</v>
      </c>
      <c r="AI274" s="18" t="n">
        <f aca="false">IF(ISNUMBER(AI269),SUM(AI269:AI273),"")</f>
        <v>1032.004</v>
      </c>
      <c r="AJ274" s="18" t="n">
        <f aca="false">IF(ISNUMBER(AJ269),SUM(AJ269:AJ273),"")</f>
        <v>1075.985</v>
      </c>
      <c r="AK274" s="18" t="n">
        <f aca="false">IF(ISNUMBER(AK269),SUM(AK269:AK273),"")</f>
        <v>1179.268</v>
      </c>
      <c r="AL274" s="18" t="n">
        <f aca="false">IF(ISNUMBER(AL269),SUM(AL269:AL273),"")</f>
        <v>1213.298</v>
      </c>
      <c r="AM274" s="18" t="n">
        <f aca="false">IF(ISNUMBER(AM269),SUM(AM269:AM273),"")</f>
        <v>1213.298</v>
      </c>
      <c r="AN274" s="18" t="n">
        <f aca="false">IF(ISNUMBER(AN269),SUM(AN269:AN273),"")</f>
        <v>1346.371</v>
      </c>
      <c r="AO274" s="18" t="n">
        <f aca="false">IF(ISNUMBER(AO269),SUM(AO269:AO273),"")</f>
        <v>1413.762</v>
      </c>
      <c r="AP274" s="18" t="n">
        <f aca="false">IF(ISNUMBER(AP269),SUM(AP269:AP273),"")</f>
        <v>1504.722</v>
      </c>
      <c r="AQ274" s="18" t="n">
        <f aca="false">IF(ISNUMBER(AQ269),SUM(AQ269:AQ273),"")</f>
        <v>1199.165</v>
      </c>
      <c r="AR274" s="18" t="n">
        <f aca="false">IF(ISNUMBER(AR269),SUM(AR269:AR273),"")</f>
        <v>1199.165</v>
      </c>
      <c r="AS274" s="18" t="n">
        <f aca="false">IF(ISNUMBER(AS269),SUM(AS269:AS273),"")</f>
        <v>2070.39</v>
      </c>
      <c r="AT274" s="18" t="n">
        <f aca="false">IF(ISNUMBER(AT269),SUM(AT269:AT273),"")</f>
        <v>3690.648</v>
      </c>
      <c r="AU274" s="18" t="n">
        <f aca="false">IF(ISNUMBER(AU269),SUM(AU269:AU273),"")</f>
        <v>4007.233</v>
      </c>
      <c r="AV274" s="18" t="n">
        <f aca="false">IF(ISNUMBER(AV269),SUM(AV269:AV273),"")</f>
        <v>3888.512</v>
      </c>
      <c r="AW274" s="18" t="n">
        <f aca="false">IF(ISNUMBER(AW269),SUM(AW269:AW273),"")</f>
        <v>3888.512</v>
      </c>
      <c r="AX274" s="18" t="n">
        <f aca="false">IF(ISNUMBER(AX269),SUM(AX269:AX273),"")</f>
        <v>3822.327</v>
      </c>
      <c r="AY274" s="18" t="n">
        <f aca="false">IF(ISNUMBER(AY269),SUM(AY269:AY273),"")</f>
        <v>3817.931</v>
      </c>
      <c r="AZ274" s="18" t="n">
        <f aca="false">IF(ISNUMBER(AZ269),SUM(AZ269:AZ273),"")</f>
        <v>3914.837</v>
      </c>
      <c r="BA274" s="18" t="n">
        <f aca="false">IF(ISNUMBER(BA269),SUM(BA269:BA273),"")</f>
        <v>3988.125</v>
      </c>
      <c r="BB274" s="18" t="n">
        <f aca="false">IF(ISNUMBER(BB269),SUM(BB269:BB273),"")</f>
        <v>3988.125</v>
      </c>
      <c r="BC274" s="18" t="n">
        <f aca="false">IF(ISNUMBER(BC269),SUM(BC269:BC273),"")</f>
        <v>4100.258</v>
      </c>
      <c r="BD274" s="18" t="n">
        <f aca="false">IF(ISNUMBER(BD269),SUM(BD269:BD273),"")</f>
        <v>4180.761</v>
      </c>
      <c r="BE274" s="18" t="n">
        <f aca="false">IF(ISNUMBER(BE269),SUM(BE269:BE273),"")</f>
        <v>5006.587</v>
      </c>
      <c r="BF274" s="18" t="n">
        <f aca="false">IF(ISNUMBER(BF269),SUM(BF269:BF273),"")</f>
        <v>5185.867</v>
      </c>
      <c r="BG274" s="18" t="n">
        <f aca="false">IF(ISNUMBER(BG269),SUM(BG269:BG273),"")</f>
        <v>5185.867</v>
      </c>
      <c r="BH274" s="18" t="n">
        <f aca="false">IF(ISNUMBER(BH269),SUM(BH269:BH273),"")</f>
        <v>5297.636</v>
      </c>
      <c r="BI274" s="18" t="n">
        <f aca="false">IF(ISNUMBER(BI269),SUM(BI269:BI273),"")</f>
        <v>5444.884</v>
      </c>
      <c r="BJ274" s="18" t="n">
        <f aca="false">IF(ISNUMBER(BJ269),SUM(BJ269:BJ273),"")</f>
        <v>5498.724</v>
      </c>
      <c r="BK274" s="18" t="n">
        <f aca="false">IF(ISNUMBER(BK269),SUM(BK269:BK273),"")</f>
        <v>5476.1</v>
      </c>
      <c r="BL274" s="18" t="n">
        <f aca="false">IF(ISNUMBER(BL269),SUM(BL269:BL273),"")</f>
        <v>5476.1</v>
      </c>
      <c r="BM274" s="18" t="n">
        <f aca="false">IF(ISNUMBER(BM269),SUM(BM269:BM273),"")</f>
        <v>5216.2</v>
      </c>
      <c r="BN274" s="18" t="n">
        <f aca="false">IF(ISNUMBER(BN269),SUM(BN269:BN273),"")</f>
        <v>5207.2</v>
      </c>
      <c r="BO274" s="18" t="n">
        <f aca="false">IF(ISNUMBER(BO269),SUM(BO269:BO273),"")</f>
        <v>5195.1</v>
      </c>
      <c r="BP274" s="18" t="n">
        <f aca="false">IF(ISNUMBER(BP269),SUM(BP269:BP273),"")</f>
        <v>4950.2</v>
      </c>
      <c r="BQ274" s="18" t="n">
        <f aca="false">IF(ISNUMBER(BQ269),SUM(BQ269:BQ273),"")</f>
        <v>4950.2</v>
      </c>
      <c r="BR274" s="18" t="n">
        <f aca="false">IF(ISNUMBER(BR269),SUM(BR269:BR273),"")</f>
        <v>4353.3</v>
      </c>
      <c r="BS274" s="18" t="n">
        <f aca="false">IF(ISNUMBER(BS269),SUM(BS269:BS273),"")</f>
        <v>4331.5</v>
      </c>
      <c r="BT274" s="18" t="n">
        <f aca="false">IF(ISNUMBER(BT269),SUM(BT269:BT273),"")</f>
        <v>2405.1</v>
      </c>
      <c r="BU274" s="18" t="n">
        <f aca="false">IF(ISNUMBER(BU269),SUM(BU269:BU273),"")</f>
        <v>2119</v>
      </c>
      <c r="BV274" s="18" t="n">
        <f aca="false">IF(ISNUMBER(BV269),SUM(BV269:BV273),"")</f>
        <v>2119</v>
      </c>
      <c r="BW274" s="18" t="n">
        <f aca="false">IF(ISNUMBER(BW269),SUM(BW269:BW273),"")</f>
        <v>1706</v>
      </c>
      <c r="BX274" s="18" t="n">
        <f aca="false">IF(ISNUMBER(BX269),SUM(BX269:BX273),"")</f>
        <v>1654</v>
      </c>
      <c r="BY274" s="20"/>
      <c r="BZ274" s="20"/>
      <c r="CA274" s="20" t="n">
        <f aca="false">SUM(CA269:CA273)</f>
        <v>1075.9703083568</v>
      </c>
      <c r="CB274" s="20" t="n">
        <f aca="false">SUM(CB269:CB273)</f>
        <v>940.088359140501</v>
      </c>
      <c r="CC274" s="20" t="n">
        <f aca="false">SUM(CC269:CC273)</f>
        <v>878.418787024461</v>
      </c>
      <c r="CD274" s="20" t="n">
        <f aca="false">SUM(CD269:CD273)</f>
        <v>909.347107853095</v>
      </c>
      <c r="CE274" s="20" t="n">
        <f aca="false">SUM(CE269:CE273)</f>
        <v>940.43522485902</v>
      </c>
      <c r="CF274" s="21"/>
    </row>
    <row r="275" customFormat="false" ht="15" hidden="false" customHeight="true" outlineLevel="0" collapsed="false">
      <c r="B275" s="29" t="s">
        <v>491</v>
      </c>
      <c r="C275" s="35" t="n">
        <v>18.407</v>
      </c>
      <c r="D275" s="35" t="n">
        <v>24.045</v>
      </c>
      <c r="E275" s="35" t="n">
        <v>16.876</v>
      </c>
      <c r="F275" s="35" t="n">
        <v>19.162</v>
      </c>
      <c r="G275" s="35" t="n">
        <v>69.921</v>
      </c>
      <c r="H275" s="35" t="n">
        <v>37.571</v>
      </c>
      <c r="I275" s="35" t="n">
        <v>46.308</v>
      </c>
      <c r="J275" s="35" t="n">
        <v>48.653</v>
      </c>
      <c r="K275" s="35" t="n">
        <v>49.693</v>
      </c>
      <c r="L275" s="35" t="n">
        <v>55.703</v>
      </c>
      <c r="M275" s="35" t="n">
        <v>57.719</v>
      </c>
      <c r="N275" s="35" t="n">
        <v>57.719</v>
      </c>
      <c r="O275" s="35" t="n">
        <v>57.338</v>
      </c>
      <c r="P275" s="35" t="n">
        <v>64.64</v>
      </c>
      <c r="Q275" s="35" t="n">
        <v>70.675</v>
      </c>
      <c r="R275" s="35" t="n">
        <v>73.753</v>
      </c>
      <c r="S275" s="35" t="n">
        <v>73.753</v>
      </c>
      <c r="T275" s="34"/>
      <c r="U275" s="35" t="n">
        <v>85.442</v>
      </c>
      <c r="V275" s="35" t="n">
        <v>87.627</v>
      </c>
      <c r="W275" s="35" t="n">
        <v>88.311</v>
      </c>
      <c r="X275" s="35" t="n">
        <v>88.311</v>
      </c>
      <c r="Y275" s="35" t="n">
        <v>85.962</v>
      </c>
      <c r="Z275" s="35" t="n">
        <v>86.508</v>
      </c>
      <c r="AA275" s="35" t="n">
        <v>85.366</v>
      </c>
      <c r="AB275" s="35" t="n">
        <v>87.568</v>
      </c>
      <c r="AC275" s="35" t="n">
        <v>87.568</v>
      </c>
      <c r="AD275" s="35" t="n">
        <v>85.504</v>
      </c>
      <c r="AE275" s="35" t="n">
        <v>85.779</v>
      </c>
      <c r="AF275" s="35" t="n">
        <v>84.326</v>
      </c>
      <c r="AG275" s="35" t="n">
        <v>84.496</v>
      </c>
      <c r="AH275" s="35" t="n">
        <v>84.496</v>
      </c>
      <c r="AI275" s="35" t="n">
        <v>83.401</v>
      </c>
      <c r="AJ275" s="35" t="n">
        <v>84.648</v>
      </c>
      <c r="AK275" s="35" t="n">
        <v>81.937</v>
      </c>
      <c r="AL275" s="35" t="n">
        <v>83.303</v>
      </c>
      <c r="AM275" s="35" t="n">
        <v>83.303</v>
      </c>
      <c r="AN275" s="35" t="n">
        <v>85.978</v>
      </c>
      <c r="AO275" s="35" t="n">
        <v>84.518</v>
      </c>
      <c r="AP275" s="35" t="n">
        <v>107.989</v>
      </c>
      <c r="AQ275" s="35" t="n">
        <v>107.529</v>
      </c>
      <c r="AR275" s="35" t="n">
        <v>107.529</v>
      </c>
      <c r="AS275" s="35" t="n">
        <v>106.409</v>
      </c>
      <c r="AT275" s="35" t="n">
        <v>104.316</v>
      </c>
      <c r="AU275" s="35" t="n">
        <v>127.28</v>
      </c>
      <c r="AV275" s="35" t="n">
        <v>126.325</v>
      </c>
      <c r="AW275" s="35" t="n">
        <v>126.325</v>
      </c>
      <c r="AX275" s="35" t="n">
        <v>239.48</v>
      </c>
      <c r="AY275" s="35" t="n">
        <v>239.125</v>
      </c>
      <c r="AZ275" s="35" t="n">
        <v>238.866</v>
      </c>
      <c r="BA275" s="35" t="n">
        <v>271.431</v>
      </c>
      <c r="BB275" s="35" t="n">
        <v>271.431</v>
      </c>
      <c r="BC275" s="35" t="n">
        <v>283.718</v>
      </c>
      <c r="BD275" s="35" t="n">
        <v>298.361</v>
      </c>
      <c r="BE275" s="35" t="n">
        <v>306.319</v>
      </c>
      <c r="BF275" s="35" t="n">
        <v>321.25</v>
      </c>
      <c r="BG275" s="35" t="n">
        <v>321.25</v>
      </c>
      <c r="BH275" s="35" t="n">
        <v>330.836</v>
      </c>
      <c r="BI275" s="35" t="n">
        <v>359.455</v>
      </c>
      <c r="BJ275" s="35" t="n">
        <v>403.195</v>
      </c>
      <c r="BK275" s="35" t="n">
        <v>472.2</v>
      </c>
      <c r="BL275" s="35" t="n">
        <v>472.2</v>
      </c>
      <c r="BM275" s="35" t="n">
        <v>791.1</v>
      </c>
      <c r="BN275" s="35" t="n">
        <v>853.2</v>
      </c>
      <c r="BO275" s="35" t="n">
        <v>937.8</v>
      </c>
      <c r="BP275" s="35" t="n">
        <v>1014.9</v>
      </c>
      <c r="BQ275" s="35" t="n">
        <v>1014.9</v>
      </c>
      <c r="BR275" s="35" t="n">
        <v>1097.6</v>
      </c>
      <c r="BS275" s="35" t="n">
        <v>1206.7</v>
      </c>
      <c r="BT275" s="35" t="n">
        <v>1269.6</v>
      </c>
      <c r="BU275" s="35" t="n">
        <v>1323</v>
      </c>
      <c r="BV275" s="35" t="n">
        <v>1323</v>
      </c>
      <c r="BW275" s="35" t="n">
        <v>1367</v>
      </c>
      <c r="BX275" s="35" t="n">
        <v>1443</v>
      </c>
      <c r="BY275" s="36"/>
      <c r="BZ275" s="36"/>
      <c r="CA275" s="36" t="n">
        <f aca="false">BX275-((CA228-(BW228+BX228))+(CA229-(BW229+BX229)))-(BY155+BZ155+BY117+BZ117)+CA322</f>
        <v>1490.17522386659</v>
      </c>
      <c r="CB275" s="36" t="n">
        <f aca="false">CA275-(CB228+CB229)-(CB155+CB117)</f>
        <v>1547.52542405956</v>
      </c>
      <c r="CC275" s="36" t="n">
        <f aca="false">CB275-(CC228+CC229)-(CC155+CC117)</f>
        <v>1564.02366580849</v>
      </c>
      <c r="CD275" s="36" t="n">
        <f aca="false">CC275-(CD228+CD229)-(CD155+CD117)</f>
        <v>1559.65353547261</v>
      </c>
      <c r="CE275" s="36" t="n">
        <f aca="false">CD275-(CE228+CE229)-(CE155+CE117)</f>
        <v>1554.41054646696</v>
      </c>
      <c r="CF275" s="28" t="s">
        <v>492</v>
      </c>
    </row>
    <row r="276" customFormat="false" ht="15" hidden="false" customHeight="true" outlineLevel="0" collapsed="false">
      <c r="B276" s="29" t="s">
        <v>493</v>
      </c>
      <c r="C276" s="34"/>
      <c r="D276" s="35" t="n">
        <v>61.854</v>
      </c>
      <c r="E276" s="35" t="n">
        <v>54.328</v>
      </c>
      <c r="F276" s="35" t="n">
        <v>80.321</v>
      </c>
      <c r="G276" s="35" t="n">
        <v>79.602</v>
      </c>
      <c r="H276" s="35" t="n">
        <v>91.784</v>
      </c>
      <c r="I276" s="35" t="n">
        <v>718.078</v>
      </c>
      <c r="J276" s="35" t="n">
        <v>716.569</v>
      </c>
      <c r="K276" s="35" t="n">
        <v>716.58</v>
      </c>
      <c r="L276" s="35" t="n">
        <v>718.039</v>
      </c>
      <c r="M276" s="35" t="n">
        <v>718.587</v>
      </c>
      <c r="N276" s="35" t="n">
        <v>718.587</v>
      </c>
      <c r="O276" s="35" t="n">
        <v>718.824</v>
      </c>
      <c r="P276" s="35" t="n">
        <v>1141.187</v>
      </c>
      <c r="Q276" s="35" t="n">
        <v>1139.917</v>
      </c>
      <c r="R276" s="35" t="n">
        <v>1138.805</v>
      </c>
      <c r="S276" s="35" t="n">
        <v>1138.805</v>
      </c>
      <c r="T276" s="34"/>
      <c r="U276" s="35" t="n">
        <v>1246.789</v>
      </c>
      <c r="V276" s="35" t="n">
        <v>1249.945</v>
      </c>
      <c r="W276" s="35" t="n">
        <v>1252.945</v>
      </c>
      <c r="X276" s="35" t="n">
        <v>1252.945</v>
      </c>
      <c r="Y276" s="35" t="n">
        <v>1252.484</v>
      </c>
      <c r="Z276" s="35" t="n">
        <v>1256.94</v>
      </c>
      <c r="AA276" s="35" t="n">
        <v>1256.353</v>
      </c>
      <c r="AB276" s="35" t="n">
        <v>1254.866</v>
      </c>
      <c r="AC276" s="35" t="n">
        <v>1254.866</v>
      </c>
      <c r="AD276" s="35" t="n">
        <v>1263.484</v>
      </c>
      <c r="AE276" s="35" t="n">
        <v>1280.271</v>
      </c>
      <c r="AF276" s="35" t="n">
        <v>1283.19</v>
      </c>
      <c r="AG276" s="35" t="n">
        <v>1283.457</v>
      </c>
      <c r="AH276" s="35" t="n">
        <v>1283.457</v>
      </c>
      <c r="AI276" s="35" t="n">
        <v>1551.248</v>
      </c>
      <c r="AJ276" s="35" t="n">
        <v>1549.517</v>
      </c>
      <c r="AK276" s="35" t="n">
        <v>1548.976</v>
      </c>
      <c r="AL276" s="35" t="n">
        <v>1611.535</v>
      </c>
      <c r="AM276" s="35" t="n">
        <v>1611.535</v>
      </c>
      <c r="AN276" s="35" t="n">
        <v>1612.065</v>
      </c>
      <c r="AO276" s="35" t="n">
        <v>1617.853</v>
      </c>
      <c r="AP276" s="35" t="n">
        <v>1616.538</v>
      </c>
      <c r="AQ276" s="35" t="n">
        <v>1882.02</v>
      </c>
      <c r="AR276" s="35" t="n">
        <v>1882.02</v>
      </c>
      <c r="AS276" s="35" t="n">
        <v>1873.987</v>
      </c>
      <c r="AT276" s="35" t="n">
        <v>2009.117</v>
      </c>
      <c r="AU276" s="35" t="n">
        <v>2015.079</v>
      </c>
      <c r="AV276" s="35" t="n">
        <v>2235.999</v>
      </c>
      <c r="AW276" s="35" t="n">
        <v>2235.999</v>
      </c>
      <c r="AX276" s="35" t="n">
        <v>2210.976</v>
      </c>
      <c r="AY276" s="35" t="n">
        <v>2294.452</v>
      </c>
      <c r="AZ276" s="35" t="n">
        <v>2293.514</v>
      </c>
      <c r="BA276" s="35" t="n">
        <v>2321.015</v>
      </c>
      <c r="BB276" s="35" t="n">
        <v>2321.015</v>
      </c>
      <c r="BC276" s="35" t="n">
        <v>2319.785</v>
      </c>
      <c r="BD276" s="35" t="n">
        <v>2314.176</v>
      </c>
      <c r="BE276" s="35" t="n">
        <v>2301.739</v>
      </c>
      <c r="BF276" s="35" t="n">
        <v>2314.759</v>
      </c>
      <c r="BG276" s="35" t="n">
        <v>2314.759</v>
      </c>
      <c r="BH276" s="35" t="n">
        <v>2318.133</v>
      </c>
      <c r="BI276" s="35" t="n">
        <v>2321.205</v>
      </c>
      <c r="BJ276" s="35" t="n">
        <v>2315.313</v>
      </c>
      <c r="BK276" s="35" t="n">
        <v>2386.2</v>
      </c>
      <c r="BL276" s="35" t="n">
        <v>2386.2</v>
      </c>
      <c r="BM276" s="35" t="n">
        <v>2383.7</v>
      </c>
      <c r="BN276" s="35" t="n">
        <v>2383.6</v>
      </c>
      <c r="BO276" s="35" t="n">
        <v>2396.6</v>
      </c>
      <c r="BP276" s="35" t="n">
        <v>2527.6</v>
      </c>
      <c r="BQ276" s="35" t="n">
        <v>2527.6</v>
      </c>
      <c r="BR276" s="35" t="n">
        <v>3673.2</v>
      </c>
      <c r="BS276" s="35" t="n">
        <v>3689.6</v>
      </c>
      <c r="BT276" s="35" t="n">
        <v>4915.4</v>
      </c>
      <c r="BU276" s="35" t="n">
        <v>4944</v>
      </c>
      <c r="BV276" s="35" t="n">
        <v>4944</v>
      </c>
      <c r="BW276" s="35" t="n">
        <v>4975</v>
      </c>
      <c r="BX276" s="35" t="n">
        <v>4981</v>
      </c>
      <c r="BY276" s="36"/>
      <c r="BZ276" s="36"/>
      <c r="CA276" s="36" t="n">
        <f aca="false">BX276+CA328</f>
        <v>5549.2</v>
      </c>
      <c r="CB276" s="36" t="n">
        <f aca="false">CA276+CB80</f>
        <v>5549.2</v>
      </c>
      <c r="CC276" s="36" t="n">
        <f aca="false">CB276+CC80</f>
        <v>5549.2</v>
      </c>
      <c r="CD276" s="36" t="n">
        <f aca="false">CC276+CD80</f>
        <v>5549.2</v>
      </c>
      <c r="CE276" s="36" t="n">
        <f aca="false">CD276+CE80</f>
        <v>5549.2</v>
      </c>
      <c r="CF276" s="28" t="s">
        <v>494</v>
      </c>
    </row>
    <row r="277" customFormat="false" ht="15" hidden="false" customHeight="true" outlineLevel="0" collapsed="false">
      <c r="B277" s="29" t="s">
        <v>495</v>
      </c>
      <c r="C277" s="35" t="n">
        <v>23.172</v>
      </c>
      <c r="D277" s="35" t="n">
        <v>25.711</v>
      </c>
      <c r="E277" s="35" t="n">
        <v>16.421</v>
      </c>
      <c r="F277" s="35" t="n">
        <v>23.39</v>
      </c>
      <c r="G277" s="35" t="n">
        <v>18.774</v>
      </c>
      <c r="H277" s="35" t="n">
        <v>20.53</v>
      </c>
      <c r="I277" s="35" t="n">
        <v>170.632</v>
      </c>
      <c r="J277" s="35" t="n">
        <v>163.672</v>
      </c>
      <c r="K277" s="35" t="n">
        <v>157.126</v>
      </c>
      <c r="L277" s="35" t="n">
        <v>150.8</v>
      </c>
      <c r="M277" s="35" t="n">
        <v>144.472</v>
      </c>
      <c r="N277" s="35" t="n">
        <v>144.472</v>
      </c>
      <c r="O277" s="35" t="n">
        <v>137.168</v>
      </c>
      <c r="P277" s="35" t="n">
        <v>274.2</v>
      </c>
      <c r="Q277" s="35" t="n">
        <v>257.177</v>
      </c>
      <c r="R277" s="35" t="n">
        <v>241.622</v>
      </c>
      <c r="S277" s="35" t="n">
        <v>241.622</v>
      </c>
      <c r="T277" s="34"/>
      <c r="U277" s="35" t="n">
        <v>263.831</v>
      </c>
      <c r="V277" s="35" t="n">
        <v>250.813</v>
      </c>
      <c r="W277" s="35" t="n">
        <v>238.318</v>
      </c>
      <c r="X277" s="35" t="n">
        <v>238.318</v>
      </c>
      <c r="Y277" s="35" t="n">
        <v>226.392</v>
      </c>
      <c r="Z277" s="35" t="n">
        <v>218.501</v>
      </c>
      <c r="AA277" s="35" t="n">
        <v>207.113</v>
      </c>
      <c r="AB277" s="35" t="n">
        <v>195.965</v>
      </c>
      <c r="AC277" s="35" t="n">
        <v>195.965</v>
      </c>
      <c r="AD277" s="35" t="n">
        <v>191.472</v>
      </c>
      <c r="AE277" s="35" t="n">
        <v>198.097</v>
      </c>
      <c r="AF277" s="35" t="n">
        <v>191.178</v>
      </c>
      <c r="AG277" s="35" t="n">
        <v>182.892</v>
      </c>
      <c r="AH277" s="35" t="n">
        <v>182.892</v>
      </c>
      <c r="AI277" s="35" t="n">
        <v>313.861</v>
      </c>
      <c r="AJ277" s="35" t="n">
        <v>299.611</v>
      </c>
      <c r="AK277" s="35" t="n">
        <v>285.958</v>
      </c>
      <c r="AL277" s="35" t="n">
        <v>288.911</v>
      </c>
      <c r="AM277" s="35" t="n">
        <v>288.911</v>
      </c>
      <c r="AN277" s="35" t="n">
        <v>275.75</v>
      </c>
      <c r="AO277" s="35" t="n">
        <v>272.177</v>
      </c>
      <c r="AP277" s="35" t="n">
        <v>259.444</v>
      </c>
      <c r="AQ277" s="35" t="n">
        <v>421.196</v>
      </c>
      <c r="AR277" s="35" t="n">
        <v>421.196</v>
      </c>
      <c r="AS277" s="35" t="n">
        <v>400.689</v>
      </c>
      <c r="AT277" s="35" t="n">
        <v>437.55</v>
      </c>
      <c r="AU277" s="35" t="n">
        <v>414.608</v>
      </c>
      <c r="AV277" s="35" t="n">
        <v>426.745</v>
      </c>
      <c r="AW277" s="35" t="n">
        <v>426.745</v>
      </c>
      <c r="AX277" s="35" t="n">
        <v>450.341</v>
      </c>
      <c r="AY277" s="35" t="n">
        <v>476.179</v>
      </c>
      <c r="AZ277" s="35" t="n">
        <v>447.9</v>
      </c>
      <c r="BA277" s="35" t="n">
        <v>435.662</v>
      </c>
      <c r="BB277" s="35" t="n">
        <v>435.662</v>
      </c>
      <c r="BC277" s="35" t="n">
        <v>409.326</v>
      </c>
      <c r="BD277" s="35" t="n">
        <v>385.245</v>
      </c>
      <c r="BE277" s="35" t="n">
        <v>343.232</v>
      </c>
      <c r="BF277" s="35" t="n">
        <v>329.306</v>
      </c>
      <c r="BG277" s="35" t="n">
        <v>329.306</v>
      </c>
      <c r="BH277" s="35" t="n">
        <v>312.42</v>
      </c>
      <c r="BI277" s="35" t="n">
        <v>295.022</v>
      </c>
      <c r="BJ277" s="35" t="n">
        <v>275.095</v>
      </c>
      <c r="BK277" s="35" t="n">
        <v>313.7</v>
      </c>
      <c r="BL277" s="35" t="n">
        <v>313.7</v>
      </c>
      <c r="BM277" s="35" t="n">
        <v>365</v>
      </c>
      <c r="BN277" s="35" t="n">
        <v>342.5</v>
      </c>
      <c r="BO277" s="35" t="n">
        <v>324.7</v>
      </c>
      <c r="BP277" s="35" t="n">
        <v>433.2</v>
      </c>
      <c r="BQ277" s="35" t="n">
        <v>433.2</v>
      </c>
      <c r="BR277" s="35" t="n">
        <v>957.2</v>
      </c>
      <c r="BS277" s="35" t="n">
        <v>915.6</v>
      </c>
      <c r="BT277" s="35" t="n">
        <v>1844.4</v>
      </c>
      <c r="BU277" s="35" t="n">
        <v>1771</v>
      </c>
      <c r="BV277" s="35" t="n">
        <v>1771</v>
      </c>
      <c r="BW277" s="35" t="n">
        <v>1731</v>
      </c>
      <c r="BX277" s="35" t="n">
        <v>1669</v>
      </c>
      <c r="BY277" s="36"/>
      <c r="BZ277" s="36"/>
      <c r="CA277" s="36" t="n">
        <f aca="false">BX277+CA323-(BY115+BZ115)</f>
        <v>1853.3397260274</v>
      </c>
      <c r="CB277" s="36" t="n">
        <f aca="false">CA277+CB77-CB115</f>
        <v>1602.3397260274</v>
      </c>
      <c r="CC277" s="36" t="n">
        <f aca="false">CB277+CC77-CC115</f>
        <v>1377.3397260274</v>
      </c>
      <c r="CD277" s="36" t="n">
        <f aca="false">CC277+CD77-CD115</f>
        <v>1166.3397260274</v>
      </c>
      <c r="CE277" s="36" t="n">
        <f aca="false">CD277+CE77-CE115</f>
        <v>987.339726027397</v>
      </c>
      <c r="CF277" s="28" t="s">
        <v>496</v>
      </c>
    </row>
    <row r="278" customFormat="false" ht="15" hidden="false" customHeight="true" outlineLevel="0" collapsed="false">
      <c r="B278" s="29" t="s">
        <v>497</v>
      </c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5" t="n">
        <v>112.042</v>
      </c>
      <c r="AO278" s="35" t="n">
        <v>111.004</v>
      </c>
      <c r="AP278" s="35" t="n">
        <v>105.516</v>
      </c>
      <c r="AQ278" s="35" t="n">
        <v>115.084</v>
      </c>
      <c r="AR278" s="35" t="n">
        <v>115.084</v>
      </c>
      <c r="AS278" s="35" t="n">
        <v>112.811</v>
      </c>
      <c r="AT278" s="35" t="n">
        <v>112.641</v>
      </c>
      <c r="AU278" s="35" t="n">
        <v>106.32</v>
      </c>
      <c r="AV278" s="35" t="n">
        <v>108.74</v>
      </c>
      <c r="AW278" s="35" t="n">
        <v>108.74</v>
      </c>
      <c r="AX278" s="35" t="n">
        <v>90.949</v>
      </c>
      <c r="AY278" s="35" t="n">
        <v>119.29</v>
      </c>
      <c r="AZ278" s="35" t="n">
        <v>105.964</v>
      </c>
      <c r="BA278" s="35" t="n">
        <v>100.68</v>
      </c>
      <c r="BB278" s="35" t="n">
        <v>100.68</v>
      </c>
      <c r="BC278" s="35" t="n">
        <v>95.555</v>
      </c>
      <c r="BD278" s="35" t="n">
        <v>98.495</v>
      </c>
      <c r="BE278" s="35" t="n">
        <v>94.262</v>
      </c>
      <c r="BF278" s="35" t="n">
        <v>80.392</v>
      </c>
      <c r="BG278" s="35" t="n">
        <v>80.392</v>
      </c>
      <c r="BH278" s="35" t="n">
        <v>76.174</v>
      </c>
      <c r="BI278" s="35" t="n">
        <v>79.491</v>
      </c>
      <c r="BJ278" s="35" t="n">
        <v>85.758</v>
      </c>
      <c r="BK278" s="35" t="n">
        <v>79.8</v>
      </c>
      <c r="BL278" s="35" t="n">
        <v>79.8</v>
      </c>
      <c r="BM278" s="35" t="n">
        <v>74.8</v>
      </c>
      <c r="BN278" s="35" t="n">
        <v>69.3</v>
      </c>
      <c r="BO278" s="35" t="n">
        <v>79.2</v>
      </c>
      <c r="BP278" s="35" t="n">
        <v>103</v>
      </c>
      <c r="BQ278" s="35" t="n">
        <v>103</v>
      </c>
      <c r="BR278" s="35" t="n">
        <v>96.7</v>
      </c>
      <c r="BS278" s="35" t="n">
        <v>93.8</v>
      </c>
      <c r="BT278" s="35" t="n">
        <v>111.3</v>
      </c>
      <c r="BU278" s="35" t="n">
        <v>123</v>
      </c>
      <c r="BV278" s="35" t="n">
        <v>123</v>
      </c>
      <c r="BW278" s="35" t="n">
        <v>120</v>
      </c>
      <c r="BX278" s="35" t="n">
        <v>128</v>
      </c>
      <c r="BY278" s="36"/>
      <c r="BZ278" s="36"/>
      <c r="CA278" s="36" t="n">
        <f aca="false">BX278</f>
        <v>128</v>
      </c>
      <c r="CB278" s="36" t="n">
        <f aca="false">CA278</f>
        <v>128</v>
      </c>
      <c r="CC278" s="36" t="n">
        <f aca="false">CB278</f>
        <v>128</v>
      </c>
      <c r="CD278" s="36" t="n">
        <f aca="false">CC278</f>
        <v>128</v>
      </c>
      <c r="CE278" s="36" t="n">
        <f aca="false">CD278</f>
        <v>128</v>
      </c>
      <c r="CF278" s="28"/>
    </row>
    <row r="279" customFormat="false" ht="15" hidden="false" customHeight="true" outlineLevel="0" collapsed="false">
      <c r="B279" s="29" t="s">
        <v>498</v>
      </c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5" t="n">
        <v>75.201</v>
      </c>
      <c r="AJ279" s="35" t="n">
        <v>76.159</v>
      </c>
      <c r="AK279" s="35" t="n">
        <v>76.062</v>
      </c>
      <c r="AL279" s="35" t="n">
        <v>76.031</v>
      </c>
      <c r="AM279" s="35" t="n">
        <v>76.031</v>
      </c>
      <c r="AN279" s="35" t="n">
        <v>77.375</v>
      </c>
      <c r="AO279" s="35" t="n">
        <v>83.874</v>
      </c>
      <c r="AP279" s="35" t="n">
        <v>85.623</v>
      </c>
      <c r="AQ279" s="35" t="n">
        <v>89.374</v>
      </c>
      <c r="AR279" s="35" t="n">
        <v>89.374</v>
      </c>
      <c r="AS279" s="35" t="n">
        <v>91</v>
      </c>
      <c r="AT279" s="35" t="n">
        <v>91.712</v>
      </c>
      <c r="AU279" s="35" t="n">
        <v>93.006</v>
      </c>
      <c r="AV279" s="35" t="n">
        <v>93.274</v>
      </c>
      <c r="AW279" s="35" t="n">
        <v>93.274</v>
      </c>
      <c r="AX279" s="35" t="n">
        <v>93.056</v>
      </c>
      <c r="AY279" s="35" t="n">
        <v>94.387</v>
      </c>
      <c r="AZ279" s="35" t="n">
        <v>96.303</v>
      </c>
      <c r="BA279" s="35" t="n">
        <v>101.879</v>
      </c>
      <c r="BB279" s="35" t="n">
        <v>101.879</v>
      </c>
      <c r="BC279" s="35" t="n">
        <v>110.083</v>
      </c>
      <c r="BD279" s="35" t="n">
        <v>119.778</v>
      </c>
      <c r="BE279" s="35" t="n">
        <v>129.815</v>
      </c>
      <c r="BF279" s="35" t="n">
        <v>142.482</v>
      </c>
      <c r="BG279" s="35" t="n">
        <v>142.482</v>
      </c>
      <c r="BH279" s="35" t="n">
        <v>152.929</v>
      </c>
      <c r="BI279" s="35" t="n">
        <v>162.391</v>
      </c>
      <c r="BJ279" s="35" t="n">
        <v>165.846</v>
      </c>
      <c r="BK279" s="35" t="n">
        <v>167.7</v>
      </c>
      <c r="BL279" s="35" t="n">
        <v>167.7</v>
      </c>
      <c r="BM279" s="35" t="n">
        <v>179</v>
      </c>
      <c r="BN279" s="35" t="n">
        <v>178.9</v>
      </c>
      <c r="BO279" s="35" t="n">
        <v>173</v>
      </c>
      <c r="BP279" s="35" t="n">
        <v>169.6</v>
      </c>
      <c r="BQ279" s="35" t="n">
        <v>169.6</v>
      </c>
      <c r="BR279" s="35" t="n">
        <v>173.9</v>
      </c>
      <c r="BS279" s="35" t="n">
        <v>184.4</v>
      </c>
      <c r="BT279" s="35" t="n">
        <v>178</v>
      </c>
      <c r="BU279" s="35" t="n">
        <v>184</v>
      </c>
      <c r="BV279" s="35" t="n">
        <v>184</v>
      </c>
      <c r="BW279" s="35" t="n">
        <v>188</v>
      </c>
      <c r="BX279" s="35" t="n">
        <v>190</v>
      </c>
      <c r="BY279" s="36"/>
      <c r="BZ279" s="36"/>
      <c r="CA279" s="36" t="n">
        <f aca="false">CA305*CA307</f>
        <v>215.523</v>
      </c>
      <c r="CB279" s="36" t="n">
        <f aca="false">CB305*CB307</f>
        <v>237.869494693394</v>
      </c>
      <c r="CC279" s="36" t="n">
        <f aca="false">CC305*CC307</f>
        <v>261.298351904463</v>
      </c>
      <c r="CD279" s="36" t="n">
        <f aca="false">CD305*CD307</f>
        <v>285.178584236572</v>
      </c>
      <c r="CE279" s="36" t="n">
        <f aca="false">CE305*CE307</f>
        <v>309.182197655571</v>
      </c>
      <c r="CF279" s="28"/>
    </row>
    <row r="280" customFormat="false" ht="15" hidden="false" customHeight="true" outlineLevel="0" collapsed="false">
      <c r="B280" s="29" t="s">
        <v>499</v>
      </c>
      <c r="C280" s="35" t="n">
        <v>55.107</v>
      </c>
      <c r="D280" s="35" t="n">
        <v>4.555</v>
      </c>
      <c r="E280" s="35" t="n">
        <v>34.276</v>
      </c>
      <c r="F280" s="35" t="n">
        <v>34.299</v>
      </c>
      <c r="G280" s="35" t="n">
        <v>32.178</v>
      </c>
      <c r="H280" s="35" t="n">
        <v>37.967</v>
      </c>
      <c r="I280" s="35" t="n">
        <v>30.558</v>
      </c>
      <c r="J280" s="35" t="n">
        <v>29.499</v>
      </c>
      <c r="K280" s="35" t="n">
        <v>28.921</v>
      </c>
      <c r="L280" s="35" t="n">
        <v>28.262</v>
      </c>
      <c r="M280" s="35" t="n">
        <v>27.738</v>
      </c>
      <c r="N280" s="35" t="n">
        <v>27.738</v>
      </c>
      <c r="O280" s="35" t="n">
        <v>27.715</v>
      </c>
      <c r="P280" s="35" t="n">
        <v>35.353</v>
      </c>
      <c r="Q280" s="35" t="n">
        <v>33.82</v>
      </c>
      <c r="R280" s="35" t="n">
        <v>29.691</v>
      </c>
      <c r="S280" s="35" t="n">
        <v>29.691</v>
      </c>
      <c r="T280" s="34"/>
      <c r="U280" s="35" t="n">
        <v>27.537</v>
      </c>
      <c r="V280" s="35" t="n">
        <v>25.877</v>
      </c>
      <c r="W280" s="35" t="n">
        <v>27.264</v>
      </c>
      <c r="X280" s="35" t="n">
        <v>27.264</v>
      </c>
      <c r="Y280" s="35" t="n">
        <v>21.238</v>
      </c>
      <c r="Z280" s="35" t="n">
        <v>21.066</v>
      </c>
      <c r="AA280" s="35" t="n">
        <v>20.312</v>
      </c>
      <c r="AB280" s="35" t="n">
        <v>19.173</v>
      </c>
      <c r="AC280" s="35" t="n">
        <v>19.173</v>
      </c>
      <c r="AD280" s="35" t="n">
        <v>20.532</v>
      </c>
      <c r="AE280" s="35" t="n">
        <v>19.885</v>
      </c>
      <c r="AF280" s="35" t="n">
        <v>21.821</v>
      </c>
      <c r="AG280" s="35" t="n">
        <v>34.661</v>
      </c>
      <c r="AH280" s="35" t="n">
        <v>34.661</v>
      </c>
      <c r="AI280" s="35" t="n">
        <v>39.385</v>
      </c>
      <c r="AJ280" s="35" t="n">
        <v>36.654</v>
      </c>
      <c r="AK280" s="35" t="n">
        <v>35.021</v>
      </c>
      <c r="AL280" s="35" t="n">
        <v>39.879</v>
      </c>
      <c r="AM280" s="35" t="n">
        <v>39.879</v>
      </c>
      <c r="AN280" s="35" t="n">
        <v>38.703</v>
      </c>
      <c r="AO280" s="35" t="n">
        <v>37.41</v>
      </c>
      <c r="AP280" s="35" t="n">
        <v>35.559</v>
      </c>
      <c r="AQ280" s="35" t="n">
        <v>39.618</v>
      </c>
      <c r="AR280" s="35" t="n">
        <v>39.618</v>
      </c>
      <c r="AS280" s="35" t="n">
        <v>29.311</v>
      </c>
      <c r="AT280" s="35" t="n">
        <v>33.046</v>
      </c>
      <c r="AU280" s="35" t="n">
        <v>33.799</v>
      </c>
      <c r="AV280" s="35" t="n">
        <v>35.825</v>
      </c>
      <c r="AW280" s="35" t="n">
        <v>35.825</v>
      </c>
      <c r="AX280" s="35" t="n">
        <v>34.842</v>
      </c>
      <c r="AY280" s="35" t="n">
        <v>34.25</v>
      </c>
      <c r="AZ280" s="35" t="n">
        <v>33.932</v>
      </c>
      <c r="BA280" s="35" t="n">
        <v>38.079</v>
      </c>
      <c r="BB280" s="35" t="n">
        <v>38.079</v>
      </c>
      <c r="BC280" s="35" t="n">
        <v>38.717</v>
      </c>
      <c r="BD280" s="35" t="n">
        <v>23.932</v>
      </c>
      <c r="BE280" s="35" t="n">
        <v>23.909</v>
      </c>
      <c r="BF280" s="35" t="n">
        <v>28.414</v>
      </c>
      <c r="BG280" s="35" t="n">
        <v>28.414</v>
      </c>
      <c r="BH280" s="35" t="n">
        <v>28.784</v>
      </c>
      <c r="BI280" s="35" t="n">
        <v>29.226</v>
      </c>
      <c r="BJ280" s="35" t="n">
        <v>27.724</v>
      </c>
      <c r="BK280" s="35" t="n">
        <v>24</v>
      </c>
      <c r="BL280" s="35" t="n">
        <v>24</v>
      </c>
      <c r="BM280" s="35" t="n">
        <v>24.7</v>
      </c>
      <c r="BN280" s="35" t="n">
        <v>32.6</v>
      </c>
      <c r="BO280" s="35" t="n">
        <v>32.3</v>
      </c>
      <c r="BP280" s="35" t="n">
        <v>58.3</v>
      </c>
      <c r="BQ280" s="35" t="n">
        <v>58.3</v>
      </c>
      <c r="BR280" s="35" t="n">
        <v>76.2</v>
      </c>
      <c r="BS280" s="35" t="n">
        <v>85.5</v>
      </c>
      <c r="BT280" s="35" t="n">
        <v>96.1</v>
      </c>
      <c r="BU280" s="35" t="n">
        <v>74</v>
      </c>
      <c r="BV280" s="35" t="n">
        <v>74</v>
      </c>
      <c r="BW280" s="35" t="n">
        <v>77</v>
      </c>
      <c r="BX280" s="35" t="n">
        <v>74</v>
      </c>
      <c r="BY280" s="36"/>
      <c r="BZ280" s="36"/>
      <c r="CA280" s="36" t="n">
        <f aca="false">BX280</f>
        <v>74</v>
      </c>
      <c r="CB280" s="36" t="n">
        <f aca="false">CA280</f>
        <v>74</v>
      </c>
      <c r="CC280" s="36" t="n">
        <f aca="false">CB280</f>
        <v>74</v>
      </c>
      <c r="CD280" s="36" t="n">
        <f aca="false">CC280</f>
        <v>74</v>
      </c>
      <c r="CE280" s="36" t="n">
        <f aca="false">CD280</f>
        <v>74</v>
      </c>
      <c r="CF280" s="28"/>
    </row>
    <row r="281" customFormat="false" ht="15" hidden="false" customHeight="true" outlineLevel="0" collapsed="false">
      <c r="B281" s="50" t="s">
        <v>500</v>
      </c>
      <c r="C281" s="51" t="n">
        <f aca="false">IF(ISNUMBER(C269),C274+SUM(C275:C280),"")</f>
        <v>275.437</v>
      </c>
      <c r="D281" s="51" t="n">
        <f aca="false">IF(ISNUMBER(D269),D274+SUM(D275:D280),"")</f>
        <v>321.843</v>
      </c>
      <c r="E281" s="51" t="n">
        <f aca="false">IF(ISNUMBER(E269),E274+SUM(E275:E280),"")</f>
        <v>334.384</v>
      </c>
      <c r="F281" s="51" t="n">
        <f aca="false">IF(ISNUMBER(F269),F274+SUM(F275:F280),"")</f>
        <v>404.579</v>
      </c>
      <c r="G281" s="51" t="n">
        <f aca="false">IF(ISNUMBER(G269),G274+SUM(G275:G280),"")</f>
        <v>439.648</v>
      </c>
      <c r="H281" s="51" t="n">
        <f aca="false">IF(ISNUMBER(H269),H274+SUM(H275:H280),"")</f>
        <v>771.035</v>
      </c>
      <c r="I281" s="51" t="n">
        <f aca="false">IF(ISNUMBER(I269),I274+SUM(I275:I280),"")</f>
        <v>1165.139</v>
      </c>
      <c r="J281" s="51" t="n">
        <f aca="false">IF(ISNUMBER(J269),J274+SUM(J275:J280),"")</f>
        <v>1183.858</v>
      </c>
      <c r="K281" s="51" t="n">
        <f aca="false">IF(ISNUMBER(K269),K274+SUM(K275:K280),"")</f>
        <v>1197.018</v>
      </c>
      <c r="L281" s="51" t="n">
        <f aca="false">IF(ISNUMBER(L269),L274+SUM(L275:L280),"")</f>
        <v>1230.374</v>
      </c>
      <c r="M281" s="51" t="n">
        <f aca="false">IF(ISNUMBER(M269),M274+SUM(M275:M280),"")</f>
        <v>1256.982</v>
      </c>
      <c r="N281" s="51" t="n">
        <f aca="false">IF(ISNUMBER(N269),N274+SUM(N275:N280),"")</f>
        <v>1256.982</v>
      </c>
      <c r="O281" s="51" t="n">
        <f aca="false">IF(ISNUMBER(O269),O274+SUM(O275:O280),"")</f>
        <v>1244.796</v>
      </c>
      <c r="P281" s="51" t="n">
        <f aca="false">IF(ISNUMBER(P269),P274+SUM(P275:P280),"")</f>
        <v>2046.394</v>
      </c>
      <c r="Q281" s="51" t="n">
        <f aca="false">IF(ISNUMBER(Q269),Q274+SUM(Q275:Q280),"")</f>
        <v>2064.341</v>
      </c>
      <c r="R281" s="51" t="n">
        <f aca="false">IF(ISNUMBER(R269),R274+SUM(R275:R280),"")</f>
        <v>2083.682</v>
      </c>
      <c r="S281" s="51" t="n">
        <f aca="false">IF(ISNUMBER(S269),S274+SUM(S275:S280),"")</f>
        <v>2083.682</v>
      </c>
      <c r="T281" s="51" t="str">
        <f aca="false">IF(ISNUMBER(T269),T274+SUM(T275:T280),"")</f>
        <v/>
      </c>
      <c r="U281" s="51" t="n">
        <f aca="false">IF(ISNUMBER(U269),U274+SUM(U275:U280),"")</f>
        <v>2073.947</v>
      </c>
      <c r="V281" s="51" t="n">
        <f aca="false">IF(ISNUMBER(V269),V274+SUM(V275:V280),"")</f>
        <v>2090.736</v>
      </c>
      <c r="W281" s="51" t="n">
        <f aca="false">IF(ISNUMBER(W269),W274+SUM(W275:W280),"")</f>
        <v>2079.571</v>
      </c>
      <c r="X281" s="51" t="n">
        <f aca="false">IF(ISNUMBER(X269),X274+SUM(X275:X280),"")</f>
        <v>2079.571</v>
      </c>
      <c r="Y281" s="51" t="n">
        <f aca="false">IF(ISNUMBER(Y269),Y274+SUM(Y275:Y280),"")</f>
        <v>2106.013</v>
      </c>
      <c r="Z281" s="51" t="n">
        <f aca="false">IF(ISNUMBER(Z269),Z274+SUM(Z275:Z280),"")</f>
        <v>2107.234</v>
      </c>
      <c r="AA281" s="51" t="n">
        <f aca="false">IF(ISNUMBER(AA269),AA274+SUM(AA275:AA280),"")</f>
        <v>2152.587</v>
      </c>
      <c r="AB281" s="51" t="n">
        <f aca="false">IF(ISNUMBER(AB269),AB274+SUM(AB275:AB280),"")</f>
        <v>2185.063</v>
      </c>
      <c r="AC281" s="51" t="n">
        <f aca="false">IF(ISNUMBER(AC269),AC274+SUM(AC275:AC280),"")</f>
        <v>2185.063</v>
      </c>
      <c r="AD281" s="51" t="n">
        <f aca="false">IF(ISNUMBER(AD269),AD274+SUM(AD275:AD280),"")</f>
        <v>2195.155</v>
      </c>
      <c r="AE281" s="51" t="n">
        <f aca="false">IF(ISNUMBER(AE269),AE274+SUM(AE275:AE280),"")</f>
        <v>2220.019</v>
      </c>
      <c r="AF281" s="51" t="n">
        <f aca="false">IF(ISNUMBER(AF269),AF274+SUM(AF275:AF280),"")</f>
        <v>2280.596</v>
      </c>
      <c r="AG281" s="51" t="n">
        <f aca="false">IF(ISNUMBER(AG269),AG274+SUM(AG275:AG280),"")</f>
        <v>2873.441</v>
      </c>
      <c r="AH281" s="51" t="n">
        <f aca="false">IF(ISNUMBER(AH269),AH274+SUM(AH275:AH280),"")</f>
        <v>2873.441</v>
      </c>
      <c r="AI281" s="51" t="n">
        <f aca="false">IF(ISNUMBER(AI269),AI274+SUM(AI275:AI280),"")</f>
        <v>3095.1</v>
      </c>
      <c r="AJ281" s="51" t="n">
        <f aca="false">IF(ISNUMBER(AJ269),AJ274+SUM(AJ275:AJ280),"")</f>
        <v>3122.574</v>
      </c>
      <c r="AK281" s="51" t="n">
        <f aca="false">IF(ISNUMBER(AK269),AK274+SUM(AK275:AK280),"")</f>
        <v>3207.222</v>
      </c>
      <c r="AL281" s="51" t="n">
        <f aca="false">IF(ISNUMBER(AL269),AL274+SUM(AL275:AL280),"")</f>
        <v>3312.957</v>
      </c>
      <c r="AM281" s="51" t="n">
        <f aca="false">IF(ISNUMBER(AM269),AM274+SUM(AM275:AM280),"")</f>
        <v>3312.957</v>
      </c>
      <c r="AN281" s="51" t="n">
        <f aca="false">IF(ISNUMBER(AN269),AN274+SUM(AN275:AN280),"")</f>
        <v>3548.284</v>
      </c>
      <c r="AO281" s="51" t="n">
        <f aca="false">IF(ISNUMBER(AO269),AO274+SUM(AO275:AO280),"")</f>
        <v>3620.598</v>
      </c>
      <c r="AP281" s="51" t="n">
        <f aca="false">IF(ISNUMBER(AP269),AP274+SUM(AP275:AP280),"")</f>
        <v>3715.391</v>
      </c>
      <c r="AQ281" s="51" t="n">
        <f aca="false">IF(ISNUMBER(AQ269),AQ274+SUM(AQ275:AQ280),"")</f>
        <v>3853.986</v>
      </c>
      <c r="AR281" s="51" t="n">
        <f aca="false">IF(ISNUMBER(AR269),AR274+SUM(AR275:AR280),"")</f>
        <v>3853.986</v>
      </c>
      <c r="AS281" s="51" t="n">
        <f aca="false">IF(ISNUMBER(AS269),AS274+SUM(AS275:AS280),"")</f>
        <v>4684.597</v>
      </c>
      <c r="AT281" s="51" t="n">
        <f aca="false">IF(ISNUMBER(AT269),AT274+SUM(AT275:AT280),"")</f>
        <v>6479.03</v>
      </c>
      <c r="AU281" s="51" t="n">
        <f aca="false">IF(ISNUMBER(AU269),AU274+SUM(AU275:AU280),"")</f>
        <v>6797.325</v>
      </c>
      <c r="AV281" s="51" t="n">
        <f aca="false">IF(ISNUMBER(AV269),AV274+SUM(AV275:AV280),"")</f>
        <v>6915.42</v>
      </c>
      <c r="AW281" s="51" t="n">
        <f aca="false">IF(ISNUMBER(AW269),AW274+SUM(AW275:AW280),"")</f>
        <v>6915.42</v>
      </c>
      <c r="AX281" s="51" t="n">
        <f aca="false">IF(ISNUMBER(AX269),AX274+SUM(AX275:AX280),"")</f>
        <v>6941.971</v>
      </c>
      <c r="AY281" s="51" t="n">
        <f aca="false">IF(ISNUMBER(AY269),AY274+SUM(AY275:AY280),"")</f>
        <v>7075.614</v>
      </c>
      <c r="AZ281" s="51" t="n">
        <f aca="false">IF(ISNUMBER(AZ269),AZ274+SUM(AZ275:AZ280),"")</f>
        <v>7131.316</v>
      </c>
      <c r="BA281" s="51" t="n">
        <f aca="false">IF(ISNUMBER(BA269),BA274+SUM(BA275:BA280),"")</f>
        <v>7256.871</v>
      </c>
      <c r="BB281" s="51" t="n">
        <f aca="false">IF(ISNUMBER(BB269),BB274+SUM(BB275:BB280),"")</f>
        <v>7256.871</v>
      </c>
      <c r="BC281" s="51" t="n">
        <f aca="false">IF(ISNUMBER(BC269),BC274+SUM(BC275:BC280),"")</f>
        <v>7357.442</v>
      </c>
      <c r="BD281" s="51" t="n">
        <f aca="false">IF(ISNUMBER(BD269),BD274+SUM(BD275:BD280),"")</f>
        <v>7420.748</v>
      </c>
      <c r="BE281" s="51" t="n">
        <f aca="false">IF(ISNUMBER(BE269),BE274+SUM(BE275:BE280),"")</f>
        <v>8205.863</v>
      </c>
      <c r="BF281" s="51" t="n">
        <f aca="false">IF(ISNUMBER(BF269),BF274+SUM(BF275:BF280),"")</f>
        <v>8402.47</v>
      </c>
      <c r="BG281" s="51" t="n">
        <f aca="false">IF(ISNUMBER(BG269),BG274+SUM(BG275:BG280),"")</f>
        <v>8402.47</v>
      </c>
      <c r="BH281" s="51" t="n">
        <f aca="false">IF(ISNUMBER(BH269),BH274+SUM(BH275:BH280),"")</f>
        <v>8516.912</v>
      </c>
      <c r="BI281" s="51" t="n">
        <f aca="false">IF(ISNUMBER(BI269),BI274+SUM(BI275:BI280),"")</f>
        <v>8691.674</v>
      </c>
      <c r="BJ281" s="51" t="n">
        <f aca="false">IF(ISNUMBER(BJ269),BJ274+SUM(BJ275:BJ280),"")</f>
        <v>8771.655</v>
      </c>
      <c r="BK281" s="51" t="n">
        <f aca="false">IF(ISNUMBER(BK269),BK274+SUM(BK275:BK280),"")</f>
        <v>8919.7</v>
      </c>
      <c r="BL281" s="51" t="n">
        <f aca="false">IF(ISNUMBER(BL269),BL274+SUM(BL275:BL280),"")</f>
        <v>8919.7</v>
      </c>
      <c r="BM281" s="51" t="n">
        <f aca="false">IF(ISNUMBER(BM269),BM274+SUM(BM275:BM280),"")</f>
        <v>9034.5</v>
      </c>
      <c r="BN281" s="51" t="n">
        <f aca="false">IF(ISNUMBER(BN269),BN274+SUM(BN275:BN280),"")</f>
        <v>9067.3</v>
      </c>
      <c r="BO281" s="51" t="n">
        <f aca="false">IF(ISNUMBER(BO269),BO274+SUM(BO275:BO280),"")</f>
        <v>9138.7</v>
      </c>
      <c r="BP281" s="51" t="n">
        <f aca="false">IF(ISNUMBER(BP269),BP274+SUM(BP275:BP280),"")</f>
        <v>9256.8</v>
      </c>
      <c r="BQ281" s="51" t="n">
        <f aca="false">IF(ISNUMBER(BQ269),BQ274+SUM(BQ275:BQ280),"")</f>
        <v>9256.8</v>
      </c>
      <c r="BR281" s="51" t="n">
        <f aca="false">IF(ISNUMBER(BR269),BR274+SUM(BR275:BR280),"")</f>
        <v>10428.1</v>
      </c>
      <c r="BS281" s="51" t="n">
        <f aca="false">IF(ISNUMBER(BS269),BS274+SUM(BS275:BS280),"")</f>
        <v>10507.1</v>
      </c>
      <c r="BT281" s="51" t="n">
        <f aca="false">IF(ISNUMBER(BT269),BT274+SUM(BT275:BT280),"")</f>
        <v>10819.9</v>
      </c>
      <c r="BU281" s="51" t="n">
        <f aca="false">IF(ISNUMBER(BU269),BU274+SUM(BU275:BU280),"")</f>
        <v>10538</v>
      </c>
      <c r="BV281" s="51" t="n">
        <f aca="false">IF(ISNUMBER(BV269),BV274+SUM(BV275:BV280),"")</f>
        <v>10538</v>
      </c>
      <c r="BW281" s="51" t="n">
        <f aca="false">IF(ISNUMBER(BW269),BW274+SUM(BW275:BW280),"")</f>
        <v>10164</v>
      </c>
      <c r="BX281" s="51" t="n">
        <f aca="false">IF(ISNUMBER(BX269),BX274+SUM(BX275:BX280),"")</f>
        <v>10139</v>
      </c>
      <c r="BY281" s="51"/>
      <c r="BZ281" s="51"/>
      <c r="CA281" s="51" t="n">
        <f aca="false">CA274+SUM(CA275:CA280)</f>
        <v>10386.2082582508</v>
      </c>
      <c r="CB281" s="51" t="n">
        <f aca="false">CB274+SUM(CB275:CB280)</f>
        <v>10079.0230039209</v>
      </c>
      <c r="CC281" s="51" t="n">
        <f aca="false">CC274+SUM(CC275:CC280)</f>
        <v>9832.28053076481</v>
      </c>
      <c r="CD281" s="51" t="n">
        <f aca="false">CD274+SUM(CD275:CD280)</f>
        <v>9671.71895358968</v>
      </c>
      <c r="CE281" s="51" t="n">
        <f aca="false">CE274+SUM(CE275:CE280)</f>
        <v>9542.56769500894</v>
      </c>
      <c r="CF281" s="21"/>
    </row>
    <row r="282" customFormat="false" ht="15" hidden="false" customHeight="true" outlineLevel="0" collapsed="false">
      <c r="B282" s="29" t="s">
        <v>501</v>
      </c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6"/>
      <c r="BZ282" s="36"/>
      <c r="CA282" s="36"/>
      <c r="CB282" s="36"/>
      <c r="CC282" s="36"/>
      <c r="CD282" s="36"/>
      <c r="CE282" s="36"/>
      <c r="CF282" s="28"/>
    </row>
    <row r="283" customFormat="false" ht="15" hidden="false" customHeight="true" outlineLevel="0" collapsed="false">
      <c r="B283" s="29" t="s">
        <v>502</v>
      </c>
      <c r="C283" s="35" t="n">
        <v>1.878</v>
      </c>
      <c r="D283" s="35" t="n">
        <v>3.299</v>
      </c>
      <c r="E283" s="35" t="n">
        <v>1.636</v>
      </c>
      <c r="F283" s="35" t="n">
        <v>3.667</v>
      </c>
      <c r="G283" s="35" t="n">
        <v>3.123</v>
      </c>
      <c r="H283" s="35" t="n">
        <v>6.01</v>
      </c>
      <c r="I283" s="35" t="n">
        <v>6.234</v>
      </c>
      <c r="J283" s="35" t="n">
        <v>3.923</v>
      </c>
      <c r="K283" s="35" t="n">
        <v>4.45</v>
      </c>
      <c r="L283" s="35" t="n">
        <v>6.347</v>
      </c>
      <c r="M283" s="35" t="n">
        <v>4.939</v>
      </c>
      <c r="N283" s="35" t="n">
        <v>4.939</v>
      </c>
      <c r="O283" s="35" t="n">
        <v>3.943</v>
      </c>
      <c r="P283" s="35" t="n">
        <v>7.543</v>
      </c>
      <c r="Q283" s="35" t="n">
        <v>7.604</v>
      </c>
      <c r="R283" s="35" t="n">
        <v>8.608</v>
      </c>
      <c r="S283" s="35" t="n">
        <v>8.608</v>
      </c>
      <c r="T283" s="34"/>
      <c r="U283" s="35" t="n">
        <v>6.778</v>
      </c>
      <c r="V283" s="35" t="n">
        <v>14.21</v>
      </c>
      <c r="W283" s="35" t="n">
        <v>9.673</v>
      </c>
      <c r="X283" s="35" t="n">
        <v>9.673</v>
      </c>
      <c r="Y283" s="35" t="n">
        <v>6.654</v>
      </c>
      <c r="Z283" s="35" t="n">
        <v>14.038</v>
      </c>
      <c r="AA283" s="35" t="n">
        <v>9.861</v>
      </c>
      <c r="AB283" s="35" t="n">
        <v>11.478</v>
      </c>
      <c r="AC283" s="35" t="n">
        <v>11.478</v>
      </c>
      <c r="AD283" s="35" t="n">
        <v>16.947</v>
      </c>
      <c r="AE283" s="35" t="n">
        <v>16.694</v>
      </c>
      <c r="AF283" s="35" t="n">
        <v>11.323</v>
      </c>
      <c r="AG283" s="35" t="n">
        <v>9.262</v>
      </c>
      <c r="AH283" s="35" t="n">
        <v>9.262</v>
      </c>
      <c r="AI283" s="35" t="n">
        <v>7.845</v>
      </c>
      <c r="AJ283" s="35" t="n">
        <v>9.394</v>
      </c>
      <c r="AK283" s="35" t="n">
        <v>10.114</v>
      </c>
      <c r="AL283" s="35" t="n">
        <v>6.327</v>
      </c>
      <c r="AM283" s="35" t="n">
        <v>6.327</v>
      </c>
      <c r="AN283" s="35" t="n">
        <v>7.919</v>
      </c>
      <c r="AO283" s="35" t="n">
        <v>6.996</v>
      </c>
      <c r="AP283" s="35" t="n">
        <v>8.082</v>
      </c>
      <c r="AQ283" s="35" t="n">
        <v>7.64</v>
      </c>
      <c r="AR283" s="35" t="n">
        <v>7.64</v>
      </c>
      <c r="AS283" s="35" t="n">
        <v>22.486</v>
      </c>
      <c r="AT283" s="35" t="n">
        <v>26.864</v>
      </c>
      <c r="AU283" s="35" t="n">
        <v>20.266</v>
      </c>
      <c r="AV283" s="35" t="n">
        <v>15.732</v>
      </c>
      <c r="AW283" s="35" t="n">
        <v>15.732</v>
      </c>
      <c r="AX283" s="35" t="n">
        <v>16.87</v>
      </c>
      <c r="AY283" s="35" t="n">
        <v>16.376</v>
      </c>
      <c r="AZ283" s="35" t="n">
        <v>17.487</v>
      </c>
      <c r="BA283" s="35" t="n">
        <v>22.244</v>
      </c>
      <c r="BB283" s="35" t="n">
        <v>22.244</v>
      </c>
      <c r="BC283" s="35" t="n">
        <v>19.191</v>
      </c>
      <c r="BD283" s="35" t="n">
        <v>32.132</v>
      </c>
      <c r="BE283" s="35" t="n">
        <v>31.435</v>
      </c>
      <c r="BF283" s="35" t="n">
        <v>28.46</v>
      </c>
      <c r="BG283" s="35" t="n">
        <v>28.46</v>
      </c>
      <c r="BH283" s="35" t="n">
        <v>31.664</v>
      </c>
      <c r="BI283" s="35" t="n">
        <v>61.546</v>
      </c>
      <c r="BJ283" s="35" t="n">
        <v>25.866</v>
      </c>
      <c r="BK283" s="35" t="n">
        <v>23.1</v>
      </c>
      <c r="BL283" s="35" t="n">
        <v>23.1</v>
      </c>
      <c r="BM283" s="35" t="n">
        <v>113.6</v>
      </c>
      <c r="BN283" s="35" t="n">
        <v>101</v>
      </c>
      <c r="BO283" s="35" t="n">
        <v>84.4</v>
      </c>
      <c r="BP283" s="35" t="n">
        <v>47</v>
      </c>
      <c r="BQ283" s="35" t="n">
        <v>47</v>
      </c>
      <c r="BR283" s="35" t="n">
        <v>38.7</v>
      </c>
      <c r="BS283" s="35" t="n">
        <v>51.5</v>
      </c>
      <c r="BT283" s="35" t="n">
        <v>46.5</v>
      </c>
      <c r="BU283" s="35" t="n">
        <v>42</v>
      </c>
      <c r="BV283" s="35" t="n">
        <v>42</v>
      </c>
      <c r="BW283" s="35" t="n">
        <v>39</v>
      </c>
      <c r="BX283" s="35" t="n">
        <v>44</v>
      </c>
      <c r="BY283" s="36"/>
      <c r="BZ283" s="36"/>
      <c r="CA283" s="36" t="n">
        <f aca="false">CA305*CA309</f>
        <v>47.0232</v>
      </c>
      <c r="CB283" s="36" t="n">
        <f aca="false">CB305*CB309</f>
        <v>51.8987988421951</v>
      </c>
      <c r="CC283" s="36" t="n">
        <f aca="false">CC305*CC309</f>
        <v>57.0105495064284</v>
      </c>
      <c r="CD283" s="36" t="n">
        <f aca="false">CD305*CD309</f>
        <v>62.2207820152521</v>
      </c>
      <c r="CE283" s="36" t="n">
        <f aca="false">CE305*CE309</f>
        <v>67.4579340339427</v>
      </c>
      <c r="CF283" s="28"/>
    </row>
    <row r="284" customFormat="false" ht="15" hidden="false" customHeight="true" outlineLevel="0" collapsed="false">
      <c r="B284" s="29" t="s">
        <v>503</v>
      </c>
      <c r="C284" s="35" t="n">
        <v>6.018</v>
      </c>
      <c r="D284" s="35" t="n">
        <v>7.489</v>
      </c>
      <c r="E284" s="35" t="n">
        <v>7.217</v>
      </c>
      <c r="F284" s="35" t="n">
        <v>9.696</v>
      </c>
      <c r="G284" s="35" t="n">
        <v>12.465</v>
      </c>
      <c r="H284" s="35" t="n">
        <v>16.695</v>
      </c>
      <c r="I284" s="35" t="n">
        <v>23.831</v>
      </c>
      <c r="J284" s="35" t="n">
        <v>14.524</v>
      </c>
      <c r="K284" s="35" t="n">
        <v>18.686</v>
      </c>
      <c r="L284" s="35" t="n">
        <v>18.256</v>
      </c>
      <c r="M284" s="35" t="n">
        <v>20.104</v>
      </c>
      <c r="N284" s="35" t="n">
        <v>20.104</v>
      </c>
      <c r="O284" s="35" t="n">
        <v>12.426</v>
      </c>
      <c r="P284" s="35" t="n">
        <v>20.247</v>
      </c>
      <c r="Q284" s="35" t="n">
        <v>21.656</v>
      </c>
      <c r="R284" s="35" t="n">
        <v>23.155</v>
      </c>
      <c r="S284" s="35" t="n">
        <v>23.155</v>
      </c>
      <c r="T284" s="34"/>
      <c r="U284" s="35" t="n">
        <v>24.666</v>
      </c>
      <c r="V284" s="35" t="n">
        <v>30.197</v>
      </c>
      <c r="W284" s="35" t="n">
        <v>31.045</v>
      </c>
      <c r="X284" s="35" t="n">
        <v>31.045</v>
      </c>
      <c r="Y284" s="35" t="n">
        <v>23.205</v>
      </c>
      <c r="Z284" s="35" t="n">
        <v>22.349</v>
      </c>
      <c r="AA284" s="35" t="n">
        <v>32.443</v>
      </c>
      <c r="AB284" s="35" t="n">
        <v>33.803</v>
      </c>
      <c r="AC284" s="35" t="n">
        <v>33.803</v>
      </c>
      <c r="AD284" s="35" t="n">
        <v>27.023</v>
      </c>
      <c r="AE284" s="35" t="n">
        <v>27.36</v>
      </c>
      <c r="AF284" s="35" t="n">
        <v>34.661</v>
      </c>
      <c r="AG284" s="35" t="n">
        <v>54.104</v>
      </c>
      <c r="AH284" s="35" t="n">
        <v>54.104</v>
      </c>
      <c r="AI284" s="35" t="n">
        <v>51.037</v>
      </c>
      <c r="AJ284" s="35" t="n">
        <v>45.593</v>
      </c>
      <c r="AK284" s="35" t="n">
        <v>50.483</v>
      </c>
      <c r="AL284" s="35" t="n">
        <v>45.588</v>
      </c>
      <c r="AM284" s="35" t="n">
        <v>45.588</v>
      </c>
      <c r="AN284" s="35" t="n">
        <v>49.264</v>
      </c>
      <c r="AO284" s="35" t="n">
        <v>47.394</v>
      </c>
      <c r="AP284" s="35" t="n">
        <v>51.557</v>
      </c>
      <c r="AQ284" s="35" t="n">
        <v>53.087</v>
      </c>
      <c r="AR284" s="35" t="n">
        <v>53.087</v>
      </c>
      <c r="AS284" s="35" t="n">
        <v>49.302</v>
      </c>
      <c r="AT284" s="35" t="n">
        <v>56.748</v>
      </c>
      <c r="AU284" s="35" t="n">
        <v>63.341</v>
      </c>
      <c r="AV284" s="35" t="n">
        <v>80.998</v>
      </c>
      <c r="AW284" s="35" t="n">
        <v>80.998</v>
      </c>
      <c r="AX284" s="35" t="n">
        <v>68.59</v>
      </c>
      <c r="AY284" s="35" t="n">
        <v>76.014</v>
      </c>
      <c r="AZ284" s="35" t="n">
        <v>82.905</v>
      </c>
      <c r="BA284" s="35" t="n">
        <v>81.794</v>
      </c>
      <c r="BB284" s="35" t="n">
        <v>81.794</v>
      </c>
      <c r="BC284" s="35" t="n">
        <v>59.337</v>
      </c>
      <c r="BD284" s="35" t="n">
        <v>84.545</v>
      </c>
      <c r="BE284" s="35" t="n">
        <v>83.041</v>
      </c>
      <c r="BF284" s="35" t="n">
        <v>104.988</v>
      </c>
      <c r="BG284" s="35" t="n">
        <v>104.988</v>
      </c>
      <c r="BH284" s="35" t="n">
        <v>89.352</v>
      </c>
      <c r="BI284" s="35" t="n">
        <v>100.915</v>
      </c>
      <c r="BJ284" s="35" t="n">
        <v>91.357</v>
      </c>
      <c r="BK284" s="35" t="n">
        <v>117.8</v>
      </c>
      <c r="BL284" s="35" t="n">
        <v>117.8</v>
      </c>
      <c r="BM284" s="35" t="n">
        <v>90.7</v>
      </c>
      <c r="BN284" s="35" t="n">
        <v>110.2</v>
      </c>
      <c r="BO284" s="35" t="n">
        <v>105.5</v>
      </c>
      <c r="BP284" s="35" t="n">
        <v>133.3</v>
      </c>
      <c r="BQ284" s="35" t="n">
        <v>133.3</v>
      </c>
      <c r="BR284" s="35" t="n">
        <v>96.5</v>
      </c>
      <c r="BS284" s="35" t="n">
        <v>135.9</v>
      </c>
      <c r="BT284" s="35" t="n">
        <v>145.2</v>
      </c>
      <c r="BU284" s="35" t="n">
        <v>145</v>
      </c>
      <c r="BV284" s="35" t="n">
        <v>145</v>
      </c>
      <c r="BW284" s="35" t="n">
        <v>126</v>
      </c>
      <c r="BX284" s="35" t="n">
        <v>156</v>
      </c>
      <c r="BY284" s="36"/>
      <c r="BZ284" s="36"/>
      <c r="CA284" s="36" t="n">
        <f aca="false">CA305*CA310</f>
        <v>164.5812</v>
      </c>
      <c r="CB284" s="36" t="n">
        <f aca="false">CB305*CB310</f>
        <v>181.645795947683</v>
      </c>
      <c r="CC284" s="36" t="n">
        <f aca="false">CC305*CC310</f>
        <v>199.536923272499</v>
      </c>
      <c r="CD284" s="36" t="n">
        <f aca="false">CD305*CD310</f>
        <v>217.772737053382</v>
      </c>
      <c r="CE284" s="36" t="n">
        <f aca="false">CE305*CE310</f>
        <v>236.102769118799</v>
      </c>
      <c r="CF284" s="28"/>
    </row>
    <row r="285" customFormat="false" ht="15" hidden="false" customHeight="true" outlineLevel="0" collapsed="false">
      <c r="B285" s="29" t="s">
        <v>504</v>
      </c>
      <c r="C285" s="35" t="n">
        <v>8.817</v>
      </c>
      <c r="D285" s="35" t="n">
        <v>10.374</v>
      </c>
      <c r="E285" s="35" t="n">
        <v>9.442</v>
      </c>
      <c r="F285" s="35" t="n">
        <v>14.84</v>
      </c>
      <c r="G285" s="35" t="n">
        <v>16.895</v>
      </c>
      <c r="H285" s="35" t="n">
        <v>22.271</v>
      </c>
      <c r="I285" s="35" t="n">
        <v>32.548</v>
      </c>
      <c r="J285" s="35" t="n">
        <v>36.654</v>
      </c>
      <c r="K285" s="35" t="n">
        <v>34.066</v>
      </c>
      <c r="L285" s="35" t="n">
        <v>34.904</v>
      </c>
      <c r="M285" s="35" t="n">
        <v>34.362</v>
      </c>
      <c r="N285" s="35" t="n">
        <v>34.362</v>
      </c>
      <c r="O285" s="35" t="n">
        <v>35.926</v>
      </c>
      <c r="P285" s="35" t="n">
        <v>37.443</v>
      </c>
      <c r="Q285" s="35" t="n">
        <v>38.311</v>
      </c>
      <c r="R285" s="35" t="n">
        <v>38.003</v>
      </c>
      <c r="S285" s="35" t="n">
        <v>38.003</v>
      </c>
      <c r="T285" s="34"/>
      <c r="U285" s="35" t="n">
        <v>39.185</v>
      </c>
      <c r="V285" s="35" t="n">
        <v>43.91</v>
      </c>
      <c r="W285" s="35" t="n">
        <v>42.138</v>
      </c>
      <c r="X285" s="35" t="n">
        <v>42.138</v>
      </c>
      <c r="Y285" s="35" t="n">
        <v>43.105</v>
      </c>
      <c r="Z285" s="35" t="n">
        <v>41.262</v>
      </c>
      <c r="AA285" s="35" t="n">
        <v>41.864</v>
      </c>
      <c r="AB285" s="35" t="n">
        <v>39.164</v>
      </c>
      <c r="AC285" s="35" t="n">
        <v>39.164</v>
      </c>
      <c r="AD285" s="35" t="n">
        <v>41.977</v>
      </c>
      <c r="AE285" s="35" t="n">
        <v>43.167</v>
      </c>
      <c r="AF285" s="35" t="n">
        <v>45.568</v>
      </c>
      <c r="AG285" s="35" t="n">
        <v>45.686</v>
      </c>
      <c r="AH285" s="35" t="n">
        <v>45.686</v>
      </c>
      <c r="AI285" s="35" t="n">
        <v>49.468</v>
      </c>
      <c r="AJ285" s="35" t="n">
        <v>46.341</v>
      </c>
      <c r="AK285" s="35" t="n">
        <v>50.195</v>
      </c>
      <c r="AL285" s="35" t="n">
        <v>51.459</v>
      </c>
      <c r="AM285" s="35" t="n">
        <v>51.459</v>
      </c>
      <c r="AN285" s="35" t="n">
        <v>56.155</v>
      </c>
      <c r="AO285" s="35" t="n">
        <v>58.29</v>
      </c>
      <c r="AP285" s="35" t="n">
        <v>60.328</v>
      </c>
      <c r="AQ285" s="35" t="n">
        <v>67.274</v>
      </c>
      <c r="AR285" s="35" t="n">
        <v>67.274</v>
      </c>
      <c r="AS285" s="35" t="n">
        <v>84.717</v>
      </c>
      <c r="AT285" s="35" t="n">
        <v>80.358</v>
      </c>
      <c r="AU285" s="35" t="n">
        <v>75.001</v>
      </c>
      <c r="AV285" s="35" t="n">
        <v>74.851</v>
      </c>
      <c r="AW285" s="35" t="n">
        <v>74.851</v>
      </c>
      <c r="AX285" s="35" t="n">
        <v>89.696</v>
      </c>
      <c r="AY285" s="35" t="n">
        <v>92.698</v>
      </c>
      <c r="AZ285" s="35" t="n">
        <v>92.631</v>
      </c>
      <c r="BA285" s="35" t="n">
        <v>95.471</v>
      </c>
      <c r="BB285" s="35" t="n">
        <v>95.471</v>
      </c>
      <c r="BC285" s="35" t="n">
        <v>107.749</v>
      </c>
      <c r="BD285" s="35" t="n">
        <v>104.838</v>
      </c>
      <c r="BE285" s="35" t="n">
        <v>100.053</v>
      </c>
      <c r="BF285" s="35" t="n">
        <v>103.567</v>
      </c>
      <c r="BG285" s="35" t="n">
        <v>103.567</v>
      </c>
      <c r="BH285" s="35" t="n">
        <v>117.805</v>
      </c>
      <c r="BI285" s="35" t="n">
        <v>113.231</v>
      </c>
      <c r="BJ285" s="35" t="n">
        <v>97.583</v>
      </c>
      <c r="BK285" s="35" t="n">
        <v>104.2</v>
      </c>
      <c r="BL285" s="35" t="n">
        <v>104.2</v>
      </c>
      <c r="BM285" s="35" t="n">
        <v>117.1</v>
      </c>
      <c r="BN285" s="35" t="n">
        <v>122.9</v>
      </c>
      <c r="BO285" s="35" t="n">
        <v>113.6</v>
      </c>
      <c r="BP285" s="35" t="n">
        <v>137.1</v>
      </c>
      <c r="BQ285" s="35" t="n">
        <v>137.1</v>
      </c>
      <c r="BR285" s="35" t="n">
        <v>181.4</v>
      </c>
      <c r="BS285" s="35" t="n">
        <v>187.4</v>
      </c>
      <c r="BT285" s="35" t="n">
        <v>201.6</v>
      </c>
      <c r="BU285" s="35" t="n">
        <v>205</v>
      </c>
      <c r="BV285" s="35" t="n">
        <v>205</v>
      </c>
      <c r="BW285" s="35" t="n">
        <v>237</v>
      </c>
      <c r="BX285" s="35" t="n">
        <v>233</v>
      </c>
      <c r="BY285" s="36"/>
      <c r="BZ285" s="36"/>
      <c r="CA285" s="36" t="n">
        <f aca="false">CA305*CA308</f>
        <v>246.8718</v>
      </c>
      <c r="CB285" s="36" t="n">
        <f aca="false">CB305*CB308</f>
        <v>272.468693921524</v>
      </c>
      <c r="CC285" s="36" t="n">
        <f aca="false">CC305*CC308</f>
        <v>299.305384908749</v>
      </c>
      <c r="CD285" s="36" t="n">
        <f aca="false">CD305*CD308</f>
        <v>326.659105580074</v>
      </c>
      <c r="CE285" s="36" t="n">
        <f aca="false">CE305*CE308</f>
        <v>354.154153678199</v>
      </c>
      <c r="CF285" s="28"/>
    </row>
    <row r="286" customFormat="false" ht="15" hidden="false" customHeight="true" outlineLevel="0" collapsed="false">
      <c r="B286" s="29" t="s">
        <v>505</v>
      </c>
      <c r="C286" s="34"/>
      <c r="D286" s="34"/>
      <c r="E286" s="34"/>
      <c r="F286" s="34"/>
      <c r="G286" s="34"/>
      <c r="H286" s="34"/>
      <c r="I286" s="35" t="n">
        <v>17.5</v>
      </c>
      <c r="J286" s="35" t="n">
        <v>17.5</v>
      </c>
      <c r="K286" s="35" t="n">
        <v>19.688</v>
      </c>
      <c r="L286" s="35" t="n">
        <v>21.875</v>
      </c>
      <c r="M286" s="35" t="n">
        <v>24.063</v>
      </c>
      <c r="N286" s="35" t="n">
        <v>24.063</v>
      </c>
      <c r="O286" s="35" t="n">
        <v>26.25</v>
      </c>
      <c r="P286" s="35" t="n">
        <v>20</v>
      </c>
      <c r="Q286" s="35" t="n">
        <v>20</v>
      </c>
      <c r="R286" s="35" t="n">
        <v>20</v>
      </c>
      <c r="S286" s="35" t="n">
        <v>20</v>
      </c>
      <c r="T286" s="34"/>
      <c r="U286" s="35" t="n">
        <v>20</v>
      </c>
      <c r="V286" s="35" t="n">
        <v>20</v>
      </c>
      <c r="W286" s="35" t="n">
        <v>16.746</v>
      </c>
      <c r="X286" s="35" t="n">
        <v>16.746</v>
      </c>
      <c r="Y286" s="35" t="n">
        <v>16.777</v>
      </c>
      <c r="Z286" s="35" t="n">
        <v>11.812</v>
      </c>
      <c r="AA286" s="35" t="n">
        <v>21.825</v>
      </c>
      <c r="AB286" s="35" t="n">
        <v>31.866</v>
      </c>
      <c r="AC286" s="35" t="n">
        <v>31.866</v>
      </c>
      <c r="AD286" s="35" t="n">
        <v>6.961</v>
      </c>
      <c r="AE286" s="35" t="n">
        <v>21.945</v>
      </c>
      <c r="AF286" s="35" t="n">
        <v>36.91</v>
      </c>
      <c r="AG286" s="35" t="n">
        <v>0</v>
      </c>
      <c r="AH286" s="35" t="n">
        <v>0</v>
      </c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6"/>
      <c r="BZ286" s="36"/>
      <c r="CA286" s="36" t="n">
        <f aca="false">MIN(CA336,-CB337)</f>
        <v>-0</v>
      </c>
      <c r="CB286" s="36" t="n">
        <f aca="false">MIN(CB336,-CC337)</f>
        <v>-0</v>
      </c>
      <c r="CC286" s="36" t="n">
        <f aca="false">MIN(CC336,-CD337)</f>
        <v>-0</v>
      </c>
      <c r="CD286" s="36" t="n">
        <f aca="false">MIN(CD336,-CE337)</f>
        <v>1000</v>
      </c>
      <c r="CE286" s="44" t="n">
        <v>0</v>
      </c>
      <c r="CF286" s="28" t="s">
        <v>506</v>
      </c>
    </row>
    <row r="287" customFormat="false" ht="15" hidden="false" customHeight="true" outlineLevel="0" collapsed="false">
      <c r="B287" s="29" t="s">
        <v>507</v>
      </c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5" t="n">
        <v>26.062</v>
      </c>
      <c r="AO287" s="35" t="n">
        <v>27.097</v>
      </c>
      <c r="AP287" s="35" t="n">
        <v>27.137</v>
      </c>
      <c r="AQ287" s="35" t="n">
        <v>29.67</v>
      </c>
      <c r="AR287" s="35" t="n">
        <v>29.67</v>
      </c>
      <c r="AS287" s="35" t="n">
        <v>27.681</v>
      </c>
      <c r="AT287" s="35" t="n">
        <v>30.905</v>
      </c>
      <c r="AU287" s="35" t="n">
        <v>31.494</v>
      </c>
      <c r="AV287" s="35" t="n">
        <v>32.648</v>
      </c>
      <c r="AW287" s="35" t="n">
        <v>32.648</v>
      </c>
      <c r="AX287" s="35" t="n">
        <v>27.932</v>
      </c>
      <c r="AY287" s="35" t="n">
        <v>28.779</v>
      </c>
      <c r="AZ287" s="35" t="n">
        <v>29.878</v>
      </c>
      <c r="BA287" s="35" t="n">
        <v>26.268</v>
      </c>
      <c r="BB287" s="35" t="n">
        <v>26.268</v>
      </c>
      <c r="BC287" s="35" t="n">
        <v>32.62</v>
      </c>
      <c r="BD287" s="35" t="n">
        <v>35.426</v>
      </c>
      <c r="BE287" s="35" t="n">
        <v>34.063</v>
      </c>
      <c r="BF287" s="35" t="n">
        <v>36.049</v>
      </c>
      <c r="BG287" s="35" t="n">
        <v>36.049</v>
      </c>
      <c r="BH287" s="35" t="n">
        <v>36.05</v>
      </c>
      <c r="BI287" s="35" t="n">
        <v>40.329</v>
      </c>
      <c r="BJ287" s="35" t="n">
        <v>40.187</v>
      </c>
      <c r="BK287" s="35" t="n">
        <v>40</v>
      </c>
      <c r="BL287" s="35" t="n">
        <v>40</v>
      </c>
      <c r="BM287" s="35" t="n">
        <v>44</v>
      </c>
      <c r="BN287" s="35" t="n">
        <v>41.2</v>
      </c>
      <c r="BO287" s="35" t="n">
        <v>38.9</v>
      </c>
      <c r="BP287" s="35" t="n">
        <v>32</v>
      </c>
      <c r="BQ287" s="35" t="n">
        <v>32</v>
      </c>
      <c r="BR287" s="35" t="n">
        <v>28.2</v>
      </c>
      <c r="BS287" s="35" t="n">
        <v>25.8</v>
      </c>
      <c r="BT287" s="35" t="n">
        <v>28.4</v>
      </c>
      <c r="BU287" s="35" t="n">
        <v>28</v>
      </c>
      <c r="BV287" s="35" t="n">
        <v>28</v>
      </c>
      <c r="BW287" s="35" t="n">
        <v>28</v>
      </c>
      <c r="BX287" s="35" t="n">
        <v>30</v>
      </c>
      <c r="BY287" s="36"/>
      <c r="BZ287" s="36"/>
      <c r="CA287" s="36" t="n">
        <f aca="false">N(BX287)</f>
        <v>30</v>
      </c>
      <c r="CB287" s="36" t="n">
        <f aca="false">CA287</f>
        <v>30</v>
      </c>
      <c r="CC287" s="36" t="n">
        <f aca="false">CB287</f>
        <v>30</v>
      </c>
      <c r="CD287" s="36" t="n">
        <f aca="false">CC287</f>
        <v>30</v>
      </c>
      <c r="CE287" s="36" t="n">
        <f aca="false">CD287</f>
        <v>30</v>
      </c>
      <c r="CF287" s="28"/>
    </row>
    <row r="288" customFormat="false" ht="15" hidden="false" customHeight="true" outlineLevel="0" collapsed="false">
      <c r="B288" s="29" t="s">
        <v>508</v>
      </c>
      <c r="C288" s="35" t="n">
        <v>7.432</v>
      </c>
      <c r="D288" s="35" t="n">
        <v>17.075</v>
      </c>
      <c r="E288" s="35" t="n">
        <v>10.841</v>
      </c>
      <c r="F288" s="35" t="n">
        <v>15.544</v>
      </c>
      <c r="G288" s="35" t="n">
        <v>22.443</v>
      </c>
      <c r="H288" s="35" t="n">
        <v>16.806</v>
      </c>
      <c r="I288" s="35" t="n">
        <v>21.525</v>
      </c>
      <c r="J288" s="35" t="n">
        <v>25.118</v>
      </c>
      <c r="K288" s="35" t="n">
        <v>25.845</v>
      </c>
      <c r="L288" s="35" t="n">
        <v>26.021</v>
      </c>
      <c r="M288" s="35" t="n">
        <v>28.085</v>
      </c>
      <c r="N288" s="35" t="n">
        <v>28.085</v>
      </c>
      <c r="O288" s="35" t="n">
        <v>28.731</v>
      </c>
      <c r="P288" s="35" t="n">
        <v>32.053</v>
      </c>
      <c r="Q288" s="35" t="n">
        <v>32.63</v>
      </c>
      <c r="R288" s="35" t="n">
        <v>29.524</v>
      </c>
      <c r="S288" s="35" t="n">
        <v>29.524</v>
      </c>
      <c r="T288" s="34"/>
      <c r="U288" s="35" t="n">
        <v>50.689</v>
      </c>
      <c r="V288" s="35" t="n">
        <v>54.601</v>
      </c>
      <c r="W288" s="35" t="n">
        <v>35.679</v>
      </c>
      <c r="X288" s="35" t="n">
        <v>35.679</v>
      </c>
      <c r="Y288" s="35" t="n">
        <v>53.601</v>
      </c>
      <c r="Z288" s="35" t="n">
        <v>43.369</v>
      </c>
      <c r="AA288" s="35" t="n">
        <v>47.466</v>
      </c>
      <c r="AB288" s="35" t="n">
        <v>38.635</v>
      </c>
      <c r="AC288" s="35" t="n">
        <v>38.635</v>
      </c>
      <c r="AD288" s="35" t="n">
        <v>51.183</v>
      </c>
      <c r="AE288" s="35" t="n">
        <v>41.735</v>
      </c>
      <c r="AF288" s="35" t="n">
        <v>48.125</v>
      </c>
      <c r="AG288" s="35" t="n">
        <v>37.614</v>
      </c>
      <c r="AH288" s="35" t="n">
        <v>37.614</v>
      </c>
      <c r="AI288" s="35" t="n">
        <v>57.293</v>
      </c>
      <c r="AJ288" s="35" t="n">
        <v>44.592</v>
      </c>
      <c r="AK288" s="35" t="n">
        <v>42.678</v>
      </c>
      <c r="AL288" s="35" t="n">
        <v>50.785</v>
      </c>
      <c r="AM288" s="35" t="n">
        <v>50.785</v>
      </c>
      <c r="AN288" s="35" t="n">
        <v>58.827</v>
      </c>
      <c r="AO288" s="35" t="n">
        <v>57.483</v>
      </c>
      <c r="AP288" s="35" t="n">
        <v>50.932</v>
      </c>
      <c r="AQ288" s="35" t="n">
        <v>49.385</v>
      </c>
      <c r="AR288" s="35" t="n">
        <v>49.385</v>
      </c>
      <c r="AS288" s="35" t="n">
        <v>52.493</v>
      </c>
      <c r="AT288" s="35" t="n">
        <v>68.49</v>
      </c>
      <c r="AU288" s="35" t="n">
        <v>55.009</v>
      </c>
      <c r="AV288" s="35" t="n">
        <v>126.621</v>
      </c>
      <c r="AW288" s="35" t="n">
        <v>126.621</v>
      </c>
      <c r="AX288" s="35" t="n">
        <v>87.047</v>
      </c>
      <c r="AY288" s="35" t="n">
        <v>114.811</v>
      </c>
      <c r="AZ288" s="35" t="n">
        <v>98.616</v>
      </c>
      <c r="BA288" s="35" t="n">
        <v>112.912</v>
      </c>
      <c r="BB288" s="35" t="n">
        <v>112.912</v>
      </c>
      <c r="BC288" s="35" t="n">
        <v>151.298</v>
      </c>
      <c r="BD288" s="35" t="n">
        <v>93.009</v>
      </c>
      <c r="BE288" s="35" t="n">
        <v>77.314</v>
      </c>
      <c r="BF288" s="35" t="n">
        <v>99.551</v>
      </c>
      <c r="BG288" s="35" t="n">
        <v>99.551</v>
      </c>
      <c r="BH288" s="35" t="n">
        <v>126.15</v>
      </c>
      <c r="BI288" s="35" t="n">
        <v>126.754</v>
      </c>
      <c r="BJ288" s="35" t="n">
        <v>158.07</v>
      </c>
      <c r="BK288" s="35" t="n">
        <v>170.7</v>
      </c>
      <c r="BL288" s="35" t="n">
        <v>170.7</v>
      </c>
      <c r="BM288" s="35" t="n">
        <v>208.4</v>
      </c>
      <c r="BN288" s="35" t="n">
        <v>186.4</v>
      </c>
      <c r="BO288" s="35" t="n">
        <v>197</v>
      </c>
      <c r="BP288" s="35" t="n">
        <v>202.9</v>
      </c>
      <c r="BQ288" s="35" t="n">
        <v>202.9</v>
      </c>
      <c r="BR288" s="35" t="n">
        <v>379.6</v>
      </c>
      <c r="BS288" s="35" t="n">
        <v>341.8</v>
      </c>
      <c r="BT288" s="35" t="n">
        <v>348.8</v>
      </c>
      <c r="BU288" s="35" t="n">
        <v>326</v>
      </c>
      <c r="BV288" s="35" t="n">
        <v>326</v>
      </c>
      <c r="BW288" s="35" t="n">
        <v>347</v>
      </c>
      <c r="BX288" s="35" t="n">
        <v>284</v>
      </c>
      <c r="BY288" s="36"/>
      <c r="BZ288" s="36"/>
      <c r="CA288" s="36" t="n">
        <f aca="false">BX288+CA326</f>
        <v>294</v>
      </c>
      <c r="CB288" s="36" t="n">
        <f aca="false">CA288</f>
        <v>294</v>
      </c>
      <c r="CC288" s="36" t="n">
        <f aca="false">CB288</f>
        <v>294</v>
      </c>
      <c r="CD288" s="36" t="n">
        <f aca="false">CC288</f>
        <v>294</v>
      </c>
      <c r="CE288" s="36" t="n">
        <f aca="false">CD288</f>
        <v>294</v>
      </c>
      <c r="CF288" s="28"/>
    </row>
    <row r="289" customFormat="false" ht="15" hidden="false" customHeight="true" outlineLevel="0" collapsed="false">
      <c r="B289" s="17" t="s">
        <v>509</v>
      </c>
      <c r="C289" s="18" t="n">
        <f aca="false">IF(ISNUMBER(C283),SUM(C283:C288),"")</f>
        <v>24.145</v>
      </c>
      <c r="D289" s="18" t="n">
        <f aca="false">IF(ISNUMBER(D283),SUM(D283:D288),"")</f>
        <v>38.237</v>
      </c>
      <c r="E289" s="18" t="n">
        <f aca="false">IF(ISNUMBER(E283),SUM(E283:E288),"")</f>
        <v>29.136</v>
      </c>
      <c r="F289" s="18" t="n">
        <f aca="false">IF(ISNUMBER(F283),SUM(F283:F288),"")</f>
        <v>43.747</v>
      </c>
      <c r="G289" s="18" t="n">
        <f aca="false">IF(ISNUMBER(G283),SUM(G283:G288),"")</f>
        <v>54.926</v>
      </c>
      <c r="H289" s="18" t="n">
        <f aca="false">IF(ISNUMBER(H283),SUM(H283:H288),"")</f>
        <v>61.782</v>
      </c>
      <c r="I289" s="18" t="n">
        <f aca="false">IF(ISNUMBER(I283),SUM(I283:I288),"")</f>
        <v>101.638</v>
      </c>
      <c r="J289" s="18" t="n">
        <f aca="false">IF(ISNUMBER(J283),SUM(J283:J288),"")</f>
        <v>97.719</v>
      </c>
      <c r="K289" s="18" t="n">
        <f aca="false">IF(ISNUMBER(K283),SUM(K283:K288),"")</f>
        <v>102.735</v>
      </c>
      <c r="L289" s="18" t="n">
        <f aca="false">IF(ISNUMBER(L283),SUM(L283:L288),"")</f>
        <v>107.403</v>
      </c>
      <c r="M289" s="18" t="n">
        <f aca="false">IF(ISNUMBER(M283),SUM(M283:M288),"")</f>
        <v>111.553</v>
      </c>
      <c r="N289" s="18" t="n">
        <f aca="false">IF(ISNUMBER(N283),SUM(N283:N288),"")</f>
        <v>111.553</v>
      </c>
      <c r="O289" s="18" t="n">
        <f aca="false">IF(ISNUMBER(O283),SUM(O283:O288),"")</f>
        <v>107.276</v>
      </c>
      <c r="P289" s="18" t="n">
        <f aca="false">IF(ISNUMBER(P283),SUM(P283:P288),"")</f>
        <v>117.286</v>
      </c>
      <c r="Q289" s="18" t="n">
        <f aca="false">IF(ISNUMBER(Q283),SUM(Q283:Q288),"")</f>
        <v>120.201</v>
      </c>
      <c r="R289" s="18" t="n">
        <f aca="false">IF(ISNUMBER(R283),SUM(R283:R288),"")</f>
        <v>119.29</v>
      </c>
      <c r="S289" s="18" t="n">
        <f aca="false">IF(ISNUMBER(S283),SUM(S283:S288),"")</f>
        <v>119.29</v>
      </c>
      <c r="T289" s="18" t="str">
        <f aca="false">IF(ISNUMBER(T283),SUM(T283:T288),"")</f>
        <v/>
      </c>
      <c r="U289" s="18" t="n">
        <f aca="false">IF(ISNUMBER(U283),SUM(U283:U288),"")</f>
        <v>141.318</v>
      </c>
      <c r="V289" s="18" t="n">
        <f aca="false">IF(ISNUMBER(V283),SUM(V283:V288),"")</f>
        <v>162.918</v>
      </c>
      <c r="W289" s="18" t="n">
        <f aca="false">IF(ISNUMBER(W283),SUM(W283:W288),"")</f>
        <v>135.281</v>
      </c>
      <c r="X289" s="18" t="n">
        <f aca="false">IF(ISNUMBER(X283),SUM(X283:X288),"")</f>
        <v>135.281</v>
      </c>
      <c r="Y289" s="18" t="n">
        <f aca="false">IF(ISNUMBER(Y283),SUM(Y283:Y288),"")</f>
        <v>143.342</v>
      </c>
      <c r="Z289" s="18" t="n">
        <f aca="false">IF(ISNUMBER(Z283),SUM(Z283:Z288),"")</f>
        <v>132.83</v>
      </c>
      <c r="AA289" s="18" t="n">
        <f aca="false">IF(ISNUMBER(AA283),SUM(AA283:AA288),"")</f>
        <v>153.459</v>
      </c>
      <c r="AB289" s="18" t="n">
        <f aca="false">IF(ISNUMBER(AB283),SUM(AB283:AB288),"")</f>
        <v>154.946</v>
      </c>
      <c r="AC289" s="18" t="n">
        <f aca="false">IF(ISNUMBER(AC283),SUM(AC283:AC288),"")</f>
        <v>154.946</v>
      </c>
      <c r="AD289" s="18" t="n">
        <f aca="false">IF(ISNUMBER(AD283),SUM(AD283:AD288),"")</f>
        <v>144.091</v>
      </c>
      <c r="AE289" s="18" t="n">
        <f aca="false">IF(ISNUMBER(AE283),SUM(AE283:AE288),"")</f>
        <v>150.901</v>
      </c>
      <c r="AF289" s="18" t="n">
        <f aca="false">IF(ISNUMBER(AF283),SUM(AF283:AF288),"")</f>
        <v>176.587</v>
      </c>
      <c r="AG289" s="18" t="n">
        <f aca="false">IF(ISNUMBER(AG283),SUM(AG283:AG288),"")</f>
        <v>146.666</v>
      </c>
      <c r="AH289" s="18" t="n">
        <f aca="false">IF(ISNUMBER(AH283),SUM(AH283:AH288),"")</f>
        <v>146.666</v>
      </c>
      <c r="AI289" s="18" t="n">
        <f aca="false">IF(ISNUMBER(AI283),SUM(AI283:AI288),"")</f>
        <v>165.643</v>
      </c>
      <c r="AJ289" s="18" t="n">
        <f aca="false">IF(ISNUMBER(AJ283),SUM(AJ283:AJ288),"")</f>
        <v>145.92</v>
      </c>
      <c r="AK289" s="18" t="n">
        <f aca="false">IF(ISNUMBER(AK283),SUM(AK283:AK288),"")</f>
        <v>153.47</v>
      </c>
      <c r="AL289" s="18" t="n">
        <f aca="false">IF(ISNUMBER(AL283),SUM(AL283:AL288),"")</f>
        <v>154.159</v>
      </c>
      <c r="AM289" s="18" t="n">
        <f aca="false">IF(ISNUMBER(AM283),SUM(AM283:AM288),"")</f>
        <v>154.159</v>
      </c>
      <c r="AN289" s="18" t="n">
        <f aca="false">IF(ISNUMBER(AN283),SUM(AN283:AN288),"")</f>
        <v>198.227</v>
      </c>
      <c r="AO289" s="18" t="n">
        <f aca="false">IF(ISNUMBER(AO283),SUM(AO283:AO288),"")</f>
        <v>197.26</v>
      </c>
      <c r="AP289" s="18" t="n">
        <f aca="false">IF(ISNUMBER(AP283),SUM(AP283:AP288),"")</f>
        <v>198.036</v>
      </c>
      <c r="AQ289" s="18" t="n">
        <f aca="false">IF(ISNUMBER(AQ283),SUM(AQ283:AQ288),"")</f>
        <v>207.056</v>
      </c>
      <c r="AR289" s="18" t="n">
        <f aca="false">IF(ISNUMBER(AR283),SUM(AR283:AR288),"")</f>
        <v>207.056</v>
      </c>
      <c r="AS289" s="18" t="n">
        <f aca="false">IF(ISNUMBER(AS283),SUM(AS283:AS288),"")</f>
        <v>236.679</v>
      </c>
      <c r="AT289" s="18" t="n">
        <f aca="false">IF(ISNUMBER(AT283),SUM(AT283:AT288),"")</f>
        <v>263.365</v>
      </c>
      <c r="AU289" s="18" t="n">
        <f aca="false">IF(ISNUMBER(AU283),SUM(AU283:AU288),"")</f>
        <v>245.111</v>
      </c>
      <c r="AV289" s="18" t="n">
        <f aca="false">IF(ISNUMBER(AV283),SUM(AV283:AV288),"")</f>
        <v>330.85</v>
      </c>
      <c r="AW289" s="18" t="n">
        <f aca="false">IF(ISNUMBER(AW283),SUM(AW283:AW288),"")</f>
        <v>330.85</v>
      </c>
      <c r="AX289" s="18" t="n">
        <f aca="false">IF(ISNUMBER(AX283),SUM(AX283:AX288),"")</f>
        <v>290.135</v>
      </c>
      <c r="AY289" s="18" t="n">
        <f aca="false">IF(ISNUMBER(AY283),SUM(AY283:AY288),"")</f>
        <v>328.678</v>
      </c>
      <c r="AZ289" s="18" t="n">
        <f aca="false">IF(ISNUMBER(AZ283),SUM(AZ283:AZ288),"")</f>
        <v>321.517</v>
      </c>
      <c r="BA289" s="18" t="n">
        <f aca="false">IF(ISNUMBER(BA283),SUM(BA283:BA288),"")</f>
        <v>338.689</v>
      </c>
      <c r="BB289" s="18" t="n">
        <f aca="false">IF(ISNUMBER(BB283),SUM(BB283:BB288),"")</f>
        <v>338.689</v>
      </c>
      <c r="BC289" s="18" t="n">
        <f aca="false">IF(ISNUMBER(BC283),SUM(BC283:BC288),"")</f>
        <v>370.195</v>
      </c>
      <c r="BD289" s="18" t="n">
        <f aca="false">IF(ISNUMBER(BD283),SUM(BD283:BD288),"")</f>
        <v>349.95</v>
      </c>
      <c r="BE289" s="18" t="n">
        <f aca="false">IF(ISNUMBER(BE283),SUM(BE283:BE288),"")</f>
        <v>325.906</v>
      </c>
      <c r="BF289" s="18" t="n">
        <f aca="false">IF(ISNUMBER(BF283),SUM(BF283:BF288),"")</f>
        <v>372.615</v>
      </c>
      <c r="BG289" s="18" t="n">
        <f aca="false">IF(ISNUMBER(BG283),SUM(BG283:BG288),"")</f>
        <v>372.615</v>
      </c>
      <c r="BH289" s="18" t="n">
        <f aca="false">IF(ISNUMBER(BH283),SUM(BH283:BH288),"")</f>
        <v>401.021</v>
      </c>
      <c r="BI289" s="18" t="n">
        <f aca="false">IF(ISNUMBER(BI283),SUM(BI283:BI288),"")</f>
        <v>442.775</v>
      </c>
      <c r="BJ289" s="18" t="n">
        <f aca="false">IF(ISNUMBER(BJ283),SUM(BJ283:BJ288),"")</f>
        <v>413.063</v>
      </c>
      <c r="BK289" s="18" t="n">
        <f aca="false">IF(ISNUMBER(BK283),SUM(BK283:BK288),"")</f>
        <v>455.8</v>
      </c>
      <c r="BL289" s="18" t="n">
        <f aca="false">IF(ISNUMBER(BL283),SUM(BL283:BL288),"")</f>
        <v>455.8</v>
      </c>
      <c r="BM289" s="18" t="n">
        <f aca="false">IF(ISNUMBER(BM283),SUM(BM283:BM288),"")</f>
        <v>573.8</v>
      </c>
      <c r="BN289" s="18" t="n">
        <f aca="false">IF(ISNUMBER(BN283),SUM(BN283:BN288),"")</f>
        <v>561.7</v>
      </c>
      <c r="BO289" s="18" t="n">
        <f aca="false">IF(ISNUMBER(BO283),SUM(BO283:BO288),"")</f>
        <v>539.4</v>
      </c>
      <c r="BP289" s="18" t="n">
        <f aca="false">IF(ISNUMBER(BP283),SUM(BP283:BP288),"")</f>
        <v>552.3</v>
      </c>
      <c r="BQ289" s="18" t="n">
        <f aca="false">IF(ISNUMBER(BQ283),SUM(BQ283:BQ288),"")</f>
        <v>552.3</v>
      </c>
      <c r="BR289" s="18" t="n">
        <f aca="false">IF(ISNUMBER(BR283),SUM(BR283:BR288),"")</f>
        <v>724.4</v>
      </c>
      <c r="BS289" s="18" t="n">
        <f aca="false">IF(ISNUMBER(BS283),SUM(BS283:BS288),"")</f>
        <v>742.4</v>
      </c>
      <c r="BT289" s="18" t="n">
        <f aca="false">IF(ISNUMBER(BT283),SUM(BT283:BT288),"")</f>
        <v>770.5</v>
      </c>
      <c r="BU289" s="18" t="n">
        <f aca="false">IF(ISNUMBER(BU283),SUM(BU283:BU288),"")</f>
        <v>746</v>
      </c>
      <c r="BV289" s="18" t="n">
        <f aca="false">IF(ISNUMBER(BV283),SUM(BV283:BV288),"")</f>
        <v>746</v>
      </c>
      <c r="BW289" s="18" t="n">
        <f aca="false">IF(ISNUMBER(BW283),SUM(BW283:BW288),"")</f>
        <v>777</v>
      </c>
      <c r="BX289" s="18" t="n">
        <f aca="false">IF(ISNUMBER(BX283),SUM(BX283:BX288),"")</f>
        <v>747</v>
      </c>
      <c r="BY289" s="20"/>
      <c r="BZ289" s="20"/>
      <c r="CA289" s="20" t="n">
        <f aca="false">SUM(CA283:CA288)</f>
        <v>782.4762</v>
      </c>
      <c r="CB289" s="20" t="n">
        <f aca="false">SUM(CB283:CB288)</f>
        <v>830.013288711403</v>
      </c>
      <c r="CC289" s="20" t="n">
        <f aca="false">SUM(CC283:CC288)</f>
        <v>879.852857687677</v>
      </c>
      <c r="CD289" s="20" t="n">
        <f aca="false">SUM(CD283:CD288)</f>
        <v>1930.65262464871</v>
      </c>
      <c r="CE289" s="20" t="n">
        <f aca="false">SUM(CE283:CE288)</f>
        <v>981.714856830941</v>
      </c>
      <c r="CF289" s="21"/>
    </row>
    <row r="290" customFormat="false" ht="15" hidden="false" customHeight="true" outlineLevel="0" collapsed="false">
      <c r="B290" s="29" t="s">
        <v>510</v>
      </c>
      <c r="C290" s="34"/>
      <c r="D290" s="34"/>
      <c r="E290" s="34"/>
      <c r="F290" s="34"/>
      <c r="G290" s="34"/>
      <c r="H290" s="34"/>
      <c r="I290" s="35" t="n">
        <v>153.125</v>
      </c>
      <c r="J290" s="35" t="n">
        <v>148.75</v>
      </c>
      <c r="K290" s="35" t="n">
        <v>142.187</v>
      </c>
      <c r="L290" s="35" t="n">
        <v>135.625</v>
      </c>
      <c r="M290" s="35" t="n">
        <v>129.062</v>
      </c>
      <c r="N290" s="35" t="n">
        <v>129.062</v>
      </c>
      <c r="O290" s="35" t="n">
        <v>122.5</v>
      </c>
      <c r="P290" s="35" t="n">
        <v>375</v>
      </c>
      <c r="Q290" s="35" t="n">
        <v>370</v>
      </c>
      <c r="R290" s="35" t="n">
        <v>365</v>
      </c>
      <c r="S290" s="35" t="n">
        <v>365</v>
      </c>
      <c r="T290" s="34"/>
      <c r="U290" s="35" t="n">
        <v>355</v>
      </c>
      <c r="V290" s="35" t="n">
        <v>350</v>
      </c>
      <c r="W290" s="35" t="n">
        <v>338.366</v>
      </c>
      <c r="X290" s="35" t="n">
        <v>338.366</v>
      </c>
      <c r="Y290" s="35" t="n">
        <v>334.146</v>
      </c>
      <c r="Z290" s="35" t="n">
        <v>324.91</v>
      </c>
      <c r="AA290" s="35" t="n">
        <v>315.694</v>
      </c>
      <c r="AB290" s="35" t="n">
        <v>306.473</v>
      </c>
      <c r="AC290" s="35" t="n">
        <v>306.473</v>
      </c>
      <c r="AD290" s="35" t="n">
        <v>297.15</v>
      </c>
      <c r="AE290" s="35" t="n">
        <v>282.881</v>
      </c>
      <c r="AF290" s="35" t="n">
        <v>268.586</v>
      </c>
      <c r="AG290" s="35" t="n">
        <v>0</v>
      </c>
      <c r="AH290" s="35" t="n">
        <v>0</v>
      </c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5" t="n">
        <v>745</v>
      </c>
      <c r="AT290" s="35" t="n">
        <v>745</v>
      </c>
      <c r="AU290" s="35" t="n">
        <v>986.413</v>
      </c>
      <c r="AV290" s="35" t="n">
        <v>986.715</v>
      </c>
      <c r="AW290" s="35" t="n">
        <v>986.715</v>
      </c>
      <c r="AX290" s="35" t="n">
        <v>987.018</v>
      </c>
      <c r="AY290" s="35" t="n">
        <v>987.325</v>
      </c>
      <c r="AZ290" s="35" t="n">
        <v>987.633</v>
      </c>
      <c r="BA290" s="35" t="n">
        <v>987.944</v>
      </c>
      <c r="BB290" s="35" t="n">
        <v>987.944</v>
      </c>
      <c r="BC290" s="35" t="n">
        <v>988.257</v>
      </c>
      <c r="BD290" s="35" t="n">
        <v>988.572</v>
      </c>
      <c r="BE290" s="35" t="n">
        <v>988.89</v>
      </c>
      <c r="BF290" s="35" t="n">
        <v>989.21</v>
      </c>
      <c r="BG290" s="35" t="n">
        <v>989.21</v>
      </c>
      <c r="BH290" s="35" t="n">
        <v>989.533</v>
      </c>
      <c r="BI290" s="35" t="n">
        <v>989.858</v>
      </c>
      <c r="BJ290" s="35" t="n">
        <v>990.185</v>
      </c>
      <c r="BK290" s="35" t="n">
        <v>990.5</v>
      </c>
      <c r="BL290" s="35" t="n">
        <v>990.5</v>
      </c>
      <c r="BM290" s="35" t="n">
        <v>990.8</v>
      </c>
      <c r="BN290" s="35" t="n">
        <v>991.2</v>
      </c>
      <c r="BO290" s="35" t="n">
        <v>991.5</v>
      </c>
      <c r="BP290" s="35" t="n">
        <v>991.9</v>
      </c>
      <c r="BQ290" s="35" t="n">
        <v>991.9</v>
      </c>
      <c r="BR290" s="35" t="n">
        <v>992.2</v>
      </c>
      <c r="BS290" s="35" t="n">
        <v>992.5</v>
      </c>
      <c r="BT290" s="35" t="n">
        <v>992.9</v>
      </c>
      <c r="BU290" s="35" t="n">
        <v>993</v>
      </c>
      <c r="BV290" s="35" t="n">
        <v>993</v>
      </c>
      <c r="BW290" s="35" t="n">
        <v>994</v>
      </c>
      <c r="BX290" s="35" t="n">
        <v>994</v>
      </c>
      <c r="BY290" s="36"/>
      <c r="BZ290" s="36"/>
      <c r="CA290" s="36" t="n">
        <f aca="false">CA336-CA286</f>
        <v>994</v>
      </c>
      <c r="CB290" s="36" t="n">
        <f aca="false">CB336-CB286</f>
        <v>994</v>
      </c>
      <c r="CC290" s="36" t="n">
        <f aca="false">CC336-CC286</f>
        <v>1017.83755279607</v>
      </c>
      <c r="CD290" s="36" t="n">
        <f aca="false">CD336-CD286</f>
        <v>148.259707726295</v>
      </c>
      <c r="CE290" s="36" t="n">
        <f aca="false">CE336-CE286</f>
        <v>1291.41278763072</v>
      </c>
      <c r="CF290" s="28"/>
    </row>
    <row r="291" customFormat="false" ht="15" hidden="false" customHeight="true" outlineLevel="0" collapsed="false">
      <c r="B291" s="29" t="s">
        <v>511</v>
      </c>
      <c r="C291" s="35" t="n">
        <v>1.182</v>
      </c>
      <c r="D291" s="35" t="n">
        <v>1.801</v>
      </c>
      <c r="E291" s="35" t="n">
        <v>0.132</v>
      </c>
      <c r="F291" s="35" t="n">
        <v>0</v>
      </c>
      <c r="G291" s="35" t="n">
        <v>1.45</v>
      </c>
      <c r="H291" s="34"/>
      <c r="I291" s="35" t="n">
        <v>34.071</v>
      </c>
      <c r="J291" s="35" t="n">
        <v>36.359</v>
      </c>
      <c r="K291" s="35" t="n">
        <v>35.417</v>
      </c>
      <c r="L291" s="35" t="n">
        <v>35.482</v>
      </c>
      <c r="M291" s="35" t="n">
        <v>34.582</v>
      </c>
      <c r="N291" s="35" t="n">
        <v>34.582</v>
      </c>
      <c r="O291" s="35" t="n">
        <v>31.39</v>
      </c>
      <c r="P291" s="35" t="n">
        <v>28.116</v>
      </c>
      <c r="Q291" s="35" t="n">
        <v>26.532</v>
      </c>
      <c r="R291" s="35" t="n">
        <v>30.349</v>
      </c>
      <c r="S291" s="35" t="n">
        <v>30.349</v>
      </c>
      <c r="T291" s="34"/>
      <c r="U291" s="35" t="n">
        <v>14.069</v>
      </c>
      <c r="V291" s="35" t="n">
        <v>11.262</v>
      </c>
      <c r="W291" s="35" t="n">
        <v>4.585</v>
      </c>
      <c r="X291" s="35" t="n">
        <v>4.585</v>
      </c>
      <c r="Y291" s="35" t="n">
        <v>6.074</v>
      </c>
      <c r="Z291" s="35" t="n">
        <v>7.533</v>
      </c>
      <c r="AA291" s="35" t="n">
        <v>9.185</v>
      </c>
      <c r="AB291" s="35" t="n">
        <v>18.386</v>
      </c>
      <c r="AC291" s="35" t="n">
        <v>18.386</v>
      </c>
      <c r="AD291" s="35" t="n">
        <v>19.521</v>
      </c>
      <c r="AE291" s="35" t="n">
        <v>20.218</v>
      </c>
      <c r="AF291" s="35" t="n">
        <v>22.101</v>
      </c>
      <c r="AG291" s="35" t="n">
        <v>12.07</v>
      </c>
      <c r="AH291" s="35" t="n">
        <v>12.07</v>
      </c>
      <c r="AI291" s="35" t="n">
        <v>65.456</v>
      </c>
      <c r="AJ291" s="35" t="n">
        <v>62.83</v>
      </c>
      <c r="AK291" s="35" t="n">
        <v>64.865</v>
      </c>
      <c r="AL291" s="35" t="n">
        <v>69.857</v>
      </c>
      <c r="AM291" s="35" t="n">
        <v>69.857</v>
      </c>
      <c r="AN291" s="35" t="n">
        <v>76.682</v>
      </c>
      <c r="AO291" s="35" t="n">
        <v>77.452</v>
      </c>
      <c r="AP291" s="35" t="n">
        <v>83.12</v>
      </c>
      <c r="AQ291" s="35" t="n">
        <v>87.096</v>
      </c>
      <c r="AR291" s="35" t="n">
        <v>87.096</v>
      </c>
      <c r="AS291" s="35" t="n">
        <v>88.799</v>
      </c>
      <c r="AT291" s="35" t="n">
        <v>93.934</v>
      </c>
      <c r="AU291" s="35" t="n">
        <v>97.022</v>
      </c>
      <c r="AV291" s="35" t="n">
        <v>72.991</v>
      </c>
      <c r="AW291" s="35" t="n">
        <v>72.991</v>
      </c>
      <c r="AX291" s="35" t="n">
        <v>86.081</v>
      </c>
      <c r="AY291" s="35" t="n">
        <v>76.979</v>
      </c>
      <c r="AZ291" s="35" t="n">
        <v>83.399</v>
      </c>
      <c r="BA291" s="35" t="n">
        <v>98.656</v>
      </c>
      <c r="BB291" s="35" t="n">
        <v>98.656</v>
      </c>
      <c r="BC291" s="35" t="n">
        <v>91.756</v>
      </c>
      <c r="BD291" s="35" t="n">
        <v>87.657</v>
      </c>
      <c r="BE291" s="35" t="n">
        <v>80.611</v>
      </c>
      <c r="BF291" s="35" t="n">
        <v>76.202</v>
      </c>
      <c r="BG291" s="35" t="n">
        <v>76.202</v>
      </c>
      <c r="BH291" s="35" t="n">
        <v>73.359</v>
      </c>
      <c r="BI291" s="35" t="n">
        <v>69.28</v>
      </c>
      <c r="BJ291" s="35" t="n">
        <v>63.203</v>
      </c>
      <c r="BK291" s="35" t="n">
        <v>36.7</v>
      </c>
      <c r="BL291" s="35" t="n">
        <v>36.7</v>
      </c>
      <c r="BM291" s="35" t="n">
        <v>33.8</v>
      </c>
      <c r="BN291" s="35" t="n">
        <v>30.3</v>
      </c>
      <c r="BO291" s="35" t="n">
        <v>12.8</v>
      </c>
      <c r="BP291" s="35" t="n">
        <v>7.6</v>
      </c>
      <c r="BQ291" s="35" t="n">
        <v>7.6</v>
      </c>
      <c r="BR291" s="35" t="n">
        <v>7.9</v>
      </c>
      <c r="BS291" s="35" t="n">
        <v>8.2</v>
      </c>
      <c r="BT291" s="35" t="n">
        <v>248.6</v>
      </c>
      <c r="BU291" s="35" t="n">
        <v>238</v>
      </c>
      <c r="BV291" s="35" t="n">
        <v>238</v>
      </c>
      <c r="BW291" s="35" t="n">
        <v>244</v>
      </c>
      <c r="BX291" s="35" t="n">
        <v>245</v>
      </c>
      <c r="BY291" s="36"/>
      <c r="BZ291" s="36"/>
      <c r="CA291" s="36" t="n">
        <f aca="false">BX291+CA327+(CA224-(BW224+BX224))</f>
        <v>328.2</v>
      </c>
      <c r="CB291" s="36" t="n">
        <f aca="false">CA291+CB224</f>
        <v>328.2</v>
      </c>
      <c r="CC291" s="36" t="n">
        <f aca="false">CB291+CC224</f>
        <v>328.2</v>
      </c>
      <c r="CD291" s="36" t="n">
        <f aca="false">CC291+CD224</f>
        <v>328.2</v>
      </c>
      <c r="CE291" s="36" t="n">
        <f aca="false">CD291+CE224</f>
        <v>328.2</v>
      </c>
      <c r="CF291" s="28" t="s">
        <v>512</v>
      </c>
    </row>
    <row r="292" customFormat="false" ht="15" hidden="false" customHeight="true" outlineLevel="0" collapsed="false">
      <c r="B292" s="29" t="s">
        <v>513</v>
      </c>
      <c r="C292" s="35" t="n">
        <v>0</v>
      </c>
      <c r="D292" s="35" t="n">
        <v>0</v>
      </c>
      <c r="E292" s="35" t="n">
        <v>1.695</v>
      </c>
      <c r="F292" s="35" t="n">
        <v>1.826</v>
      </c>
      <c r="G292" s="35" t="n">
        <v>1.77</v>
      </c>
      <c r="H292" s="35" t="n">
        <v>50.076</v>
      </c>
      <c r="I292" s="35" t="n">
        <v>49.962</v>
      </c>
      <c r="J292" s="35" t="n">
        <v>50.379</v>
      </c>
      <c r="K292" s="35" t="n">
        <v>50.083</v>
      </c>
      <c r="L292" s="35" t="n">
        <v>52.545</v>
      </c>
      <c r="M292" s="35" t="n">
        <v>53.923</v>
      </c>
      <c r="N292" s="35" t="n">
        <v>53.923</v>
      </c>
      <c r="O292" s="35" t="n">
        <v>53.837</v>
      </c>
      <c r="P292" s="35" t="n">
        <v>54.751</v>
      </c>
      <c r="Q292" s="35" t="n">
        <v>55.235</v>
      </c>
      <c r="R292" s="35" t="n">
        <v>55.497</v>
      </c>
      <c r="S292" s="35" t="n">
        <v>55.497</v>
      </c>
      <c r="T292" s="34"/>
      <c r="U292" s="35" t="n">
        <v>57.407</v>
      </c>
      <c r="V292" s="35" t="n">
        <v>56.598</v>
      </c>
      <c r="W292" s="35" t="n">
        <v>57.559</v>
      </c>
      <c r="X292" s="35" t="n">
        <v>57.559</v>
      </c>
      <c r="Y292" s="35" t="n">
        <v>56.975</v>
      </c>
      <c r="Z292" s="35" t="n">
        <v>56.02</v>
      </c>
      <c r="AA292" s="35" t="n">
        <v>55.551</v>
      </c>
      <c r="AB292" s="35" t="n">
        <v>51.045</v>
      </c>
      <c r="AC292" s="35" t="n">
        <v>51.045</v>
      </c>
      <c r="AD292" s="35" t="n">
        <v>50.631</v>
      </c>
      <c r="AE292" s="35" t="n">
        <v>49.284</v>
      </c>
      <c r="AF292" s="35" t="n">
        <v>50.895</v>
      </c>
      <c r="AG292" s="35" t="n">
        <v>63.455</v>
      </c>
      <c r="AH292" s="35" t="n">
        <v>63.455</v>
      </c>
      <c r="AI292" s="35" t="n">
        <v>63.037</v>
      </c>
      <c r="AJ292" s="35" t="n">
        <v>63.206</v>
      </c>
      <c r="AK292" s="35" t="n">
        <v>60.573</v>
      </c>
      <c r="AL292" s="35" t="n">
        <v>66.999</v>
      </c>
      <c r="AM292" s="35" t="n">
        <v>66.999</v>
      </c>
      <c r="AN292" s="35" t="n">
        <v>144.761</v>
      </c>
      <c r="AO292" s="35" t="n">
        <v>141.815</v>
      </c>
      <c r="AP292" s="35" t="n">
        <v>135.069</v>
      </c>
      <c r="AQ292" s="35" t="n">
        <v>154.241</v>
      </c>
      <c r="AR292" s="35" t="n">
        <v>154.241</v>
      </c>
      <c r="AS292" s="35" t="n">
        <v>151.308</v>
      </c>
      <c r="AT292" s="35" t="n">
        <v>152.41</v>
      </c>
      <c r="AU292" s="35" t="n">
        <v>150.721</v>
      </c>
      <c r="AV292" s="35" t="n">
        <v>149.505</v>
      </c>
      <c r="AW292" s="35" t="n">
        <v>149.505</v>
      </c>
      <c r="AX292" s="35" t="n">
        <v>131.812</v>
      </c>
      <c r="AY292" s="35" t="n">
        <v>155.405</v>
      </c>
      <c r="AZ292" s="35" t="n">
        <v>135.344</v>
      </c>
      <c r="BA292" s="35" t="n">
        <v>119.91</v>
      </c>
      <c r="BB292" s="35" t="n">
        <v>119.91</v>
      </c>
      <c r="BC292" s="35" t="n">
        <v>109.936</v>
      </c>
      <c r="BD292" s="35" t="n">
        <v>110.216</v>
      </c>
      <c r="BE292" s="35" t="n">
        <v>103.544</v>
      </c>
      <c r="BF292" s="35" t="n">
        <v>94.322</v>
      </c>
      <c r="BG292" s="35" t="n">
        <v>94.322</v>
      </c>
      <c r="BH292" s="35" t="n">
        <v>87.39</v>
      </c>
      <c r="BI292" s="35" t="n">
        <v>88.689</v>
      </c>
      <c r="BJ292" s="35" t="n">
        <v>95.042</v>
      </c>
      <c r="BK292" s="35" t="n">
        <v>98.1</v>
      </c>
      <c r="BL292" s="35" t="n">
        <v>98.1</v>
      </c>
      <c r="BM292" s="35" t="n">
        <v>93.5</v>
      </c>
      <c r="BN292" s="35" t="n">
        <v>88.4</v>
      </c>
      <c r="BO292" s="35" t="n">
        <v>103.9</v>
      </c>
      <c r="BP292" s="35" t="n">
        <v>151.5</v>
      </c>
      <c r="BQ292" s="35" t="n">
        <v>151.5</v>
      </c>
      <c r="BR292" s="35" t="n">
        <v>147.4</v>
      </c>
      <c r="BS292" s="35" t="n">
        <v>162.6</v>
      </c>
      <c r="BT292" s="35" t="n">
        <v>184</v>
      </c>
      <c r="BU292" s="35" t="n">
        <v>190</v>
      </c>
      <c r="BV292" s="35" t="n">
        <v>190</v>
      </c>
      <c r="BW292" s="35" t="n">
        <v>198</v>
      </c>
      <c r="BX292" s="35" t="n">
        <v>208</v>
      </c>
      <c r="BY292" s="36"/>
      <c r="BZ292" s="36"/>
      <c r="CA292" s="36" t="n">
        <f aca="false">BX292</f>
        <v>208</v>
      </c>
      <c r="CB292" s="36" t="n">
        <f aca="false">CA292</f>
        <v>208</v>
      </c>
      <c r="CC292" s="36" t="n">
        <f aca="false">CB292</f>
        <v>208</v>
      </c>
      <c r="CD292" s="36" t="n">
        <f aca="false">CC292</f>
        <v>208</v>
      </c>
      <c r="CE292" s="36" t="n">
        <f aca="false">CD292</f>
        <v>208</v>
      </c>
      <c r="CF292" s="28"/>
    </row>
    <row r="293" customFormat="false" ht="15" hidden="false" customHeight="true" outlineLevel="0" collapsed="false">
      <c r="B293" s="17" t="s">
        <v>514</v>
      </c>
      <c r="C293" s="18" t="n">
        <f aca="false">IF(ISNUMBER(C283),C289+SUM(C290:C292),"")</f>
        <v>25.327</v>
      </c>
      <c r="D293" s="18" t="n">
        <f aca="false">IF(ISNUMBER(D283),D289+SUM(D290:D292),"")</f>
        <v>40.038</v>
      </c>
      <c r="E293" s="18" t="n">
        <f aca="false">IF(ISNUMBER(E283),E289+SUM(E290:E292),"")</f>
        <v>30.963</v>
      </c>
      <c r="F293" s="18" t="n">
        <f aca="false">IF(ISNUMBER(F283),F289+SUM(F290:F292),"")</f>
        <v>45.573</v>
      </c>
      <c r="G293" s="18" t="n">
        <f aca="false">IF(ISNUMBER(G283),G289+SUM(G290:G292),"")</f>
        <v>58.146</v>
      </c>
      <c r="H293" s="18" t="n">
        <f aca="false">IF(ISNUMBER(H283),H289+SUM(H290:H292),"")</f>
        <v>111.858</v>
      </c>
      <c r="I293" s="18" t="n">
        <f aca="false">IF(ISNUMBER(I283),I289+SUM(I290:I292),"")</f>
        <v>338.796</v>
      </c>
      <c r="J293" s="18" t="n">
        <f aca="false">IF(ISNUMBER(J283),J289+SUM(J290:J292),"")</f>
        <v>333.207</v>
      </c>
      <c r="K293" s="18" t="n">
        <f aca="false">IF(ISNUMBER(K283),K289+SUM(K290:K292),"")</f>
        <v>330.422</v>
      </c>
      <c r="L293" s="18" t="n">
        <f aca="false">IF(ISNUMBER(L283),L289+SUM(L290:L292),"")</f>
        <v>331.055</v>
      </c>
      <c r="M293" s="18" t="n">
        <f aca="false">IF(ISNUMBER(M283),M289+SUM(M290:M292),"")</f>
        <v>329.12</v>
      </c>
      <c r="N293" s="18" t="n">
        <f aca="false">IF(ISNUMBER(N283),N289+SUM(N290:N292),"")</f>
        <v>329.12</v>
      </c>
      <c r="O293" s="18" t="n">
        <f aca="false">IF(ISNUMBER(O283),O289+SUM(O290:O292),"")</f>
        <v>315.003</v>
      </c>
      <c r="P293" s="18" t="n">
        <f aca="false">IF(ISNUMBER(P283),P289+SUM(P290:P292),"")</f>
        <v>575.153</v>
      </c>
      <c r="Q293" s="18" t="n">
        <f aca="false">IF(ISNUMBER(Q283),Q289+SUM(Q290:Q292),"")</f>
        <v>571.968</v>
      </c>
      <c r="R293" s="18" t="n">
        <f aca="false">IF(ISNUMBER(R283),R289+SUM(R290:R292),"")</f>
        <v>570.136</v>
      </c>
      <c r="S293" s="18" t="n">
        <f aca="false">IF(ISNUMBER(S283),S289+SUM(S290:S292),"")</f>
        <v>570.136</v>
      </c>
      <c r="T293" s="18" t="str">
        <f aca="false">IF(ISNUMBER(T283),T289+SUM(T290:T292),"")</f>
        <v/>
      </c>
      <c r="U293" s="18" t="n">
        <f aca="false">IF(ISNUMBER(U283),U289+SUM(U290:U292),"")</f>
        <v>567.794</v>
      </c>
      <c r="V293" s="18" t="n">
        <f aca="false">IF(ISNUMBER(V283),V289+SUM(V290:V292),"")</f>
        <v>580.778</v>
      </c>
      <c r="W293" s="18" t="n">
        <f aca="false">IF(ISNUMBER(W283),W289+SUM(W290:W292),"")</f>
        <v>535.791</v>
      </c>
      <c r="X293" s="18" t="n">
        <f aca="false">IF(ISNUMBER(X283),X289+SUM(X290:X292),"")</f>
        <v>535.791</v>
      </c>
      <c r="Y293" s="18" t="n">
        <f aca="false">IF(ISNUMBER(Y283),Y289+SUM(Y290:Y292),"")</f>
        <v>540.537</v>
      </c>
      <c r="Z293" s="18" t="n">
        <f aca="false">IF(ISNUMBER(Z283),Z289+SUM(Z290:Z292),"")</f>
        <v>521.293</v>
      </c>
      <c r="AA293" s="18" t="n">
        <f aca="false">IF(ISNUMBER(AA283),AA289+SUM(AA290:AA292),"")</f>
        <v>533.889</v>
      </c>
      <c r="AB293" s="18" t="n">
        <f aca="false">IF(ISNUMBER(AB283),AB289+SUM(AB290:AB292),"")</f>
        <v>530.85</v>
      </c>
      <c r="AC293" s="18" t="n">
        <f aca="false">IF(ISNUMBER(AC283),AC289+SUM(AC290:AC292),"")</f>
        <v>530.85</v>
      </c>
      <c r="AD293" s="18" t="n">
        <f aca="false">IF(ISNUMBER(AD283),AD289+SUM(AD290:AD292),"")</f>
        <v>511.393</v>
      </c>
      <c r="AE293" s="18" t="n">
        <f aca="false">IF(ISNUMBER(AE283),AE289+SUM(AE290:AE292),"")</f>
        <v>503.284</v>
      </c>
      <c r="AF293" s="18" t="n">
        <f aca="false">IF(ISNUMBER(AF283),AF289+SUM(AF290:AF292),"")</f>
        <v>518.169</v>
      </c>
      <c r="AG293" s="18" t="n">
        <f aca="false">IF(ISNUMBER(AG283),AG289+SUM(AG290:AG292),"")</f>
        <v>222.191</v>
      </c>
      <c r="AH293" s="18" t="n">
        <f aca="false">IF(ISNUMBER(AH283),AH289+SUM(AH290:AH292),"")</f>
        <v>222.191</v>
      </c>
      <c r="AI293" s="18" t="n">
        <f aca="false">IF(ISNUMBER(AI283),AI289+SUM(AI290:AI292),"")</f>
        <v>294.136</v>
      </c>
      <c r="AJ293" s="18" t="n">
        <f aca="false">IF(ISNUMBER(AJ283),AJ289+SUM(AJ290:AJ292),"")</f>
        <v>271.956</v>
      </c>
      <c r="AK293" s="18" t="n">
        <f aca="false">IF(ISNUMBER(AK283),AK289+SUM(AK290:AK292),"")</f>
        <v>278.908</v>
      </c>
      <c r="AL293" s="18" t="n">
        <f aca="false">IF(ISNUMBER(AL283),AL289+SUM(AL290:AL292),"")</f>
        <v>291.015</v>
      </c>
      <c r="AM293" s="18" t="n">
        <f aca="false">IF(ISNUMBER(AM283),AM289+SUM(AM290:AM292),"")</f>
        <v>291.015</v>
      </c>
      <c r="AN293" s="18" t="n">
        <f aca="false">IF(ISNUMBER(AN283),AN289+SUM(AN290:AN292),"")</f>
        <v>419.67</v>
      </c>
      <c r="AO293" s="18" t="n">
        <f aca="false">IF(ISNUMBER(AO283),AO289+SUM(AO290:AO292),"")</f>
        <v>416.527</v>
      </c>
      <c r="AP293" s="18" t="n">
        <f aca="false">IF(ISNUMBER(AP283),AP289+SUM(AP290:AP292),"")</f>
        <v>416.225</v>
      </c>
      <c r="AQ293" s="18" t="n">
        <f aca="false">IF(ISNUMBER(AQ283),AQ289+SUM(AQ290:AQ292),"")</f>
        <v>448.393</v>
      </c>
      <c r="AR293" s="18" t="n">
        <f aca="false">IF(ISNUMBER(AR283),AR289+SUM(AR290:AR292),"")</f>
        <v>448.393</v>
      </c>
      <c r="AS293" s="18" t="n">
        <f aca="false">IF(ISNUMBER(AS283),AS289+SUM(AS290:AS292),"")</f>
        <v>1221.786</v>
      </c>
      <c r="AT293" s="18" t="n">
        <f aca="false">IF(ISNUMBER(AT283),AT289+SUM(AT290:AT292),"")</f>
        <v>1254.709</v>
      </c>
      <c r="AU293" s="18" t="n">
        <f aca="false">IF(ISNUMBER(AU283),AU289+SUM(AU290:AU292),"")</f>
        <v>1479.267</v>
      </c>
      <c r="AV293" s="18" t="n">
        <f aca="false">IF(ISNUMBER(AV283),AV289+SUM(AV290:AV292),"")</f>
        <v>1540.061</v>
      </c>
      <c r="AW293" s="18" t="n">
        <f aca="false">IF(ISNUMBER(AW283),AW289+SUM(AW290:AW292),"")</f>
        <v>1540.061</v>
      </c>
      <c r="AX293" s="18" t="n">
        <f aca="false">IF(ISNUMBER(AX283),AX289+SUM(AX290:AX292),"")</f>
        <v>1495.046</v>
      </c>
      <c r="AY293" s="18" t="n">
        <f aca="false">IF(ISNUMBER(AY283),AY289+SUM(AY290:AY292),"")</f>
        <v>1548.387</v>
      </c>
      <c r="AZ293" s="18" t="n">
        <f aca="false">IF(ISNUMBER(AZ283),AZ289+SUM(AZ290:AZ292),"")</f>
        <v>1527.893</v>
      </c>
      <c r="BA293" s="18" t="n">
        <f aca="false">IF(ISNUMBER(BA283),BA289+SUM(BA290:BA292),"")</f>
        <v>1545.199</v>
      </c>
      <c r="BB293" s="18" t="n">
        <f aca="false">IF(ISNUMBER(BB283),BB289+SUM(BB290:BB292),"")</f>
        <v>1545.199</v>
      </c>
      <c r="BC293" s="18" t="n">
        <f aca="false">IF(ISNUMBER(BC283),BC289+SUM(BC290:BC292),"")</f>
        <v>1560.144</v>
      </c>
      <c r="BD293" s="18" t="n">
        <f aca="false">IF(ISNUMBER(BD283),BD289+SUM(BD290:BD292),"")</f>
        <v>1536.395</v>
      </c>
      <c r="BE293" s="18" t="n">
        <f aca="false">IF(ISNUMBER(BE283),BE289+SUM(BE290:BE292),"")</f>
        <v>1498.951</v>
      </c>
      <c r="BF293" s="18" t="n">
        <f aca="false">IF(ISNUMBER(BF283),BF289+SUM(BF290:BF292),"")</f>
        <v>1532.349</v>
      </c>
      <c r="BG293" s="18" t="n">
        <f aca="false">IF(ISNUMBER(BG283),BG289+SUM(BG290:BG292),"")</f>
        <v>1532.349</v>
      </c>
      <c r="BH293" s="18" t="n">
        <f aca="false">IF(ISNUMBER(BH283),BH289+SUM(BH290:BH292),"")</f>
        <v>1551.303</v>
      </c>
      <c r="BI293" s="18" t="n">
        <f aca="false">IF(ISNUMBER(BI283),BI289+SUM(BI290:BI292),"")</f>
        <v>1590.602</v>
      </c>
      <c r="BJ293" s="18" t="n">
        <f aca="false">IF(ISNUMBER(BJ283),BJ289+SUM(BJ290:BJ292),"")</f>
        <v>1561.493</v>
      </c>
      <c r="BK293" s="18" t="n">
        <f aca="false">IF(ISNUMBER(BK283),BK289+SUM(BK290:BK292),"")</f>
        <v>1581.1</v>
      </c>
      <c r="BL293" s="18" t="n">
        <f aca="false">IF(ISNUMBER(BL283),BL289+SUM(BL290:BL292),"")</f>
        <v>1581.1</v>
      </c>
      <c r="BM293" s="18" t="n">
        <f aca="false">IF(ISNUMBER(BM283),BM289+SUM(BM290:BM292),"")</f>
        <v>1691.9</v>
      </c>
      <c r="BN293" s="18" t="n">
        <f aca="false">IF(ISNUMBER(BN283),BN289+SUM(BN290:BN292),"")</f>
        <v>1671.6</v>
      </c>
      <c r="BO293" s="18" t="n">
        <f aca="false">IF(ISNUMBER(BO283),BO289+SUM(BO290:BO292),"")</f>
        <v>1647.6</v>
      </c>
      <c r="BP293" s="18" t="n">
        <f aca="false">IF(ISNUMBER(BP283),BP289+SUM(BP290:BP292),"")</f>
        <v>1703.3</v>
      </c>
      <c r="BQ293" s="18" t="n">
        <f aca="false">IF(ISNUMBER(BQ283),BQ289+SUM(BQ290:BQ292),"")</f>
        <v>1703.3</v>
      </c>
      <c r="BR293" s="18" t="n">
        <f aca="false">IF(ISNUMBER(BR283),BR289+SUM(BR290:BR292),"")</f>
        <v>1871.9</v>
      </c>
      <c r="BS293" s="18" t="n">
        <f aca="false">IF(ISNUMBER(BS283),BS289+SUM(BS290:BS292),"")</f>
        <v>1905.7</v>
      </c>
      <c r="BT293" s="18" t="n">
        <f aca="false">IF(ISNUMBER(BT283),BT289+SUM(BT290:BT292),"")</f>
        <v>2196</v>
      </c>
      <c r="BU293" s="18" t="n">
        <f aca="false">IF(ISNUMBER(BU283),BU289+SUM(BU290:BU292),"")</f>
        <v>2167</v>
      </c>
      <c r="BV293" s="18" t="n">
        <f aca="false">IF(ISNUMBER(BV283),BV289+SUM(BV290:BV292),"")</f>
        <v>2167</v>
      </c>
      <c r="BW293" s="18" t="n">
        <f aca="false">IF(ISNUMBER(BW283),BW289+SUM(BW290:BW292),"")</f>
        <v>2213</v>
      </c>
      <c r="BX293" s="18" t="n">
        <f aca="false">IF(ISNUMBER(BX283),BX289+SUM(BX290:BX292),"")</f>
        <v>2194</v>
      </c>
      <c r="BY293" s="20"/>
      <c r="BZ293" s="20"/>
      <c r="CA293" s="20" t="n">
        <f aca="false">CA289+SUM(CA290:CA292)</f>
        <v>2312.6762</v>
      </c>
      <c r="CB293" s="20" t="n">
        <f aca="false">CB289+SUM(CB290:CB292)</f>
        <v>2360.2132887114</v>
      </c>
      <c r="CC293" s="20" t="n">
        <f aca="false">CC289+SUM(CC290:CC292)</f>
        <v>2433.89041048375</v>
      </c>
      <c r="CD293" s="20" t="n">
        <f aca="false">CD289+SUM(CD290:CD292)</f>
        <v>2615.112332375</v>
      </c>
      <c r="CE293" s="20" t="n">
        <f aca="false">CE289+SUM(CE290:CE292)</f>
        <v>2809.32764446166</v>
      </c>
      <c r="CF293" s="21"/>
    </row>
    <row r="294" customFormat="false" ht="15" hidden="false" customHeight="true" outlineLevel="0" collapsed="false">
      <c r="B294" s="29" t="s">
        <v>515</v>
      </c>
      <c r="C294" s="35" t="n">
        <v>250.11</v>
      </c>
      <c r="D294" s="35" t="n">
        <v>281.805</v>
      </c>
      <c r="E294" s="35" t="n">
        <v>303.421</v>
      </c>
      <c r="F294" s="35" t="n">
        <v>359.006</v>
      </c>
      <c r="G294" s="35" t="n">
        <v>381.502</v>
      </c>
      <c r="H294" s="35" t="n">
        <v>659.177</v>
      </c>
      <c r="I294" s="35" t="n">
        <v>826.343</v>
      </c>
      <c r="J294" s="35" t="n">
        <v>850.651</v>
      </c>
      <c r="K294" s="35" t="n">
        <v>866.596</v>
      </c>
      <c r="L294" s="35" t="n">
        <v>899.319</v>
      </c>
      <c r="M294" s="35" t="n">
        <v>927.862</v>
      </c>
      <c r="N294" s="35" t="n">
        <v>927.862</v>
      </c>
      <c r="O294" s="35" t="n">
        <v>929.793</v>
      </c>
      <c r="P294" s="35" t="n">
        <v>1471.241</v>
      </c>
      <c r="Q294" s="35" t="n">
        <v>1492.373</v>
      </c>
      <c r="R294" s="35" t="n">
        <v>1513.546</v>
      </c>
      <c r="S294" s="35" t="n">
        <v>1513.546</v>
      </c>
      <c r="T294" s="34"/>
      <c r="U294" s="35" t="n">
        <v>1506.153</v>
      </c>
      <c r="V294" s="35" t="n">
        <v>1509.958</v>
      </c>
      <c r="W294" s="35" t="n">
        <v>1543.78</v>
      </c>
      <c r="X294" s="35" t="n">
        <v>1543.78</v>
      </c>
      <c r="Y294" s="35" t="n">
        <v>1565.476</v>
      </c>
      <c r="Z294" s="35" t="n">
        <v>1585.941</v>
      </c>
      <c r="AA294" s="35" t="n">
        <v>1618.698</v>
      </c>
      <c r="AB294" s="35" t="n">
        <v>1654.213</v>
      </c>
      <c r="AC294" s="35" t="n">
        <v>1654.213</v>
      </c>
      <c r="AD294" s="35" t="n">
        <v>1683.762</v>
      </c>
      <c r="AE294" s="35" t="n">
        <v>1716.735</v>
      </c>
      <c r="AF294" s="35" t="n">
        <v>1762.427</v>
      </c>
      <c r="AG294" s="35" t="n">
        <v>2651.25</v>
      </c>
      <c r="AH294" s="35" t="n">
        <v>2651.25</v>
      </c>
      <c r="AI294" s="35" t="n">
        <v>2800.964</v>
      </c>
      <c r="AJ294" s="35" t="n">
        <v>2850.618</v>
      </c>
      <c r="AK294" s="35" t="n">
        <v>2928.314</v>
      </c>
      <c r="AL294" s="35" t="n">
        <v>3021.942</v>
      </c>
      <c r="AM294" s="35" t="n">
        <v>3021.942</v>
      </c>
      <c r="AN294" s="35" t="n">
        <v>3128.614</v>
      </c>
      <c r="AO294" s="35" t="n">
        <v>3204.071</v>
      </c>
      <c r="AP294" s="35" t="n">
        <v>3299.166</v>
      </c>
      <c r="AQ294" s="35" t="n">
        <v>3405.593</v>
      </c>
      <c r="AR294" s="35" t="n">
        <v>3405.593</v>
      </c>
      <c r="AS294" s="35" t="n">
        <v>3462.811</v>
      </c>
      <c r="AT294" s="35" t="n">
        <v>5224.321</v>
      </c>
      <c r="AU294" s="35" t="n">
        <v>5318.058</v>
      </c>
      <c r="AV294" s="35" t="n">
        <v>5375.359</v>
      </c>
      <c r="AW294" s="35" t="n">
        <v>5375.359</v>
      </c>
      <c r="AX294" s="35" t="n">
        <v>5446.925</v>
      </c>
      <c r="AY294" s="35" t="n">
        <v>5527.227</v>
      </c>
      <c r="AZ294" s="35" t="n">
        <v>5603.423</v>
      </c>
      <c r="BA294" s="35" t="n">
        <v>5711.672</v>
      </c>
      <c r="BB294" s="35" t="n">
        <v>5711.672</v>
      </c>
      <c r="BC294" s="35" t="n">
        <v>5797.298</v>
      </c>
      <c r="BD294" s="35" t="n">
        <v>5884.353</v>
      </c>
      <c r="BE294" s="35" t="n">
        <v>6706.912</v>
      </c>
      <c r="BF294" s="35" t="n">
        <v>6870.121</v>
      </c>
      <c r="BG294" s="35" t="n">
        <v>6870.121</v>
      </c>
      <c r="BH294" s="35" t="n">
        <v>6965.609</v>
      </c>
      <c r="BI294" s="35" t="n">
        <v>7101.072</v>
      </c>
      <c r="BJ294" s="35" t="n">
        <v>7210.162</v>
      </c>
      <c r="BK294" s="35" t="n">
        <v>7338.6</v>
      </c>
      <c r="BL294" s="35" t="n">
        <v>7338.6</v>
      </c>
      <c r="BM294" s="35" t="n">
        <v>7342.6</v>
      </c>
      <c r="BN294" s="35" t="n">
        <v>7395.7</v>
      </c>
      <c r="BO294" s="35" t="n">
        <v>7491.1</v>
      </c>
      <c r="BP294" s="35" t="n">
        <v>7553.5</v>
      </c>
      <c r="BQ294" s="35" t="n">
        <v>7553.5</v>
      </c>
      <c r="BR294" s="35" t="n">
        <v>8556.2</v>
      </c>
      <c r="BS294" s="35" t="n">
        <v>8601.4</v>
      </c>
      <c r="BT294" s="35" t="n">
        <v>8615.8</v>
      </c>
      <c r="BU294" s="35" t="n">
        <v>8334</v>
      </c>
      <c r="BV294" s="35" t="n">
        <v>8334</v>
      </c>
      <c r="BW294" s="35" t="n">
        <v>7913</v>
      </c>
      <c r="BX294" s="35" t="n">
        <v>7932</v>
      </c>
      <c r="BY294" s="36"/>
      <c r="BZ294" s="36"/>
      <c r="CA294" s="36" t="n">
        <f aca="false">BX294+BY138+BZ138+(CA222-(BW222+BX222))+(CA237-(BW237+BX237))+(CA236-(BW236+BX236))</f>
        <v>8060.53205825079</v>
      </c>
      <c r="CB294" s="36" t="n">
        <f aca="false">CA294+CB138+CB222+CB237+CB236+CB235</f>
        <v>7705.80971520945</v>
      </c>
      <c r="CC294" s="36" t="n">
        <f aca="false">CB294+CC138+CC222+CC237+CC236+CC235</f>
        <v>7385.39012028106</v>
      </c>
      <c r="CD294" s="36" t="n">
        <f aca="false">CC294+CD138+CD222+CD237+CD236+CD235</f>
        <v>7043.60662121468</v>
      </c>
      <c r="CE294" s="36" t="n">
        <f aca="false">CD294+CE138+CE222+CE237+CE236+CE235</f>
        <v>6720.24005054728</v>
      </c>
      <c r="CF294" s="28" t="s">
        <v>516</v>
      </c>
    </row>
    <row r="295" customFormat="false" ht="15" hidden="false" customHeight="true" outlineLevel="0" collapsed="false">
      <c r="B295" s="33" t="s">
        <v>517</v>
      </c>
      <c r="C295" s="35" t="n">
        <v>-57.537</v>
      </c>
      <c r="D295" s="35" t="n">
        <v>-41.586</v>
      </c>
      <c r="E295" s="35" t="n">
        <v>-16.963</v>
      </c>
      <c r="F295" s="35" t="n">
        <v>1.73</v>
      </c>
      <c r="G295" s="35" t="n">
        <v>15.019</v>
      </c>
      <c r="H295" s="35" t="n">
        <v>29.675</v>
      </c>
      <c r="I295" s="35" t="n">
        <v>39.59</v>
      </c>
      <c r="J295" s="34"/>
      <c r="K295" s="34"/>
      <c r="L295" s="34"/>
      <c r="M295" s="35" t="n">
        <v>69.324</v>
      </c>
      <c r="N295" s="35" t="n">
        <v>69.324</v>
      </c>
      <c r="O295" s="34"/>
      <c r="P295" s="34"/>
      <c r="Q295" s="34"/>
      <c r="R295" s="34"/>
      <c r="S295" s="34"/>
      <c r="T295" s="34"/>
      <c r="U295" s="34"/>
      <c r="V295" s="34"/>
      <c r="W295" s="35" t="n">
        <v>110.728</v>
      </c>
      <c r="X295" s="35" t="n">
        <v>110.728</v>
      </c>
      <c r="Y295" s="34"/>
      <c r="Z295" s="34"/>
      <c r="AA295" s="34"/>
      <c r="AB295" s="35" t="n">
        <v>195.799</v>
      </c>
      <c r="AC295" s="35" t="n">
        <v>195.799</v>
      </c>
      <c r="AD295" s="34"/>
      <c r="AE295" s="34"/>
      <c r="AF295" s="34"/>
      <c r="AG295" s="35" t="n">
        <v>320.656</v>
      </c>
      <c r="AH295" s="35" t="n">
        <v>320.656</v>
      </c>
      <c r="AI295" s="34"/>
      <c r="AJ295" s="34"/>
      <c r="AK295" s="34"/>
      <c r="AL295" s="35" t="n">
        <v>613.454</v>
      </c>
      <c r="AM295" s="35" t="n">
        <v>613.454</v>
      </c>
      <c r="AN295" s="34"/>
      <c r="AO295" s="34"/>
      <c r="AP295" s="34"/>
      <c r="AQ295" s="35" t="n">
        <v>940.474</v>
      </c>
      <c r="AR295" s="35" t="n">
        <v>940.474</v>
      </c>
      <c r="AS295" s="34"/>
      <c r="AT295" s="34"/>
      <c r="AU295" s="34"/>
      <c r="AV295" s="35" t="n">
        <v>1167.602</v>
      </c>
      <c r="AW295" s="35" t="n">
        <v>1167.602</v>
      </c>
      <c r="AX295" s="34"/>
      <c r="AY295" s="34"/>
      <c r="AZ295" s="34"/>
      <c r="BA295" s="35" t="n">
        <v>1460.166</v>
      </c>
      <c r="BB295" s="35" t="n">
        <v>1460.166</v>
      </c>
      <c r="BC295" s="34"/>
      <c r="BD295" s="34"/>
      <c r="BE295" s="34"/>
      <c r="BF295" s="35" t="n">
        <v>1829.619</v>
      </c>
      <c r="BG295" s="35" t="n">
        <v>1829.619</v>
      </c>
      <c r="BH295" s="34"/>
      <c r="BI295" s="34"/>
      <c r="BJ295" s="34"/>
      <c r="BK295" s="35" t="n">
        <v>2204.3</v>
      </c>
      <c r="BL295" s="35" t="n">
        <v>2204.3</v>
      </c>
      <c r="BM295" s="34"/>
      <c r="BN295" s="34"/>
      <c r="BO295" s="34"/>
      <c r="BP295" s="35" t="n">
        <v>2343</v>
      </c>
      <c r="BQ295" s="35" t="n">
        <v>2343</v>
      </c>
      <c r="BR295" s="34"/>
      <c r="BS295" s="34"/>
      <c r="BT295" s="34"/>
      <c r="BU295" s="35" t="n">
        <v>2350</v>
      </c>
      <c r="BV295" s="35" t="n">
        <v>2350</v>
      </c>
      <c r="BW295" s="34"/>
      <c r="BX295" s="34"/>
      <c r="BY295" s="36"/>
      <c r="BZ295" s="36"/>
      <c r="CA295" s="36"/>
      <c r="CB295" s="36"/>
      <c r="CC295" s="36"/>
      <c r="CD295" s="36"/>
      <c r="CE295" s="36"/>
      <c r="CF295" s="28"/>
    </row>
    <row r="296" customFormat="false" ht="15" hidden="false" customHeight="true" outlineLevel="0" collapsed="false">
      <c r="B296" s="29" t="s">
        <v>518</v>
      </c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5" t="n">
        <v>8.1</v>
      </c>
      <c r="BU296" s="35" t="n">
        <v>37</v>
      </c>
      <c r="BV296" s="35" t="n">
        <v>37</v>
      </c>
      <c r="BW296" s="35" t="n">
        <v>38</v>
      </c>
      <c r="BX296" s="35" t="n">
        <v>13</v>
      </c>
      <c r="BY296" s="36"/>
      <c r="BZ296" s="36"/>
      <c r="CA296" s="36" t="n">
        <f aca="false">N(BX296)</f>
        <v>13</v>
      </c>
      <c r="CB296" s="36" t="n">
        <f aca="false">CA296</f>
        <v>13</v>
      </c>
      <c r="CC296" s="36" t="n">
        <f aca="false">CB296</f>
        <v>13</v>
      </c>
      <c r="CD296" s="36" t="n">
        <f aca="false">CC296</f>
        <v>13</v>
      </c>
      <c r="CE296" s="36" t="n">
        <f aca="false">CD296</f>
        <v>13</v>
      </c>
      <c r="CF296" s="28"/>
    </row>
    <row r="297" customFormat="false" ht="15" hidden="false" customHeight="true" outlineLevel="0" collapsed="false">
      <c r="B297" s="17" t="s">
        <v>519</v>
      </c>
      <c r="C297" s="18" t="n">
        <f aca="false">IF(ISNUMBER(C294),C294+N(C296),"")</f>
        <v>250.11</v>
      </c>
      <c r="D297" s="18" t="n">
        <f aca="false">IF(ISNUMBER(D294),D294+N(D296),"")</f>
        <v>281.805</v>
      </c>
      <c r="E297" s="18" t="n">
        <f aca="false">IF(ISNUMBER(E294),E294+N(E296),"")</f>
        <v>303.421</v>
      </c>
      <c r="F297" s="18" t="n">
        <f aca="false">IF(ISNUMBER(F294),F294+N(F296),"")</f>
        <v>359.006</v>
      </c>
      <c r="G297" s="18" t="n">
        <f aca="false">IF(ISNUMBER(G294),G294+N(G296),"")</f>
        <v>381.502</v>
      </c>
      <c r="H297" s="18" t="n">
        <f aca="false">IF(ISNUMBER(H294),H294+N(H296),"")</f>
        <v>659.177</v>
      </c>
      <c r="I297" s="18" t="n">
        <f aca="false">IF(ISNUMBER(I294),I294+N(I296),"")</f>
        <v>826.343</v>
      </c>
      <c r="J297" s="18" t="n">
        <f aca="false">IF(ISNUMBER(J294),J294+N(J296),"")</f>
        <v>850.651</v>
      </c>
      <c r="K297" s="18" t="n">
        <f aca="false">IF(ISNUMBER(K294),K294+N(K296),"")</f>
        <v>866.596</v>
      </c>
      <c r="L297" s="18" t="n">
        <f aca="false">IF(ISNUMBER(L294),L294+N(L296),"")</f>
        <v>899.319</v>
      </c>
      <c r="M297" s="18" t="n">
        <f aca="false">IF(ISNUMBER(M294),M294+N(M296),"")</f>
        <v>927.862</v>
      </c>
      <c r="N297" s="18" t="n">
        <f aca="false">IF(ISNUMBER(N294),N294+N(N296),"")</f>
        <v>927.862</v>
      </c>
      <c r="O297" s="18" t="n">
        <f aca="false">IF(ISNUMBER(O294),O294+N(O296),"")</f>
        <v>929.793</v>
      </c>
      <c r="P297" s="18" t="n">
        <f aca="false">IF(ISNUMBER(P294),P294+N(P296),"")</f>
        <v>1471.241</v>
      </c>
      <c r="Q297" s="18" t="n">
        <f aca="false">IF(ISNUMBER(Q294),Q294+N(Q296),"")</f>
        <v>1492.373</v>
      </c>
      <c r="R297" s="18" t="n">
        <f aca="false">IF(ISNUMBER(R294),R294+N(R296),"")</f>
        <v>1513.546</v>
      </c>
      <c r="S297" s="18" t="n">
        <f aca="false">IF(ISNUMBER(S294),S294+N(S296),"")</f>
        <v>1513.546</v>
      </c>
      <c r="T297" s="18" t="str">
        <f aca="false">IF(ISNUMBER(T294),T294+N(T296),"")</f>
        <v/>
      </c>
      <c r="U297" s="18" t="n">
        <f aca="false">IF(ISNUMBER(U294),U294+N(U296),"")</f>
        <v>1506.153</v>
      </c>
      <c r="V297" s="18" t="n">
        <f aca="false">IF(ISNUMBER(V294),V294+N(V296),"")</f>
        <v>1509.958</v>
      </c>
      <c r="W297" s="18" t="n">
        <f aca="false">IF(ISNUMBER(W294),W294+N(W296),"")</f>
        <v>1543.78</v>
      </c>
      <c r="X297" s="18" t="n">
        <f aca="false">IF(ISNUMBER(X294),X294+N(X296),"")</f>
        <v>1543.78</v>
      </c>
      <c r="Y297" s="18" t="n">
        <f aca="false">IF(ISNUMBER(Y294),Y294+N(Y296),"")</f>
        <v>1565.476</v>
      </c>
      <c r="Z297" s="18" t="n">
        <f aca="false">IF(ISNUMBER(Z294),Z294+N(Z296),"")</f>
        <v>1585.941</v>
      </c>
      <c r="AA297" s="18" t="n">
        <f aca="false">IF(ISNUMBER(AA294),AA294+N(AA296),"")</f>
        <v>1618.698</v>
      </c>
      <c r="AB297" s="18" t="n">
        <f aca="false">IF(ISNUMBER(AB294),AB294+N(AB296),"")</f>
        <v>1654.213</v>
      </c>
      <c r="AC297" s="18" t="n">
        <f aca="false">IF(ISNUMBER(AC294),AC294+N(AC296),"")</f>
        <v>1654.213</v>
      </c>
      <c r="AD297" s="18" t="n">
        <f aca="false">IF(ISNUMBER(AD294),AD294+N(AD296),"")</f>
        <v>1683.762</v>
      </c>
      <c r="AE297" s="18" t="n">
        <f aca="false">IF(ISNUMBER(AE294),AE294+N(AE296),"")</f>
        <v>1716.735</v>
      </c>
      <c r="AF297" s="18" t="n">
        <f aca="false">IF(ISNUMBER(AF294),AF294+N(AF296),"")</f>
        <v>1762.427</v>
      </c>
      <c r="AG297" s="18" t="n">
        <f aca="false">IF(ISNUMBER(AG294),AG294+N(AG296),"")</f>
        <v>2651.25</v>
      </c>
      <c r="AH297" s="18" t="n">
        <f aca="false">IF(ISNUMBER(AH294),AH294+N(AH296),"")</f>
        <v>2651.25</v>
      </c>
      <c r="AI297" s="18" t="n">
        <f aca="false">IF(ISNUMBER(AI294),AI294+N(AI296),"")</f>
        <v>2800.964</v>
      </c>
      <c r="AJ297" s="18" t="n">
        <f aca="false">IF(ISNUMBER(AJ294),AJ294+N(AJ296),"")</f>
        <v>2850.618</v>
      </c>
      <c r="AK297" s="18" t="n">
        <f aca="false">IF(ISNUMBER(AK294),AK294+N(AK296),"")</f>
        <v>2928.314</v>
      </c>
      <c r="AL297" s="18" t="n">
        <f aca="false">IF(ISNUMBER(AL294),AL294+N(AL296),"")</f>
        <v>3021.942</v>
      </c>
      <c r="AM297" s="18" t="n">
        <f aca="false">IF(ISNUMBER(AM294),AM294+N(AM296),"")</f>
        <v>3021.942</v>
      </c>
      <c r="AN297" s="18" t="n">
        <f aca="false">IF(ISNUMBER(AN294),AN294+N(AN296),"")</f>
        <v>3128.614</v>
      </c>
      <c r="AO297" s="18" t="n">
        <f aca="false">IF(ISNUMBER(AO294),AO294+N(AO296),"")</f>
        <v>3204.071</v>
      </c>
      <c r="AP297" s="18" t="n">
        <f aca="false">IF(ISNUMBER(AP294),AP294+N(AP296),"")</f>
        <v>3299.166</v>
      </c>
      <c r="AQ297" s="18" t="n">
        <f aca="false">IF(ISNUMBER(AQ294),AQ294+N(AQ296),"")</f>
        <v>3405.593</v>
      </c>
      <c r="AR297" s="18" t="n">
        <f aca="false">IF(ISNUMBER(AR294),AR294+N(AR296),"")</f>
        <v>3405.593</v>
      </c>
      <c r="AS297" s="18" t="n">
        <f aca="false">IF(ISNUMBER(AS294),AS294+N(AS296),"")</f>
        <v>3462.811</v>
      </c>
      <c r="AT297" s="18" t="n">
        <f aca="false">IF(ISNUMBER(AT294),AT294+N(AT296),"")</f>
        <v>5224.321</v>
      </c>
      <c r="AU297" s="18" t="n">
        <f aca="false">IF(ISNUMBER(AU294),AU294+N(AU296),"")</f>
        <v>5318.058</v>
      </c>
      <c r="AV297" s="18" t="n">
        <f aca="false">IF(ISNUMBER(AV294),AV294+N(AV296),"")</f>
        <v>5375.359</v>
      </c>
      <c r="AW297" s="18" t="n">
        <f aca="false">IF(ISNUMBER(AW294),AW294+N(AW296),"")</f>
        <v>5375.359</v>
      </c>
      <c r="AX297" s="18" t="n">
        <f aca="false">IF(ISNUMBER(AX294),AX294+N(AX296),"")</f>
        <v>5446.925</v>
      </c>
      <c r="AY297" s="18" t="n">
        <f aca="false">IF(ISNUMBER(AY294),AY294+N(AY296),"")</f>
        <v>5527.227</v>
      </c>
      <c r="AZ297" s="18" t="n">
        <f aca="false">IF(ISNUMBER(AZ294),AZ294+N(AZ296),"")</f>
        <v>5603.423</v>
      </c>
      <c r="BA297" s="18" t="n">
        <f aca="false">IF(ISNUMBER(BA294),BA294+N(BA296),"")</f>
        <v>5711.672</v>
      </c>
      <c r="BB297" s="18" t="n">
        <f aca="false">IF(ISNUMBER(BB294),BB294+N(BB296),"")</f>
        <v>5711.672</v>
      </c>
      <c r="BC297" s="18" t="n">
        <f aca="false">IF(ISNUMBER(BC294),BC294+N(BC296),"")</f>
        <v>5797.298</v>
      </c>
      <c r="BD297" s="18" t="n">
        <f aca="false">IF(ISNUMBER(BD294),BD294+N(BD296),"")</f>
        <v>5884.353</v>
      </c>
      <c r="BE297" s="18" t="n">
        <f aca="false">IF(ISNUMBER(BE294),BE294+N(BE296),"")</f>
        <v>6706.912</v>
      </c>
      <c r="BF297" s="18" t="n">
        <f aca="false">IF(ISNUMBER(BF294),BF294+N(BF296),"")</f>
        <v>6870.121</v>
      </c>
      <c r="BG297" s="18" t="n">
        <f aca="false">IF(ISNUMBER(BG294),BG294+N(BG296),"")</f>
        <v>6870.121</v>
      </c>
      <c r="BH297" s="18" t="n">
        <f aca="false">IF(ISNUMBER(BH294),BH294+N(BH296),"")</f>
        <v>6965.609</v>
      </c>
      <c r="BI297" s="18" t="n">
        <f aca="false">IF(ISNUMBER(BI294),BI294+N(BI296),"")</f>
        <v>7101.072</v>
      </c>
      <c r="BJ297" s="18" t="n">
        <f aca="false">IF(ISNUMBER(BJ294),BJ294+N(BJ296),"")</f>
        <v>7210.162</v>
      </c>
      <c r="BK297" s="18" t="n">
        <f aca="false">IF(ISNUMBER(BK294),BK294+N(BK296),"")</f>
        <v>7338.6</v>
      </c>
      <c r="BL297" s="18" t="n">
        <f aca="false">IF(ISNUMBER(BL294),BL294+N(BL296),"")</f>
        <v>7338.6</v>
      </c>
      <c r="BM297" s="18" t="n">
        <f aca="false">IF(ISNUMBER(BM294),BM294+N(BM296),"")</f>
        <v>7342.6</v>
      </c>
      <c r="BN297" s="18" t="n">
        <f aca="false">IF(ISNUMBER(BN294),BN294+N(BN296),"")</f>
        <v>7395.7</v>
      </c>
      <c r="BO297" s="18" t="n">
        <f aca="false">IF(ISNUMBER(BO294),BO294+N(BO296),"")</f>
        <v>7491.1</v>
      </c>
      <c r="BP297" s="18" t="n">
        <f aca="false">IF(ISNUMBER(BP294),BP294+N(BP296),"")</f>
        <v>7553.5</v>
      </c>
      <c r="BQ297" s="18" t="n">
        <f aca="false">IF(ISNUMBER(BQ294),BQ294+N(BQ296),"")</f>
        <v>7553.5</v>
      </c>
      <c r="BR297" s="18" t="n">
        <f aca="false">IF(ISNUMBER(BR294),BR294+N(BR296),"")</f>
        <v>8556.2</v>
      </c>
      <c r="BS297" s="18" t="n">
        <f aca="false">IF(ISNUMBER(BS294),BS294+N(BS296),"")</f>
        <v>8601.4</v>
      </c>
      <c r="BT297" s="18" t="n">
        <f aca="false">IF(ISNUMBER(BT294),BT294+N(BT296),"")</f>
        <v>8623.9</v>
      </c>
      <c r="BU297" s="18" t="n">
        <f aca="false">IF(ISNUMBER(BU294),BU294+N(BU296),"")</f>
        <v>8371</v>
      </c>
      <c r="BV297" s="18" t="n">
        <f aca="false">IF(ISNUMBER(BV294),BV294+N(BV296),"")</f>
        <v>8371</v>
      </c>
      <c r="BW297" s="18" t="n">
        <f aca="false">IF(ISNUMBER(BW294),BW294+N(BW296),"")</f>
        <v>7951</v>
      </c>
      <c r="BX297" s="18" t="n">
        <f aca="false">IF(ISNUMBER(BX294),BX294+N(BX296),"")</f>
        <v>7945</v>
      </c>
      <c r="BY297" s="20"/>
      <c r="BZ297" s="20"/>
      <c r="CA297" s="20" t="n">
        <f aca="false">CA294+N(CA296)</f>
        <v>8073.53205825079</v>
      </c>
      <c r="CB297" s="20" t="n">
        <f aca="false">CB294+N(CB296)</f>
        <v>7718.80971520945</v>
      </c>
      <c r="CC297" s="20" t="n">
        <f aca="false">CC294+N(CC296)</f>
        <v>7398.39012028106</v>
      </c>
      <c r="CD297" s="20" t="n">
        <f aca="false">CD294+N(CD296)</f>
        <v>7056.60662121468</v>
      </c>
      <c r="CE297" s="20" t="n">
        <f aca="false">CE294+N(CE296)</f>
        <v>6733.24005054728</v>
      </c>
      <c r="CF297" s="21"/>
    </row>
    <row r="298" customFormat="false" ht="15" hidden="false" customHeight="true" outlineLevel="0" collapsed="false">
      <c r="B298" s="50" t="s">
        <v>520</v>
      </c>
      <c r="C298" s="51" t="n">
        <f aca="false">IF(ISNUMBER(C293),C293+C297,"")</f>
        <v>275.437</v>
      </c>
      <c r="D298" s="51" t="n">
        <f aca="false">IF(ISNUMBER(D293),D293+D297,"")</f>
        <v>321.843</v>
      </c>
      <c r="E298" s="51" t="n">
        <f aca="false">IF(ISNUMBER(E293),E293+E297,"")</f>
        <v>334.384</v>
      </c>
      <c r="F298" s="51" t="n">
        <f aca="false">IF(ISNUMBER(F293),F293+F297,"")</f>
        <v>404.579</v>
      </c>
      <c r="G298" s="51" t="n">
        <f aca="false">IF(ISNUMBER(G293),G293+G297,"")</f>
        <v>439.648</v>
      </c>
      <c r="H298" s="51" t="n">
        <f aca="false">IF(ISNUMBER(H293),H293+H297,"")</f>
        <v>771.035</v>
      </c>
      <c r="I298" s="51" t="n">
        <f aca="false">IF(ISNUMBER(I293),I293+I297,"")</f>
        <v>1165.139</v>
      </c>
      <c r="J298" s="51" t="n">
        <f aca="false">IF(ISNUMBER(J293),J293+J297,"")</f>
        <v>1183.858</v>
      </c>
      <c r="K298" s="51" t="n">
        <f aca="false">IF(ISNUMBER(K293),K293+K297,"")</f>
        <v>1197.018</v>
      </c>
      <c r="L298" s="51" t="n">
        <f aca="false">IF(ISNUMBER(L293),L293+L297,"")</f>
        <v>1230.374</v>
      </c>
      <c r="M298" s="51" t="n">
        <f aca="false">IF(ISNUMBER(M293),M293+M297,"")</f>
        <v>1256.982</v>
      </c>
      <c r="N298" s="51" t="n">
        <f aca="false">IF(ISNUMBER(N293),N293+N297,"")</f>
        <v>1256.982</v>
      </c>
      <c r="O298" s="51" t="n">
        <f aca="false">IF(ISNUMBER(O293),O293+O297,"")</f>
        <v>1244.796</v>
      </c>
      <c r="P298" s="51" t="n">
        <f aca="false">IF(ISNUMBER(P293),P293+P297,"")</f>
        <v>2046.394</v>
      </c>
      <c r="Q298" s="51" t="n">
        <f aca="false">IF(ISNUMBER(Q293),Q293+Q297,"")</f>
        <v>2064.341</v>
      </c>
      <c r="R298" s="51" t="n">
        <f aca="false">IF(ISNUMBER(R293),R293+R297,"")</f>
        <v>2083.682</v>
      </c>
      <c r="S298" s="51" t="n">
        <f aca="false">IF(ISNUMBER(S293),S293+S297,"")</f>
        <v>2083.682</v>
      </c>
      <c r="T298" s="51" t="str">
        <f aca="false">IF(ISNUMBER(T293),T293+T297,"")</f>
        <v/>
      </c>
      <c r="U298" s="51" t="n">
        <f aca="false">IF(ISNUMBER(U293),U293+U297,"")</f>
        <v>2073.947</v>
      </c>
      <c r="V298" s="51" t="n">
        <f aca="false">IF(ISNUMBER(V293),V293+V297,"")</f>
        <v>2090.736</v>
      </c>
      <c r="W298" s="51" t="n">
        <f aca="false">IF(ISNUMBER(W293),W293+W297,"")</f>
        <v>2079.571</v>
      </c>
      <c r="X298" s="51" t="n">
        <f aca="false">IF(ISNUMBER(X293),X293+X297,"")</f>
        <v>2079.571</v>
      </c>
      <c r="Y298" s="51" t="n">
        <f aca="false">IF(ISNUMBER(Y293),Y293+Y297,"")</f>
        <v>2106.013</v>
      </c>
      <c r="Z298" s="51" t="n">
        <f aca="false">IF(ISNUMBER(Z293),Z293+Z297,"")</f>
        <v>2107.234</v>
      </c>
      <c r="AA298" s="51" t="n">
        <f aca="false">IF(ISNUMBER(AA293),AA293+AA297,"")</f>
        <v>2152.587</v>
      </c>
      <c r="AB298" s="51" t="n">
        <f aca="false">IF(ISNUMBER(AB293),AB293+AB297,"")</f>
        <v>2185.063</v>
      </c>
      <c r="AC298" s="51" t="n">
        <f aca="false">IF(ISNUMBER(AC293),AC293+AC297,"")</f>
        <v>2185.063</v>
      </c>
      <c r="AD298" s="51" t="n">
        <f aca="false">IF(ISNUMBER(AD293),AD293+AD297,"")</f>
        <v>2195.155</v>
      </c>
      <c r="AE298" s="51" t="n">
        <f aca="false">IF(ISNUMBER(AE293),AE293+AE297,"")</f>
        <v>2220.019</v>
      </c>
      <c r="AF298" s="51" t="n">
        <f aca="false">IF(ISNUMBER(AF293),AF293+AF297,"")</f>
        <v>2280.596</v>
      </c>
      <c r="AG298" s="51" t="n">
        <f aca="false">IF(ISNUMBER(AG293),AG293+AG297,"")</f>
        <v>2873.441</v>
      </c>
      <c r="AH298" s="51" t="n">
        <f aca="false">IF(ISNUMBER(AH293),AH293+AH297,"")</f>
        <v>2873.441</v>
      </c>
      <c r="AI298" s="51" t="n">
        <f aca="false">IF(ISNUMBER(AI293),AI293+AI297,"")</f>
        <v>3095.1</v>
      </c>
      <c r="AJ298" s="51" t="n">
        <f aca="false">IF(ISNUMBER(AJ293),AJ293+AJ297,"")</f>
        <v>3122.574</v>
      </c>
      <c r="AK298" s="51" t="n">
        <f aca="false">IF(ISNUMBER(AK293),AK293+AK297,"")</f>
        <v>3207.222</v>
      </c>
      <c r="AL298" s="51" t="n">
        <f aca="false">IF(ISNUMBER(AL293),AL293+AL297,"")</f>
        <v>3312.957</v>
      </c>
      <c r="AM298" s="51" t="n">
        <f aca="false">IF(ISNUMBER(AM293),AM293+AM297,"")</f>
        <v>3312.957</v>
      </c>
      <c r="AN298" s="51" t="n">
        <f aca="false">IF(ISNUMBER(AN293),AN293+AN297,"")</f>
        <v>3548.284</v>
      </c>
      <c r="AO298" s="51" t="n">
        <f aca="false">IF(ISNUMBER(AO293),AO293+AO297,"")</f>
        <v>3620.598</v>
      </c>
      <c r="AP298" s="51" t="n">
        <f aca="false">IF(ISNUMBER(AP293),AP293+AP297,"")</f>
        <v>3715.391</v>
      </c>
      <c r="AQ298" s="51" t="n">
        <f aca="false">IF(ISNUMBER(AQ293),AQ293+AQ297,"")</f>
        <v>3853.986</v>
      </c>
      <c r="AR298" s="51" t="n">
        <f aca="false">IF(ISNUMBER(AR293),AR293+AR297,"")</f>
        <v>3853.986</v>
      </c>
      <c r="AS298" s="51" t="n">
        <f aca="false">IF(ISNUMBER(AS293),AS293+AS297,"")</f>
        <v>4684.597</v>
      </c>
      <c r="AT298" s="51" t="n">
        <f aca="false">IF(ISNUMBER(AT293),AT293+AT297,"")</f>
        <v>6479.03</v>
      </c>
      <c r="AU298" s="51" t="n">
        <f aca="false">IF(ISNUMBER(AU293),AU293+AU297,"")</f>
        <v>6797.325</v>
      </c>
      <c r="AV298" s="51" t="n">
        <f aca="false">IF(ISNUMBER(AV293),AV293+AV297,"")</f>
        <v>6915.42</v>
      </c>
      <c r="AW298" s="51" t="n">
        <f aca="false">IF(ISNUMBER(AW293),AW293+AW297,"")</f>
        <v>6915.42</v>
      </c>
      <c r="AX298" s="51" t="n">
        <f aca="false">IF(ISNUMBER(AX293),AX293+AX297,"")</f>
        <v>6941.971</v>
      </c>
      <c r="AY298" s="51" t="n">
        <f aca="false">IF(ISNUMBER(AY293),AY293+AY297,"")</f>
        <v>7075.614</v>
      </c>
      <c r="AZ298" s="51" t="n">
        <f aca="false">IF(ISNUMBER(AZ293),AZ293+AZ297,"")</f>
        <v>7131.316</v>
      </c>
      <c r="BA298" s="51" t="n">
        <f aca="false">IF(ISNUMBER(BA293),BA293+BA297,"")</f>
        <v>7256.871</v>
      </c>
      <c r="BB298" s="51" t="n">
        <f aca="false">IF(ISNUMBER(BB293),BB293+BB297,"")</f>
        <v>7256.871</v>
      </c>
      <c r="BC298" s="51" t="n">
        <f aca="false">IF(ISNUMBER(BC293),BC293+BC297,"")</f>
        <v>7357.442</v>
      </c>
      <c r="BD298" s="51" t="n">
        <f aca="false">IF(ISNUMBER(BD293),BD293+BD297,"")</f>
        <v>7420.748</v>
      </c>
      <c r="BE298" s="51" t="n">
        <f aca="false">IF(ISNUMBER(BE293),BE293+BE297,"")</f>
        <v>8205.863</v>
      </c>
      <c r="BF298" s="51" t="n">
        <f aca="false">IF(ISNUMBER(BF293),BF293+BF297,"")</f>
        <v>8402.47</v>
      </c>
      <c r="BG298" s="51" t="n">
        <f aca="false">IF(ISNUMBER(BG293),BG293+BG297,"")</f>
        <v>8402.47</v>
      </c>
      <c r="BH298" s="51" t="n">
        <f aca="false">IF(ISNUMBER(BH293),BH293+BH297,"")</f>
        <v>8516.912</v>
      </c>
      <c r="BI298" s="51" t="n">
        <f aca="false">IF(ISNUMBER(BI293),BI293+BI297,"")</f>
        <v>8691.674</v>
      </c>
      <c r="BJ298" s="51" t="n">
        <f aca="false">IF(ISNUMBER(BJ293),BJ293+BJ297,"")</f>
        <v>8771.655</v>
      </c>
      <c r="BK298" s="51" t="n">
        <f aca="false">IF(ISNUMBER(BK293),BK293+BK297,"")</f>
        <v>8919.7</v>
      </c>
      <c r="BL298" s="51" t="n">
        <f aca="false">IF(ISNUMBER(BL293),BL293+BL297,"")</f>
        <v>8919.7</v>
      </c>
      <c r="BM298" s="51" t="n">
        <f aca="false">IF(ISNUMBER(BM293),BM293+BM297,"")</f>
        <v>9034.5</v>
      </c>
      <c r="BN298" s="51" t="n">
        <f aca="false">IF(ISNUMBER(BN293),BN293+BN297,"")</f>
        <v>9067.3</v>
      </c>
      <c r="BO298" s="51" t="n">
        <f aca="false">IF(ISNUMBER(BO293),BO293+BO297,"")</f>
        <v>9138.7</v>
      </c>
      <c r="BP298" s="51" t="n">
        <f aca="false">IF(ISNUMBER(BP293),BP293+BP297,"")</f>
        <v>9256.8</v>
      </c>
      <c r="BQ298" s="51" t="n">
        <f aca="false">IF(ISNUMBER(BQ293),BQ293+BQ297,"")</f>
        <v>9256.8</v>
      </c>
      <c r="BR298" s="51" t="n">
        <f aca="false">IF(ISNUMBER(BR293),BR293+BR297,"")</f>
        <v>10428.1</v>
      </c>
      <c r="BS298" s="51" t="n">
        <f aca="false">IF(ISNUMBER(BS293),BS293+BS297,"")</f>
        <v>10507.1</v>
      </c>
      <c r="BT298" s="51" t="n">
        <f aca="false">IF(ISNUMBER(BT293),BT293+BT297,"")</f>
        <v>10819.9</v>
      </c>
      <c r="BU298" s="51" t="n">
        <f aca="false">IF(ISNUMBER(BU293),BU293+BU297,"")</f>
        <v>10538</v>
      </c>
      <c r="BV298" s="51" t="n">
        <f aca="false">IF(ISNUMBER(BV293),BV293+BV297,"")</f>
        <v>10538</v>
      </c>
      <c r="BW298" s="51" t="n">
        <f aca="false">IF(ISNUMBER(BW293),BW293+BW297,"")</f>
        <v>10164</v>
      </c>
      <c r="BX298" s="51" t="n">
        <f aca="false">IF(ISNUMBER(BX293),BX293+BX297,"")</f>
        <v>10139</v>
      </c>
      <c r="BY298" s="51"/>
      <c r="BZ298" s="51"/>
      <c r="CA298" s="51" t="n">
        <f aca="false">CA293+CA297</f>
        <v>10386.2082582508</v>
      </c>
      <c r="CB298" s="51" t="n">
        <f aca="false">CB293+CB297</f>
        <v>10079.0230039209</v>
      </c>
      <c r="CC298" s="51" t="n">
        <f aca="false">CC293+CC297</f>
        <v>9832.28053076481</v>
      </c>
      <c r="CD298" s="51" t="n">
        <f aca="false">CD293+CD297</f>
        <v>9671.71895358968</v>
      </c>
      <c r="CE298" s="51" t="n">
        <f aca="false">CE293+CE297</f>
        <v>9542.56769500895</v>
      </c>
      <c r="CF298" s="21"/>
    </row>
    <row r="299" customFormat="false" ht="15" hidden="false" customHeight="true" outlineLevel="0" collapsed="false">
      <c r="B299" s="41" t="s">
        <v>521</v>
      </c>
      <c r="C299" s="34" t="n">
        <f aca="false">IF(ISNUMBER(C281),ROUND(C281-C298,1),"")</f>
        <v>0</v>
      </c>
      <c r="D299" s="34" t="n">
        <f aca="false">IF(ISNUMBER(D281),ROUND(D281-D298,1),"")</f>
        <v>0</v>
      </c>
      <c r="E299" s="34" t="n">
        <f aca="false">IF(ISNUMBER(E281),ROUND(E281-E298,1),"")</f>
        <v>0</v>
      </c>
      <c r="F299" s="34" t="n">
        <f aca="false">IF(ISNUMBER(F281),ROUND(F281-F298,1),"")</f>
        <v>0</v>
      </c>
      <c r="G299" s="34" t="n">
        <f aca="false">IF(ISNUMBER(G281),ROUND(G281-G298,1),"")</f>
        <v>0</v>
      </c>
      <c r="H299" s="34" t="n">
        <f aca="false">IF(ISNUMBER(H281),ROUND(H281-H298,1),"")</f>
        <v>0</v>
      </c>
      <c r="I299" s="34" t="n">
        <f aca="false">IF(ISNUMBER(I281),ROUND(I281-I298,1),"")</f>
        <v>0</v>
      </c>
      <c r="J299" s="34" t="n">
        <f aca="false">IF(ISNUMBER(J281),ROUND(J281-J298,1),"")</f>
        <v>0</v>
      </c>
      <c r="K299" s="34" t="n">
        <f aca="false">IF(ISNUMBER(K281),ROUND(K281-K298,1),"")</f>
        <v>0</v>
      </c>
      <c r="L299" s="34" t="n">
        <f aca="false">IF(ISNUMBER(L281),ROUND(L281-L298,1),"")</f>
        <v>0</v>
      </c>
      <c r="M299" s="34" t="n">
        <f aca="false">IF(ISNUMBER(M281),ROUND(M281-M298,1),"")</f>
        <v>0</v>
      </c>
      <c r="N299" s="34" t="n">
        <f aca="false">IF(ISNUMBER(N281),ROUND(N281-N298,1),"")</f>
        <v>0</v>
      </c>
      <c r="O299" s="34" t="n">
        <f aca="false">IF(ISNUMBER(O281),ROUND(O281-O298,1),"")</f>
        <v>0</v>
      </c>
      <c r="P299" s="34" t="n">
        <f aca="false">IF(ISNUMBER(P281),ROUND(P281-P298,1),"")</f>
        <v>0</v>
      </c>
      <c r="Q299" s="34" t="n">
        <f aca="false">IF(ISNUMBER(Q281),ROUND(Q281-Q298,1),"")</f>
        <v>0</v>
      </c>
      <c r="R299" s="34" t="n">
        <f aca="false">IF(ISNUMBER(R281),ROUND(R281-R298,1),"")</f>
        <v>0</v>
      </c>
      <c r="S299" s="34" t="n">
        <f aca="false">IF(ISNUMBER(S281),ROUND(S281-S298,1),"")</f>
        <v>0</v>
      </c>
      <c r="T299" s="34" t="str">
        <f aca="false">IF(ISNUMBER(T281),ROUND(T281-T298,1),"")</f>
        <v/>
      </c>
      <c r="U299" s="34" t="n">
        <f aca="false">IF(ISNUMBER(U281),ROUND(U281-U298,1),"")</f>
        <v>0</v>
      </c>
      <c r="V299" s="34" t="n">
        <f aca="false">IF(ISNUMBER(V281),ROUND(V281-V298,1),"")</f>
        <v>0</v>
      </c>
      <c r="W299" s="34" t="n">
        <f aca="false">IF(ISNUMBER(W281),ROUND(W281-W298,1),"")</f>
        <v>0</v>
      </c>
      <c r="X299" s="34" t="n">
        <f aca="false">IF(ISNUMBER(X281),ROUND(X281-X298,1),"")</f>
        <v>0</v>
      </c>
      <c r="Y299" s="34" t="n">
        <f aca="false">IF(ISNUMBER(Y281),ROUND(Y281-Y298,1),"")</f>
        <v>0</v>
      </c>
      <c r="Z299" s="34" t="n">
        <f aca="false">IF(ISNUMBER(Z281),ROUND(Z281-Z298,1),"")</f>
        <v>0</v>
      </c>
      <c r="AA299" s="34" t="n">
        <f aca="false">IF(ISNUMBER(AA281),ROUND(AA281-AA298,1),"")</f>
        <v>0</v>
      </c>
      <c r="AB299" s="34" t="n">
        <f aca="false">IF(ISNUMBER(AB281),ROUND(AB281-AB298,1),"")</f>
        <v>0</v>
      </c>
      <c r="AC299" s="34" t="n">
        <f aca="false">IF(ISNUMBER(AC281),ROUND(AC281-AC298,1),"")</f>
        <v>0</v>
      </c>
      <c r="AD299" s="34" t="n">
        <f aca="false">IF(ISNUMBER(AD281),ROUND(AD281-AD298,1),"")</f>
        <v>0</v>
      </c>
      <c r="AE299" s="34" t="n">
        <f aca="false">IF(ISNUMBER(AE281),ROUND(AE281-AE298,1),"")</f>
        <v>0</v>
      </c>
      <c r="AF299" s="34" t="n">
        <f aca="false">IF(ISNUMBER(AF281),ROUND(AF281-AF298,1),"")</f>
        <v>0</v>
      </c>
      <c r="AG299" s="34" t="n">
        <f aca="false">IF(ISNUMBER(AG281),ROUND(AG281-AG298,1),"")</f>
        <v>0</v>
      </c>
      <c r="AH299" s="34" t="n">
        <f aca="false">IF(ISNUMBER(AH281),ROUND(AH281-AH298,1),"")</f>
        <v>0</v>
      </c>
      <c r="AI299" s="34" t="n">
        <f aca="false">IF(ISNUMBER(AI281),ROUND(AI281-AI298,1),"")</f>
        <v>0</v>
      </c>
      <c r="AJ299" s="34" t="n">
        <f aca="false">IF(ISNUMBER(AJ281),ROUND(AJ281-AJ298,1),"")</f>
        <v>0</v>
      </c>
      <c r="AK299" s="34" t="n">
        <f aca="false">IF(ISNUMBER(AK281),ROUND(AK281-AK298,1),"")</f>
        <v>0</v>
      </c>
      <c r="AL299" s="34" t="n">
        <f aca="false">IF(ISNUMBER(AL281),ROUND(AL281-AL298,1),"")</f>
        <v>0</v>
      </c>
      <c r="AM299" s="34" t="n">
        <f aca="false">IF(ISNUMBER(AM281),ROUND(AM281-AM298,1),"")</f>
        <v>0</v>
      </c>
      <c r="AN299" s="34" t="n">
        <f aca="false">IF(ISNUMBER(AN281),ROUND(AN281-AN298,1),"")</f>
        <v>0</v>
      </c>
      <c r="AO299" s="34" t="n">
        <f aca="false">IF(ISNUMBER(AO281),ROUND(AO281-AO298,1),"")</f>
        <v>0</v>
      </c>
      <c r="AP299" s="34" t="n">
        <f aca="false">IF(ISNUMBER(AP281),ROUND(AP281-AP298,1),"")</f>
        <v>0</v>
      </c>
      <c r="AQ299" s="34" t="n">
        <f aca="false">IF(ISNUMBER(AQ281),ROUND(AQ281-AQ298,1),"")</f>
        <v>0</v>
      </c>
      <c r="AR299" s="34" t="n">
        <f aca="false">IF(ISNUMBER(AR281),ROUND(AR281-AR298,1),"")</f>
        <v>0</v>
      </c>
      <c r="AS299" s="34" t="n">
        <f aca="false">IF(ISNUMBER(AS281),ROUND(AS281-AS298,1),"")</f>
        <v>0</v>
      </c>
      <c r="AT299" s="34" t="n">
        <f aca="false">IF(ISNUMBER(AT281),ROUND(AT281-AT298,1),"")</f>
        <v>0</v>
      </c>
      <c r="AU299" s="34" t="n">
        <f aca="false">IF(ISNUMBER(AU281),ROUND(AU281-AU298,1),"")</f>
        <v>0</v>
      </c>
      <c r="AV299" s="34" t="n">
        <f aca="false">IF(ISNUMBER(AV281),ROUND(AV281-AV298,1),"")</f>
        <v>0</v>
      </c>
      <c r="AW299" s="34" t="n">
        <f aca="false">IF(ISNUMBER(AW281),ROUND(AW281-AW298,1),"")</f>
        <v>0</v>
      </c>
      <c r="AX299" s="34" t="n">
        <f aca="false">IF(ISNUMBER(AX281),ROUND(AX281-AX298,1),"")</f>
        <v>0</v>
      </c>
      <c r="AY299" s="34" t="n">
        <f aca="false">IF(ISNUMBER(AY281),ROUND(AY281-AY298,1),"")</f>
        <v>0</v>
      </c>
      <c r="AZ299" s="34" t="n">
        <f aca="false">IF(ISNUMBER(AZ281),ROUND(AZ281-AZ298,1),"")</f>
        <v>0</v>
      </c>
      <c r="BA299" s="34" t="n">
        <f aca="false">IF(ISNUMBER(BA281),ROUND(BA281-BA298,1),"")</f>
        <v>0</v>
      </c>
      <c r="BB299" s="34" t="n">
        <f aca="false">IF(ISNUMBER(BB281),ROUND(BB281-BB298,1),"")</f>
        <v>0</v>
      </c>
      <c r="BC299" s="34" t="n">
        <f aca="false">IF(ISNUMBER(BC281),ROUND(BC281-BC298,1),"")</f>
        <v>0</v>
      </c>
      <c r="BD299" s="34" t="n">
        <f aca="false">IF(ISNUMBER(BD281),ROUND(BD281-BD298,1),"")</f>
        <v>0</v>
      </c>
      <c r="BE299" s="34" t="n">
        <f aca="false">IF(ISNUMBER(BE281),ROUND(BE281-BE298,1),"")</f>
        <v>0</v>
      </c>
      <c r="BF299" s="34" t="n">
        <f aca="false">IF(ISNUMBER(BF281),ROUND(BF281-BF298,1),"")</f>
        <v>0</v>
      </c>
      <c r="BG299" s="34" t="n">
        <f aca="false">IF(ISNUMBER(BG281),ROUND(BG281-BG298,1),"")</f>
        <v>0</v>
      </c>
      <c r="BH299" s="34" t="n">
        <f aca="false">IF(ISNUMBER(BH281),ROUND(BH281-BH298,1),"")</f>
        <v>0</v>
      </c>
      <c r="BI299" s="34" t="n">
        <f aca="false">IF(ISNUMBER(BI281),ROUND(BI281-BI298,1),"")</f>
        <v>0</v>
      </c>
      <c r="BJ299" s="34" t="n">
        <f aca="false">IF(ISNUMBER(BJ281),ROUND(BJ281-BJ298,1),"")</f>
        <v>0</v>
      </c>
      <c r="BK299" s="34" t="n">
        <f aca="false">IF(ISNUMBER(BK281),ROUND(BK281-BK298,1),"")</f>
        <v>0</v>
      </c>
      <c r="BL299" s="34" t="n">
        <f aca="false">IF(ISNUMBER(BL281),ROUND(BL281-BL298,1),"")</f>
        <v>0</v>
      </c>
      <c r="BM299" s="34" t="n">
        <f aca="false">IF(ISNUMBER(BM281),ROUND(BM281-BM298,1),"")</f>
        <v>0</v>
      </c>
      <c r="BN299" s="34" t="n">
        <f aca="false">IF(ISNUMBER(BN281),ROUND(BN281-BN298,1),"")</f>
        <v>0</v>
      </c>
      <c r="BO299" s="34" t="n">
        <f aca="false">IF(ISNUMBER(BO281),ROUND(BO281-BO298,1),"")</f>
        <v>0</v>
      </c>
      <c r="BP299" s="34" t="n">
        <f aca="false">IF(ISNUMBER(BP281),ROUND(BP281-BP298,1),"")</f>
        <v>0</v>
      </c>
      <c r="BQ299" s="34" t="n">
        <f aca="false">IF(ISNUMBER(BQ281),ROUND(BQ281-BQ298,1),"")</f>
        <v>0</v>
      </c>
      <c r="BR299" s="34" t="n">
        <f aca="false">IF(ISNUMBER(BR281),ROUND(BR281-BR298,1),"")</f>
        <v>0</v>
      </c>
      <c r="BS299" s="34" t="n">
        <f aca="false">IF(ISNUMBER(BS281),ROUND(BS281-BS298,1),"")</f>
        <v>0</v>
      </c>
      <c r="BT299" s="34" t="n">
        <f aca="false">IF(ISNUMBER(BT281),ROUND(BT281-BT298,1),"")</f>
        <v>0</v>
      </c>
      <c r="BU299" s="34" t="n">
        <f aca="false">IF(ISNUMBER(BU281),ROUND(BU281-BU298,1),"")</f>
        <v>0</v>
      </c>
      <c r="BV299" s="34" t="n">
        <f aca="false">IF(ISNUMBER(BV281),ROUND(BV281-BV298,1),"")</f>
        <v>0</v>
      </c>
      <c r="BW299" s="34" t="n">
        <f aca="false">IF(ISNUMBER(BW281),ROUND(BW281-BW298,1),"")</f>
        <v>0</v>
      </c>
      <c r="BX299" s="34" t="n">
        <f aca="false">IF(ISNUMBER(BX281),ROUND(BX281-BX298,1),"")</f>
        <v>0</v>
      </c>
      <c r="BY299" s="36"/>
      <c r="BZ299" s="36"/>
      <c r="CA299" s="36" t="n">
        <f aca="false">ROUND(CA281-CA298,1)</f>
        <v>0</v>
      </c>
      <c r="CB299" s="36" t="n">
        <f aca="false">ROUND(CB281-CB298,1)</f>
        <v>0</v>
      </c>
      <c r="CC299" s="36" t="n">
        <f aca="false">ROUND(CC281-CC298,1)</f>
        <v>0</v>
      </c>
      <c r="CD299" s="36" t="n">
        <f aca="false">ROUND(CD281-CD298,1)</f>
        <v>0</v>
      </c>
      <c r="CE299" s="36" t="n">
        <f aca="false">ROUND(CE281-CE298,1)</f>
        <v>0</v>
      </c>
      <c r="CF299" s="28"/>
    </row>
    <row r="300" customFormat="false" ht="15" hidden="false" customHeight="true" outlineLevel="0" collapsed="false">
      <c r="B300" s="41" t="s">
        <v>522</v>
      </c>
      <c r="C300" s="34" t="n">
        <f aca="false">IF(ISNUMBER(C301),ROUND(C281-C301,1),"")</f>
        <v>0</v>
      </c>
      <c r="D300" s="34" t="n">
        <f aca="false">IF(ISNUMBER(D301),ROUND(D281-D301,1),"")</f>
        <v>0</v>
      </c>
      <c r="E300" s="34" t="n">
        <f aca="false">IF(ISNUMBER(E301),ROUND(E281-E301,1),"")</f>
        <v>0</v>
      </c>
      <c r="F300" s="34" t="n">
        <f aca="false">IF(ISNUMBER(F301),ROUND(F281-F301,1),"")</f>
        <v>0</v>
      </c>
      <c r="G300" s="34" t="n">
        <f aca="false">IF(ISNUMBER(G301),ROUND(G281-G301,1),"")</f>
        <v>0</v>
      </c>
      <c r="H300" s="34" t="n">
        <f aca="false">IF(ISNUMBER(H301),ROUND(H281-H301,1),"")</f>
        <v>0</v>
      </c>
      <c r="I300" s="34" t="n">
        <f aca="false">IF(ISNUMBER(I301),ROUND(I281-I301,1),"")</f>
        <v>0</v>
      </c>
      <c r="J300" s="34" t="n">
        <f aca="false">IF(ISNUMBER(J301),ROUND(J281-J301,1),"")</f>
        <v>0</v>
      </c>
      <c r="K300" s="34" t="n">
        <f aca="false">IF(ISNUMBER(K301),ROUND(K281-K301,1),"")</f>
        <v>0</v>
      </c>
      <c r="L300" s="34" t="n">
        <f aca="false">IF(ISNUMBER(L301),ROUND(L281-L301,1),"")</f>
        <v>0</v>
      </c>
      <c r="M300" s="34" t="n">
        <f aca="false">IF(ISNUMBER(M301),ROUND(M281-M301,1),"")</f>
        <v>0</v>
      </c>
      <c r="N300" s="34" t="n">
        <f aca="false">IF(ISNUMBER(N301),ROUND(N281-N301,1),"")</f>
        <v>0</v>
      </c>
      <c r="O300" s="34" t="n">
        <f aca="false">IF(ISNUMBER(O301),ROUND(O281-O301,1),"")</f>
        <v>0</v>
      </c>
      <c r="P300" s="34" t="n">
        <f aca="false">IF(ISNUMBER(P301),ROUND(P281-P301,1),"")</f>
        <v>0</v>
      </c>
      <c r="Q300" s="34" t="n">
        <f aca="false">IF(ISNUMBER(Q301),ROUND(Q281-Q301,1),"")</f>
        <v>0</v>
      </c>
      <c r="R300" s="34" t="n">
        <f aca="false">IF(ISNUMBER(R301),ROUND(R281-R301,1),"")</f>
        <v>0</v>
      </c>
      <c r="S300" s="34" t="n">
        <f aca="false">IF(ISNUMBER(S301),ROUND(S281-S301,1),"")</f>
        <v>0</v>
      </c>
      <c r="T300" s="34" t="str">
        <f aca="false">IF(ISNUMBER(T301),ROUND(T281-T301,1),"")</f>
        <v/>
      </c>
      <c r="U300" s="34" t="n">
        <f aca="false">IF(ISNUMBER(U301),ROUND(U281-U301,1),"")</f>
        <v>0</v>
      </c>
      <c r="V300" s="34" t="n">
        <f aca="false">IF(ISNUMBER(V301),ROUND(V281-V301,1),"")</f>
        <v>0</v>
      </c>
      <c r="W300" s="34" t="n">
        <f aca="false">IF(ISNUMBER(W301),ROUND(W281-W301,1),"")</f>
        <v>0</v>
      </c>
      <c r="X300" s="34" t="n">
        <f aca="false">IF(ISNUMBER(X301),ROUND(X281-X301,1),"")</f>
        <v>0</v>
      </c>
      <c r="Y300" s="34" t="n">
        <f aca="false">IF(ISNUMBER(Y301),ROUND(Y281-Y301,1),"")</f>
        <v>0</v>
      </c>
      <c r="Z300" s="34" t="n">
        <f aca="false">IF(ISNUMBER(Z301),ROUND(Z281-Z301,1),"")</f>
        <v>0</v>
      </c>
      <c r="AA300" s="34" t="n">
        <f aca="false">IF(ISNUMBER(AA301),ROUND(AA281-AA301,1),"")</f>
        <v>0</v>
      </c>
      <c r="AB300" s="34" t="n">
        <f aca="false">IF(ISNUMBER(AB301),ROUND(AB281-AB301,1),"")</f>
        <v>0</v>
      </c>
      <c r="AC300" s="34" t="n">
        <f aca="false">IF(ISNUMBER(AC301),ROUND(AC281-AC301,1),"")</f>
        <v>0</v>
      </c>
      <c r="AD300" s="34" t="n">
        <f aca="false">IF(ISNUMBER(AD301),ROUND(AD281-AD301,1),"")</f>
        <v>0</v>
      </c>
      <c r="AE300" s="34" t="n">
        <f aca="false">IF(ISNUMBER(AE301),ROUND(AE281-AE301,1),"")</f>
        <v>0</v>
      </c>
      <c r="AF300" s="34" t="n">
        <f aca="false">IF(ISNUMBER(AF301),ROUND(AF281-AF301,1),"")</f>
        <v>0</v>
      </c>
      <c r="AG300" s="34" t="n">
        <f aca="false">IF(ISNUMBER(AG301),ROUND(AG281-AG301,1),"")</f>
        <v>0</v>
      </c>
      <c r="AH300" s="34" t="n">
        <f aca="false">IF(ISNUMBER(AH301),ROUND(AH281-AH301,1),"")</f>
        <v>0</v>
      </c>
      <c r="AI300" s="34" t="n">
        <f aca="false">IF(ISNUMBER(AI301),ROUND(AI281-AI301,1),"")</f>
        <v>0</v>
      </c>
      <c r="AJ300" s="34" t="n">
        <f aca="false">IF(ISNUMBER(AJ301),ROUND(AJ281-AJ301,1),"")</f>
        <v>0</v>
      </c>
      <c r="AK300" s="34" t="n">
        <f aca="false">IF(ISNUMBER(AK301),ROUND(AK281-AK301,1),"")</f>
        <v>0</v>
      </c>
      <c r="AL300" s="34" t="n">
        <f aca="false">IF(ISNUMBER(AL301),ROUND(AL281-AL301,1),"")</f>
        <v>0</v>
      </c>
      <c r="AM300" s="34" t="n">
        <f aca="false">IF(ISNUMBER(AM301),ROUND(AM281-AM301,1),"")</f>
        <v>0</v>
      </c>
      <c r="AN300" s="34" t="n">
        <f aca="false">IF(ISNUMBER(AN301),ROUND(AN281-AN301,1),"")</f>
        <v>0</v>
      </c>
      <c r="AO300" s="34" t="n">
        <f aca="false">IF(ISNUMBER(AO301),ROUND(AO281-AO301,1),"")</f>
        <v>0</v>
      </c>
      <c r="AP300" s="34" t="n">
        <f aca="false">IF(ISNUMBER(AP301),ROUND(AP281-AP301,1),"")</f>
        <v>0</v>
      </c>
      <c r="AQ300" s="34" t="n">
        <f aca="false">IF(ISNUMBER(AQ301),ROUND(AQ281-AQ301,1),"")</f>
        <v>0</v>
      </c>
      <c r="AR300" s="34" t="n">
        <f aca="false">IF(ISNUMBER(AR301),ROUND(AR281-AR301,1),"")</f>
        <v>0</v>
      </c>
      <c r="AS300" s="34" t="n">
        <f aca="false">IF(ISNUMBER(AS301),ROUND(AS281-AS301,1),"")</f>
        <v>0</v>
      </c>
      <c r="AT300" s="34" t="n">
        <f aca="false">IF(ISNUMBER(AT301),ROUND(AT281-AT301,1),"")</f>
        <v>0</v>
      </c>
      <c r="AU300" s="34" t="n">
        <f aca="false">IF(ISNUMBER(AU301),ROUND(AU281-AU301,1),"")</f>
        <v>0</v>
      </c>
      <c r="AV300" s="34" t="n">
        <f aca="false">IF(ISNUMBER(AV301),ROUND(AV281-AV301,1),"")</f>
        <v>0</v>
      </c>
      <c r="AW300" s="34" t="n">
        <f aca="false">IF(ISNUMBER(AW301),ROUND(AW281-AW301,1),"")</f>
        <v>0</v>
      </c>
      <c r="AX300" s="34" t="n">
        <f aca="false">IF(ISNUMBER(AX301),ROUND(AX281-AX301,1),"")</f>
        <v>0</v>
      </c>
      <c r="AY300" s="34" t="n">
        <f aca="false">IF(ISNUMBER(AY301),ROUND(AY281-AY301,1),"")</f>
        <v>0</v>
      </c>
      <c r="AZ300" s="34" t="n">
        <f aca="false">IF(ISNUMBER(AZ301),ROUND(AZ281-AZ301,1),"")</f>
        <v>0</v>
      </c>
      <c r="BA300" s="34" t="n">
        <f aca="false">IF(ISNUMBER(BA301),ROUND(BA281-BA301,1),"")</f>
        <v>0</v>
      </c>
      <c r="BB300" s="34" t="n">
        <f aca="false">IF(ISNUMBER(BB301),ROUND(BB281-BB301,1),"")</f>
        <v>0</v>
      </c>
      <c r="BC300" s="34" t="n">
        <f aca="false">IF(ISNUMBER(BC301),ROUND(BC281-BC301,1),"")</f>
        <v>0</v>
      </c>
      <c r="BD300" s="34" t="n">
        <f aca="false">IF(ISNUMBER(BD301),ROUND(BD281-BD301,1),"")</f>
        <v>0</v>
      </c>
      <c r="BE300" s="34" t="n">
        <f aca="false">IF(ISNUMBER(BE301),ROUND(BE281-BE301,1),"")</f>
        <v>0</v>
      </c>
      <c r="BF300" s="34" t="n">
        <f aca="false">IF(ISNUMBER(BF301),ROUND(BF281-BF301,1),"")</f>
        <v>0</v>
      </c>
      <c r="BG300" s="34" t="n">
        <f aca="false">IF(ISNUMBER(BG301),ROUND(BG281-BG301,1),"")</f>
        <v>0</v>
      </c>
      <c r="BH300" s="34" t="n">
        <f aca="false">IF(ISNUMBER(BH301),ROUND(BH281-BH301,1),"")</f>
        <v>0</v>
      </c>
      <c r="BI300" s="34" t="n">
        <f aca="false">IF(ISNUMBER(BI301),ROUND(BI281-BI301,1),"")</f>
        <v>0</v>
      </c>
      <c r="BJ300" s="34" t="n">
        <f aca="false">IF(ISNUMBER(BJ301),ROUND(BJ281-BJ301,1),"")</f>
        <v>0</v>
      </c>
      <c r="BK300" s="34" t="n">
        <f aca="false">IF(ISNUMBER(BK301),ROUND(BK281-BK301,1),"")</f>
        <v>0</v>
      </c>
      <c r="BL300" s="34" t="n">
        <f aca="false">IF(ISNUMBER(BL301),ROUND(BL281-BL301,1),"")</f>
        <v>0</v>
      </c>
      <c r="BM300" s="34" t="n">
        <f aca="false">IF(ISNUMBER(BM301),ROUND(BM281-BM301,1),"")</f>
        <v>0</v>
      </c>
      <c r="BN300" s="34" t="n">
        <f aca="false">IF(ISNUMBER(BN301),ROUND(BN281-BN301,1),"")</f>
        <v>0</v>
      </c>
      <c r="BO300" s="34" t="n">
        <f aca="false">IF(ISNUMBER(BO301),ROUND(BO281-BO301,1),"")</f>
        <v>0</v>
      </c>
      <c r="BP300" s="34" t="n">
        <f aca="false">IF(ISNUMBER(BP301),ROUND(BP281-BP301,1),"")</f>
        <v>0</v>
      </c>
      <c r="BQ300" s="34" t="n">
        <f aca="false">IF(ISNUMBER(BQ301),ROUND(BQ281-BQ301,1),"")</f>
        <v>0</v>
      </c>
      <c r="BR300" s="34" t="n">
        <f aca="false">IF(ISNUMBER(BR301),ROUND(BR281-BR301,1),"")</f>
        <v>0</v>
      </c>
      <c r="BS300" s="34" t="n">
        <f aca="false">IF(ISNUMBER(BS301),ROUND(BS281-BS301,1),"")</f>
        <v>0</v>
      </c>
      <c r="BT300" s="34" t="n">
        <f aca="false">IF(ISNUMBER(BT301),ROUND(BT281-BT301,1),"")</f>
        <v>0</v>
      </c>
      <c r="BU300" s="34" t="n">
        <f aca="false">IF(ISNUMBER(BU301),ROUND(BU281-BU301,1),"")</f>
        <v>0</v>
      </c>
      <c r="BV300" s="34" t="n">
        <f aca="false">IF(ISNUMBER(BV301),ROUND(BV281-BV301,1),"")</f>
        <v>0</v>
      </c>
      <c r="BW300" s="34" t="n">
        <f aca="false">IF(ISNUMBER(BW301),ROUND(BW281-BW301,1),"")</f>
        <v>0</v>
      </c>
      <c r="BX300" s="34" t="n">
        <f aca="false">IF(ISNUMBER(BX301),ROUND(BX281-BX301,1),"")</f>
        <v>0</v>
      </c>
      <c r="BY300" s="36"/>
      <c r="BZ300" s="36"/>
      <c r="CA300" s="36"/>
      <c r="CB300" s="36"/>
      <c r="CC300" s="36"/>
      <c r="CD300" s="36"/>
      <c r="CE300" s="36"/>
      <c r="CF300" s="28"/>
    </row>
    <row r="301" customFormat="false" ht="15" hidden="false" customHeight="true" outlineLevel="0" collapsed="false">
      <c r="B301" s="33" t="s">
        <v>523</v>
      </c>
      <c r="C301" s="35" t="n">
        <v>275.437</v>
      </c>
      <c r="D301" s="35" t="n">
        <v>321.843</v>
      </c>
      <c r="E301" s="35" t="n">
        <v>334.384</v>
      </c>
      <c r="F301" s="35" t="n">
        <v>404.579</v>
      </c>
      <c r="G301" s="35" t="n">
        <v>439.648</v>
      </c>
      <c r="H301" s="35" t="n">
        <v>771.035</v>
      </c>
      <c r="I301" s="35" t="n">
        <v>1165.139</v>
      </c>
      <c r="J301" s="35" t="n">
        <v>1183.858</v>
      </c>
      <c r="K301" s="35" t="n">
        <v>1197.018</v>
      </c>
      <c r="L301" s="35" t="n">
        <v>1230.374</v>
      </c>
      <c r="M301" s="35" t="n">
        <v>1256.982</v>
      </c>
      <c r="N301" s="35" t="n">
        <v>1256.982</v>
      </c>
      <c r="O301" s="35" t="n">
        <v>1244.796</v>
      </c>
      <c r="P301" s="35" t="n">
        <v>2046.394</v>
      </c>
      <c r="Q301" s="35" t="n">
        <v>2064.341</v>
      </c>
      <c r="R301" s="35" t="n">
        <v>2083.682</v>
      </c>
      <c r="S301" s="35" t="n">
        <v>2083.682</v>
      </c>
      <c r="T301" s="34"/>
      <c r="U301" s="35" t="n">
        <v>2073.947</v>
      </c>
      <c r="V301" s="35" t="n">
        <v>2090.736</v>
      </c>
      <c r="W301" s="35" t="n">
        <v>2079.571</v>
      </c>
      <c r="X301" s="35" t="n">
        <v>2079.571</v>
      </c>
      <c r="Y301" s="35" t="n">
        <v>2106.013</v>
      </c>
      <c r="Z301" s="35" t="n">
        <v>2107.234</v>
      </c>
      <c r="AA301" s="35" t="n">
        <v>2152.587</v>
      </c>
      <c r="AB301" s="35" t="n">
        <v>2185.063</v>
      </c>
      <c r="AC301" s="35" t="n">
        <v>2185.063</v>
      </c>
      <c r="AD301" s="35" t="n">
        <v>2195.155</v>
      </c>
      <c r="AE301" s="35" t="n">
        <v>2220.019</v>
      </c>
      <c r="AF301" s="35" t="n">
        <v>2280.596</v>
      </c>
      <c r="AG301" s="35" t="n">
        <v>2873.441</v>
      </c>
      <c r="AH301" s="35" t="n">
        <v>2873.441</v>
      </c>
      <c r="AI301" s="35" t="n">
        <v>3095.1</v>
      </c>
      <c r="AJ301" s="35" t="n">
        <v>3122.574</v>
      </c>
      <c r="AK301" s="35" t="n">
        <v>3207.222</v>
      </c>
      <c r="AL301" s="35" t="n">
        <v>3312.957</v>
      </c>
      <c r="AM301" s="35" t="n">
        <v>3312.957</v>
      </c>
      <c r="AN301" s="35" t="n">
        <v>3548.284</v>
      </c>
      <c r="AO301" s="35" t="n">
        <v>3620.598</v>
      </c>
      <c r="AP301" s="35" t="n">
        <v>3715.391</v>
      </c>
      <c r="AQ301" s="35" t="n">
        <v>3853.986</v>
      </c>
      <c r="AR301" s="35" t="n">
        <v>3853.986</v>
      </c>
      <c r="AS301" s="35" t="n">
        <v>4684.597</v>
      </c>
      <c r="AT301" s="35" t="n">
        <v>6479.03</v>
      </c>
      <c r="AU301" s="35" t="n">
        <v>6797.325</v>
      </c>
      <c r="AV301" s="35" t="n">
        <v>6915.42</v>
      </c>
      <c r="AW301" s="35" t="n">
        <v>6915.42</v>
      </c>
      <c r="AX301" s="35" t="n">
        <v>6941.971</v>
      </c>
      <c r="AY301" s="35" t="n">
        <v>7075.614</v>
      </c>
      <c r="AZ301" s="35" t="n">
        <v>7131.316</v>
      </c>
      <c r="BA301" s="35" t="n">
        <v>7256.871</v>
      </c>
      <c r="BB301" s="35" t="n">
        <v>7256.871</v>
      </c>
      <c r="BC301" s="35" t="n">
        <v>7357.442</v>
      </c>
      <c r="BD301" s="35" t="n">
        <v>7420.748</v>
      </c>
      <c r="BE301" s="35" t="n">
        <v>8205.863</v>
      </c>
      <c r="BF301" s="35" t="n">
        <v>8402.47</v>
      </c>
      <c r="BG301" s="35" t="n">
        <v>8402.47</v>
      </c>
      <c r="BH301" s="35" t="n">
        <v>8516.912</v>
      </c>
      <c r="BI301" s="35" t="n">
        <v>8691.674</v>
      </c>
      <c r="BJ301" s="35" t="n">
        <v>8771.655</v>
      </c>
      <c r="BK301" s="35" t="n">
        <v>8919.7</v>
      </c>
      <c r="BL301" s="35" t="n">
        <v>8919.7</v>
      </c>
      <c r="BM301" s="35" t="n">
        <v>9034.5</v>
      </c>
      <c r="BN301" s="35" t="n">
        <v>9067.3</v>
      </c>
      <c r="BO301" s="35" t="n">
        <v>9138.7</v>
      </c>
      <c r="BP301" s="35" t="n">
        <v>9256.8</v>
      </c>
      <c r="BQ301" s="35" t="n">
        <v>9256.8</v>
      </c>
      <c r="BR301" s="35" t="n">
        <v>10428.1</v>
      </c>
      <c r="BS301" s="35" t="n">
        <v>10507.1</v>
      </c>
      <c r="BT301" s="35" t="n">
        <v>10819.9</v>
      </c>
      <c r="BU301" s="35" t="n">
        <v>10538</v>
      </c>
      <c r="BV301" s="35" t="n">
        <v>10538</v>
      </c>
      <c r="BW301" s="35" t="n">
        <v>10164</v>
      </c>
      <c r="BX301" s="35" t="n">
        <v>10139</v>
      </c>
      <c r="BY301" s="36"/>
      <c r="BZ301" s="36"/>
      <c r="CA301" s="36"/>
      <c r="CB301" s="36"/>
      <c r="CC301" s="36"/>
      <c r="CD301" s="36"/>
      <c r="CE301" s="36"/>
      <c r="CF301" s="28"/>
    </row>
    <row r="302" customFormat="false" ht="15" hidden="false" customHeight="true" outlineLevel="0" collapsed="false">
      <c r="B302" s="41" t="s">
        <v>524</v>
      </c>
      <c r="C302" s="34" t="n">
        <f aca="false">IF(AND(ISNUMBER(C269),ISNUMBER(C243)),ROUND(C269+N(C270)-C243,1),"")</f>
        <v>0</v>
      </c>
      <c r="D302" s="34" t="n">
        <f aca="false">IF(AND(ISNUMBER(D269),ISNUMBER(D243)),ROUND(D269+N(D270)-D243,1),"")</f>
        <v>0</v>
      </c>
      <c r="E302" s="34" t="n">
        <f aca="false">IF(AND(ISNUMBER(E269),ISNUMBER(E243)),ROUND(E269+N(E270)-E243,1),"")</f>
        <v>0</v>
      </c>
      <c r="F302" s="34" t="n">
        <f aca="false">IF(AND(ISNUMBER(F269),ISNUMBER(F243)),ROUND(F269+N(F270)-F243,1),"")</f>
        <v>0</v>
      </c>
      <c r="G302" s="34" t="n">
        <f aca="false">IF(AND(ISNUMBER(G269),ISNUMBER(G243)),ROUND(G269+N(G270)-G243,1),"")</f>
        <v>0</v>
      </c>
      <c r="H302" s="34" t="n">
        <f aca="false">IF(AND(ISNUMBER(H269),ISNUMBER(H243)),ROUND(H269+N(H270)-H243,1),"")</f>
        <v>0</v>
      </c>
      <c r="I302" s="34" t="n">
        <f aca="false">IF(AND(ISNUMBER(I269),ISNUMBER(I243)),ROUND(I269+N(I270)-I243,1),"")</f>
        <v>0</v>
      </c>
      <c r="J302" s="34" t="n">
        <f aca="false">IF(AND(ISNUMBER(J269),ISNUMBER(J243)),ROUND(J269+N(J270)-J243,1),"")</f>
        <v>0</v>
      </c>
      <c r="K302" s="34" t="n">
        <f aca="false">IF(AND(ISNUMBER(K269),ISNUMBER(K243)),ROUND(K269+N(K270)-K243,1),"")</f>
        <v>0</v>
      </c>
      <c r="L302" s="34" t="n">
        <f aca="false">IF(AND(ISNUMBER(L269),ISNUMBER(L243)),ROUND(L269+N(L270)-L243,1),"")</f>
        <v>0</v>
      </c>
      <c r="M302" s="34" t="n">
        <f aca="false">IF(AND(ISNUMBER(M269),ISNUMBER(M243)),ROUND(M269+N(M270)-M243,1),"")</f>
        <v>0</v>
      </c>
      <c r="N302" s="34" t="n">
        <f aca="false">IF(AND(ISNUMBER(N269),ISNUMBER(N243)),ROUND(N269+N(N270)-N243,1),"")</f>
        <v>0</v>
      </c>
      <c r="O302" s="34" t="n">
        <f aca="false">IF(AND(ISNUMBER(O269),ISNUMBER(O243)),ROUND(O269+N(O270)-O243,1),"")</f>
        <v>0</v>
      </c>
      <c r="P302" s="34" t="n">
        <f aca="false">IF(AND(ISNUMBER(P269),ISNUMBER(P243)),ROUND(P269+N(P270)-P243,1),"")</f>
        <v>0</v>
      </c>
      <c r="Q302" s="34" t="n">
        <f aca="false">IF(AND(ISNUMBER(Q269),ISNUMBER(Q243)),ROUND(Q269+N(Q270)-Q243,1),"")</f>
        <v>0</v>
      </c>
      <c r="R302" s="34" t="n">
        <f aca="false">IF(AND(ISNUMBER(R269),ISNUMBER(R243)),ROUND(R269+N(R270)-R243,1),"")</f>
        <v>0</v>
      </c>
      <c r="S302" s="34" t="n">
        <f aca="false">IF(AND(ISNUMBER(S269),ISNUMBER(S243)),ROUND(S269+N(S270)-S243,1),"")</f>
        <v>0</v>
      </c>
      <c r="T302" s="34" t="str">
        <f aca="false">IF(AND(ISNUMBER(T269),ISNUMBER(T243)),ROUND(T269+N(T270)-T243,1),"")</f>
        <v/>
      </c>
      <c r="U302" s="34" t="n">
        <f aca="false">IF(AND(ISNUMBER(U269),ISNUMBER(U243)),ROUND(U269+N(U270)-U243,1),"")</f>
        <v>0</v>
      </c>
      <c r="V302" s="34" t="n">
        <f aca="false">IF(AND(ISNUMBER(V269),ISNUMBER(V243)),ROUND(V269+N(V270)-V243,1),"")</f>
        <v>0</v>
      </c>
      <c r="W302" s="34" t="n">
        <f aca="false">IF(AND(ISNUMBER(W269),ISNUMBER(W243)),ROUND(W269+N(W270)-W243,1),"")</f>
        <v>0</v>
      </c>
      <c r="X302" s="34" t="n">
        <f aca="false">IF(AND(ISNUMBER(X269),ISNUMBER(X243)),ROUND(X269+N(X270)-X243,1),"")</f>
        <v>0</v>
      </c>
      <c r="Y302" s="34" t="n">
        <f aca="false">IF(AND(ISNUMBER(Y269),ISNUMBER(Y243)),ROUND(Y269+N(Y270)-Y243,1),"")</f>
        <v>0</v>
      </c>
      <c r="Z302" s="34" t="n">
        <f aca="false">IF(AND(ISNUMBER(Z269),ISNUMBER(Z243)),ROUND(Z269+N(Z270)-Z243,1),"")</f>
        <v>0</v>
      </c>
      <c r="AA302" s="34" t="n">
        <f aca="false">IF(AND(ISNUMBER(AA269),ISNUMBER(AA243)),ROUND(AA269+N(AA270)-AA243,1),"")</f>
        <v>0</v>
      </c>
      <c r="AB302" s="34" t="n">
        <f aca="false">IF(AND(ISNUMBER(AB269),ISNUMBER(AB243)),ROUND(AB269+N(AB270)-AB243,1),"")</f>
        <v>0</v>
      </c>
      <c r="AC302" s="34" t="n">
        <f aca="false">IF(AND(ISNUMBER(AC269),ISNUMBER(AC243)),ROUND(AC269+N(AC270)-AC243,1),"")</f>
        <v>0</v>
      </c>
      <c r="AD302" s="34" t="n">
        <f aca="false">IF(AND(ISNUMBER(AD269),ISNUMBER(AD243)),ROUND(AD269+N(AD270)-AD243,1),"")</f>
        <v>0</v>
      </c>
      <c r="AE302" s="34" t="n">
        <f aca="false">IF(AND(ISNUMBER(AE269),ISNUMBER(AE243)),ROUND(AE269+N(AE270)-AE243,1),"")</f>
        <v>0</v>
      </c>
      <c r="AF302" s="34" t="n">
        <f aca="false">IF(AND(ISNUMBER(AF269),ISNUMBER(AF243)),ROUND(AF269+N(AF270)-AF243,1),"")</f>
        <v>0</v>
      </c>
      <c r="AG302" s="34" t="n">
        <f aca="false">IF(AND(ISNUMBER(AG269),ISNUMBER(AG243)),ROUND(AG269+N(AG270)-AG243,1),"")</f>
        <v>0</v>
      </c>
      <c r="AH302" s="34" t="n">
        <f aca="false">IF(AND(ISNUMBER(AH269),ISNUMBER(AH243)),ROUND(AH269+N(AH270)-AH243,1),"")</f>
        <v>0</v>
      </c>
      <c r="AI302" s="34" t="n">
        <f aca="false">IF(AND(ISNUMBER(AI269),ISNUMBER(AI243)),ROUND(AI269+N(AI270)-AI243,1),"")</f>
        <v>0</v>
      </c>
      <c r="AJ302" s="34" t="n">
        <f aca="false">IF(AND(ISNUMBER(AJ269),ISNUMBER(AJ243)),ROUND(AJ269+N(AJ270)-AJ243,1),"")</f>
        <v>0</v>
      </c>
      <c r="AK302" s="34" t="n">
        <f aca="false">IF(AND(ISNUMBER(AK269),ISNUMBER(AK243)),ROUND(AK269+N(AK270)-AK243,1),"")</f>
        <v>0</v>
      </c>
      <c r="AL302" s="34" t="n">
        <f aca="false">IF(AND(ISNUMBER(AL269),ISNUMBER(AL243)),ROUND(AL269+N(AL270)-AL243,1),"")</f>
        <v>0</v>
      </c>
      <c r="AM302" s="34" t="n">
        <f aca="false">IF(AND(ISNUMBER(AM269),ISNUMBER(AM243)),ROUND(AM269+N(AM270)-AM243,1),"")</f>
        <v>0</v>
      </c>
      <c r="AN302" s="34" t="n">
        <f aca="false">IF(AND(ISNUMBER(AN269),ISNUMBER(AN243)),ROUND(AN269+N(AN270)-AN243,1),"")</f>
        <v>0</v>
      </c>
      <c r="AO302" s="34" t="n">
        <f aca="false">IF(AND(ISNUMBER(AO269),ISNUMBER(AO243)),ROUND(AO269+N(AO270)-AO243,1),"")</f>
        <v>0</v>
      </c>
      <c r="AP302" s="34" t="n">
        <f aca="false">IF(AND(ISNUMBER(AP269),ISNUMBER(AP243)),ROUND(AP269+N(AP270)-AP243,1),"")</f>
        <v>0</v>
      </c>
      <c r="AQ302" s="34" t="n">
        <f aca="false">IF(AND(ISNUMBER(AQ269),ISNUMBER(AQ243)),ROUND(AQ269+N(AQ270)-AQ243,1),"")</f>
        <v>0</v>
      </c>
      <c r="AR302" s="34" t="n">
        <f aca="false">IF(AND(ISNUMBER(AR269),ISNUMBER(AR243)),ROUND(AR269+N(AR270)-AR243,1),"")</f>
        <v>0</v>
      </c>
      <c r="AS302" s="34" t="n">
        <f aca="false">IF(AND(ISNUMBER(AS269),ISNUMBER(AS243)),ROUND(AS269+N(AS270)-AS243,1),"")</f>
        <v>0</v>
      </c>
      <c r="AT302" s="34" t="n">
        <f aca="false">IF(AND(ISNUMBER(AT269),ISNUMBER(AT243)),ROUND(AT269+N(AT270)-AT243,1),"")</f>
        <v>0</v>
      </c>
      <c r="AU302" s="34" t="n">
        <f aca="false">IF(AND(ISNUMBER(AU269),ISNUMBER(AU243)),ROUND(AU269+N(AU270)-AU243,1),"")</f>
        <v>0</v>
      </c>
      <c r="AV302" s="34" t="n">
        <f aca="false">IF(AND(ISNUMBER(AV269),ISNUMBER(AV243)),ROUND(AV269+N(AV270)-AV243,1),"")</f>
        <v>0</v>
      </c>
      <c r="AW302" s="34" t="n">
        <f aca="false">IF(AND(ISNUMBER(AW269),ISNUMBER(AW243)),ROUND(AW269+N(AW270)-AW243,1),"")</f>
        <v>0</v>
      </c>
      <c r="AX302" s="34" t="n">
        <f aca="false">IF(AND(ISNUMBER(AX269),ISNUMBER(AX243)),ROUND(AX269+N(AX270)-AX243,1),"")</f>
        <v>0</v>
      </c>
      <c r="AY302" s="34" t="n">
        <f aca="false">IF(AND(ISNUMBER(AY269),ISNUMBER(AY243)),ROUND(AY269+N(AY270)-AY243,1),"")</f>
        <v>0</v>
      </c>
      <c r="AZ302" s="34" t="n">
        <f aca="false">IF(AND(ISNUMBER(AZ269),ISNUMBER(AZ243)),ROUND(AZ269+N(AZ270)-AZ243,1),"")</f>
        <v>0</v>
      </c>
      <c r="BA302" s="34" t="n">
        <f aca="false">IF(AND(ISNUMBER(BA269),ISNUMBER(BA243)),ROUND(BA269+N(BA270)-BA243,1),"")</f>
        <v>0</v>
      </c>
      <c r="BB302" s="34" t="n">
        <f aca="false">IF(AND(ISNUMBER(BB269),ISNUMBER(BB243)),ROUND(BB269+N(BB270)-BB243,1),"")</f>
        <v>0</v>
      </c>
      <c r="BC302" s="34" t="n">
        <f aca="false">IF(AND(ISNUMBER(BC269),ISNUMBER(BC243)),ROUND(BC269+N(BC270)-BC243,1),"")</f>
        <v>0</v>
      </c>
      <c r="BD302" s="34" t="n">
        <f aca="false">IF(AND(ISNUMBER(BD269),ISNUMBER(BD243)),ROUND(BD269+N(BD270)-BD243,1),"")</f>
        <v>0</v>
      </c>
      <c r="BE302" s="34" t="n">
        <f aca="false">IF(AND(ISNUMBER(BE269),ISNUMBER(BE243)),ROUND(BE269+N(BE270)-BE243,1),"")</f>
        <v>0</v>
      </c>
      <c r="BF302" s="34" t="n">
        <f aca="false">IF(AND(ISNUMBER(BF269),ISNUMBER(BF243)),ROUND(BF269+N(BF270)-BF243,1),"")</f>
        <v>0</v>
      </c>
      <c r="BG302" s="34" t="n">
        <f aca="false">IF(AND(ISNUMBER(BG269),ISNUMBER(BG243)),ROUND(BG269+N(BG270)-BG243,1),"")</f>
        <v>0</v>
      </c>
      <c r="BH302" s="34" t="n">
        <f aca="false">IF(AND(ISNUMBER(BH269),ISNUMBER(BH243)),ROUND(BH269+N(BH270)-BH243,1),"")</f>
        <v>0</v>
      </c>
      <c r="BI302" s="34" t="n">
        <f aca="false">IF(AND(ISNUMBER(BI269),ISNUMBER(BI243)),ROUND(BI269+N(BI270)-BI243,1),"")</f>
        <v>0</v>
      </c>
      <c r="BJ302" s="34" t="n">
        <f aca="false">IF(AND(ISNUMBER(BJ269),ISNUMBER(BJ243)),ROUND(BJ269+N(BJ270)-BJ243,1),"")</f>
        <v>0</v>
      </c>
      <c r="BK302" s="34" t="n">
        <f aca="false">IF(AND(ISNUMBER(BK269),ISNUMBER(BK243)),ROUND(BK269+N(BK270)-BK243,1),"")</f>
        <v>0</v>
      </c>
      <c r="BL302" s="34" t="n">
        <f aca="false">IF(AND(ISNUMBER(BL269),ISNUMBER(BL243)),ROUND(BL269+N(BL270)-BL243,1),"")</f>
        <v>0</v>
      </c>
      <c r="BM302" s="34" t="n">
        <f aca="false">IF(AND(ISNUMBER(BM269),ISNUMBER(BM243)),ROUND(BM269+N(BM270)-BM243,1),"")</f>
        <v>0</v>
      </c>
      <c r="BN302" s="34" t="n">
        <f aca="false">IF(AND(ISNUMBER(BN269),ISNUMBER(BN243)),ROUND(BN269+N(BN270)-BN243,1),"")</f>
        <v>0</v>
      </c>
      <c r="BO302" s="34" t="n">
        <f aca="false">IF(AND(ISNUMBER(BO269),ISNUMBER(BO243)),ROUND(BO269+N(BO270)-BO243,1),"")</f>
        <v>0</v>
      </c>
      <c r="BP302" s="34" t="n">
        <f aca="false">IF(AND(ISNUMBER(BP269),ISNUMBER(BP243)),ROUND(BP269+N(BP270)-BP243,1),"")</f>
        <v>0</v>
      </c>
      <c r="BQ302" s="34" t="n">
        <f aca="false">IF(AND(ISNUMBER(BQ269),ISNUMBER(BQ243)),ROUND(BQ269+N(BQ270)-BQ243,1),"")</f>
        <v>0</v>
      </c>
      <c r="BR302" s="34" t="n">
        <f aca="false">IF(AND(ISNUMBER(BR269),ISNUMBER(BR243)),ROUND(BR269+N(BR270)-BR243,1),"")</f>
        <v>0</v>
      </c>
      <c r="BS302" s="34" t="n">
        <f aca="false">IF(AND(ISNUMBER(BS269),ISNUMBER(BS243)),ROUND(BS269+N(BS270)-BS243,1),"")</f>
        <v>0</v>
      </c>
      <c r="BT302" s="34" t="n">
        <f aca="false">IF(AND(ISNUMBER(BT269),ISNUMBER(BT243)),ROUND(BT269+N(BT270)-BT243,1),"")</f>
        <v>0</v>
      </c>
      <c r="BU302" s="34" t="n">
        <f aca="false">IF(AND(ISNUMBER(BU269),ISNUMBER(BU243)),ROUND(BU269+N(BU270)-BU243,1),"")</f>
        <v>0</v>
      </c>
      <c r="BV302" s="34" t="n">
        <f aca="false">IF(AND(ISNUMBER(BV269),ISNUMBER(BV243)),ROUND(BV269+N(BV270)-BV243,1),"")</f>
        <v>0</v>
      </c>
      <c r="BW302" s="34" t="n">
        <f aca="false">IF(AND(ISNUMBER(BW269),ISNUMBER(BW243)),ROUND(BW269+N(BW270)-BW243,1),"")</f>
        <v>0</v>
      </c>
      <c r="BX302" s="34" t="n">
        <f aca="false">IF(AND(ISNUMBER(BX269),ISNUMBER(BX243)),ROUND(BX269+N(BX270)-BX243,1),"")</f>
        <v>0</v>
      </c>
      <c r="BY302" s="36"/>
      <c r="BZ302" s="36"/>
      <c r="CA302" s="36" t="n">
        <f aca="false">ROUND(CA269+N(CA270)-CA243,1)</f>
        <v>0</v>
      </c>
      <c r="CB302" s="36" t="n">
        <f aca="false">ROUND(CB269+N(CB270)-CB243,1)</f>
        <v>0</v>
      </c>
      <c r="CC302" s="36" t="n">
        <f aca="false">ROUND(CC269+N(CC270)-CC243,1)</f>
        <v>0</v>
      </c>
      <c r="CD302" s="36" t="n">
        <f aca="false">ROUND(CD269+N(CD270)-CD243,1)</f>
        <v>0</v>
      </c>
      <c r="CE302" s="36" t="n">
        <f aca="false">ROUND(CE269+N(CE270)-CE243,1)</f>
        <v>0</v>
      </c>
      <c r="CF302" s="28"/>
    </row>
    <row r="304" customFormat="false" ht="15" hidden="false" customHeight="true" outlineLevel="0" collapsed="false">
      <c r="B304" s="11" t="s">
        <v>525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 t="s">
        <v>526</v>
      </c>
    </row>
    <row r="305" customFormat="false" ht="15" hidden="false" customHeight="true" outlineLevel="0" collapsed="false">
      <c r="B305" s="29" t="s">
        <v>527</v>
      </c>
      <c r="C305" s="34" t="n">
        <f aca="false">C121*1</f>
        <v>158.889</v>
      </c>
      <c r="D305" s="34" t="n">
        <f aca="false">D121*1</f>
        <v>192.805</v>
      </c>
      <c r="E305" s="34" t="n">
        <f aca="false">E121*1</f>
        <v>212.428</v>
      </c>
      <c r="F305" s="34" t="n">
        <f aca="false">F121*1</f>
        <v>209.659</v>
      </c>
      <c r="G305" s="34" t="n">
        <f aca="false">G121*1</f>
        <v>226.26</v>
      </c>
      <c r="H305" s="34" t="n">
        <f aca="false">H121*1</f>
        <v>251.738</v>
      </c>
      <c r="I305" s="34" t="n">
        <f aca="false">I121*1</f>
        <v>349.936</v>
      </c>
      <c r="J305" s="34" t="n">
        <f aca="false">J121*4</f>
        <v>416.132</v>
      </c>
      <c r="K305" s="34" t="n">
        <f aca="false">K121*4</f>
        <v>435.996</v>
      </c>
      <c r="L305" s="34" t="n">
        <f aca="false">L121*4</f>
        <v>449.204</v>
      </c>
      <c r="M305" s="34" t="n">
        <f aca="false">M121*4</f>
        <v>462.44</v>
      </c>
      <c r="N305" s="34" t="n">
        <f aca="false">N121*1</f>
        <v>440.943</v>
      </c>
      <c r="O305" s="34" t="n">
        <f aca="false">O121*4</f>
        <v>476.304</v>
      </c>
      <c r="P305" s="34" t="n">
        <f aca="false">P121*4</f>
        <v>590.832</v>
      </c>
      <c r="Q305" s="34" t="n">
        <f aca="false">Q121*4</f>
        <v>612.224</v>
      </c>
      <c r="R305" s="34" t="n">
        <f aca="false">R121*4</f>
        <v>624.384</v>
      </c>
      <c r="S305" s="34" t="n">
        <f aca="false">S121*1</f>
        <v>575.936</v>
      </c>
      <c r="T305" s="34" t="n">
        <f aca="false">T121*4</f>
        <v>636.08</v>
      </c>
      <c r="U305" s="34" t="n">
        <f aca="false">U121*4</f>
        <v>682.628</v>
      </c>
      <c r="V305" s="34" t="n">
        <f aca="false">V121*4</f>
        <v>756.312</v>
      </c>
      <c r="W305" s="34" t="n">
        <f aca="false">W121*4</f>
        <v>772.036</v>
      </c>
      <c r="X305" s="34" t="n">
        <f aca="false">X121*1</f>
        <v>711.764</v>
      </c>
      <c r="Y305" s="34" t="n">
        <f aca="false">Y121*4</f>
        <v>798.956</v>
      </c>
      <c r="Z305" s="34" t="n">
        <f aca="false">Z121*4</f>
        <v>827.476</v>
      </c>
      <c r="AA305" s="34" t="n">
        <f aca="false">AA121*4</f>
        <v>850.844</v>
      </c>
      <c r="AB305" s="34" t="n">
        <f aca="false">AB121*4</f>
        <v>873.244</v>
      </c>
      <c r="AC305" s="34" t="n">
        <f aca="false">AC121*1</f>
        <v>837.63</v>
      </c>
      <c r="AD305" s="34" t="n">
        <f aca="false">AD121*4</f>
        <v>906.212</v>
      </c>
      <c r="AE305" s="34" t="n">
        <f aca="false">AE121*4</f>
        <v>948.612</v>
      </c>
      <c r="AF305" s="34" t="n">
        <f aca="false">AF121*4</f>
        <v>990.132</v>
      </c>
      <c r="AG305" s="34" t="n">
        <f aca="false">AG121*4</f>
        <v>1015.964</v>
      </c>
      <c r="AH305" s="34" t="n">
        <f aca="false">AH121*1</f>
        <v>965.23</v>
      </c>
      <c r="AI305" s="34" t="n">
        <f aca="false">AI121*4</f>
        <v>1094.872</v>
      </c>
      <c r="AJ305" s="34" t="n">
        <f aca="false">AJ121*4</f>
        <v>1188.072</v>
      </c>
      <c r="AK305" s="34" t="n">
        <f aca="false">AK121*4</f>
        <v>1222.1</v>
      </c>
      <c r="AL305" s="34" t="n">
        <f aca="false">AL121*4</f>
        <v>1262.284</v>
      </c>
      <c r="AM305" s="34" t="n">
        <f aca="false">AM121*1</f>
        <v>1191.832</v>
      </c>
      <c r="AN305" s="34" t="n">
        <f aca="false">AN121*4</f>
        <v>1313.7</v>
      </c>
      <c r="AO305" s="34" t="n">
        <f aca="false">AO121*4</f>
        <v>1375.04</v>
      </c>
      <c r="AP305" s="34" t="n">
        <f aca="false">AP121*4</f>
        <v>1411.232</v>
      </c>
      <c r="AQ305" s="34" t="n">
        <f aca="false">AQ121*4</f>
        <v>1498.904</v>
      </c>
      <c r="AR305" s="34" t="n">
        <f aca="false">AR121*1</f>
        <v>1399.719</v>
      </c>
      <c r="AS305" s="34" t="n">
        <f aca="false">AS121*4</f>
        <v>1567.388</v>
      </c>
      <c r="AT305" s="34" t="n">
        <f aca="false">AT121*4</f>
        <v>1588.636</v>
      </c>
      <c r="AU305" s="34" t="n">
        <f aca="false">AU121*4</f>
        <v>1702.48</v>
      </c>
      <c r="AV305" s="34" t="n">
        <f aca="false">AV121*4</f>
        <v>1777.572</v>
      </c>
      <c r="AW305" s="34" t="n">
        <f aca="false">AW121*1</f>
        <v>1659.019</v>
      </c>
      <c r="AX305" s="34" t="n">
        <f aca="false">AX121*4</f>
        <v>1830.788</v>
      </c>
      <c r="AY305" s="34" t="n">
        <f aca="false">AY121*4</f>
        <v>1921.332</v>
      </c>
      <c r="AZ305" s="34" t="n">
        <f aca="false">AZ121*4</f>
        <v>1997.276</v>
      </c>
      <c r="BA305" s="34" t="n">
        <f aca="false">BA121*4</f>
        <v>2027.144</v>
      </c>
      <c r="BB305" s="34" t="n">
        <f aca="false">BB121*1</f>
        <v>1944.135</v>
      </c>
      <c r="BC305" s="34" t="n">
        <f aca="false">BC121*4</f>
        <v>2063.3</v>
      </c>
      <c r="BD305" s="34" t="n">
        <f aca="false">BD121*4</f>
        <v>2145.232</v>
      </c>
      <c r="BE305" s="34" t="n">
        <f aca="false">BE121*4</f>
        <v>2227.684</v>
      </c>
      <c r="BF305" s="34" t="n">
        <f aca="false">BF121*4</f>
        <v>2293.38</v>
      </c>
      <c r="BG305" s="34" t="n">
        <f aca="false">BG121*1</f>
        <v>2182.399</v>
      </c>
      <c r="BH305" s="34" t="n">
        <f aca="false">BH121*4</f>
        <v>2337.464</v>
      </c>
      <c r="BI305" s="34" t="n">
        <f aca="false">BI121*4</f>
        <v>2423.624</v>
      </c>
      <c r="BJ305" s="34" t="n">
        <f aca="false">BJ121*4</f>
        <v>2498.676</v>
      </c>
      <c r="BK305" s="34" t="n">
        <f aca="false">BK121*4</f>
        <v>2560.236</v>
      </c>
      <c r="BL305" s="34" t="n">
        <f aca="false">BL121*1</f>
        <v>2455</v>
      </c>
      <c r="BM305" s="34" t="n">
        <f aca="false">BM121*4</f>
        <v>2625.6</v>
      </c>
      <c r="BN305" s="34" t="n">
        <f aca="false">BN121*4</f>
        <v>2711.2</v>
      </c>
      <c r="BO305" s="34" t="n">
        <f aca="false">BO121*4</f>
        <v>2770.4</v>
      </c>
      <c r="BP305" s="34" t="n">
        <f aca="false">BP121*4</f>
        <v>2837.6</v>
      </c>
      <c r="BQ305" s="34" t="n">
        <f aca="false">BQ121*1</f>
        <v>2736.2</v>
      </c>
      <c r="BR305" s="34" t="n">
        <f aca="false">BR121*4</f>
        <v>2928.8</v>
      </c>
      <c r="BS305" s="34" t="n">
        <f aca="false">BS121*4</f>
        <v>3125.2</v>
      </c>
      <c r="BT305" s="34" t="n">
        <f aca="false">BT121*4</f>
        <v>3334.4</v>
      </c>
      <c r="BU305" s="34" t="n">
        <f aca="false">BU121*4</f>
        <v>3599.6</v>
      </c>
      <c r="BV305" s="34" t="n">
        <f aca="false">BV121*1</f>
        <v>3247</v>
      </c>
      <c r="BW305" s="34" t="n">
        <f aca="false">BW121*4</f>
        <v>3588</v>
      </c>
      <c r="BX305" s="34" t="n">
        <f aca="false">BX121*4</f>
        <v>3700</v>
      </c>
      <c r="BY305" s="36"/>
      <c r="BZ305" s="36"/>
      <c r="CA305" s="36" t="n">
        <f aca="false">CA121+CA57*(365-CA55)/365</f>
        <v>3918.6</v>
      </c>
      <c r="CB305" s="36" t="n">
        <f aca="false">CB121</f>
        <v>4324.89990351626</v>
      </c>
      <c r="CC305" s="36" t="n">
        <f aca="false">CC121</f>
        <v>4750.8791255357</v>
      </c>
      <c r="CD305" s="36" t="n">
        <f aca="false">CD121</f>
        <v>5185.06516793768</v>
      </c>
      <c r="CE305" s="36" t="n">
        <f aca="false">CE121</f>
        <v>5621.49450282856</v>
      </c>
      <c r="CF305" s="28" t="s">
        <v>528</v>
      </c>
    </row>
    <row r="306" customFormat="false" ht="15" hidden="false" customHeight="true" outlineLevel="0" collapsed="false">
      <c r="B306" s="29" t="s">
        <v>529</v>
      </c>
      <c r="C306" s="65" t="n">
        <f aca="false">IFERROR(C272/C305*365,"n/a")</f>
        <v>21.1388453574508</v>
      </c>
      <c r="D306" s="65" t="n">
        <f aca="false">IFERROR(D272/D305*365,"n/a")</f>
        <v>20.5875106973367</v>
      </c>
      <c r="E306" s="65" t="n">
        <f aca="false">IFERROR(E272/E305*365,"n/a")</f>
        <v>21.1239102189918</v>
      </c>
      <c r="F306" s="65" t="n">
        <f aca="false">IFERROR(F272/F305*365,"n/a")</f>
        <v>22.379554419319</v>
      </c>
      <c r="G306" s="65" t="n">
        <f aca="false">IFERROR(G272/G305*365,"n/a")</f>
        <v>21.123088482277</v>
      </c>
      <c r="H306" s="65" t="n">
        <f aca="false">IFERROR(H272/H305*365,"n/a")</f>
        <v>24.0527254526532</v>
      </c>
      <c r="I306" s="65" t="n">
        <f aca="false">IFERROR(I272/I305*365,"n/a")</f>
        <v>17.0976407114444</v>
      </c>
      <c r="J306" s="65" t="n">
        <f aca="false">IFERROR(J272/J305*365,"n/a")</f>
        <v>21.4194053809849</v>
      </c>
      <c r="K306" s="65" t="n">
        <f aca="false">IFERROR(K272/K305*365,"n/a")</f>
        <v>20.7683556729878</v>
      </c>
      <c r="L306" s="65" t="n">
        <f aca="false">IFERROR(L272/L305*365,"n/a")</f>
        <v>18.6561116998068</v>
      </c>
      <c r="M306" s="65" t="n">
        <f aca="false">IFERROR(M272/M305*365,"n/a")</f>
        <v>16.3864825707119</v>
      </c>
      <c r="N306" s="65" t="n">
        <f aca="false">IFERROR(N272/N305*365,"n/a")</f>
        <v>17.1853618268121</v>
      </c>
      <c r="O306" s="65" t="n">
        <f aca="false">IFERROR(O272/O305*365,"n/a")</f>
        <v>24.7413206691525</v>
      </c>
      <c r="P306" s="65" t="n">
        <f aca="false">IFERROR(P272/P305*365,"n/a")</f>
        <v>24.5014911176104</v>
      </c>
      <c r="Q306" s="65" t="n">
        <f aca="false">IFERROR(Q272/Q305*365,"n/a")</f>
        <v>23.2816991819987</v>
      </c>
      <c r="R306" s="65" t="n">
        <f aca="false">IFERROR(R272/R305*365,"n/a")</f>
        <v>22.6195898677737</v>
      </c>
      <c r="S306" s="65" t="n">
        <f aca="false">IFERROR(S272/S305*365,"n/a")</f>
        <v>24.522360123347</v>
      </c>
      <c r="T306" s="65" t="n">
        <f aca="false">IFERROR(T272/T305*365,"n/a")</f>
        <v>0</v>
      </c>
      <c r="U306" s="65" t="n">
        <f aca="false">IFERROR(U272/U305*365,"n/a")</f>
        <v>29.0779604704173</v>
      </c>
      <c r="V306" s="65" t="n">
        <f aca="false">IFERROR(V272/V305*365,"n/a")</f>
        <v>24.6447101196332</v>
      </c>
      <c r="W306" s="65" t="n">
        <f aca="false">IFERROR(W272/W305*365,"n/a")</f>
        <v>19.041521379832</v>
      </c>
      <c r="X306" s="65" t="n">
        <f aca="false">IFERROR(X272/X305*365,"n/a")</f>
        <v>20.6539527146639</v>
      </c>
      <c r="Y306" s="65" t="n">
        <f aca="false">IFERROR(Y272/Y305*365,"n/a")</f>
        <v>21.6156772087574</v>
      </c>
      <c r="Z306" s="65" t="n">
        <f aca="false">IFERROR(Z272/Z305*365,"n/a")</f>
        <v>20.2420976560045</v>
      </c>
      <c r="AA306" s="65" t="n">
        <f aca="false">IFERROR(AA272/AA305*365,"n/a")</f>
        <v>20.3600953876386</v>
      </c>
      <c r="AB306" s="65" t="n">
        <f aca="false">IFERROR(AB272/AB305*365,"n/a")</f>
        <v>20.2875771262099</v>
      </c>
      <c r="AC306" s="65" t="n">
        <f aca="false">IFERROR(AC272/AC305*365,"n/a")</f>
        <v>21.1501557967122</v>
      </c>
      <c r="AD306" s="65" t="n">
        <f aca="false">IFERROR(AD272/AD305*365,"n/a")</f>
        <v>19.9603459234704</v>
      </c>
      <c r="AE306" s="65" t="n">
        <f aca="false">IFERROR(AE272/AE305*365,"n/a")</f>
        <v>19.8204112956615</v>
      </c>
      <c r="AF306" s="65" t="n">
        <f aca="false">IFERROR(AF272/AF305*365,"n/a")</f>
        <v>22.4393464709756</v>
      </c>
      <c r="AG306" s="65" t="n">
        <f aca="false">IFERROR(AG272/AG305*365,"n/a")</f>
        <v>21.8792201298471</v>
      </c>
      <c r="AH306" s="65" t="n">
        <f aca="false">IFERROR(AH272/AH305*365,"n/a")</f>
        <v>23.029226194793</v>
      </c>
      <c r="AI306" s="65" t="n">
        <f aca="false">IFERROR(AI272/AI305*365,"n/a")</f>
        <v>22.9740188807459</v>
      </c>
      <c r="AJ306" s="65" t="n">
        <f aca="false">IFERROR(AJ272/AJ305*365,"n/a")</f>
        <v>21.5005151202957</v>
      </c>
      <c r="AK306" s="65" t="n">
        <f aca="false">IFERROR(AK272/AK305*365,"n/a")</f>
        <v>24.5739587595123</v>
      </c>
      <c r="AL306" s="65" t="n">
        <f aca="false">IFERROR(AL272/AL305*365,"n/a")</f>
        <v>25.7906144734465</v>
      </c>
      <c r="AM306" s="65" t="n">
        <f aca="false">IFERROR(AM272/AM305*365,"n/a")</f>
        <v>27.3151585122735</v>
      </c>
      <c r="AN306" s="65" t="n">
        <f aca="false">IFERROR(AN272/AN305*365,"n/a")</f>
        <v>25.7950559488468</v>
      </c>
      <c r="AO306" s="65" t="n">
        <f aca="false">IFERROR(AO272/AO305*365,"n/a")</f>
        <v>25.37220371771</v>
      </c>
      <c r="AP306" s="65" t="n">
        <f aca="false">IFERROR(AP272/AP305*365,"n/a")</f>
        <v>23.6202304086075</v>
      </c>
      <c r="AQ306" s="65" t="n">
        <f aca="false">IFERROR(AQ272/AQ305*365,"n/a")</f>
        <v>22.4614785203055</v>
      </c>
      <c r="AR306" s="65" t="n">
        <f aca="false">IFERROR(AR272/AR305*365,"n/a")</f>
        <v>24.0531135177846</v>
      </c>
      <c r="AS306" s="65" t="n">
        <f aca="false">IFERROR(AS272/AS305*365,"n/a")</f>
        <v>24.203965450801</v>
      </c>
      <c r="AT306" s="65" t="n">
        <f aca="false">IFERROR(AT272/AT305*365,"n/a")</f>
        <v>23.0455308830972</v>
      </c>
      <c r="AU306" s="65" t="n">
        <f aca="false">IFERROR(AU272/AU305*365,"n/a")</f>
        <v>22.514279169212</v>
      </c>
      <c r="AV306" s="65" t="n">
        <f aca="false">IFERROR(AV272/AV305*365,"n/a")</f>
        <v>21.3444996883389</v>
      </c>
      <c r="AW306" s="65" t="n">
        <f aca="false">IFERROR(AW272/AW305*365,"n/a")</f>
        <v>22.8697712322764</v>
      </c>
      <c r="AX306" s="65" t="n">
        <f aca="false">IFERROR(AX272/AX305*365,"n/a")</f>
        <v>21.8901751595488</v>
      </c>
      <c r="AY306" s="65" t="n">
        <f aca="false">IFERROR(AY272/AY305*365,"n/a")</f>
        <v>20.5681188883545</v>
      </c>
      <c r="AZ306" s="65" t="n">
        <f aca="false">IFERROR(AZ272/AZ305*365,"n/a")</f>
        <v>21.1350934973434</v>
      </c>
      <c r="BA306" s="65" t="n">
        <f aca="false">IFERROR(BA272/BA305*365,"n/a")</f>
        <v>22.4740842288461</v>
      </c>
      <c r="BB306" s="65" t="n">
        <f aca="false">IFERROR(BB272/BB305*365,"n/a")</f>
        <v>23.4336633001309</v>
      </c>
      <c r="BC306" s="65" t="n">
        <f aca="false">IFERROR(BC272/BC305*365,"n/a")</f>
        <v>23.8777540832647</v>
      </c>
      <c r="BD306" s="65" t="n">
        <f aca="false">IFERROR(BD272/BD305*365,"n/a")</f>
        <v>25.8914397137466</v>
      </c>
      <c r="BE306" s="65" t="n">
        <f aca="false">IFERROR(BE272/BE305*365,"n/a")</f>
        <v>24.2117149470033</v>
      </c>
      <c r="BF306" s="65" t="n">
        <f aca="false">IFERROR(BF272/BF305*365,"n/a")</f>
        <v>24.500922219606</v>
      </c>
      <c r="BG306" s="65" t="n">
        <f aca="false">IFERROR(BG272/BG305*365,"n/a")</f>
        <v>25.746861595886</v>
      </c>
      <c r="BH306" s="65" t="n">
        <f aca="false">IFERROR(BH272/BH305*365,"n/a")</f>
        <v>28.3819002132225</v>
      </c>
      <c r="BI306" s="65" t="n">
        <f aca="false">IFERROR(BI272/BI305*365,"n/a")</f>
        <v>27.2908442068572</v>
      </c>
      <c r="BJ306" s="65" t="n">
        <f aca="false">IFERROR(BJ272/BJ305*365,"n/a")</f>
        <v>28.1682439019705</v>
      </c>
      <c r="BK306" s="65" t="n">
        <f aca="false">IFERROR(BK272/BK305*365,"n/a")</f>
        <v>27.0873466352321</v>
      </c>
      <c r="BL306" s="65" t="n">
        <f aca="false">IFERROR(BL272/BL305*365,"n/a")</f>
        <v>28.2484725050916</v>
      </c>
      <c r="BM306" s="65" t="n">
        <f aca="false">IFERROR(BM272/BM305*365,"n/a")</f>
        <v>27.4417276051188</v>
      </c>
      <c r="BN306" s="65" t="n">
        <f aca="false">IFERROR(BN272/BN305*365,"n/a")</f>
        <v>27.4369282974329</v>
      </c>
      <c r="BO306" s="65" t="n">
        <f aca="false">IFERROR(BO272/BO305*365,"n/a")</f>
        <v>23.5568870921167</v>
      </c>
      <c r="BP306" s="65" t="n">
        <f aca="false">IFERROR(BP272/BP305*365,"n/a")</f>
        <v>24.1695446856498</v>
      </c>
      <c r="BQ306" s="65" t="n">
        <f aca="false">IFERROR(BQ272/BQ305*365,"n/a")</f>
        <v>25.0652364593232</v>
      </c>
      <c r="BR306" s="65" t="n">
        <f aca="false">IFERROR(BR272/BR305*365,"n/a")</f>
        <v>25.7972548484021</v>
      </c>
      <c r="BS306" s="65" t="n">
        <f aca="false">IFERROR(BS272/BS305*365,"n/a")</f>
        <v>23.8023166517343</v>
      </c>
      <c r="BT306" s="65" t="n">
        <f aca="false">IFERROR(BT272/BT305*365,"n/a")</f>
        <v>26.6875599808061</v>
      </c>
      <c r="BU306" s="65" t="n">
        <f aca="false">IFERROR(BU272/BU305*365,"n/a")</f>
        <v>23.7276364040449</v>
      </c>
      <c r="BV306" s="65" t="n">
        <f aca="false">IFERROR(BV272/BV305*365,"n/a")</f>
        <v>26.3042808746535</v>
      </c>
      <c r="BW306" s="65" t="n">
        <f aca="false">IFERROR(BW272/BW305*365,"n/a")</f>
        <v>27.3648272017837</v>
      </c>
      <c r="BX306" s="65" t="n">
        <f aca="false">IFERROR(BX272/BX305*365,"n/a")</f>
        <v>24.9581081081081</v>
      </c>
      <c r="BY306" s="66"/>
      <c r="BZ306" s="66"/>
      <c r="CA306" s="67" t="n">
        <v>26</v>
      </c>
      <c r="CB306" s="66" t="n">
        <f aca="false">$CA306</f>
        <v>26</v>
      </c>
      <c r="CC306" s="66" t="n">
        <f aca="false">$CA306</f>
        <v>26</v>
      </c>
      <c r="CD306" s="66" t="n">
        <f aca="false">$CA306</f>
        <v>26</v>
      </c>
      <c r="CE306" s="66" t="n">
        <f aca="false">$CA306</f>
        <v>26</v>
      </c>
      <c r="CF306" s="28" t="s">
        <v>530</v>
      </c>
      <c r="CH306" s="32" t="n">
        <f aca="false">IFERROR(AVERAGE(CA306,CB306,CC306,CD306,CE306),"n/m")</f>
        <v>26</v>
      </c>
      <c r="CI306" s="32" t="n">
        <f aca="false">IFERROR(AVERAGE(BB306,BG306,BL306,BQ306,BV306),"n/m")</f>
        <v>25.759702947017</v>
      </c>
      <c r="CJ306" s="32" t="n">
        <f aca="false">IFERROR(AVERAGE(AC306,AH306,AM306,AR306,AW306,BB306,BG306,BL306,BQ306,BV306),"n/m")</f>
        <v>24.7215939988925</v>
      </c>
      <c r="CK306" s="32" t="n">
        <f aca="false">IFERROR(AVERAGE(C306,D306,E306,F306,G306,H306,I306,N306,S306,X306,AC306,AH306,AM306,AR306,AW306,BB306,BG306,BL306,BQ306,BV306),"n/m")</f>
        <v>22.854044499661</v>
      </c>
    </row>
    <row r="307" customFormat="false" ht="15" hidden="false" customHeight="true" outlineLevel="0" collapsed="false">
      <c r="B307" s="29" t="s">
        <v>531</v>
      </c>
      <c r="C307" s="25" t="n">
        <f aca="false">IFERROR(C279/C305,"n/a")</f>
        <v>0</v>
      </c>
      <c r="D307" s="25" t="n">
        <f aca="false">IFERROR(D279/D305,"n/a")</f>
        <v>0</v>
      </c>
      <c r="E307" s="25" t="n">
        <f aca="false">IFERROR(E279/E305,"n/a")</f>
        <v>0</v>
      </c>
      <c r="F307" s="25" t="n">
        <f aca="false">IFERROR(F279/F305,"n/a")</f>
        <v>0</v>
      </c>
      <c r="G307" s="25" t="n">
        <f aca="false">IFERROR(G279/G305,"n/a")</f>
        <v>0</v>
      </c>
      <c r="H307" s="25" t="n">
        <f aca="false">IFERROR(H279/H305,"n/a")</f>
        <v>0</v>
      </c>
      <c r="I307" s="25" t="n">
        <f aca="false">IFERROR(I279/I305,"n/a")</f>
        <v>0</v>
      </c>
      <c r="J307" s="25" t="n">
        <f aca="false">IFERROR(J279/J305,"n/a")</f>
        <v>0</v>
      </c>
      <c r="K307" s="25" t="n">
        <f aca="false">IFERROR(K279/K305,"n/a")</f>
        <v>0</v>
      </c>
      <c r="L307" s="25" t="n">
        <f aca="false">IFERROR(L279/L305,"n/a")</f>
        <v>0</v>
      </c>
      <c r="M307" s="25" t="n">
        <f aca="false">IFERROR(M279/M305,"n/a")</f>
        <v>0</v>
      </c>
      <c r="N307" s="25" t="n">
        <f aca="false">IFERROR(N279/N305,"n/a")</f>
        <v>0</v>
      </c>
      <c r="O307" s="25" t="n">
        <f aca="false">IFERROR(O279/O305,"n/a")</f>
        <v>0</v>
      </c>
      <c r="P307" s="25" t="n">
        <f aca="false">IFERROR(P279/P305,"n/a")</f>
        <v>0</v>
      </c>
      <c r="Q307" s="25" t="n">
        <f aca="false">IFERROR(Q279/Q305,"n/a")</f>
        <v>0</v>
      </c>
      <c r="R307" s="25" t="n">
        <f aca="false">IFERROR(R279/R305,"n/a")</f>
        <v>0</v>
      </c>
      <c r="S307" s="25" t="n">
        <f aca="false">IFERROR(S279/S305,"n/a")</f>
        <v>0</v>
      </c>
      <c r="T307" s="25" t="n">
        <f aca="false">IFERROR(T279/T305,"n/a")</f>
        <v>0</v>
      </c>
      <c r="U307" s="25" t="n">
        <f aca="false">IFERROR(U279/U305,"n/a")</f>
        <v>0</v>
      </c>
      <c r="V307" s="25" t="n">
        <f aca="false">IFERROR(V279/V305,"n/a")</f>
        <v>0</v>
      </c>
      <c r="W307" s="25" t="n">
        <f aca="false">IFERROR(W279/W305,"n/a")</f>
        <v>0</v>
      </c>
      <c r="X307" s="25" t="n">
        <f aca="false">IFERROR(X279/X305,"n/a")</f>
        <v>0</v>
      </c>
      <c r="Y307" s="25" t="n">
        <f aca="false">IFERROR(Y279/Y305,"n/a")</f>
        <v>0</v>
      </c>
      <c r="Z307" s="25" t="n">
        <f aca="false">IFERROR(Z279/Z305,"n/a")</f>
        <v>0</v>
      </c>
      <c r="AA307" s="25" t="n">
        <f aca="false">IFERROR(AA279/AA305,"n/a")</f>
        <v>0</v>
      </c>
      <c r="AB307" s="25" t="n">
        <f aca="false">IFERROR(AB279/AB305,"n/a")</f>
        <v>0</v>
      </c>
      <c r="AC307" s="25" t="n">
        <f aca="false">IFERROR(AC279/AC305,"n/a")</f>
        <v>0</v>
      </c>
      <c r="AD307" s="25" t="n">
        <f aca="false">IFERROR(AD279/AD305,"n/a")</f>
        <v>0</v>
      </c>
      <c r="AE307" s="25" t="n">
        <f aca="false">IFERROR(AE279/AE305,"n/a")</f>
        <v>0</v>
      </c>
      <c r="AF307" s="25" t="n">
        <f aca="false">IFERROR(AF279/AF305,"n/a")</f>
        <v>0</v>
      </c>
      <c r="AG307" s="25" t="n">
        <f aca="false">IFERROR(AG279/AG305,"n/a")</f>
        <v>0</v>
      </c>
      <c r="AH307" s="25" t="n">
        <f aca="false">IFERROR(AH279/AH305,"n/a")</f>
        <v>0</v>
      </c>
      <c r="AI307" s="25" t="n">
        <f aca="false">IFERROR(AI279/AI305,"n/a")</f>
        <v>0.0686847412300251</v>
      </c>
      <c r="AJ307" s="25" t="n">
        <f aca="false">IFERROR(AJ279/AJ305,"n/a")</f>
        <v>0.0641030173255493</v>
      </c>
      <c r="AK307" s="25" t="n">
        <f aca="false">IFERROR(AK279/AK305,"n/a")</f>
        <v>0.0622387693314786</v>
      </c>
      <c r="AL307" s="25" t="n">
        <f aca="false">IFERROR(AL279/AL305,"n/a")</f>
        <v>0.0602328794470975</v>
      </c>
      <c r="AM307" s="25" t="n">
        <f aca="false">IFERROR(AM279/AM305,"n/a")</f>
        <v>0.0637933869874278</v>
      </c>
      <c r="AN307" s="25" t="n">
        <f aca="false">IFERROR(AN279/AN305,"n/a")</f>
        <v>0.0588985308670168</v>
      </c>
      <c r="AO307" s="25" t="n">
        <f aca="false">IFERROR(AO279/AO305,"n/a")</f>
        <v>0.0609974982545962</v>
      </c>
      <c r="AP307" s="25" t="n">
        <f aca="false">IFERROR(AP279/AP305,"n/a")</f>
        <v>0.0606725187637469</v>
      </c>
      <c r="AQ307" s="25" t="n">
        <f aca="false">IFERROR(AQ279/AQ305,"n/a")</f>
        <v>0.0596262335679937</v>
      </c>
      <c r="AR307" s="25" t="n">
        <f aca="false">IFERROR(AR279/AR305,"n/a")</f>
        <v>0.0638513873141681</v>
      </c>
      <c r="AS307" s="25" t="n">
        <f aca="false">IFERROR(AS279/AS305,"n/a")</f>
        <v>0.0580583748248679</v>
      </c>
      <c r="AT307" s="25" t="n">
        <f aca="false">IFERROR(AT279/AT305,"n/a")</f>
        <v>0.0577300275204641</v>
      </c>
      <c r="AU307" s="25" t="n">
        <f aca="false">IFERROR(AU279/AU305,"n/a")</f>
        <v>0.0546297166486537</v>
      </c>
      <c r="AV307" s="25" t="n">
        <f aca="false">IFERROR(AV279/AV305,"n/a")</f>
        <v>0.0524726987148763</v>
      </c>
      <c r="AW307" s="25" t="n">
        <f aca="false">IFERROR(AW279/AW305,"n/a")</f>
        <v>0.0562223820221468</v>
      </c>
      <c r="AX307" s="25" t="n">
        <f aca="false">IFERROR(AX279/AX305,"n/a")</f>
        <v>0.0508283864652816</v>
      </c>
      <c r="AY307" s="25" t="n">
        <f aca="false">IFERROR(AY279/AY305,"n/a")</f>
        <v>0.0491258147993163</v>
      </c>
      <c r="AZ307" s="25" t="n">
        <f aca="false">IFERROR(AZ279/AZ305,"n/a")</f>
        <v>0.0482171717879752</v>
      </c>
      <c r="BA307" s="25" t="n">
        <f aca="false">IFERROR(BA279/BA305,"n/a")</f>
        <v>0.0502574064792634</v>
      </c>
      <c r="BB307" s="25" t="n">
        <f aca="false">IFERROR(BB279/BB305,"n/a")</f>
        <v>0.0524032538892618</v>
      </c>
      <c r="BC307" s="25" t="n">
        <f aca="false">IFERROR(BC279/BC305,"n/a")</f>
        <v>0.0533528813066447</v>
      </c>
      <c r="BD307" s="25" t="n">
        <f aca="false">IFERROR(BD279/BD305,"n/a")</f>
        <v>0.0558345204621225</v>
      </c>
      <c r="BE307" s="25" t="n">
        <f aca="false">IFERROR(BE279/BE305,"n/a")</f>
        <v>0.0582735253294453</v>
      </c>
      <c r="BF307" s="25" t="n">
        <f aca="false">IFERROR(BF279/BF305,"n/a")</f>
        <v>0.0621275148470816</v>
      </c>
      <c r="BG307" s="25" t="n">
        <f aca="false">IFERROR(BG279/BG305,"n/a")</f>
        <v>0.0652868700911245</v>
      </c>
      <c r="BH307" s="25" t="n">
        <f aca="false">IFERROR(BH279/BH305,"n/a")</f>
        <v>0.0654251787407207</v>
      </c>
      <c r="BI307" s="25" t="n">
        <f aca="false">IFERROR(BI279/BI305,"n/a")</f>
        <v>0.0670033800622539</v>
      </c>
      <c r="BJ307" s="25" t="n">
        <f aca="false">IFERROR(BJ279/BJ305,"n/a")</f>
        <v>0.0663735514328388</v>
      </c>
      <c r="BK307" s="25" t="n">
        <f aca="false">IFERROR(BK279/BK305,"n/a")</f>
        <v>0.0655017740552043</v>
      </c>
      <c r="BL307" s="25" t="n">
        <f aca="false">IFERROR(BL279/BL305,"n/a")</f>
        <v>0.0683095723014257</v>
      </c>
      <c r="BM307" s="25" t="n">
        <f aca="false">IFERROR(BM279/BM305,"n/a")</f>
        <v>0.0681748933577087</v>
      </c>
      <c r="BN307" s="25" t="n">
        <f aca="false">IFERROR(BN279/BN305,"n/a")</f>
        <v>0.0659855414576571</v>
      </c>
      <c r="BO307" s="25" t="n">
        <f aca="false">IFERROR(BO279/BO305,"n/a")</f>
        <v>0.0624458561940514</v>
      </c>
      <c r="BP307" s="25" t="n">
        <f aca="false">IFERROR(BP279/BP305,"n/a")</f>
        <v>0.0597688187200451</v>
      </c>
      <c r="BQ307" s="25" t="n">
        <f aca="false">IFERROR(BQ279/BQ305,"n/a")</f>
        <v>0.0619837731160003</v>
      </c>
      <c r="BR307" s="25" t="n">
        <f aca="false">IFERROR(BR279/BR305,"n/a")</f>
        <v>0.0593758535919148</v>
      </c>
      <c r="BS307" s="25" t="n">
        <f aca="false">IFERROR(BS279/BS305,"n/a")</f>
        <v>0.0590042237296813</v>
      </c>
      <c r="BT307" s="25" t="n">
        <f aca="false">IFERROR(BT279/BT305,"n/a")</f>
        <v>0.0533829174664107</v>
      </c>
      <c r="BU307" s="25" t="n">
        <f aca="false">IFERROR(BU279/BU305,"n/a")</f>
        <v>0.0511167907545283</v>
      </c>
      <c r="BV307" s="25" t="n">
        <f aca="false">IFERROR(BV279/BV305,"n/a")</f>
        <v>0.0566676932553126</v>
      </c>
      <c r="BW307" s="25" t="n">
        <f aca="false">IFERROR(BW279/BW305,"n/a")</f>
        <v>0.052396878483835</v>
      </c>
      <c r="BX307" s="25" t="n">
        <f aca="false">IFERROR(BX279/BX305,"n/a")</f>
        <v>0.0513513513513514</v>
      </c>
      <c r="BY307" s="27"/>
      <c r="BZ307" s="27"/>
      <c r="CA307" s="45" t="n">
        <v>0.055</v>
      </c>
      <c r="CB307" s="27" t="n">
        <f aca="false">$CA307</f>
        <v>0.055</v>
      </c>
      <c r="CC307" s="27" t="n">
        <f aca="false">$CA307</f>
        <v>0.055</v>
      </c>
      <c r="CD307" s="27" t="n">
        <f aca="false">$CA307</f>
        <v>0.055</v>
      </c>
      <c r="CE307" s="27" t="n">
        <f aca="false">$CA307</f>
        <v>0.055</v>
      </c>
      <c r="CF307" s="28"/>
      <c r="CH307" s="32" t="n">
        <f aca="false">IFERROR(AVERAGE(CA307,CB307,CC307,CD307,CE307),"n/m")</f>
        <v>0.055</v>
      </c>
      <c r="CI307" s="32" t="n">
        <f aca="false">IFERROR(AVERAGE(BB307,BG307,BL307,BQ307,BV307),"n/m")</f>
        <v>0.060930232530625</v>
      </c>
      <c r="CJ307" s="32" t="n">
        <f aca="false">IFERROR(AVERAGE(AC307,AH307,AM307,AR307,AW307,BB307,BG307,BL307,BQ307,BV307),"n/m")</f>
        <v>0.0488518318976868</v>
      </c>
      <c r="CK307" s="32" t="n">
        <f aca="false">IFERROR(AVERAGE(C307,D307,E307,F307,G307,H307,I307,N307,S307,X307,AC307,AH307,AM307,AR307,AW307,BB307,BG307,BL307,BQ307,BV307),"n/m")</f>
        <v>0.0244259159488434</v>
      </c>
    </row>
    <row r="308" customFormat="false" ht="15" hidden="false" customHeight="true" outlineLevel="0" collapsed="false">
      <c r="B308" s="29" t="s">
        <v>532</v>
      </c>
      <c r="C308" s="25" t="n">
        <f aca="false">IFERROR(C285/C305,"n/a")</f>
        <v>0.055491569586315</v>
      </c>
      <c r="D308" s="25" t="n">
        <f aca="false">IFERROR(D285/D305,"n/a")</f>
        <v>0.0538056585669459</v>
      </c>
      <c r="E308" s="25" t="n">
        <f aca="false">IFERROR(E285/E305,"n/a")</f>
        <v>0.0444480012051142</v>
      </c>
      <c r="F308" s="25" t="n">
        <f aca="false">IFERROR(F285/F305,"n/a")</f>
        <v>0.0707816025069279</v>
      </c>
      <c r="G308" s="25" t="n">
        <f aca="false">IFERROR(G285/G305,"n/a")</f>
        <v>0.0746707327852913</v>
      </c>
      <c r="H308" s="25" t="n">
        <f aca="false">IFERROR(H285/H305,"n/a")</f>
        <v>0.0884689637639133</v>
      </c>
      <c r="I308" s="25" t="n">
        <f aca="false">IFERROR(I285/I305,"n/a")</f>
        <v>0.0930112934936674</v>
      </c>
      <c r="J308" s="25" t="n">
        <f aca="false">IFERROR(J285/J305,"n/a")</f>
        <v>0.088082627627772</v>
      </c>
      <c r="K308" s="25" t="n">
        <f aca="false">IFERROR(K285/K305,"n/a")</f>
        <v>0.0781337443462784</v>
      </c>
      <c r="L308" s="25" t="n">
        <f aca="false">IFERROR(L285/L305,"n/a")</f>
        <v>0.0777018904551162</v>
      </c>
      <c r="M308" s="25" t="n">
        <f aca="false">IFERROR(M285/M305,"n/a")</f>
        <v>0.0743058558948188</v>
      </c>
      <c r="N308" s="25" t="n">
        <f aca="false">IFERROR(N285/N305,"n/a")</f>
        <v>0.0779284397303053</v>
      </c>
      <c r="O308" s="25" t="n">
        <f aca="false">IFERROR(O285/O305,"n/a")</f>
        <v>0.0754266182941987</v>
      </c>
      <c r="P308" s="25" t="n">
        <f aca="false">IFERROR(P285/P305,"n/a")</f>
        <v>0.0633733447071249</v>
      </c>
      <c r="Q308" s="25" t="n">
        <f aca="false">IFERROR(Q285/Q305,"n/a")</f>
        <v>0.0625767692870583</v>
      </c>
      <c r="R308" s="25" t="n">
        <f aca="false">IFERROR(R285/R305,"n/a")</f>
        <v>0.0608647883353834</v>
      </c>
      <c r="S308" s="25" t="n">
        <f aca="false">IFERROR(S285/S305,"n/a")</f>
        <v>0.0659847621957995</v>
      </c>
      <c r="T308" s="25" t="n">
        <f aca="false">IFERROR(T285/T305,"n/a")</f>
        <v>0</v>
      </c>
      <c r="U308" s="25" t="n">
        <f aca="false">IFERROR(U285/U305,"n/a")</f>
        <v>0.0574031536942522</v>
      </c>
      <c r="V308" s="25" t="n">
        <f aca="false">IFERROR(V285/V305,"n/a")</f>
        <v>0.058058050116883</v>
      </c>
      <c r="W308" s="25" t="n">
        <f aca="false">IFERROR(W285/W305,"n/a")</f>
        <v>0.0545803563564393</v>
      </c>
      <c r="X308" s="25" t="n">
        <f aca="false">IFERROR(X285/X305,"n/a")</f>
        <v>0.0592022074732636</v>
      </c>
      <c r="Y308" s="25" t="n">
        <f aca="false">IFERROR(Y285/Y305,"n/a")</f>
        <v>0.0539516569122705</v>
      </c>
      <c r="Z308" s="25" t="n">
        <f aca="false">IFERROR(Z285/Z305,"n/a")</f>
        <v>0.0498648903412304</v>
      </c>
      <c r="AA308" s="25" t="n">
        <f aca="false">IFERROR(AA285/AA305,"n/a")</f>
        <v>0.0492029091114235</v>
      </c>
      <c r="AB308" s="25" t="n">
        <f aca="false">IFERROR(AB285/AB305,"n/a")</f>
        <v>0.0448488624027191</v>
      </c>
      <c r="AC308" s="25" t="n">
        <f aca="false">IFERROR(AC285/AC305,"n/a")</f>
        <v>0.046755727469169</v>
      </c>
      <c r="AD308" s="25" t="n">
        <f aca="false">IFERROR(AD285/AD305,"n/a")</f>
        <v>0.0463213905796878</v>
      </c>
      <c r="AE308" s="25" t="n">
        <f aca="false">IFERROR(AE285/AE305,"n/a")</f>
        <v>0.045505433201351</v>
      </c>
      <c r="AF308" s="25" t="n">
        <f aca="false">IFERROR(AF285/AF305,"n/a")</f>
        <v>0.0460221465420772</v>
      </c>
      <c r="AG308" s="25" t="n">
        <f aca="false">IFERROR(AG285/AG305,"n/a")</f>
        <v>0.0449681287919651</v>
      </c>
      <c r="AH308" s="25" t="n">
        <f aca="false">IFERROR(AH285/AH305,"n/a")</f>
        <v>0.0473317240450463</v>
      </c>
      <c r="AI308" s="25" t="n">
        <f aca="false">IFERROR(AI285/AI305,"n/a")</f>
        <v>0.0451815372025223</v>
      </c>
      <c r="AJ308" s="25" t="n">
        <f aca="false">IFERROR(AJ285/AJ305,"n/a")</f>
        <v>0.0390052118053451</v>
      </c>
      <c r="AK308" s="25" t="n">
        <f aca="false">IFERROR(AK285/AK305,"n/a")</f>
        <v>0.0410727436380002</v>
      </c>
      <c r="AL308" s="25" t="n">
        <f aca="false">IFERROR(AL285/AL305,"n/a")</f>
        <v>0.0407665786780154</v>
      </c>
      <c r="AM308" s="25" t="n">
        <f aca="false">IFERROR(AM285/AM305,"n/a")</f>
        <v>0.043176387276059</v>
      </c>
      <c r="AN308" s="25" t="n">
        <f aca="false">IFERROR(AN285/AN305,"n/a")</f>
        <v>0.0427456801400624</v>
      </c>
      <c r="AO308" s="25" t="n">
        <f aca="false">IFERROR(AO285/AO305,"n/a")</f>
        <v>0.0423914940656272</v>
      </c>
      <c r="AP308" s="25" t="n">
        <f aca="false">IFERROR(AP285/AP305,"n/a")</f>
        <v>0.0427484637536564</v>
      </c>
      <c r="AQ308" s="25" t="n">
        <f aca="false">IFERROR(AQ285/AQ305,"n/a")</f>
        <v>0.044882127207613</v>
      </c>
      <c r="AR308" s="25" t="n">
        <f aca="false">IFERROR(AR285/AR305,"n/a")</f>
        <v>0.0480625039740119</v>
      </c>
      <c r="AS308" s="25" t="n">
        <f aca="false">IFERROR(AS285/AS305,"n/a")</f>
        <v>0.0540497949454762</v>
      </c>
      <c r="AT308" s="25" t="n">
        <f aca="false">IFERROR(AT285/AT305,"n/a")</f>
        <v>0.0505830158702182</v>
      </c>
      <c r="AU308" s="25" t="n">
        <f aca="false">IFERROR(AU285/AU305,"n/a")</f>
        <v>0.044053968328556</v>
      </c>
      <c r="AV308" s="25" t="n">
        <f aca="false">IFERROR(AV285/AV305,"n/a")</f>
        <v>0.0421085615660013</v>
      </c>
      <c r="AW308" s="25" t="n">
        <f aca="false">IFERROR(AW285/AW305,"n/a")</f>
        <v>0.0451176267420687</v>
      </c>
      <c r="AX308" s="25" t="n">
        <f aca="false">IFERROR(AX285/AX305,"n/a")</f>
        <v>0.048993111163062</v>
      </c>
      <c r="AY308" s="25" t="n">
        <f aca="false">IFERROR(AY285/AY305,"n/a")</f>
        <v>0.048246737159429</v>
      </c>
      <c r="AZ308" s="25" t="n">
        <f aca="false">IFERROR(AZ285/AZ305,"n/a")</f>
        <v>0.0463786677454693</v>
      </c>
      <c r="BA308" s="25" t="n">
        <f aca="false">IFERROR(BA285/BA305,"n/a")</f>
        <v>0.047096308895668</v>
      </c>
      <c r="BB308" s="25" t="n">
        <f aca="false">IFERROR(BB285/BB305,"n/a")</f>
        <v>0.0491071864865351</v>
      </c>
      <c r="BC308" s="25" t="n">
        <f aca="false">IFERROR(BC285/BC305,"n/a")</f>
        <v>0.0522216837105608</v>
      </c>
      <c r="BD308" s="25" t="n">
        <f aca="false">IFERROR(BD285/BD305,"n/a")</f>
        <v>0.0488702387434086</v>
      </c>
      <c r="BE308" s="25" t="n">
        <f aca="false">IFERROR(BE285/BE305,"n/a")</f>
        <v>0.0449134616938489</v>
      </c>
      <c r="BF308" s="25" t="n">
        <f aca="false">IFERROR(BF285/BF305,"n/a")</f>
        <v>0.0451591101343868</v>
      </c>
      <c r="BG308" s="25" t="n">
        <f aca="false">IFERROR(BG285/BG305,"n/a")</f>
        <v>0.047455575263735</v>
      </c>
      <c r="BH308" s="25" t="n">
        <f aca="false">IFERROR(BH285/BH305,"n/a")</f>
        <v>0.0503986371554813</v>
      </c>
      <c r="BI308" s="25" t="n">
        <f aca="false">IFERROR(BI285/BI305,"n/a")</f>
        <v>0.0467197056969233</v>
      </c>
      <c r="BJ308" s="25" t="n">
        <f aca="false">IFERROR(BJ285/BJ305,"n/a")</f>
        <v>0.0390538829364031</v>
      </c>
      <c r="BK308" s="25" t="n">
        <f aca="false">IFERROR(BK285/BK305,"n/a")</f>
        <v>0.0406993730265491</v>
      </c>
      <c r="BL308" s="25" t="n">
        <f aca="false">IFERROR(BL285/BL305,"n/a")</f>
        <v>0.0424439918533605</v>
      </c>
      <c r="BM308" s="25" t="n">
        <f aca="false">IFERROR(BM285/BM305,"n/a")</f>
        <v>0.0445993296770262</v>
      </c>
      <c r="BN308" s="25" t="n">
        <f aca="false">IFERROR(BN285/BN305,"n/a")</f>
        <v>0.0453304809678371</v>
      </c>
      <c r="BO308" s="25" t="n">
        <f aca="false">IFERROR(BO285/BO305,"n/a")</f>
        <v>0.041004909038406</v>
      </c>
      <c r="BP308" s="25" t="n">
        <f aca="false">IFERROR(BP285/BP305,"n/a")</f>
        <v>0.0483154778686214</v>
      </c>
      <c r="BQ308" s="25" t="n">
        <f aca="false">IFERROR(BQ285/BQ305,"n/a")</f>
        <v>0.0501059864045026</v>
      </c>
      <c r="BR308" s="25" t="n">
        <f aca="false">IFERROR(BR285/BR305,"n/a")</f>
        <v>0.0619366293362469</v>
      </c>
      <c r="BS308" s="25" t="n">
        <f aca="false">IFERROR(BS285/BS305,"n/a")</f>
        <v>0.0599641622936132</v>
      </c>
      <c r="BT308" s="25" t="n">
        <f aca="false">IFERROR(BT285/BT305,"n/a")</f>
        <v>0.0604606525911708</v>
      </c>
      <c r="BU308" s="25" t="n">
        <f aca="false">IFERROR(BU285/BU305,"n/a")</f>
        <v>0.0569507723080342</v>
      </c>
      <c r="BV308" s="25" t="n">
        <f aca="false">IFERROR(BV285/BV305,"n/a")</f>
        <v>0.0631352017246689</v>
      </c>
      <c r="BW308" s="25" t="n">
        <f aca="false">IFERROR(BW285/BW305,"n/a")</f>
        <v>0.0660535117056856</v>
      </c>
      <c r="BX308" s="25" t="n">
        <f aca="false">IFERROR(BX285/BX305,"n/a")</f>
        <v>0.062972972972973</v>
      </c>
      <c r="BY308" s="27"/>
      <c r="BZ308" s="27"/>
      <c r="CA308" s="45" t="n">
        <v>0.063</v>
      </c>
      <c r="CB308" s="27" t="n">
        <f aca="false">$CA308</f>
        <v>0.063</v>
      </c>
      <c r="CC308" s="27" t="n">
        <f aca="false">$CA308</f>
        <v>0.063</v>
      </c>
      <c r="CD308" s="27" t="n">
        <f aca="false">$CA308</f>
        <v>0.063</v>
      </c>
      <c r="CE308" s="27" t="n">
        <f aca="false">$CA308</f>
        <v>0.063</v>
      </c>
      <c r="CF308" s="28"/>
      <c r="CH308" s="32" t="n">
        <f aca="false">IFERROR(AVERAGE(CA308,CB308,CC308,CD308,CE308),"n/m")</f>
        <v>0.063</v>
      </c>
      <c r="CI308" s="32" t="n">
        <f aca="false">IFERROR(AVERAGE(BB308,BG308,BL308,BQ308,BV308),"n/m")</f>
        <v>0.0504495883465604</v>
      </c>
      <c r="CJ308" s="32" t="n">
        <f aca="false">IFERROR(AVERAGE(AC308,AH308,AM308,AR308,AW308,BB308,BG308,BL308,BQ308,BV308),"n/m")</f>
        <v>0.0482691911239157</v>
      </c>
      <c r="CK308" s="32" t="n">
        <f aca="false">IFERROR(AVERAGE(C308,D308,E308,F308,G308,H308,I308,N308,S308,X308,AC308,AH308,AM308,AR308,AW308,BB308,BG308,BL308,BQ308,BV308),"n/m")</f>
        <v>0.058324257127335</v>
      </c>
    </row>
    <row r="309" customFormat="false" ht="15" hidden="false" customHeight="true" outlineLevel="0" collapsed="false">
      <c r="B309" s="29" t="s">
        <v>533</v>
      </c>
      <c r="C309" s="25" t="n">
        <f aca="false">IFERROR(C283/C305,"n/a")</f>
        <v>0.0118195721541453</v>
      </c>
      <c r="D309" s="25" t="n">
        <f aca="false">IFERROR(D283/D305,"n/a")</f>
        <v>0.0171105521122378</v>
      </c>
      <c r="E309" s="25" t="n">
        <f aca="false">IFERROR(E283/E305,"n/a")</f>
        <v>0.00770143295610748</v>
      </c>
      <c r="F309" s="25" t="n">
        <f aca="false">IFERROR(F283/F305,"n/a")</f>
        <v>0.0174903056868534</v>
      </c>
      <c r="G309" s="25" t="n">
        <f aca="false">IFERROR(G283/G305,"n/a")</f>
        <v>0.0138027048528242</v>
      </c>
      <c r="H309" s="25" t="n">
        <f aca="false">IFERROR(H283/H305,"n/a")</f>
        <v>0.0238740277590193</v>
      </c>
      <c r="I309" s="25" t="n">
        <f aca="false">IFERROR(I283/I305,"n/a")</f>
        <v>0.0178146861140323</v>
      </c>
      <c r="J309" s="25" t="n">
        <f aca="false">IFERROR(J283/J305,"n/a")</f>
        <v>0.00942729710764854</v>
      </c>
      <c r="K309" s="25" t="n">
        <f aca="false">IFERROR(K283/K305,"n/a")</f>
        <v>0.0102065156561069</v>
      </c>
      <c r="L309" s="25" t="n">
        <f aca="false">IFERROR(L283/L305,"n/a")</f>
        <v>0.0141294378500637</v>
      </c>
      <c r="M309" s="25" t="n">
        <f aca="false">IFERROR(M283/M305,"n/a")</f>
        <v>0.0106803044719315</v>
      </c>
      <c r="N309" s="25" t="n">
        <f aca="false">IFERROR(N283/N305,"n/a")</f>
        <v>0.0112009942328147</v>
      </c>
      <c r="O309" s="25" t="n">
        <f aca="false">IFERROR(O283/O305,"n/a")</f>
        <v>0.00827832644697504</v>
      </c>
      <c r="P309" s="25" t="n">
        <f aca="false">IFERROR(P283/P305,"n/a")</f>
        <v>0.0127667424919436</v>
      </c>
      <c r="Q309" s="25" t="n">
        <f aca="false">IFERROR(Q283/Q305,"n/a")</f>
        <v>0.0124202906125862</v>
      </c>
      <c r="R309" s="25" t="n">
        <f aca="false">IFERROR(R283/R305,"n/a")</f>
        <v>0.0137863878638786</v>
      </c>
      <c r="S309" s="25" t="n">
        <f aca="false">IFERROR(S283/S305,"n/a")</f>
        <v>0.0149461051227914</v>
      </c>
      <c r="T309" s="25" t="n">
        <f aca="false">IFERROR(T283/T305,"n/a")</f>
        <v>0</v>
      </c>
      <c r="U309" s="25" t="n">
        <f aca="false">IFERROR(U283/U305,"n/a")</f>
        <v>0.00992927333774765</v>
      </c>
      <c r="V309" s="25" t="n">
        <f aca="false">IFERROR(V283/V305,"n/a")</f>
        <v>0.0187885422947144</v>
      </c>
      <c r="W309" s="25" t="n">
        <f aca="false">IFERROR(W283/W305,"n/a")</f>
        <v>0.012529208482506</v>
      </c>
      <c r="X309" s="25" t="n">
        <f aca="false">IFERROR(X283/X305,"n/a")</f>
        <v>0.0135901787671194</v>
      </c>
      <c r="Y309" s="25" t="n">
        <f aca="false">IFERROR(Y283/Y305,"n/a")</f>
        <v>0.0083283685209198</v>
      </c>
      <c r="Z309" s="25" t="n">
        <f aca="false">IFERROR(Z283/Z305,"n/a")</f>
        <v>0.0169648424848576</v>
      </c>
      <c r="AA309" s="25" t="n">
        <f aca="false">IFERROR(AA283/AA305,"n/a")</f>
        <v>0.0115896686114023</v>
      </c>
      <c r="AB309" s="25" t="n">
        <f aca="false">IFERROR(AB283/AB305,"n/a")</f>
        <v>0.0131440926018387</v>
      </c>
      <c r="AC309" s="25" t="n">
        <f aca="false">IFERROR(AC283/AC305,"n/a")</f>
        <v>0.0137029476021632</v>
      </c>
      <c r="AD309" s="25" t="n">
        <f aca="false">IFERROR(AD283/AD305,"n/a")</f>
        <v>0.0187009220800431</v>
      </c>
      <c r="AE309" s="25" t="n">
        <f aca="false">IFERROR(AE283/AE305,"n/a")</f>
        <v>0.0175983436853002</v>
      </c>
      <c r="AF309" s="25" t="n">
        <f aca="false">IFERROR(AF283/AF305,"n/a")</f>
        <v>0.0114358489575127</v>
      </c>
      <c r="AG309" s="25" t="n">
        <f aca="false">IFERROR(AG283/AG305,"n/a")</f>
        <v>0.00911646475662523</v>
      </c>
      <c r="AH309" s="25" t="n">
        <f aca="false">IFERROR(AH283/AH305,"n/a")</f>
        <v>0.00959564041730987</v>
      </c>
      <c r="AI309" s="25" t="n">
        <f aca="false">IFERROR(AI283/AI305,"n/a")</f>
        <v>0.00716522114000541</v>
      </c>
      <c r="AJ309" s="25" t="n">
        <f aca="false">IFERROR(AJ283/AJ305,"n/a")</f>
        <v>0.00790692819963773</v>
      </c>
      <c r="AK309" s="25" t="n">
        <f aca="false">IFERROR(AK283/AK305,"n/a")</f>
        <v>0.008275918500941</v>
      </c>
      <c r="AL309" s="25" t="n">
        <f aca="false">IFERROR(AL283/AL305,"n/a")</f>
        <v>0.00501234270576194</v>
      </c>
      <c r="AM309" s="25" t="n">
        <f aca="false">IFERROR(AM283/AM305,"n/a")</f>
        <v>0.00530863410279301</v>
      </c>
      <c r="AN309" s="25" t="n">
        <f aca="false">IFERROR(AN283/AN305,"n/a")</f>
        <v>0.00602801248382431</v>
      </c>
      <c r="AO309" s="25" t="n">
        <f aca="false">IFERROR(AO283/AO305,"n/a")</f>
        <v>0.0050878519897603</v>
      </c>
      <c r="AP309" s="25" t="n">
        <f aca="false">IFERROR(AP283/AP305,"n/a")</f>
        <v>0.00572691095440013</v>
      </c>
      <c r="AQ309" s="25" t="n">
        <f aca="false">IFERROR(AQ283/AQ305,"n/a")</f>
        <v>0.00509705758340761</v>
      </c>
      <c r="AR309" s="25" t="n">
        <f aca="false">IFERROR(AR283/AR305,"n/a")</f>
        <v>0.00545823840356529</v>
      </c>
      <c r="AS309" s="25" t="n">
        <f aca="false">IFERROR(AS283/AS305,"n/a")</f>
        <v>0.014346160618813</v>
      </c>
      <c r="AT309" s="25" t="n">
        <f aca="false">IFERROR(AT283/AT305,"n/a")</f>
        <v>0.0169101040137577</v>
      </c>
      <c r="AU309" s="25" t="n">
        <f aca="false">IFERROR(AU283/AU305,"n/a")</f>
        <v>0.0119038109111414</v>
      </c>
      <c r="AV309" s="25" t="n">
        <f aca="false">IFERROR(AV283/AV305,"n/a")</f>
        <v>0.00885027441926403</v>
      </c>
      <c r="AW309" s="25" t="n">
        <f aca="false">IFERROR(AW283/AW305,"n/a")</f>
        <v>0.00948271237399933</v>
      </c>
      <c r="AX309" s="25" t="n">
        <f aca="false">IFERROR(AX283/AX305,"n/a")</f>
        <v>0.00921461141322753</v>
      </c>
      <c r="AY309" s="25" t="n">
        <f aca="false">IFERROR(AY283/AY305,"n/a")</f>
        <v>0.00852325365944043</v>
      </c>
      <c r="AZ309" s="25" t="n">
        <f aca="false">IFERROR(AZ283/AZ305,"n/a")</f>
        <v>0.00875542488869841</v>
      </c>
      <c r="BA309" s="25" t="n">
        <f aca="false">IFERROR(BA283/BA305,"n/a")</f>
        <v>0.0109730734471749</v>
      </c>
      <c r="BB309" s="25" t="n">
        <f aca="false">IFERROR(BB283/BB305,"n/a")</f>
        <v>0.0114415922762565</v>
      </c>
      <c r="BC309" s="25" t="n">
        <f aca="false">IFERROR(BC283/BC305,"n/a")</f>
        <v>0.0093011195657442</v>
      </c>
      <c r="BD309" s="25" t="n">
        <f aca="false">IFERROR(BD283/BD305,"n/a")</f>
        <v>0.014978333345764</v>
      </c>
      <c r="BE309" s="25" t="n">
        <f aca="false">IFERROR(BE283/BE305,"n/a")</f>
        <v>0.0141110678175181</v>
      </c>
      <c r="BF309" s="25" t="n">
        <f aca="false">IFERROR(BF283/BF305,"n/a")</f>
        <v>0.0124096311993651</v>
      </c>
      <c r="BG309" s="25" t="n">
        <f aca="false">IFERROR(BG283/BG305,"n/a")</f>
        <v>0.0130406951249519</v>
      </c>
      <c r="BH309" s="25" t="n">
        <f aca="false">IFERROR(BH283/BH305,"n/a")</f>
        <v>0.0135463048842677</v>
      </c>
      <c r="BI309" s="25" t="n">
        <f aca="false">IFERROR(BI283/BI305,"n/a")</f>
        <v>0.0253942030612009</v>
      </c>
      <c r="BJ309" s="25" t="n">
        <f aca="false">IFERROR(BJ283/BJ305,"n/a")</f>
        <v>0.0103518823568962</v>
      </c>
      <c r="BK309" s="25" t="n">
        <f aca="false">IFERROR(BK283/BK305,"n/a")</f>
        <v>0.0090226057285344</v>
      </c>
      <c r="BL309" s="25" t="n">
        <f aca="false">IFERROR(BL283/BL305,"n/a")</f>
        <v>0.00940936863543788</v>
      </c>
      <c r="BM309" s="25" t="n">
        <f aca="false">IFERROR(BM283/BM305,"n/a")</f>
        <v>0.0432663010359537</v>
      </c>
      <c r="BN309" s="25" t="n">
        <f aca="false">IFERROR(BN283/BN305,"n/a")</f>
        <v>0.0372528769548539</v>
      </c>
      <c r="BO309" s="25" t="n">
        <f aca="false">IFERROR(BO283/BO305,"n/a")</f>
        <v>0.0304649148137453</v>
      </c>
      <c r="BP309" s="25" t="n">
        <f aca="false">IFERROR(BP283/BP305,"n/a")</f>
        <v>0.0165632929235974</v>
      </c>
      <c r="BQ309" s="25" t="n">
        <f aca="false">IFERROR(BQ283/BQ305,"n/a")</f>
        <v>0.0171771069366274</v>
      </c>
      <c r="BR309" s="25" t="n">
        <f aca="false">IFERROR(BR283/BR305,"n/a")</f>
        <v>0.0132136028407539</v>
      </c>
      <c r="BS309" s="25" t="n">
        <f aca="false">IFERROR(BS283/BS305,"n/a")</f>
        <v>0.0164789453474978</v>
      </c>
      <c r="BT309" s="25" t="n">
        <f aca="false">IFERROR(BT283/BT305,"n/a")</f>
        <v>0.013945537428023</v>
      </c>
      <c r="BU309" s="25" t="n">
        <f aca="false">IFERROR(BU283/BU305,"n/a")</f>
        <v>0.0116679631070119</v>
      </c>
      <c r="BV309" s="25" t="n">
        <f aca="false">IFERROR(BV283/BV305,"n/a")</f>
        <v>0.0129350169387127</v>
      </c>
      <c r="BW309" s="25" t="n">
        <f aca="false">IFERROR(BW283/BW305,"n/a")</f>
        <v>0.0108695652173913</v>
      </c>
      <c r="BX309" s="25" t="n">
        <f aca="false">IFERROR(BX283/BX305,"n/a")</f>
        <v>0.0118918918918919</v>
      </c>
      <c r="BY309" s="27"/>
      <c r="BZ309" s="27"/>
      <c r="CA309" s="45" t="n">
        <v>0.012</v>
      </c>
      <c r="CB309" s="27" t="n">
        <f aca="false">$CA309</f>
        <v>0.012</v>
      </c>
      <c r="CC309" s="27" t="n">
        <f aca="false">$CA309</f>
        <v>0.012</v>
      </c>
      <c r="CD309" s="27" t="n">
        <f aca="false">$CA309</f>
        <v>0.012</v>
      </c>
      <c r="CE309" s="27" t="n">
        <f aca="false">$CA309</f>
        <v>0.012</v>
      </c>
      <c r="CF309" s="28"/>
      <c r="CH309" s="32" t="n">
        <f aca="false">IFERROR(AVERAGE(CA309,CB309,CC309,CD309,CE309),"n/m")</f>
        <v>0.012</v>
      </c>
      <c r="CI309" s="32" t="n">
        <f aca="false">IFERROR(AVERAGE(BB309,BG309,BL309,BQ309,BV309),"n/m")</f>
        <v>0.0128007559823973</v>
      </c>
      <c r="CJ309" s="32" t="n">
        <f aca="false">IFERROR(AVERAGE(AC309,AH309,AM309,AR309,AW309,BB309,BG309,BL309,BQ309,BV309),"n/m")</f>
        <v>0.0107551952811817</v>
      </c>
      <c r="CK309" s="32" t="n">
        <f aca="false">IFERROR(AVERAGE(C309,D309,E309,F309,G309,H309,I309,N309,S309,X309,AC309,AH309,AM309,AR309,AW309,BB309,BG309,BL309,BQ309,BV309),"n/m")</f>
        <v>0.0128451256284881</v>
      </c>
    </row>
    <row r="310" customFormat="false" ht="15" hidden="false" customHeight="true" outlineLevel="0" collapsed="false">
      <c r="B310" s="29" t="s">
        <v>534</v>
      </c>
      <c r="C310" s="25" t="n">
        <f aca="false">IFERROR(C284/C305,"n/a")</f>
        <v>0.0378754979891622</v>
      </c>
      <c r="D310" s="25" t="n">
        <f aca="false">IFERROR(D284/D305,"n/a")</f>
        <v>0.0388423536734006</v>
      </c>
      <c r="E310" s="25" t="n">
        <f aca="false">IFERROR(E284/E305,"n/a")</f>
        <v>0.0339738640857138</v>
      </c>
      <c r="F310" s="25" t="n">
        <f aca="false">IFERROR(F284/F305,"n/a")</f>
        <v>0.046246524117734</v>
      </c>
      <c r="G310" s="25" t="n">
        <f aca="false">IFERROR(G284/G305,"n/a")</f>
        <v>0.0550914876690533</v>
      </c>
      <c r="H310" s="25" t="n">
        <f aca="false">IFERROR(H284/H305,"n/a")</f>
        <v>0.0663189506550461</v>
      </c>
      <c r="I310" s="25" t="n">
        <f aca="false">IFERROR(I284/I305,"n/a")</f>
        <v>0.06810102418728</v>
      </c>
      <c r="J310" s="25" t="n">
        <f aca="false">IFERROR(J284/J305,"n/a")</f>
        <v>0.0349023867426682</v>
      </c>
      <c r="K310" s="25" t="n">
        <f aca="false">IFERROR(K284/K305,"n/a")</f>
        <v>0.0428581913595538</v>
      </c>
      <c r="L310" s="25" t="n">
        <f aca="false">IFERROR(L284/L305,"n/a")</f>
        <v>0.0406407779093686</v>
      </c>
      <c r="M310" s="25" t="n">
        <f aca="false">IFERROR(M284/M305,"n/a")</f>
        <v>0.0434737479456794</v>
      </c>
      <c r="N310" s="25" t="n">
        <f aca="false">IFERROR(N284/N305,"n/a")</f>
        <v>0.0455931945852412</v>
      </c>
      <c r="O310" s="25" t="n">
        <f aca="false">IFERROR(O284/O305,"n/a")</f>
        <v>0.0260883805300816</v>
      </c>
      <c r="P310" s="25" t="n">
        <f aca="false">IFERROR(P284/P305,"n/a")</f>
        <v>0.034268624583638</v>
      </c>
      <c r="Q310" s="25" t="n">
        <f aca="false">IFERROR(Q284/Q305,"n/a")</f>
        <v>0.035372674053941</v>
      </c>
      <c r="R310" s="25" t="n">
        <f aca="false">IFERROR(R284/R305,"n/a")</f>
        <v>0.0370845505330053</v>
      </c>
      <c r="S310" s="25" t="n">
        <f aca="false">IFERROR(S284/S305,"n/a")</f>
        <v>0.0402041199022114</v>
      </c>
      <c r="T310" s="25" t="n">
        <f aca="false">IFERROR(T284/T305,"n/a")</f>
        <v>0</v>
      </c>
      <c r="U310" s="25" t="n">
        <f aca="false">IFERROR(U284/U305,"n/a")</f>
        <v>0.0361338825831932</v>
      </c>
      <c r="V310" s="25" t="n">
        <f aca="false">IFERROR(V284/V305,"n/a")</f>
        <v>0.0399266440305059</v>
      </c>
      <c r="W310" s="25" t="n">
        <f aca="false">IFERROR(W284/W305,"n/a")</f>
        <v>0.0402118554057065</v>
      </c>
      <c r="X310" s="25" t="n">
        <f aca="false">IFERROR(X284/X305,"n/a")</f>
        <v>0.0436169854052748</v>
      </c>
      <c r="Y310" s="25" t="n">
        <f aca="false">IFERROR(Y284/Y305,"n/a")</f>
        <v>0.029044152619168</v>
      </c>
      <c r="Z310" s="25" t="n">
        <f aca="false">IFERROR(Z284/Z305,"n/a")</f>
        <v>0.0270086383170025</v>
      </c>
      <c r="AA310" s="25" t="n">
        <f aca="false">IFERROR(AA284/AA305,"n/a")</f>
        <v>0.0381303740756237</v>
      </c>
      <c r="AB310" s="25" t="n">
        <f aca="false">IFERROR(AB284/AB305,"n/a")</f>
        <v>0.0387096848074536</v>
      </c>
      <c r="AC310" s="25" t="n">
        <f aca="false">IFERROR(AC284/AC305,"n/a")</f>
        <v>0.0403555269032867</v>
      </c>
      <c r="AD310" s="25" t="n">
        <f aca="false">IFERROR(AD284/AD305,"n/a")</f>
        <v>0.0298197331308789</v>
      </c>
      <c r="AE310" s="25" t="n">
        <f aca="false">IFERROR(AE284/AE305,"n/a")</f>
        <v>0.0288421398843784</v>
      </c>
      <c r="AF310" s="25" t="n">
        <f aca="false">IFERROR(AF284/AF305,"n/a")</f>
        <v>0.0350064435852997</v>
      </c>
      <c r="AG310" s="25" t="n">
        <f aca="false">IFERROR(AG284/AG305,"n/a")</f>
        <v>0.0532538554515711</v>
      </c>
      <c r="AH310" s="25" t="n">
        <f aca="false">IFERROR(AH284/AH305,"n/a")</f>
        <v>0.0560529614703231</v>
      </c>
      <c r="AI310" s="25" t="n">
        <f aca="false">IFERROR(AI284/AI305,"n/a")</f>
        <v>0.0466145814305234</v>
      </c>
      <c r="AJ310" s="25" t="n">
        <f aca="false">IFERROR(AJ284/AJ305,"n/a")</f>
        <v>0.0383756203327745</v>
      </c>
      <c r="AK310" s="25" t="n">
        <f aca="false">IFERROR(AK284/AK305,"n/a")</f>
        <v>0.0413084035676295</v>
      </c>
      <c r="AL310" s="25" t="n">
        <f aca="false">IFERROR(AL284/AL305,"n/a")</f>
        <v>0.0361154858969931</v>
      </c>
      <c r="AM310" s="25" t="n">
        <f aca="false">IFERROR(AM284/AM305,"n/a")</f>
        <v>0.0382503574329268</v>
      </c>
      <c r="AN310" s="25" t="n">
        <f aca="false">IFERROR(AN284/AN305,"n/a")</f>
        <v>0.0375001903021999</v>
      </c>
      <c r="AO310" s="25" t="n">
        <f aca="false">IFERROR(AO284/AO305,"n/a")</f>
        <v>0.0344673609494997</v>
      </c>
      <c r="AP310" s="25" t="n">
        <f aca="false">IFERROR(AP284/AP305,"n/a")</f>
        <v>0.0365333269086869</v>
      </c>
      <c r="AQ310" s="25" t="n">
        <f aca="false">IFERROR(AQ284/AQ305,"n/a")</f>
        <v>0.0354172115092094</v>
      </c>
      <c r="AR310" s="25" t="n">
        <f aca="false">IFERROR(AR284/AR305,"n/a")</f>
        <v>0.0379268981845642</v>
      </c>
      <c r="AS310" s="25" t="n">
        <f aca="false">IFERROR(AS284/AS305,"n/a")</f>
        <v>0.0314548790726993</v>
      </c>
      <c r="AT310" s="25" t="n">
        <f aca="false">IFERROR(AT284/AT305,"n/a")</f>
        <v>0.0357212098932669</v>
      </c>
      <c r="AU310" s="25" t="n">
        <f aca="false">IFERROR(AU284/AU305,"n/a")</f>
        <v>0.0372051360368404</v>
      </c>
      <c r="AV310" s="25" t="n">
        <f aca="false">IFERROR(AV284/AV305,"n/a")</f>
        <v>0.0455666493396611</v>
      </c>
      <c r="AW310" s="25" t="n">
        <f aca="false">IFERROR(AW284/AW305,"n/a")</f>
        <v>0.0488228284305364</v>
      </c>
      <c r="AX310" s="25" t="n">
        <f aca="false">IFERROR(AX284/AX305,"n/a")</f>
        <v>0.0374647419581077</v>
      </c>
      <c r="AY310" s="25" t="n">
        <f aca="false">IFERROR(AY284/AY305,"n/a")</f>
        <v>0.0395631780452311</v>
      </c>
      <c r="AZ310" s="25" t="n">
        <f aca="false">IFERROR(AZ284/AZ305,"n/a")</f>
        <v>0.0415090353060869</v>
      </c>
      <c r="BA310" s="25" t="n">
        <f aca="false">IFERROR(BA284/BA305,"n/a")</f>
        <v>0.0403493782385464</v>
      </c>
      <c r="BB310" s="25" t="n">
        <f aca="false">IFERROR(BB284/BB305,"n/a")</f>
        <v>0.0420721812014083</v>
      </c>
      <c r="BC310" s="25" t="n">
        <f aca="false">IFERROR(BC284/BC305,"n/a")</f>
        <v>0.0287582998109824</v>
      </c>
      <c r="BD310" s="25" t="n">
        <f aca="false">IFERROR(BD284/BD305,"n/a")</f>
        <v>0.0394106558171797</v>
      </c>
      <c r="BE310" s="25" t="n">
        <f aca="false">IFERROR(BE284/BE305,"n/a")</f>
        <v>0.0372768310047565</v>
      </c>
      <c r="BF310" s="25" t="n">
        <f aca="false">IFERROR(BF284/BF305,"n/a")</f>
        <v>0.0457787196190775</v>
      </c>
      <c r="BG310" s="25" t="n">
        <f aca="false">IFERROR(BG284/BG305,"n/a")</f>
        <v>0.0481066935972753</v>
      </c>
      <c r="BH310" s="25" t="n">
        <f aca="false">IFERROR(BH284/BH305,"n/a")</f>
        <v>0.0382260432674043</v>
      </c>
      <c r="BI310" s="25" t="n">
        <f aca="false">IFERROR(BI284/BI305,"n/a")</f>
        <v>0.041638059368945</v>
      </c>
      <c r="BJ310" s="25" t="n">
        <f aca="false">IFERROR(BJ284/BJ305,"n/a")</f>
        <v>0.0365621633216952</v>
      </c>
      <c r="BK310" s="25" t="n">
        <f aca="false">IFERROR(BK284/BK305,"n/a")</f>
        <v>0.0460113833255997</v>
      </c>
      <c r="BL310" s="25" t="n">
        <f aca="false">IFERROR(BL284/BL305,"n/a")</f>
        <v>0.0479837067209776</v>
      </c>
      <c r="BM310" s="25" t="n">
        <f aca="false">IFERROR(BM284/BM305,"n/a")</f>
        <v>0.0345444850700792</v>
      </c>
      <c r="BN310" s="25" t="n">
        <f aca="false">IFERROR(BN284/BN305,"n/a")</f>
        <v>0.0406462083210387</v>
      </c>
      <c r="BO310" s="25" t="n">
        <f aca="false">IFERROR(BO284/BO305,"n/a")</f>
        <v>0.0380811435171816</v>
      </c>
      <c r="BP310" s="25" t="n">
        <f aca="false">IFERROR(BP284/BP305,"n/a")</f>
        <v>0.0469763180152241</v>
      </c>
      <c r="BQ310" s="25" t="n">
        <f aca="false">IFERROR(BQ284/BQ305,"n/a")</f>
        <v>0.0487171990351583</v>
      </c>
      <c r="BR310" s="25" t="n">
        <f aca="false">IFERROR(BR284/BR305,"n/a")</f>
        <v>0.032948647910407</v>
      </c>
      <c r="BS310" s="25" t="n">
        <f aca="false">IFERROR(BS284/BS305,"n/a")</f>
        <v>0.0434852169461155</v>
      </c>
      <c r="BT310" s="25" t="n">
        <f aca="false">IFERROR(BT284/BT305,"n/a")</f>
        <v>0.0435460652591171</v>
      </c>
      <c r="BU310" s="25" t="n">
        <f aca="false">IFERROR(BU284/BU305,"n/a")</f>
        <v>0.0402822535837315</v>
      </c>
      <c r="BV310" s="25" t="n">
        <f aca="false">IFERROR(BV284/BV305,"n/a")</f>
        <v>0.0446566060979366</v>
      </c>
      <c r="BW310" s="25" t="n">
        <f aca="false">IFERROR(BW284/BW305,"n/a")</f>
        <v>0.0351170568561873</v>
      </c>
      <c r="BX310" s="25" t="n">
        <f aca="false">IFERROR(BX284/BX305,"n/a")</f>
        <v>0.0421621621621622</v>
      </c>
      <c r="BY310" s="27"/>
      <c r="BZ310" s="27"/>
      <c r="CA310" s="45" t="n">
        <v>0.042</v>
      </c>
      <c r="CB310" s="27" t="n">
        <f aca="false">$CA310</f>
        <v>0.042</v>
      </c>
      <c r="CC310" s="27" t="n">
        <f aca="false">$CA310</f>
        <v>0.042</v>
      </c>
      <c r="CD310" s="27" t="n">
        <f aca="false">$CA310</f>
        <v>0.042</v>
      </c>
      <c r="CE310" s="27" t="n">
        <f aca="false">$CA310</f>
        <v>0.042</v>
      </c>
      <c r="CF310" s="28"/>
      <c r="CH310" s="32" t="n">
        <f aca="false">IFERROR(AVERAGE(CA310,CB310,CC310,CD310,CE310),"n/m")</f>
        <v>0.042</v>
      </c>
      <c r="CI310" s="32" t="n">
        <f aca="false">IFERROR(AVERAGE(BB310,BG310,BL310,BQ310,BV310),"n/m")</f>
        <v>0.0463072773305512</v>
      </c>
      <c r="CJ310" s="32" t="n">
        <f aca="false">IFERROR(AVERAGE(AC310,AH310,AM310,AR310,AW310,BB310,BG310,BL310,BQ310,BV310),"n/m")</f>
        <v>0.0452944959074393</v>
      </c>
      <c r="CK310" s="32" t="n">
        <f aca="false">IFERROR(AVERAGE(C310,D310,E310,F310,G310,H310,I310,N310,S310,X310,AC310,AH310,AM310,AR310,AW310,BB310,BG310,BL310,BQ310,BV310),"n/m")</f>
        <v>0.0464404480672255</v>
      </c>
    </row>
    <row r="311" customFormat="false" ht="15" hidden="false" customHeight="true" outlineLevel="0" collapsed="false">
      <c r="B311" s="29" t="s">
        <v>535</v>
      </c>
      <c r="C311" s="25" t="str">
        <f aca="false">IF(AND(ISNUMBER(C223),ISNUMBER(C121)),IFERROR(C223/C121,""),"")</f>
        <v/>
      </c>
      <c r="D311" s="25" t="str">
        <f aca="false">IF(AND(ISNUMBER(D223),ISNUMBER(D121)),IFERROR(D223/D121,""),"")</f>
        <v/>
      </c>
      <c r="E311" s="25" t="str">
        <f aca="false">IF(AND(ISNUMBER(E223),ISNUMBER(E121)),IFERROR(E223/E121,""),"")</f>
        <v/>
      </c>
      <c r="F311" s="25" t="str">
        <f aca="false">IF(AND(ISNUMBER(F223),ISNUMBER(F121)),IFERROR(F223/F121,""),"")</f>
        <v/>
      </c>
      <c r="G311" s="25" t="str">
        <f aca="false">IF(AND(ISNUMBER(G223),ISNUMBER(G121)),IFERROR(G223/G121,""),"")</f>
        <v/>
      </c>
      <c r="H311" s="25" t="str">
        <f aca="false">IF(AND(ISNUMBER(H223),ISNUMBER(H121)),IFERROR(H223/H121,""),"")</f>
        <v/>
      </c>
      <c r="I311" s="25" t="str">
        <f aca="false">IF(AND(ISNUMBER(I223),ISNUMBER(I121)),IFERROR(I223/I121,""),"")</f>
        <v/>
      </c>
      <c r="J311" s="25" t="n">
        <f aca="false">IF(AND(ISNUMBER(J223),ISNUMBER(J121)),IFERROR(J223/J121,""),"")</f>
        <v>0</v>
      </c>
      <c r="K311" s="25" t="n">
        <f aca="false">IF(AND(ISNUMBER(K223),ISNUMBER(K121)),IFERROR(K223/K121,""),"")</f>
        <v>0</v>
      </c>
      <c r="L311" s="25" t="n">
        <f aca="false">IF(AND(ISNUMBER(L223),ISNUMBER(L121)),IFERROR(L223/L121,""),"")</f>
        <v>0</v>
      </c>
      <c r="M311" s="25" t="n">
        <f aca="false">IF(AND(ISNUMBER(M223),ISNUMBER(M121)),IFERROR(M223/M121,""),"")</f>
        <v>0</v>
      </c>
      <c r="N311" s="25" t="str">
        <f aca="false">IF(AND(ISNUMBER(N223),ISNUMBER(N121)),IFERROR(N223/N121,""),"")</f>
        <v/>
      </c>
      <c r="O311" s="25" t="n">
        <f aca="false">IF(AND(ISNUMBER(O223),ISNUMBER(O121)),IFERROR(O223/O121,""),"")</f>
        <v>0</v>
      </c>
      <c r="P311" s="25" t="n">
        <f aca="false">IF(AND(ISNUMBER(P223),ISNUMBER(P121)),IFERROR(P223/P121,""),"")</f>
        <v>0</v>
      </c>
      <c r="Q311" s="25" t="n">
        <f aca="false">IF(AND(ISNUMBER(Q223),ISNUMBER(Q121)),IFERROR(Q223/Q121,""),"")</f>
        <v>0</v>
      </c>
      <c r="R311" s="25" t="n">
        <f aca="false">IF(AND(ISNUMBER(R223),ISNUMBER(R121)),IFERROR(R223/R121,""),"")</f>
        <v>0</v>
      </c>
      <c r="S311" s="25" t="str">
        <f aca="false">IF(AND(ISNUMBER(S223),ISNUMBER(S121)),IFERROR(S223/S121,""),"")</f>
        <v/>
      </c>
      <c r="T311" s="25" t="n">
        <f aca="false">IF(AND(ISNUMBER(T223),ISNUMBER(T121)),IFERROR(T223/T121,""),"")</f>
        <v>0</v>
      </c>
      <c r="U311" s="25" t="n">
        <f aca="false">IF(AND(ISNUMBER(U223),ISNUMBER(U121)),IFERROR(U223/U121,""),"")</f>
        <v>0</v>
      </c>
      <c r="V311" s="25" t="n">
        <f aca="false">IF(AND(ISNUMBER(V223),ISNUMBER(V121)),IFERROR(V223/V121,""),"")</f>
        <v>0</v>
      </c>
      <c r="W311" s="25" t="n">
        <f aca="false">IF(AND(ISNUMBER(W223),ISNUMBER(W121)),IFERROR(W223/W121,""),"")</f>
        <v>0</v>
      </c>
      <c r="X311" s="25" t="str">
        <f aca="false">IF(AND(ISNUMBER(X223),ISNUMBER(X121)),IFERROR(X223/X121,""),"")</f>
        <v/>
      </c>
      <c r="Y311" s="25" t="n">
        <f aca="false">IF(AND(ISNUMBER(Y223),ISNUMBER(Y121)),IFERROR(Y223/Y121,""),"")</f>
        <v>0</v>
      </c>
      <c r="Z311" s="25" t="n">
        <f aca="false">IF(AND(ISNUMBER(Z223),ISNUMBER(Z121)),IFERROR(Z223/Z121,""),"")</f>
        <v>0</v>
      </c>
      <c r="AA311" s="25" t="n">
        <f aca="false">IF(AND(ISNUMBER(AA223),ISNUMBER(AA121)),IFERROR(AA223/AA121,""),"")</f>
        <v>0</v>
      </c>
      <c r="AB311" s="25" t="n">
        <f aca="false">IF(AND(ISNUMBER(AB223),ISNUMBER(AB121)),IFERROR(AB223/AB121,""),"")</f>
        <v>0</v>
      </c>
      <c r="AC311" s="25" t="str">
        <f aca="false">IF(AND(ISNUMBER(AC223),ISNUMBER(AC121)),IFERROR(AC223/AC121,""),"")</f>
        <v/>
      </c>
      <c r="AD311" s="25" t="n">
        <f aca="false">IF(AND(ISNUMBER(AD223),ISNUMBER(AD121)),IFERROR(AD223/AD121,""),"")</f>
        <v>0</v>
      </c>
      <c r="AE311" s="25" t="n">
        <f aca="false">IF(AND(ISNUMBER(AE223),ISNUMBER(AE121)),IFERROR(AE223/AE121,""),"")</f>
        <v>0</v>
      </c>
      <c r="AF311" s="25" t="n">
        <f aca="false">IF(AND(ISNUMBER(AF223),ISNUMBER(AF121)),IFERROR(AF223/AF121,""),"")</f>
        <v>0</v>
      </c>
      <c r="AG311" s="25" t="n">
        <f aca="false">IF(AND(ISNUMBER(AG223),ISNUMBER(AG121)),IFERROR(AG223/AG121,""),"")</f>
        <v>0</v>
      </c>
      <c r="AH311" s="25" t="str">
        <f aca="false">IF(AND(ISNUMBER(AH223),ISNUMBER(AH121)),IFERROR(AH223/AH121,""),"")</f>
        <v/>
      </c>
      <c r="AI311" s="25" t="n">
        <f aca="false">IF(AND(ISNUMBER(AI223),ISNUMBER(AI121)),IFERROR(AI223/AI121,""),"")</f>
        <v>0.0438626615713983</v>
      </c>
      <c r="AJ311" s="25" t="n">
        <f aca="false">IF(AND(ISNUMBER(AJ223),ISNUMBER(AJ121)),IFERROR(AJ223/AJ121,""),"")</f>
        <v>0.0413072608394104</v>
      </c>
      <c r="AK311" s="25" t="n">
        <f aca="false">IF(AND(ISNUMBER(AK223),ISNUMBER(AK121)),IFERROR(AK223/AK121,""),"")</f>
        <v>0.039168644137141</v>
      </c>
      <c r="AL311" s="25" t="n">
        <f aca="false">IF(AND(ISNUMBER(AL223),ISNUMBER(AL121)),IFERROR(AL223/AL121,""),"")</f>
        <v>0.0382512968555412</v>
      </c>
      <c r="AM311" s="25" t="n">
        <f aca="false">IF(AND(ISNUMBER(AM223),ISNUMBER(AM121)),IFERROR(AM223/AM121,""),"")</f>
        <v>0.0405367535021714</v>
      </c>
      <c r="AN311" s="25" t="n">
        <f aca="false">IF(AND(ISNUMBER(AN223),ISNUMBER(AN121)),IFERROR(AN223/AN121,""),"")</f>
        <v>0.0377772703052447</v>
      </c>
      <c r="AO311" s="25" t="n">
        <f aca="false">IF(AND(ISNUMBER(AO223),ISNUMBER(AO121)),IFERROR(AO223/AO121,""),"")</f>
        <v>0.0382330695834303</v>
      </c>
      <c r="AP311" s="25" t="n">
        <f aca="false">IF(AND(ISNUMBER(AP223),ISNUMBER(AP121)),IFERROR(AP223/AP121,""),"")</f>
        <v>0.0386584204439809</v>
      </c>
      <c r="AQ311" s="25" t="n">
        <f aca="false">IF(AND(ISNUMBER(AQ223),ISNUMBER(AQ121)),IFERROR(AQ223/AQ121,""),"")</f>
        <v>0.0379797505377262</v>
      </c>
      <c r="AR311" s="25" t="n">
        <f aca="false">IF(AND(ISNUMBER(AR223),ISNUMBER(AR121)),IFERROR(AR223/AR121,""),"")</f>
        <v>0.0381655175074426</v>
      </c>
      <c r="AS311" s="25" t="n">
        <f aca="false">IF(AND(ISNUMBER(AS223),ISNUMBER(AS121)),IFERROR(AS223/AS121,""),"")</f>
        <v>0.0376345869688935</v>
      </c>
      <c r="AT311" s="25" t="n">
        <f aca="false">IF(AND(ISNUMBER(AT223),ISNUMBER(AT121)),IFERROR(AT223/AT121,""),"")</f>
        <v>0.0375542289108392</v>
      </c>
      <c r="AU311" s="25" t="n">
        <f aca="false">IF(AND(ISNUMBER(AU223),ISNUMBER(AU121)),IFERROR(AU223/AU121,""),"")</f>
        <v>0.036076782106104</v>
      </c>
      <c r="AV311" s="25" t="n">
        <f aca="false">IF(AND(ISNUMBER(AV223),ISNUMBER(AV121)),IFERROR(AV223/AV121,""),"")</f>
        <v>0.0348767869880939</v>
      </c>
      <c r="AW311" s="25" t="n">
        <f aca="false">IF(AND(ISNUMBER(AW223),ISNUMBER(AW121)),IFERROR(AW223/AW121,""),"")</f>
        <v>0.0364769782624551</v>
      </c>
      <c r="AX311" s="25" t="n">
        <f aca="false">IF(AND(ISNUMBER(AX223),ISNUMBER(AX121)),IFERROR(AX223/AX121,""),"")</f>
        <v>0.0334653711953541</v>
      </c>
      <c r="AY311" s="25" t="n">
        <f aca="false">IF(AND(ISNUMBER(AY223),ISNUMBER(AY121)),IFERROR(AY223/AY121,""),"")</f>
        <v>0.0323317365244528</v>
      </c>
      <c r="AZ311" s="25" t="n">
        <f aca="false">IF(AND(ISNUMBER(AZ223),ISNUMBER(AZ121)),IFERROR(AZ223/AZ121,""),"")</f>
        <v>0.0318053188442659</v>
      </c>
      <c r="BA311" s="25" t="n">
        <f aca="false">IF(AND(ISNUMBER(BA223),ISNUMBER(BA121)),IFERROR(BA223/BA121,""),"")</f>
        <v>0.0328797559522165</v>
      </c>
      <c r="BB311" s="25" t="n">
        <f aca="false">IF(AND(ISNUMBER(BB223),ISNUMBER(BB121)),IFERROR(BB223/BB121,""),"")</f>
        <v>0.0326062747700134</v>
      </c>
      <c r="BC311" s="25" t="n">
        <f aca="false">IF(AND(ISNUMBER(BC223),ISNUMBER(BC121)),IFERROR(BC223/BC121,""),"")</f>
        <v>0.0340871419570591</v>
      </c>
      <c r="BD311" s="25" t="n">
        <f aca="false">IF(AND(ISNUMBER(BD223),ISNUMBER(BD121)),IFERROR(BD223/BD121,""),"")</f>
        <v>0.0343328833431536</v>
      </c>
      <c r="BE311" s="25" t="n">
        <f aca="false">IF(AND(ISNUMBER(BE223),ISNUMBER(BE121)),IFERROR(BE223/BE121,""),"")</f>
        <v>0.0347930855543246</v>
      </c>
      <c r="BF311" s="25" t="n">
        <f aca="false">IF(AND(ISNUMBER(BF223),ISNUMBER(BF121)),IFERROR(BF223/BF121,""),"")</f>
        <v>0.0361196138450671</v>
      </c>
      <c r="BG311" s="25" t="n">
        <f aca="false">IF(AND(ISNUMBER(BG223),ISNUMBER(BG121)),IFERROR(BG223/BG121,""),"")</f>
        <v>0.0348616362085943</v>
      </c>
      <c r="BH311" s="25" t="n">
        <f aca="false">IF(AND(ISNUMBER(BH223),ISNUMBER(BH121)),IFERROR(BH223/BH121,""),"")</f>
        <v>0.0374576891879404</v>
      </c>
      <c r="BI311" s="25" t="n">
        <f aca="false">IF(AND(ISNUMBER(BI223),ISNUMBER(BI121)),IFERROR(BI223/BI121,""),"")</f>
        <v>0.038583542661733</v>
      </c>
      <c r="BJ311" s="25" t="n">
        <f aca="false">IF(AND(ISNUMBER(BJ223),ISNUMBER(BJ121)),IFERROR(BJ223/BJ121,""),"")</f>
        <v>0.0392912086240873</v>
      </c>
      <c r="BK311" s="25" t="n">
        <f aca="false">IF(AND(ISNUMBER(BK223),ISNUMBER(BK121)),IFERROR(BK223/BK121,""),"")</f>
        <v>0.0396666557301749</v>
      </c>
      <c r="BL311" s="25" t="n">
        <f aca="false">IF(AND(ISNUMBER(BL223),ISNUMBER(BL121)),IFERROR(BL223/BL121,""),"")</f>
        <v>0.0387780040733198</v>
      </c>
      <c r="BM311" s="25" t="n">
        <f aca="false">IF(AND(ISNUMBER(BM223),ISNUMBER(BM121)),IFERROR(BM223/BM121,""),"")</f>
        <v>0.0414381474710542</v>
      </c>
      <c r="BN311" s="25" t="n">
        <f aca="false">IF(AND(ISNUMBER(BN223),ISNUMBER(BN121)),IFERROR(BN223/BN121,""),"")</f>
        <v>0.0429330185895544</v>
      </c>
      <c r="BO311" s="25" t="n">
        <f aca="false">IF(AND(ISNUMBER(BO223),ISNUMBER(BO121)),IFERROR(BO223/BO121,""),"")</f>
        <v>0.0430262777938204</v>
      </c>
      <c r="BP311" s="25" t="n">
        <f aca="false">IF(AND(ISNUMBER(BP223),ISNUMBER(BP121)),IFERROR(BP223/BP121,""),"")</f>
        <v>0.0431350436989005</v>
      </c>
      <c r="BQ311" s="25" t="n">
        <f aca="false">IF(AND(ISNUMBER(BQ223),ISNUMBER(BQ121)),IFERROR(BQ223/BQ121,""),"")</f>
        <v>0.0426503910532856</v>
      </c>
      <c r="BR311" s="25" t="n">
        <f aca="false">IF(AND(ISNUMBER(BR223),ISNUMBER(BR121)),IFERROR(BR223/BR121,""),"")</f>
        <v>0.0423381589729582</v>
      </c>
      <c r="BS311" s="25" t="n">
        <f aca="false">IF(AND(ISNUMBER(BS223),ISNUMBER(BS121)),IFERROR(BS223/BS121,""),"")</f>
        <v>0.0459490592602074</v>
      </c>
      <c r="BT311" s="25" t="n">
        <f aca="false">IF(AND(ISNUMBER(BT223),ISNUMBER(BT121)),IFERROR(BT223/BT121,""),"")</f>
        <v>0.0521833013435701</v>
      </c>
      <c r="BU311" s="25" t="n">
        <f aca="false">IF(AND(ISNUMBER(BU223),ISNUMBER(BU121)),IFERROR(BU223/BU121,""),"")</f>
        <v>0.0340037781975775</v>
      </c>
      <c r="BV311" s="25" t="n">
        <f aca="false">IF(AND(ISNUMBER(BV223),ISNUMBER(BV121)),IFERROR(BV223/BV121,""),"")</f>
        <v>0.0434246997228211</v>
      </c>
      <c r="BW311" s="25" t="n">
        <f aca="false">IF(AND(ISNUMBER(BW223),ISNUMBER(BW121)),IFERROR(BW223/BW121,""),"")</f>
        <v>0.0334448160535117</v>
      </c>
      <c r="BX311" s="25" t="n">
        <f aca="false">IF(AND(ISNUMBER(BX223),ISNUMBER(BX121)),IFERROR(BX223/BX121,""),"")</f>
        <v>0.0324324324324324</v>
      </c>
      <c r="BY311" s="27"/>
      <c r="BZ311" s="27"/>
      <c r="CA311" s="27" t="n">
        <f aca="false">IF(AND(ISNUMBER(CA223),ISNUMBER(CA121)),IFERROR(CA223/CA121,""),"")</f>
        <v>0.0329308452250274</v>
      </c>
      <c r="CB311" s="45" t="n">
        <v>0.035</v>
      </c>
      <c r="CC311" s="45" t="n">
        <v>0.035</v>
      </c>
      <c r="CD311" s="45" t="n">
        <v>0.035</v>
      </c>
      <c r="CE311" s="45" t="n">
        <v>0.035</v>
      </c>
      <c r="CF311" s="28" t="s">
        <v>536</v>
      </c>
      <c r="CH311" s="32" t="n">
        <f aca="false">IFERROR(AVERAGE(CA311,CB311,CC311,CD311,CE311),"n/m")</f>
        <v>0.0345861690450055</v>
      </c>
      <c r="CI311" s="32" t="n">
        <f aca="false">IFERROR(AVERAGE(BB311,BG311,BL311,BQ311,BV311),"n/m")</f>
        <v>0.0384642011656068</v>
      </c>
      <c r="CJ311" s="32" t="n">
        <f aca="false">IFERROR(AVERAGE(AC311,AH311,AM311,AR311,AW311,BB311,BG311,BL311,BQ311,BV311),"n/m")</f>
        <v>0.0384375318875129</v>
      </c>
      <c r="CK311" s="32" t="n">
        <f aca="false">IFERROR(AVERAGE(C311,D311,E311,F311,G311,H311,I311,N311,S311,X311,AC311,AH311,AM311,AR311,AW311,BB311,BG311,BL311,BQ311,BV311),"n/m")</f>
        <v>0.0384375318875129</v>
      </c>
    </row>
    <row r="312" customFormat="false" ht="15" hidden="false" customHeight="true" outlineLevel="0" collapsed="false">
      <c r="B312" s="29" t="s">
        <v>537</v>
      </c>
      <c r="C312" s="34" t="n">
        <f aca="false">IF(ISNUMBER(C272),C272+N(C279)-C283-C284-C285,"n/a")</f>
        <v>-7.511</v>
      </c>
      <c r="D312" s="34" t="n">
        <f aca="false">IF(ISNUMBER(D272),D272+N(D279)-D283-D284-D285,"n/a")</f>
        <v>-10.287</v>
      </c>
      <c r="E312" s="34" t="n">
        <f aca="false">IF(ISNUMBER(E272),E272+N(E279)-E283-E284-E285,"n/a")</f>
        <v>-6.001</v>
      </c>
      <c r="F312" s="34" t="n">
        <f aca="false">IF(ISNUMBER(F272),F272+N(F279)-F283-F284-F285,"n/a")</f>
        <v>-15.348</v>
      </c>
      <c r="G312" s="34" t="n">
        <f aca="false">IF(ISNUMBER(G272),G272+N(G279)-G283-G284-G285,"n/a")</f>
        <v>-19.389</v>
      </c>
      <c r="H312" s="34" t="n">
        <f aca="false">IF(ISNUMBER(H272),H272+N(H279)-H283-H284-H285,"n/a")</f>
        <v>-28.387</v>
      </c>
      <c r="I312" s="34" t="n">
        <f aca="false">IF(ISNUMBER(I272),I272+N(I279)-I283-I284-I285,"n/a")</f>
        <v>-46.221</v>
      </c>
      <c r="J312" s="34" t="n">
        <f aca="false">IF(ISNUMBER(J272),J272+N(J279)-J283-J284-J285,"n/a")</f>
        <v>-30.681</v>
      </c>
      <c r="K312" s="34" t="n">
        <f aca="false">IF(ISNUMBER(K272),K272+N(K279)-K283-K284-K285,"n/a")</f>
        <v>-32.394</v>
      </c>
      <c r="L312" s="34" t="n">
        <f aca="false">IF(ISNUMBER(L272),L272+N(L279)-L283-L284-L285,"n/a")</f>
        <v>-36.547</v>
      </c>
      <c r="M312" s="34" t="n">
        <f aca="false">IF(ISNUMBER(M272),M272+N(M279)-M283-M284-M285,"n/a")</f>
        <v>-38.644</v>
      </c>
      <c r="N312" s="34" t="n">
        <f aca="false">IF(ISNUMBER(N272),N272+N(N279)-N283-N284-N285,"n/a")</f>
        <v>-38.644</v>
      </c>
      <c r="O312" s="34" t="n">
        <f aca="false">IF(ISNUMBER(O272),O272+N(O279)-O283-O284-O285,"n/a")</f>
        <v>-20.009</v>
      </c>
      <c r="P312" s="34" t="n">
        <f aca="false">IF(ISNUMBER(P272),P272+N(P279)-P283-P284-P285,"n/a")</f>
        <v>-25.572</v>
      </c>
      <c r="Q312" s="34" t="n">
        <f aca="false">IF(ISNUMBER(Q272),Q272+N(Q279)-Q283-Q284-Q285,"n/a")</f>
        <v>-28.52</v>
      </c>
      <c r="R312" s="34" t="n">
        <f aca="false">IF(ISNUMBER(R272),R272+N(R279)-R283-R284-R285,"n/a")</f>
        <v>-31.072</v>
      </c>
      <c r="S312" s="34" t="n">
        <f aca="false">IF(ISNUMBER(S272),S272+N(S279)-S283-S284-S285,"n/a")</f>
        <v>-31.072</v>
      </c>
      <c r="T312" s="34" t="str">
        <f aca="false">IF(ISNUMBER(T272),T272+N(T279)-T283-T284-T285,"n/a")</f>
        <v>n/a</v>
      </c>
      <c r="U312" s="34" t="n">
        <f aca="false">IF(ISNUMBER(U272),U272+N(U279)-U283-U284-U285,"n/a")</f>
        <v>-16.247</v>
      </c>
      <c r="V312" s="34" t="n">
        <f aca="false">IF(ISNUMBER(V272),V272+N(V279)-V283-V284-V285,"n/a")</f>
        <v>-37.251</v>
      </c>
      <c r="W312" s="34" t="n">
        <f aca="false">IF(ISNUMBER(W272),W272+N(W279)-W283-W284-W285,"n/a")</f>
        <v>-42.58</v>
      </c>
      <c r="X312" s="34" t="n">
        <f aca="false">IF(ISNUMBER(X272),X272+N(X279)-X283-X284-X285,"n/a")</f>
        <v>-42.58</v>
      </c>
      <c r="Y312" s="34" t="n">
        <f aca="false">IF(ISNUMBER(Y272),Y272+N(Y279)-Y283-Y284-Y285,"n/a")</f>
        <v>-25.649</v>
      </c>
      <c r="Z312" s="34" t="n">
        <f aca="false">IF(ISNUMBER(Z272),Z272+N(Z279)-Z283-Z284-Z285,"n/a")</f>
        <v>-31.759</v>
      </c>
      <c r="AA312" s="34" t="n">
        <f aca="false">IF(ISNUMBER(AA272),AA272+N(AA279)-AA283-AA284-AA285,"n/a")</f>
        <v>-36.707</v>
      </c>
      <c r="AB312" s="34" t="n">
        <f aca="false">IF(ISNUMBER(AB272),AB272+N(AB279)-AB283-AB284-AB285,"n/a")</f>
        <v>-35.908</v>
      </c>
      <c r="AC312" s="34" t="n">
        <f aca="false">IF(ISNUMBER(AC272),AC272+N(AC279)-AC283-AC284-AC285,"n/a")</f>
        <v>-35.908</v>
      </c>
      <c r="AD312" s="34" t="n">
        <f aca="false">IF(ISNUMBER(AD272),AD272+N(AD279)-AD283-AD284-AD285,"n/a")</f>
        <v>-36.39</v>
      </c>
      <c r="AE312" s="34" t="n">
        <f aca="false">IF(ISNUMBER(AE272),AE272+N(AE279)-AE283-AE284-AE285,"n/a")</f>
        <v>-35.709</v>
      </c>
      <c r="AF312" s="34" t="n">
        <f aca="false">IF(ISNUMBER(AF272),AF272+N(AF279)-AF283-AF284-AF285,"n/a")</f>
        <v>-30.681</v>
      </c>
      <c r="AG312" s="34" t="n">
        <f aca="false">IF(ISNUMBER(AG272),AG272+N(AG279)-AG283-AG284-AG285,"n/a")</f>
        <v>-48.152</v>
      </c>
      <c r="AH312" s="34" t="n">
        <f aca="false">IF(ISNUMBER(AH272),AH272+N(AH279)-AH283-AH284-AH285,"n/a")</f>
        <v>-48.152</v>
      </c>
      <c r="AI312" s="34" t="n">
        <f aca="false">IF(ISNUMBER(AI272),AI272+N(AI279)-AI283-AI284-AI285,"n/a")</f>
        <v>35.765</v>
      </c>
      <c r="AJ312" s="34" t="n">
        <f aca="false">IF(ISNUMBER(AJ272),AJ272+N(AJ279)-AJ283-AJ284-AJ285,"n/a")</f>
        <v>44.815</v>
      </c>
      <c r="AK312" s="34" t="n">
        <f aca="false">IF(ISNUMBER(AK272),AK272+N(AK279)-AK283-AK284-AK285,"n/a")</f>
        <v>47.549</v>
      </c>
      <c r="AL312" s="34" t="n">
        <f aca="false">IF(ISNUMBER(AL272),AL272+N(AL279)-AL283-AL284-AL285,"n/a")</f>
        <v>61.849</v>
      </c>
      <c r="AM312" s="34" t="n">
        <f aca="false">IF(ISNUMBER(AM272),AM272+N(AM279)-AM283-AM284-AM285,"n/a")</f>
        <v>61.849</v>
      </c>
      <c r="AN312" s="34" t="n">
        <f aca="false">IF(ISNUMBER(AN272),AN272+N(AN279)-AN283-AN284-AN285,"n/a")</f>
        <v>56.878</v>
      </c>
      <c r="AO312" s="34" t="n">
        <f aca="false">IF(ISNUMBER(AO272),AO272+N(AO279)-AO283-AO284-AO285,"n/a")</f>
        <v>66.777</v>
      </c>
      <c r="AP312" s="34" t="n">
        <f aca="false">IF(ISNUMBER(AP272),AP272+N(AP279)-AP283-AP284-AP285,"n/a")</f>
        <v>56.981</v>
      </c>
      <c r="AQ312" s="34" t="n">
        <f aca="false">IF(ISNUMBER(AQ272),AQ272+N(AQ279)-AQ283-AQ284-AQ285,"n/a")</f>
        <v>53.613</v>
      </c>
      <c r="AR312" s="34" t="n">
        <f aca="false">IF(ISNUMBER(AR272),AR272+N(AR279)-AR283-AR284-AR285,"n/a")</f>
        <v>53.613</v>
      </c>
      <c r="AS312" s="34" t="n">
        <f aca="false">IF(ISNUMBER(AS272),AS272+N(AS279)-AS283-AS284-AS285,"n/a")</f>
        <v>38.432</v>
      </c>
      <c r="AT312" s="34" t="n">
        <f aca="false">IF(ISNUMBER(AT272),AT272+N(AT279)-AT283-AT284-AT285,"n/a")</f>
        <v>28.046</v>
      </c>
      <c r="AU312" s="34" t="n">
        <f aca="false">IF(ISNUMBER(AU272),AU272+N(AU279)-AU283-AU284-AU285,"n/a")</f>
        <v>39.412</v>
      </c>
      <c r="AV312" s="34" t="n">
        <f aca="false">IF(ISNUMBER(AV272),AV272+N(AV279)-AV283-AV284-AV285,"n/a")</f>
        <v>25.642</v>
      </c>
      <c r="AW312" s="34" t="n">
        <f aca="false">IF(ISNUMBER(AW272),AW272+N(AW279)-AW283-AW284-AW285,"n/a")</f>
        <v>25.642</v>
      </c>
      <c r="AX312" s="34" t="n">
        <f aca="false">IF(ISNUMBER(AX272),AX272+N(AX279)-AX283-AX284-AX285,"n/a")</f>
        <v>27.698</v>
      </c>
      <c r="AY312" s="34" t="n">
        <f aca="false">IF(ISNUMBER(AY272),AY272+N(AY279)-AY283-AY284-AY285,"n/a")</f>
        <v>17.568</v>
      </c>
      <c r="AZ312" s="34" t="n">
        <f aca="false">IF(ISNUMBER(AZ272),AZ272+N(AZ279)-AZ283-AZ284-AZ285,"n/a")</f>
        <v>18.931</v>
      </c>
      <c r="BA312" s="34" t="n">
        <f aca="false">IF(ISNUMBER(BA272),BA272+N(BA279)-BA283-BA284-BA285,"n/a")</f>
        <v>27.187</v>
      </c>
      <c r="BB312" s="34" t="n">
        <f aca="false">IF(ISNUMBER(BB272),BB272+N(BB279)-BB283-BB284-BB285,"n/a")</f>
        <v>27.187</v>
      </c>
      <c r="BC312" s="34" t="n">
        <f aca="false">IF(ISNUMBER(BC272),BC272+N(BC279)-BC283-BC284-BC285,"n/a")</f>
        <v>58.784</v>
      </c>
      <c r="BD312" s="34" t="n">
        <f aca="false">IF(ISNUMBER(BD272),BD272+N(BD279)-BD283-BD284-BD285,"n/a")</f>
        <v>50.436</v>
      </c>
      <c r="BE312" s="34" t="n">
        <f aca="false">IF(ISNUMBER(BE272),BE272+N(BE279)-BE283-BE284-BE285,"n/a")</f>
        <v>63.056</v>
      </c>
      <c r="BF312" s="34" t="n">
        <f aca="false">IF(ISNUMBER(BF272),BF272+N(BF279)-BF283-BF284-BF285,"n/a")</f>
        <v>59.4120000000001</v>
      </c>
      <c r="BG312" s="34" t="n">
        <f aca="false">IF(ISNUMBER(BG272),BG272+N(BG279)-BG283-BG284-BG285,"n/a")</f>
        <v>59.4120000000001</v>
      </c>
      <c r="BH312" s="34" t="n">
        <f aca="false">IF(ISNUMBER(BH272),BH272+N(BH279)-BH283-BH284-BH285,"n/a")</f>
        <v>95.866</v>
      </c>
      <c r="BI312" s="34" t="n">
        <f aca="false">IF(ISNUMBER(BI272),BI272+N(BI279)-BI283-BI284-BI285,"n/a")</f>
        <v>67.912</v>
      </c>
      <c r="BJ312" s="34" t="n">
        <f aca="false">IF(ISNUMBER(BJ272),BJ272+N(BJ279)-BJ283-BJ284-BJ285,"n/a")</f>
        <v>143.871</v>
      </c>
      <c r="BK312" s="34" t="n">
        <f aca="false">IF(ISNUMBER(BK272),BK272+N(BK279)-BK283-BK284-BK285,"n/a")</f>
        <v>112.6</v>
      </c>
      <c r="BL312" s="34" t="n">
        <f aca="false">IF(ISNUMBER(BL272),BL272+N(BL279)-BL283-BL284-BL285,"n/a")</f>
        <v>112.6</v>
      </c>
      <c r="BM312" s="34" t="n">
        <f aca="false">IF(ISNUMBER(BM272),BM272+N(BM279)-BM283-BM284-BM285,"n/a")</f>
        <v>55</v>
      </c>
      <c r="BN312" s="34" t="n">
        <f aca="false">IF(ISNUMBER(BN272),BN272+N(BN279)-BN283-BN284-BN285,"n/a")</f>
        <v>48.6000000000001</v>
      </c>
      <c r="BO312" s="34" t="n">
        <f aca="false">IF(ISNUMBER(BO272),BO272+N(BO279)-BO283-BO284-BO285,"n/a")</f>
        <v>48.3</v>
      </c>
      <c r="BP312" s="34" t="n">
        <f aca="false">IF(ISNUMBER(BP272),BP272+N(BP279)-BP283-BP284-BP285,"n/a")</f>
        <v>40.1</v>
      </c>
      <c r="BQ312" s="34" t="n">
        <f aca="false">IF(ISNUMBER(BQ272),BQ272+N(BQ279)-BQ283-BQ284-BQ285,"n/a")</f>
        <v>40.1</v>
      </c>
      <c r="BR312" s="34" t="n">
        <f aca="false">IF(ISNUMBER(BR272),BR272+N(BR279)-BR283-BR284-BR285,"n/a")</f>
        <v>64.3</v>
      </c>
      <c r="BS312" s="34" t="n">
        <f aca="false">IF(ISNUMBER(BS272),BS272+N(BS279)-BS283-BS284-BS285,"n/a")</f>
        <v>13.4</v>
      </c>
      <c r="BT312" s="34" t="n">
        <f aca="false">IF(ISNUMBER(BT272),BT272+N(BT279)-BT283-BT284-BT285,"n/a")</f>
        <v>28.5</v>
      </c>
      <c r="BU312" s="34" t="n">
        <f aca="false">IF(ISNUMBER(BU272),BU272+N(BU279)-BU283-BU284-BU285,"n/a")</f>
        <v>26</v>
      </c>
      <c r="BV312" s="34" t="n">
        <f aca="false">IF(ISNUMBER(BV272),BV272+N(BV279)-BV283-BV284-BV285,"n/a")</f>
        <v>26</v>
      </c>
      <c r="BW312" s="34" t="n">
        <f aca="false">IF(ISNUMBER(BW272),BW272+N(BW279)-BW283-BW284-BW285,"n/a")</f>
        <v>55</v>
      </c>
      <c r="BX312" s="34" t="n">
        <f aca="false">IF(ISNUMBER(BX272),BX272+N(BX279)-BX283-BX284-BX285,"n/a")</f>
        <v>10</v>
      </c>
      <c r="BY312" s="36"/>
      <c r="BZ312" s="36"/>
      <c r="CA312" s="36" t="n">
        <f aca="false">CA272+N(CA279)-CA283-CA284-CA285</f>
        <v>36.1799506849316</v>
      </c>
      <c r="CB312" s="36" t="n">
        <f aca="false">CB272+N(CB279)-CB283-CB284-CB285</f>
        <v>39.9312676023282</v>
      </c>
      <c r="CC312" s="36" t="n">
        <f aca="false">CC272+N(CC279)-CC283-CC284-CC285</f>
        <v>43.8642812412475</v>
      </c>
      <c r="CD312" s="36" t="n">
        <f aca="false">CD272+N(CD279)-CD283-CD284-CD285</f>
        <v>47.8730674409588</v>
      </c>
      <c r="CE312" s="36" t="n">
        <f aca="false">CE272+N(CE279)-CE283-CE284-CE285</f>
        <v>51.9025656836499</v>
      </c>
      <c r="CF312" s="28"/>
    </row>
    <row r="313" customFormat="false" ht="15" hidden="false" customHeight="true" outlineLevel="0" collapsed="false">
      <c r="B313" s="29" t="s">
        <v>538</v>
      </c>
      <c r="C313" s="25" t="n">
        <f aca="false">IFERROR(C312/C305,"n/a")</f>
        <v>-0.0472719949146889</v>
      </c>
      <c r="D313" s="25" t="n">
        <f aca="false">IFERROR(D312/D305,"n/a")</f>
        <v>-0.0533544254557714</v>
      </c>
      <c r="E313" s="25" t="n">
        <f aca="false">IFERROR(E312/E305,"n/a")</f>
        <v>-0.0282495716195605</v>
      </c>
      <c r="F313" s="25" t="n">
        <f aca="false">IFERROR(F312/F305,"n/a")</f>
        <v>-0.0732045845873538</v>
      </c>
      <c r="G313" s="25" t="n">
        <f aca="false">IFERROR(G312/G305,"n/a")</f>
        <v>-0.0856934500132591</v>
      </c>
      <c r="H313" s="25" t="n">
        <f aca="false">IFERROR(H312/H305,"n/a")</f>
        <v>-0.112764064225504</v>
      </c>
      <c r="I313" s="25" t="n">
        <f aca="false">IFERROR(I312/I305,"n/a")</f>
        <v>-0.132084152530749</v>
      </c>
      <c r="J313" s="25" t="n">
        <f aca="false">IFERROR(J312/J305,"n/a")</f>
        <v>-0.0737290090644315</v>
      </c>
      <c r="K313" s="25" t="n">
        <f aca="false">IFERROR(K312/K305,"n/a")</f>
        <v>-0.0742988467784108</v>
      </c>
      <c r="L313" s="25" t="n">
        <f aca="false">IFERROR(L312/L305,"n/a")</f>
        <v>-0.0813594714205573</v>
      </c>
      <c r="M313" s="25" t="n">
        <f aca="false">IFERROR(M312/M305,"n/a")</f>
        <v>-0.0835654355159588</v>
      </c>
      <c r="N313" s="25" t="n">
        <f aca="false">IFERROR(N312/N305,"n/a")</f>
        <v>-0.0876394454612048</v>
      </c>
      <c r="O313" s="25" t="n">
        <f aca="false">IFERROR(O312/O305,"n/a")</f>
        <v>-0.0420088850817965</v>
      </c>
      <c r="P313" s="25" t="n">
        <f aca="false">IFERROR(P312/P305,"n/a")</f>
        <v>-0.0432813388577464</v>
      </c>
      <c r="Q313" s="25" t="n">
        <f aca="false">IFERROR(Q312/Q305,"n/a")</f>
        <v>-0.0465842567426301</v>
      </c>
      <c r="R313" s="25" t="n">
        <f aca="false">IFERROR(R312/R305,"n/a")</f>
        <v>-0.0497642476424764</v>
      </c>
      <c r="S313" s="25" t="n">
        <f aca="false">IFERROR(S312/S305,"n/a")</f>
        <v>-0.0539504389376597</v>
      </c>
      <c r="T313" s="25" t="str">
        <f aca="false">IFERROR(T312/T305,"n/a")</f>
        <v>n/a</v>
      </c>
      <c r="U313" s="25" t="n">
        <f aca="false">IFERROR(U312/U305,"n/a")</f>
        <v>-0.0238006644907622</v>
      </c>
      <c r="V313" s="25" t="n">
        <f aca="false">IFERROR(V312/V305,"n/a")</f>
        <v>-0.0492534826896836</v>
      </c>
      <c r="W313" s="25" t="n">
        <f aca="false">IFERROR(W312/W305,"n/a")</f>
        <v>-0.0551528685190846</v>
      </c>
      <c r="X313" s="25" t="n">
        <f aca="false">IFERROR(X312/X305,"n/a")</f>
        <v>-0.059823199824661</v>
      </c>
      <c r="Y313" s="25" t="n">
        <f aca="false">IFERROR(Y312/Y305,"n/a")</f>
        <v>-0.0321031446037078</v>
      </c>
      <c r="Z313" s="25" t="n">
        <f aca="false">IFERROR(Z312/Z305,"n/a")</f>
        <v>-0.0383805693458179</v>
      </c>
      <c r="AA313" s="25" t="n">
        <f aca="false">IFERROR(AA312/AA305,"n/a")</f>
        <v>-0.0431418685446451</v>
      </c>
      <c r="AB313" s="25" t="n">
        <f aca="false">IFERROR(AB312/AB305,"n/a")</f>
        <v>-0.0411202367265049</v>
      </c>
      <c r="AC313" s="25" t="n">
        <f aca="false">IFERROR(AC312/AC305,"n/a")</f>
        <v>-0.0428685696548595</v>
      </c>
      <c r="AD313" s="25" t="n">
        <f aca="false">IFERROR(AD312/AD305,"n/a")</f>
        <v>-0.0401561665482249</v>
      </c>
      <c r="AE313" s="25" t="n">
        <f aca="false">IFERROR(AE312/AE305,"n/a")</f>
        <v>-0.0376434200705873</v>
      </c>
      <c r="AF313" s="25" t="n">
        <f aca="false">IFERROR(AF312/AF305,"n/a")</f>
        <v>-0.030986777520573</v>
      </c>
      <c r="AG313" s="25" t="n">
        <f aca="false">IFERROR(AG312/AG305,"n/a")</f>
        <v>-0.0473953801512652</v>
      </c>
      <c r="AH313" s="25" t="n">
        <f aca="false">IFERROR(AH312/AH305,"n/a")</f>
        <v>-0.0498865555359862</v>
      </c>
      <c r="AI313" s="25" t="n">
        <f aca="false">IFERROR(AI312/AI305,"n/a")</f>
        <v>0.0326659189384695</v>
      </c>
      <c r="AJ313" s="25" t="n">
        <f aca="false">IFERROR(AJ312/AJ305,"n/a")</f>
        <v>0.0377207778653146</v>
      </c>
      <c r="AK313" s="25" t="n">
        <f aca="false">IFERROR(AK312/AK305,"n/a")</f>
        <v>0.0389076180345307</v>
      </c>
      <c r="AL313" s="25" t="n">
        <f aca="false">IFERROR(AL312/AL305,"n/a")</f>
        <v>0.0489976899017971</v>
      </c>
      <c r="AM313" s="25" t="n">
        <f aca="false">IFERROR(AM312/AM305,"n/a")</f>
        <v>0.0518940588942066</v>
      </c>
      <c r="AN313" s="25" t="n">
        <f aca="false">IFERROR(AN312/AN305,"n/a")</f>
        <v>0.0432960341021542</v>
      </c>
      <c r="AO313" s="25" t="n">
        <f aca="false">IFERROR(AO312/AO305,"n/a")</f>
        <v>0.0485636781475448</v>
      </c>
      <c r="AP313" s="25" t="n">
        <f aca="false">IFERROR(AP312/AP305,"n/a")</f>
        <v>0.0403767771705857</v>
      </c>
      <c r="AQ313" s="25" t="n">
        <f aca="false">IFERROR(AQ312/AQ305,"n/a")</f>
        <v>0.0357681345836691</v>
      </c>
      <c r="AR313" s="25" t="n">
        <f aca="false">IFERROR(AR312/AR305,"n/a")</f>
        <v>0.0383026878966421</v>
      </c>
      <c r="AS313" s="25" t="n">
        <f aca="false">IFERROR(AS312/AS305,"n/a")</f>
        <v>0.0245197742996629</v>
      </c>
      <c r="AT313" s="25" t="n">
        <f aca="false">IFERROR(AT312/AT305,"n/a")</f>
        <v>0.01765413851883</v>
      </c>
      <c r="AU313" s="25" t="n">
        <f aca="false">IFERROR(AU312/AU305,"n/a")</f>
        <v>0.023149758000094</v>
      </c>
      <c r="AV313" s="25" t="n">
        <f aca="false">IFERROR(AV312/AV305,"n/a")</f>
        <v>0.0144252947278648</v>
      </c>
      <c r="AW313" s="25" t="n">
        <f aca="false">IFERROR(AW312/AW305,"n/a")</f>
        <v>0.0154561219612313</v>
      </c>
      <c r="AX313" s="25" t="n">
        <f aca="false">IFERROR(AX312/AX305,"n/a")</f>
        <v>0.0151290045597852</v>
      </c>
      <c r="AY313" s="25" t="n">
        <f aca="false">IFERROR(AY312/AY305,"n/a")</f>
        <v>0.00914365658824191</v>
      </c>
      <c r="AZ313" s="25" t="n">
        <f aca="false">IFERROR(AZ312/AZ305,"n/a")</f>
        <v>0.00947840959386685</v>
      </c>
      <c r="BA313" s="25" t="n">
        <f aca="false">IFERROR(BA312/BA305,"n/a")</f>
        <v>0.013411479401562</v>
      </c>
      <c r="BB313" s="25" t="n">
        <f aca="false">IFERROR(BB312/BB305,"n/a")</f>
        <v>0.0139841111856944</v>
      </c>
      <c r="BC313" s="25" t="n">
        <f aca="false">IFERROR(BC312/BC305,"n/a")</f>
        <v>0.0284902825570688</v>
      </c>
      <c r="BD313" s="25" t="n">
        <f aca="false">IFERROR(BD312/BD305,"n/a")</f>
        <v>0.0235107438263088</v>
      </c>
      <c r="BE313" s="25" t="n">
        <f aca="false">IFERROR(BE312/BE305,"n/a")</f>
        <v>0.0283056304215499</v>
      </c>
      <c r="BF313" s="25" t="n">
        <f aca="false">IFERROR(BF312/BF305,"n/a")</f>
        <v>0.0259058681945426</v>
      </c>
      <c r="BG313" s="25" t="n">
        <f aca="false">IFERROR(BG312/BG305,"n/a")</f>
        <v>0.0272232529432061</v>
      </c>
      <c r="BH313" s="25" t="n">
        <f aca="false">IFERROR(BH312/BH305,"n/a")</f>
        <v>0.041012824154725</v>
      </c>
      <c r="BI313" s="25" t="n">
        <f aca="false">IFERROR(BI312/BI305,"n/a")</f>
        <v>0.028020848118355</v>
      </c>
      <c r="BJ313" s="25" t="n">
        <f aca="false">IFERROR(BJ312/BJ305,"n/a")</f>
        <v>0.057578893782147</v>
      </c>
      <c r="BK313" s="25" t="n">
        <f aca="false">IFERROR(BK312/BK305,"n/a")</f>
        <v>0.043980320564198</v>
      </c>
      <c r="BL313" s="25" t="n">
        <f aca="false">IFERROR(BL312/BL305,"n/a")</f>
        <v>0.0458655804480652</v>
      </c>
      <c r="BM313" s="25" t="n">
        <f aca="false">IFERROR(BM312/BM305,"n/a")</f>
        <v>0.0209475929311395</v>
      </c>
      <c r="BN313" s="25" t="n">
        <f aca="false">IFERROR(BN312/BN305,"n/a")</f>
        <v>0.0179256417822367</v>
      </c>
      <c r="BO313" s="25" t="n">
        <f aca="false">IFERROR(BO312/BO305,"n/a")</f>
        <v>0.017434305515449</v>
      </c>
      <c r="BP313" s="25" t="n">
        <f aca="false">IFERROR(BP312/BP305,"n/a")</f>
        <v>0.0141316605582182</v>
      </c>
      <c r="BQ313" s="25" t="n">
        <f aca="false">IFERROR(BQ312/BQ305,"n/a")</f>
        <v>0.0146553614501864</v>
      </c>
      <c r="BR313" s="25" t="n">
        <f aca="false">IFERROR(BR312/BR305,"n/a")</f>
        <v>0.0219543840480743</v>
      </c>
      <c r="BS313" s="25" t="n">
        <f aca="false">IFERROR(BS312/BS305,"n/a")</f>
        <v>0.00428772558556254</v>
      </c>
      <c r="BT313" s="25" t="n">
        <f aca="false">IFERROR(BT312/BT305,"n/a")</f>
        <v>0.00854726487523993</v>
      </c>
      <c r="BU313" s="25" t="n">
        <f aca="false">IFERROR(BU312/BU305,"n/a")</f>
        <v>0.00722302478053117</v>
      </c>
      <c r="BV313" s="25" t="n">
        <f aca="false">IFERROR(BV312/BV305,"n/a")</f>
        <v>0.00800739143825069</v>
      </c>
      <c r="BW313" s="25" t="n">
        <f aca="false">IFERROR(BW312/BW305,"n/a")</f>
        <v>0.0153288740245262</v>
      </c>
      <c r="BX313" s="25" t="n">
        <f aca="false">IFERROR(BX312/BX305,"n/a")</f>
        <v>0.0027027027027027</v>
      </c>
      <c r="BY313" s="27"/>
      <c r="BZ313" s="27"/>
      <c r="CA313" s="27" t="n">
        <f aca="false">IFERROR(CA312/CA305,"n/a")</f>
        <v>0.00923287671232878</v>
      </c>
      <c r="CB313" s="27" t="n">
        <f aca="false">IFERROR(CB312/CB305,"n/a")</f>
        <v>0.00923287671232876</v>
      </c>
      <c r="CC313" s="27" t="n">
        <f aca="false">IFERROR(CC312/CC305,"n/a")</f>
        <v>0.00923287671232878</v>
      </c>
      <c r="CD313" s="27" t="n">
        <f aca="false">IFERROR(CD312/CD305,"n/a")</f>
        <v>0.00923287671232877</v>
      </c>
      <c r="CE313" s="27" t="n">
        <f aca="false">IFERROR(CE312/CE305,"n/a")</f>
        <v>0.00923287671232876</v>
      </c>
      <c r="CF313" s="28"/>
    </row>
    <row r="314" customFormat="false" ht="15" hidden="false" customHeight="true" outlineLevel="0" collapsed="false">
      <c r="B314" s="29" t="s">
        <v>539</v>
      </c>
      <c r="C314" s="34"/>
      <c r="D314" s="34" t="n">
        <f aca="false">IFERROR(D312-C312,"n/a")</f>
        <v>-2.776</v>
      </c>
      <c r="E314" s="34" t="n">
        <f aca="false">IFERROR(E312-D312,"n/a")</f>
        <v>4.286</v>
      </c>
      <c r="F314" s="34" t="n">
        <f aca="false">IFERROR(F312-E312,"n/a")</f>
        <v>-9.347</v>
      </c>
      <c r="G314" s="34" t="n">
        <f aca="false">IFERROR(G312-F312,"n/a")</f>
        <v>-4.041</v>
      </c>
      <c r="H314" s="34" t="n">
        <f aca="false">IFERROR(H312-G312,"n/a")</f>
        <v>-8.998</v>
      </c>
      <c r="I314" s="34" t="n">
        <f aca="false">IFERROR(I312-H312,"n/a")</f>
        <v>-17.834</v>
      </c>
      <c r="J314" s="34"/>
      <c r="K314" s="34"/>
      <c r="L314" s="34"/>
      <c r="M314" s="34"/>
      <c r="N314" s="34" t="n">
        <f aca="false">IFERROR(N312-I312,"n/a")</f>
        <v>7.577</v>
      </c>
      <c r="O314" s="34" t="n">
        <f aca="false">IFERROR(O312-J312,"n/a")</f>
        <v>10.672</v>
      </c>
      <c r="P314" s="34" t="n">
        <f aca="false">IFERROR(P312-K312,"n/a")</f>
        <v>6.82200000000001</v>
      </c>
      <c r="Q314" s="34" t="n">
        <f aca="false">IFERROR(Q312-L312,"n/a")</f>
        <v>8.02700000000001</v>
      </c>
      <c r="R314" s="34" t="n">
        <f aca="false">IFERROR(R312-M312,"n/a")</f>
        <v>7.57200000000001</v>
      </c>
      <c r="S314" s="34" t="n">
        <f aca="false">IFERROR(S312-N312,"n/a")</f>
        <v>7.57200000000001</v>
      </c>
      <c r="T314" s="34" t="str">
        <f aca="false">IFERROR(T312-O312,"n/a")</f>
        <v>n/a</v>
      </c>
      <c r="U314" s="34" t="n">
        <f aca="false">IFERROR(U312-P312,"n/a")</f>
        <v>9.32499999999999</v>
      </c>
      <c r="V314" s="34" t="n">
        <f aca="false">IFERROR(V312-Q312,"n/a")</f>
        <v>-8.731</v>
      </c>
      <c r="W314" s="34" t="n">
        <f aca="false">IFERROR(W312-R312,"n/a")</f>
        <v>-11.508</v>
      </c>
      <c r="X314" s="34" t="n">
        <f aca="false">IFERROR(X312-S312,"n/a")</f>
        <v>-11.508</v>
      </c>
      <c r="Y314" s="34" t="str">
        <f aca="false">IFERROR(Y312-T312,"n/a")</f>
        <v>n/a</v>
      </c>
      <c r="Z314" s="34" t="n">
        <f aca="false">IFERROR(Z312-U312,"n/a")</f>
        <v>-15.512</v>
      </c>
      <c r="AA314" s="34" t="n">
        <f aca="false">IFERROR(AA312-V312,"n/a")</f>
        <v>0.54399999999999</v>
      </c>
      <c r="AB314" s="34" t="n">
        <f aca="false">IFERROR(AB312-W312,"n/a")</f>
        <v>6.672</v>
      </c>
      <c r="AC314" s="34" t="n">
        <f aca="false">IFERROR(AC312-X312,"n/a")</f>
        <v>6.672</v>
      </c>
      <c r="AD314" s="34" t="n">
        <f aca="false">IFERROR(AD312-Y312,"n/a")</f>
        <v>-10.741</v>
      </c>
      <c r="AE314" s="34" t="n">
        <f aca="false">IFERROR(AE312-Z312,"n/a")</f>
        <v>-3.95</v>
      </c>
      <c r="AF314" s="34" t="n">
        <f aca="false">IFERROR(AF312-AA312,"n/a")</f>
        <v>6.026</v>
      </c>
      <c r="AG314" s="34" t="n">
        <f aca="false">IFERROR(AG312-AB312,"n/a")</f>
        <v>-12.244</v>
      </c>
      <c r="AH314" s="34" t="n">
        <f aca="false">IFERROR(AH312-AC312,"n/a")</f>
        <v>-12.244</v>
      </c>
      <c r="AI314" s="34" t="n">
        <f aca="false">IFERROR(AI312-AD312,"n/a")</f>
        <v>72.155</v>
      </c>
      <c r="AJ314" s="34" t="n">
        <f aca="false">IFERROR(AJ312-AE312,"n/a")</f>
        <v>80.524</v>
      </c>
      <c r="AK314" s="34" t="n">
        <f aca="false">IFERROR(AK312-AF312,"n/a")</f>
        <v>78.23</v>
      </c>
      <c r="AL314" s="34" t="n">
        <f aca="false">IFERROR(AL312-AG312,"n/a")</f>
        <v>110.001</v>
      </c>
      <c r="AM314" s="34" t="n">
        <f aca="false">IFERROR(AM312-AH312,"n/a")</f>
        <v>110.001</v>
      </c>
      <c r="AN314" s="34" t="n">
        <f aca="false">IFERROR(AN312-AI312,"n/a")</f>
        <v>21.113</v>
      </c>
      <c r="AO314" s="34" t="n">
        <f aca="false">IFERROR(AO312-AJ312,"n/a")</f>
        <v>21.962</v>
      </c>
      <c r="AP314" s="34" t="n">
        <f aca="false">IFERROR(AP312-AK312,"n/a")</f>
        <v>9.43200000000001</v>
      </c>
      <c r="AQ314" s="34" t="n">
        <f aca="false">IFERROR(AQ312-AL312,"n/a")</f>
        <v>-8.23600000000003</v>
      </c>
      <c r="AR314" s="34" t="n">
        <f aca="false">IFERROR(AR312-AM312,"n/a")</f>
        <v>-8.23600000000003</v>
      </c>
      <c r="AS314" s="34" t="n">
        <f aca="false">IFERROR(AS312-AN312,"n/a")</f>
        <v>-18.446</v>
      </c>
      <c r="AT314" s="34" t="n">
        <f aca="false">IFERROR(AT312-AO312,"n/a")</f>
        <v>-38.731</v>
      </c>
      <c r="AU314" s="34" t="n">
        <f aca="false">IFERROR(AU312-AP312,"n/a")</f>
        <v>-17.569</v>
      </c>
      <c r="AV314" s="34" t="n">
        <f aca="false">IFERROR(AV312-AQ312,"n/a")</f>
        <v>-27.971</v>
      </c>
      <c r="AW314" s="34" t="n">
        <f aca="false">IFERROR(AW312-AR312,"n/a")</f>
        <v>-27.971</v>
      </c>
      <c r="AX314" s="34" t="n">
        <f aca="false">IFERROR(AX312-AS312,"n/a")</f>
        <v>-10.7340000000001</v>
      </c>
      <c r="AY314" s="34" t="n">
        <f aca="false">IFERROR(AY312-AT312,"n/a")</f>
        <v>-10.478</v>
      </c>
      <c r="AZ314" s="34" t="n">
        <f aca="false">IFERROR(AZ312-AU312,"n/a")</f>
        <v>-20.481</v>
      </c>
      <c r="BA314" s="34" t="n">
        <f aca="false">IFERROR(BA312-AV312,"n/a")</f>
        <v>1.54499999999999</v>
      </c>
      <c r="BB314" s="34" t="n">
        <f aca="false">IFERROR(BB312-AW312,"n/a")</f>
        <v>1.54499999999999</v>
      </c>
      <c r="BC314" s="34" t="n">
        <f aca="false">IFERROR(BC312-AX312,"n/a")</f>
        <v>31.086</v>
      </c>
      <c r="BD314" s="34" t="n">
        <f aca="false">IFERROR(BD312-AY312,"n/a")</f>
        <v>32.868</v>
      </c>
      <c r="BE314" s="34" t="n">
        <f aca="false">IFERROR(BE312-AZ312,"n/a")</f>
        <v>44.125</v>
      </c>
      <c r="BF314" s="34" t="n">
        <f aca="false">IFERROR(BF312-BA312,"n/a")</f>
        <v>32.2250000000001</v>
      </c>
      <c r="BG314" s="34" t="n">
        <f aca="false">IFERROR(BG312-BB312,"n/a")</f>
        <v>32.2250000000001</v>
      </c>
      <c r="BH314" s="34" t="n">
        <f aca="false">IFERROR(BH312-BC312,"n/a")</f>
        <v>37.082</v>
      </c>
      <c r="BI314" s="34" t="n">
        <f aca="false">IFERROR(BI312-BD312,"n/a")</f>
        <v>17.476</v>
      </c>
      <c r="BJ314" s="34" t="n">
        <f aca="false">IFERROR(BJ312-BE312,"n/a")</f>
        <v>80.815</v>
      </c>
      <c r="BK314" s="34" t="n">
        <f aca="false">IFERROR(BK312-BF312,"n/a")</f>
        <v>53.1879999999999</v>
      </c>
      <c r="BL314" s="34" t="n">
        <f aca="false">IFERROR(BL312-BG312,"n/a")</f>
        <v>53.1879999999999</v>
      </c>
      <c r="BM314" s="34" t="n">
        <f aca="false">IFERROR(BM312-BH312,"n/a")</f>
        <v>-40.866</v>
      </c>
      <c r="BN314" s="34" t="n">
        <f aca="false">IFERROR(BN312-BI312,"n/a")</f>
        <v>-19.3119999999999</v>
      </c>
      <c r="BO314" s="34" t="n">
        <f aca="false">IFERROR(BO312-BJ312,"n/a")</f>
        <v>-95.5710000000001</v>
      </c>
      <c r="BP314" s="34" t="n">
        <f aca="false">IFERROR(BP312-BK312,"n/a")</f>
        <v>-72.5</v>
      </c>
      <c r="BQ314" s="34" t="n">
        <f aca="false">IFERROR(BQ312-BL312,"n/a")</f>
        <v>-72.5</v>
      </c>
      <c r="BR314" s="34" t="n">
        <f aca="false">IFERROR(BR312-BM312,"n/a")</f>
        <v>9.30000000000001</v>
      </c>
      <c r="BS314" s="34" t="n">
        <f aca="false">IFERROR(BS312-BN312,"n/a")</f>
        <v>-35.2</v>
      </c>
      <c r="BT314" s="34" t="n">
        <f aca="false">IFERROR(BT312-BO312,"n/a")</f>
        <v>-19.8</v>
      </c>
      <c r="BU314" s="34" t="n">
        <f aca="false">IFERROR(BU312-BP312,"n/a")</f>
        <v>-14.1</v>
      </c>
      <c r="BV314" s="34" t="n">
        <f aca="false">IFERROR(BV312-BQ312,"n/a")</f>
        <v>-14.1</v>
      </c>
      <c r="BW314" s="34" t="n">
        <f aca="false">IFERROR(BW312-BR312,"n/a")</f>
        <v>-9.29999999999998</v>
      </c>
      <c r="BX314" s="34" t="n">
        <f aca="false">IFERROR(BX312-BS312,"n/a")</f>
        <v>-3.40000000000003</v>
      </c>
      <c r="BY314" s="36"/>
      <c r="BZ314" s="36"/>
      <c r="CA314" s="36" t="n">
        <f aca="false">IFERROR(CA312-BV312,"n/a")</f>
        <v>10.1799506849316</v>
      </c>
      <c r="CB314" s="36" t="n">
        <f aca="false">IFERROR(CB312-CA312,"n/a")</f>
        <v>3.75131691739665</v>
      </c>
      <c r="CC314" s="36" t="n">
        <f aca="false">IFERROR(CC312-CB312,"n/a")</f>
        <v>3.93301363891925</v>
      </c>
      <c r="CD314" s="36" t="n">
        <f aca="false">IFERROR(CD312-CC312,"n/a")</f>
        <v>4.00878619971138</v>
      </c>
      <c r="CE314" s="36" t="n">
        <f aca="false">IFERROR(CE312-CD312,"n/a")</f>
        <v>4.02949824269109</v>
      </c>
      <c r="CF314" s="28"/>
    </row>
    <row r="316" customFormat="false" ht="15" hidden="false" customHeight="true" outlineLevel="0" collapsed="false">
      <c r="B316" s="11" t="s">
        <v>540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 t="s">
        <v>541</v>
      </c>
    </row>
    <row r="317" customFormat="false" ht="15" hidden="false" customHeight="true" outlineLevel="0" collapsed="false">
      <c r="B317" s="15" t="s">
        <v>542</v>
      </c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6"/>
    </row>
    <row r="318" customFormat="false" ht="15" hidden="false" customHeight="true" outlineLevel="0" collapsed="false">
      <c r="B318" s="68" t="s">
        <v>543</v>
      </c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6"/>
      <c r="BZ318" s="36"/>
      <c r="CA318" s="69" t="n">
        <v>800</v>
      </c>
      <c r="CB318" s="36"/>
      <c r="CC318" s="36"/>
      <c r="CD318" s="36"/>
      <c r="CE318" s="36"/>
      <c r="CF318" s="28" t="s">
        <v>544</v>
      </c>
    </row>
    <row r="319" customFormat="false" ht="15" hidden="false" customHeight="true" outlineLevel="0" collapsed="false">
      <c r="B319" s="68" t="s">
        <v>545</v>
      </c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6"/>
      <c r="BZ319" s="36"/>
      <c r="CA319" s="69" t="n">
        <v>5</v>
      </c>
      <c r="CB319" s="36"/>
      <c r="CC319" s="36"/>
      <c r="CD319" s="36"/>
      <c r="CE319" s="36"/>
      <c r="CF319" s="28"/>
    </row>
    <row r="320" customFormat="false" ht="15" hidden="false" customHeight="true" outlineLevel="0" collapsed="false">
      <c r="B320" s="68" t="s">
        <v>546</v>
      </c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6"/>
      <c r="BZ320" s="36"/>
      <c r="CA320" s="69" t="n">
        <v>20</v>
      </c>
      <c r="CB320" s="36"/>
      <c r="CC320" s="36"/>
      <c r="CD320" s="36"/>
      <c r="CE320" s="36"/>
      <c r="CF320" s="28"/>
    </row>
    <row r="321" customFormat="false" ht="15" hidden="false" customHeight="true" outlineLevel="0" collapsed="false">
      <c r="B321" s="68" t="s">
        <v>547</v>
      </c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6"/>
      <c r="BZ321" s="36"/>
      <c r="CA321" s="69" t="n">
        <v>5</v>
      </c>
      <c r="CB321" s="36"/>
      <c r="CC321" s="36"/>
      <c r="CD321" s="36"/>
      <c r="CE321" s="36"/>
      <c r="CF321" s="28"/>
    </row>
    <row r="322" customFormat="false" ht="15" hidden="false" customHeight="true" outlineLevel="0" collapsed="false">
      <c r="B322" s="68" t="s">
        <v>548</v>
      </c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6"/>
      <c r="BZ322" s="36"/>
      <c r="CA322" s="69" t="n">
        <v>10</v>
      </c>
      <c r="CB322" s="36"/>
      <c r="CC322" s="36"/>
      <c r="CD322" s="36"/>
      <c r="CE322" s="36"/>
      <c r="CF322" s="28"/>
    </row>
    <row r="323" customFormat="false" ht="15" hidden="false" customHeight="true" outlineLevel="0" collapsed="false">
      <c r="B323" s="68" t="s">
        <v>549</v>
      </c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6"/>
      <c r="BZ323" s="36"/>
      <c r="CA323" s="69" t="n">
        <v>320</v>
      </c>
      <c r="CB323" s="36"/>
      <c r="CC323" s="36"/>
      <c r="CD323" s="36"/>
      <c r="CE323" s="36"/>
      <c r="CF323" s="28" t="s">
        <v>550</v>
      </c>
    </row>
    <row r="324" customFormat="false" ht="15" hidden="false" customHeight="true" outlineLevel="0" collapsed="false">
      <c r="B324" s="68" t="s">
        <v>551</v>
      </c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6"/>
      <c r="BZ324" s="36"/>
      <c r="CA324" s="69" t="n">
        <v>10</v>
      </c>
      <c r="CB324" s="36"/>
      <c r="CC324" s="36"/>
      <c r="CD324" s="36"/>
      <c r="CE324" s="36"/>
      <c r="CF324" s="28"/>
    </row>
    <row r="325" customFormat="false" ht="15" hidden="false" customHeight="true" outlineLevel="0" collapsed="false">
      <c r="B325" s="68" t="s">
        <v>552</v>
      </c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6"/>
      <c r="BZ325" s="36"/>
      <c r="CA325" s="69" t="n">
        <v>35</v>
      </c>
      <c r="CB325" s="36"/>
      <c r="CC325" s="36"/>
      <c r="CD325" s="36"/>
      <c r="CE325" s="36"/>
      <c r="CF325" s="28"/>
    </row>
    <row r="326" customFormat="false" ht="15" hidden="false" customHeight="true" outlineLevel="0" collapsed="false">
      <c r="B326" s="68" t="s">
        <v>553</v>
      </c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6"/>
      <c r="BZ326" s="36"/>
      <c r="CA326" s="69" t="n">
        <v>10</v>
      </c>
      <c r="CB326" s="36"/>
      <c r="CC326" s="36"/>
      <c r="CD326" s="36"/>
      <c r="CE326" s="36"/>
      <c r="CF326" s="28"/>
    </row>
    <row r="327" customFormat="false" ht="15" hidden="false" customHeight="true" outlineLevel="0" collapsed="false">
      <c r="B327" s="68" t="s">
        <v>554</v>
      </c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6"/>
      <c r="BZ327" s="36"/>
      <c r="CA327" s="36" t="n">
        <f aca="false">0.26*CA323</f>
        <v>83.2</v>
      </c>
      <c r="CB327" s="36"/>
      <c r="CC327" s="36"/>
      <c r="CD327" s="36"/>
      <c r="CE327" s="36"/>
      <c r="CF327" s="28"/>
    </row>
    <row r="328" customFormat="false" ht="15" hidden="false" customHeight="true" outlineLevel="0" collapsed="false">
      <c r="B328" s="68" t="s">
        <v>555</v>
      </c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6"/>
      <c r="BZ328" s="36"/>
      <c r="CA328" s="36" t="n">
        <f aca="false">CA318-(CA319+CA320+CA321+CA322+CA323)+CA325+CA326+CA327</f>
        <v>568.2</v>
      </c>
      <c r="CB328" s="36"/>
      <c r="CC328" s="36"/>
      <c r="CD328" s="36"/>
      <c r="CE328" s="36"/>
      <c r="CF328" s="28"/>
    </row>
    <row r="329" customFormat="false" ht="15" hidden="false" customHeight="true" outlineLevel="0" collapsed="false">
      <c r="B329" s="41" t="s">
        <v>556</v>
      </c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6"/>
      <c r="BZ329" s="36"/>
      <c r="CA329" s="36" t="n">
        <f aca="false">ROUND(CA319+CA320+CA321+CA322+CA323+CA328-(CA325+CA326+CA327)-CA318,1)</f>
        <v>0</v>
      </c>
      <c r="CB329" s="36"/>
      <c r="CC329" s="36"/>
      <c r="CD329" s="36"/>
      <c r="CE329" s="36"/>
      <c r="CF329" s="28"/>
    </row>
    <row r="330" customFormat="false" ht="15" hidden="false" customHeight="true" outlineLevel="0" collapsed="false">
      <c r="B330" s="15" t="s">
        <v>557</v>
      </c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6"/>
    </row>
    <row r="331" customFormat="false" ht="15" hidden="false" customHeight="true" outlineLevel="0" collapsed="false">
      <c r="B331" s="68" t="s">
        <v>558</v>
      </c>
      <c r="C331" s="25" t="n">
        <f aca="false">IFERROR(-C228/C121,"")</f>
        <v>0.0815600828251169</v>
      </c>
      <c r="D331" s="25" t="n">
        <f aca="false">IFERROR(-D228/D121,"")</f>
        <v>0.0740177899950728</v>
      </c>
      <c r="E331" s="25" t="n">
        <f aca="false">IFERROR(-E228/E121,"")</f>
        <v>0.017210537217316</v>
      </c>
      <c r="F331" s="25" t="n">
        <f aca="false">IFERROR(-F228/F121,"")</f>
        <v>0.0449301007826995</v>
      </c>
      <c r="G331" s="25" t="n">
        <f aca="false">IFERROR(-G228/G121,"")</f>
        <v>0.253504817466631</v>
      </c>
      <c r="H331" s="25" t="n">
        <f aca="false">IFERROR(-H228/H121,"")</f>
        <v>0.0596374007897099</v>
      </c>
      <c r="I331" s="25" t="n">
        <f aca="false">IFERROR(-I228/I121,"")</f>
        <v>0.0423906085684239</v>
      </c>
      <c r="J331" s="25" t="n">
        <f aca="false">IFERROR(-J228/J121,"")</f>
        <v>0.0446300693049321</v>
      </c>
      <c r="K331" s="25" t="n">
        <f aca="false">IFERROR(-K228/K121,"")</f>
        <v>0.0391654969311645</v>
      </c>
      <c r="L331" s="25" t="n">
        <f aca="false">IFERROR(-L228/L121,"")</f>
        <v>0.0571588854952316</v>
      </c>
      <c r="M331" s="25" t="n">
        <f aca="false">IFERROR(-M228/M121,"")</f>
        <v>0.0320992993685667</v>
      </c>
      <c r="N331" s="25" t="n">
        <f aca="false">IFERROR(-N228/N121,"")</f>
        <v>0.0431847200205015</v>
      </c>
      <c r="O331" s="25" t="n">
        <f aca="false">IFERROR(-O228/O121,"")</f>
        <v>0.0348432933588633</v>
      </c>
      <c r="P331" s="25" t="n">
        <f aca="false">IFERROR(-P228/P121,"")</f>
        <v>0.0493405908955507</v>
      </c>
      <c r="Q331" s="25" t="n">
        <f aca="false">IFERROR(-Q228/Q121,"")</f>
        <v>0.0615983692243362</v>
      </c>
      <c r="R331" s="25" t="n">
        <f aca="false">IFERROR(-R228/R121,"")</f>
        <v>0.0421471402214022</v>
      </c>
      <c r="S331" s="25" t="n">
        <f aca="false">IFERROR(-S228/S121,"")</f>
        <v>0.0476511279031003</v>
      </c>
      <c r="T331" s="25" t="n">
        <f aca="false">IFERROR(-T228/T121,"")</f>
        <v>0.0738523456169035</v>
      </c>
      <c r="U331" s="25" t="n">
        <f aca="false">IFERROR(-U228/U121,"")</f>
        <v>0.0362481468676937</v>
      </c>
      <c r="V331" s="25" t="n">
        <f aca="false">IFERROR(-V228/V121,"")</f>
        <v>0.0530098689429759</v>
      </c>
      <c r="W331" s="25" t="n">
        <f aca="false">IFERROR(-W228/W121,"")</f>
        <v>0.0368272982088918</v>
      </c>
      <c r="X331" s="25" t="n">
        <f aca="false">IFERROR(-X228/X121,"")</f>
        <v>0.0492593050505505</v>
      </c>
      <c r="Y331" s="25" t="n">
        <f aca="false">IFERROR(-Y228/Y121,"")</f>
        <v>0.0189947881985992</v>
      </c>
      <c r="Z331" s="25" t="n">
        <f aca="false">IFERROR(-Z228/Z121,"")</f>
        <v>0.0174023174086016</v>
      </c>
      <c r="AA331" s="25" t="n">
        <f aca="false">IFERROR(-AA228/AA121,"")</f>
        <v>0.0202058191630898</v>
      </c>
      <c r="AB331" s="25" t="n">
        <f aca="false">IFERROR(-AB228/AB121,"")</f>
        <v>0.0324033145375176</v>
      </c>
      <c r="AC331" s="25" t="n">
        <f aca="false">IFERROR(-AC228/AC121,"")</f>
        <v>0.022403686591932</v>
      </c>
      <c r="AD331" s="25" t="n">
        <f aca="false">IFERROR(-AD228/AD121,"")</f>
        <v>0.0271283099318923</v>
      </c>
      <c r="AE331" s="25" t="n">
        <f aca="false">IFERROR(-AE228/AE121,"")</f>
        <v>0.0275265335036875</v>
      </c>
      <c r="AF331" s="25" t="n">
        <f aca="false">IFERROR(-AF228/AF121,"")</f>
        <v>0.0286022469731309</v>
      </c>
      <c r="AG331" s="25" t="n">
        <f aca="false">IFERROR(-AG228/AG121,"")</f>
        <v>0.0186817643144836</v>
      </c>
      <c r="AH331" s="25" t="n">
        <f aca="false">IFERROR(-AH228/AH121,"")</f>
        <v>0.025381515286512</v>
      </c>
      <c r="AI331" s="25" t="n">
        <f aca="false">IFERROR(-AI228/AI121,"")</f>
        <v>0.031481305577273</v>
      </c>
      <c r="AJ331" s="25" t="n">
        <f aca="false">IFERROR(-AJ228/AJ121,"")</f>
        <v>0.0243554262704617</v>
      </c>
      <c r="AK331" s="25" t="n">
        <f aca="false">IFERROR(-AK228/AK121,"")</f>
        <v>0.0194746747402013</v>
      </c>
      <c r="AL331" s="25" t="n">
        <f aca="false">IFERROR(-AL228/AL121,"")</f>
        <v>0.0248153347424193</v>
      </c>
      <c r="AM331" s="25" t="n">
        <f aca="false">IFERROR(-AM228/AM121,"")</f>
        <v>0.0248625645225166</v>
      </c>
      <c r="AN331" s="25" t="n">
        <f aca="false">IFERROR(-AN228/AN121,"")</f>
        <v>0.0287097510847225</v>
      </c>
      <c r="AO331" s="25" t="n">
        <f aca="false">IFERROR(-AO228/AO121,"")</f>
        <v>0.0144228531533628</v>
      </c>
      <c r="AP331" s="25" t="n">
        <f aca="false">IFERROR(-AP228/AP121,"")</f>
        <v>0.0843943447994377</v>
      </c>
      <c r="AQ331" s="25" t="n">
        <f aca="false">IFERROR(-AQ228/AQ121,"")</f>
        <v>0.00543063465038455</v>
      </c>
      <c r="AR331" s="25" t="n">
        <f aca="false">IFERROR(-AR228/AR121,"")</f>
        <v>0.0330044816138096</v>
      </c>
      <c r="AS331" s="25" t="n">
        <f aca="false">IFERROR(-AS228/AS121,"")</f>
        <v>0.0182035335220124</v>
      </c>
      <c r="AT331" s="25" t="n">
        <f aca="false">IFERROR(-AT228/AT121,"")</f>
        <v>0.0142235225690467</v>
      </c>
      <c r="AU331" s="25" t="n">
        <f aca="false">IFERROR(-AU228/AU121,"")</f>
        <v>0.0689699732155444</v>
      </c>
      <c r="AV331" s="25" t="n">
        <f aca="false">IFERROR(-AV228/AV121,"")</f>
        <v>0.0139741175041011</v>
      </c>
      <c r="AW331" s="25" t="n">
        <f aca="false">IFERROR(-AW228/AW121,"")</f>
        <v>0.0291419206169429</v>
      </c>
      <c r="AX331" s="25" t="n">
        <f aca="false">IFERROR(-AX228/AX121,"")</f>
        <v>0.023200938612226</v>
      </c>
      <c r="AY331" s="25" t="n">
        <f aca="false">IFERROR(-AY228/AY121,"")</f>
        <v>0.00515059344246596</v>
      </c>
      <c r="AZ331" s="25" t="n">
        <f aca="false">IFERROR(-AZ228/AZ121,"")</f>
        <v>0.0169030219158494</v>
      </c>
      <c r="BA331" s="25" t="n">
        <f aca="false">IFERROR(-BA228/BA121,"")</f>
        <v>0.0862040387856018</v>
      </c>
      <c r="BB331" s="25" t="n">
        <f aca="false">IFERROR(-BB228/BB121,"")</f>
        <v>0.0335470530595869</v>
      </c>
      <c r="BC331" s="25" t="n">
        <f aca="false">IFERROR(-BC228/BC121,"")</f>
        <v>0.0240701788397228</v>
      </c>
      <c r="BD331" s="25" t="n">
        <f aca="false">IFERROR(-BD228/BD121,"")</f>
        <v>0.0341781215271821</v>
      </c>
      <c r="BE331" s="25" t="n">
        <f aca="false">IFERROR(-BE228/BE121,"")</f>
        <v>0.023186412435516</v>
      </c>
      <c r="BF331" s="25" t="n">
        <f aca="false">IFERROR(-BF228/BF121,"")</f>
        <v>0.0260140055289573</v>
      </c>
      <c r="BG331" s="25" t="n">
        <f aca="false">IFERROR(-BG228/BG121,"")</f>
        <v>0.0268392718288452</v>
      </c>
      <c r="BH331" s="25" t="n">
        <f aca="false">IFERROR(-BH228/BH121,"")</f>
        <v>0.00670299093376411</v>
      </c>
      <c r="BI331" s="25" t="n">
        <f aca="false">IFERROR(-BI228/BI121,"")</f>
        <v>0.00806065627341535</v>
      </c>
      <c r="BJ331" s="25" t="n">
        <f aca="false">IFERROR(-BJ228/BJ121,"")</f>
        <v>0.00854852730005811</v>
      </c>
      <c r="BK331" s="25" t="n">
        <f aca="false">IFERROR(-BK228/BK121,"")</f>
        <v>0.017434330272678</v>
      </c>
      <c r="BL331" s="25" t="n">
        <f aca="false">IFERROR(-BL228/BL121,"")</f>
        <v>0.0103054989816701</v>
      </c>
      <c r="BM331" s="25" t="n">
        <f aca="false">IFERROR(-BM228/BM121,"")</f>
        <v>0.00548446069469836</v>
      </c>
      <c r="BN331" s="25" t="n">
        <f aca="false">IFERROR(-BN228/BN121,"")</f>
        <v>0.0286220123930363</v>
      </c>
      <c r="BO331" s="25" t="n">
        <f aca="false">IFERROR(-BO228/BO121,"")</f>
        <v>0.0382616228703436</v>
      </c>
      <c r="BP331" s="25" t="n">
        <f aca="false">IFERROR(-BP228/BP121,"")</f>
        <v>0.0132506343388779</v>
      </c>
      <c r="BQ331" s="25" t="n">
        <f aca="false">IFERROR(-BQ228/BQ121,"")</f>
        <v>0.0215262042248374</v>
      </c>
      <c r="BR331" s="25" t="n">
        <f aca="false">IFERROR(-BR228/BR121,"")</f>
        <v>0.0348265501229172</v>
      </c>
      <c r="BS331" s="25" t="n">
        <f aca="false">IFERROR(-BS228/BS121,"")</f>
        <v>0.0418533213874312</v>
      </c>
      <c r="BT331" s="25" t="n">
        <f aca="false">IFERROR(-BT228/BT121,"")</f>
        <v>0.0217130518234165</v>
      </c>
      <c r="BU331" s="25" t="n">
        <f aca="false">IFERROR(-BU228/BU121,"")</f>
        <v>0.00633403711523503</v>
      </c>
      <c r="BV331" s="25" t="n">
        <f aca="false">IFERROR(-BV228/BV121,"")</f>
        <v>0.0252540806898676</v>
      </c>
      <c r="BW331" s="25" t="n">
        <f aca="false">IFERROR(-BW228/BW121,"")</f>
        <v>0.0100334448160535</v>
      </c>
      <c r="BX331" s="25" t="n">
        <f aca="false">IFERROR(-BX228/BX121,"")</f>
        <v>0.0216216216216216</v>
      </c>
      <c r="BY331" s="27"/>
      <c r="BZ331" s="27"/>
      <c r="CA331" s="27" t="n">
        <f aca="false">IFERROR(-CA228/CA121,"")</f>
        <v>0.0159165751920966</v>
      </c>
      <c r="CB331" s="70" t="n">
        <v>0.02</v>
      </c>
      <c r="CC331" s="70" t="n">
        <v>0.02</v>
      </c>
      <c r="CD331" s="70" t="n">
        <v>0.02</v>
      </c>
      <c r="CE331" s="70" t="n">
        <v>0.02</v>
      </c>
      <c r="CF331" s="28" t="s">
        <v>559</v>
      </c>
    </row>
    <row r="332" customFormat="false" ht="15" hidden="false" customHeight="true" outlineLevel="0" collapsed="false">
      <c r="B332" s="68" t="s">
        <v>560</v>
      </c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6"/>
      <c r="BZ332" s="36"/>
      <c r="CA332" s="69" t="n">
        <v>-60</v>
      </c>
      <c r="CB332" s="69" t="n">
        <v>-80</v>
      </c>
      <c r="CC332" s="69" t="n">
        <v>-40</v>
      </c>
      <c r="CD332" s="69" t="n">
        <v>-20</v>
      </c>
      <c r="CE332" s="69" t="n">
        <v>-20</v>
      </c>
      <c r="CF332" s="28" t="s">
        <v>561</v>
      </c>
    </row>
    <row r="333" customFormat="false" ht="15" hidden="false" customHeight="true" outlineLevel="0" collapsed="false">
      <c r="B333" s="68" t="s">
        <v>562</v>
      </c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6"/>
      <c r="BZ333" s="36"/>
      <c r="CA333" s="69" t="n">
        <v>0</v>
      </c>
      <c r="CB333" s="69" t="n">
        <v>-10</v>
      </c>
      <c r="CC333" s="69" t="n">
        <v>-10</v>
      </c>
      <c r="CD333" s="69" t="n">
        <v>-10</v>
      </c>
      <c r="CE333" s="69" t="n">
        <v>-10</v>
      </c>
      <c r="CF333" s="28" t="s">
        <v>563</v>
      </c>
    </row>
    <row r="334" customFormat="false" ht="15" hidden="false" customHeight="true" outlineLevel="0" collapsed="false">
      <c r="B334" s="68" t="s">
        <v>564</v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7"/>
      <c r="BZ334" s="27"/>
      <c r="CA334" s="27"/>
      <c r="CB334" s="70" t="n">
        <v>0.08</v>
      </c>
      <c r="CC334" s="70" t="n">
        <v>0.08</v>
      </c>
      <c r="CD334" s="70" t="n">
        <v>0.08</v>
      </c>
      <c r="CE334" s="70" t="n">
        <v>0.08</v>
      </c>
      <c r="CF334" s="28"/>
    </row>
    <row r="335" customFormat="false" ht="15" hidden="false" customHeight="true" outlineLevel="0" collapsed="false">
      <c r="B335" s="15" t="s">
        <v>565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6"/>
    </row>
    <row r="336" customFormat="false" ht="15" hidden="false" customHeight="true" outlineLevel="0" collapsed="false">
      <c r="B336" s="29" t="s">
        <v>566</v>
      </c>
      <c r="C336" s="34" t="n">
        <f aca="false">IF(ISNUMBER(C281),N(C286)+N(C290),"")</f>
        <v>0</v>
      </c>
      <c r="D336" s="34" t="n">
        <f aca="false">IF(ISNUMBER(D281),N(D286)+N(D290),"")</f>
        <v>0</v>
      </c>
      <c r="E336" s="34" t="n">
        <f aca="false">IF(ISNUMBER(E281),N(E286)+N(E290),"")</f>
        <v>0</v>
      </c>
      <c r="F336" s="34" t="n">
        <f aca="false">IF(ISNUMBER(F281),N(F286)+N(F290),"")</f>
        <v>0</v>
      </c>
      <c r="G336" s="34" t="n">
        <f aca="false">IF(ISNUMBER(G281),N(G286)+N(G290),"")</f>
        <v>0</v>
      </c>
      <c r="H336" s="34" t="n">
        <f aca="false">IF(ISNUMBER(H281),N(H286)+N(H290),"")</f>
        <v>0</v>
      </c>
      <c r="I336" s="34" t="n">
        <f aca="false">IF(ISNUMBER(I281),N(I286)+N(I290),"")</f>
        <v>170.625</v>
      </c>
      <c r="J336" s="34" t="n">
        <f aca="false">IF(ISNUMBER(J281),N(J286)+N(J290),"")</f>
        <v>166.25</v>
      </c>
      <c r="K336" s="34" t="n">
        <f aca="false">IF(ISNUMBER(K281),N(K286)+N(K290),"")</f>
        <v>161.875</v>
      </c>
      <c r="L336" s="34" t="n">
        <f aca="false">IF(ISNUMBER(L281),N(L286)+N(L290),"")</f>
        <v>157.5</v>
      </c>
      <c r="M336" s="34" t="n">
        <f aca="false">IF(ISNUMBER(M281),N(M286)+N(M290),"")</f>
        <v>153.125</v>
      </c>
      <c r="N336" s="34" t="n">
        <f aca="false">IF(ISNUMBER(N281),N(N286)+N(N290),"")</f>
        <v>153.125</v>
      </c>
      <c r="O336" s="34" t="n">
        <f aca="false">IF(ISNUMBER(O281),N(O286)+N(O290),"")</f>
        <v>148.75</v>
      </c>
      <c r="P336" s="34" t="n">
        <f aca="false">IF(ISNUMBER(P281),N(P286)+N(P290),"")</f>
        <v>395</v>
      </c>
      <c r="Q336" s="34" t="n">
        <f aca="false">IF(ISNUMBER(Q281),N(Q286)+N(Q290),"")</f>
        <v>390</v>
      </c>
      <c r="R336" s="34" t="n">
        <f aca="false">IF(ISNUMBER(R281),N(R286)+N(R290),"")</f>
        <v>385</v>
      </c>
      <c r="S336" s="34" t="n">
        <f aca="false">IF(ISNUMBER(S281),N(S286)+N(S290),"")</f>
        <v>385</v>
      </c>
      <c r="T336" s="34" t="str">
        <f aca="false">IF(ISNUMBER(T281),N(T286)+N(T290),"")</f>
        <v/>
      </c>
      <c r="U336" s="34" t="n">
        <f aca="false">IF(ISNUMBER(U281),N(U286)+N(U290),"")</f>
        <v>375</v>
      </c>
      <c r="V336" s="34" t="n">
        <f aca="false">IF(ISNUMBER(V281),N(V286)+N(V290),"")</f>
        <v>370</v>
      </c>
      <c r="W336" s="34" t="n">
        <f aca="false">IF(ISNUMBER(W281),N(W286)+N(W290),"")</f>
        <v>355.112</v>
      </c>
      <c r="X336" s="34" t="n">
        <f aca="false">IF(ISNUMBER(X281),N(X286)+N(X290),"")</f>
        <v>355.112</v>
      </c>
      <c r="Y336" s="34" t="n">
        <f aca="false">IF(ISNUMBER(Y281),N(Y286)+N(Y290),"")</f>
        <v>350.923</v>
      </c>
      <c r="Z336" s="34" t="n">
        <f aca="false">IF(ISNUMBER(Z281),N(Z286)+N(Z290),"")</f>
        <v>336.722</v>
      </c>
      <c r="AA336" s="34" t="n">
        <f aca="false">IF(ISNUMBER(AA281),N(AA286)+N(AA290),"")</f>
        <v>337.519</v>
      </c>
      <c r="AB336" s="34" t="n">
        <f aca="false">IF(ISNUMBER(AB281),N(AB286)+N(AB290),"")</f>
        <v>338.339</v>
      </c>
      <c r="AC336" s="34" t="n">
        <f aca="false">IF(ISNUMBER(AC281),N(AC286)+N(AC290),"")</f>
        <v>338.339</v>
      </c>
      <c r="AD336" s="34" t="n">
        <f aca="false">IF(ISNUMBER(AD281),N(AD286)+N(AD290),"")</f>
        <v>304.111</v>
      </c>
      <c r="AE336" s="34" t="n">
        <f aca="false">IF(ISNUMBER(AE281),N(AE286)+N(AE290),"")</f>
        <v>304.826</v>
      </c>
      <c r="AF336" s="34" t="n">
        <f aca="false">IF(ISNUMBER(AF281),N(AF286)+N(AF290),"")</f>
        <v>305.496</v>
      </c>
      <c r="AG336" s="34" t="n">
        <f aca="false">IF(ISNUMBER(AG281),N(AG286)+N(AG290),"")</f>
        <v>0</v>
      </c>
      <c r="AH336" s="34" t="n">
        <f aca="false">IF(ISNUMBER(AH281),N(AH286)+N(AH290),"")</f>
        <v>0</v>
      </c>
      <c r="AI336" s="34" t="n">
        <f aca="false">IF(ISNUMBER(AI281),N(AI286)+N(AI290),"")</f>
        <v>0</v>
      </c>
      <c r="AJ336" s="34" t="n">
        <f aca="false">IF(ISNUMBER(AJ281),N(AJ286)+N(AJ290),"")</f>
        <v>0</v>
      </c>
      <c r="AK336" s="34" t="n">
        <f aca="false">IF(ISNUMBER(AK281),N(AK286)+N(AK290),"")</f>
        <v>0</v>
      </c>
      <c r="AL336" s="34" t="n">
        <f aca="false">IF(ISNUMBER(AL281),N(AL286)+N(AL290),"")</f>
        <v>0</v>
      </c>
      <c r="AM336" s="34" t="n">
        <f aca="false">IF(ISNUMBER(AM281),N(AM286)+N(AM290),"")</f>
        <v>0</v>
      </c>
      <c r="AN336" s="34" t="n">
        <f aca="false">IF(ISNUMBER(AN281),N(AN286)+N(AN290),"")</f>
        <v>0</v>
      </c>
      <c r="AO336" s="34" t="n">
        <f aca="false">IF(ISNUMBER(AO281),N(AO286)+N(AO290),"")</f>
        <v>0</v>
      </c>
      <c r="AP336" s="34" t="n">
        <f aca="false">IF(ISNUMBER(AP281),N(AP286)+N(AP290),"")</f>
        <v>0</v>
      </c>
      <c r="AQ336" s="34" t="n">
        <f aca="false">IF(ISNUMBER(AQ281),N(AQ286)+N(AQ290),"")</f>
        <v>0</v>
      </c>
      <c r="AR336" s="34" t="n">
        <f aca="false">IF(ISNUMBER(AR281),N(AR286)+N(AR290),"")</f>
        <v>0</v>
      </c>
      <c r="AS336" s="34" t="n">
        <f aca="false">IF(ISNUMBER(AS281),N(AS286)+N(AS290),"")</f>
        <v>745</v>
      </c>
      <c r="AT336" s="34" t="n">
        <f aca="false">IF(ISNUMBER(AT281),N(AT286)+N(AT290),"")</f>
        <v>745</v>
      </c>
      <c r="AU336" s="34" t="n">
        <f aca="false">IF(ISNUMBER(AU281),N(AU286)+N(AU290),"")</f>
        <v>986.413</v>
      </c>
      <c r="AV336" s="34" t="n">
        <f aca="false">IF(ISNUMBER(AV281),N(AV286)+N(AV290),"")</f>
        <v>986.715</v>
      </c>
      <c r="AW336" s="34" t="n">
        <f aca="false">IF(ISNUMBER(AW281),N(AW286)+N(AW290),"")</f>
        <v>986.715</v>
      </c>
      <c r="AX336" s="34" t="n">
        <f aca="false">IF(ISNUMBER(AX281),N(AX286)+N(AX290),"")</f>
        <v>987.018</v>
      </c>
      <c r="AY336" s="34" t="n">
        <f aca="false">IF(ISNUMBER(AY281),N(AY286)+N(AY290),"")</f>
        <v>987.325</v>
      </c>
      <c r="AZ336" s="34" t="n">
        <f aca="false">IF(ISNUMBER(AZ281),N(AZ286)+N(AZ290),"")</f>
        <v>987.633</v>
      </c>
      <c r="BA336" s="34" t="n">
        <f aca="false">IF(ISNUMBER(BA281),N(BA286)+N(BA290),"")</f>
        <v>987.944</v>
      </c>
      <c r="BB336" s="34" t="n">
        <f aca="false">IF(ISNUMBER(BB281),N(BB286)+N(BB290),"")</f>
        <v>987.944</v>
      </c>
      <c r="BC336" s="34" t="n">
        <f aca="false">IF(ISNUMBER(BC281),N(BC286)+N(BC290),"")</f>
        <v>988.257</v>
      </c>
      <c r="BD336" s="34" t="n">
        <f aca="false">IF(ISNUMBER(BD281),N(BD286)+N(BD290),"")</f>
        <v>988.572</v>
      </c>
      <c r="BE336" s="34" t="n">
        <f aca="false">IF(ISNUMBER(BE281),N(BE286)+N(BE290),"")</f>
        <v>988.89</v>
      </c>
      <c r="BF336" s="34" t="n">
        <f aca="false">IF(ISNUMBER(BF281),N(BF286)+N(BF290),"")</f>
        <v>989.21</v>
      </c>
      <c r="BG336" s="34" t="n">
        <f aca="false">IF(ISNUMBER(BG281),N(BG286)+N(BG290),"")</f>
        <v>989.21</v>
      </c>
      <c r="BH336" s="34" t="n">
        <f aca="false">IF(ISNUMBER(BH281),N(BH286)+N(BH290),"")</f>
        <v>989.533</v>
      </c>
      <c r="BI336" s="34" t="n">
        <f aca="false">IF(ISNUMBER(BI281),N(BI286)+N(BI290),"")</f>
        <v>989.858</v>
      </c>
      <c r="BJ336" s="34" t="n">
        <f aca="false">IF(ISNUMBER(BJ281),N(BJ286)+N(BJ290),"")</f>
        <v>990.185</v>
      </c>
      <c r="BK336" s="34" t="n">
        <f aca="false">IF(ISNUMBER(BK281),N(BK286)+N(BK290),"")</f>
        <v>990.5</v>
      </c>
      <c r="BL336" s="34" t="n">
        <f aca="false">IF(ISNUMBER(BL281),N(BL286)+N(BL290),"")</f>
        <v>990.5</v>
      </c>
      <c r="BM336" s="34" t="n">
        <f aca="false">IF(ISNUMBER(BM281),N(BM286)+N(BM290),"")</f>
        <v>990.8</v>
      </c>
      <c r="BN336" s="34" t="n">
        <f aca="false">IF(ISNUMBER(BN281),N(BN286)+N(BN290),"")</f>
        <v>991.2</v>
      </c>
      <c r="BO336" s="34" t="n">
        <f aca="false">IF(ISNUMBER(BO281),N(BO286)+N(BO290),"")</f>
        <v>991.5</v>
      </c>
      <c r="BP336" s="34" t="n">
        <f aca="false">IF(ISNUMBER(BP281),N(BP286)+N(BP290),"")</f>
        <v>991.9</v>
      </c>
      <c r="BQ336" s="34" t="n">
        <f aca="false">IF(ISNUMBER(BQ281),N(BQ286)+N(BQ290),"")</f>
        <v>991.9</v>
      </c>
      <c r="BR336" s="34" t="n">
        <f aca="false">IF(ISNUMBER(BR281),N(BR286)+N(BR290),"")</f>
        <v>992.2</v>
      </c>
      <c r="BS336" s="34" t="n">
        <f aca="false">IF(ISNUMBER(BS281),N(BS286)+N(BS290),"")</f>
        <v>992.5</v>
      </c>
      <c r="BT336" s="34" t="n">
        <f aca="false">IF(ISNUMBER(BT281),N(BT286)+N(BT290),"")</f>
        <v>992.9</v>
      </c>
      <c r="BU336" s="34" t="n">
        <f aca="false">IF(ISNUMBER(BU281),N(BU286)+N(BU290),"")</f>
        <v>993</v>
      </c>
      <c r="BV336" s="34" t="n">
        <f aca="false">IF(ISNUMBER(BV281),N(BV286)+N(BV290),"")</f>
        <v>993</v>
      </c>
      <c r="BW336" s="34" t="n">
        <f aca="false">IF(ISNUMBER(BW281),N(BW286)+N(BW290),"")</f>
        <v>994</v>
      </c>
      <c r="BX336" s="34" t="n">
        <f aca="false">IF(ISNUMBER(BX281),N(BX286)+N(BX290),"")</f>
        <v>994</v>
      </c>
      <c r="BY336" s="36"/>
      <c r="BZ336" s="36"/>
      <c r="CA336" s="36" t="n">
        <f aca="false">CA340+CA343</f>
        <v>994</v>
      </c>
      <c r="CB336" s="36" t="n">
        <f aca="false">CB340+CB343</f>
        <v>994</v>
      </c>
      <c r="CC336" s="36" t="n">
        <f aca="false">CC340+CC343</f>
        <v>1017.83755279607</v>
      </c>
      <c r="CD336" s="36" t="n">
        <f aca="false">CD340+CD343</f>
        <v>1148.2597077263</v>
      </c>
      <c r="CE336" s="36" t="n">
        <f aca="false">CE340+CE343</f>
        <v>1291.41278763072</v>
      </c>
      <c r="CF336" s="28" t="s">
        <v>567</v>
      </c>
    </row>
    <row r="337" customFormat="false" ht="15" hidden="false" customHeight="true" outlineLevel="0" collapsed="false">
      <c r="B337" s="68" t="s">
        <v>568</v>
      </c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6"/>
      <c r="BZ337" s="36"/>
      <c r="CA337" s="69" t="n">
        <v>0</v>
      </c>
      <c r="CB337" s="69" t="n">
        <v>0</v>
      </c>
      <c r="CC337" s="69" t="n">
        <v>0</v>
      </c>
      <c r="CD337" s="69" t="n">
        <v>0</v>
      </c>
      <c r="CE337" s="69" t="n">
        <v>-1000</v>
      </c>
      <c r="CF337" s="28"/>
    </row>
    <row r="338" customFormat="false" ht="15" hidden="false" customHeight="true" outlineLevel="0" collapsed="false">
      <c r="B338" s="68" t="s">
        <v>569</v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7"/>
      <c r="BZ338" s="27"/>
      <c r="CA338" s="70" t="n">
        <v>1</v>
      </c>
      <c r="CB338" s="70" t="n">
        <v>1</v>
      </c>
      <c r="CC338" s="70" t="n">
        <v>1</v>
      </c>
      <c r="CD338" s="70" t="n">
        <v>1</v>
      </c>
      <c r="CE338" s="70" t="n">
        <v>1</v>
      </c>
      <c r="CF338" s="28"/>
    </row>
    <row r="339" customFormat="false" ht="15" hidden="false" customHeight="true" outlineLevel="0" collapsed="false">
      <c r="B339" s="29" t="s">
        <v>570</v>
      </c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6"/>
      <c r="BZ339" s="36"/>
      <c r="CA339" s="36" t="n">
        <f aca="false">-CA337*CA338</f>
        <v>-0</v>
      </c>
      <c r="CB339" s="36" t="n">
        <f aca="false">-CB337*CB338</f>
        <v>-0</v>
      </c>
      <c r="CC339" s="36" t="n">
        <f aca="false">-CC337*CC338</f>
        <v>-0</v>
      </c>
      <c r="CD339" s="36" t="n">
        <f aca="false">-CD337*CD338</f>
        <v>-0</v>
      </c>
      <c r="CE339" s="36" t="n">
        <f aca="false">-CE337*CE338</f>
        <v>1000</v>
      </c>
      <c r="CF339" s="28"/>
    </row>
    <row r="340" customFormat="false" ht="15" hidden="false" customHeight="true" outlineLevel="0" collapsed="false">
      <c r="B340" s="29" t="s">
        <v>571</v>
      </c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6"/>
      <c r="BZ340" s="36"/>
      <c r="CA340" s="36" t="n">
        <f aca="false">BX336+CA337+CA339</f>
        <v>994</v>
      </c>
      <c r="CB340" s="36" t="n">
        <f aca="false">CA340+CB337+CB339</f>
        <v>994</v>
      </c>
      <c r="CC340" s="36" t="n">
        <f aca="false">CB340+CC337+CC339</f>
        <v>994</v>
      </c>
      <c r="CD340" s="36" t="n">
        <f aca="false">CC340+CD337+CD339</f>
        <v>994</v>
      </c>
      <c r="CE340" s="36" t="n">
        <f aca="false">CD340+CE337+CE339</f>
        <v>994</v>
      </c>
      <c r="CF340" s="28" t="s">
        <v>572</v>
      </c>
    </row>
    <row r="341" customFormat="false" ht="15" hidden="false" customHeight="true" outlineLevel="0" collapsed="false">
      <c r="B341" s="29" t="s">
        <v>573</v>
      </c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6"/>
      <c r="BZ341" s="36"/>
      <c r="CA341" s="36" t="n">
        <f aca="false">CA242+CA227+CA232+CA235+CA236+CA237+CA238+CA240+(BW233+BX233)+(BW234+BX234)+CA339+CA337</f>
        <v>656.837157671869</v>
      </c>
      <c r="CB341" s="36" t="n">
        <f aca="false">CB242+CB227+CB232+CB235+CB236+CB237+CB238+CB240+CB339+CB337</f>
        <v>492.013297520164</v>
      </c>
      <c r="CC341" s="36" t="n">
        <f aca="false">CC242+CC227+CC232+CC235+CC236+CC237+CC238+CC240+CC339+CC337</f>
        <v>376.162447203927</v>
      </c>
      <c r="CD341" s="36" t="n">
        <f aca="false">CD242+CD227+CD232+CD235+CD236+CD237+CD238+CD240+CD339+CD337</f>
        <v>269.577845069778</v>
      </c>
      <c r="CE341" s="36" t="n">
        <f aca="false">CE242+CE227+CE232+CE235+CE236+CE237+CE238+CE240+CE339+CE337</f>
        <v>256.846920095574</v>
      </c>
      <c r="CF341" s="28"/>
    </row>
    <row r="342" customFormat="false" ht="15" hidden="false" customHeight="true" outlineLevel="0" collapsed="false">
      <c r="B342" s="68" t="s">
        <v>574</v>
      </c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6"/>
      <c r="BZ342" s="36"/>
      <c r="CA342" s="69" t="n">
        <v>400</v>
      </c>
      <c r="CB342" s="69" t="n">
        <v>400</v>
      </c>
      <c r="CC342" s="69" t="n">
        <v>400</v>
      </c>
      <c r="CD342" s="69" t="n">
        <v>400</v>
      </c>
      <c r="CE342" s="69" t="n">
        <v>400</v>
      </c>
      <c r="CF342" s="28"/>
    </row>
    <row r="343" customFormat="false" ht="15" hidden="false" customHeight="true" outlineLevel="0" collapsed="false">
      <c r="B343" s="29" t="s">
        <v>575</v>
      </c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5" t="n">
        <v>0</v>
      </c>
      <c r="BY343" s="36"/>
      <c r="BZ343" s="36"/>
      <c r="CA343" s="36" t="n">
        <f aca="false">MAX(0,BX343+CA342-CA341)</f>
        <v>0</v>
      </c>
      <c r="CB343" s="36" t="n">
        <f aca="false">MAX(0,CA343+CB342-CB341)</f>
        <v>0</v>
      </c>
      <c r="CC343" s="36" t="n">
        <f aca="false">MAX(0,CB343+CC342-CC341)</f>
        <v>23.8375527960728</v>
      </c>
      <c r="CD343" s="36" t="n">
        <f aca="false">MAX(0,CC343+CD342-CD341)</f>
        <v>154.259707726295</v>
      </c>
      <c r="CE343" s="36" t="n">
        <f aca="false">MAX(0,CD343+CE342-CE341)</f>
        <v>297.412787630721</v>
      </c>
      <c r="CF343" s="28" t="s">
        <v>576</v>
      </c>
    </row>
    <row r="344" customFormat="false" ht="15" hidden="false" customHeight="true" outlineLevel="0" collapsed="false">
      <c r="B344" s="29" t="s">
        <v>577</v>
      </c>
      <c r="C344" s="34"/>
      <c r="D344" s="34" t="n">
        <f aca="false">IFERROR(D336-C336,"")</f>
        <v>0</v>
      </c>
      <c r="E344" s="34" t="n">
        <f aca="false">IFERROR(E336-D336,"")</f>
        <v>0</v>
      </c>
      <c r="F344" s="34" t="n">
        <f aca="false">IFERROR(F336-E336,"")</f>
        <v>0</v>
      </c>
      <c r="G344" s="34" t="n">
        <f aca="false">IFERROR(G336-F336,"")</f>
        <v>0</v>
      </c>
      <c r="H344" s="34" t="n">
        <f aca="false">IFERROR(H336-G336,"")</f>
        <v>0</v>
      </c>
      <c r="I344" s="34" t="n">
        <f aca="false">IFERROR(I336-H336,"")</f>
        <v>170.625</v>
      </c>
      <c r="J344" s="34"/>
      <c r="K344" s="34"/>
      <c r="L344" s="34"/>
      <c r="M344" s="34"/>
      <c r="N344" s="34" t="n">
        <f aca="false">IFERROR(N336-I336,"")</f>
        <v>-17.5</v>
      </c>
      <c r="O344" s="34" t="n">
        <f aca="false">IFERROR(O336-J336,"")</f>
        <v>-17.5</v>
      </c>
      <c r="P344" s="34" t="n">
        <f aca="false">IFERROR(P336-K336,"")</f>
        <v>233.125</v>
      </c>
      <c r="Q344" s="34" t="n">
        <f aca="false">IFERROR(Q336-L336,"")</f>
        <v>232.5</v>
      </c>
      <c r="R344" s="34" t="n">
        <f aca="false">IFERROR(R336-M336,"")</f>
        <v>231.875</v>
      </c>
      <c r="S344" s="34" t="n">
        <f aca="false">IFERROR(S336-N336,"")</f>
        <v>231.875</v>
      </c>
      <c r="T344" s="34" t="str">
        <f aca="false">IFERROR(T336-O336,"")</f>
        <v/>
      </c>
      <c r="U344" s="34" t="n">
        <f aca="false">IFERROR(U336-P336,"")</f>
        <v>-20</v>
      </c>
      <c r="V344" s="34" t="n">
        <f aca="false">IFERROR(V336-Q336,"")</f>
        <v>-20</v>
      </c>
      <c r="W344" s="34" t="n">
        <f aca="false">IFERROR(W336-R336,"")</f>
        <v>-29.888</v>
      </c>
      <c r="X344" s="34" t="n">
        <f aca="false">IFERROR(X336-S336,"")</f>
        <v>-29.888</v>
      </c>
      <c r="Y344" s="34" t="str">
        <f aca="false">IFERROR(Y336-T336,"")</f>
        <v/>
      </c>
      <c r="Z344" s="34" t="n">
        <f aca="false">IFERROR(Z336-U336,"")</f>
        <v>-38.278</v>
      </c>
      <c r="AA344" s="34" t="n">
        <f aca="false">IFERROR(AA336-V336,"")</f>
        <v>-32.481</v>
      </c>
      <c r="AB344" s="34" t="n">
        <f aca="false">IFERROR(AB336-W336,"")</f>
        <v>-16.773</v>
      </c>
      <c r="AC344" s="34" t="n">
        <f aca="false">IFERROR(AC336-X336,"")</f>
        <v>-16.773</v>
      </c>
      <c r="AD344" s="34" t="n">
        <f aca="false">IFERROR(AD336-Y336,"")</f>
        <v>-46.812</v>
      </c>
      <c r="AE344" s="34" t="n">
        <f aca="false">IFERROR(AE336-Z336,"")</f>
        <v>-31.8960000000001</v>
      </c>
      <c r="AF344" s="34" t="n">
        <f aca="false">IFERROR(AF336-AA336,"")</f>
        <v>-32.023</v>
      </c>
      <c r="AG344" s="34" t="n">
        <f aca="false">IFERROR(AG336-AB336,"")</f>
        <v>-338.339</v>
      </c>
      <c r="AH344" s="34" t="n">
        <f aca="false">IFERROR(AH336-AC336,"")</f>
        <v>-338.339</v>
      </c>
      <c r="AI344" s="34" t="n">
        <f aca="false">IFERROR(AI336-AD336,"")</f>
        <v>-304.111</v>
      </c>
      <c r="AJ344" s="34" t="n">
        <f aca="false">IFERROR(AJ336-AE336,"")</f>
        <v>-304.826</v>
      </c>
      <c r="AK344" s="34" t="n">
        <f aca="false">IFERROR(AK336-AF336,"")</f>
        <v>-305.496</v>
      </c>
      <c r="AL344" s="34" t="n">
        <f aca="false">IFERROR(AL336-AG336,"")</f>
        <v>0</v>
      </c>
      <c r="AM344" s="34" t="n">
        <f aca="false">IFERROR(AM336-AH336,"")</f>
        <v>0</v>
      </c>
      <c r="AN344" s="34" t="n">
        <f aca="false">IFERROR(AN336-AI336,"")</f>
        <v>0</v>
      </c>
      <c r="AO344" s="34" t="n">
        <f aca="false">IFERROR(AO336-AJ336,"")</f>
        <v>0</v>
      </c>
      <c r="AP344" s="34" t="n">
        <f aca="false">IFERROR(AP336-AK336,"")</f>
        <v>0</v>
      </c>
      <c r="AQ344" s="34" t="n">
        <f aca="false">IFERROR(AQ336-AL336,"")</f>
        <v>0</v>
      </c>
      <c r="AR344" s="34" t="n">
        <f aca="false">IFERROR(AR336-AM336,"")</f>
        <v>0</v>
      </c>
      <c r="AS344" s="34" t="n">
        <f aca="false">IFERROR(AS336-AN336,"")</f>
        <v>745</v>
      </c>
      <c r="AT344" s="34" t="n">
        <f aca="false">IFERROR(AT336-AO336,"")</f>
        <v>745</v>
      </c>
      <c r="AU344" s="34" t="n">
        <f aca="false">IFERROR(AU336-AP336,"")</f>
        <v>986.413</v>
      </c>
      <c r="AV344" s="34" t="n">
        <f aca="false">IFERROR(AV336-AQ336,"")</f>
        <v>986.715</v>
      </c>
      <c r="AW344" s="34" t="n">
        <f aca="false">IFERROR(AW336-AR336,"")</f>
        <v>986.715</v>
      </c>
      <c r="AX344" s="34" t="n">
        <f aca="false">IFERROR(AX336-AS336,"")</f>
        <v>242.018</v>
      </c>
      <c r="AY344" s="34" t="n">
        <f aca="false">IFERROR(AY336-AT336,"")</f>
        <v>242.325</v>
      </c>
      <c r="AZ344" s="34" t="n">
        <f aca="false">IFERROR(AZ336-AU336,"")</f>
        <v>1.22000000000003</v>
      </c>
      <c r="BA344" s="34" t="n">
        <f aca="false">IFERROR(BA336-AV336,"")</f>
        <v>1.22899999999993</v>
      </c>
      <c r="BB344" s="34" t="n">
        <f aca="false">IFERROR(BB336-AW336,"")</f>
        <v>1.22899999999993</v>
      </c>
      <c r="BC344" s="34" t="n">
        <f aca="false">IFERROR(BC336-AX336,"")</f>
        <v>1.23899999999992</v>
      </c>
      <c r="BD344" s="34" t="n">
        <f aca="false">IFERROR(BD336-AY336,"")</f>
        <v>1.24699999999996</v>
      </c>
      <c r="BE344" s="34" t="n">
        <f aca="false">IFERROR(BE336-AZ336,"")</f>
        <v>1.25699999999995</v>
      </c>
      <c r="BF344" s="34" t="n">
        <f aca="false">IFERROR(BF336-BA336,"")</f>
        <v>1.26600000000008</v>
      </c>
      <c r="BG344" s="34" t="n">
        <f aca="false">IFERROR(BG336-BB336,"")</f>
        <v>1.26600000000008</v>
      </c>
      <c r="BH344" s="34" t="n">
        <f aca="false">IFERROR(BH336-BC336,"")</f>
        <v>1.27600000000007</v>
      </c>
      <c r="BI344" s="34" t="n">
        <f aca="false">IFERROR(BI336-BD336,"")</f>
        <v>1.28599999999994</v>
      </c>
      <c r="BJ344" s="34" t="n">
        <f aca="false">IFERROR(BJ336-BE336,"")</f>
        <v>1.29499999999996</v>
      </c>
      <c r="BK344" s="34" t="n">
        <f aca="false">IFERROR(BK336-BF336,"")</f>
        <v>1.28999999999996</v>
      </c>
      <c r="BL344" s="34" t="n">
        <f aca="false">IFERROR(BL336-BG336,"")</f>
        <v>1.28999999999996</v>
      </c>
      <c r="BM344" s="34" t="n">
        <f aca="false">IFERROR(BM336-BH336,"")</f>
        <v>1.26699999999994</v>
      </c>
      <c r="BN344" s="34" t="n">
        <f aca="false">IFERROR(BN336-BI336,"")</f>
        <v>1.3420000000001</v>
      </c>
      <c r="BO344" s="34" t="n">
        <f aca="false">IFERROR(BO336-BJ336,"")</f>
        <v>1.31500000000005</v>
      </c>
      <c r="BP344" s="34" t="n">
        <f aca="false">IFERROR(BP336-BK336,"")</f>
        <v>1.39999999999998</v>
      </c>
      <c r="BQ344" s="34" t="n">
        <f aca="false">IFERROR(BQ336-BL336,"")</f>
        <v>1.39999999999998</v>
      </c>
      <c r="BR344" s="34" t="n">
        <f aca="false">IFERROR(BR336-BM336,"")</f>
        <v>1.40000000000009</v>
      </c>
      <c r="BS344" s="34" t="n">
        <f aca="false">IFERROR(BS336-BN336,"")</f>
        <v>1.29999999999995</v>
      </c>
      <c r="BT344" s="34" t="n">
        <f aca="false">IFERROR(BT336-BO336,"")</f>
        <v>1.39999999999998</v>
      </c>
      <c r="BU344" s="34" t="n">
        <f aca="false">IFERROR(BU336-BP336,"")</f>
        <v>1.10000000000002</v>
      </c>
      <c r="BV344" s="34" t="n">
        <f aca="false">IFERROR(BV336-BQ336,"")</f>
        <v>1.10000000000002</v>
      </c>
      <c r="BW344" s="34" t="n">
        <f aca="false">IFERROR(BW336-BR336,"")</f>
        <v>1.79999999999995</v>
      </c>
      <c r="BX344" s="34" t="n">
        <f aca="false">IFERROR(BX336-BS336,"")</f>
        <v>1.5</v>
      </c>
      <c r="BY344" s="36"/>
      <c r="BZ344" s="36"/>
      <c r="CA344" s="36" t="n">
        <f aca="false">IFERROR(CA336-BV336,"")</f>
        <v>1</v>
      </c>
      <c r="CB344" s="36" t="n">
        <f aca="false">IFERROR(CB336-CA336,"")</f>
        <v>0</v>
      </c>
      <c r="CC344" s="36" t="n">
        <f aca="false">IFERROR(CC336-CB336,"")</f>
        <v>23.8375527960728</v>
      </c>
      <c r="CD344" s="36" t="n">
        <f aca="false">IFERROR(CD336-CC336,"")</f>
        <v>130.422154930222</v>
      </c>
      <c r="CE344" s="36" t="n">
        <f aca="false">IFERROR(CE336-CD336,"")</f>
        <v>143.153079904426</v>
      </c>
      <c r="CF344" s="28"/>
    </row>
    <row r="345" customFormat="false" ht="15" hidden="false" customHeight="true" outlineLevel="0" collapsed="false">
      <c r="B345" s="68" t="s">
        <v>578</v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7"/>
      <c r="BZ345" s="27"/>
      <c r="CA345" s="27"/>
      <c r="CB345" s="70" t="n">
        <v>0.03</v>
      </c>
      <c r="CC345" s="70" t="n">
        <v>0.03</v>
      </c>
      <c r="CD345" s="70" t="n">
        <v>0.03</v>
      </c>
      <c r="CE345" s="70" t="n">
        <v>0.042</v>
      </c>
      <c r="CF345" s="28" t="s">
        <v>579</v>
      </c>
    </row>
    <row r="346" customFormat="false" ht="15" hidden="false" customHeight="true" outlineLevel="0" collapsed="false">
      <c r="B346" s="68" t="s">
        <v>580</v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7"/>
      <c r="BZ346" s="27"/>
      <c r="CA346" s="27"/>
      <c r="CB346" s="70" t="n">
        <v>0.055</v>
      </c>
      <c r="CC346" s="70" t="n">
        <v>0.055</v>
      </c>
      <c r="CD346" s="70" t="n">
        <v>0.055</v>
      </c>
      <c r="CE346" s="70" t="n">
        <v>0.055</v>
      </c>
      <c r="CF346" s="28"/>
    </row>
    <row r="347" customFormat="false" ht="15" hidden="false" customHeight="true" outlineLevel="0" collapsed="false">
      <c r="B347" s="68" t="s">
        <v>581</v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7"/>
      <c r="BZ347" s="27"/>
      <c r="CA347" s="27"/>
      <c r="CB347" s="70" t="n">
        <v>0.0325</v>
      </c>
      <c r="CC347" s="70" t="n">
        <v>0.03</v>
      </c>
      <c r="CD347" s="70" t="n">
        <v>0.03</v>
      </c>
      <c r="CE347" s="70" t="n">
        <v>0.03</v>
      </c>
      <c r="CF347" s="28" t="s">
        <v>582</v>
      </c>
    </row>
    <row r="348" customFormat="false" ht="15" hidden="false" customHeight="true" outlineLevel="0" collapsed="false">
      <c r="B348" s="68" t="s">
        <v>583</v>
      </c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6"/>
      <c r="BZ348" s="36"/>
      <c r="CA348" s="36"/>
      <c r="CB348" s="69" t="n">
        <v>3</v>
      </c>
      <c r="CC348" s="69" t="n">
        <v>3</v>
      </c>
      <c r="CD348" s="69" t="n">
        <v>3</v>
      </c>
      <c r="CE348" s="69" t="n">
        <v>3</v>
      </c>
      <c r="CF348" s="28"/>
    </row>
    <row r="349" customFormat="false" ht="15" hidden="false" customHeight="true" outlineLevel="0" collapsed="false">
      <c r="B349" s="15" t="s">
        <v>584</v>
      </c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6"/>
    </row>
    <row r="350" customFormat="false" ht="15" hidden="false" customHeight="true" outlineLevel="0" collapsed="false">
      <c r="B350" s="68" t="s">
        <v>585</v>
      </c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7"/>
      <c r="BZ350" s="47"/>
      <c r="CA350" s="47"/>
      <c r="CB350" s="47" t="n">
        <f aca="false">CHOOSE(MATCH($CF$2,{"Bull","Base","Bear"},0),$CO$40,$CP$40,$CQ$40)</f>
        <v>0.5</v>
      </c>
      <c r="CC350" s="47" t="n">
        <f aca="false">CHOOSE(MATCH($CF$2,{"Bull","Base","Bear"},0),$CO$40,$CP$40,$CQ$40)</f>
        <v>0.5</v>
      </c>
      <c r="CD350" s="47" t="n">
        <f aca="false">CHOOSE(MATCH($CF$2,{"Bull","Base","Bear"},0),$CO$40,$CP$40,$CQ$40)</f>
        <v>0.5</v>
      </c>
      <c r="CE350" s="47" t="n">
        <f aca="false">CHOOSE(MATCH($CF$2,{"Bull","Base","Bear"},0),$CO$40,$CP$40,$CQ$40)</f>
        <v>0.5</v>
      </c>
      <c r="CF350" s="28" t="s">
        <v>586</v>
      </c>
    </row>
    <row r="351" customFormat="false" ht="15" hidden="false" customHeight="true" outlineLevel="0" collapsed="false">
      <c r="B351" s="29" t="s">
        <v>587</v>
      </c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6"/>
      <c r="BZ351" s="36"/>
      <c r="CA351" s="36"/>
      <c r="CB351" s="36" t="n">
        <f aca="false">(CA336-CA243)-(CB227+CB232+CB235+CB237+CB238+CB240)</f>
        <v>-347.412114255335</v>
      </c>
      <c r="CC351" s="36" t="n">
        <f aca="false">(CB336-CB243)-(CC227+CC232+CC235+CC237+CC238+CC240)</f>
        <v>-381.981736229957</v>
      </c>
      <c r="CD351" s="36" t="n">
        <f aca="false">(CC336-CC243)-(CD227+CD232+CD235+CD237+CD238+CD240)</f>
        <v>-468.303844092367</v>
      </c>
      <c r="CE351" s="36" t="n">
        <f aca="false">(CD336-CD243)-(CE227+CE232+CE235+CE237+CE238+CE240)</f>
        <v>-522.857824627434</v>
      </c>
      <c r="CF351" s="28"/>
    </row>
    <row r="352" customFormat="false" ht="15" hidden="false" customHeight="true" outlineLevel="0" collapsed="false">
      <c r="B352" s="29" t="s">
        <v>588</v>
      </c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6"/>
      <c r="BZ352" s="36"/>
      <c r="CA352" s="36"/>
      <c r="CB352" s="36" t="n">
        <f aca="false">CB350*CB168</f>
        <v>501.986702479836</v>
      </c>
      <c r="CC352" s="36" t="n">
        <f aca="false">CC350*CC168</f>
        <v>617.837552796073</v>
      </c>
      <c r="CD352" s="36" t="n">
        <f aca="false">CD350*CD168</f>
        <v>748.259707726295</v>
      </c>
      <c r="CE352" s="36" t="n">
        <f aca="false">CE350*CE168</f>
        <v>891.412787630721</v>
      </c>
      <c r="CF352" s="28"/>
    </row>
    <row r="353" customFormat="false" ht="15" hidden="false" customHeight="true" outlineLevel="0" collapsed="false">
      <c r="B353" s="17" t="s">
        <v>589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20"/>
      <c r="BZ353" s="20"/>
      <c r="CA353" s="20"/>
      <c r="CB353" s="20" t="n">
        <f aca="false">MAX(0,CB352-CB351)</f>
        <v>849.39881673517</v>
      </c>
      <c r="CC353" s="20" t="n">
        <f aca="false">MAX(0,CC352-CC351)</f>
        <v>999.81928902603</v>
      </c>
      <c r="CD353" s="20" t="n">
        <f aca="false">MAX(0,CD352-CD351)</f>
        <v>1216.56355181866</v>
      </c>
      <c r="CE353" s="20" t="n">
        <f aca="false">MAX(0,CE352-CE351)</f>
        <v>1414.27061225815</v>
      </c>
      <c r="CF353" s="21" t="s">
        <v>590</v>
      </c>
    </row>
    <row r="354" customFormat="false" ht="15" hidden="false" customHeight="true" outlineLevel="0" collapsed="false">
      <c r="B354" s="15" t="s">
        <v>591</v>
      </c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6"/>
    </row>
    <row r="355" customFormat="false" ht="15" hidden="false" customHeight="true" outlineLevel="0" collapsed="false">
      <c r="B355" s="29" t="s">
        <v>592</v>
      </c>
      <c r="C355" s="25" t="n">
        <f aca="false">IF(AND(ISNUMBER(C141),ISNUMBER(C121)),IFERROR(C141/C121,""),"")</f>
        <v>0.0743286193506158</v>
      </c>
      <c r="D355" s="25" t="n">
        <f aca="false">IF(AND(ISNUMBER(D141),ISNUMBER(D121)),IFERROR(D141/D121,""),"")</f>
        <v>0.0837478281164907</v>
      </c>
      <c r="E355" s="25" t="n">
        <f aca="false">IF(AND(ISNUMBER(E141),ISNUMBER(E121)),IFERROR(E141/E121,""),"")</f>
        <v>0.0790903270755268</v>
      </c>
      <c r="F355" s="25" t="n">
        <f aca="false">IF(AND(ISNUMBER(F141),ISNUMBER(F121)),IFERROR(F141/F121,""),"")</f>
        <v>0.0699993799455306</v>
      </c>
      <c r="G355" s="25" t="n">
        <f aca="false">IF(AND(ISNUMBER(G141),ISNUMBER(G121)),IFERROR(G141/G121,""),"")</f>
        <v>0.0603244055511359</v>
      </c>
      <c r="H355" s="25" t="n">
        <f aca="false">IF(AND(ISNUMBER(H141),ISNUMBER(H121)),IFERROR(H141/H121,""),"")</f>
        <v>0.051053078994828</v>
      </c>
      <c r="I355" s="25" t="n">
        <f aca="false">IF(AND(ISNUMBER(I141),ISNUMBER(I121)),IFERROR(I141/I121,""),"")</f>
        <v>0.0935942572356088</v>
      </c>
      <c r="J355" s="25" t="n">
        <f aca="false">IF(AND(ISNUMBER(J141),ISNUMBER(J121)),IFERROR(J141/J121,""),"")</f>
        <v>0.0977189930118328</v>
      </c>
      <c r="K355" s="25" t="n">
        <f aca="false">IF(AND(ISNUMBER(K141),ISNUMBER(K121)),IFERROR(K141/K121,""),"")</f>
        <v>0.0921935063624437</v>
      </c>
      <c r="L355" s="25" t="n">
        <f aca="false">IF(AND(ISNUMBER(L141),ISNUMBER(L121)),IFERROR(L141/L121,""),"")</f>
        <v>0.0892423041647002</v>
      </c>
      <c r="M355" s="25" t="n">
        <f aca="false">IF(AND(ISNUMBER(M141),ISNUMBER(M121)),IFERROR(M141/M121,""),"")</f>
        <v>0.0849493988409307</v>
      </c>
      <c r="N355" s="25" t="n">
        <f aca="false">IF(AND(ISNUMBER(N141),ISNUMBER(N121)),IFERROR(N141/N121,""),"")</f>
        <v>0.090846209147214</v>
      </c>
      <c r="O355" s="25" t="n">
        <f aca="false">IF(AND(ISNUMBER(O141),ISNUMBER(O121)),IFERROR(O141/O121,""),"")</f>
        <v>0.082728677483288</v>
      </c>
      <c r="P355" s="25" t="n">
        <f aca="false">IF(AND(ISNUMBER(P141),ISNUMBER(P121)),IFERROR(P141/P121,""),"")</f>
        <v>0.13993825656024</v>
      </c>
      <c r="Q355" s="25" t="n">
        <f aca="false">IF(AND(ISNUMBER(Q141),ISNUMBER(Q121)),IFERROR(Q141/Q121,""),"")</f>
        <v>0.132056240853021</v>
      </c>
      <c r="R355" s="25" t="n">
        <f aca="false">IF(AND(ISNUMBER(R141),ISNUMBER(R121)),IFERROR(R141/R121,""),"")</f>
        <v>0.125813601886019</v>
      </c>
      <c r="S355" s="25" t="n">
        <f aca="false">IF(AND(ISNUMBER(S141),ISNUMBER(S121)),IFERROR(S141/S121,""),"")</f>
        <v>0.122187187465274</v>
      </c>
      <c r="T355" s="25" t="n">
        <f aca="false">IF(AND(ISNUMBER(T141),ISNUMBER(T121)),IFERROR(T141/T121,""),"")</f>
        <v>0.112017356307383</v>
      </c>
      <c r="U355" s="25" t="n">
        <f aca="false">IF(AND(ISNUMBER(U141),ISNUMBER(U121)),IFERROR(U141/U121,""),"")</f>
        <v>0.109424166603187</v>
      </c>
      <c r="V355" s="25" t="n">
        <f aca="false">IF(AND(ISNUMBER(V141),ISNUMBER(V121)),IFERROR(V141/V121,""),"")</f>
        <v>0.119104285004072</v>
      </c>
      <c r="W355" s="25" t="n">
        <f aca="false">IF(AND(ISNUMBER(W141),ISNUMBER(W121)),IFERROR(W141/W121,""),"")</f>
        <v>0.101161085752478</v>
      </c>
      <c r="X355" s="25" t="n">
        <f aca="false">IF(AND(ISNUMBER(X141),ISNUMBER(X121)),IFERROR(X141/X121,""),"")</f>
        <v>0.110334324298503</v>
      </c>
      <c r="Y355" s="25" t="n">
        <f aca="false">IF(AND(ISNUMBER(Y141),ISNUMBER(Y121)),IFERROR(Y141/Y121,""),"")</f>
        <v>0.0877194739134571</v>
      </c>
      <c r="Z355" s="25" t="n">
        <f aca="false">IF(AND(ISNUMBER(Z141),ISNUMBER(Z121)),IFERROR(Z141/Z121,""),"")</f>
        <v>0.0843045598905588</v>
      </c>
      <c r="AA355" s="25" t="n">
        <f aca="false">IF(AND(ISNUMBER(AA141),ISNUMBER(AA121)),IFERROR(AA141/AA121,""),"")</f>
        <v>0.0849979549717692</v>
      </c>
      <c r="AB355" s="25" t="n">
        <f aca="false">IF(AND(ISNUMBER(AB141),ISNUMBER(AB121)),IFERROR(AB141/AB121,""),"")</f>
        <v>0.0784385578372139</v>
      </c>
      <c r="AC355" s="25" t="n">
        <f aca="false">IF(AND(ISNUMBER(AC141),ISNUMBER(AC121)),IFERROR(AC141/AC121,""),"")</f>
        <v>0.0837661019782004</v>
      </c>
      <c r="AD355" s="25" t="n">
        <f aca="false">IF(AND(ISNUMBER(AD141),ISNUMBER(AD121)),IFERROR(AD141/AD121,""),"")</f>
        <v>0.0763529946635004</v>
      </c>
      <c r="AE355" s="25" t="n">
        <f aca="false">IF(AND(ISNUMBER(AE141),ISNUMBER(AE121)),IFERROR(AE141/AE121,""),"")</f>
        <v>0.0668766576851231</v>
      </c>
      <c r="AF355" s="25" t="n">
        <f aca="false">IF(AND(ISNUMBER(AF141),ISNUMBER(AF121)),IFERROR(AF141/AF121,""),"")</f>
        <v>0.0610787248568878</v>
      </c>
      <c r="AG355" s="25" t="n">
        <f aca="false">IF(AND(ISNUMBER(AG141),ISNUMBER(AG121)),IFERROR(AG141/AG121,""),"")</f>
        <v>0.0604982066293688</v>
      </c>
      <c r="AH355" s="25" t="n">
        <f aca="false">IF(AND(ISNUMBER(AH141),ISNUMBER(AH121)),IFERROR(AH141/AH121,""),"")</f>
        <v>0.0659355801208002</v>
      </c>
      <c r="AI355" s="25" t="n">
        <f aca="false">IF(AND(ISNUMBER(AI141),ISNUMBER(AI121)),IFERROR(AI141/AI121,""),"")</f>
        <v>0.0620456089844292</v>
      </c>
      <c r="AJ355" s="25" t="n">
        <f aca="false">IF(AND(ISNUMBER(AJ141),ISNUMBER(AJ121)),IFERROR(AJ141/AJ121,""),"")</f>
        <v>0.0693021971732353</v>
      </c>
      <c r="AK355" s="25" t="n">
        <f aca="false">IF(AND(ISNUMBER(AK141),ISNUMBER(AK121)),IFERROR(AK141/AK121,""),"")</f>
        <v>0.066878324196056</v>
      </c>
      <c r="AL355" s="25" t="n">
        <f aca="false">IF(AND(ISNUMBER(AL141),ISNUMBER(AL121)),IFERROR(AL141/AL121,""),"")</f>
        <v>0.0625627830187184</v>
      </c>
      <c r="AM355" s="25" t="n">
        <f aca="false">IF(AND(ISNUMBER(AM141),ISNUMBER(AM121)),IFERROR(AM141/AM121,""),"")</f>
        <v>0.0652298310500138</v>
      </c>
      <c r="AN355" s="25" t="n">
        <f aca="false">IF(AND(ISNUMBER(AN141),ISNUMBER(AN121)),IFERROR(AN141/AN121,""),"")</f>
        <v>0.0598584151632793</v>
      </c>
      <c r="AO355" s="25" t="n">
        <f aca="false">IF(AND(ISNUMBER(AO141),ISNUMBER(AO121)),IFERROR(AO141/AO121,""),"")</f>
        <v>0.0545555038398883</v>
      </c>
      <c r="AP355" s="25" t="n">
        <f aca="false">IF(AND(ISNUMBER(AP141),ISNUMBER(AP121)),IFERROR(AP141/AP121,""),"")</f>
        <v>0.0533491304052062</v>
      </c>
      <c r="AQ355" s="25" t="n">
        <f aca="false">IF(AND(ISNUMBER(AQ141),ISNUMBER(AQ121)),IFERROR(AQ141/AQ121,""),"")</f>
        <v>0.063859993702065</v>
      </c>
      <c r="AR355" s="25" t="n">
        <f aca="false">IF(AND(ISNUMBER(AR141),ISNUMBER(AR121)),IFERROR(AR141/AR121,""),"")</f>
        <v>0.057986638746777</v>
      </c>
      <c r="AS355" s="25" t="n">
        <f aca="false">IF(AND(ISNUMBER(AS141),ISNUMBER(AS121)),IFERROR(AS141/AS121,""),"")</f>
        <v>0.0619017116374503</v>
      </c>
      <c r="AT355" s="25" t="n">
        <f aca="false">IF(AND(ISNUMBER(AT141),ISNUMBER(AT121)),IFERROR(AT141/AT121,""),"")</f>
        <v>0.0704478558965049</v>
      </c>
      <c r="AU355" s="25" t="n">
        <f aca="false">IF(AND(ISNUMBER(AU141),ISNUMBER(AU121)),IFERROR(AU141/AU121,""),"")</f>
        <v>0.0744231943987595</v>
      </c>
      <c r="AV355" s="25" t="n">
        <f aca="false">IF(AND(ISNUMBER(AV141),ISNUMBER(AV121)),IFERROR(AV141/AV121,""),"")</f>
        <v>0.0743328540278537</v>
      </c>
      <c r="AW355" s="25" t="n">
        <f aca="false">IF(AND(ISNUMBER(AW141),ISNUMBER(AW121)),IFERROR(AW141/AW121,""),"")</f>
        <v>0.0704898497244456</v>
      </c>
      <c r="AX355" s="25" t="n">
        <f aca="false">IF(AND(ISNUMBER(AX141),ISNUMBER(AX121)),IFERROR(AX141/AX121,""),"")</f>
        <v>0.0773655933947568</v>
      </c>
      <c r="AY355" s="25" t="n">
        <f aca="false">IF(AND(ISNUMBER(AY141),ISNUMBER(AY121)),IFERROR(AY141/AY121,""),"")</f>
        <v>0.068923017989603</v>
      </c>
      <c r="AZ355" s="25" t="n">
        <f aca="false">IF(AND(ISNUMBER(AZ141),ISNUMBER(AZ121)),IFERROR(AZ141/AZ121,""),"")</f>
        <v>0.0678403986229244</v>
      </c>
      <c r="BA355" s="25" t="n">
        <f aca="false">IF(AND(ISNUMBER(BA141),ISNUMBER(BA121)),IFERROR(BA141/BA121,""),"")</f>
        <v>0.0733406210905589</v>
      </c>
      <c r="BB355" s="25" t="n">
        <f aca="false">IF(AND(ISNUMBER(BB141),ISNUMBER(BB121)),IFERROR(BB141/BB121,""),"")</f>
        <v>0.0717841096425917</v>
      </c>
      <c r="BC355" s="25" t="n">
        <f aca="false">IF(AND(ISNUMBER(BC141),ISNUMBER(BC121)),IFERROR(BC141/BC121,""),"")</f>
        <v>0.0624048853777928</v>
      </c>
      <c r="BD355" s="25" t="n">
        <f aca="false">IF(AND(ISNUMBER(BD141),ISNUMBER(BD121)),IFERROR(BD141/BD121,""),"")</f>
        <v>0.0595497363455328</v>
      </c>
      <c r="BE355" s="25" t="n">
        <f aca="false">IF(AND(ISNUMBER(BE141),ISNUMBER(BE121)),IFERROR(BE141/BE121,""),"")</f>
        <v>0.0823384286101619</v>
      </c>
      <c r="BF355" s="25" t="n">
        <f aca="false">IF(AND(ISNUMBER(BF141),ISNUMBER(BF121)),IFERROR(BF141/BF121,""),"")</f>
        <v>0.0486652887877282</v>
      </c>
      <c r="BG355" s="25" t="n">
        <f aca="false">IF(AND(ISNUMBER(BG141),ISNUMBER(BG121)),IFERROR(BG141/BG121,""),"")</f>
        <v>0.0631804724983837</v>
      </c>
      <c r="BH355" s="25" t="n">
        <f aca="false">IF(AND(ISNUMBER(BH141),ISNUMBER(BH121)),IFERROR(BH141/BH121,""),"")</f>
        <v>0.0438543652437</v>
      </c>
      <c r="BI355" s="25" t="n">
        <f aca="false">IF(AND(ISNUMBER(BI141),ISNUMBER(BI121)),IFERROR(BI141/BI121,""),"")</f>
        <v>0.0430149231068846</v>
      </c>
      <c r="BJ355" s="25" t="n">
        <f aca="false">IF(AND(ISNUMBER(BJ141),ISNUMBER(BJ121)),IFERROR(BJ141/BJ121,""),"")</f>
        <v>0.0434229968191154</v>
      </c>
      <c r="BK355" s="25" t="n">
        <f aca="false">IF(AND(ISNUMBER(BK141),ISNUMBER(BK121)),IFERROR(BK141/BK121,""),"")</f>
        <v>0.0448161810083133</v>
      </c>
      <c r="BL355" s="25" t="n">
        <f aca="false">IF(AND(ISNUMBER(BL141),ISNUMBER(BL121)),IFERROR(BL141/BL121,""),"")</f>
        <v>0.0437881873727088</v>
      </c>
      <c r="BM355" s="25" t="n">
        <f aca="false">IF(AND(ISNUMBER(BM141),ISNUMBER(BM121)),IFERROR(BM141/BM121,""),"")</f>
        <v>0.0507312614259598</v>
      </c>
      <c r="BN355" s="25" t="n">
        <f aca="false">IF(AND(ISNUMBER(BN141),ISNUMBER(BN121)),IFERROR(BN141/BN121,""),"")</f>
        <v>0.0572440247860726</v>
      </c>
      <c r="BO355" s="25" t="n">
        <f aca="false">IF(AND(ISNUMBER(BO141),ISNUMBER(BO121)),IFERROR(BO141/BO121,""),"")</f>
        <v>0.0512561362980075</v>
      </c>
      <c r="BP355" s="25" t="n">
        <f aca="false">IF(AND(ISNUMBER(BP141),ISNUMBER(BP121)),IFERROR(BP141/BP121,""),"")</f>
        <v>0.0553989286721173</v>
      </c>
      <c r="BQ355" s="25" t="n">
        <f aca="false">IF(AND(ISNUMBER(BQ141),ISNUMBER(BQ121)),IFERROR(BQ141/BQ121,""),"")</f>
        <v>0.0536875959359696</v>
      </c>
      <c r="BR355" s="25" t="n">
        <f aca="false">IF(AND(ISNUMBER(BR141),ISNUMBER(BR121)),IFERROR(BR141/BR121,""),"")</f>
        <v>0.0645998361103524</v>
      </c>
      <c r="BS355" s="25" t="n">
        <f aca="false">IF(AND(ISNUMBER(BS141),ISNUMBER(BS121)),IFERROR(BS141/BS121,""),"")</f>
        <v>0.0838346345833867</v>
      </c>
      <c r="BT355" s="25" t="n">
        <f aca="false">IF(AND(ISNUMBER(BT141),ISNUMBER(BT121)),IFERROR(BT141/BT121,""),"")</f>
        <v>0.0830134357005758</v>
      </c>
      <c r="BU355" s="25" t="n">
        <f aca="false">IF(AND(ISNUMBER(BU141),ISNUMBER(BU121)),IFERROR(BU141/BU121,""),"")</f>
        <v>0.0900100011112346</v>
      </c>
      <c r="BV355" s="25" t="n">
        <f aca="false">IF(AND(ISNUMBER(BV141),ISNUMBER(BV121)),IFERROR(BV141/BV121,""),"")</f>
        <v>0.0809978441638436</v>
      </c>
      <c r="BW355" s="25" t="n">
        <f aca="false">IF(AND(ISNUMBER(BW141),ISNUMBER(BW121)),IFERROR(BW141/BW121,""),"")</f>
        <v>0.0914158305462653</v>
      </c>
      <c r="BX355" s="25" t="n">
        <f aca="false">IF(AND(ISNUMBER(BX141),ISNUMBER(BX121)),IFERROR(BX141/BX121,""),"")</f>
        <v>0.0918918918918919</v>
      </c>
      <c r="BY355" s="27" t="n">
        <f aca="false">IF(AND(ISNUMBER(BY141),ISNUMBER(BY121)),IFERROR(BY141/BY121,""),"")</f>
        <v>0.0962306252305575</v>
      </c>
      <c r="BZ355" s="27" t="n">
        <f aca="false">IF(AND(ISNUMBER(BZ141),ISNUMBER(BZ121)),IFERROR(BZ141/BZ121,""),"")</f>
        <v>0.0957088138536501</v>
      </c>
      <c r="CA355" s="27" t="n">
        <f aca="false">IF(AND(ISNUMBER(CA141),ISNUMBER(CA121)),IFERROR(CA141/CA121,""),"")</f>
        <v>0.0938999482450668</v>
      </c>
      <c r="CB355" s="27" t="n">
        <f aca="false">IF(AND(ISNUMBER(CB141),ISNUMBER(CB121)),IFERROR(CB141/CB121,""),"")</f>
        <v>0.0832730943864268</v>
      </c>
      <c r="CC355" s="27" t="n">
        <f aca="false">IF(AND(ISNUMBER(CC141),ISNUMBER(CC121)),IFERROR(CC141/CC121,""),"")</f>
        <v>0.072306478797869</v>
      </c>
      <c r="CD355" s="27" t="n">
        <f aca="false">IF(AND(ISNUMBER(CD141),ISNUMBER(CD121)),IFERROR(CD141/CD121,""),"")</f>
        <v>0.065393861545137</v>
      </c>
      <c r="CE355" s="27" t="n">
        <f aca="false">IF(AND(ISNUMBER(CE141),ISNUMBER(CE121)),IFERROR(CE141/CE121,""),"")</f>
        <v>0.0563325071122792</v>
      </c>
      <c r="CF355" s="28"/>
      <c r="CH355" s="32" t="n">
        <f aca="false">IFERROR(AVERAGE(CA355,CB355,CC355,CD355,CE355),"n/m")</f>
        <v>0.0742411780173558</v>
      </c>
      <c r="CI355" s="32" t="n">
        <f aca="false">IFERROR(AVERAGE(BB355,BG355,BL355,BQ355,BV355),"n/m")</f>
        <v>0.0626876419226995</v>
      </c>
      <c r="CJ355" s="32" t="n">
        <f aca="false">IFERROR(AVERAGE(AC355,AH355,AM355,AR355,AW355,BB355,BG355,BL355,BQ355,BV355),"n/m")</f>
        <v>0.0656846211233734</v>
      </c>
      <c r="CK355" s="32" t="n">
        <f aca="false">IFERROR(AVERAGE(C355,D355,E355,F355,G355,H355,I355,N355,S355,X355,AC355,AH355,AM355,AR355,AW355,BB355,BG355,BL355,BQ355,BV355),"n/m")</f>
        <v>0.0746175914207231</v>
      </c>
    </row>
    <row r="356" customFormat="false" ht="15" hidden="false" customHeight="true" outlineLevel="0" collapsed="false">
      <c r="B356" s="29" t="s">
        <v>465</v>
      </c>
      <c r="C356" s="25" t="n">
        <f aca="false">IFERROR(-(N(C228)+N(C229))/C121,"")</f>
        <v>0.0815600828251169</v>
      </c>
      <c r="D356" s="25" t="n">
        <f aca="false">IFERROR(-(N(D228)+N(D229))/D121,"")</f>
        <v>0.0740177899950728</v>
      </c>
      <c r="E356" s="25" t="n">
        <f aca="false">IFERROR(-(N(E228)+N(E229))/E121,"")</f>
        <v>0.017210537217316</v>
      </c>
      <c r="F356" s="25" t="n">
        <f aca="false">IFERROR(-(N(F228)+N(F229))/F121,"")</f>
        <v>0.0449301007826995</v>
      </c>
      <c r="G356" s="25" t="n">
        <f aca="false">IFERROR(-(N(G228)+N(G229))/G121,"")</f>
        <v>0.253504817466631</v>
      </c>
      <c r="H356" s="25" t="n">
        <f aca="false">IFERROR(-(N(H228)+N(H229))/H121,"")</f>
        <v>0.0596374007897099</v>
      </c>
      <c r="I356" s="25" t="n">
        <f aca="false">IFERROR(-(N(I228)+N(I229))/I121,"")</f>
        <v>0.0423906085684239</v>
      </c>
      <c r="J356" s="25" t="n">
        <f aca="false">IFERROR(-(N(J228)+N(J229))/J121,"")</f>
        <v>0.0446300693049321</v>
      </c>
      <c r="K356" s="25" t="n">
        <f aca="false">IFERROR(-(N(K228)+N(K229))/K121,"")</f>
        <v>0.0391654969311645</v>
      </c>
      <c r="L356" s="25" t="n">
        <f aca="false">IFERROR(-(N(L228)+N(L229))/L121,"")</f>
        <v>0.0571588854952316</v>
      </c>
      <c r="M356" s="25" t="n">
        <f aca="false">IFERROR(-(N(M228)+N(M229))/M121,"")</f>
        <v>0.0320992993685667</v>
      </c>
      <c r="N356" s="25" t="n">
        <f aca="false">IFERROR(-(N(N228)+N(N229))/N121,"")</f>
        <v>0.0431847200205015</v>
      </c>
      <c r="O356" s="25" t="n">
        <f aca="false">IFERROR(-(N(O228)+N(O229))/O121,"")</f>
        <v>0.0348432933588633</v>
      </c>
      <c r="P356" s="25" t="n">
        <f aca="false">IFERROR(-(N(P228)+N(P229))/P121,"")</f>
        <v>0.0493405908955507</v>
      </c>
      <c r="Q356" s="25" t="n">
        <f aca="false">IFERROR(-(N(Q228)+N(Q229))/Q121,"")</f>
        <v>0.0615983692243362</v>
      </c>
      <c r="R356" s="25" t="n">
        <f aca="false">IFERROR(-(N(R228)+N(R229))/R121,"")</f>
        <v>0.0421471402214022</v>
      </c>
      <c r="S356" s="25" t="n">
        <f aca="false">IFERROR(-(N(S228)+N(S229))/S121,"")</f>
        <v>0.0476511279031003</v>
      </c>
      <c r="T356" s="25" t="n">
        <f aca="false">IFERROR(-(N(T228)+N(T229))/T121,"")</f>
        <v>0.0738523456169035</v>
      </c>
      <c r="U356" s="25" t="n">
        <f aca="false">IFERROR(-(N(U228)+N(U229))/U121,"")</f>
        <v>0.0362481468676937</v>
      </c>
      <c r="V356" s="25" t="n">
        <f aca="false">IFERROR(-(N(V228)+N(V229))/V121,"")</f>
        <v>0.0530098689429759</v>
      </c>
      <c r="W356" s="25" t="n">
        <f aca="false">IFERROR(-(N(W228)+N(W229))/W121,"")</f>
        <v>0.0368272982088918</v>
      </c>
      <c r="X356" s="25" t="n">
        <f aca="false">IFERROR(-(N(X228)+N(X229))/X121,"")</f>
        <v>0.0492593050505505</v>
      </c>
      <c r="Y356" s="25" t="n">
        <f aca="false">IFERROR(-(N(Y228)+N(Y229))/Y121,"")</f>
        <v>0.0189947881985992</v>
      </c>
      <c r="Z356" s="25" t="n">
        <f aca="false">IFERROR(-(N(Z228)+N(Z229))/Z121,"")</f>
        <v>0.0174023174086016</v>
      </c>
      <c r="AA356" s="25" t="n">
        <f aca="false">IFERROR(-(N(AA228)+N(AA229))/AA121,"")</f>
        <v>0.0202058191630898</v>
      </c>
      <c r="AB356" s="25" t="n">
        <f aca="false">IFERROR(-(N(AB228)+N(AB229))/AB121,"")</f>
        <v>0.0324033145375176</v>
      </c>
      <c r="AC356" s="25" t="n">
        <f aca="false">IFERROR(-(N(AC228)+N(AC229))/AC121,"")</f>
        <v>0.022403686591932</v>
      </c>
      <c r="AD356" s="25" t="n">
        <f aca="false">IFERROR(-(N(AD228)+N(AD229))/AD121,"")</f>
        <v>0.0271283099318923</v>
      </c>
      <c r="AE356" s="25" t="n">
        <f aca="false">IFERROR(-(N(AE228)+N(AE229))/AE121,"")</f>
        <v>0.0275265335036875</v>
      </c>
      <c r="AF356" s="25" t="n">
        <f aca="false">IFERROR(-(N(AF228)+N(AF229))/AF121,"")</f>
        <v>0.0286022469731309</v>
      </c>
      <c r="AG356" s="25" t="n">
        <f aca="false">IFERROR(-(N(AG228)+N(AG229))/AG121,"")</f>
        <v>0.0186817643144836</v>
      </c>
      <c r="AH356" s="25" t="n">
        <f aca="false">IFERROR(-(N(AH228)+N(AH229))/AH121,"")</f>
        <v>0.025381515286512</v>
      </c>
      <c r="AI356" s="25" t="n">
        <f aca="false">IFERROR(-(N(AI228)+N(AI229))/AI121,"")</f>
        <v>0.031481305577273</v>
      </c>
      <c r="AJ356" s="25" t="n">
        <f aca="false">IFERROR(-(N(AJ228)+N(AJ229))/AJ121,"")</f>
        <v>0.0243554262704617</v>
      </c>
      <c r="AK356" s="25" t="n">
        <f aca="false">IFERROR(-(N(AK228)+N(AK229))/AK121,"")</f>
        <v>0.0194746747402013</v>
      </c>
      <c r="AL356" s="25" t="n">
        <f aca="false">IFERROR(-(N(AL228)+N(AL229))/AL121,"")</f>
        <v>0.0248153347424193</v>
      </c>
      <c r="AM356" s="25" t="n">
        <f aca="false">IFERROR(-(N(AM228)+N(AM229))/AM121,"")</f>
        <v>0.0248625645225166</v>
      </c>
      <c r="AN356" s="25" t="n">
        <f aca="false">IFERROR(-(N(AN228)+N(AN229))/AN121,"")</f>
        <v>0.0287097510847225</v>
      </c>
      <c r="AO356" s="25" t="n">
        <f aca="false">IFERROR(-(N(AO228)+N(AO229))/AO121,"")</f>
        <v>0.0144228531533628</v>
      </c>
      <c r="AP356" s="25" t="n">
        <f aca="false">IFERROR(-(N(AP228)+N(AP229))/AP121,"")</f>
        <v>0.0843943447994377</v>
      </c>
      <c r="AQ356" s="25" t="n">
        <f aca="false">IFERROR(-(N(AQ228)+N(AQ229))/AQ121,"")</f>
        <v>0.00543063465038455</v>
      </c>
      <c r="AR356" s="25" t="n">
        <f aca="false">IFERROR(-(N(AR228)+N(AR229))/AR121,"")</f>
        <v>0.0330044816138096</v>
      </c>
      <c r="AS356" s="25" t="n">
        <f aca="false">IFERROR(-(N(AS228)+N(AS229))/AS121,"")</f>
        <v>0.0182035335220124</v>
      </c>
      <c r="AT356" s="25" t="n">
        <f aca="false">IFERROR(-(N(AT228)+N(AT229))/AT121,"")</f>
        <v>0.0142235225690467</v>
      </c>
      <c r="AU356" s="25" t="n">
        <f aca="false">IFERROR(-(N(AU228)+N(AU229))/AU121,"")</f>
        <v>0.0689699732155444</v>
      </c>
      <c r="AV356" s="25" t="n">
        <f aca="false">IFERROR(-(N(AV228)+N(AV229))/AV121,"")</f>
        <v>0.0139741175041011</v>
      </c>
      <c r="AW356" s="25" t="n">
        <f aca="false">IFERROR(-(N(AW228)+N(AW229))/AW121,"")</f>
        <v>0.0291419206169429</v>
      </c>
      <c r="AX356" s="25" t="n">
        <f aca="false">IFERROR(-(N(AX228)+N(AX229))/AX121,"")</f>
        <v>0.292503555845898</v>
      </c>
      <c r="AY356" s="25" t="n">
        <f aca="false">IFERROR(-(N(AY228)+N(AY229))/AY121,"")</f>
        <v>0.0059084010467738</v>
      </c>
      <c r="AZ356" s="25" t="n">
        <f aca="false">IFERROR(-(N(AZ228)+N(AZ229))/AZ121,"")</f>
        <v>0.0169030219158494</v>
      </c>
      <c r="BA356" s="25" t="n">
        <f aca="false">IFERROR(-(N(BA228)+N(BA229))/BA121,"")</f>
        <v>0.0864822627302254</v>
      </c>
      <c r="BB356" s="25" t="n">
        <f aca="false">IFERROR(-(N(BB228)+N(BB229))/BB121,"")</f>
        <v>0.0972072412666816</v>
      </c>
      <c r="BC356" s="25" t="n">
        <f aca="false">IFERROR(-(N(BC228)+N(BC229))/BC121,"")</f>
        <v>0.0240701788397228</v>
      </c>
      <c r="BD356" s="25" t="n">
        <f aca="false">IFERROR(-(N(BD228)+N(BD229))/BD121,"")</f>
        <v>0.082031220865622</v>
      </c>
      <c r="BE356" s="25" t="n">
        <f aca="false">IFERROR(-(N(BE228)+N(BE229))/BE121,"")</f>
        <v>0.0337193246438902</v>
      </c>
      <c r="BF356" s="25" t="n">
        <f aca="false">IFERROR(-(N(BF228)+N(BF229))/BF121,"")</f>
        <v>0.0323609693988785</v>
      </c>
      <c r="BG356" s="25" t="n">
        <f aca="false">IFERROR(-(N(BG228)+N(BG229))/BG121,"")</f>
        <v>0.0429541069254522</v>
      </c>
      <c r="BH356" s="25" t="n">
        <f aca="false">IFERROR(-(N(BH228)+N(BH229))/BH121,"")</f>
        <v>0.0335919612023971</v>
      </c>
      <c r="BI356" s="25" t="n">
        <f aca="false">IFERROR(-(N(BI228)+N(BI229))/BI121,"")</f>
        <v>0.0574214482114388</v>
      </c>
      <c r="BJ356" s="25" t="n">
        <f aca="false">IFERROR(-(N(BJ228)+N(BJ229))/BJ121,"")</f>
        <v>0.0344662533277624</v>
      </c>
      <c r="BK356" s="25" t="n">
        <f aca="false">IFERROR(-(N(BK228)+N(BK229))/BK121,"")</f>
        <v>0.104440371903215</v>
      </c>
      <c r="BL356" s="25" t="n">
        <f aca="false">IFERROR(-(N(BL228)+N(BL229))/BL121,"")</f>
        <v>0.0581670061099796</v>
      </c>
      <c r="BM356" s="25" t="n">
        <f aca="false">IFERROR(-(N(BM228)+N(BM229))/BM121,"")</f>
        <v>0.579372333942718</v>
      </c>
      <c r="BN356" s="25" t="n">
        <f aca="false">IFERROR(-(N(BN228)+N(BN229))/BN121,"")</f>
        <v>0.1360283269401</v>
      </c>
      <c r="BO356" s="25" t="n">
        <f aca="false">IFERROR(-(N(BO228)+N(BO229))/BO121,"")</f>
        <v>0.125036095870632</v>
      </c>
      <c r="BP356" s="25" t="n">
        <f aca="false">IFERROR(-(N(BP228)+N(BP229))/BP121,"")</f>
        <v>0.111079785734423</v>
      </c>
      <c r="BQ356" s="25" t="n">
        <f aca="false">IFERROR(-(N(BQ228)+N(BQ229))/BQ121,"")</f>
        <v>0.233133542869673</v>
      </c>
      <c r="BR356" s="25" t="n">
        <f aca="false">IFERROR(-(N(BR228)+N(BR229))/BR121,"")</f>
        <v>0.10816716744059</v>
      </c>
      <c r="BS356" s="25" t="n">
        <f aca="false">IFERROR(-(N(BS228)+N(BS229))/BS121,"")</f>
        <v>0.193907589914246</v>
      </c>
      <c r="BT356" s="25" t="n">
        <f aca="false">IFERROR(-(N(BT228)+N(BT229))/BT121,"")</f>
        <v>0.110124760076775</v>
      </c>
      <c r="BU356" s="25" t="n">
        <f aca="false">IFERROR(-(N(BU228)+N(BU229))/BU121,"")</f>
        <v>0.073897099677742</v>
      </c>
      <c r="BV356" s="25" t="n">
        <f aca="false">IFERROR(-(N(BV228)+N(BV229))/BV121,"")</f>
        <v>0.119802894979982</v>
      </c>
      <c r="BW356" s="25" t="n">
        <f aca="false">IFERROR(-(N(BW228)+N(BW229))/BW121,"")</f>
        <v>0.0602006688963211</v>
      </c>
      <c r="BX356" s="25" t="n">
        <f aca="false">IFERROR(-(N(BX228)+N(BX229))/BX121,"")</f>
        <v>0.0627027027027027</v>
      </c>
      <c r="BY356" s="27"/>
      <c r="BZ356" s="27"/>
      <c r="CA356" s="27" t="n">
        <f aca="false">IFERROR(-(N(CA228)+N(CA229))/CA121,"")</f>
        <v>0.0535293396218289</v>
      </c>
      <c r="CB356" s="27" t="n">
        <f aca="false">IFERROR(-(N(CB228)+N(CB229))/CB121,"")</f>
        <v>0.0384975379279779</v>
      </c>
      <c r="CC356" s="27" t="n">
        <f aca="false">IFERROR(-(N(CC228)+N(CC229))/CC121,"")</f>
        <v>0.028419494359476</v>
      </c>
      <c r="CD356" s="27" t="n">
        <f aca="false">IFERROR(-(N(CD228)+N(CD229))/CD121,"")</f>
        <v>0.0238572321373455</v>
      </c>
      <c r="CE356" s="27" t="n">
        <f aca="false">IFERROR(-(N(CE228)+N(CE229))/CE121,"")</f>
        <v>0.0235577727577491</v>
      </c>
      <c r="CF356" s="28"/>
      <c r="CH356" s="32" t="n">
        <f aca="false">IFERROR(AVERAGE(CA356,CB356,CC356,CD356,CE356),"n/m")</f>
        <v>0.0335722753608755</v>
      </c>
      <c r="CI356" s="32" t="n">
        <f aca="false">IFERROR(AVERAGE(BB356,BG356,BL356,BQ356,BV356),"n/m")</f>
        <v>0.110252958430354</v>
      </c>
      <c r="CJ356" s="32" t="n">
        <f aca="false">IFERROR(AVERAGE(AC356,AH356,AM356,AR356,AW356,BB356,BG356,BL356,BQ356,BV356),"n/m")</f>
        <v>0.0686058960783481</v>
      </c>
      <c r="CK356" s="32" t="n">
        <f aca="false">IFERROR(AVERAGE(C356,D356,E356,F356,G356,H356,I356,N356,S356,X356,AC356,AH356,AM356,AR356,AW356,BB356,BG356,BL356,BQ356,BV356),"n/m")</f>
        <v>0.0699702725701302</v>
      </c>
    </row>
    <row r="358" customFormat="false" ht="15" hidden="false" customHeight="true" outlineLevel="0" collapsed="false">
      <c r="B358" s="11" t="s">
        <v>593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 t="s">
        <v>594</v>
      </c>
    </row>
    <row r="359" customFormat="false" ht="15" hidden="false" customHeight="true" outlineLevel="0" collapsed="false">
      <c r="B359" s="29" t="s">
        <v>595</v>
      </c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6"/>
      <c r="BZ359" s="36"/>
      <c r="CA359" s="36"/>
      <c r="CB359" s="36"/>
      <c r="CC359" s="36"/>
      <c r="CD359" s="36"/>
      <c r="CE359" s="36"/>
      <c r="CF359" s="28"/>
    </row>
    <row r="360" customFormat="false" ht="15" hidden="false" customHeight="true" outlineLevel="0" collapsed="false">
      <c r="B360" s="29" t="s">
        <v>596</v>
      </c>
      <c r="C360" s="34" t="n">
        <f aca="false">C175</f>
        <v>14.081</v>
      </c>
      <c r="D360" s="34" t="n">
        <f aca="false">D175</f>
        <v>17.852</v>
      </c>
      <c r="E360" s="34" t="n">
        <f aca="false">E175</f>
        <v>39.788</v>
      </c>
      <c r="F360" s="34" t="n">
        <f aca="false">F175</f>
        <v>39.656</v>
      </c>
      <c r="G360" s="34" t="n">
        <f aca="false">G175</f>
        <v>37.668</v>
      </c>
      <c r="H360" s="34" t="n">
        <f aca="false">H175</f>
        <v>44.095</v>
      </c>
      <c r="I360" s="34" t="n">
        <f aca="false">I175</f>
        <v>53.646</v>
      </c>
      <c r="J360" s="34"/>
      <c r="K360" s="34"/>
      <c r="L360" s="34"/>
      <c r="M360" s="34"/>
      <c r="N360" s="34" t="n">
        <f aca="false">N175</f>
        <v>96.703</v>
      </c>
      <c r="O360" s="34"/>
      <c r="P360" s="34"/>
      <c r="Q360" s="34"/>
      <c r="R360" s="34"/>
      <c r="S360" s="34" t="n">
        <f aca="false">S175</f>
        <v>118.096</v>
      </c>
      <c r="T360" s="34"/>
      <c r="U360" s="34"/>
      <c r="V360" s="34"/>
      <c r="W360" s="34"/>
      <c r="X360" s="34" t="n">
        <f aca="false">X175</f>
        <v>57.108</v>
      </c>
      <c r="Y360" s="34"/>
      <c r="Z360" s="34"/>
      <c r="AA360" s="34"/>
      <c r="AB360" s="34"/>
      <c r="AC360" s="34" t="n">
        <f aca="false">AC175</f>
        <v>185.357</v>
      </c>
      <c r="AD360" s="34"/>
      <c r="AE360" s="34"/>
      <c r="AF360" s="34"/>
      <c r="AG360" s="34"/>
      <c r="AH360" s="34" t="n">
        <f aca="false">AH175</f>
        <v>216.147</v>
      </c>
      <c r="AI360" s="34"/>
      <c r="AJ360" s="34"/>
      <c r="AK360" s="34"/>
      <c r="AL360" s="34"/>
      <c r="AM360" s="34" t="n">
        <f aca="false">AM175</f>
        <v>340.279</v>
      </c>
      <c r="AN360" s="34"/>
      <c r="AO360" s="34"/>
      <c r="AP360" s="34"/>
      <c r="AQ360" s="34"/>
      <c r="AR360" s="34" t="n">
        <f aca="false">AR175</f>
        <v>425.535</v>
      </c>
      <c r="AS360" s="34"/>
      <c r="AT360" s="34"/>
      <c r="AU360" s="34"/>
      <c r="AV360" s="34"/>
      <c r="AW360" s="34" t="n">
        <f aca="false">AW175</f>
        <v>436.242</v>
      </c>
      <c r="AX360" s="34"/>
      <c r="AY360" s="34"/>
      <c r="AZ360" s="34"/>
      <c r="BA360" s="34"/>
      <c r="BB360" s="34" t="n">
        <f aca="false">BB175</f>
        <v>514.764</v>
      </c>
      <c r="BC360" s="34"/>
      <c r="BD360" s="34"/>
      <c r="BE360" s="34"/>
      <c r="BF360" s="34"/>
      <c r="BG360" s="34" t="n">
        <f aca="false">BG175</f>
        <v>539.805</v>
      </c>
      <c r="BH360" s="34"/>
      <c r="BI360" s="34"/>
      <c r="BJ360" s="34"/>
      <c r="BK360" s="34"/>
      <c r="BL360" s="34" t="n">
        <f aca="false">BL175</f>
        <v>384.2</v>
      </c>
      <c r="BM360" s="34"/>
      <c r="BN360" s="34"/>
      <c r="BO360" s="34"/>
      <c r="BP360" s="34"/>
      <c r="BQ360" s="34" t="n">
        <f aca="false">BQ175</f>
        <v>122.5</v>
      </c>
      <c r="BR360" s="34"/>
      <c r="BS360" s="34"/>
      <c r="BT360" s="34"/>
      <c r="BU360" s="34"/>
      <c r="BV360" s="34" t="n">
        <f aca="false">BV175</f>
        <v>200</v>
      </c>
      <c r="BW360" s="34"/>
      <c r="BX360" s="34"/>
      <c r="BY360" s="36"/>
      <c r="BZ360" s="36"/>
      <c r="CA360" s="36" t="n">
        <f aca="false">CA175</f>
        <v>474.388898630137</v>
      </c>
      <c r="CB360" s="36" t="n">
        <f aca="false">CB175</f>
        <v>657.825607082314</v>
      </c>
      <c r="CC360" s="36" t="n">
        <f aca="false">CC175</f>
        <v>906.155764830361</v>
      </c>
      <c r="CD360" s="36" t="n">
        <f aca="false">CD175</f>
        <v>1171.44798175796</v>
      </c>
      <c r="CE360" s="36" t="n">
        <f aca="false">CE175</f>
        <v>1480.15269619921</v>
      </c>
      <c r="CF360" s="28"/>
    </row>
    <row r="361" customFormat="false" ht="15" hidden="false" customHeight="true" outlineLevel="0" collapsed="false">
      <c r="B361" s="29" t="s">
        <v>597</v>
      </c>
      <c r="C361" s="25" t="n">
        <f aca="false">C190</f>
        <v>0.4</v>
      </c>
      <c r="D361" s="25" t="n">
        <f aca="false">D190</f>
        <v>0.4</v>
      </c>
      <c r="E361" s="25" t="n">
        <f aca="false">E190</f>
        <v>0.4</v>
      </c>
      <c r="F361" s="25" t="n">
        <f aca="false">F190</f>
        <v>0.4</v>
      </c>
      <c r="G361" s="25" t="n">
        <f aca="false">G190</f>
        <v>0.4</v>
      </c>
      <c r="H361" s="25" t="n">
        <f aca="false">H190</f>
        <v>0.4</v>
      </c>
      <c r="I361" s="25" t="n">
        <f aca="false">I190</f>
        <v>0.38</v>
      </c>
      <c r="J361" s="25"/>
      <c r="K361" s="25"/>
      <c r="L361" s="25"/>
      <c r="M361" s="25"/>
      <c r="N361" s="25" t="n">
        <f aca="false">N190</f>
        <v>0.38</v>
      </c>
      <c r="O361" s="25"/>
      <c r="P361" s="25"/>
      <c r="Q361" s="25"/>
      <c r="R361" s="25"/>
      <c r="S361" s="25" t="n">
        <f aca="false">S190</f>
        <v>0.38</v>
      </c>
      <c r="T361" s="25"/>
      <c r="U361" s="25"/>
      <c r="V361" s="25"/>
      <c r="W361" s="25"/>
      <c r="X361" s="25" t="n">
        <f aca="false">X190</f>
        <v>0.38</v>
      </c>
      <c r="Y361" s="25"/>
      <c r="Z361" s="25"/>
      <c r="AA361" s="25"/>
      <c r="AB361" s="25"/>
      <c r="AC361" s="25" t="n">
        <f aca="false">AC190</f>
        <v>0.38</v>
      </c>
      <c r="AD361" s="25"/>
      <c r="AE361" s="25"/>
      <c r="AF361" s="25"/>
      <c r="AG361" s="25"/>
      <c r="AH361" s="25" t="n">
        <f aca="false">AH190</f>
        <v>0.38</v>
      </c>
      <c r="AI361" s="25"/>
      <c r="AJ361" s="25"/>
      <c r="AK361" s="25"/>
      <c r="AL361" s="25"/>
      <c r="AM361" s="25" t="n">
        <f aca="false">AM190</f>
        <v>0.25</v>
      </c>
      <c r="AN361" s="25"/>
      <c r="AO361" s="25"/>
      <c r="AP361" s="25"/>
      <c r="AQ361" s="25"/>
      <c r="AR361" s="25" t="n">
        <f aca="false">AR190</f>
        <v>0.25</v>
      </c>
      <c r="AS361" s="25"/>
      <c r="AT361" s="25"/>
      <c r="AU361" s="25"/>
      <c r="AV361" s="25"/>
      <c r="AW361" s="25" t="n">
        <f aca="false">AW190</f>
        <v>0.25</v>
      </c>
      <c r="AX361" s="25"/>
      <c r="AY361" s="25"/>
      <c r="AZ361" s="25"/>
      <c r="BA361" s="25"/>
      <c r="BB361" s="25" t="n">
        <f aca="false">BB190</f>
        <v>0.25</v>
      </c>
      <c r="BC361" s="25"/>
      <c r="BD361" s="25"/>
      <c r="BE361" s="25"/>
      <c r="BF361" s="25"/>
      <c r="BG361" s="25" t="n">
        <f aca="false">BG190</f>
        <v>0.26</v>
      </c>
      <c r="BH361" s="25"/>
      <c r="BI361" s="25"/>
      <c r="BJ361" s="25"/>
      <c r="BK361" s="25"/>
      <c r="BL361" s="25" t="n">
        <f aca="false">BL190</f>
        <v>0.26</v>
      </c>
      <c r="BM361" s="25"/>
      <c r="BN361" s="25"/>
      <c r="BO361" s="25"/>
      <c r="BP361" s="25"/>
      <c r="BQ361" s="25" t="n">
        <f aca="false">BQ190</f>
        <v>0.26</v>
      </c>
      <c r="BR361" s="25"/>
      <c r="BS361" s="25"/>
      <c r="BT361" s="25"/>
      <c r="BU361" s="25"/>
      <c r="BV361" s="25" t="n">
        <f aca="false">BV190</f>
        <v>0.26</v>
      </c>
      <c r="BW361" s="25"/>
      <c r="BX361" s="25"/>
      <c r="BY361" s="27"/>
      <c r="BZ361" s="27"/>
      <c r="CA361" s="27" t="n">
        <f aca="false">CA190</f>
        <v>0.263132323929692</v>
      </c>
      <c r="CB361" s="27" t="n">
        <f aca="false">CB190</f>
        <v>0.26</v>
      </c>
      <c r="CC361" s="27" t="n">
        <f aca="false">CC190</f>
        <v>0.26</v>
      </c>
      <c r="CD361" s="27" t="n">
        <f aca="false">CD190</f>
        <v>0.26</v>
      </c>
      <c r="CE361" s="27" t="n">
        <f aca="false">CE190</f>
        <v>0.26</v>
      </c>
      <c r="CF361" s="28" t="s">
        <v>598</v>
      </c>
    </row>
    <row r="362" customFormat="false" ht="15" hidden="false" customHeight="true" outlineLevel="0" collapsed="false">
      <c r="B362" s="29" t="s">
        <v>599</v>
      </c>
      <c r="C362" s="34" t="n">
        <f aca="false">IFERROR(C360*(1-C361),"n/a")</f>
        <v>8.44860000000001</v>
      </c>
      <c r="D362" s="34" t="n">
        <f aca="false">IFERROR(D360*(1-D361),"n/a")</f>
        <v>10.7112</v>
      </c>
      <c r="E362" s="34" t="n">
        <f aca="false">IFERROR(E360*(1-E361),"n/a")</f>
        <v>23.8728</v>
      </c>
      <c r="F362" s="34" t="n">
        <f aca="false">IFERROR(F360*(1-F361),"n/a")</f>
        <v>23.7936</v>
      </c>
      <c r="G362" s="34" t="n">
        <f aca="false">IFERROR(G360*(1-G361),"n/a")</f>
        <v>22.6008</v>
      </c>
      <c r="H362" s="34" t="n">
        <f aca="false">IFERROR(H360*(1-H361),"n/a")</f>
        <v>26.457</v>
      </c>
      <c r="I362" s="34" t="n">
        <f aca="false">IFERROR(I360*(1-I361),"n/a")</f>
        <v>33.26052</v>
      </c>
      <c r="J362" s="34"/>
      <c r="K362" s="34"/>
      <c r="L362" s="34"/>
      <c r="M362" s="34"/>
      <c r="N362" s="34" t="n">
        <f aca="false">IFERROR(N360*(1-N361),"n/a")</f>
        <v>59.95586</v>
      </c>
      <c r="O362" s="34"/>
      <c r="P362" s="34"/>
      <c r="Q362" s="34"/>
      <c r="R362" s="34"/>
      <c r="S362" s="34" t="n">
        <f aca="false">IFERROR(S360*(1-S361),"n/a")</f>
        <v>73.21952</v>
      </c>
      <c r="T362" s="34"/>
      <c r="U362" s="34"/>
      <c r="V362" s="34"/>
      <c r="W362" s="34"/>
      <c r="X362" s="34" t="n">
        <f aca="false">IFERROR(X360*(1-X361),"n/a")</f>
        <v>35.40696</v>
      </c>
      <c r="Y362" s="34"/>
      <c r="Z362" s="34"/>
      <c r="AA362" s="34"/>
      <c r="AB362" s="34"/>
      <c r="AC362" s="34" t="n">
        <f aca="false">IFERROR(AC360*(1-AC361),"n/a")</f>
        <v>114.92134</v>
      </c>
      <c r="AD362" s="34"/>
      <c r="AE362" s="34"/>
      <c r="AF362" s="34"/>
      <c r="AG362" s="34"/>
      <c r="AH362" s="34" t="n">
        <f aca="false">IFERROR(AH360*(1-AH361),"n/a")</f>
        <v>134.01114</v>
      </c>
      <c r="AI362" s="34"/>
      <c r="AJ362" s="34"/>
      <c r="AK362" s="34"/>
      <c r="AL362" s="34"/>
      <c r="AM362" s="34" t="n">
        <f aca="false">IFERROR(AM360*(1-AM361),"n/a")</f>
        <v>255.20925</v>
      </c>
      <c r="AN362" s="34"/>
      <c r="AO362" s="34"/>
      <c r="AP362" s="34"/>
      <c r="AQ362" s="34"/>
      <c r="AR362" s="34" t="n">
        <f aca="false">IFERROR(AR360*(1-AR361),"n/a")</f>
        <v>319.15125</v>
      </c>
      <c r="AS362" s="34"/>
      <c r="AT362" s="34"/>
      <c r="AU362" s="34"/>
      <c r="AV362" s="34"/>
      <c r="AW362" s="34" t="n">
        <f aca="false">IFERROR(AW360*(1-AW361),"n/a")</f>
        <v>327.1815</v>
      </c>
      <c r="AX362" s="34"/>
      <c r="AY362" s="34"/>
      <c r="AZ362" s="34"/>
      <c r="BA362" s="34"/>
      <c r="BB362" s="34" t="n">
        <f aca="false">IFERROR(BB360*(1-BB361),"n/a")</f>
        <v>386.073</v>
      </c>
      <c r="BC362" s="34"/>
      <c r="BD362" s="34"/>
      <c r="BE362" s="34"/>
      <c r="BF362" s="34"/>
      <c r="BG362" s="34" t="n">
        <f aca="false">IFERROR(BG360*(1-BG361),"n/a")</f>
        <v>399.4557</v>
      </c>
      <c r="BH362" s="34"/>
      <c r="BI362" s="34"/>
      <c r="BJ362" s="34"/>
      <c r="BK362" s="34"/>
      <c r="BL362" s="34" t="n">
        <f aca="false">IFERROR(BL360*(1-BL361),"n/a")</f>
        <v>284.308</v>
      </c>
      <c r="BM362" s="34"/>
      <c r="BN362" s="34"/>
      <c r="BO362" s="34"/>
      <c r="BP362" s="34"/>
      <c r="BQ362" s="34" t="n">
        <f aca="false">IFERROR(BQ360*(1-BQ361),"n/a")</f>
        <v>90.6499999999999</v>
      </c>
      <c r="BR362" s="34"/>
      <c r="BS362" s="34"/>
      <c r="BT362" s="34"/>
      <c r="BU362" s="34"/>
      <c r="BV362" s="34" t="n">
        <f aca="false">IFERROR(BV360*(1-BV361),"n/a")</f>
        <v>148</v>
      </c>
      <c r="BW362" s="34"/>
      <c r="BX362" s="34"/>
      <c r="BY362" s="36"/>
      <c r="BZ362" s="36"/>
      <c r="CA362" s="36" t="n">
        <f aca="false">IFERROR(CA360*(1-CA361),"n/a")</f>
        <v>349.561845287142</v>
      </c>
      <c r="CB362" s="36" t="n">
        <f aca="false">IFERROR(CB360*(1-CB361),"n/a")</f>
        <v>486.790949240912</v>
      </c>
      <c r="CC362" s="36" t="n">
        <f aca="false">IFERROR(CC360*(1-CC361),"n/a")</f>
        <v>670.555265974467</v>
      </c>
      <c r="CD362" s="36" t="n">
        <f aca="false">IFERROR(CD360*(1-CD361),"n/a")</f>
        <v>866.871506500891</v>
      </c>
      <c r="CE362" s="36" t="n">
        <f aca="false">IFERROR(CE360*(1-CE361),"n/a")</f>
        <v>1095.31299518742</v>
      </c>
      <c r="CF362" s="28"/>
    </row>
    <row r="363" customFormat="false" ht="15" hidden="false" customHeight="true" outlineLevel="0" collapsed="false">
      <c r="B363" s="29" t="s">
        <v>600</v>
      </c>
      <c r="C363" s="34" t="n">
        <f aca="false">IFERROR(C364+C365,"n/a")</f>
        <v>91.962</v>
      </c>
      <c r="D363" s="34" t="n">
        <f aca="false">IFERROR(D364+D365,"n/a")</f>
        <v>94.379</v>
      </c>
      <c r="E363" s="34" t="n">
        <f aca="false">IFERROR(E364+E365,"n/a")</f>
        <v>108.171</v>
      </c>
      <c r="F363" s="34" t="n">
        <f aca="false">IFERROR(F364+F365,"n/a")</f>
        <v>133.032</v>
      </c>
      <c r="G363" s="34" t="n">
        <f aca="false">IFERROR(G364+G365,"n/a")</f>
        <v>171.375</v>
      </c>
      <c r="H363" s="34" t="n">
        <f aca="false">IFERROR(H364+H365,"n/a")</f>
        <v>110.382</v>
      </c>
      <c r="I363" s="34" t="n">
        <f aca="false">IFERROR(I364+I365,"n/a")</f>
        <v>840.904</v>
      </c>
      <c r="J363" s="34"/>
      <c r="K363" s="34"/>
      <c r="L363" s="34"/>
      <c r="M363" s="34"/>
      <c r="N363" s="34" t="n">
        <f aca="false">IFERROR(N364+N365,"n/a")</f>
        <v>825.034</v>
      </c>
      <c r="O363" s="34"/>
      <c r="P363" s="34"/>
      <c r="Q363" s="34"/>
      <c r="R363" s="34"/>
      <c r="S363" s="34" t="n">
        <f aca="false">IFERROR(S364+S365,"n/a")</f>
        <v>1371.534</v>
      </c>
      <c r="T363" s="34"/>
      <c r="U363" s="34"/>
      <c r="V363" s="34"/>
      <c r="W363" s="34"/>
      <c r="X363" s="34" t="n">
        <f aca="false">IFERROR(X364+X365,"n/a")</f>
        <v>1477.074</v>
      </c>
      <c r="Y363" s="34"/>
      <c r="Z363" s="34"/>
      <c r="AA363" s="34"/>
      <c r="AB363" s="34"/>
      <c r="AC363" s="34" t="n">
        <f aca="false">IFERROR(AC364+AC365,"n/a")</f>
        <v>1425.329</v>
      </c>
      <c r="AD363" s="34"/>
      <c r="AE363" s="34"/>
      <c r="AF363" s="34"/>
      <c r="AG363" s="34"/>
      <c r="AH363" s="34" t="n">
        <f aca="false">IFERROR(AH364+AH365,"n/a")</f>
        <v>1439.787</v>
      </c>
      <c r="AI363" s="34"/>
      <c r="AJ363" s="34"/>
      <c r="AK363" s="34"/>
      <c r="AL363" s="34"/>
      <c r="AM363" s="34" t="n">
        <f aca="false">IFERROR(AM364+AM365,"n/a")</f>
        <v>1921.526</v>
      </c>
      <c r="AN363" s="34"/>
      <c r="AO363" s="34"/>
      <c r="AP363" s="34"/>
      <c r="AQ363" s="34"/>
      <c r="AR363" s="34" t="n">
        <f aca="false">IFERROR(AR364+AR365,"n/a")</f>
        <v>2334.862</v>
      </c>
      <c r="AS363" s="34"/>
      <c r="AT363" s="34"/>
      <c r="AU363" s="34"/>
      <c r="AV363" s="34"/>
      <c r="AW363" s="34" t="n">
        <f aca="false">IFERROR(AW364+AW365,"n/a")</f>
        <v>2606.162</v>
      </c>
      <c r="AX363" s="34"/>
      <c r="AY363" s="34"/>
      <c r="AZ363" s="34"/>
      <c r="BA363" s="34"/>
      <c r="BB363" s="34" t="n">
        <f aca="false">IFERROR(BB364+BB365,"n/a")</f>
        <v>2872.49</v>
      </c>
      <c r="BC363" s="34"/>
      <c r="BD363" s="34"/>
      <c r="BE363" s="34"/>
      <c r="BF363" s="34"/>
      <c r="BG363" s="34" t="n">
        <f aca="false">IFERROR(BG364+BG365,"n/a")</f>
        <v>2891.361</v>
      </c>
      <c r="BH363" s="34"/>
      <c r="BI363" s="34"/>
      <c r="BJ363" s="34"/>
      <c r="BK363" s="34"/>
      <c r="BL363" s="34" t="n">
        <f aca="false">IFERROR(BL364+BL365,"n/a")</f>
        <v>3113.2</v>
      </c>
      <c r="BM363" s="34"/>
      <c r="BN363" s="34"/>
      <c r="BO363" s="34"/>
      <c r="BP363" s="34"/>
      <c r="BQ363" s="34" t="n">
        <f aca="false">IFERROR(BQ364+BQ365,"n/a")</f>
        <v>3864.4</v>
      </c>
      <c r="BR363" s="34"/>
      <c r="BS363" s="34"/>
      <c r="BT363" s="34"/>
      <c r="BU363" s="34"/>
      <c r="BV363" s="34" t="n">
        <f aca="false">IFERROR(BV364+BV365,"n/a")</f>
        <v>7631</v>
      </c>
      <c r="BW363" s="34"/>
      <c r="BX363" s="34"/>
      <c r="BY363" s="36"/>
      <c r="BZ363" s="36"/>
      <c r="CA363" s="36" t="n">
        <f aca="false">IFERROR(CA364+CA365,"n/a")</f>
        <v>8410.69490057892</v>
      </c>
      <c r="CB363" s="36" t="n">
        <f aca="false">IFERROR(CB364+CB365,"n/a")</f>
        <v>8220.79641768929</v>
      </c>
      <c r="CC363" s="36" t="n">
        <f aca="false">IFERROR(CC364+CC365,"n/a")</f>
        <v>8016.22767307714</v>
      </c>
      <c r="CD363" s="36" t="n">
        <f aca="false">IFERROR(CD364+CD365,"n/a")</f>
        <v>7804.86632894097</v>
      </c>
      <c r="CE363" s="36" t="n">
        <f aca="false">IFERROR(CE364+CE365,"n/a")</f>
        <v>7624.65283817801</v>
      </c>
      <c r="CF363" s="28"/>
    </row>
    <row r="364" customFormat="false" ht="15" hidden="false" customHeight="true" outlineLevel="0" collapsed="false">
      <c r="B364" s="29" t="s">
        <v>601</v>
      </c>
      <c r="C364" s="34" t="n">
        <f aca="false">C297</f>
        <v>250.11</v>
      </c>
      <c r="D364" s="34" t="n">
        <f aca="false">D297</f>
        <v>281.805</v>
      </c>
      <c r="E364" s="34" t="n">
        <f aca="false">E297</f>
        <v>303.421</v>
      </c>
      <c r="F364" s="34" t="n">
        <f aca="false">F297</f>
        <v>359.006</v>
      </c>
      <c r="G364" s="34" t="n">
        <f aca="false">G297</f>
        <v>381.502</v>
      </c>
      <c r="H364" s="34" t="n">
        <f aca="false">H297</f>
        <v>659.177</v>
      </c>
      <c r="I364" s="34" t="n">
        <f aca="false">I297</f>
        <v>826.343</v>
      </c>
      <c r="J364" s="34"/>
      <c r="K364" s="34"/>
      <c r="L364" s="34"/>
      <c r="M364" s="34"/>
      <c r="N364" s="34" t="n">
        <f aca="false">N297</f>
        <v>927.862</v>
      </c>
      <c r="O364" s="34"/>
      <c r="P364" s="34"/>
      <c r="Q364" s="34"/>
      <c r="R364" s="34"/>
      <c r="S364" s="34" t="n">
        <f aca="false">S297</f>
        <v>1513.546</v>
      </c>
      <c r="T364" s="34"/>
      <c r="U364" s="34"/>
      <c r="V364" s="34"/>
      <c r="W364" s="34"/>
      <c r="X364" s="34" t="n">
        <f aca="false">X297</f>
        <v>1543.78</v>
      </c>
      <c r="Y364" s="34"/>
      <c r="Z364" s="34"/>
      <c r="AA364" s="34"/>
      <c r="AB364" s="34"/>
      <c r="AC364" s="34" t="n">
        <f aca="false">AC297</f>
        <v>1654.213</v>
      </c>
      <c r="AD364" s="34"/>
      <c r="AE364" s="34"/>
      <c r="AF364" s="34"/>
      <c r="AG364" s="34"/>
      <c r="AH364" s="34" t="n">
        <f aca="false">AH297</f>
        <v>2651.25</v>
      </c>
      <c r="AI364" s="34"/>
      <c r="AJ364" s="34"/>
      <c r="AK364" s="34"/>
      <c r="AL364" s="34"/>
      <c r="AM364" s="34" t="n">
        <f aca="false">AM297</f>
        <v>3021.942</v>
      </c>
      <c r="AN364" s="34"/>
      <c r="AO364" s="34"/>
      <c r="AP364" s="34"/>
      <c r="AQ364" s="34"/>
      <c r="AR364" s="34" t="n">
        <f aca="false">AR297</f>
        <v>3405.593</v>
      </c>
      <c r="AS364" s="34"/>
      <c r="AT364" s="34"/>
      <c r="AU364" s="34"/>
      <c r="AV364" s="34"/>
      <c r="AW364" s="34" t="n">
        <f aca="false">AW297</f>
        <v>5375.359</v>
      </c>
      <c r="AX364" s="34"/>
      <c r="AY364" s="34"/>
      <c r="AZ364" s="34"/>
      <c r="BA364" s="34"/>
      <c r="BB364" s="34" t="n">
        <f aca="false">BB297</f>
        <v>5711.672</v>
      </c>
      <c r="BC364" s="34"/>
      <c r="BD364" s="34"/>
      <c r="BE364" s="34"/>
      <c r="BF364" s="34"/>
      <c r="BG364" s="34" t="n">
        <f aca="false">BG297</f>
        <v>6870.121</v>
      </c>
      <c r="BH364" s="34"/>
      <c r="BI364" s="34"/>
      <c r="BJ364" s="34"/>
      <c r="BK364" s="34"/>
      <c r="BL364" s="34" t="n">
        <f aca="false">BL297</f>
        <v>7338.6</v>
      </c>
      <c r="BM364" s="34"/>
      <c r="BN364" s="34"/>
      <c r="BO364" s="34"/>
      <c r="BP364" s="34"/>
      <c r="BQ364" s="34" t="n">
        <f aca="false">BQ297</f>
        <v>7553.5</v>
      </c>
      <c r="BR364" s="34"/>
      <c r="BS364" s="34"/>
      <c r="BT364" s="34"/>
      <c r="BU364" s="34"/>
      <c r="BV364" s="34" t="n">
        <f aca="false">BV297</f>
        <v>8371</v>
      </c>
      <c r="BW364" s="34"/>
      <c r="BX364" s="34"/>
      <c r="BY364" s="36"/>
      <c r="BZ364" s="36"/>
      <c r="CA364" s="36" t="n">
        <f aca="false">CA297</f>
        <v>8073.53205825079</v>
      </c>
      <c r="CB364" s="36" t="n">
        <f aca="false">CB297</f>
        <v>7718.80971520945</v>
      </c>
      <c r="CC364" s="36" t="n">
        <f aca="false">CC297</f>
        <v>7398.39012028106</v>
      </c>
      <c r="CD364" s="36" t="n">
        <f aca="false">CD297</f>
        <v>7056.60662121468</v>
      </c>
      <c r="CE364" s="36" t="n">
        <f aca="false">CE297</f>
        <v>6733.24005054728</v>
      </c>
      <c r="CF364" s="28"/>
    </row>
    <row r="365" customFormat="false" ht="15" hidden="false" customHeight="true" outlineLevel="0" collapsed="false">
      <c r="B365" s="29" t="s">
        <v>602</v>
      </c>
      <c r="C365" s="34" t="n">
        <f aca="false">IF(ISNUMBER(C269),N(C336)-C269-N(C270)-N(C271),"n/a")</f>
        <v>-158.148</v>
      </c>
      <c r="D365" s="34" t="n">
        <f aca="false">IF(ISNUMBER(D269),N(D336)-D269-N(D270)-N(D271),"n/a")</f>
        <v>-187.426</v>
      </c>
      <c r="E365" s="34" t="n">
        <f aca="false">IF(ISNUMBER(E269),N(E336)-E269-N(E270)-N(E271),"n/a")</f>
        <v>-195.25</v>
      </c>
      <c r="F365" s="34" t="n">
        <f aca="false">IF(ISNUMBER(F269),N(F336)-F269-N(F270)-N(F271),"n/a")</f>
        <v>-225.974</v>
      </c>
      <c r="G365" s="34" t="n">
        <f aca="false">IF(ISNUMBER(G269),N(G336)-G269-N(G270)-N(G271),"n/a")</f>
        <v>-210.127</v>
      </c>
      <c r="H365" s="34" t="n">
        <f aca="false">IF(ISNUMBER(H269),N(H336)-H269-N(H270)-N(H271),"n/a")</f>
        <v>-548.795</v>
      </c>
      <c r="I365" s="34" t="n">
        <f aca="false">IF(ISNUMBER(I269),N(I336)-I269-N(I270)-N(I271),"n/a")</f>
        <v>14.561</v>
      </c>
      <c r="J365" s="34"/>
      <c r="K365" s="34"/>
      <c r="L365" s="34"/>
      <c r="M365" s="34"/>
      <c r="N365" s="34" t="n">
        <f aca="false">IF(ISNUMBER(N269),N(N336)-N269-N(N270)-N(N271),"n/a")</f>
        <v>-102.828</v>
      </c>
      <c r="O365" s="34"/>
      <c r="P365" s="34"/>
      <c r="Q365" s="34"/>
      <c r="R365" s="34"/>
      <c r="S365" s="34" t="n">
        <f aca="false">IF(ISNUMBER(S269),N(S336)-S269-N(S270)-N(S271),"n/a")</f>
        <v>-142.012</v>
      </c>
      <c r="T365" s="34"/>
      <c r="U365" s="34"/>
      <c r="V365" s="34"/>
      <c r="W365" s="34"/>
      <c r="X365" s="34" t="n">
        <f aca="false">IF(ISNUMBER(X269),N(X336)-X269-N(X270)-N(X271),"n/a")</f>
        <v>-66.706</v>
      </c>
      <c r="Y365" s="34"/>
      <c r="Z365" s="34"/>
      <c r="AA365" s="34"/>
      <c r="AB365" s="34"/>
      <c r="AC365" s="34" t="n">
        <f aca="false">IF(ISNUMBER(AC269),N(AC336)-AC269-N(AC270)-N(AC271),"n/a")</f>
        <v>-228.884</v>
      </c>
      <c r="AD365" s="34"/>
      <c r="AE365" s="34"/>
      <c r="AF365" s="34"/>
      <c r="AG365" s="34"/>
      <c r="AH365" s="34" t="n">
        <f aca="false">IF(ISNUMBER(AH269),N(AH336)-AH269-N(AH270)-N(AH271),"n/a")</f>
        <v>-1211.463</v>
      </c>
      <c r="AI365" s="34"/>
      <c r="AJ365" s="34"/>
      <c r="AK365" s="34"/>
      <c r="AL365" s="34"/>
      <c r="AM365" s="34" t="n">
        <f aca="false">IF(ISNUMBER(AM269),N(AM336)-AM269-N(AM270)-N(AM271),"n/a")</f>
        <v>-1100.416</v>
      </c>
      <c r="AN365" s="34"/>
      <c r="AO365" s="34"/>
      <c r="AP365" s="34"/>
      <c r="AQ365" s="34"/>
      <c r="AR365" s="34" t="n">
        <f aca="false">IF(ISNUMBER(AR269),N(AR336)-AR269-N(AR270)-N(AR271),"n/a")</f>
        <v>-1070.731</v>
      </c>
      <c r="AS365" s="34"/>
      <c r="AT365" s="34"/>
      <c r="AU365" s="34"/>
      <c r="AV365" s="34"/>
      <c r="AW365" s="34" t="n">
        <f aca="false">IF(ISNUMBER(AW269),N(AW336)-AW269-N(AW270)-N(AW271),"n/a")</f>
        <v>-2769.197</v>
      </c>
      <c r="AX365" s="34"/>
      <c r="AY365" s="34"/>
      <c r="AZ365" s="34"/>
      <c r="BA365" s="34"/>
      <c r="BB365" s="34" t="n">
        <f aca="false">IF(ISNUMBER(BB269),N(BB336)-BB269-N(BB270)-N(BB271),"n/a")</f>
        <v>-2839.182</v>
      </c>
      <c r="BC365" s="34"/>
      <c r="BD365" s="34"/>
      <c r="BE365" s="34"/>
      <c r="BF365" s="34"/>
      <c r="BG365" s="34" t="n">
        <f aca="false">IF(ISNUMBER(BG269),N(BG336)-BG269-N(BG270)-N(BG271),"n/a")</f>
        <v>-3978.76</v>
      </c>
      <c r="BH365" s="34"/>
      <c r="BI365" s="34"/>
      <c r="BJ365" s="34"/>
      <c r="BK365" s="34"/>
      <c r="BL365" s="34" t="n">
        <f aca="false">IF(ISNUMBER(BL269),N(BL336)-BL269-N(BL270)-N(BL271),"n/a")</f>
        <v>-4225.4</v>
      </c>
      <c r="BM365" s="34"/>
      <c r="BN365" s="34"/>
      <c r="BO365" s="34"/>
      <c r="BP365" s="34"/>
      <c r="BQ365" s="34" t="n">
        <f aca="false">IF(ISNUMBER(BQ269),N(BQ336)-BQ269-N(BQ270)-N(BQ271),"n/a")</f>
        <v>-3689.1</v>
      </c>
      <c r="BR365" s="34"/>
      <c r="BS365" s="34"/>
      <c r="BT365" s="34"/>
      <c r="BU365" s="34"/>
      <c r="BV365" s="34" t="n">
        <f aca="false">IF(ISNUMBER(BV269),N(BV336)-BV269-N(BV270)-N(BV271),"n/a")</f>
        <v>-740</v>
      </c>
      <c r="BW365" s="34"/>
      <c r="BX365" s="34"/>
      <c r="BY365" s="36"/>
      <c r="BZ365" s="36"/>
      <c r="CA365" s="36" t="n">
        <f aca="false">N(CA336)-CA269-N(CA270)-N(CA271)</f>
        <v>337.162842328131</v>
      </c>
      <c r="CB365" s="36" t="n">
        <f aca="false">N(CB336)-CB269-N(CB270)-N(CB271)</f>
        <v>501.986702479836</v>
      </c>
      <c r="CC365" s="36" t="n">
        <f aca="false">N(CC336)-CC269-N(CC270)-N(CC271)</f>
        <v>617.837552796073</v>
      </c>
      <c r="CD365" s="36" t="n">
        <f aca="false">N(CD336)-CD269-N(CD270)-N(CD271)</f>
        <v>748.259707726295</v>
      </c>
      <c r="CE365" s="36" t="n">
        <f aca="false">N(CE336)-CE269-N(CE270)-N(CE271)</f>
        <v>891.412787630721</v>
      </c>
      <c r="CF365" s="28"/>
    </row>
    <row r="366" customFormat="false" ht="15" hidden="false" customHeight="true" outlineLevel="0" collapsed="false">
      <c r="B366" s="50" t="s">
        <v>603</v>
      </c>
      <c r="C366" s="71" t="n">
        <f aca="false">IFERROR(C362/C363,"n/a")</f>
        <v>0.0918705552293339</v>
      </c>
      <c r="D366" s="71" t="n">
        <f aca="false">IFERROR(D362/D363,"n/a")</f>
        <v>0.113491348711048</v>
      </c>
      <c r="E366" s="71" t="n">
        <f aca="false">IFERROR(E362/E363,"n/a")</f>
        <v>0.220695010677538</v>
      </c>
      <c r="F366" s="71" t="n">
        <f aca="false">IFERROR(F362/F363,"n/a")</f>
        <v>0.178856215046004</v>
      </c>
      <c r="G366" s="71" t="n">
        <f aca="false">IFERROR(G362/G363,"n/a")</f>
        <v>0.131879212253829</v>
      </c>
      <c r="H366" s="71" t="n">
        <f aca="false">IFERROR(H362/H363,"n/a")</f>
        <v>0.239685818339947</v>
      </c>
      <c r="I366" s="71" t="n">
        <f aca="false">IFERROR(I362/I363,"n/a")</f>
        <v>0.0395532902685681</v>
      </c>
      <c r="J366" s="71"/>
      <c r="K366" s="71"/>
      <c r="L366" s="71"/>
      <c r="M366" s="71"/>
      <c r="N366" s="71" t="n">
        <f aca="false">IFERROR(N362/N363,"n/a")</f>
        <v>0.0726707747801909</v>
      </c>
      <c r="O366" s="71"/>
      <c r="P366" s="71"/>
      <c r="Q366" s="71"/>
      <c r="R366" s="71"/>
      <c r="S366" s="71" t="n">
        <f aca="false">IFERROR(S362/S363,"n/a")</f>
        <v>0.0533851293515144</v>
      </c>
      <c r="T366" s="71"/>
      <c r="U366" s="71"/>
      <c r="V366" s="71"/>
      <c r="W366" s="71"/>
      <c r="X366" s="71" t="n">
        <f aca="false">IFERROR(X362/X363,"n/a")</f>
        <v>0.0239710129621129</v>
      </c>
      <c r="Y366" s="71"/>
      <c r="Z366" s="71"/>
      <c r="AA366" s="71"/>
      <c r="AB366" s="71"/>
      <c r="AC366" s="71" t="n">
        <f aca="false">IFERROR(AC362/AC363,"n/a")</f>
        <v>0.0806279392336787</v>
      </c>
      <c r="AD366" s="71"/>
      <c r="AE366" s="71"/>
      <c r="AF366" s="71"/>
      <c r="AG366" s="71"/>
      <c r="AH366" s="71" t="n">
        <f aca="false">IFERROR(AH362/AH363,"n/a")</f>
        <v>0.0930770593150237</v>
      </c>
      <c r="AI366" s="71"/>
      <c r="AJ366" s="71"/>
      <c r="AK366" s="71"/>
      <c r="AL366" s="71"/>
      <c r="AM366" s="71" t="n">
        <f aca="false">IFERROR(AM362/AM363,"n/a")</f>
        <v>0.132815923385892</v>
      </c>
      <c r="AN366" s="71"/>
      <c r="AO366" s="71"/>
      <c r="AP366" s="71"/>
      <c r="AQ366" s="71"/>
      <c r="AR366" s="71" t="n">
        <f aca="false">IFERROR(AR362/AR363,"n/a")</f>
        <v>0.136689555956626</v>
      </c>
      <c r="AS366" s="71"/>
      <c r="AT366" s="71"/>
      <c r="AU366" s="71"/>
      <c r="AV366" s="71"/>
      <c r="AW366" s="71" t="n">
        <f aca="false">IFERROR(AW362/AW363,"n/a")</f>
        <v>0.125541505094465</v>
      </c>
      <c r="AX366" s="71"/>
      <c r="AY366" s="71"/>
      <c r="AZ366" s="71"/>
      <c r="BA366" s="71"/>
      <c r="BB366" s="71" t="n">
        <f aca="false">IFERROR(BB362/BB363,"n/a")</f>
        <v>0.134403601056923</v>
      </c>
      <c r="BC366" s="71"/>
      <c r="BD366" s="71"/>
      <c r="BE366" s="71"/>
      <c r="BF366" s="71"/>
      <c r="BG366" s="71" t="n">
        <f aca="false">IFERROR(BG362/BG363,"n/a")</f>
        <v>0.138154903521214</v>
      </c>
      <c r="BH366" s="71"/>
      <c r="BI366" s="71"/>
      <c r="BJ366" s="71"/>
      <c r="BK366" s="71"/>
      <c r="BL366" s="71" t="n">
        <f aca="false">IFERROR(BL362/BL363,"n/a")</f>
        <v>0.0913233971476294</v>
      </c>
      <c r="BM366" s="71"/>
      <c r="BN366" s="71"/>
      <c r="BO366" s="71"/>
      <c r="BP366" s="71"/>
      <c r="BQ366" s="71" t="n">
        <f aca="false">IFERROR(BQ362/BQ363,"n/a")</f>
        <v>0.0234577165924852</v>
      </c>
      <c r="BR366" s="71"/>
      <c r="BS366" s="71"/>
      <c r="BT366" s="71"/>
      <c r="BU366" s="71"/>
      <c r="BV366" s="71" t="n">
        <f aca="false">IFERROR(BV362/BV363,"n/a")</f>
        <v>0.0193945747608439</v>
      </c>
      <c r="BW366" s="71"/>
      <c r="BX366" s="71"/>
      <c r="BY366" s="71"/>
      <c r="BZ366" s="71"/>
      <c r="CA366" s="71" t="n">
        <f aca="false">IFERROR(CA362/CA363,"n/a")</f>
        <v>0.0415615890742965</v>
      </c>
      <c r="CB366" s="71" t="n">
        <f aca="false">IFERROR(CB362/CB363,"n/a")</f>
        <v>0.0592145729571223</v>
      </c>
      <c r="CC366" s="71" t="n">
        <f aca="false">IFERROR(CC362/CC363,"n/a")</f>
        <v>0.0836497281915479</v>
      </c>
      <c r="CD366" s="71" t="n">
        <f aca="false">IFERROR(CD362/CD363,"n/a")</f>
        <v>0.111068078550746</v>
      </c>
      <c r="CE366" s="71" t="n">
        <f aca="false">IFERROR(CE362/CE363,"n/a")</f>
        <v>0.143654146416082</v>
      </c>
      <c r="CF366" s="21"/>
      <c r="CH366" s="32" t="n">
        <f aca="false">IFERROR(AVERAGE(CA366,CB366,CC366,CD366,CE366),"n/m")</f>
        <v>0.087829623037959</v>
      </c>
      <c r="CI366" s="32" t="n">
        <f aca="false">IFERROR(AVERAGE(BB366,BG366,BL366,BQ366,BV366),"n/m")</f>
        <v>0.081346838615819</v>
      </c>
      <c r="CJ366" s="32" t="n">
        <f aca="false">IFERROR(AVERAGE(AC366,AH366,AM366,AR366,AW366,BB366,BG366,BL366,BQ366,BV366),"n/m")</f>
        <v>0.097548617606478</v>
      </c>
      <c r="CK366" s="32" t="n">
        <f aca="false">IFERROR(AVERAGE(C366,D366,E366,F366,G366,H366,I366,N366,S366,X366,AC366,AH366,AM366,AR366,AW366,BB366,BG366,BL366,BQ366,BV366),"n/m")</f>
        <v>0.107077227184243</v>
      </c>
    </row>
    <row r="367" customFormat="false" ht="15" hidden="false" customHeight="true" outlineLevel="0" collapsed="false">
      <c r="B367" s="29" t="s">
        <v>604</v>
      </c>
      <c r="C367" s="25" t="n">
        <f aca="false">IFERROR(C360/C121,"n/a")</f>
        <v>0.0886216163485201</v>
      </c>
      <c r="D367" s="25" t="n">
        <f aca="false">IFERROR(D360/D121,"n/a")</f>
        <v>0.0925909597780141</v>
      </c>
      <c r="E367" s="25" t="n">
        <f aca="false">IFERROR(E360/E121,"n/a")</f>
        <v>0.187301109081665</v>
      </c>
      <c r="F367" s="25" t="n">
        <f aca="false">IFERROR(F360/F121,"n/a")</f>
        <v>0.189145231065683</v>
      </c>
      <c r="G367" s="25" t="n">
        <f aca="false">IFERROR(G360/G121,"n/a")</f>
        <v>0.166481039512066</v>
      </c>
      <c r="H367" s="25" t="n">
        <f aca="false">IFERROR(H360/H121,"n/a")</f>
        <v>0.17516227188585</v>
      </c>
      <c r="I367" s="25" t="n">
        <f aca="false">IFERROR(I360/I121,"n/a")</f>
        <v>0.153302318138174</v>
      </c>
      <c r="J367" s="25"/>
      <c r="K367" s="25"/>
      <c r="L367" s="25"/>
      <c r="M367" s="25"/>
      <c r="N367" s="25" t="n">
        <f aca="false">IFERROR(N360/N121,"n/a")</f>
        <v>0.219309525267438</v>
      </c>
      <c r="O367" s="25"/>
      <c r="P367" s="25"/>
      <c r="Q367" s="25"/>
      <c r="R367" s="25"/>
      <c r="S367" s="25" t="n">
        <f aca="false">IFERROR(S360/S121,"n/a")</f>
        <v>0.205050561173464</v>
      </c>
      <c r="T367" s="25"/>
      <c r="U367" s="25"/>
      <c r="V367" s="25"/>
      <c r="W367" s="25"/>
      <c r="X367" s="25" t="n">
        <f aca="false">IFERROR(X360/X121,"n/a")</f>
        <v>0.0802344597366543</v>
      </c>
      <c r="Y367" s="25"/>
      <c r="Z367" s="25"/>
      <c r="AA367" s="25"/>
      <c r="AB367" s="25"/>
      <c r="AC367" s="25" t="n">
        <f aca="false">IFERROR(AC360/AC121,"n/a")</f>
        <v>0.221287441949309</v>
      </c>
      <c r="AD367" s="25"/>
      <c r="AE367" s="25"/>
      <c r="AF367" s="25"/>
      <c r="AG367" s="25"/>
      <c r="AH367" s="25" t="n">
        <f aca="false">IFERROR(AH360/AH121,"n/a")</f>
        <v>0.223933155828145</v>
      </c>
      <c r="AI367" s="25"/>
      <c r="AJ367" s="25"/>
      <c r="AK367" s="25"/>
      <c r="AL367" s="25"/>
      <c r="AM367" s="25" t="n">
        <f aca="false">IFERROR(AM360/AM121,"n/a")</f>
        <v>0.285509199283121</v>
      </c>
      <c r="AN367" s="25"/>
      <c r="AO367" s="25"/>
      <c r="AP367" s="25"/>
      <c r="AQ367" s="25"/>
      <c r="AR367" s="25" t="n">
        <f aca="false">IFERROR(AR360/AR121,"n/a")</f>
        <v>0.304014591500151</v>
      </c>
      <c r="AS367" s="25"/>
      <c r="AT367" s="25"/>
      <c r="AU367" s="25"/>
      <c r="AV367" s="25"/>
      <c r="AW367" s="25" t="n">
        <f aca="false">IFERROR(AW360/AW121,"n/a")</f>
        <v>0.262951780540187</v>
      </c>
      <c r="AX367" s="25"/>
      <c r="AY367" s="25"/>
      <c r="AZ367" s="25"/>
      <c r="BA367" s="25"/>
      <c r="BB367" s="25" t="n">
        <f aca="false">IFERROR(BB360/BB121,"n/a")</f>
        <v>0.264777908941509</v>
      </c>
      <c r="BC367" s="25"/>
      <c r="BD367" s="25"/>
      <c r="BE367" s="25"/>
      <c r="BF367" s="25"/>
      <c r="BG367" s="25" t="n">
        <f aca="false">IFERROR(BG360/BG121,"n/a")</f>
        <v>0.247344779758422</v>
      </c>
      <c r="BH367" s="25"/>
      <c r="BI367" s="25"/>
      <c r="BJ367" s="25"/>
      <c r="BK367" s="25"/>
      <c r="BL367" s="25" t="n">
        <f aca="false">IFERROR(BL360/BL121,"n/a")</f>
        <v>0.156496945010183</v>
      </c>
      <c r="BM367" s="25"/>
      <c r="BN367" s="25"/>
      <c r="BO367" s="25"/>
      <c r="BP367" s="25"/>
      <c r="BQ367" s="25" t="n">
        <f aca="false">IFERROR(BQ360/BQ121,"n/a")</f>
        <v>0.0447701191433374</v>
      </c>
      <c r="BR367" s="25"/>
      <c r="BS367" s="25"/>
      <c r="BT367" s="25"/>
      <c r="BU367" s="25"/>
      <c r="BV367" s="25" t="n">
        <f aca="false">IFERROR(BV360/BV121,"n/a")</f>
        <v>0.0615953187557746</v>
      </c>
      <c r="BW367" s="25"/>
      <c r="BX367" s="25"/>
      <c r="BY367" s="27"/>
      <c r="BZ367" s="27"/>
      <c r="CA367" s="27" t="n">
        <f aca="false">IFERROR(CA360/CA121,"n/a")</f>
        <v>0.124776768477311</v>
      </c>
      <c r="CB367" s="27" t="n">
        <f aca="false">IFERROR(CB360/CB121,"n/a")</f>
        <v>0.152101926462502</v>
      </c>
      <c r="CC367" s="27" t="n">
        <f aca="false">IFERROR(CC360/CC121,"n/a")</f>
        <v>0.190734333769897</v>
      </c>
      <c r="CD367" s="27" t="n">
        <f aca="false">IFERROR(CD360/CD121,"n/a")</f>
        <v>0.225927340123267</v>
      </c>
      <c r="CE367" s="27" t="n">
        <f aca="false">IFERROR(CE360/CE121,"n/a")</f>
        <v>0.263302346992325</v>
      </c>
      <c r="CF367" s="28"/>
    </row>
    <row r="368" customFormat="false" ht="15" hidden="false" customHeight="true" outlineLevel="0" collapsed="false">
      <c r="B368" s="29" t="s">
        <v>605</v>
      </c>
      <c r="C368" s="46" t="n">
        <f aca="false">IFERROR(C121/C363,"n/a")</f>
        <v>1.72776799112677</v>
      </c>
      <c r="D368" s="46" t="n">
        <f aca="false">IFERROR(D121/D363,"n/a")</f>
        <v>2.04288030176204</v>
      </c>
      <c r="E368" s="46" t="n">
        <f aca="false">IFERROR(E121/E363,"n/a")</f>
        <v>1.9638165497222</v>
      </c>
      <c r="F368" s="46" t="n">
        <f aca="false">IFERROR(F121/F363,"n/a")</f>
        <v>1.57600426964941</v>
      </c>
      <c r="G368" s="46" t="n">
        <f aca="false">IFERROR(G121/G363,"n/a")</f>
        <v>1.32026258205689</v>
      </c>
      <c r="H368" s="46" t="n">
        <f aca="false">IFERROR(H121/H363,"n/a")</f>
        <v>2.28060734540052</v>
      </c>
      <c r="I368" s="46" t="n">
        <f aca="false">IFERROR(I121/I363,"n/a")</f>
        <v>0.416142627458069</v>
      </c>
      <c r="J368" s="46"/>
      <c r="K368" s="46"/>
      <c r="L368" s="46"/>
      <c r="M368" s="46"/>
      <c r="N368" s="46" t="n">
        <f aca="false">IFERROR(N121/N363,"n/a")</f>
        <v>0.534454337639419</v>
      </c>
      <c r="O368" s="46"/>
      <c r="P368" s="46"/>
      <c r="Q368" s="46"/>
      <c r="R368" s="46"/>
      <c r="S368" s="46" t="n">
        <f aca="false">IFERROR(S121/S363,"n/a")</f>
        <v>0.419921051902468</v>
      </c>
      <c r="T368" s="46"/>
      <c r="U368" s="46"/>
      <c r="V368" s="46"/>
      <c r="W368" s="46"/>
      <c r="X368" s="46" t="n">
        <f aca="false">IFERROR(X121/X363,"n/a")</f>
        <v>0.481874300136621</v>
      </c>
      <c r="Y368" s="46"/>
      <c r="Z368" s="46"/>
      <c r="AA368" s="46"/>
      <c r="AB368" s="46"/>
      <c r="AC368" s="46" t="n">
        <f aca="false">IFERROR(AC121/AC363,"n/a")</f>
        <v>0.587674845597052</v>
      </c>
      <c r="AD368" s="46"/>
      <c r="AE368" s="46"/>
      <c r="AF368" s="46"/>
      <c r="AG368" s="46"/>
      <c r="AH368" s="46" t="n">
        <f aca="false">IFERROR(AH121/AH363,"n/a")</f>
        <v>0.670397774115199</v>
      </c>
      <c r="AI368" s="46"/>
      <c r="AJ368" s="46"/>
      <c r="AK368" s="46"/>
      <c r="AL368" s="46"/>
      <c r="AM368" s="46" t="n">
        <f aca="false">IFERROR(AM121/AM363,"n/a")</f>
        <v>0.620252861527765</v>
      </c>
      <c r="AN368" s="46"/>
      <c r="AO368" s="46"/>
      <c r="AP368" s="46"/>
      <c r="AQ368" s="46"/>
      <c r="AR368" s="46" t="n">
        <f aca="false">IFERROR(AR121/AR363,"n/a")</f>
        <v>0.59948682191924</v>
      </c>
      <c r="AS368" s="46"/>
      <c r="AT368" s="46"/>
      <c r="AU368" s="46"/>
      <c r="AV368" s="46"/>
      <c r="AW368" s="46" t="n">
        <f aca="false">IFERROR(AW121/AW363,"n/a")</f>
        <v>0.636575546723496</v>
      </c>
      <c r="AX368" s="46"/>
      <c r="AY368" s="46"/>
      <c r="AZ368" s="46"/>
      <c r="BA368" s="46"/>
      <c r="BB368" s="46" t="n">
        <f aca="false">IFERROR(BB121/BB363,"n/a")</f>
        <v>0.676811755654502</v>
      </c>
      <c r="BC368" s="46"/>
      <c r="BD368" s="46"/>
      <c r="BE368" s="46"/>
      <c r="BF368" s="46"/>
      <c r="BG368" s="46" t="n">
        <f aca="false">IFERROR(BG121/BG363,"n/a")</f>
        <v>0.75479990219139</v>
      </c>
      <c r="BH368" s="46"/>
      <c r="BI368" s="46"/>
      <c r="BJ368" s="46"/>
      <c r="BK368" s="46"/>
      <c r="BL368" s="46" t="n">
        <f aca="false">IFERROR(BL121/BL363,"n/a")</f>
        <v>0.788577669279198</v>
      </c>
      <c r="BM368" s="46"/>
      <c r="BN368" s="46"/>
      <c r="BO368" s="46"/>
      <c r="BP368" s="46"/>
      <c r="BQ368" s="46" t="n">
        <f aca="false">IFERROR(BQ121/BQ363,"n/a")</f>
        <v>0.708052996584205</v>
      </c>
      <c r="BR368" s="46"/>
      <c r="BS368" s="46"/>
      <c r="BT368" s="46"/>
      <c r="BU368" s="46"/>
      <c r="BV368" s="46" t="n">
        <f aca="false">IFERROR(BV121/BV363,"n/a")</f>
        <v>0.425501244922029</v>
      </c>
      <c r="BW368" s="46"/>
      <c r="BX368" s="46"/>
      <c r="BY368" s="47"/>
      <c r="BZ368" s="47"/>
      <c r="CA368" s="47" t="n">
        <f aca="false">IFERROR(CA121/CA363,"n/a")</f>
        <v>0.452031712820319</v>
      </c>
      <c r="CB368" s="47" t="n">
        <f aca="false">IFERROR(CB121/CB363,"n/a")</f>
        <v>0.526092568623894</v>
      </c>
      <c r="CC368" s="47" t="n">
        <f aca="false">IFERROR(CC121/CC363,"n/a")</f>
        <v>0.592657708748935</v>
      </c>
      <c r="CD368" s="47" t="n">
        <f aca="false">IFERROR(CD121/CD363,"n/a")</f>
        <v>0.664337472214111</v>
      </c>
      <c r="CE368" s="47" t="n">
        <f aca="false">IFERROR(CE121/CE363,"n/a")</f>
        <v>0.737278748572095</v>
      </c>
      <c r="CF368" s="28"/>
    </row>
    <row r="369" customFormat="false" ht="15" hidden="false" customHeight="true" outlineLevel="0" collapsed="false">
      <c r="B369" s="29" t="s">
        <v>606</v>
      </c>
      <c r="C369" s="25" t="n">
        <f aca="false">IFERROR(1-C361,"n/a")</f>
        <v>0.6</v>
      </c>
      <c r="D369" s="25" t="n">
        <f aca="false">IFERROR(1-D361,"n/a")</f>
        <v>0.6</v>
      </c>
      <c r="E369" s="25" t="n">
        <f aca="false">IFERROR(1-E361,"n/a")</f>
        <v>0.6</v>
      </c>
      <c r="F369" s="25" t="n">
        <f aca="false">IFERROR(1-F361,"n/a")</f>
        <v>0.6</v>
      </c>
      <c r="G369" s="25" t="n">
        <f aca="false">IFERROR(1-G361,"n/a")</f>
        <v>0.6</v>
      </c>
      <c r="H369" s="25" t="n">
        <f aca="false">IFERROR(1-H361,"n/a")</f>
        <v>0.6</v>
      </c>
      <c r="I369" s="25" t="n">
        <f aca="false">IFERROR(1-I361,"n/a")</f>
        <v>0.62</v>
      </c>
      <c r="J369" s="25"/>
      <c r="K369" s="25"/>
      <c r="L369" s="25"/>
      <c r="M369" s="25"/>
      <c r="N369" s="25" t="n">
        <f aca="false">IFERROR(1-N361,"n/a")</f>
        <v>0.62</v>
      </c>
      <c r="O369" s="25"/>
      <c r="P369" s="25"/>
      <c r="Q369" s="25"/>
      <c r="R369" s="25"/>
      <c r="S369" s="25" t="n">
        <f aca="false">IFERROR(1-S361,"n/a")</f>
        <v>0.62</v>
      </c>
      <c r="T369" s="25"/>
      <c r="U369" s="25"/>
      <c r="V369" s="25"/>
      <c r="W369" s="25"/>
      <c r="X369" s="25" t="n">
        <f aca="false">IFERROR(1-X361,"n/a")</f>
        <v>0.62</v>
      </c>
      <c r="Y369" s="25"/>
      <c r="Z369" s="25"/>
      <c r="AA369" s="25"/>
      <c r="AB369" s="25"/>
      <c r="AC369" s="25" t="n">
        <f aca="false">IFERROR(1-AC361,"n/a")</f>
        <v>0.62</v>
      </c>
      <c r="AD369" s="25"/>
      <c r="AE369" s="25"/>
      <c r="AF369" s="25"/>
      <c r="AG369" s="25"/>
      <c r="AH369" s="25" t="n">
        <f aca="false">IFERROR(1-AH361,"n/a")</f>
        <v>0.62</v>
      </c>
      <c r="AI369" s="25"/>
      <c r="AJ369" s="25"/>
      <c r="AK369" s="25"/>
      <c r="AL369" s="25"/>
      <c r="AM369" s="25" t="n">
        <f aca="false">IFERROR(1-AM361,"n/a")</f>
        <v>0.75</v>
      </c>
      <c r="AN369" s="25"/>
      <c r="AO369" s="25"/>
      <c r="AP369" s="25"/>
      <c r="AQ369" s="25"/>
      <c r="AR369" s="25" t="n">
        <f aca="false">IFERROR(1-AR361,"n/a")</f>
        <v>0.75</v>
      </c>
      <c r="AS369" s="25"/>
      <c r="AT369" s="25"/>
      <c r="AU369" s="25"/>
      <c r="AV369" s="25"/>
      <c r="AW369" s="25" t="n">
        <f aca="false">IFERROR(1-AW361,"n/a")</f>
        <v>0.75</v>
      </c>
      <c r="AX369" s="25"/>
      <c r="AY369" s="25"/>
      <c r="AZ369" s="25"/>
      <c r="BA369" s="25"/>
      <c r="BB369" s="25" t="n">
        <f aca="false">IFERROR(1-BB361,"n/a")</f>
        <v>0.75</v>
      </c>
      <c r="BC369" s="25"/>
      <c r="BD369" s="25"/>
      <c r="BE369" s="25"/>
      <c r="BF369" s="25"/>
      <c r="BG369" s="25" t="n">
        <f aca="false">IFERROR(1-BG361,"n/a")</f>
        <v>0.74</v>
      </c>
      <c r="BH369" s="25"/>
      <c r="BI369" s="25"/>
      <c r="BJ369" s="25"/>
      <c r="BK369" s="25"/>
      <c r="BL369" s="25" t="n">
        <f aca="false">IFERROR(1-BL361,"n/a")</f>
        <v>0.74</v>
      </c>
      <c r="BM369" s="25"/>
      <c r="BN369" s="25"/>
      <c r="BO369" s="25"/>
      <c r="BP369" s="25"/>
      <c r="BQ369" s="25" t="n">
        <f aca="false">IFERROR(1-BQ361,"n/a")</f>
        <v>0.74</v>
      </c>
      <c r="BR369" s="25"/>
      <c r="BS369" s="25"/>
      <c r="BT369" s="25"/>
      <c r="BU369" s="25"/>
      <c r="BV369" s="25" t="n">
        <f aca="false">IFERROR(1-BV361,"n/a")</f>
        <v>0.74</v>
      </c>
      <c r="BW369" s="25"/>
      <c r="BX369" s="25"/>
      <c r="BY369" s="27"/>
      <c r="BZ369" s="27"/>
      <c r="CA369" s="27" t="n">
        <f aca="false">IFERROR(1-CA361,"n/a")</f>
        <v>0.736867676070308</v>
      </c>
      <c r="CB369" s="27" t="n">
        <f aca="false">IFERROR(1-CB361,"n/a")</f>
        <v>0.74</v>
      </c>
      <c r="CC369" s="27" t="n">
        <f aca="false">IFERROR(1-CC361,"n/a")</f>
        <v>0.74</v>
      </c>
      <c r="CD369" s="27" t="n">
        <f aca="false">IFERROR(1-CD361,"n/a")</f>
        <v>0.74</v>
      </c>
      <c r="CE369" s="27" t="n">
        <f aca="false">IFERROR(1-CE361,"n/a")</f>
        <v>0.74</v>
      </c>
      <c r="CF369" s="28"/>
    </row>
    <row r="370" customFormat="false" ht="15" hidden="false" customHeight="true" outlineLevel="0" collapsed="false">
      <c r="B370" s="29" t="s">
        <v>607</v>
      </c>
      <c r="C370" s="25" t="n">
        <f aca="false">IFERROR(C367*C368*C369,"n/a")</f>
        <v>0.0918705552293339</v>
      </c>
      <c r="D370" s="25" t="n">
        <f aca="false">IFERROR(D367*D368*D369,"n/a")</f>
        <v>0.113491348711048</v>
      </c>
      <c r="E370" s="25" t="n">
        <f aca="false">IFERROR(E367*E368*E369,"n/a")</f>
        <v>0.220695010677538</v>
      </c>
      <c r="F370" s="25" t="n">
        <f aca="false">IFERROR(F367*F368*F369,"n/a")</f>
        <v>0.178856215046004</v>
      </c>
      <c r="G370" s="25" t="n">
        <f aca="false">IFERROR(G367*G368*G369,"n/a")</f>
        <v>0.131879212253829</v>
      </c>
      <c r="H370" s="25" t="n">
        <f aca="false">IFERROR(H367*H368*H369,"n/a")</f>
        <v>0.239685818339947</v>
      </c>
      <c r="I370" s="25" t="n">
        <f aca="false">IFERROR(I367*I368*I369,"n/a")</f>
        <v>0.0395532902685681</v>
      </c>
      <c r="J370" s="25"/>
      <c r="K370" s="25"/>
      <c r="L370" s="25"/>
      <c r="M370" s="25"/>
      <c r="N370" s="25" t="n">
        <f aca="false">IFERROR(N367*N368*N369,"n/a")</f>
        <v>0.0726707747801909</v>
      </c>
      <c r="O370" s="25"/>
      <c r="P370" s="25"/>
      <c r="Q370" s="25"/>
      <c r="R370" s="25"/>
      <c r="S370" s="25" t="n">
        <f aca="false">IFERROR(S367*S368*S369,"n/a")</f>
        <v>0.0533851293515144</v>
      </c>
      <c r="T370" s="25"/>
      <c r="U370" s="25"/>
      <c r="V370" s="25"/>
      <c r="W370" s="25"/>
      <c r="X370" s="25" t="n">
        <f aca="false">IFERROR(X367*X368*X369,"n/a")</f>
        <v>0.0239710129621129</v>
      </c>
      <c r="Y370" s="25"/>
      <c r="Z370" s="25"/>
      <c r="AA370" s="25"/>
      <c r="AB370" s="25"/>
      <c r="AC370" s="25" t="n">
        <f aca="false">IFERROR(AC367*AC368*AC369,"n/a")</f>
        <v>0.0806279392336787</v>
      </c>
      <c r="AD370" s="25"/>
      <c r="AE370" s="25"/>
      <c r="AF370" s="25"/>
      <c r="AG370" s="25"/>
      <c r="AH370" s="25" t="n">
        <f aca="false">IFERROR(AH367*AH368*AH369,"n/a")</f>
        <v>0.0930770593150237</v>
      </c>
      <c r="AI370" s="25"/>
      <c r="AJ370" s="25"/>
      <c r="AK370" s="25"/>
      <c r="AL370" s="25"/>
      <c r="AM370" s="25" t="n">
        <f aca="false">IFERROR(AM367*AM368*AM369,"n/a")</f>
        <v>0.132815923385892</v>
      </c>
      <c r="AN370" s="25"/>
      <c r="AO370" s="25"/>
      <c r="AP370" s="25"/>
      <c r="AQ370" s="25"/>
      <c r="AR370" s="25" t="n">
        <f aca="false">IFERROR(AR367*AR368*AR369,"n/a")</f>
        <v>0.136689555956626</v>
      </c>
      <c r="AS370" s="25"/>
      <c r="AT370" s="25"/>
      <c r="AU370" s="25"/>
      <c r="AV370" s="25"/>
      <c r="AW370" s="25" t="n">
        <f aca="false">IFERROR(AW367*AW368*AW369,"n/a")</f>
        <v>0.125541505094465</v>
      </c>
      <c r="AX370" s="25"/>
      <c r="AY370" s="25"/>
      <c r="AZ370" s="25"/>
      <c r="BA370" s="25"/>
      <c r="BB370" s="25" t="n">
        <f aca="false">IFERROR(BB367*BB368*BB369,"n/a")</f>
        <v>0.134403601056923</v>
      </c>
      <c r="BC370" s="25"/>
      <c r="BD370" s="25"/>
      <c r="BE370" s="25"/>
      <c r="BF370" s="25"/>
      <c r="BG370" s="25" t="n">
        <f aca="false">IFERROR(BG367*BG368*BG369,"n/a")</f>
        <v>0.138154903521214</v>
      </c>
      <c r="BH370" s="25"/>
      <c r="BI370" s="25"/>
      <c r="BJ370" s="25"/>
      <c r="BK370" s="25"/>
      <c r="BL370" s="25" t="n">
        <f aca="false">IFERROR(BL367*BL368*BL369,"n/a")</f>
        <v>0.0913233971476294</v>
      </c>
      <c r="BM370" s="25"/>
      <c r="BN370" s="25"/>
      <c r="BO370" s="25"/>
      <c r="BP370" s="25"/>
      <c r="BQ370" s="25" t="n">
        <f aca="false">IFERROR(BQ367*BQ368*BQ369,"n/a")</f>
        <v>0.0234577165924852</v>
      </c>
      <c r="BR370" s="25"/>
      <c r="BS370" s="25"/>
      <c r="BT370" s="25"/>
      <c r="BU370" s="25"/>
      <c r="BV370" s="25" t="n">
        <f aca="false">IFERROR(BV367*BV368*BV369,"n/a")</f>
        <v>0.0193945747608439</v>
      </c>
      <c r="BW370" s="25"/>
      <c r="BX370" s="25"/>
      <c r="BY370" s="27"/>
      <c r="BZ370" s="27"/>
      <c r="CA370" s="27" t="n">
        <f aca="false">IFERROR(CA367*CA368*CA369,"n/a")</f>
        <v>0.0415615890742965</v>
      </c>
      <c r="CB370" s="27" t="n">
        <f aca="false">IFERROR(CB367*CB368*CB369,"n/a")</f>
        <v>0.0592145729571223</v>
      </c>
      <c r="CC370" s="27" t="n">
        <f aca="false">IFERROR(CC367*CC368*CC369,"n/a")</f>
        <v>0.0836497281915479</v>
      </c>
      <c r="CD370" s="27" t="n">
        <f aca="false">IFERROR(CD367*CD368*CD369,"n/a")</f>
        <v>0.111068078550746</v>
      </c>
      <c r="CE370" s="27" t="n">
        <f aca="false">IFERROR(CE367*CE368*CE369,"n/a")</f>
        <v>0.143654146416082</v>
      </c>
      <c r="CF370" s="28"/>
    </row>
    <row r="371" customFormat="false" ht="15" hidden="false" customHeight="true" outlineLevel="0" collapsed="false">
      <c r="B371" s="29" t="s">
        <v>608</v>
      </c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6"/>
      <c r="BZ371" s="36"/>
      <c r="CA371" s="36"/>
      <c r="CB371" s="36"/>
      <c r="CC371" s="36"/>
      <c r="CD371" s="36"/>
      <c r="CE371" s="36"/>
      <c r="CF371" s="28"/>
    </row>
    <row r="372" customFormat="false" ht="15" hidden="false" customHeight="true" outlineLevel="0" collapsed="false">
      <c r="B372" s="29" t="s">
        <v>599</v>
      </c>
      <c r="C372" s="34" t="n">
        <f aca="false">C362</f>
        <v>8.44860000000001</v>
      </c>
      <c r="D372" s="34" t="n">
        <f aca="false">D362</f>
        <v>10.7112</v>
      </c>
      <c r="E372" s="34" t="n">
        <f aca="false">E362</f>
        <v>23.8728</v>
      </c>
      <c r="F372" s="34" t="n">
        <f aca="false">F362</f>
        <v>23.7936</v>
      </c>
      <c r="G372" s="34" t="n">
        <f aca="false">G362</f>
        <v>22.6008</v>
      </c>
      <c r="H372" s="34" t="n">
        <f aca="false">H362</f>
        <v>26.457</v>
      </c>
      <c r="I372" s="34" t="n">
        <f aca="false">I362</f>
        <v>33.26052</v>
      </c>
      <c r="J372" s="34"/>
      <c r="K372" s="34"/>
      <c r="L372" s="34"/>
      <c r="M372" s="34"/>
      <c r="N372" s="34" t="n">
        <f aca="false">N362</f>
        <v>59.95586</v>
      </c>
      <c r="O372" s="34"/>
      <c r="P372" s="34"/>
      <c r="Q372" s="34"/>
      <c r="R372" s="34"/>
      <c r="S372" s="34" t="n">
        <f aca="false">S362</f>
        <v>73.21952</v>
      </c>
      <c r="T372" s="34"/>
      <c r="U372" s="34"/>
      <c r="V372" s="34"/>
      <c r="W372" s="34"/>
      <c r="X372" s="34" t="n">
        <f aca="false">X362</f>
        <v>35.40696</v>
      </c>
      <c r="Y372" s="34"/>
      <c r="Z372" s="34"/>
      <c r="AA372" s="34"/>
      <c r="AB372" s="34"/>
      <c r="AC372" s="34" t="n">
        <f aca="false">AC362</f>
        <v>114.92134</v>
      </c>
      <c r="AD372" s="34"/>
      <c r="AE372" s="34"/>
      <c r="AF372" s="34"/>
      <c r="AG372" s="34"/>
      <c r="AH372" s="34" t="n">
        <f aca="false">AH362</f>
        <v>134.01114</v>
      </c>
      <c r="AI372" s="34"/>
      <c r="AJ372" s="34"/>
      <c r="AK372" s="34"/>
      <c r="AL372" s="34"/>
      <c r="AM372" s="34" t="n">
        <f aca="false">AM362</f>
        <v>255.20925</v>
      </c>
      <c r="AN372" s="34"/>
      <c r="AO372" s="34"/>
      <c r="AP372" s="34"/>
      <c r="AQ372" s="34"/>
      <c r="AR372" s="34" t="n">
        <f aca="false">AR362</f>
        <v>319.15125</v>
      </c>
      <c r="AS372" s="34"/>
      <c r="AT372" s="34"/>
      <c r="AU372" s="34"/>
      <c r="AV372" s="34"/>
      <c r="AW372" s="34" t="n">
        <f aca="false">AW362</f>
        <v>327.1815</v>
      </c>
      <c r="AX372" s="34"/>
      <c r="AY372" s="34"/>
      <c r="AZ372" s="34"/>
      <c r="BA372" s="34"/>
      <c r="BB372" s="34" t="n">
        <f aca="false">BB362</f>
        <v>386.073</v>
      </c>
      <c r="BC372" s="34"/>
      <c r="BD372" s="34"/>
      <c r="BE372" s="34"/>
      <c r="BF372" s="34"/>
      <c r="BG372" s="34" t="n">
        <f aca="false">BG362</f>
        <v>399.4557</v>
      </c>
      <c r="BH372" s="34"/>
      <c r="BI372" s="34"/>
      <c r="BJ372" s="34"/>
      <c r="BK372" s="34"/>
      <c r="BL372" s="34" t="n">
        <f aca="false">BL362</f>
        <v>284.308</v>
      </c>
      <c r="BM372" s="34"/>
      <c r="BN372" s="34"/>
      <c r="BO372" s="34"/>
      <c r="BP372" s="34"/>
      <c r="BQ372" s="34" t="n">
        <f aca="false">BQ362</f>
        <v>90.6499999999999</v>
      </c>
      <c r="BR372" s="34"/>
      <c r="BS372" s="34"/>
      <c r="BT372" s="34"/>
      <c r="BU372" s="34"/>
      <c r="BV372" s="34" t="n">
        <f aca="false">BV362</f>
        <v>148</v>
      </c>
      <c r="BW372" s="34"/>
      <c r="BX372" s="34"/>
      <c r="BY372" s="36"/>
      <c r="BZ372" s="36"/>
      <c r="CA372" s="36" t="n">
        <f aca="false">CA362</f>
        <v>349.561845287142</v>
      </c>
      <c r="CB372" s="36" t="n">
        <f aca="false">CB362</f>
        <v>486.790949240912</v>
      </c>
      <c r="CC372" s="36" t="n">
        <f aca="false">CC362</f>
        <v>670.555265974467</v>
      </c>
      <c r="CD372" s="36" t="n">
        <f aca="false">CD362</f>
        <v>866.871506500891</v>
      </c>
      <c r="CE372" s="36" t="n">
        <f aca="false">CE362</f>
        <v>1095.31299518742</v>
      </c>
      <c r="CF372" s="28"/>
    </row>
    <row r="373" customFormat="false" ht="15" hidden="false" customHeight="true" outlineLevel="0" collapsed="false">
      <c r="B373" s="29" t="s">
        <v>609</v>
      </c>
      <c r="C373" s="34" t="n">
        <f aca="false">C281</f>
        <v>275.437</v>
      </c>
      <c r="D373" s="34" t="n">
        <f aca="false">D281</f>
        <v>321.843</v>
      </c>
      <c r="E373" s="34" t="n">
        <f aca="false">E281</f>
        <v>334.384</v>
      </c>
      <c r="F373" s="34" t="n">
        <f aca="false">F281</f>
        <v>404.579</v>
      </c>
      <c r="G373" s="34" t="n">
        <f aca="false">G281</f>
        <v>439.648</v>
      </c>
      <c r="H373" s="34" t="n">
        <f aca="false">H281</f>
        <v>771.035</v>
      </c>
      <c r="I373" s="34" t="n">
        <f aca="false">I281</f>
        <v>1165.139</v>
      </c>
      <c r="J373" s="34"/>
      <c r="K373" s="34"/>
      <c r="L373" s="34"/>
      <c r="M373" s="34"/>
      <c r="N373" s="34" t="n">
        <f aca="false">N281</f>
        <v>1256.982</v>
      </c>
      <c r="O373" s="34"/>
      <c r="P373" s="34"/>
      <c r="Q373" s="34"/>
      <c r="R373" s="34"/>
      <c r="S373" s="34" t="n">
        <f aca="false">S281</f>
        <v>2083.682</v>
      </c>
      <c r="T373" s="34"/>
      <c r="U373" s="34"/>
      <c r="V373" s="34"/>
      <c r="W373" s="34"/>
      <c r="X373" s="34" t="n">
        <f aca="false">X281</f>
        <v>2079.571</v>
      </c>
      <c r="Y373" s="34"/>
      <c r="Z373" s="34"/>
      <c r="AA373" s="34"/>
      <c r="AB373" s="34"/>
      <c r="AC373" s="34" t="n">
        <f aca="false">AC281</f>
        <v>2185.063</v>
      </c>
      <c r="AD373" s="34"/>
      <c r="AE373" s="34"/>
      <c r="AF373" s="34"/>
      <c r="AG373" s="34"/>
      <c r="AH373" s="34" t="n">
        <f aca="false">AH281</f>
        <v>2873.441</v>
      </c>
      <c r="AI373" s="34"/>
      <c r="AJ373" s="34"/>
      <c r="AK373" s="34"/>
      <c r="AL373" s="34"/>
      <c r="AM373" s="34" t="n">
        <f aca="false">AM281</f>
        <v>3312.957</v>
      </c>
      <c r="AN373" s="34"/>
      <c r="AO373" s="34"/>
      <c r="AP373" s="34"/>
      <c r="AQ373" s="34"/>
      <c r="AR373" s="34" t="n">
        <f aca="false">AR281</f>
        <v>3853.986</v>
      </c>
      <c r="AS373" s="34"/>
      <c r="AT373" s="34"/>
      <c r="AU373" s="34"/>
      <c r="AV373" s="34"/>
      <c r="AW373" s="34" t="n">
        <f aca="false">AW281</f>
        <v>6915.42</v>
      </c>
      <c r="AX373" s="34"/>
      <c r="AY373" s="34"/>
      <c r="AZ373" s="34"/>
      <c r="BA373" s="34"/>
      <c r="BB373" s="34" t="n">
        <f aca="false">BB281</f>
        <v>7256.871</v>
      </c>
      <c r="BC373" s="34"/>
      <c r="BD373" s="34"/>
      <c r="BE373" s="34"/>
      <c r="BF373" s="34"/>
      <c r="BG373" s="34" t="n">
        <f aca="false">BG281</f>
        <v>8402.47</v>
      </c>
      <c r="BH373" s="34"/>
      <c r="BI373" s="34"/>
      <c r="BJ373" s="34"/>
      <c r="BK373" s="34"/>
      <c r="BL373" s="34" t="n">
        <f aca="false">BL281</f>
        <v>8919.7</v>
      </c>
      <c r="BM373" s="34"/>
      <c r="BN373" s="34"/>
      <c r="BO373" s="34"/>
      <c r="BP373" s="34"/>
      <c r="BQ373" s="34" t="n">
        <f aca="false">BQ281</f>
        <v>9256.8</v>
      </c>
      <c r="BR373" s="34"/>
      <c r="BS373" s="34"/>
      <c r="BT373" s="34"/>
      <c r="BU373" s="34"/>
      <c r="BV373" s="34" t="n">
        <f aca="false">BV281</f>
        <v>10538</v>
      </c>
      <c r="BW373" s="34"/>
      <c r="BX373" s="34"/>
      <c r="BY373" s="36"/>
      <c r="BZ373" s="36"/>
      <c r="CA373" s="36" t="n">
        <f aca="false">CA281</f>
        <v>10386.2082582508</v>
      </c>
      <c r="CB373" s="36" t="n">
        <f aca="false">CB281</f>
        <v>10079.0230039209</v>
      </c>
      <c r="CC373" s="36" t="n">
        <f aca="false">CC281</f>
        <v>9832.28053076481</v>
      </c>
      <c r="CD373" s="36" t="n">
        <f aca="false">CD281</f>
        <v>9671.71895358968</v>
      </c>
      <c r="CE373" s="36" t="n">
        <f aca="false">CE281</f>
        <v>9542.56769500894</v>
      </c>
      <c r="CF373" s="28"/>
    </row>
    <row r="374" customFormat="false" ht="15" hidden="false" customHeight="true" outlineLevel="0" collapsed="false">
      <c r="B374" s="29" t="s">
        <v>610</v>
      </c>
      <c r="C374" s="34" t="n">
        <f aca="false">IFERROR(-(N(C276)+C277),"n/a")</f>
        <v>-23.172</v>
      </c>
      <c r="D374" s="34" t="n">
        <f aca="false">IFERROR(-(N(D276)+D277),"n/a")</f>
        <v>-87.565</v>
      </c>
      <c r="E374" s="34" t="n">
        <f aca="false">IFERROR(-(N(E276)+E277),"n/a")</f>
        <v>-70.749</v>
      </c>
      <c r="F374" s="34" t="n">
        <f aca="false">IFERROR(-(N(F276)+F277),"n/a")</f>
        <v>-103.711</v>
      </c>
      <c r="G374" s="34" t="n">
        <f aca="false">IFERROR(-(N(G276)+G277),"n/a")</f>
        <v>-98.376</v>
      </c>
      <c r="H374" s="34" t="n">
        <f aca="false">IFERROR(-(N(H276)+H277),"n/a")</f>
        <v>-112.314</v>
      </c>
      <c r="I374" s="34" t="n">
        <f aca="false">IFERROR(-(N(I276)+I277),"n/a")</f>
        <v>-888.71</v>
      </c>
      <c r="J374" s="34"/>
      <c r="K374" s="34"/>
      <c r="L374" s="34"/>
      <c r="M374" s="34"/>
      <c r="N374" s="34" t="n">
        <f aca="false">IFERROR(-(N(N276)+N277),"n/a")</f>
        <v>-863.059</v>
      </c>
      <c r="O374" s="34"/>
      <c r="P374" s="34"/>
      <c r="Q374" s="34"/>
      <c r="R374" s="34"/>
      <c r="S374" s="34" t="n">
        <f aca="false">IFERROR(-(N(S276)+S277),"n/a")</f>
        <v>-1380.427</v>
      </c>
      <c r="T374" s="34"/>
      <c r="U374" s="34"/>
      <c r="V374" s="34"/>
      <c r="W374" s="34"/>
      <c r="X374" s="34" t="n">
        <f aca="false">IFERROR(-(N(X276)+X277),"n/a")</f>
        <v>-1491.263</v>
      </c>
      <c r="Y374" s="34"/>
      <c r="Z374" s="34"/>
      <c r="AA374" s="34"/>
      <c r="AB374" s="34"/>
      <c r="AC374" s="34" t="n">
        <f aca="false">IFERROR(-(N(AC276)+AC277),"n/a")</f>
        <v>-1450.831</v>
      </c>
      <c r="AD374" s="34"/>
      <c r="AE374" s="34"/>
      <c r="AF374" s="34"/>
      <c r="AG374" s="34"/>
      <c r="AH374" s="34" t="n">
        <f aca="false">IFERROR(-(N(AH276)+AH277),"n/a")</f>
        <v>-1466.349</v>
      </c>
      <c r="AI374" s="34"/>
      <c r="AJ374" s="34"/>
      <c r="AK374" s="34"/>
      <c r="AL374" s="34"/>
      <c r="AM374" s="34" t="n">
        <f aca="false">IFERROR(-(N(AM276)+AM277),"n/a")</f>
        <v>-1900.446</v>
      </c>
      <c r="AN374" s="34"/>
      <c r="AO374" s="34"/>
      <c r="AP374" s="34"/>
      <c r="AQ374" s="34"/>
      <c r="AR374" s="34" t="n">
        <f aca="false">IFERROR(-(N(AR276)+AR277),"n/a")</f>
        <v>-2303.216</v>
      </c>
      <c r="AS374" s="34"/>
      <c r="AT374" s="34"/>
      <c r="AU374" s="34"/>
      <c r="AV374" s="34"/>
      <c r="AW374" s="34" t="n">
        <f aca="false">IFERROR(-(N(AW276)+AW277),"n/a")</f>
        <v>-2662.744</v>
      </c>
      <c r="AX374" s="34"/>
      <c r="AY374" s="34"/>
      <c r="AZ374" s="34"/>
      <c r="BA374" s="34"/>
      <c r="BB374" s="34" t="n">
        <f aca="false">IFERROR(-(N(BB276)+BB277),"n/a")</f>
        <v>-2756.677</v>
      </c>
      <c r="BC374" s="34"/>
      <c r="BD374" s="34"/>
      <c r="BE374" s="34"/>
      <c r="BF374" s="34"/>
      <c r="BG374" s="34" t="n">
        <f aca="false">IFERROR(-(N(BG276)+BG277),"n/a")</f>
        <v>-2644.065</v>
      </c>
      <c r="BH374" s="34"/>
      <c r="BI374" s="34"/>
      <c r="BJ374" s="34"/>
      <c r="BK374" s="34"/>
      <c r="BL374" s="34" t="n">
        <f aca="false">IFERROR(-(N(BL276)+BL277),"n/a")</f>
        <v>-2699.9</v>
      </c>
      <c r="BM374" s="34"/>
      <c r="BN374" s="34"/>
      <c r="BO374" s="34"/>
      <c r="BP374" s="34"/>
      <c r="BQ374" s="34" t="n">
        <f aca="false">IFERROR(-(N(BQ276)+BQ277),"n/a")</f>
        <v>-2960.8</v>
      </c>
      <c r="BR374" s="34"/>
      <c r="BS374" s="34"/>
      <c r="BT374" s="34"/>
      <c r="BU374" s="34"/>
      <c r="BV374" s="34" t="n">
        <f aca="false">IFERROR(-(N(BV276)+BV277),"n/a")</f>
        <v>-6715</v>
      </c>
      <c r="BW374" s="34"/>
      <c r="BX374" s="34"/>
      <c r="BY374" s="36"/>
      <c r="BZ374" s="36"/>
      <c r="CA374" s="36" t="n">
        <f aca="false">-(CA276+CA277)</f>
        <v>-7402.5397260274</v>
      </c>
      <c r="CB374" s="36" t="n">
        <f aca="false">-(CB276+CB277)</f>
        <v>-7151.5397260274</v>
      </c>
      <c r="CC374" s="36" t="n">
        <f aca="false">-(CC276+CC277)</f>
        <v>-6926.5397260274</v>
      </c>
      <c r="CD374" s="36" t="n">
        <f aca="false">-(CD276+CD277)</f>
        <v>-6715.5397260274</v>
      </c>
      <c r="CE374" s="36" t="n">
        <f aca="false">-(CE276+CE277)</f>
        <v>-6536.5397260274</v>
      </c>
      <c r="CF374" s="28"/>
    </row>
    <row r="375" customFormat="false" ht="15" hidden="false" customHeight="true" outlineLevel="0" collapsed="false">
      <c r="B375" s="29" t="s">
        <v>611</v>
      </c>
      <c r="C375" s="34" t="n">
        <f aca="false">IFERROR(-(C289-N(C286)),"n/a")</f>
        <v>-24.145</v>
      </c>
      <c r="D375" s="34" t="n">
        <f aca="false">IFERROR(-(D289-N(D286)),"n/a")</f>
        <v>-38.237</v>
      </c>
      <c r="E375" s="34" t="n">
        <f aca="false">IFERROR(-(E289-N(E286)),"n/a")</f>
        <v>-29.136</v>
      </c>
      <c r="F375" s="34" t="n">
        <f aca="false">IFERROR(-(F289-N(F286)),"n/a")</f>
        <v>-43.747</v>
      </c>
      <c r="G375" s="34" t="n">
        <f aca="false">IFERROR(-(G289-N(G286)),"n/a")</f>
        <v>-54.926</v>
      </c>
      <c r="H375" s="34" t="n">
        <f aca="false">IFERROR(-(H289-N(H286)),"n/a")</f>
        <v>-61.782</v>
      </c>
      <c r="I375" s="34" t="n">
        <f aca="false">IFERROR(-(I289-N(I286)),"n/a")</f>
        <v>-84.138</v>
      </c>
      <c r="J375" s="34"/>
      <c r="K375" s="34"/>
      <c r="L375" s="34"/>
      <c r="M375" s="34"/>
      <c r="N375" s="34" t="n">
        <f aca="false">IFERROR(-(N289-N(N286)),"n/a")</f>
        <v>-87.49</v>
      </c>
      <c r="O375" s="34"/>
      <c r="P375" s="34"/>
      <c r="Q375" s="34"/>
      <c r="R375" s="34"/>
      <c r="S375" s="34" t="n">
        <f aca="false">IFERROR(-(S289-N(S286)),"n/a")</f>
        <v>-99.29</v>
      </c>
      <c r="T375" s="34"/>
      <c r="U375" s="34"/>
      <c r="V375" s="34"/>
      <c r="W375" s="34"/>
      <c r="X375" s="34" t="n">
        <f aca="false">IFERROR(-(X289-N(X286)),"n/a")</f>
        <v>-118.535</v>
      </c>
      <c r="Y375" s="34"/>
      <c r="Z375" s="34"/>
      <c r="AA375" s="34"/>
      <c r="AB375" s="34"/>
      <c r="AC375" s="34" t="n">
        <f aca="false">IFERROR(-(AC289-N(AC286)),"n/a")</f>
        <v>-123.08</v>
      </c>
      <c r="AD375" s="34"/>
      <c r="AE375" s="34"/>
      <c r="AF375" s="34"/>
      <c r="AG375" s="34"/>
      <c r="AH375" s="34" t="n">
        <f aca="false">IFERROR(-(AH289-N(AH286)),"n/a")</f>
        <v>-146.666</v>
      </c>
      <c r="AI375" s="34"/>
      <c r="AJ375" s="34"/>
      <c r="AK375" s="34"/>
      <c r="AL375" s="34"/>
      <c r="AM375" s="34" t="n">
        <f aca="false">IFERROR(-(AM289-N(AM286)),"n/a")</f>
        <v>-154.159</v>
      </c>
      <c r="AN375" s="34"/>
      <c r="AO375" s="34"/>
      <c r="AP375" s="34"/>
      <c r="AQ375" s="34"/>
      <c r="AR375" s="34" t="n">
        <f aca="false">IFERROR(-(AR289-N(AR286)),"n/a")</f>
        <v>-207.056</v>
      </c>
      <c r="AS375" s="34"/>
      <c r="AT375" s="34"/>
      <c r="AU375" s="34"/>
      <c r="AV375" s="34"/>
      <c r="AW375" s="34" t="n">
        <f aca="false">IFERROR(-(AW289-N(AW286)),"n/a")</f>
        <v>-330.85</v>
      </c>
      <c r="AX375" s="34"/>
      <c r="AY375" s="34"/>
      <c r="AZ375" s="34"/>
      <c r="BA375" s="34"/>
      <c r="BB375" s="34" t="n">
        <f aca="false">IFERROR(-(BB289-N(BB286)),"n/a")</f>
        <v>-338.689</v>
      </c>
      <c r="BC375" s="34"/>
      <c r="BD375" s="34"/>
      <c r="BE375" s="34"/>
      <c r="BF375" s="34"/>
      <c r="BG375" s="34" t="n">
        <f aca="false">IFERROR(-(BG289-N(BG286)),"n/a")</f>
        <v>-372.615</v>
      </c>
      <c r="BH375" s="34"/>
      <c r="BI375" s="34"/>
      <c r="BJ375" s="34"/>
      <c r="BK375" s="34"/>
      <c r="BL375" s="34" t="n">
        <f aca="false">IFERROR(-(BL289-N(BL286)),"n/a")</f>
        <v>-455.8</v>
      </c>
      <c r="BM375" s="34"/>
      <c r="BN375" s="34"/>
      <c r="BO375" s="34"/>
      <c r="BP375" s="34"/>
      <c r="BQ375" s="34" t="n">
        <f aca="false">IFERROR(-(BQ289-N(BQ286)),"n/a")</f>
        <v>-552.3</v>
      </c>
      <c r="BR375" s="34"/>
      <c r="BS375" s="34"/>
      <c r="BT375" s="34"/>
      <c r="BU375" s="34"/>
      <c r="BV375" s="34" t="n">
        <f aca="false">IFERROR(-(BV289-N(BV286)),"n/a")</f>
        <v>-746</v>
      </c>
      <c r="BW375" s="34"/>
      <c r="BX375" s="34"/>
      <c r="BY375" s="36"/>
      <c r="BZ375" s="36"/>
      <c r="CA375" s="36" t="n">
        <f aca="false">-(CA289-N(CA286))</f>
        <v>-782.4762</v>
      </c>
      <c r="CB375" s="36" t="n">
        <f aca="false">-(CB289-N(CB286))</f>
        <v>-830.013288711403</v>
      </c>
      <c r="CC375" s="36" t="n">
        <f aca="false">-(CC289-N(CC286))</f>
        <v>-879.852857687677</v>
      </c>
      <c r="CD375" s="36" t="n">
        <f aca="false">-(CD289-N(CD286))</f>
        <v>-930.652624648708</v>
      </c>
      <c r="CE375" s="36" t="n">
        <f aca="false">-(CE289-N(CE286))</f>
        <v>-981.714856830941</v>
      </c>
      <c r="CF375" s="28"/>
    </row>
    <row r="376" customFormat="false" ht="15" hidden="false" customHeight="true" outlineLevel="0" collapsed="false">
      <c r="B376" s="29" t="s">
        <v>612</v>
      </c>
      <c r="C376" s="34" t="n">
        <f aca="false">IFERROR(SUM(C373:C375),"n/a")</f>
        <v>228.12</v>
      </c>
      <c r="D376" s="34" t="n">
        <f aca="false">IFERROR(SUM(D373:D375),"n/a")</f>
        <v>196.041</v>
      </c>
      <c r="E376" s="34" t="n">
        <f aca="false">IFERROR(SUM(E373:E375),"n/a")</f>
        <v>234.499</v>
      </c>
      <c r="F376" s="34" t="n">
        <f aca="false">IFERROR(SUM(F373:F375),"n/a")</f>
        <v>257.121</v>
      </c>
      <c r="G376" s="34" t="n">
        <f aca="false">IFERROR(SUM(G373:G375),"n/a")</f>
        <v>286.346</v>
      </c>
      <c r="H376" s="34" t="n">
        <f aca="false">IFERROR(SUM(H373:H375),"n/a")</f>
        <v>596.939</v>
      </c>
      <c r="I376" s="34" t="n">
        <f aca="false">IFERROR(SUM(I373:I375),"n/a")</f>
        <v>192.291</v>
      </c>
      <c r="J376" s="34"/>
      <c r="K376" s="34"/>
      <c r="L376" s="34"/>
      <c r="M376" s="34"/>
      <c r="N376" s="34" t="n">
        <f aca="false">IFERROR(SUM(N373:N375),"n/a")</f>
        <v>306.433</v>
      </c>
      <c r="O376" s="34"/>
      <c r="P376" s="34"/>
      <c r="Q376" s="34"/>
      <c r="R376" s="34"/>
      <c r="S376" s="34" t="n">
        <f aca="false">IFERROR(SUM(S373:S375),"n/a")</f>
        <v>603.965</v>
      </c>
      <c r="T376" s="34"/>
      <c r="U376" s="34"/>
      <c r="V376" s="34"/>
      <c r="W376" s="34"/>
      <c r="X376" s="34" t="n">
        <f aca="false">IFERROR(SUM(X373:X375),"n/a")</f>
        <v>469.773</v>
      </c>
      <c r="Y376" s="34"/>
      <c r="Z376" s="34"/>
      <c r="AA376" s="34"/>
      <c r="AB376" s="34"/>
      <c r="AC376" s="34" t="n">
        <f aca="false">IFERROR(SUM(AC373:AC375),"n/a")</f>
        <v>611.152</v>
      </c>
      <c r="AD376" s="34"/>
      <c r="AE376" s="34"/>
      <c r="AF376" s="34"/>
      <c r="AG376" s="34"/>
      <c r="AH376" s="34" t="n">
        <f aca="false">IFERROR(SUM(AH373:AH375),"n/a")</f>
        <v>1260.426</v>
      </c>
      <c r="AI376" s="34"/>
      <c r="AJ376" s="34"/>
      <c r="AK376" s="34"/>
      <c r="AL376" s="34"/>
      <c r="AM376" s="34" t="n">
        <f aca="false">IFERROR(SUM(AM373:AM375),"n/a")</f>
        <v>1258.352</v>
      </c>
      <c r="AN376" s="34"/>
      <c r="AO376" s="34"/>
      <c r="AP376" s="34"/>
      <c r="AQ376" s="34"/>
      <c r="AR376" s="34" t="n">
        <f aca="false">IFERROR(SUM(AR373:AR375),"n/a")</f>
        <v>1343.714</v>
      </c>
      <c r="AS376" s="34"/>
      <c r="AT376" s="34"/>
      <c r="AU376" s="34"/>
      <c r="AV376" s="34"/>
      <c r="AW376" s="34" t="n">
        <f aca="false">IFERROR(SUM(AW373:AW375),"n/a")</f>
        <v>3921.826</v>
      </c>
      <c r="AX376" s="34"/>
      <c r="AY376" s="34"/>
      <c r="AZ376" s="34"/>
      <c r="BA376" s="34"/>
      <c r="BB376" s="34" t="n">
        <f aca="false">IFERROR(SUM(BB373:BB375),"n/a")</f>
        <v>4161.505</v>
      </c>
      <c r="BC376" s="34"/>
      <c r="BD376" s="34"/>
      <c r="BE376" s="34"/>
      <c r="BF376" s="34"/>
      <c r="BG376" s="34" t="n">
        <f aca="false">IFERROR(SUM(BG373:BG375),"n/a")</f>
        <v>5385.79</v>
      </c>
      <c r="BH376" s="34"/>
      <c r="BI376" s="34"/>
      <c r="BJ376" s="34"/>
      <c r="BK376" s="34"/>
      <c r="BL376" s="34" t="n">
        <f aca="false">IFERROR(SUM(BL373:BL375),"n/a")</f>
        <v>5764</v>
      </c>
      <c r="BM376" s="34"/>
      <c r="BN376" s="34"/>
      <c r="BO376" s="34"/>
      <c r="BP376" s="34"/>
      <c r="BQ376" s="34" t="n">
        <f aca="false">IFERROR(SUM(BQ373:BQ375),"n/a")</f>
        <v>5743.7</v>
      </c>
      <c r="BR376" s="34"/>
      <c r="BS376" s="34"/>
      <c r="BT376" s="34"/>
      <c r="BU376" s="34"/>
      <c r="BV376" s="34" t="n">
        <f aca="false">IFERROR(SUM(BV373:BV375),"n/a")</f>
        <v>3077</v>
      </c>
      <c r="BW376" s="34"/>
      <c r="BX376" s="34"/>
      <c r="BY376" s="36"/>
      <c r="BZ376" s="36"/>
      <c r="CA376" s="36" t="n">
        <f aca="false">SUM(CA373:CA375)</f>
        <v>2201.19233222339</v>
      </c>
      <c r="CB376" s="36" t="n">
        <f aca="false">SUM(CB373:CB375)</f>
        <v>2097.46998918205</v>
      </c>
      <c r="CC376" s="36" t="n">
        <f aca="false">SUM(CC373:CC375)</f>
        <v>2025.88794704974</v>
      </c>
      <c r="CD376" s="36" t="n">
        <f aca="false">SUM(CD373:CD375)</f>
        <v>2025.52660291357</v>
      </c>
      <c r="CE376" s="36" t="n">
        <f aca="false">SUM(CE373:CE375)</f>
        <v>2024.31311215061</v>
      </c>
      <c r="CF376" s="28"/>
    </row>
    <row r="377" customFormat="false" ht="15" hidden="false" customHeight="true" outlineLevel="0" collapsed="false">
      <c r="B377" s="50" t="s">
        <v>613</v>
      </c>
      <c r="C377" s="71" t="n">
        <f aca="false">IFERROR(C372/C376,"n/a")</f>
        <v>0.0370357706470279</v>
      </c>
      <c r="D377" s="71" t="n">
        <f aca="false">IFERROR(D372/D376,"n/a")</f>
        <v>0.0546375503083539</v>
      </c>
      <c r="E377" s="71" t="n">
        <f aca="false">IFERROR(E372/E376,"n/a")</f>
        <v>0.101803419204346</v>
      </c>
      <c r="F377" s="71" t="n">
        <f aca="false">IFERROR(F372/F376,"n/a")</f>
        <v>0.0925385324419242</v>
      </c>
      <c r="G377" s="71" t="n">
        <f aca="false">IFERROR(G372/G376,"n/a")</f>
        <v>0.0789282895518009</v>
      </c>
      <c r="H377" s="71" t="n">
        <f aca="false">IFERROR(H372/H376,"n/a")</f>
        <v>0.0443211115373598</v>
      </c>
      <c r="I377" s="71" t="n">
        <f aca="false">IFERROR(I372/I376,"n/a")</f>
        <v>0.172969717771503</v>
      </c>
      <c r="J377" s="71"/>
      <c r="K377" s="71"/>
      <c r="L377" s="71"/>
      <c r="M377" s="71"/>
      <c r="N377" s="71" t="n">
        <f aca="false">IFERROR(N372/N376,"n/a")</f>
        <v>0.19565732150258</v>
      </c>
      <c r="O377" s="71"/>
      <c r="P377" s="71"/>
      <c r="Q377" s="71"/>
      <c r="R377" s="71"/>
      <c r="S377" s="71" t="n">
        <f aca="false">IFERROR(S372/S376,"n/a")</f>
        <v>0.121231395859032</v>
      </c>
      <c r="T377" s="71"/>
      <c r="U377" s="71"/>
      <c r="V377" s="71"/>
      <c r="W377" s="71"/>
      <c r="X377" s="71" t="n">
        <f aca="false">IFERROR(X372/X376,"n/a")</f>
        <v>0.075370359726932</v>
      </c>
      <c r="Y377" s="71"/>
      <c r="Z377" s="71"/>
      <c r="AA377" s="71"/>
      <c r="AB377" s="71"/>
      <c r="AC377" s="71" t="n">
        <f aca="false">IFERROR(AC372/AC376,"n/a")</f>
        <v>0.188040520197921</v>
      </c>
      <c r="AD377" s="71"/>
      <c r="AE377" s="71"/>
      <c r="AF377" s="71"/>
      <c r="AG377" s="71"/>
      <c r="AH377" s="71" t="n">
        <f aca="false">IFERROR(AH372/AH376,"n/a")</f>
        <v>0.106322100623123</v>
      </c>
      <c r="AI377" s="71"/>
      <c r="AJ377" s="71"/>
      <c r="AK377" s="71"/>
      <c r="AL377" s="71"/>
      <c r="AM377" s="71" t="n">
        <f aca="false">IFERROR(AM372/AM376,"n/a")</f>
        <v>0.202812289407098</v>
      </c>
      <c r="AN377" s="71"/>
      <c r="AO377" s="71"/>
      <c r="AP377" s="71"/>
      <c r="AQ377" s="71"/>
      <c r="AR377" s="71" t="n">
        <f aca="false">IFERROR(AR372/AR376,"n/a")</f>
        <v>0.237514270149749</v>
      </c>
      <c r="AS377" s="71"/>
      <c r="AT377" s="71"/>
      <c r="AU377" s="71"/>
      <c r="AV377" s="71"/>
      <c r="AW377" s="71" t="n">
        <f aca="false">IFERROR(AW372/AW376,"n/a")</f>
        <v>0.0834258072642692</v>
      </c>
      <c r="AX377" s="71"/>
      <c r="AY377" s="71"/>
      <c r="AZ377" s="71"/>
      <c r="BA377" s="71"/>
      <c r="BB377" s="71" t="n">
        <f aca="false">IFERROR(BB372/BB376,"n/a")</f>
        <v>0.0927724465067326</v>
      </c>
      <c r="BC377" s="71"/>
      <c r="BD377" s="71"/>
      <c r="BE377" s="71"/>
      <c r="BF377" s="71"/>
      <c r="BG377" s="71" t="n">
        <f aca="false">IFERROR(BG372/BG376,"n/a")</f>
        <v>0.0741684506822583</v>
      </c>
      <c r="BH377" s="71"/>
      <c r="BI377" s="71"/>
      <c r="BJ377" s="71"/>
      <c r="BK377" s="71"/>
      <c r="BL377" s="71" t="n">
        <f aca="false">IFERROR(BL372/BL376,"n/a")</f>
        <v>0.049324774462179</v>
      </c>
      <c r="BM377" s="71"/>
      <c r="BN377" s="71"/>
      <c r="BO377" s="71"/>
      <c r="BP377" s="71"/>
      <c r="BQ377" s="71" t="n">
        <f aca="false">IFERROR(BQ372/BQ376,"n/a")</f>
        <v>0.0157825095321831</v>
      </c>
      <c r="BR377" s="71"/>
      <c r="BS377" s="71"/>
      <c r="BT377" s="71"/>
      <c r="BU377" s="71"/>
      <c r="BV377" s="71" t="n">
        <f aca="false">IFERROR(BV372/BV376,"n/a")</f>
        <v>0.0480987975300618</v>
      </c>
      <c r="BW377" s="71"/>
      <c r="BX377" s="71"/>
      <c r="BY377" s="71"/>
      <c r="BZ377" s="71"/>
      <c r="CA377" s="71" t="n">
        <f aca="false">IFERROR(CA372/CA376,"n/a")</f>
        <v>0.158805680071607</v>
      </c>
      <c r="CB377" s="71" t="n">
        <f aca="false">IFERROR(CB372/CB376,"n/a")</f>
        <v>0.232084822072112</v>
      </c>
      <c r="CC377" s="71" t="n">
        <f aca="false">IFERROR(CC372/CC376,"n/a")</f>
        <v>0.330993264929082</v>
      </c>
      <c r="CD377" s="71" t="n">
        <f aca="false">IFERROR(CD372/CD376,"n/a")</f>
        <v>0.427973399734153</v>
      </c>
      <c r="CE377" s="71" t="n">
        <f aca="false">IFERROR(CE372/CE376,"n/a")</f>
        <v>0.541078842306055</v>
      </c>
      <c r="CF377" s="21" t="s">
        <v>614</v>
      </c>
      <c r="CH377" s="32" t="n">
        <f aca="false">IFERROR(AVERAGE(CA377,CB377,CC377,CD377,CE377),"n/m")</f>
        <v>0.338187201822602</v>
      </c>
      <c r="CI377" s="32" t="n">
        <f aca="false">IFERROR(AVERAGE(BB377,BG377,BL377,BQ377,BV377),"n/m")</f>
        <v>0.0560293957426829</v>
      </c>
      <c r="CJ377" s="32" t="n">
        <f aca="false">IFERROR(AVERAGE(AC377,AH377,AM377,AR377,AW377,BB377,BG377,BL377,BQ377,BV377),"n/m")</f>
        <v>0.109826196635557</v>
      </c>
      <c r="CK377" s="32" t="n">
        <f aca="false">IFERROR(AVERAGE(C377,D377,E377,F377,G377,H377,I377,N377,S377,X377,AC377,AH377,AM377,AR377,AW377,BB377,BG377,BL377,BQ377,BV377),"n/m")</f>
        <v>0.103637771745322</v>
      </c>
    </row>
    <row r="378" customFormat="false" ht="15" hidden="false" customHeight="true" outlineLevel="0" collapsed="false">
      <c r="B378" s="29" t="s">
        <v>615</v>
      </c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6"/>
      <c r="BZ378" s="36"/>
      <c r="CA378" s="36"/>
      <c r="CB378" s="36"/>
      <c r="CC378" s="36"/>
      <c r="CD378" s="36"/>
      <c r="CE378" s="36"/>
      <c r="CF378" s="28"/>
    </row>
    <row r="379" customFormat="false" ht="15" hidden="false" customHeight="true" outlineLevel="0" collapsed="false">
      <c r="B379" s="29" t="s">
        <v>616</v>
      </c>
      <c r="C379" s="34" t="n">
        <f aca="false">C138</f>
        <v>12.41</v>
      </c>
      <c r="D379" s="34" t="n">
        <f aca="false">D138</f>
        <v>15.951</v>
      </c>
      <c r="E379" s="34" t="n">
        <f aca="false">E138</f>
        <v>24.623</v>
      </c>
      <c r="F379" s="34" t="n">
        <f aca="false">F138</f>
        <v>18.693</v>
      </c>
      <c r="G379" s="34" t="n">
        <f aca="false">G138</f>
        <v>13.289</v>
      </c>
      <c r="H379" s="34" t="n">
        <f aca="false">H138</f>
        <v>14.656</v>
      </c>
      <c r="I379" s="34" t="n">
        <f aca="false">I138</f>
        <v>9.915</v>
      </c>
      <c r="J379" s="34"/>
      <c r="K379" s="34"/>
      <c r="L379" s="34"/>
      <c r="M379" s="34"/>
      <c r="N379" s="34" t="n">
        <f aca="false">N138</f>
        <v>29.734</v>
      </c>
      <c r="O379" s="34"/>
      <c r="P379" s="34"/>
      <c r="Q379" s="34"/>
      <c r="R379" s="34"/>
      <c r="S379" s="34" t="n">
        <f aca="false">S138</f>
        <v>44.869</v>
      </c>
      <c r="T379" s="34"/>
      <c r="U379" s="34"/>
      <c r="V379" s="34"/>
      <c r="W379" s="34"/>
      <c r="X379" s="34" t="n">
        <f aca="false">X138</f>
        <v>-3.46499999999996</v>
      </c>
      <c r="Y379" s="34"/>
      <c r="Z379" s="34"/>
      <c r="AA379" s="34"/>
      <c r="AB379" s="34"/>
      <c r="AC379" s="34" t="n">
        <f aca="false">AC138</f>
        <v>85.071</v>
      </c>
      <c r="AD379" s="34"/>
      <c r="AE379" s="34"/>
      <c r="AF379" s="34"/>
      <c r="AG379" s="34"/>
      <c r="AH379" s="34" t="n">
        <f aca="false">AH138</f>
        <v>122.695</v>
      </c>
      <c r="AI379" s="34"/>
      <c r="AJ379" s="34"/>
      <c r="AK379" s="34"/>
      <c r="AL379" s="34"/>
      <c r="AM379" s="34" t="n">
        <f aca="false">AM138</f>
        <v>238.334</v>
      </c>
      <c r="AN379" s="34"/>
      <c r="AO379" s="34"/>
      <c r="AP379" s="34"/>
      <c r="AQ379" s="34"/>
      <c r="AR379" s="34" t="n">
        <f aca="false">AR138</f>
        <v>314.963</v>
      </c>
      <c r="AS379" s="34"/>
      <c r="AT379" s="34"/>
      <c r="AU379" s="34"/>
      <c r="AV379" s="34"/>
      <c r="AW379" s="34" t="n">
        <f aca="false">AW138</f>
        <v>227.128</v>
      </c>
      <c r="AX379" s="34"/>
      <c r="AY379" s="34"/>
      <c r="AZ379" s="34"/>
      <c r="BA379" s="34"/>
      <c r="BB379" s="34" t="n">
        <f aca="false">BB138</f>
        <v>292.564</v>
      </c>
      <c r="BC379" s="34"/>
      <c r="BD379" s="34"/>
      <c r="BE379" s="34"/>
      <c r="BF379" s="34"/>
      <c r="BG379" s="34" t="n">
        <f aca="false">BG138</f>
        <v>369.453</v>
      </c>
      <c r="BH379" s="34"/>
      <c r="BI379" s="34"/>
      <c r="BJ379" s="34"/>
      <c r="BK379" s="34"/>
      <c r="BL379" s="34" t="n">
        <f aca="false">BL138</f>
        <v>374.7</v>
      </c>
      <c r="BM379" s="34"/>
      <c r="BN379" s="34"/>
      <c r="BO379" s="34"/>
      <c r="BP379" s="34"/>
      <c r="BQ379" s="34" t="n">
        <f aca="false">BQ138</f>
        <v>138.7</v>
      </c>
      <c r="BR379" s="34"/>
      <c r="BS379" s="34"/>
      <c r="BT379" s="34"/>
      <c r="BU379" s="34"/>
      <c r="BV379" s="34" t="n">
        <f aca="false">BV138</f>
        <v>7</v>
      </c>
      <c r="BW379" s="34"/>
      <c r="BX379" s="34"/>
      <c r="BY379" s="36"/>
      <c r="BZ379" s="36"/>
      <c r="CA379" s="36" t="n">
        <f aca="false">CA138</f>
        <v>223.532058250791</v>
      </c>
      <c r="CB379" s="36" t="n">
        <f aca="false">CB138</f>
        <v>331.680477553179</v>
      </c>
      <c r="CC379" s="36" t="n">
        <f aca="false">CC138</f>
        <v>499.364529076212</v>
      </c>
      <c r="CD379" s="36" t="n">
        <f aca="false">CD138</f>
        <v>677.377446034769</v>
      </c>
      <c r="CE379" s="36" t="n">
        <f aca="false">CE138</f>
        <v>876.044261477621</v>
      </c>
      <c r="CF379" s="28"/>
    </row>
    <row r="380" customFormat="false" ht="15" hidden="false" customHeight="true" outlineLevel="0" collapsed="false">
      <c r="B380" s="29" t="s">
        <v>617</v>
      </c>
      <c r="C380" s="34" t="n">
        <f aca="false">C294</f>
        <v>250.11</v>
      </c>
      <c r="D380" s="34" t="n">
        <f aca="false">D294</f>
        <v>281.805</v>
      </c>
      <c r="E380" s="34" t="n">
        <f aca="false">E294</f>
        <v>303.421</v>
      </c>
      <c r="F380" s="34" t="n">
        <f aca="false">F294</f>
        <v>359.006</v>
      </c>
      <c r="G380" s="34" t="n">
        <f aca="false">G294</f>
        <v>381.502</v>
      </c>
      <c r="H380" s="34" t="n">
        <f aca="false">H294</f>
        <v>659.177</v>
      </c>
      <c r="I380" s="34" t="n">
        <f aca="false">I294</f>
        <v>826.343</v>
      </c>
      <c r="J380" s="34"/>
      <c r="K380" s="34"/>
      <c r="L380" s="34"/>
      <c r="M380" s="34"/>
      <c r="N380" s="34" t="n">
        <f aca="false">N294</f>
        <v>927.862</v>
      </c>
      <c r="O380" s="34"/>
      <c r="P380" s="34"/>
      <c r="Q380" s="34"/>
      <c r="R380" s="34"/>
      <c r="S380" s="34" t="n">
        <f aca="false">S294</f>
        <v>1513.546</v>
      </c>
      <c r="T380" s="34"/>
      <c r="U380" s="34"/>
      <c r="V380" s="34"/>
      <c r="W380" s="34"/>
      <c r="X380" s="34" t="n">
        <f aca="false">X294</f>
        <v>1543.78</v>
      </c>
      <c r="Y380" s="34"/>
      <c r="Z380" s="34"/>
      <c r="AA380" s="34"/>
      <c r="AB380" s="34"/>
      <c r="AC380" s="34" t="n">
        <f aca="false">AC294</f>
        <v>1654.213</v>
      </c>
      <c r="AD380" s="34"/>
      <c r="AE380" s="34"/>
      <c r="AF380" s="34"/>
      <c r="AG380" s="34"/>
      <c r="AH380" s="34" t="n">
        <f aca="false">AH294</f>
        <v>2651.25</v>
      </c>
      <c r="AI380" s="34"/>
      <c r="AJ380" s="34"/>
      <c r="AK380" s="34"/>
      <c r="AL380" s="34"/>
      <c r="AM380" s="34" t="n">
        <f aca="false">AM294</f>
        <v>3021.942</v>
      </c>
      <c r="AN380" s="34"/>
      <c r="AO380" s="34"/>
      <c r="AP380" s="34"/>
      <c r="AQ380" s="34"/>
      <c r="AR380" s="34" t="n">
        <f aca="false">AR294</f>
        <v>3405.593</v>
      </c>
      <c r="AS380" s="34"/>
      <c r="AT380" s="34"/>
      <c r="AU380" s="34"/>
      <c r="AV380" s="34"/>
      <c r="AW380" s="34" t="n">
        <f aca="false">AW294</f>
        <v>5375.359</v>
      </c>
      <c r="AX380" s="34"/>
      <c r="AY380" s="34"/>
      <c r="AZ380" s="34"/>
      <c r="BA380" s="34"/>
      <c r="BB380" s="34" t="n">
        <f aca="false">BB294</f>
        <v>5711.672</v>
      </c>
      <c r="BC380" s="34"/>
      <c r="BD380" s="34"/>
      <c r="BE380" s="34"/>
      <c r="BF380" s="34"/>
      <c r="BG380" s="34" t="n">
        <f aca="false">BG294</f>
        <v>6870.121</v>
      </c>
      <c r="BH380" s="34"/>
      <c r="BI380" s="34"/>
      <c r="BJ380" s="34"/>
      <c r="BK380" s="34"/>
      <c r="BL380" s="34" t="n">
        <f aca="false">BL294</f>
        <v>7338.6</v>
      </c>
      <c r="BM380" s="34"/>
      <c r="BN380" s="34"/>
      <c r="BO380" s="34"/>
      <c r="BP380" s="34"/>
      <c r="BQ380" s="34" t="n">
        <f aca="false">BQ294</f>
        <v>7553.5</v>
      </c>
      <c r="BR380" s="34"/>
      <c r="BS380" s="34"/>
      <c r="BT380" s="34"/>
      <c r="BU380" s="34"/>
      <c r="BV380" s="34" t="n">
        <f aca="false">BV294</f>
        <v>8334</v>
      </c>
      <c r="BW380" s="34"/>
      <c r="BX380" s="34"/>
      <c r="BY380" s="36"/>
      <c r="BZ380" s="36"/>
      <c r="CA380" s="36" t="n">
        <f aca="false">CA294</f>
        <v>8060.53205825079</v>
      </c>
      <c r="CB380" s="36" t="n">
        <f aca="false">CB294</f>
        <v>7705.80971520945</v>
      </c>
      <c r="CC380" s="36" t="n">
        <f aca="false">CC294</f>
        <v>7385.39012028106</v>
      </c>
      <c r="CD380" s="36" t="n">
        <f aca="false">CD294</f>
        <v>7043.60662121468</v>
      </c>
      <c r="CE380" s="36" t="n">
        <f aca="false">CE294</f>
        <v>6720.24005054728</v>
      </c>
      <c r="CF380" s="28"/>
    </row>
    <row r="381" customFormat="false" ht="15" hidden="false" customHeight="true" outlineLevel="0" collapsed="false">
      <c r="B381" s="50" t="s">
        <v>618</v>
      </c>
      <c r="C381" s="71" t="n">
        <f aca="false">IFERROR(C379/C380,"n/a")</f>
        <v>0.0496181680060774</v>
      </c>
      <c r="D381" s="71" t="n">
        <f aca="false">IFERROR(D379/D380,"n/a")</f>
        <v>0.0566029701389259</v>
      </c>
      <c r="E381" s="71" t="n">
        <f aca="false">IFERROR(E379/E380,"n/a")</f>
        <v>0.0811512716654417</v>
      </c>
      <c r="F381" s="71" t="n">
        <f aca="false">IFERROR(F379/F380,"n/a")</f>
        <v>0.0520687676529083</v>
      </c>
      <c r="G381" s="71" t="n">
        <f aca="false">IFERROR(G379/G380,"n/a")</f>
        <v>0.0348333691566492</v>
      </c>
      <c r="H381" s="71" t="n">
        <f aca="false">IFERROR(H379/H380,"n/a")</f>
        <v>0.0222337854627816</v>
      </c>
      <c r="I381" s="71" t="n">
        <f aca="false">IFERROR(I379/I380,"n/a")</f>
        <v>0.0119986494712244</v>
      </c>
      <c r="J381" s="71"/>
      <c r="K381" s="71"/>
      <c r="L381" s="71"/>
      <c r="M381" s="71"/>
      <c r="N381" s="71" t="n">
        <f aca="false">IFERROR(N379/N380,"n/a")</f>
        <v>0.0320457136944934</v>
      </c>
      <c r="O381" s="71"/>
      <c r="P381" s="71"/>
      <c r="Q381" s="71"/>
      <c r="R381" s="71"/>
      <c r="S381" s="71" t="n">
        <f aca="false">IFERROR(S379/S380,"n/a")</f>
        <v>0.0296449529779736</v>
      </c>
      <c r="T381" s="71"/>
      <c r="U381" s="71"/>
      <c r="V381" s="71"/>
      <c r="W381" s="71"/>
      <c r="X381" s="71" t="n">
        <f aca="false">IFERROR(X379/X380,"n/a")</f>
        <v>-0.00224449079532055</v>
      </c>
      <c r="Y381" s="71"/>
      <c r="Z381" s="71"/>
      <c r="AA381" s="71"/>
      <c r="AB381" s="71"/>
      <c r="AC381" s="71" t="n">
        <f aca="false">IFERROR(AC379/AC380,"n/a")</f>
        <v>0.051426871872002</v>
      </c>
      <c r="AD381" s="71"/>
      <c r="AE381" s="71"/>
      <c r="AF381" s="71"/>
      <c r="AG381" s="71"/>
      <c r="AH381" s="71" t="n">
        <f aca="false">IFERROR(AH379/AH380,"n/a")</f>
        <v>0.0462781706742103</v>
      </c>
      <c r="AI381" s="71"/>
      <c r="AJ381" s="71"/>
      <c r="AK381" s="71"/>
      <c r="AL381" s="71"/>
      <c r="AM381" s="71" t="n">
        <f aca="false">IFERROR(AM379/AM380,"n/a")</f>
        <v>0.0788678273772297</v>
      </c>
      <c r="AN381" s="71"/>
      <c r="AO381" s="71"/>
      <c r="AP381" s="71"/>
      <c r="AQ381" s="71"/>
      <c r="AR381" s="71" t="n">
        <f aca="false">IFERROR(AR379/AR380,"n/a")</f>
        <v>0.0924840402244191</v>
      </c>
      <c r="AS381" s="71"/>
      <c r="AT381" s="71"/>
      <c r="AU381" s="71"/>
      <c r="AV381" s="71"/>
      <c r="AW381" s="71" t="n">
        <f aca="false">IFERROR(AW379/AW380,"n/a")</f>
        <v>0.0422535499489429</v>
      </c>
      <c r="AX381" s="71"/>
      <c r="AY381" s="71"/>
      <c r="AZ381" s="71"/>
      <c r="BA381" s="71"/>
      <c r="BB381" s="71" t="n">
        <f aca="false">IFERROR(BB379/BB380,"n/a")</f>
        <v>0.0512221290018054</v>
      </c>
      <c r="BC381" s="71"/>
      <c r="BD381" s="71"/>
      <c r="BE381" s="71"/>
      <c r="BF381" s="71"/>
      <c r="BG381" s="71" t="n">
        <f aca="false">IFERROR(BG379/BG380,"n/a")</f>
        <v>0.0537767820974332</v>
      </c>
      <c r="BH381" s="71"/>
      <c r="BI381" s="71"/>
      <c r="BJ381" s="71"/>
      <c r="BK381" s="71"/>
      <c r="BL381" s="71" t="n">
        <f aca="false">IFERROR(BL379/BL380,"n/a")</f>
        <v>0.05105878505437</v>
      </c>
      <c r="BM381" s="71"/>
      <c r="BN381" s="71"/>
      <c r="BO381" s="71"/>
      <c r="BP381" s="71"/>
      <c r="BQ381" s="71" t="n">
        <f aca="false">IFERROR(BQ379/BQ380,"n/a")</f>
        <v>0.0183623485801284</v>
      </c>
      <c r="BR381" s="71"/>
      <c r="BS381" s="71"/>
      <c r="BT381" s="71"/>
      <c r="BU381" s="71"/>
      <c r="BV381" s="71" t="n">
        <f aca="false">IFERROR(BV379/BV380,"n/a")</f>
        <v>0.00083993280537557</v>
      </c>
      <c r="BW381" s="71"/>
      <c r="BX381" s="71"/>
      <c r="BY381" s="71"/>
      <c r="BZ381" s="71"/>
      <c r="CA381" s="71" t="n">
        <f aca="false">IFERROR(CA379/CA380,"n/a")</f>
        <v>0.0277316753578298</v>
      </c>
      <c r="CB381" s="71" t="n">
        <f aca="false">IFERROR(CB379/CB380,"n/a")</f>
        <v>0.0430429104547599</v>
      </c>
      <c r="CC381" s="71" t="n">
        <f aca="false">IFERROR(CC379/CC380,"n/a")</f>
        <v>0.0676151863264345</v>
      </c>
      <c r="CD381" s="71" t="n">
        <f aca="false">IFERROR(CD379/CD380,"n/a")</f>
        <v>0.0961691193819048</v>
      </c>
      <c r="CE381" s="71" t="n">
        <f aca="false">IFERROR(CE379/CE380,"n/a")</f>
        <v>0.130359072724832</v>
      </c>
      <c r="CF381" s="21"/>
      <c r="CH381" s="32" t="n">
        <f aca="false">IFERROR(AVERAGE(CA381,CB381,CC381,CD381,CE381),"n/m")</f>
        <v>0.0729835928491522</v>
      </c>
      <c r="CI381" s="32" t="n">
        <f aca="false">IFERROR(AVERAGE(BB381,BG381,BL381,BQ381,BV381),"n/m")</f>
        <v>0.0350519955078225</v>
      </c>
      <c r="CJ381" s="32" t="n">
        <f aca="false">IFERROR(AVERAGE(AC381,AH381,AM381,AR381,AW381,BB381,BG381,BL381,BQ381,BV381),"n/m")</f>
        <v>0.0486570437635917</v>
      </c>
      <c r="CK381" s="32" t="n">
        <f aca="false">IFERROR(AVERAGE(C381,D381,E381,F381,G381,H381,I381,N381,S381,X381,AC381,AH381,AM381,AR381,AW381,BB381,BG381,BL381,BQ381,BV381),"n/m")</f>
        <v>0.0427261797533536</v>
      </c>
    </row>
    <row r="382" customFormat="false" ht="15" hidden="false" customHeight="true" outlineLevel="0" collapsed="false">
      <c r="B382" s="29" t="s">
        <v>619</v>
      </c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6"/>
      <c r="BZ382" s="36"/>
      <c r="CA382" s="36"/>
      <c r="CB382" s="36"/>
      <c r="CC382" s="36"/>
      <c r="CD382" s="36"/>
      <c r="CE382" s="36"/>
      <c r="CF382" s="28"/>
    </row>
    <row r="383" customFormat="false" ht="15" hidden="false" customHeight="true" outlineLevel="0" collapsed="false">
      <c r="B383" s="29" t="s">
        <v>620</v>
      </c>
      <c r="C383" s="34" t="n">
        <f aca="false">C365</f>
        <v>-158.148</v>
      </c>
      <c r="D383" s="34" t="n">
        <f aca="false">D365</f>
        <v>-187.426</v>
      </c>
      <c r="E383" s="34" t="n">
        <f aca="false">E365</f>
        <v>-195.25</v>
      </c>
      <c r="F383" s="34" t="n">
        <f aca="false">F365</f>
        <v>-225.974</v>
      </c>
      <c r="G383" s="34" t="n">
        <f aca="false">G365</f>
        <v>-210.127</v>
      </c>
      <c r="H383" s="34" t="n">
        <f aca="false">H365</f>
        <v>-548.795</v>
      </c>
      <c r="I383" s="34" t="n">
        <f aca="false">I365</f>
        <v>14.561</v>
      </c>
      <c r="J383" s="34"/>
      <c r="K383" s="34"/>
      <c r="L383" s="34"/>
      <c r="M383" s="34"/>
      <c r="N383" s="34" t="n">
        <f aca="false">N365</f>
        <v>-102.828</v>
      </c>
      <c r="O383" s="34"/>
      <c r="P383" s="34"/>
      <c r="Q383" s="34"/>
      <c r="R383" s="34"/>
      <c r="S383" s="34" t="n">
        <f aca="false">S365</f>
        <v>-142.012</v>
      </c>
      <c r="T383" s="34"/>
      <c r="U383" s="34"/>
      <c r="V383" s="34"/>
      <c r="W383" s="34"/>
      <c r="X383" s="34" t="n">
        <f aca="false">X365</f>
        <v>-66.706</v>
      </c>
      <c r="Y383" s="34"/>
      <c r="Z383" s="34"/>
      <c r="AA383" s="34"/>
      <c r="AB383" s="34"/>
      <c r="AC383" s="34" t="n">
        <f aca="false">AC365</f>
        <v>-228.884</v>
      </c>
      <c r="AD383" s="34"/>
      <c r="AE383" s="34"/>
      <c r="AF383" s="34"/>
      <c r="AG383" s="34"/>
      <c r="AH383" s="34" t="n">
        <f aca="false">AH365</f>
        <v>-1211.463</v>
      </c>
      <c r="AI383" s="34"/>
      <c r="AJ383" s="34"/>
      <c r="AK383" s="34"/>
      <c r="AL383" s="34"/>
      <c r="AM383" s="34" t="n">
        <f aca="false">AM365</f>
        <v>-1100.416</v>
      </c>
      <c r="AN383" s="34"/>
      <c r="AO383" s="34"/>
      <c r="AP383" s="34"/>
      <c r="AQ383" s="34"/>
      <c r="AR383" s="34" t="n">
        <f aca="false">AR365</f>
        <v>-1070.731</v>
      </c>
      <c r="AS383" s="34"/>
      <c r="AT383" s="34"/>
      <c r="AU383" s="34"/>
      <c r="AV383" s="34"/>
      <c r="AW383" s="34" t="n">
        <f aca="false">AW365</f>
        <v>-2769.197</v>
      </c>
      <c r="AX383" s="34"/>
      <c r="AY383" s="34"/>
      <c r="AZ383" s="34"/>
      <c r="BA383" s="34"/>
      <c r="BB383" s="34" t="n">
        <f aca="false">BB365</f>
        <v>-2839.182</v>
      </c>
      <c r="BC383" s="34"/>
      <c r="BD383" s="34"/>
      <c r="BE383" s="34"/>
      <c r="BF383" s="34"/>
      <c r="BG383" s="34" t="n">
        <f aca="false">BG365</f>
        <v>-3978.76</v>
      </c>
      <c r="BH383" s="34"/>
      <c r="BI383" s="34"/>
      <c r="BJ383" s="34"/>
      <c r="BK383" s="34"/>
      <c r="BL383" s="34" t="n">
        <f aca="false">BL365</f>
        <v>-4225.4</v>
      </c>
      <c r="BM383" s="34"/>
      <c r="BN383" s="34"/>
      <c r="BO383" s="34"/>
      <c r="BP383" s="34"/>
      <c r="BQ383" s="34" t="n">
        <f aca="false">BQ365</f>
        <v>-3689.1</v>
      </c>
      <c r="BR383" s="34"/>
      <c r="BS383" s="34"/>
      <c r="BT383" s="34"/>
      <c r="BU383" s="34"/>
      <c r="BV383" s="34" t="n">
        <f aca="false">BV365</f>
        <v>-740</v>
      </c>
      <c r="BW383" s="34"/>
      <c r="BX383" s="34"/>
      <c r="BY383" s="36"/>
      <c r="BZ383" s="36"/>
      <c r="CA383" s="36" t="n">
        <f aca="false">CA365</f>
        <v>337.162842328131</v>
      </c>
      <c r="CB383" s="36" t="n">
        <f aca="false">CB365</f>
        <v>501.986702479836</v>
      </c>
      <c r="CC383" s="36" t="n">
        <f aca="false">CC365</f>
        <v>617.837552796073</v>
      </c>
      <c r="CD383" s="36" t="n">
        <f aca="false">CD365</f>
        <v>748.259707726295</v>
      </c>
      <c r="CE383" s="36" t="n">
        <f aca="false">CE365</f>
        <v>891.412787630721</v>
      </c>
      <c r="CF383" s="28"/>
    </row>
    <row r="384" customFormat="false" ht="15" hidden="false" customHeight="true" outlineLevel="0" collapsed="false">
      <c r="B384" s="29" t="s">
        <v>621</v>
      </c>
      <c r="C384" s="34" t="n">
        <f aca="false">C177</f>
        <v>25.89</v>
      </c>
      <c r="D384" s="34" t="n">
        <f aca="false">D177</f>
        <v>33.999</v>
      </c>
      <c r="E384" s="34" t="n">
        <f aca="false">E177</f>
        <v>56.589</v>
      </c>
      <c r="F384" s="34" t="n">
        <f aca="false">F177</f>
        <v>54.332</v>
      </c>
      <c r="G384" s="34" t="n">
        <f aca="false">G177</f>
        <v>51.317</v>
      </c>
      <c r="H384" s="34" t="n">
        <f aca="false">H177</f>
        <v>56.947</v>
      </c>
      <c r="I384" s="34" t="n">
        <f aca="false">I177</f>
        <v>86.398</v>
      </c>
      <c r="J384" s="34"/>
      <c r="K384" s="34"/>
      <c r="L384" s="34"/>
      <c r="M384" s="34"/>
      <c r="N384" s="34" t="n">
        <f aca="false">N177</f>
        <v>136.761</v>
      </c>
      <c r="O384" s="34"/>
      <c r="P384" s="34"/>
      <c r="Q384" s="34"/>
      <c r="R384" s="34"/>
      <c r="S384" s="34" t="n">
        <f aca="false">S177</f>
        <v>188.468</v>
      </c>
      <c r="T384" s="34"/>
      <c r="U384" s="34"/>
      <c r="V384" s="34"/>
      <c r="W384" s="34"/>
      <c r="X384" s="34" t="n">
        <f aca="false">X177</f>
        <v>135.64</v>
      </c>
      <c r="Y384" s="34"/>
      <c r="Z384" s="34"/>
      <c r="AA384" s="34"/>
      <c r="AB384" s="34"/>
      <c r="AC384" s="34" t="n">
        <f aca="false">AC177</f>
        <v>255.522</v>
      </c>
      <c r="AD384" s="34"/>
      <c r="AE384" s="34"/>
      <c r="AF384" s="34"/>
      <c r="AG384" s="34"/>
      <c r="AH384" s="34" t="n">
        <f aca="false">AH177</f>
        <v>279.79</v>
      </c>
      <c r="AI384" s="34"/>
      <c r="AJ384" s="34"/>
      <c r="AK384" s="34"/>
      <c r="AL384" s="34"/>
      <c r="AM384" s="34" t="n">
        <f aca="false">AM177</f>
        <v>418.022</v>
      </c>
      <c r="AN384" s="34"/>
      <c r="AO384" s="34"/>
      <c r="AP384" s="34"/>
      <c r="AQ384" s="34"/>
      <c r="AR384" s="34" t="n">
        <f aca="false">AR177</f>
        <v>506.7</v>
      </c>
      <c r="AS384" s="34"/>
      <c r="AT384" s="34"/>
      <c r="AU384" s="34"/>
      <c r="AV384" s="34"/>
      <c r="AW384" s="34" t="n">
        <f aca="false">AW177</f>
        <v>553.186</v>
      </c>
      <c r="AX384" s="34"/>
      <c r="AY384" s="34"/>
      <c r="AZ384" s="34"/>
      <c r="BA384" s="34"/>
      <c r="BB384" s="34" t="n">
        <f aca="false">BB177</f>
        <v>647.408</v>
      </c>
      <c r="BC384" s="34"/>
      <c r="BD384" s="34"/>
      <c r="BE384" s="34"/>
      <c r="BF384" s="34"/>
      <c r="BG384" s="34" t="n">
        <f aca="false">BG177</f>
        <v>671.511</v>
      </c>
      <c r="BH384" s="34"/>
      <c r="BI384" s="34"/>
      <c r="BJ384" s="34"/>
      <c r="BK384" s="34"/>
      <c r="BL384" s="34" t="n">
        <f aca="false">BL177</f>
        <v>491.7</v>
      </c>
      <c r="BM384" s="34"/>
      <c r="BN384" s="34"/>
      <c r="BO384" s="34"/>
      <c r="BP384" s="34"/>
      <c r="BQ384" s="34" t="n">
        <f aca="false">BQ177</f>
        <v>240.8</v>
      </c>
      <c r="BR384" s="34"/>
      <c r="BS384" s="34"/>
      <c r="BT384" s="34"/>
      <c r="BU384" s="34"/>
      <c r="BV384" s="34" t="n">
        <f aca="false">BV177</f>
        <v>442</v>
      </c>
      <c r="BW384" s="34"/>
      <c r="BX384" s="34"/>
      <c r="BY384" s="36"/>
      <c r="BZ384" s="36"/>
      <c r="CA384" s="36" t="n">
        <f aca="false">CA177</f>
        <v>842.228</v>
      </c>
      <c r="CB384" s="36" t="n">
        <f aca="false">CB177</f>
        <v>1003.97340495967</v>
      </c>
      <c r="CC384" s="36" t="n">
        <f aca="false">CC177</f>
        <v>1235.67510559215</v>
      </c>
      <c r="CD384" s="36" t="n">
        <f aca="false">CD177</f>
        <v>1496.51941545259</v>
      </c>
      <c r="CE384" s="36" t="n">
        <f aca="false">CE177</f>
        <v>1782.82557526144</v>
      </c>
      <c r="CF384" s="28"/>
    </row>
    <row r="385" customFormat="false" ht="15" hidden="false" customHeight="true" outlineLevel="0" collapsed="false">
      <c r="B385" s="50" t="s">
        <v>622</v>
      </c>
      <c r="C385" s="72" t="n">
        <f aca="false">IFERROR(C383/C384,"n/a")</f>
        <v>-6.10845886442642</v>
      </c>
      <c r="D385" s="72" t="n">
        <f aca="false">IFERROR(D383/D384,"n/a")</f>
        <v>-5.51269154975146</v>
      </c>
      <c r="E385" s="72" t="n">
        <f aca="false">IFERROR(E383/E384,"n/a")</f>
        <v>-3.45031719945573</v>
      </c>
      <c r="F385" s="72" t="n">
        <f aca="false">IFERROR(F383/F384,"n/a")</f>
        <v>-4.15913273945373</v>
      </c>
      <c r="G385" s="72" t="n">
        <f aca="false">IFERROR(G383/G384,"n/a")</f>
        <v>-4.09468597151042</v>
      </c>
      <c r="H385" s="72" t="n">
        <f aca="false">IFERROR(H383/H384,"n/a")</f>
        <v>-9.63694312255255</v>
      </c>
      <c r="I385" s="72" t="n">
        <f aca="false">IFERROR(I383/I384,"n/a")</f>
        <v>0.16853399384245</v>
      </c>
      <c r="J385" s="72"/>
      <c r="K385" s="72"/>
      <c r="L385" s="72"/>
      <c r="M385" s="72"/>
      <c r="N385" s="72" t="n">
        <f aca="false">IFERROR(N383/N384,"n/a")</f>
        <v>-0.751881018711475</v>
      </c>
      <c r="O385" s="72"/>
      <c r="P385" s="72"/>
      <c r="Q385" s="72"/>
      <c r="R385" s="72"/>
      <c r="S385" s="72" t="n">
        <f aca="false">IFERROR(S383/S384,"n/a")</f>
        <v>-0.753507226691003</v>
      </c>
      <c r="T385" s="72"/>
      <c r="U385" s="72"/>
      <c r="V385" s="72"/>
      <c r="W385" s="72"/>
      <c r="X385" s="72" t="n">
        <f aca="false">IFERROR(X383/X384,"n/a")</f>
        <v>-0.491787083456208</v>
      </c>
      <c r="Y385" s="72"/>
      <c r="Z385" s="72"/>
      <c r="AA385" s="72"/>
      <c r="AB385" s="72"/>
      <c r="AC385" s="72" t="n">
        <f aca="false">IFERROR(AC383/AC384,"n/a")</f>
        <v>-0.895750659434413</v>
      </c>
      <c r="AD385" s="72"/>
      <c r="AE385" s="72"/>
      <c r="AF385" s="72"/>
      <c r="AG385" s="72"/>
      <c r="AH385" s="72" t="n">
        <f aca="false">IFERROR(AH383/AH384,"n/a")</f>
        <v>-4.32990099717645</v>
      </c>
      <c r="AI385" s="72"/>
      <c r="AJ385" s="72"/>
      <c r="AK385" s="72"/>
      <c r="AL385" s="72"/>
      <c r="AM385" s="72" t="n">
        <f aca="false">IFERROR(AM383/AM384,"n/a")</f>
        <v>-2.63243561343661</v>
      </c>
      <c r="AN385" s="72"/>
      <c r="AO385" s="72"/>
      <c r="AP385" s="72"/>
      <c r="AQ385" s="72"/>
      <c r="AR385" s="72" t="n">
        <f aca="false">IFERROR(AR383/AR384,"n/a")</f>
        <v>-2.11314584566805</v>
      </c>
      <c r="AS385" s="72"/>
      <c r="AT385" s="72"/>
      <c r="AU385" s="72"/>
      <c r="AV385" s="72"/>
      <c r="AW385" s="72" t="n">
        <f aca="false">IFERROR(AW383/AW384,"n/a")</f>
        <v>-5.00590578937283</v>
      </c>
      <c r="AX385" s="72"/>
      <c r="AY385" s="72"/>
      <c r="AZ385" s="72"/>
      <c r="BA385" s="72"/>
      <c r="BB385" s="72" t="n">
        <f aca="false">IFERROR(BB383/BB384,"n/a")</f>
        <v>-4.38546017349183</v>
      </c>
      <c r="BC385" s="72"/>
      <c r="BD385" s="72"/>
      <c r="BE385" s="72"/>
      <c r="BF385" s="72"/>
      <c r="BG385" s="72" t="n">
        <f aca="false">IFERROR(BG383/BG384,"n/a")</f>
        <v>-5.92508536717939</v>
      </c>
      <c r="BH385" s="72"/>
      <c r="BI385" s="72"/>
      <c r="BJ385" s="72"/>
      <c r="BK385" s="72"/>
      <c r="BL385" s="72" t="n">
        <f aca="false">IFERROR(BL383/BL384,"n/a")</f>
        <v>-8.59345129143787</v>
      </c>
      <c r="BM385" s="72"/>
      <c r="BN385" s="72"/>
      <c r="BO385" s="72"/>
      <c r="BP385" s="72"/>
      <c r="BQ385" s="72" t="n">
        <f aca="false">IFERROR(BQ383/BQ384,"n/a")</f>
        <v>-15.3201827242525</v>
      </c>
      <c r="BR385" s="72"/>
      <c r="BS385" s="72"/>
      <c r="BT385" s="72"/>
      <c r="BU385" s="72"/>
      <c r="BV385" s="72" t="n">
        <f aca="false">IFERROR(BV383/BV384,"n/a")</f>
        <v>-1.67420814479638</v>
      </c>
      <c r="BW385" s="72"/>
      <c r="BX385" s="72"/>
      <c r="BY385" s="72"/>
      <c r="BZ385" s="72"/>
      <c r="CA385" s="72" t="n">
        <f aca="false">IFERROR(CA383/CA384,"n/a")</f>
        <v>0.400322528256162</v>
      </c>
      <c r="CB385" s="72" t="n">
        <f aca="false">IFERROR(CB383/CB384,"n/a")</f>
        <v>0.5</v>
      </c>
      <c r="CC385" s="72" t="n">
        <f aca="false">IFERROR(CC383/CC384,"n/a")</f>
        <v>0.5</v>
      </c>
      <c r="CD385" s="72" t="n">
        <f aca="false">IFERROR(CD383/CD384,"n/a")</f>
        <v>0.5</v>
      </c>
      <c r="CE385" s="72" t="n">
        <f aca="false">IFERROR(CE383/CE384,"n/a")</f>
        <v>0.5</v>
      </c>
      <c r="CF385" s="21"/>
    </row>
    <row r="387" customFormat="false" ht="15" hidden="false" customHeight="true" outlineLevel="0" collapsed="false">
      <c r="B387" s="11" t="s">
        <v>623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 t="s">
        <v>624</v>
      </c>
    </row>
    <row r="388" customFormat="false" ht="15" hidden="false" customHeight="true" outlineLevel="0" collapsed="false">
      <c r="B388" s="68" t="s">
        <v>625</v>
      </c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  <c r="BT388" s="58"/>
      <c r="BU388" s="58"/>
      <c r="BV388" s="58"/>
      <c r="BW388" s="58"/>
      <c r="BX388" s="58"/>
      <c r="BY388" s="59"/>
      <c r="BZ388" s="59"/>
      <c r="CA388" s="73" t="n">
        <v>30.78</v>
      </c>
      <c r="CB388" s="59" t="n">
        <f aca="false">CA388*(1+CB334)</f>
        <v>33.2424</v>
      </c>
      <c r="CC388" s="59" t="n">
        <f aca="false">CB388*(1+CC334)</f>
        <v>35.901792</v>
      </c>
      <c r="CD388" s="59" t="n">
        <f aca="false">CC388*(1+CD334)</f>
        <v>38.77393536</v>
      </c>
      <c r="CE388" s="59" t="n">
        <f aca="false">CD388*(1+CE334)</f>
        <v>41.8758501888</v>
      </c>
      <c r="CF388" s="28" t="s">
        <v>626</v>
      </c>
    </row>
    <row r="389" customFormat="false" ht="15" hidden="false" customHeight="true" outlineLevel="0" collapsed="false">
      <c r="B389" s="29" t="s">
        <v>627</v>
      </c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  <c r="BI389" s="54"/>
      <c r="BJ389" s="54"/>
      <c r="BK389" s="54"/>
      <c r="BL389" s="54"/>
      <c r="BM389" s="54"/>
      <c r="BN389" s="54"/>
      <c r="BO389" s="54"/>
      <c r="BP389" s="54"/>
      <c r="BQ389" s="54"/>
      <c r="BR389" s="54"/>
      <c r="BS389" s="54"/>
      <c r="BT389" s="54"/>
      <c r="BU389" s="54"/>
      <c r="BV389" s="54"/>
      <c r="BW389" s="54"/>
      <c r="BX389" s="54"/>
      <c r="BY389" s="56"/>
      <c r="BZ389" s="56"/>
      <c r="CA389" s="56" t="n">
        <f aca="false">CA263+$CA265</f>
        <v>402.326372925276</v>
      </c>
      <c r="CB389" s="56" t="n">
        <f aca="false">CB263+$CA265</f>
        <v>378.774703468944</v>
      </c>
      <c r="CC389" s="56" t="n">
        <f aca="false">CC263+$CA265</f>
        <v>352.925974106743</v>
      </c>
      <c r="CD389" s="56" t="n">
        <f aca="false">CD263+$CA265</f>
        <v>323.550166092329</v>
      </c>
      <c r="CE389" s="56" t="n">
        <f aca="false">CE263+$CA265</f>
        <v>291.777225223503</v>
      </c>
      <c r="CF389" s="28"/>
    </row>
    <row r="390" customFormat="false" ht="15" hidden="false" customHeight="true" outlineLevel="0" collapsed="false">
      <c r="B390" s="29" t="s">
        <v>628</v>
      </c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6"/>
      <c r="BZ390" s="36"/>
      <c r="CA390" s="36" t="n">
        <f aca="false">IFERROR(CA388*CA389,"n/a")</f>
        <v>12383.60575864</v>
      </c>
      <c r="CB390" s="36" t="n">
        <f aca="false">IFERROR(CB388*CB389,"n/a")</f>
        <v>12591.380202596</v>
      </c>
      <c r="CC390" s="36" t="n">
        <f aca="false">IFERROR(CC388*CC389,"n/a")</f>
        <v>12670.6749137777</v>
      </c>
      <c r="CD390" s="36" t="n">
        <f aca="false">IFERROR(CD388*CD389,"n/a")</f>
        <v>12545.3132257812</v>
      </c>
      <c r="CE390" s="36" t="n">
        <f aca="false">IFERROR(CE388*CE389,"n/a")</f>
        <v>12218.4193719632</v>
      </c>
      <c r="CF390" s="28"/>
    </row>
    <row r="391" customFormat="false" ht="15" hidden="false" customHeight="true" outlineLevel="0" collapsed="false">
      <c r="B391" s="29" t="s">
        <v>629</v>
      </c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6"/>
      <c r="BZ391" s="36"/>
      <c r="CA391" s="36" t="n">
        <f aca="false">CA383</f>
        <v>337.162842328131</v>
      </c>
      <c r="CB391" s="36" t="n">
        <f aca="false">CB383</f>
        <v>501.986702479836</v>
      </c>
      <c r="CC391" s="36" t="n">
        <f aca="false">CC383</f>
        <v>617.837552796073</v>
      </c>
      <c r="CD391" s="36" t="n">
        <f aca="false">CD383</f>
        <v>748.259707726295</v>
      </c>
      <c r="CE391" s="36" t="n">
        <f aca="false">CE383</f>
        <v>891.412787630721</v>
      </c>
      <c r="CF391" s="28"/>
    </row>
    <row r="392" customFormat="false" ht="15" hidden="false" customHeight="true" outlineLevel="0" collapsed="false">
      <c r="B392" s="29" t="s">
        <v>630</v>
      </c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6"/>
      <c r="BZ392" s="36"/>
      <c r="CA392" s="36" t="n">
        <f aca="false">CA296</f>
        <v>13</v>
      </c>
      <c r="CB392" s="36" t="n">
        <f aca="false">CB296</f>
        <v>13</v>
      </c>
      <c r="CC392" s="36" t="n">
        <f aca="false">CC296</f>
        <v>13</v>
      </c>
      <c r="CD392" s="36" t="n">
        <f aca="false">CD296</f>
        <v>13</v>
      </c>
      <c r="CE392" s="36" t="n">
        <f aca="false">CE296</f>
        <v>13</v>
      </c>
      <c r="CF392" s="28"/>
    </row>
    <row r="393" customFormat="false" ht="15" hidden="false" customHeight="true" outlineLevel="0" collapsed="false">
      <c r="B393" s="50" t="s">
        <v>631</v>
      </c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 t="n">
        <f aca="false">IFERROR(CA390+CA391+CA392,"n/a")</f>
        <v>12733.7686009681</v>
      </c>
      <c r="CB393" s="51" t="n">
        <f aca="false">IFERROR(CB390+CB391+CB392,"n/a")</f>
        <v>13106.3669050759</v>
      </c>
      <c r="CC393" s="51" t="n">
        <f aca="false">IFERROR(CC390+CC391+CC392,"n/a")</f>
        <v>13301.5124665738</v>
      </c>
      <c r="CD393" s="51" t="n">
        <f aca="false">IFERROR(CD390+CD391+CD392,"n/a")</f>
        <v>13306.5729335075</v>
      </c>
      <c r="CE393" s="51" t="n">
        <f aca="false">IFERROR(CE390+CE391+CE392,"n/a")</f>
        <v>13122.8321595939</v>
      </c>
      <c r="CF393" s="21"/>
    </row>
    <row r="394" customFormat="false" ht="15" hidden="false" customHeight="true" outlineLevel="0" collapsed="false">
      <c r="B394" s="29" t="s">
        <v>632</v>
      </c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6"/>
      <c r="BZ394" s="36"/>
      <c r="CA394" s="36"/>
      <c r="CB394" s="36"/>
      <c r="CC394" s="36"/>
      <c r="CD394" s="36"/>
      <c r="CE394" s="36"/>
      <c r="CF394" s="28"/>
    </row>
    <row r="395" customFormat="false" ht="15" hidden="false" customHeight="true" outlineLevel="0" collapsed="false">
      <c r="B395" s="29" t="s">
        <v>633</v>
      </c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7"/>
      <c r="BZ395" s="47"/>
      <c r="CA395" s="47" t="n">
        <f aca="false">IFERROR(CA393/CA305,"n/a")</f>
        <v>3.24957091843213</v>
      </c>
      <c r="CB395" s="47" t="n">
        <f aca="false">IFERROR(CB393/CB305,"n/a")</f>
        <v>3.03044398655794</v>
      </c>
      <c r="CC395" s="47" t="n">
        <f aca="false">IFERROR(CC393/CC305,"n/a")</f>
        <v>2.79980022962043</v>
      </c>
      <c r="CD395" s="47" t="n">
        <f aca="false">IFERROR(CD393/CD305,"n/a")</f>
        <v>2.56632703785286</v>
      </c>
      <c r="CE395" s="47" t="n">
        <f aca="false">IFERROR(CE393/CE305,"n/a")</f>
        <v>2.33440273809588</v>
      </c>
      <c r="CF395" s="28"/>
    </row>
    <row r="396" customFormat="false" ht="15" hidden="false" customHeight="true" outlineLevel="0" collapsed="false">
      <c r="B396" s="29" t="s">
        <v>634</v>
      </c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7"/>
      <c r="BZ396" s="47"/>
      <c r="CA396" s="47" t="n">
        <f aca="false">IFERROR(CA393/CA177,"n/a")</f>
        <v>15.119146598033</v>
      </c>
      <c r="CB396" s="47" t="n">
        <f aca="false">IFERROR(CB393/CB177,"n/a")</f>
        <v>13.0544961055042</v>
      </c>
      <c r="CC396" s="47" t="n">
        <f aca="false">IFERROR(CC393/CC177,"n/a")</f>
        <v>10.7645710481475</v>
      </c>
      <c r="CD396" s="47" t="n">
        <f aca="false">IFERROR(CD393/CD177,"n/a")</f>
        <v>8.89168078683647</v>
      </c>
      <c r="CE396" s="47" t="n">
        <f aca="false">IFERROR(CE393/CE177,"n/a")</f>
        <v>7.36069323981372</v>
      </c>
      <c r="CF396" s="28"/>
    </row>
    <row r="397" customFormat="false" ht="15" hidden="false" customHeight="true" outlineLevel="0" collapsed="false">
      <c r="B397" s="29" t="s">
        <v>635</v>
      </c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7"/>
      <c r="BZ397" s="47"/>
      <c r="CA397" s="47" t="n">
        <f aca="false">IFERROR(CA393/(CA177-CA162),"n/a")</f>
        <v>18.5561775400714</v>
      </c>
      <c r="CB397" s="47" t="n">
        <f aca="false">IFERROR(CB393/(CB177-CB162),"n/a")</f>
        <v>15.7722301063546</v>
      </c>
      <c r="CC397" s="47" t="n">
        <f aca="false">IFERROR(CC393/(CC177-CC162),"n/a")</f>
        <v>12.7209299783573</v>
      </c>
      <c r="CD397" s="47" t="n">
        <f aca="false">IFERROR(CD393/(CD177-CD162),"n/a")</f>
        <v>10.3222398803133</v>
      </c>
      <c r="CE397" s="47" t="n">
        <f aca="false">IFERROR(CE393/(CE177-CE162),"n/a")</f>
        <v>8.42305537160062</v>
      </c>
      <c r="CF397" s="28" t="s">
        <v>636</v>
      </c>
    </row>
    <row r="398" customFormat="false" ht="15" hidden="false" customHeight="true" outlineLevel="0" collapsed="false">
      <c r="B398" s="29" t="s">
        <v>637</v>
      </c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7"/>
      <c r="BZ398" s="47"/>
      <c r="CA398" s="47" t="n">
        <f aca="false">IFERROR(CA393/CA175,"n/a")</f>
        <v>26.8424675150254</v>
      </c>
      <c r="CB398" s="47" t="n">
        <f aca="false">IFERROR(CB393/CB175,"n/a")</f>
        <v>19.9237712305047</v>
      </c>
      <c r="CC398" s="47" t="n">
        <f aca="false">IFERROR(CC393/CC175,"n/a")</f>
        <v>14.6790573793501</v>
      </c>
      <c r="CD398" s="47" t="n">
        <f aca="false">IFERROR(CD393/CD175,"n/a")</f>
        <v>11.3590813597533</v>
      </c>
      <c r="CE398" s="47" t="n">
        <f aca="false">IFERROR(CE393/CE175,"n/a")</f>
        <v>8.86586376749586</v>
      </c>
      <c r="CF398" s="28"/>
    </row>
    <row r="399" customFormat="false" ht="15" hidden="false" customHeight="true" outlineLevel="0" collapsed="false">
      <c r="B399" s="29" t="s">
        <v>638</v>
      </c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7"/>
      <c r="BZ399" s="47"/>
      <c r="CA399" s="47" t="n">
        <f aca="false">IFERROR(CA393/CA363,"n/a")</f>
        <v>1.51399720849363</v>
      </c>
      <c r="CB399" s="47" t="n">
        <f aca="false">IFERROR(CB393/CB363,"n/a")</f>
        <v>1.5942940609591</v>
      </c>
      <c r="CC399" s="47" t="n">
        <f aca="false">IFERROR(CC393/CC363,"n/a")</f>
        <v>1.65932318904159</v>
      </c>
      <c r="CD399" s="47" t="n">
        <f aca="false">IFERROR(CD393/CD363,"n/a")</f>
        <v>1.7049072172019</v>
      </c>
      <c r="CE399" s="47" t="n">
        <f aca="false">IFERROR(CE393/CE363,"n/a")</f>
        <v>1.7211055294066</v>
      </c>
      <c r="CF399" s="28"/>
    </row>
    <row r="400" customFormat="false" ht="15" hidden="false" customHeight="true" outlineLevel="0" collapsed="false">
      <c r="B400" s="29" t="s">
        <v>639</v>
      </c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7"/>
      <c r="BZ400" s="47"/>
      <c r="CA400" s="47" t="n">
        <f aca="false">IFERROR(CA388/CA147,"n/a")</f>
        <v>55.8652195023835</v>
      </c>
      <c r="CB400" s="47" t="n">
        <f aca="false">IFERROR(CB388/CB147,"n/a")</f>
        <v>39.1426028650783</v>
      </c>
      <c r="CC400" s="47" t="n">
        <f aca="false">IFERROR(CC388/CC147,"n/a")</f>
        <v>26.3027948552712</v>
      </c>
      <c r="CD400" s="47" t="n">
        <f aca="false">IFERROR(CD388/CD147,"n/a")</f>
        <v>19.3611717412531</v>
      </c>
      <c r="CE400" s="47" t="n">
        <f aca="false">IFERROR(CE388/CE147,"n/a")</f>
        <v>14.7066528421436</v>
      </c>
      <c r="CF400" s="28"/>
    </row>
    <row r="401" customFormat="false" ht="15" hidden="false" customHeight="true" outlineLevel="0" collapsed="false">
      <c r="B401" s="29" t="s">
        <v>640</v>
      </c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7"/>
      <c r="BZ401" s="47"/>
      <c r="CA401" s="47" t="n">
        <f aca="false">IFERROR(CA388/CA196,"n/a")</f>
        <v>22.6852009976041</v>
      </c>
      <c r="CB401" s="47" t="n">
        <f aca="false">IFERROR(CB388/CB196,"n/a")</f>
        <v>19.6387970358288</v>
      </c>
      <c r="CC401" s="47" t="n">
        <f aca="false">IFERROR(CC388/CC196,"n/a")</f>
        <v>16.0036360108659</v>
      </c>
      <c r="CD401" s="47" t="n">
        <f aca="false">IFERROR(CD388/CD196,"n/a")</f>
        <v>13.066806848031</v>
      </c>
      <c r="CE401" s="47" t="n">
        <f aca="false">IFERROR(CE388/CE196,"n/a")</f>
        <v>10.7876303329792</v>
      </c>
      <c r="CF401" s="28"/>
    </row>
    <row r="402" customFormat="false" ht="15" hidden="false" customHeight="true" outlineLevel="0" collapsed="false">
      <c r="B402" s="29" t="s">
        <v>641</v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7"/>
      <c r="BZ402" s="27"/>
      <c r="CA402" s="27" t="n">
        <f aca="false">IFERROR(CA248/CA390,"n/a")</f>
        <v>0.0366482239920492</v>
      </c>
      <c r="CB402" s="27" t="n">
        <f aca="false">IFERROR(CB248/CB390,"n/a")</f>
        <v>0.0551627339821143</v>
      </c>
      <c r="CC402" s="27" t="n">
        <f aca="false">IFERROR(CC248/CC390,"n/a")</f>
        <v>0.0705541294992676</v>
      </c>
      <c r="CD402" s="27" t="n">
        <f aca="false">IFERROR(CD248/CD390,"n/a")</f>
        <v>0.0873745738476912</v>
      </c>
      <c r="CE402" s="27" t="n">
        <f aca="false">IFERROR(CE248/CE390,"n/a")</f>
        <v>0.104851330876187</v>
      </c>
      <c r="CF402" s="28"/>
    </row>
    <row r="403" customFormat="false" ht="15" hidden="false" customHeight="true" outlineLevel="0" collapsed="false">
      <c r="B403" s="29" t="s">
        <v>642</v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7"/>
      <c r="BZ403" s="27"/>
      <c r="CA403" s="27" t="n">
        <f aca="false">IFERROR(-CA236/CA390,"n/a")</f>
        <v>0.0565263473049126</v>
      </c>
      <c r="CB403" s="27" t="n">
        <f aca="false">IFERROR(-CB236/CB390,"n/a")</f>
        <v>0.0674587537718896</v>
      </c>
      <c r="CC403" s="27" t="n">
        <f aca="false">IFERROR(-CC236/CC390,"n/a")</f>
        <v>0.0789081320316141</v>
      </c>
      <c r="CD403" s="27" t="n">
        <f aca="false">IFERROR(-CD236/CD390,"n/a")</f>
        <v>0.0969735493983972</v>
      </c>
      <c r="CE403" s="27" t="n">
        <f aca="false">IFERROR(-CE236/CE390,"n/a")</f>
        <v>0.115749064523304</v>
      </c>
      <c r="CF403" s="28" t="s">
        <v>643</v>
      </c>
    </row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51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15"/>
    <col collapsed="false" customWidth="true" hidden="false" outlineLevel="0" max="2" min="2" style="0" width="66"/>
    <col collapsed="false" customWidth="true" hidden="false" outlineLevel="0" max="8" min="3" style="0" width="12.61"/>
    <col collapsed="false" customWidth="true" hidden="false" outlineLevel="0" max="12" min="9" style="0" width="13.3"/>
    <col collapsed="false" customWidth="true" hidden="false" outlineLevel="0" max="13" min="13" style="0" width="3.86"/>
    <col collapsed="false" customWidth="true" hidden="false" outlineLevel="0" max="14" min="14" style="0" width="66"/>
    <col collapsed="false" customWidth="true" hidden="false" outlineLevel="0" max="20" min="15" style="0" width="12.61"/>
    <col collapsed="false" customWidth="true" hidden="false" outlineLevel="0" max="24" min="21" style="0" width="13.3"/>
    <col collapsed="false" customWidth="true" hidden="false" outlineLevel="0" max="25" min="25" style="0" width="3.86"/>
    <col collapsed="false" customWidth="true" hidden="false" outlineLevel="0" max="26" min="26" style="0" width="66"/>
    <col collapsed="false" customWidth="true" hidden="false" outlineLevel="0" max="32" min="27" style="0" width="12.61"/>
    <col collapsed="false" customWidth="true" hidden="false" outlineLevel="0" max="36" min="33" style="0" width="13.3"/>
  </cols>
  <sheetData>
    <row r="2" customFormat="false" ht="19.7" hidden="false" customHeight="false" outlineLevel="0" collapsed="false">
      <c r="B2" s="2" t="s">
        <v>644</v>
      </c>
      <c r="J2" s="74" t="s">
        <v>645</v>
      </c>
      <c r="K2" s="75" t="n">
        <f aca="false">Model!$CA$388</f>
        <v>30.78</v>
      </c>
    </row>
    <row r="3" customFormat="false" ht="15" hidden="false" customHeight="false" outlineLevel="0" collapsed="false">
      <c r="B3" s="4" t="s">
        <v>646</v>
      </c>
      <c r="J3" s="74" t="s">
        <v>647</v>
      </c>
      <c r="K3" s="76" t="n">
        <f aca="true">TODAY()</f>
        <v>46301</v>
      </c>
    </row>
    <row r="5" customFormat="false" ht="15" hidden="false" customHeight="false" outlineLevel="0" collapsed="false">
      <c r="B5" s="11" t="s">
        <v>648</v>
      </c>
      <c r="C5" s="77" t="str">
        <f aca="false">Model!$CF$2</f>
        <v>Base</v>
      </c>
      <c r="N5" s="78" t="s">
        <v>648</v>
      </c>
      <c r="O5" s="79" t="s">
        <v>80</v>
      </c>
      <c r="P5" s="4" t="s">
        <v>649</v>
      </c>
      <c r="Z5" s="78" t="s">
        <v>648</v>
      </c>
      <c r="AA5" s="79" t="s">
        <v>81</v>
      </c>
      <c r="AB5" s="4" t="s">
        <v>650</v>
      </c>
    </row>
    <row r="7" customFormat="false" ht="15" hidden="false" customHeight="false" outlineLevel="0" collapsed="false">
      <c r="B7" s="80" t="s">
        <v>651</v>
      </c>
      <c r="C7" s="81" t="s">
        <v>652</v>
      </c>
      <c r="D7" s="81" t="s">
        <v>64</v>
      </c>
      <c r="E7" s="81" t="s">
        <v>65</v>
      </c>
      <c r="F7" s="81" t="s">
        <v>66</v>
      </c>
      <c r="G7" s="81" t="s">
        <v>67</v>
      </c>
      <c r="H7" s="81" t="s">
        <v>68</v>
      </c>
      <c r="I7" s="81" t="s">
        <v>653</v>
      </c>
      <c r="J7" s="81" t="s">
        <v>654</v>
      </c>
      <c r="K7" s="81" t="s">
        <v>655</v>
      </c>
      <c r="L7" s="81" t="s">
        <v>656</v>
      </c>
      <c r="N7" s="80" t="s">
        <v>651</v>
      </c>
      <c r="O7" s="81" t="s">
        <v>652</v>
      </c>
      <c r="P7" s="81" t="s">
        <v>64</v>
      </c>
      <c r="Q7" s="81" t="s">
        <v>65</v>
      </c>
      <c r="R7" s="81" t="s">
        <v>66</v>
      </c>
      <c r="S7" s="81" t="s">
        <v>67</v>
      </c>
      <c r="T7" s="81" t="s">
        <v>68</v>
      </c>
      <c r="U7" s="81" t="s">
        <v>653</v>
      </c>
      <c r="V7" s="81" t="s">
        <v>654</v>
      </c>
      <c r="W7" s="81" t="s">
        <v>655</v>
      </c>
      <c r="X7" s="81" t="s">
        <v>656</v>
      </c>
      <c r="Z7" s="80" t="s">
        <v>651</v>
      </c>
      <c r="AA7" s="81" t="s">
        <v>652</v>
      </c>
      <c r="AB7" s="81" t="s">
        <v>64</v>
      </c>
      <c r="AC7" s="81" t="s">
        <v>65</v>
      </c>
      <c r="AD7" s="81" t="s">
        <v>66</v>
      </c>
      <c r="AE7" s="81" t="s">
        <v>67</v>
      </c>
      <c r="AF7" s="81" t="s">
        <v>68</v>
      </c>
      <c r="AG7" s="81" t="s">
        <v>653</v>
      </c>
      <c r="AH7" s="81" t="s">
        <v>654</v>
      </c>
      <c r="AI7" s="81" t="s">
        <v>655</v>
      </c>
      <c r="AJ7" s="81" t="s">
        <v>656</v>
      </c>
    </row>
    <row r="9" customFormat="false" ht="15" hidden="false" customHeight="false" outlineLevel="0" collapsed="false">
      <c r="B9" s="82" t="s">
        <v>299</v>
      </c>
      <c r="C9" s="83" t="n">
        <f aca="false">Model!BV121</f>
        <v>3247</v>
      </c>
      <c r="D9" s="84" t="n">
        <f aca="false">Model!CA121</f>
        <v>3801.90082191781</v>
      </c>
      <c r="E9" s="84" t="n">
        <f aca="false">Model!CB121</f>
        <v>4324.89990351626</v>
      </c>
      <c r="F9" s="84" t="n">
        <f aca="false">Model!CC121</f>
        <v>4750.8791255357</v>
      </c>
      <c r="G9" s="84" t="n">
        <f aca="false">Model!CD121</f>
        <v>5185.06516793768</v>
      </c>
      <c r="H9" s="84" t="n">
        <f aca="false">Model!CE121</f>
        <v>5621.49450282856</v>
      </c>
      <c r="I9" s="85" t="n">
        <f aca="false">IFERROR((H9/C9)^(1/5)-1,"n/m")</f>
        <v>0.116024940960849</v>
      </c>
      <c r="N9" s="82" t="s">
        <v>299</v>
      </c>
      <c r="O9" s="83" t="n">
        <v>3247</v>
      </c>
      <c r="P9" s="84" t="n">
        <v>3821.90082191781</v>
      </c>
      <c r="Q9" s="84" t="n">
        <v>4493.05807224548</v>
      </c>
      <c r="R9" s="84" t="n">
        <v>5139.86414480796</v>
      </c>
      <c r="S9" s="84" t="n">
        <v>5828.21253001634</v>
      </c>
      <c r="T9" s="84" t="n">
        <v>6553.89171208887</v>
      </c>
      <c r="U9" s="85" t="n">
        <v>0.150809383920999</v>
      </c>
      <c r="Z9" s="82" t="s">
        <v>299</v>
      </c>
      <c r="AA9" s="83" t="n">
        <v>3247</v>
      </c>
      <c r="AB9" s="84" t="n">
        <v>3781.90082191781</v>
      </c>
      <c r="AC9" s="84" t="n">
        <v>4199.46267172398</v>
      </c>
      <c r="AD9" s="84" t="n">
        <v>4501.57221286609</v>
      </c>
      <c r="AE9" s="84" t="n">
        <v>4793.36866628199</v>
      </c>
      <c r="AF9" s="84" t="n">
        <v>5069.48521590416</v>
      </c>
      <c r="AG9" s="85" t="n">
        <v>0.0931916717376082</v>
      </c>
    </row>
    <row r="10" customFormat="false" ht="15" hidden="false" customHeight="false" outlineLevel="0" collapsed="false">
      <c r="B10" s="86" t="s">
        <v>657</v>
      </c>
      <c r="C10" s="87"/>
      <c r="D10" s="88" t="n">
        <f aca="false">IFERROR(D9/C9-1,"")</f>
        <v>0.170896465019343</v>
      </c>
      <c r="E10" s="88" t="n">
        <f aca="false">IFERROR(E9/D9-1,"")</f>
        <v>0.137562526245657</v>
      </c>
      <c r="F10" s="88" t="n">
        <f aca="false">IFERROR(F9/E9-1,"")</f>
        <v>0.0984945851979384</v>
      </c>
      <c r="G10" s="88" t="n">
        <f aca="false">IFERROR(G9/F9-1,"")</f>
        <v>0.0913906733741658</v>
      </c>
      <c r="H10" s="88" t="n">
        <f aca="false">IFERROR(H9/G9-1,"")</f>
        <v>0.0841704628110715</v>
      </c>
      <c r="N10" s="86" t="s">
        <v>657</v>
      </c>
      <c r="O10" s="89"/>
      <c r="P10" s="90" t="n">
        <v>0.177055996894921</v>
      </c>
      <c r="Q10" s="90" t="n">
        <v>0.175608233075731</v>
      </c>
      <c r="R10" s="90" t="n">
        <v>0.143956757772158</v>
      </c>
      <c r="S10" s="90" t="n">
        <v>0.133923459028332</v>
      </c>
      <c r="T10" s="90" t="n">
        <v>0.124511448121556</v>
      </c>
      <c r="Z10" s="86" t="s">
        <v>657</v>
      </c>
      <c r="AA10" s="89"/>
      <c r="AB10" s="90" t="n">
        <v>0.164736933143766</v>
      </c>
      <c r="AC10" s="90" t="n">
        <v>0.110410576445108</v>
      </c>
      <c r="AD10" s="90" t="n">
        <v>0.0719400468008173</v>
      </c>
      <c r="AE10" s="90" t="n">
        <v>0.0648210091091963</v>
      </c>
      <c r="AF10" s="90" t="n">
        <v>0.0576038625120698</v>
      </c>
    </row>
    <row r="11" customFormat="false" ht="15" hidden="false" customHeight="false" outlineLevel="0" collapsed="false">
      <c r="B11" s="86" t="s">
        <v>658</v>
      </c>
      <c r="C11" s="89" t="n">
        <f aca="false">Model!BV204</f>
        <v>0.17953795379538</v>
      </c>
      <c r="D11" s="90" t="n">
        <f aca="false">Model!CA204</f>
        <v>0.0875225477224328</v>
      </c>
      <c r="E11" s="90" t="n">
        <f aca="false">Model!CB204</f>
        <v>0.0908819516499761</v>
      </c>
      <c r="F11" s="90" t="n">
        <f aca="false">Model!CC204</f>
        <v>0.0893345983898097</v>
      </c>
      <c r="G11" s="90" t="n">
        <f aca="false">Model!CD204</f>
        <v>0.084143664836996</v>
      </c>
      <c r="H11" s="90" t="n">
        <f aca="false">Model!CE204</f>
        <v>0.078851185793221</v>
      </c>
      <c r="N11" s="86" t="s">
        <v>658</v>
      </c>
      <c r="O11" s="89" t="n">
        <v>0.17953795379538</v>
      </c>
      <c r="P11" s="90" t="n">
        <v>0.0933423574594221</v>
      </c>
      <c r="Q11" s="90" t="n">
        <v>0.113837397160919</v>
      </c>
      <c r="R11" s="90" t="n">
        <v>0.112302946156208</v>
      </c>
      <c r="S11" s="90" t="n">
        <v>0.107116133730486</v>
      </c>
      <c r="T11" s="90" t="n">
        <v>0.101824945482094</v>
      </c>
      <c r="Z11" s="86" t="s">
        <v>658</v>
      </c>
      <c r="AA11" s="89" t="n">
        <v>0.17953795379538</v>
      </c>
      <c r="AB11" s="90" t="n">
        <v>0.0817027379854434</v>
      </c>
      <c r="AC11" s="90" t="n">
        <v>0.0679269184527891</v>
      </c>
      <c r="AD11" s="90" t="n">
        <v>0.0664050792572661</v>
      </c>
      <c r="AE11" s="90" t="n">
        <v>0.0612485949283861</v>
      </c>
      <c r="AF11" s="90" t="n">
        <v>0.0559934512827796</v>
      </c>
    </row>
    <row r="12" customFormat="false" ht="15" hidden="false" customHeight="false" outlineLevel="0" collapsed="false">
      <c r="B12" s="86" t="s">
        <v>659</v>
      </c>
      <c r="C12" s="89" t="n">
        <f aca="false">Model!BV205</f>
        <v>0.195741195741196</v>
      </c>
      <c r="D12" s="90" t="n">
        <f aca="false">Model!CA205</f>
        <v>0.227121374808228</v>
      </c>
      <c r="E12" s="90" t="n">
        <f aca="false">Model!CB205</f>
        <v>0.12</v>
      </c>
      <c r="F12" s="90" t="n">
        <f aca="false">Model!CC205</f>
        <v>0.11</v>
      </c>
      <c r="G12" s="90" t="n">
        <f aca="false">Model!CD205</f>
        <v>0.1</v>
      </c>
      <c r="H12" s="90" t="n">
        <f aca="false">Model!CE205</f>
        <v>0.0900000000000001</v>
      </c>
      <c r="N12" s="86" t="s">
        <v>659</v>
      </c>
      <c r="O12" s="89" t="n">
        <v>0.195741195741196</v>
      </c>
      <c r="P12" s="90" t="n">
        <v>0.233696717273981</v>
      </c>
      <c r="Q12" s="90" t="n">
        <v>0.15</v>
      </c>
      <c r="R12" s="90" t="n">
        <v>0.14</v>
      </c>
      <c r="S12" s="90" t="n">
        <v>0.13</v>
      </c>
      <c r="T12" s="90" t="n">
        <v>0.12</v>
      </c>
      <c r="Z12" s="86" t="s">
        <v>659</v>
      </c>
      <c r="AA12" s="89" t="n">
        <v>0.195741195741196</v>
      </c>
      <c r="AB12" s="90" t="n">
        <v>0.220546032342475</v>
      </c>
      <c r="AC12" s="90" t="n">
        <v>0.0900000000000001</v>
      </c>
      <c r="AD12" s="90" t="n">
        <v>0.0800000000000001</v>
      </c>
      <c r="AE12" s="90" t="n">
        <v>0.0700000000000001</v>
      </c>
      <c r="AF12" s="90" t="n">
        <v>0.0600000000000001</v>
      </c>
    </row>
    <row r="13" customFormat="false" ht="15" hidden="false" customHeight="false" outlineLevel="0" collapsed="false">
      <c r="B13" s="82" t="s">
        <v>660</v>
      </c>
      <c r="C13" s="83" t="n">
        <f aca="false">Model!BV168</f>
        <v>442</v>
      </c>
      <c r="D13" s="84" t="n">
        <f aca="false">Model!CA168</f>
        <v>815.387189041096</v>
      </c>
      <c r="E13" s="84" t="n">
        <f aca="false">Model!CB168</f>
        <v>1003.97340495967</v>
      </c>
      <c r="F13" s="84" t="n">
        <f aca="false">Model!CC168</f>
        <v>1235.67510559215</v>
      </c>
      <c r="G13" s="84" t="n">
        <f aca="false">Model!CD168</f>
        <v>1496.51941545259</v>
      </c>
      <c r="H13" s="84" t="n">
        <f aca="false">Model!CE168</f>
        <v>1782.82557526144</v>
      </c>
      <c r="I13" s="85" t="n">
        <f aca="false">IFERROR((H13/C13)^(1/5)-1,"n/m")</f>
        <v>0.32171347362176</v>
      </c>
      <c r="N13" s="82" t="s">
        <v>660</v>
      </c>
      <c r="O13" s="83" t="n">
        <v>442</v>
      </c>
      <c r="P13" s="84" t="n">
        <v>835.387189041096</v>
      </c>
      <c r="Q13" s="84" t="n">
        <v>1172.56473679724</v>
      </c>
      <c r="R13" s="84" t="n">
        <v>1479.70779591941</v>
      </c>
      <c r="S13" s="84" t="n">
        <v>1834.13669515019</v>
      </c>
      <c r="T13" s="84" t="n">
        <v>2234.84868252744</v>
      </c>
      <c r="U13" s="85" t="n">
        <v>0.382818467081064</v>
      </c>
      <c r="Z13" s="82" t="s">
        <v>660</v>
      </c>
      <c r="AA13" s="83" t="n">
        <v>442</v>
      </c>
      <c r="AB13" s="84" t="n">
        <v>795.387189041096</v>
      </c>
      <c r="AC13" s="84" t="n">
        <v>853.643719763178</v>
      </c>
      <c r="AD13" s="84" t="n">
        <v>1041.87352692092</v>
      </c>
      <c r="AE13" s="84" t="n">
        <v>1246.79694374925</v>
      </c>
      <c r="AF13" s="84" t="n">
        <v>1463.48079065887</v>
      </c>
      <c r="AG13" s="85" t="n">
        <v>0.270553483956569</v>
      </c>
    </row>
    <row r="14" customFormat="false" ht="15" hidden="false" customHeight="false" outlineLevel="0" collapsed="false">
      <c r="B14" s="86" t="s">
        <v>661</v>
      </c>
      <c r="C14" s="87" t="n">
        <f aca="false">IFERROR(C13/C9,"")</f>
        <v>0.136125654450262</v>
      </c>
      <c r="D14" s="88" t="n">
        <f aca="false">IFERROR(D13/D9,"")</f>
        <v>0.214468295527443</v>
      </c>
      <c r="E14" s="88" t="n">
        <f aca="false">IFERROR(E13/E9,"")</f>
        <v>0.232137951711533</v>
      </c>
      <c r="F14" s="88" t="n">
        <f aca="false">IFERROR(F13/F9,"")</f>
        <v>0.260093989541949</v>
      </c>
      <c r="G14" s="88" t="n">
        <f aca="false">IFERROR(G13/G9,"")</f>
        <v>0.288621139172262</v>
      </c>
      <c r="H14" s="88" t="n">
        <f aca="false">IFERROR(H13/H9,"")</f>
        <v>0.31714441317418</v>
      </c>
      <c r="J14" s="91" t="n">
        <f aca="false">IFERROR(AVERAGE(Model!C169,Model!D169,Model!E169,Model!F169,Model!G169,Model!H169,Model!I169,Model!N169,Model!S169,Model!X169,Model!AC169,Model!AH169,Model!AM169,Model!AR169,Model!AW169,Model!BB169,Model!BG169,Model!BL169,Model!BQ169,Model!BV169),"n/m")</f>
        <v>0.254945914064314</v>
      </c>
      <c r="K14" s="91" t="n">
        <f aca="false">IFERROR(MIN(Model!C169,Model!D169,Model!E169,Model!F169,Model!G169,Model!H169,Model!I169,Model!N169,Model!S169,Model!X169,Model!AC169,Model!AH169,Model!AM169,Model!AR169,Model!AW169,Model!BB169,Model!BG169,Model!BL169,Model!BQ169,Model!BV169),"n/m")</f>
        <v>0.088005262773189</v>
      </c>
      <c r="L14" s="91" t="n">
        <f aca="false">IFERROR(MAX(Model!C169,Model!D169,Model!E169,Model!F169,Model!G169,Model!H169,Model!I169,Model!N169,Model!S169,Model!X169,Model!AC169,Model!AH169,Model!AM169,Model!AR169,Model!AW169,Model!BB169,Model!BG169,Model!BL169,Model!BQ169,Model!BV169),"n/m")</f>
        <v>0.362001230246928</v>
      </c>
      <c r="N14" s="86" t="s">
        <v>661</v>
      </c>
      <c r="O14" s="89" t="n">
        <v>0.136125654450262</v>
      </c>
      <c r="P14" s="90" t="n">
        <v>0.218578981497982</v>
      </c>
      <c r="Q14" s="90" t="n">
        <v>0.260972530945106</v>
      </c>
      <c r="R14" s="90" t="n">
        <v>0.287888503320489</v>
      </c>
      <c r="S14" s="90" t="n">
        <v>0.31469969320852</v>
      </c>
      <c r="T14" s="90" t="n">
        <v>0.340995668025028</v>
      </c>
      <c r="V14" s="91" t="n">
        <v>0.254945914064314</v>
      </c>
      <c r="W14" s="91" t="n">
        <v>0.088005262773189</v>
      </c>
      <c r="X14" s="91" t="n">
        <v>0.362001230246928</v>
      </c>
      <c r="Z14" s="86" t="s">
        <v>661</v>
      </c>
      <c r="AA14" s="89" t="n">
        <v>0.136125654450262</v>
      </c>
      <c r="AB14" s="90" t="n">
        <v>0.210314132097667</v>
      </c>
      <c r="AC14" s="90" t="n">
        <v>0.203274510691802</v>
      </c>
      <c r="AD14" s="90" t="n">
        <v>0.231446587470729</v>
      </c>
      <c r="AE14" s="90" t="n">
        <v>0.260108710711028</v>
      </c>
      <c r="AF14" s="90" t="n">
        <v>0.288684299949745</v>
      </c>
      <c r="AH14" s="91" t="n">
        <v>0.254945914064314</v>
      </c>
      <c r="AI14" s="91" t="n">
        <v>0.088005262773189</v>
      </c>
      <c r="AJ14" s="91" t="n">
        <v>0.362001230246928</v>
      </c>
    </row>
    <row r="16" customFormat="false" ht="15" hidden="false" customHeight="false" outlineLevel="0" collapsed="false">
      <c r="B16" s="82" t="s">
        <v>662</v>
      </c>
      <c r="C16" s="83" t="n">
        <f aca="false">Model!BV131</f>
        <v>-72</v>
      </c>
      <c r="D16" s="84" t="n">
        <f aca="false">Model!CA131</f>
        <v>307.388898630137</v>
      </c>
      <c r="E16" s="84" t="n">
        <f aca="false">Model!CB131</f>
        <v>469.829610941663</v>
      </c>
      <c r="F16" s="84" t="n">
        <f aca="false">Model!CC131</f>
        <v>706.120599808933</v>
      </c>
      <c r="G16" s="84" t="n">
        <f aca="false">Model!CD131</f>
        <v>954.045375040454</v>
      </c>
      <c r="H16" s="84" t="n">
        <f aca="false">Model!CE131</f>
        <v>1245.29291608607</v>
      </c>
      <c r="I16" s="85" t="n">
        <f aca="false">IFERROR((H16/C16)^(1/5)-1,"n/m")</f>
        <v>-2.76842971691196</v>
      </c>
      <c r="N16" s="82" t="s">
        <v>662</v>
      </c>
      <c r="O16" s="83" t="n">
        <v>-72</v>
      </c>
      <c r="P16" s="84" t="n">
        <v>327.388898630137</v>
      </c>
      <c r="Q16" s="84" t="n">
        <v>607.995136318021</v>
      </c>
      <c r="R16" s="84" t="n">
        <v>886.036218941316</v>
      </c>
      <c r="S16" s="84" t="n">
        <v>1191.78751828918</v>
      </c>
      <c r="T16" s="84" t="n">
        <v>1559.50739637793</v>
      </c>
      <c r="U16" s="85" t="n">
        <v>-2.84982646495178</v>
      </c>
      <c r="Z16" s="82" t="s">
        <v>662</v>
      </c>
      <c r="AA16" s="83" t="n">
        <v>-72</v>
      </c>
      <c r="AB16" s="84" t="n">
        <v>287.388898630137</v>
      </c>
      <c r="AC16" s="84" t="n">
        <v>327.277034116291</v>
      </c>
      <c r="AD16" s="84" t="n">
        <v>527.776049723218</v>
      </c>
      <c r="AE16" s="84" t="n">
        <v>728.608086439763</v>
      </c>
      <c r="AF16" s="84" t="n">
        <v>960.172707272816</v>
      </c>
      <c r="AG16" s="85" t="n">
        <v>-2.67881705343366</v>
      </c>
    </row>
    <row r="17" customFormat="false" ht="15" hidden="false" customHeight="false" outlineLevel="0" collapsed="false">
      <c r="B17" s="86" t="s">
        <v>663</v>
      </c>
      <c r="C17" s="87"/>
      <c r="D17" s="88" t="n">
        <f aca="false">IFERROR(D16/C16-1,"")</f>
        <v>-5.26929025875191</v>
      </c>
      <c r="E17" s="88" t="n">
        <f aca="false">IFERROR(E16/D16-1,"")</f>
        <v>0.528453412063464</v>
      </c>
      <c r="F17" s="88" t="n">
        <f aca="false">IFERROR(F16/E16-1,"")</f>
        <v>0.502929111670249</v>
      </c>
      <c r="G17" s="88" t="n">
        <f aca="false">IFERROR(G16/F16-1,"")</f>
        <v>0.351108260116766</v>
      </c>
      <c r="H17" s="88" t="n">
        <f aca="false">IFERROR(H16/G16-1,"")</f>
        <v>0.305276403686006</v>
      </c>
      <c r="N17" s="86" t="s">
        <v>663</v>
      </c>
      <c r="O17" s="89"/>
      <c r="P17" s="90" t="n">
        <v>-5.54706803652968</v>
      </c>
      <c r="Q17" s="90" t="n">
        <v>0.857103704071818</v>
      </c>
      <c r="R17" s="90" t="n">
        <v>0.457308070434731</v>
      </c>
      <c r="S17" s="90" t="n">
        <v>0.34507765349953</v>
      </c>
      <c r="T17" s="90" t="n">
        <v>0.308544830723361</v>
      </c>
      <c r="Z17" s="86" t="s">
        <v>663</v>
      </c>
      <c r="AA17" s="89"/>
      <c r="AB17" s="90" t="n">
        <v>-4.99151248097412</v>
      </c>
      <c r="AC17" s="90" t="n">
        <v>0.138794976689374</v>
      </c>
      <c r="AD17" s="90" t="n">
        <v>0.612627818961727</v>
      </c>
      <c r="AE17" s="90" t="n">
        <v>0.380525104960463</v>
      </c>
      <c r="AF17" s="90" t="n">
        <v>0.317817802386135</v>
      </c>
    </row>
    <row r="18" customFormat="false" ht="15" hidden="false" customHeight="false" outlineLevel="0" collapsed="false">
      <c r="B18" s="86" t="s">
        <v>664</v>
      </c>
      <c r="C18" s="87" t="n">
        <f aca="false">IFERROR(C16/C9,"")</f>
        <v>-0.0221743147520788</v>
      </c>
      <c r="D18" s="88" t="n">
        <f aca="false">IFERROR(D16/D9,"")</f>
        <v>0.0808513722551762</v>
      </c>
      <c r="E18" s="88" t="n">
        <f aca="false">IFERROR(E16/E9,"")</f>
        <v>0.108633638101006</v>
      </c>
      <c r="F18" s="88" t="n">
        <f aca="false">IFERROR(F16/F9,"")</f>
        <v>0.148629460180028</v>
      </c>
      <c r="G18" s="88" t="n">
        <f aca="false">IFERROR(G16/G9,"")</f>
        <v>0.183998724054595</v>
      </c>
      <c r="H18" s="88" t="n">
        <f aca="false">IFERROR(H16/H9,"")</f>
        <v>0.221523460613451</v>
      </c>
      <c r="J18" s="91" t="n">
        <f aca="false">IFERROR(AVERAGE(Model!C213,Model!D213,Model!E213,Model!F213,Model!G213,Model!H213,Model!I213,Model!N213,Model!S213,Model!X213,Model!AC213,Model!AH213,Model!AM213,Model!AR213,Model!AW213,Model!BB213,Model!BG213,Model!BL213,Model!BQ213,Model!BV213),"n/m")</f>
        <v>0.130272221629343</v>
      </c>
      <c r="K18" s="91" t="n">
        <f aca="false">IFERROR(MIN(Model!C213,Model!D213,Model!E213,Model!F213,Model!G213,Model!H213,Model!I213,Model!N213,Model!S213,Model!X213,Model!AC213,Model!AH213,Model!AM213,Model!AR213,Model!AW213,Model!BB213,Model!BG213,Model!BL213,Model!BQ213,Model!BV213),"n/m")</f>
        <v>-0.0221743147520788</v>
      </c>
      <c r="L18" s="91" t="n">
        <f aca="false">IFERROR(MAX(Model!C213,Model!D213,Model!E213,Model!F213,Model!G213,Model!H213,Model!I213,Model!N213,Model!S213,Model!X213,Model!AC213,Model!AH213,Model!AM213,Model!AR213,Model!AW213,Model!BB213,Model!BG213,Model!BL213,Model!BQ213,Model!BV213),"n/m")</f>
        <v>0.259728559803789</v>
      </c>
      <c r="N18" s="86" t="s">
        <v>664</v>
      </c>
      <c r="O18" s="89" t="n">
        <v>-0.0221743147520788</v>
      </c>
      <c r="P18" s="90" t="n">
        <v>0.0856612753404353</v>
      </c>
      <c r="Q18" s="90" t="n">
        <v>0.135318779891524</v>
      </c>
      <c r="R18" s="90" t="n">
        <v>0.172385143649438</v>
      </c>
      <c r="S18" s="90" t="n">
        <v>0.204485940097631</v>
      </c>
      <c r="T18" s="90" t="n">
        <v>0.237951352400493</v>
      </c>
      <c r="V18" s="91" t="n">
        <v>0.130272221629343</v>
      </c>
      <c r="W18" s="91" t="n">
        <v>-0.0221743147520788</v>
      </c>
      <c r="X18" s="91" t="n">
        <v>0.259728559803789</v>
      </c>
      <c r="Z18" s="86" t="s">
        <v>664</v>
      </c>
      <c r="AA18" s="89" t="n">
        <v>-0.0221743147520788</v>
      </c>
      <c r="AB18" s="90" t="n">
        <v>0.0759905963066481</v>
      </c>
      <c r="AC18" s="90" t="n">
        <v>0.0779330737524894</v>
      </c>
      <c r="AD18" s="90" t="n">
        <v>0.117242604309393</v>
      </c>
      <c r="AE18" s="90" t="n">
        <v>0.152003348201655</v>
      </c>
      <c r="AF18" s="90" t="n">
        <v>0.189402408011869</v>
      </c>
      <c r="AH18" s="91" t="n">
        <v>0.130272221629343</v>
      </c>
      <c r="AI18" s="91" t="n">
        <v>-0.0221743147520788</v>
      </c>
      <c r="AJ18" s="91" t="n">
        <v>0.259728559803789</v>
      </c>
    </row>
    <row r="20" customFormat="false" ht="15" hidden="false" customHeight="false" outlineLevel="0" collapsed="false">
      <c r="B20" s="82" t="s">
        <v>665</v>
      </c>
      <c r="C20" s="83" t="n">
        <f aca="false">Model!BV192</f>
        <v>364.08</v>
      </c>
      <c r="D20" s="84" t="n">
        <f aca="false">Model!CA192</f>
        <v>550.476387726028</v>
      </c>
      <c r="E20" s="84" t="n">
        <f aca="false">Model!CB192</f>
        <v>661.081082882921</v>
      </c>
      <c r="F20" s="84" t="n">
        <f aca="false">Model!CC192</f>
        <v>820.731161179415</v>
      </c>
      <c r="G20" s="84" t="n">
        <f aca="false">Model!CD192</f>
        <v>1003.67451810209</v>
      </c>
      <c r="H20" s="84" t="n">
        <f aca="false">Model!CE192</f>
        <v>1194.30110508296</v>
      </c>
      <c r="I20" s="85" t="n">
        <f aca="false">IFERROR((H20/C20)^(1/5)-1,"n/m")</f>
        <v>0.268187307624763</v>
      </c>
      <c r="N20" s="82" t="s">
        <v>665</v>
      </c>
      <c r="O20" s="83" t="n">
        <v>364.08</v>
      </c>
      <c r="P20" s="84" t="n">
        <v>565.276387726028</v>
      </c>
      <c r="Q20" s="84" t="n">
        <v>775.729243554119</v>
      </c>
      <c r="R20" s="84" t="n">
        <v>969.392395915242</v>
      </c>
      <c r="S20" s="84" t="n">
        <v>1207.96274712856</v>
      </c>
      <c r="T20" s="84" t="n">
        <v>1469.42358450489</v>
      </c>
      <c r="U20" s="85" t="n">
        <v>0.321873927568146</v>
      </c>
      <c r="Z20" s="82" t="s">
        <v>665</v>
      </c>
      <c r="AA20" s="83" t="n">
        <v>364.08</v>
      </c>
      <c r="AB20" s="84" t="n">
        <v>535.676387726027</v>
      </c>
      <c r="AC20" s="84" t="n">
        <v>554.26488085746</v>
      </c>
      <c r="AD20" s="84" t="n">
        <v>692.520814296017</v>
      </c>
      <c r="AE20" s="84" t="n">
        <v>839.413696487372</v>
      </c>
      <c r="AF20" s="84" t="n">
        <v>986.437845772647</v>
      </c>
      <c r="AG20" s="85" t="n">
        <v>0.220603415081498</v>
      </c>
    </row>
    <row r="22" customFormat="false" ht="15" hidden="false" customHeight="false" outlineLevel="0" collapsed="false">
      <c r="B22" s="82" t="s">
        <v>666</v>
      </c>
      <c r="C22" s="92" t="n">
        <f aca="false">Model!BV145</f>
        <v>420.7</v>
      </c>
      <c r="D22" s="93" t="n">
        <f aca="false">Model!CA145</f>
        <v>405.707196231319</v>
      </c>
      <c r="E22" s="93" t="n">
        <f aca="false">Model!CB145</f>
        <v>390.55053819711</v>
      </c>
      <c r="F22" s="93" t="n">
        <f aca="false">Model!CC145</f>
        <v>365.850338787844</v>
      </c>
      <c r="G22" s="93" t="n">
        <f aca="false">Model!CD145</f>
        <v>338.238070099536</v>
      </c>
      <c r="H22" s="93" t="n">
        <f aca="false">Model!CE145</f>
        <v>307.663695657916</v>
      </c>
      <c r="I22" s="85" t="n">
        <f aca="false">IFERROR((H22/C22)^(1/5)-1,"n/m")</f>
        <v>-0.0606644734021954</v>
      </c>
      <c r="N22" s="82" t="s">
        <v>666</v>
      </c>
      <c r="O22" s="92" t="n">
        <v>420.7</v>
      </c>
      <c r="P22" s="93" t="n">
        <v>403.27054905783</v>
      </c>
      <c r="Q22" s="93" t="n">
        <v>380.899217936786</v>
      </c>
      <c r="R22" s="93" t="n">
        <v>358.499126080352</v>
      </c>
      <c r="S22" s="93" t="n">
        <v>333.896103404416</v>
      </c>
      <c r="T22" s="93" t="n">
        <v>303.531191616902</v>
      </c>
      <c r="U22" s="85" t="n">
        <v>-0.0632015511234884</v>
      </c>
      <c r="Z22" s="82" t="s">
        <v>666</v>
      </c>
      <c r="AA22" s="92" t="n">
        <v>420.7</v>
      </c>
      <c r="AB22" s="93" t="n">
        <v>406.625</v>
      </c>
      <c r="AC22" s="93" t="n">
        <v>401.874573964538</v>
      </c>
      <c r="AD22" s="93" t="n">
        <v>388.230591935454</v>
      </c>
      <c r="AE22" s="93" t="n">
        <v>367.840809777628</v>
      </c>
      <c r="AF22" s="93" t="n">
        <v>345.309832809147</v>
      </c>
      <c r="AG22" s="85" t="n">
        <v>-0.0387257992000588</v>
      </c>
    </row>
    <row r="24" customFormat="false" ht="15" hidden="false" customHeight="false" outlineLevel="0" collapsed="false">
      <c r="B24" s="82" t="s">
        <v>667</v>
      </c>
      <c r="C24" s="94" t="n">
        <f aca="false">Model!BV196</f>
        <v>0.865414784882339</v>
      </c>
      <c r="D24" s="95" t="n">
        <f aca="false">Model!CA196</f>
        <v>1.35683170729899</v>
      </c>
      <c r="E24" s="95" t="n">
        <f aca="false">Model!CB196</f>
        <v>1.69269023654315</v>
      </c>
      <c r="F24" s="95" t="n">
        <f aca="false">Model!CC196</f>
        <v>2.24335219668979</v>
      </c>
      <c r="G24" s="95" t="n">
        <f aca="false">Model!CD196</f>
        <v>2.96736117790269</v>
      </c>
      <c r="H24" s="95" t="n">
        <f aca="false">Model!CE196</f>
        <v>3.88183956033237</v>
      </c>
      <c r="I24" s="85" t="n">
        <f aca="false">IFERROR((H24/C24)^(1/5)-1,"n/m")</f>
        <v>0.350089794024966</v>
      </c>
      <c r="N24" s="82" t="s">
        <v>667</v>
      </c>
      <c r="O24" s="94" t="n">
        <v>0.865414784882339</v>
      </c>
      <c r="P24" s="95" t="n">
        <v>1.40172990327882</v>
      </c>
      <c r="Q24" s="95" t="n">
        <v>2.03657347409639</v>
      </c>
      <c r="R24" s="95" t="n">
        <v>2.70403001121394</v>
      </c>
      <c r="S24" s="95" t="n">
        <v>3.61778030594586</v>
      </c>
      <c r="T24" s="95" t="n">
        <v>4.84109582503633</v>
      </c>
      <c r="U24" s="85" t="n">
        <v>0.411054778275358</v>
      </c>
      <c r="Z24" s="82" t="s">
        <v>667</v>
      </c>
      <c r="AA24" s="94" t="n">
        <v>0.865414784882339</v>
      </c>
      <c r="AB24" s="95" t="n">
        <v>1.31737199563732</v>
      </c>
      <c r="AC24" s="95" t="n">
        <v>1.37919867731261</v>
      </c>
      <c r="AD24" s="95" t="n">
        <v>1.78378733845671</v>
      </c>
      <c r="AE24" s="95" t="n">
        <v>2.28200263313585</v>
      </c>
      <c r="AF24" s="95" t="n">
        <v>2.85667464997399</v>
      </c>
      <c r="AG24" s="85" t="n">
        <v>0.269776525850534</v>
      </c>
    </row>
    <row r="25" customFormat="false" ht="15" hidden="false" customHeight="false" outlineLevel="0" collapsed="false">
      <c r="B25" s="86" t="s">
        <v>668</v>
      </c>
      <c r="C25" s="87"/>
      <c r="D25" s="88" t="n">
        <f aca="false">IFERROR(D24/C24-1,"")</f>
        <v>0.567839758461563</v>
      </c>
      <c r="E25" s="88" t="n">
        <f aca="false">IFERROR(E24/D24-1,"")</f>
        <v>0.247531456876654</v>
      </c>
      <c r="F25" s="88" t="n">
        <f aca="false">IFERROR(F24/E24-1,"")</f>
        <v>0.325317620589116</v>
      </c>
      <c r="G25" s="88" t="n">
        <f aca="false">IFERROR(G24/F24-1,"")</f>
        <v>0.322735316496987</v>
      </c>
      <c r="H25" s="88" t="n">
        <f aca="false">IFERROR(H24/G24-1,"")</f>
        <v>0.308178993928886</v>
      </c>
      <c r="N25" s="86" t="s">
        <v>668</v>
      </c>
      <c r="O25" s="89"/>
      <c r="P25" s="90" t="n">
        <v>0.619720309573168</v>
      </c>
      <c r="Q25" s="90" t="n">
        <v>0.452900069644372</v>
      </c>
      <c r="R25" s="90" t="n">
        <v>0.327735063628721</v>
      </c>
      <c r="S25" s="90" t="n">
        <v>0.337921654324279</v>
      </c>
      <c r="T25" s="90" t="n">
        <v>0.338139802762467</v>
      </c>
      <c r="Z25" s="86" t="s">
        <v>668</v>
      </c>
      <c r="AA25" s="89"/>
      <c r="AB25" s="90" t="n">
        <v>0.522243459032692</v>
      </c>
      <c r="AC25" s="90" t="n">
        <v>0.0469318323753924</v>
      </c>
      <c r="AD25" s="90" t="n">
        <v>0.293350528679775</v>
      </c>
      <c r="AE25" s="90" t="n">
        <v>0.279301957098867</v>
      </c>
      <c r="AF25" s="90" t="n">
        <v>0.251827937660372</v>
      </c>
    </row>
    <row r="27" customFormat="false" ht="15" hidden="false" customHeight="false" outlineLevel="0" collapsed="false">
      <c r="B27" s="86" t="s">
        <v>669</v>
      </c>
      <c r="C27" s="96"/>
      <c r="D27" s="96"/>
      <c r="E27" s="96"/>
      <c r="F27" s="96"/>
      <c r="G27" s="97" t="n">
        <v>22</v>
      </c>
      <c r="H27" s="97" t="n">
        <v>22</v>
      </c>
      <c r="N27" s="86" t="s">
        <v>669</v>
      </c>
      <c r="O27" s="98"/>
      <c r="P27" s="98"/>
      <c r="Q27" s="98"/>
      <c r="R27" s="98"/>
      <c r="S27" s="97" t="n">
        <v>28</v>
      </c>
      <c r="T27" s="97" t="n">
        <v>28</v>
      </c>
      <c r="Z27" s="86" t="s">
        <v>669</v>
      </c>
      <c r="AA27" s="98"/>
      <c r="AB27" s="98"/>
      <c r="AC27" s="98"/>
      <c r="AD27" s="97" t="n">
        <v>16</v>
      </c>
      <c r="AE27" s="97" t="n">
        <v>16</v>
      </c>
      <c r="AF27" s="97" t="n">
        <v>16</v>
      </c>
    </row>
    <row r="28" customFormat="false" ht="15" hidden="false" customHeight="false" outlineLevel="0" collapsed="false">
      <c r="B28" s="11" t="s">
        <v>670</v>
      </c>
      <c r="C28" s="99"/>
      <c r="D28" s="99"/>
      <c r="E28" s="99"/>
      <c r="F28" s="99"/>
      <c r="G28" s="100" t="n">
        <f aca="false">G27*G24</f>
        <v>65.2819459138591</v>
      </c>
      <c r="H28" s="100" t="n">
        <f aca="false">H27*H24</f>
        <v>85.4004703273122</v>
      </c>
      <c r="N28" s="11" t="s">
        <v>670</v>
      </c>
      <c r="O28" s="99"/>
      <c r="P28" s="99"/>
      <c r="Q28" s="99"/>
      <c r="R28" s="99"/>
      <c r="S28" s="100" t="n">
        <f aca="false">S27*S24</f>
        <v>101.297848566484</v>
      </c>
      <c r="T28" s="100" t="n">
        <f aca="false">T27*T24</f>
        <v>135.550683101017</v>
      </c>
      <c r="Z28" s="11" t="s">
        <v>670</v>
      </c>
      <c r="AA28" s="99"/>
      <c r="AB28" s="99"/>
      <c r="AC28" s="99"/>
      <c r="AD28" s="100" t="n">
        <f aca="false">AD27*AD24</f>
        <v>28.5405974153074</v>
      </c>
      <c r="AE28" s="100" t="n">
        <f aca="false">AE27*AE24</f>
        <v>36.5120421301736</v>
      </c>
      <c r="AF28" s="100" t="n">
        <f aca="false">AF27*AF24</f>
        <v>45.7067943995838</v>
      </c>
    </row>
    <row r="29" customFormat="false" ht="15" hidden="false" customHeight="false" outlineLevel="0" collapsed="false">
      <c r="B29" s="86" t="s">
        <v>671</v>
      </c>
      <c r="C29" s="87"/>
      <c r="D29" s="88"/>
      <c r="E29" s="88"/>
      <c r="F29" s="88"/>
      <c r="G29" s="88" t="n">
        <f aca="false">IFERROR(G28/$K$2-1,"")</f>
        <v>1.12092091987846</v>
      </c>
      <c r="H29" s="88" t="n">
        <f aca="false">IFERROR(H28/$K$2-1,"")</f>
        <v>1.77454419516934</v>
      </c>
      <c r="N29" s="86" t="s">
        <v>671</v>
      </c>
      <c r="O29" s="89"/>
      <c r="P29" s="90"/>
      <c r="Q29" s="90"/>
      <c r="R29" s="90"/>
      <c r="S29" s="90" t="n">
        <f aca="false">IFERROR(S28/$K$2-1,"")</f>
        <v>2.29102821853425</v>
      </c>
      <c r="T29" s="90" t="n">
        <f aca="false">IFERROR(T28/$K$2-1,"")</f>
        <v>3.40385585123513</v>
      </c>
      <c r="Z29" s="86" t="s">
        <v>671</v>
      </c>
      <c r="AA29" s="89"/>
      <c r="AB29" s="90"/>
      <c r="AC29" s="90"/>
      <c r="AD29" s="90" t="n">
        <f aca="false">IFERROR(AD28/$K$2-1,"")</f>
        <v>-0.0727551197106121</v>
      </c>
      <c r="AE29" s="90" t="n">
        <f aca="false">IFERROR(AE28/$K$2-1,"")</f>
        <v>0.186226190064119</v>
      </c>
      <c r="AF29" s="90" t="n">
        <f aca="false">IFERROR(AF28/$K$2-1,"")</f>
        <v>0.484951085106687</v>
      </c>
    </row>
    <row r="30" customFormat="false" ht="15" hidden="false" customHeight="false" outlineLevel="0" collapsed="false">
      <c r="B30" s="86" t="s">
        <v>672</v>
      </c>
      <c r="C30" s="87"/>
      <c r="D30" s="88"/>
      <c r="E30" s="88"/>
      <c r="F30" s="88"/>
      <c r="G30" s="101" t="n">
        <f aca="false">IFERROR((G28/$K$2)^(1/((DATE(2029-1,12,31)-$K$3)/365.25))-1,"")</f>
        <v>0.399512634360951</v>
      </c>
      <c r="H30" s="101" t="n">
        <f aca="false">IFERROR((H28/$K$2)^(1/((DATE(2030-1,12,31)-$K$3)/365.25))-1,"")</f>
        <v>0.370726213853718</v>
      </c>
      <c r="N30" s="86" t="s">
        <v>672</v>
      </c>
      <c r="O30" s="89"/>
      <c r="P30" s="90"/>
      <c r="Q30" s="90"/>
      <c r="R30" s="90"/>
      <c r="S30" s="102" t="n">
        <f aca="false">IFERROR((S28/$K$2)^(1/((DATE(2029-1,12,31)-$K$3)/365.25))-1,"")</f>
        <v>0.703254408090038</v>
      </c>
      <c r="T30" s="102" t="n">
        <f aca="false">IFERROR((T28/$K$2)^(1/((DATE(2030-1,12,31)-$K$3)/365.25))-1,"")</f>
        <v>0.581069506743477</v>
      </c>
      <c r="Z30" s="86" t="s">
        <v>672</v>
      </c>
      <c r="AA30" s="89"/>
      <c r="AB30" s="90"/>
      <c r="AC30" s="90"/>
      <c r="AD30" s="102" t="n">
        <f aca="false">IFERROR((AD28/$K$2)^(1/((DATE(2028-1,12,31)-$K$3)/365.25))-1,"")</f>
        <v>-0.0593417602319197</v>
      </c>
      <c r="AE30" s="102" t="n">
        <f aca="false">IFERROR((AE28/$K$2)^(1/((DATE(2029-1,12,31)-$K$3)/365.25))-1,"")</f>
        <v>0.0793380959307388</v>
      </c>
      <c r="AF30" s="102" t="n">
        <f aca="false">IFERROR((AF28/$K$2)^(1/((DATE(2030-1,12,31)-$K$3)/365.25))-1,"")</f>
        <v>0.129954086222529</v>
      </c>
    </row>
    <row r="32" customFormat="false" ht="15" hidden="false" customHeight="false" outlineLevel="0" collapsed="false">
      <c r="B32" s="82" t="s">
        <v>673</v>
      </c>
      <c r="C32" s="83" t="n">
        <f aca="false">Model!BV248</f>
        <v>41</v>
      </c>
      <c r="D32" s="84" t="n">
        <f aca="false">Model!CA248</f>
        <v>453.837157671869</v>
      </c>
      <c r="E32" s="84" t="n">
        <f aca="false">Model!CB248</f>
        <v>694.574956583466</v>
      </c>
      <c r="F32" s="84" t="n">
        <f aca="false">Model!CC248</f>
        <v>893.968438709793</v>
      </c>
      <c r="G32" s="84" t="n">
        <f aca="false">Model!CD248</f>
        <v>1096.14139688844</v>
      </c>
      <c r="H32" s="84" t="n">
        <f aca="false">Model!CE248</f>
        <v>1281.11753235373</v>
      </c>
      <c r="I32" s="85" t="n">
        <f aca="false">IFERROR((H32/C32)^(1/5)-1,"n/m")</f>
        <v>0.990494691010661</v>
      </c>
      <c r="N32" s="82" t="s">
        <v>673</v>
      </c>
      <c r="O32" s="83" t="n">
        <v>41</v>
      </c>
      <c r="P32" s="84" t="n">
        <v>467.641860941473</v>
      </c>
      <c r="Q32" s="84" t="n">
        <v>803.858316240067</v>
      </c>
      <c r="R32" s="84" t="n">
        <v>1044.36087900193</v>
      </c>
      <c r="S32" s="84" t="n">
        <v>1309.75461082986</v>
      </c>
      <c r="T32" s="84" t="n">
        <v>1573.38621653256</v>
      </c>
      <c r="U32" s="85" t="n">
        <v>1.0740073775665</v>
      </c>
      <c r="Z32" s="82" t="s">
        <v>673</v>
      </c>
      <c r="AA32" s="83" t="n">
        <v>41</v>
      </c>
      <c r="AB32" s="84" t="n">
        <v>440.032454402265</v>
      </c>
      <c r="AC32" s="84" t="n">
        <v>588.570109142624</v>
      </c>
      <c r="AD32" s="84" t="n">
        <v>765.443209091341</v>
      </c>
      <c r="AE32" s="84" t="n">
        <v>930.401266405387</v>
      </c>
      <c r="AF32" s="84" t="n">
        <v>1070.47766531624</v>
      </c>
      <c r="AG32" s="85" t="n">
        <v>0.920254319736932</v>
      </c>
    </row>
    <row r="33" customFormat="false" ht="15" hidden="false" customHeight="false" outlineLevel="0" collapsed="false">
      <c r="B33" s="86" t="s">
        <v>674</v>
      </c>
      <c r="C33" s="87" t="n">
        <f aca="false">IFERROR(C32/C9,"")</f>
        <v>0.0126270403449338</v>
      </c>
      <c r="D33" s="88" t="n">
        <f aca="false">IFERROR(D32/D9,"")</f>
        <v>0.119371119587212</v>
      </c>
      <c r="E33" s="88" t="n">
        <f aca="false">IFERROR(E32/E9,"")</f>
        <v>0.160599082540328</v>
      </c>
      <c r="F33" s="88" t="n">
        <f aca="false">IFERROR(F32/F9,"")</f>
        <v>0.188169055681666</v>
      </c>
      <c r="G33" s="88" t="n">
        <f aca="false">IFERROR(G32/G9,"")</f>
        <v>0.211403591157645</v>
      </c>
      <c r="H33" s="88" t="n">
        <f aca="false">IFERROR(H32/H9,"")</f>
        <v>0.227896252804145</v>
      </c>
      <c r="J33" s="91" t="n">
        <f aca="false">IFERROR(AVERAGE(Model!C250,Model!D250,Model!E250,Model!F250,Model!G250,Model!H250,Model!I250,Model!N250,Model!S250,Model!X250,Model!AC250,Model!AH250,Model!AM250,Model!AR250,Model!AW250,Model!BB250,Model!BG250,Model!BL250,Model!BQ250,Model!BV250),"n/m")</f>
        <v>0.148369246766537</v>
      </c>
      <c r="K33" s="91" t="n">
        <f aca="false">IFERROR(MIN(Model!C250,Model!D250,Model!E250,Model!F250,Model!G250,Model!H250,Model!I250,Model!N250,Model!S250,Model!X250,Model!AC250,Model!AH250,Model!AM250,Model!AR250,Model!AW250,Model!BB250,Model!BG250,Model!BL250,Model!BQ250,Model!BV250),"n/m")</f>
        <v>-0.0896498793947811</v>
      </c>
      <c r="L33" s="91" t="n">
        <f aca="false">IFERROR(MAX(Model!C250,Model!D250,Model!E250,Model!F250,Model!G250,Model!H250,Model!I250,Model!N250,Model!S250,Model!X250,Model!AC250,Model!AH250,Model!AM250,Model!AR250,Model!AW250,Model!BB250,Model!BG250,Model!BL250,Model!BQ250,Model!BV250),"n/m")</f>
        <v>0.294046876551651</v>
      </c>
      <c r="N33" s="86" t="s">
        <v>674</v>
      </c>
      <c r="O33" s="89" t="n">
        <v>0.0126270403449338</v>
      </c>
      <c r="P33" s="90" t="n">
        <v>0.122358450083174</v>
      </c>
      <c r="Q33" s="90" t="n">
        <v>0.178911178826212</v>
      </c>
      <c r="R33" s="90" t="n">
        <v>0.203188420856783</v>
      </c>
      <c r="S33" s="90" t="n">
        <v>0.224726638585054</v>
      </c>
      <c r="T33" s="90" t="n">
        <v>0.240068998032177</v>
      </c>
      <c r="V33" s="91" t="n">
        <v>0.148369246766537</v>
      </c>
      <c r="W33" s="91" t="n">
        <v>-0.0896498793947811</v>
      </c>
      <c r="X33" s="91" t="n">
        <v>0.294046876551651</v>
      </c>
      <c r="Z33" s="86" t="s">
        <v>674</v>
      </c>
      <c r="AA33" s="89" t="n">
        <v>0.0126270403449338</v>
      </c>
      <c r="AB33" s="90" t="n">
        <v>0.116352193016824</v>
      </c>
      <c r="AC33" s="90" t="n">
        <v>0.140153670874517</v>
      </c>
      <c r="AD33" s="90" t="n">
        <v>0.170039082546228</v>
      </c>
      <c r="AE33" s="90" t="n">
        <v>0.194101754148416</v>
      </c>
      <c r="AF33" s="90" t="n">
        <v>0.211161019260476</v>
      </c>
      <c r="AH33" s="91" t="n">
        <v>0.148369246766537</v>
      </c>
      <c r="AI33" s="91" t="n">
        <v>-0.0896498793947811</v>
      </c>
      <c r="AJ33" s="91" t="n">
        <v>0.294046876551651</v>
      </c>
    </row>
    <row r="34" customFormat="false" ht="15" hidden="false" customHeight="false" outlineLevel="0" collapsed="false">
      <c r="B34" s="86" t="s">
        <v>675</v>
      </c>
      <c r="C34" s="103" t="n">
        <f aca="false">IFERROR(C32/C22,"")</f>
        <v>0.0974566199191823</v>
      </c>
      <c r="D34" s="104" t="n">
        <f aca="false">IFERROR(D32/D22,"")</f>
        <v>1.11863225963857</v>
      </c>
      <c r="E34" s="104" t="n">
        <f aca="false">IFERROR(E32/E22,"")</f>
        <v>1.77845090110442</v>
      </c>
      <c r="F34" s="104" t="n">
        <f aca="false">IFERROR(F32/F22,"")</f>
        <v>2.44353590506911</v>
      </c>
      <c r="G34" s="104" t="n">
        <f aca="false">IFERROR(G32/G22,"")</f>
        <v>3.24073927150149</v>
      </c>
      <c r="H34" s="104" t="n">
        <f aca="false">IFERROR(H32/H22,"")</f>
        <v>4.16401918859537</v>
      </c>
      <c r="N34" s="86" t="s">
        <v>675</v>
      </c>
      <c r="O34" s="105" t="n">
        <v>0.0974566199191823</v>
      </c>
      <c r="P34" s="106" t="n">
        <v>1.15962314142214</v>
      </c>
      <c r="Q34" s="106" t="n">
        <v>2.11042259575728</v>
      </c>
      <c r="R34" s="106" t="n">
        <v>2.91314762861613</v>
      </c>
      <c r="S34" s="106" t="n">
        <v>3.9226411972933</v>
      </c>
      <c r="T34" s="106" t="n">
        <v>5.18360636398249</v>
      </c>
      <c r="Z34" s="86" t="s">
        <v>675</v>
      </c>
      <c r="AA34" s="105" t="n">
        <v>0.0974566199191823</v>
      </c>
      <c r="AB34" s="106" t="n">
        <v>1.08215789585556</v>
      </c>
      <c r="AC34" s="106" t="n">
        <v>1.46456169977691</v>
      </c>
      <c r="AD34" s="106" t="n">
        <v>1.9716200242628</v>
      </c>
      <c r="AE34" s="106" t="n">
        <v>2.52935846614693</v>
      </c>
      <c r="AF34" s="106" t="n">
        <v>3.10004976286873</v>
      </c>
    </row>
    <row r="35" customFormat="false" ht="15" hidden="false" customHeight="false" outlineLevel="0" collapsed="false">
      <c r="B35" s="86" t="s">
        <v>676</v>
      </c>
      <c r="C35" s="87"/>
      <c r="D35" s="88"/>
      <c r="E35" s="88"/>
      <c r="F35" s="88"/>
      <c r="G35" s="88" t="n">
        <f aca="false">IFERROR(G34/G$28,"")</f>
        <v>0.049642197795049</v>
      </c>
      <c r="H35" s="88" t="n">
        <f aca="false">IFERROR(H34/H$28,"")</f>
        <v>0.0487587383609955</v>
      </c>
      <c r="N35" s="86" t="s">
        <v>676</v>
      </c>
      <c r="O35" s="89"/>
      <c r="P35" s="90"/>
      <c r="Q35" s="90"/>
      <c r="R35" s="90"/>
      <c r="S35" s="90" t="n">
        <f aca="false">IFERROR(S34/S$28,"")</f>
        <v>0.0387238352324806</v>
      </c>
      <c r="T35" s="90" t="n">
        <f aca="false">IFERROR(T34/T$28,"")</f>
        <v>0.0382410936293068</v>
      </c>
      <c r="Z35" s="86" t="s">
        <v>676</v>
      </c>
      <c r="AA35" s="89"/>
      <c r="AB35" s="90"/>
      <c r="AC35" s="90"/>
      <c r="AD35" s="90" t="n">
        <f aca="false">IFERROR(AD34/AD$28,"")</f>
        <v>0.0690812457627586</v>
      </c>
      <c r="AE35" s="90" t="n">
        <f aca="false">IFERROR(AE34/AE$28,"")</f>
        <v>0.0692746370397252</v>
      </c>
      <c r="AF35" s="90" t="n">
        <f aca="false">IFERROR(AF34/AF$28,"")</f>
        <v>0.0678247031670407</v>
      </c>
    </row>
    <row r="36" customFormat="false" ht="15" hidden="false" customHeight="false" outlineLevel="0" collapsed="false">
      <c r="B36" s="82" t="s">
        <v>677</v>
      </c>
      <c r="C36" s="83" t="n">
        <f aca="false">Model!BV177</f>
        <v>442</v>
      </c>
      <c r="D36" s="84" t="n">
        <f aca="false">Model!CA177</f>
        <v>842.228</v>
      </c>
      <c r="E36" s="84" t="n">
        <f aca="false">Model!CB177</f>
        <v>1003.97340495967</v>
      </c>
      <c r="F36" s="84" t="n">
        <f aca="false">Model!CC177</f>
        <v>1235.67510559215</v>
      </c>
      <c r="G36" s="84" t="n">
        <f aca="false">Model!CD177</f>
        <v>1496.51941545259</v>
      </c>
      <c r="H36" s="84" t="n">
        <f aca="false">Model!CE177</f>
        <v>1782.82557526144</v>
      </c>
      <c r="I36" s="85" t="n">
        <f aca="false">IFERROR((H36/C36)^(1/5)-1,"n/m")</f>
        <v>0.32171347362176</v>
      </c>
      <c r="N36" s="82" t="s">
        <v>677</v>
      </c>
      <c r="O36" s="83" t="n">
        <v>442</v>
      </c>
      <c r="P36" s="84" t="n">
        <v>862.228</v>
      </c>
      <c r="Q36" s="84" t="n">
        <v>1172.56473679724</v>
      </c>
      <c r="R36" s="84" t="n">
        <v>1479.70779591941</v>
      </c>
      <c r="S36" s="84" t="n">
        <v>1834.13669515019</v>
      </c>
      <c r="T36" s="84" t="n">
        <v>2234.84868252744</v>
      </c>
      <c r="U36" s="85" t="n">
        <v>0.382818467081064</v>
      </c>
      <c r="Z36" s="82" t="s">
        <v>677</v>
      </c>
      <c r="AA36" s="83" t="n">
        <v>442</v>
      </c>
      <c r="AB36" s="84" t="n">
        <v>822.228</v>
      </c>
      <c r="AC36" s="84" t="n">
        <v>853.643719763178</v>
      </c>
      <c r="AD36" s="84" t="n">
        <v>1041.87352692092</v>
      </c>
      <c r="AE36" s="84" t="n">
        <v>1246.79694374925</v>
      </c>
      <c r="AF36" s="84" t="n">
        <v>1463.48079065887</v>
      </c>
      <c r="AG36" s="85" t="n">
        <v>0.270553483956569</v>
      </c>
    </row>
    <row r="37" customFormat="false" ht="15" hidden="false" customHeight="false" outlineLevel="0" collapsed="false">
      <c r="B37" s="86" t="s">
        <v>678</v>
      </c>
      <c r="C37" s="87" t="n">
        <f aca="false">IFERROR(C36/C9,"")</f>
        <v>0.136125654450262</v>
      </c>
      <c r="D37" s="88" t="n">
        <f aca="false">IFERROR(D36/D9,"")</f>
        <v>0.221528135385486</v>
      </c>
      <c r="E37" s="88" t="n">
        <f aca="false">IFERROR(E36/E9,"")</f>
        <v>0.232137951711533</v>
      </c>
      <c r="F37" s="88" t="n">
        <f aca="false">IFERROR(F36/F9,"")</f>
        <v>0.260093989541949</v>
      </c>
      <c r="G37" s="88" t="n">
        <f aca="false">IFERROR(G36/G9,"")</f>
        <v>0.288621139172262</v>
      </c>
      <c r="H37" s="88" t="n">
        <f aca="false">IFERROR(H36/H9,"")</f>
        <v>0.31714441317418</v>
      </c>
      <c r="J37" s="91" t="n">
        <f aca="false">IFERROR(AVERAGE(Model!C169,Model!D169,Model!E169,Model!F169,Model!G169,Model!H169,Model!I169,Model!N169,Model!S169,Model!X169,Model!AC169,Model!AH169,Model!AM169,Model!AR169,Model!AW169,Model!BB169,Model!BG169,Model!BL169,Model!BQ169,Model!BV169),"n/m")</f>
        <v>0.254945914064314</v>
      </c>
      <c r="K37" s="91" t="n">
        <f aca="false">IFERROR(MIN(Model!C169,Model!D169,Model!E169,Model!F169,Model!G169,Model!H169,Model!I169,Model!N169,Model!S169,Model!X169,Model!AC169,Model!AH169,Model!AM169,Model!AR169,Model!AW169,Model!BB169,Model!BG169,Model!BL169,Model!BQ169,Model!BV169),"n/m")</f>
        <v>0.088005262773189</v>
      </c>
      <c r="L37" s="91" t="n">
        <f aca="false">IFERROR(MAX(Model!C169,Model!D169,Model!E169,Model!F169,Model!G169,Model!H169,Model!I169,Model!N169,Model!S169,Model!X169,Model!AC169,Model!AH169,Model!AM169,Model!AR169,Model!AW169,Model!BB169,Model!BG169,Model!BL169,Model!BQ169,Model!BV169),"n/m")</f>
        <v>0.362001230246928</v>
      </c>
      <c r="N37" s="86" t="s">
        <v>678</v>
      </c>
      <c r="O37" s="89" t="n">
        <v>0.136125654450262</v>
      </c>
      <c r="P37" s="90" t="n">
        <v>0.225601877226981</v>
      </c>
      <c r="Q37" s="90" t="n">
        <v>0.260972530945106</v>
      </c>
      <c r="R37" s="90" t="n">
        <v>0.287888503320489</v>
      </c>
      <c r="S37" s="90" t="n">
        <v>0.31469969320852</v>
      </c>
      <c r="T37" s="90" t="n">
        <v>0.340995668025028</v>
      </c>
      <c r="V37" s="91" t="n">
        <v>0.254945914064314</v>
      </c>
      <c r="W37" s="91" t="n">
        <v>0.088005262773189</v>
      </c>
      <c r="X37" s="91" t="n">
        <v>0.362001230246928</v>
      </c>
      <c r="Z37" s="86" t="s">
        <v>678</v>
      </c>
      <c r="AA37" s="89" t="n">
        <v>0.136125654450262</v>
      </c>
      <c r="AB37" s="90" t="n">
        <v>0.217411306831427</v>
      </c>
      <c r="AC37" s="90" t="n">
        <v>0.203274510691802</v>
      </c>
      <c r="AD37" s="90" t="n">
        <v>0.231446587470729</v>
      </c>
      <c r="AE37" s="90" t="n">
        <v>0.260108710711028</v>
      </c>
      <c r="AF37" s="90" t="n">
        <v>0.288684299949745</v>
      </c>
      <c r="AH37" s="91" t="n">
        <v>0.254945914064314</v>
      </c>
      <c r="AI37" s="91" t="n">
        <v>0.088005262773189</v>
      </c>
      <c r="AJ37" s="91" t="n">
        <v>0.362001230246928</v>
      </c>
    </row>
    <row r="39" customFormat="false" ht="15" hidden="false" customHeight="false" outlineLevel="0" collapsed="false">
      <c r="B39" s="82" t="s">
        <v>679</v>
      </c>
      <c r="C39" s="83" t="n">
        <f aca="false">Model!BV383</f>
        <v>-740</v>
      </c>
      <c r="D39" s="84" t="n">
        <f aca="false">Model!CA383</f>
        <v>337.162842328131</v>
      </c>
      <c r="E39" s="84" t="n">
        <f aca="false">Model!CB383</f>
        <v>501.986702479836</v>
      </c>
      <c r="F39" s="84" t="n">
        <f aca="false">Model!CC383</f>
        <v>617.837552796073</v>
      </c>
      <c r="G39" s="84" t="n">
        <f aca="false">Model!CD383</f>
        <v>748.259707726295</v>
      </c>
      <c r="H39" s="84" t="n">
        <f aca="false">Model!CE383</f>
        <v>891.412787630721</v>
      </c>
      <c r="N39" s="82" t="s">
        <v>679</v>
      </c>
      <c r="O39" s="83" t="n">
        <v>-740</v>
      </c>
      <c r="P39" s="84" t="n">
        <v>623.358139058527</v>
      </c>
      <c r="Q39" s="84" t="n">
        <v>1172.56473679724</v>
      </c>
      <c r="R39" s="84" t="n">
        <v>1479.70779591941</v>
      </c>
      <c r="S39" s="84" t="n">
        <v>1834.13669515019</v>
      </c>
      <c r="T39" s="84" t="n">
        <v>2234.84868252744</v>
      </c>
      <c r="Z39" s="82" t="s">
        <v>679</v>
      </c>
      <c r="AA39" s="83" t="n">
        <v>-740</v>
      </c>
      <c r="AB39" s="84" t="n">
        <v>237.967545597735</v>
      </c>
      <c r="AC39" s="84" t="n">
        <v>0</v>
      </c>
      <c r="AD39" s="84" t="n">
        <v>0</v>
      </c>
      <c r="AE39" s="84" t="n">
        <v>0</v>
      </c>
      <c r="AF39" s="84" t="n">
        <v>0</v>
      </c>
    </row>
    <row r="40" customFormat="false" ht="15" hidden="false" customHeight="false" outlineLevel="0" collapsed="false">
      <c r="B40" s="86" t="s">
        <v>680</v>
      </c>
      <c r="C40" s="107" t="n">
        <f aca="false">IFERROR(C39/C36,"")</f>
        <v>-1.67420814479638</v>
      </c>
      <c r="D40" s="108" t="n">
        <f aca="false">IFERROR(D39/D36,"")</f>
        <v>0.400322528256162</v>
      </c>
      <c r="E40" s="108" t="n">
        <f aca="false">IFERROR(E39/E36,"")</f>
        <v>0.5</v>
      </c>
      <c r="F40" s="108" t="n">
        <f aca="false">IFERROR(F39/F36,"")</f>
        <v>0.5</v>
      </c>
      <c r="G40" s="108" t="n">
        <f aca="false">IFERROR(G39/G36,"")</f>
        <v>0.5</v>
      </c>
      <c r="H40" s="108" t="n">
        <f aca="false">IFERROR(H39/H36,"")</f>
        <v>0.5</v>
      </c>
      <c r="N40" s="86" t="s">
        <v>680</v>
      </c>
      <c r="O40" s="109" t="n">
        <v>-1.67420814479638</v>
      </c>
      <c r="P40" s="110" t="n">
        <v>0.722962069265353</v>
      </c>
      <c r="Q40" s="110" t="n">
        <v>1</v>
      </c>
      <c r="R40" s="110" t="n">
        <v>1</v>
      </c>
      <c r="S40" s="110" t="n">
        <v>1</v>
      </c>
      <c r="T40" s="110" t="n">
        <v>1</v>
      </c>
      <c r="Z40" s="86" t="s">
        <v>680</v>
      </c>
      <c r="AA40" s="109" t="n">
        <v>-1.67420814479638</v>
      </c>
      <c r="AB40" s="110" t="n">
        <v>0.289417954141351</v>
      </c>
      <c r="AC40" s="110" t="n">
        <v>0</v>
      </c>
      <c r="AD40" s="110" t="n">
        <v>0</v>
      </c>
      <c r="AE40" s="110" t="n">
        <v>0</v>
      </c>
      <c r="AF40" s="110" t="n">
        <v>0</v>
      </c>
    </row>
    <row r="41" customFormat="false" ht="15" hidden="false" customHeight="false" outlineLevel="0" collapsed="false">
      <c r="B41" s="86" t="s">
        <v>681</v>
      </c>
      <c r="C41" s="111"/>
      <c r="D41" s="112" t="n">
        <f aca="false">Model!CA259</f>
        <v>113</v>
      </c>
      <c r="E41" s="112" t="n">
        <f aca="false">Model!CB259</f>
        <v>849.39881673517</v>
      </c>
      <c r="F41" s="112" t="n">
        <f aca="false">Model!CC259</f>
        <v>999.81928902603</v>
      </c>
      <c r="G41" s="112" t="n">
        <f aca="false">Model!CD259</f>
        <v>1216.56355181866</v>
      </c>
      <c r="H41" s="112" t="n">
        <f aca="false">Model!CE259</f>
        <v>1414.27061225815</v>
      </c>
      <c r="N41" s="86" t="s">
        <v>681</v>
      </c>
      <c r="O41" s="113"/>
      <c r="P41" s="112" t="n">
        <v>413</v>
      </c>
      <c r="Q41" s="112" t="n">
        <v>843.064913978781</v>
      </c>
      <c r="R41" s="112" t="n">
        <v>841.5039381241</v>
      </c>
      <c r="S41" s="112" t="n">
        <v>1154.18351006065</v>
      </c>
      <c r="T41" s="112" t="n">
        <v>1464.09820390981</v>
      </c>
      <c r="Z41" s="86" t="s">
        <v>681</v>
      </c>
      <c r="AA41" s="113"/>
      <c r="AB41" s="112" t="n">
        <v>0</v>
      </c>
      <c r="AC41" s="112" t="n">
        <v>340.602563544889</v>
      </c>
      <c r="AD41" s="112" t="n">
        <v>755.443209091341</v>
      </c>
      <c r="AE41" s="112" t="n">
        <v>920.401266405387</v>
      </c>
      <c r="AF41" s="112" t="n">
        <v>1060.47766531624</v>
      </c>
    </row>
    <row r="42" customFormat="false" ht="15" hidden="false" customHeight="false" outlineLevel="0" collapsed="false">
      <c r="B42" s="86" t="s">
        <v>682</v>
      </c>
      <c r="C42" s="103"/>
      <c r="D42" s="106" t="n">
        <f aca="false">Model!CA258</f>
        <v>30.78</v>
      </c>
      <c r="E42" s="106" t="n">
        <f aca="false">Model!CB258</f>
        <v>33.2424</v>
      </c>
      <c r="F42" s="106" t="n">
        <f aca="false">Model!CC258</f>
        <v>35.901792</v>
      </c>
      <c r="G42" s="106" t="n">
        <f aca="false">Model!CD258</f>
        <v>38.77393536</v>
      </c>
      <c r="H42" s="106" t="n">
        <f aca="false">Model!CE258</f>
        <v>41.8758501888</v>
      </c>
      <c r="N42" s="86" t="s">
        <v>682</v>
      </c>
      <c r="O42" s="105"/>
      <c r="P42" s="106" t="n">
        <v>30.78</v>
      </c>
      <c r="Q42" s="106" t="n">
        <v>33.2424</v>
      </c>
      <c r="R42" s="106" t="n">
        <v>35.901792</v>
      </c>
      <c r="S42" s="106" t="n">
        <v>38.77393536</v>
      </c>
      <c r="T42" s="106" t="n">
        <v>41.8758501888</v>
      </c>
      <c r="Z42" s="86" t="s">
        <v>682</v>
      </c>
      <c r="AA42" s="105"/>
      <c r="AB42" s="106" t="n">
        <v>30.78</v>
      </c>
      <c r="AC42" s="106" t="n">
        <v>33.2424</v>
      </c>
      <c r="AD42" s="106" t="n">
        <v>35.901792</v>
      </c>
      <c r="AE42" s="106" t="n">
        <v>38.77393536</v>
      </c>
      <c r="AF42" s="106" t="n">
        <v>41.8758501888</v>
      </c>
    </row>
    <row r="43" customFormat="false" ht="15" hidden="false" customHeight="false" outlineLevel="0" collapsed="false">
      <c r="B43" s="86" t="s">
        <v>683</v>
      </c>
      <c r="C43" s="114"/>
      <c r="D43" s="115" t="n">
        <f aca="false">Model!CA260</f>
        <v>3.67121507472385</v>
      </c>
      <c r="E43" s="115" t="n">
        <f aca="false">Model!CB260</f>
        <v>25.551669456332</v>
      </c>
      <c r="F43" s="115" t="n">
        <f aca="false">Model!CC260</f>
        <v>27.8487293622009</v>
      </c>
      <c r="G43" s="115" t="n">
        <f aca="false">Model!CD260</f>
        <v>31.3758080144141</v>
      </c>
      <c r="H43" s="115" t="n">
        <f aca="false">Model!CE260</f>
        <v>33.7729408688259</v>
      </c>
      <c r="N43" s="86" t="s">
        <v>683</v>
      </c>
      <c r="O43" s="116"/>
      <c r="P43" s="115" t="n">
        <v>13.417803768681</v>
      </c>
      <c r="Q43" s="115" t="n">
        <v>25.3611325890664</v>
      </c>
      <c r="R43" s="115" t="n">
        <v>23.4390511238018</v>
      </c>
      <c r="S43" s="115" t="n">
        <v>29.7669942280692</v>
      </c>
      <c r="T43" s="115" t="n">
        <v>34.9628293469584</v>
      </c>
      <c r="Z43" s="86" t="s">
        <v>683</v>
      </c>
      <c r="AA43" s="116"/>
      <c r="AB43" s="115" t="n">
        <v>0</v>
      </c>
      <c r="AC43" s="115" t="n">
        <v>10.2460280709242</v>
      </c>
      <c r="AD43" s="115" t="n">
        <v>21.0419359872438</v>
      </c>
      <c r="AE43" s="115" t="n">
        <v>23.7376283284077</v>
      </c>
      <c r="AF43" s="115" t="n">
        <v>25.3243256085549</v>
      </c>
    </row>
    <row r="45" customFormat="false" ht="15" hidden="false" customHeight="false" outlineLevel="0" collapsed="false">
      <c r="B45" s="86" t="s">
        <v>684</v>
      </c>
      <c r="C45" s="89" t="n">
        <f aca="false">Model!BV366</f>
        <v>0.0193945747608439</v>
      </c>
      <c r="D45" s="90" t="n">
        <f aca="false">Model!CA366</f>
        <v>0.0415615890742965</v>
      </c>
      <c r="E45" s="90" t="n">
        <f aca="false">Model!CB366</f>
        <v>0.0592145729571223</v>
      </c>
      <c r="F45" s="90" t="n">
        <f aca="false">Model!CC366</f>
        <v>0.0836497281915479</v>
      </c>
      <c r="G45" s="90" t="n">
        <f aca="false">Model!CD366</f>
        <v>0.111068078550746</v>
      </c>
      <c r="H45" s="90" t="n">
        <f aca="false">Model!CE366</f>
        <v>0.143654146416082</v>
      </c>
      <c r="J45" s="91" t="n">
        <f aca="false">IFERROR(AVERAGE(Model!C366,Model!D366,Model!E366,Model!F366,Model!G366,Model!H366,Model!I366,Model!N366,Model!S366,Model!X366,Model!AC366,Model!AH366,Model!AM366,Model!AR366,Model!AW366,Model!BB366,Model!BG366,Model!BL366,Model!BQ366,Model!BV366),"n/m")</f>
        <v>0.107077227184243</v>
      </c>
      <c r="K45" s="91" t="n">
        <f aca="false">IFERROR(MIN(Model!C366,Model!D366,Model!E366,Model!F366,Model!G366,Model!H366,Model!I366,Model!N366,Model!S366,Model!X366,Model!AC366,Model!AH366,Model!AM366,Model!AR366,Model!AW366,Model!BB366,Model!BG366,Model!BL366,Model!BQ366,Model!BV366),"n/m")</f>
        <v>0.0193945747608439</v>
      </c>
      <c r="L45" s="91" t="n">
        <f aca="false">IFERROR(MAX(Model!C366,Model!D366,Model!E366,Model!F366,Model!G366,Model!H366,Model!I366,Model!N366,Model!S366,Model!X366,Model!AC366,Model!AH366,Model!AM366,Model!AR366,Model!AW366,Model!BB366,Model!BG366,Model!BL366,Model!BQ366,Model!BV366),"n/m")</f>
        <v>0.239685818339947</v>
      </c>
      <c r="N45" s="86" t="s">
        <v>684</v>
      </c>
      <c r="O45" s="89" t="n">
        <v>0.0193945747608439</v>
      </c>
      <c r="P45" s="90" t="n">
        <v>0.043316015310172</v>
      </c>
      <c r="Q45" s="90" t="n">
        <v>0.0690298519047434</v>
      </c>
      <c r="R45" s="90" t="n">
        <v>0.0916142842296328</v>
      </c>
      <c r="S45" s="90" t="n">
        <v>0.115985473212673</v>
      </c>
      <c r="T45" s="90" t="n">
        <v>0.143920731285997</v>
      </c>
      <c r="V45" s="91" t="n">
        <v>0.107077227184243</v>
      </c>
      <c r="W45" s="91" t="n">
        <v>0.0193945747608439</v>
      </c>
      <c r="X45" s="91" t="n">
        <v>0.239685818339947</v>
      </c>
      <c r="Z45" s="86" t="s">
        <v>684</v>
      </c>
      <c r="AA45" s="89" t="n">
        <v>0.0193945747608439</v>
      </c>
      <c r="AB45" s="90" t="n">
        <v>0.0398070986593941</v>
      </c>
      <c r="AC45" s="90" t="n">
        <v>0.0459378121883127</v>
      </c>
      <c r="AD45" s="90" t="n">
        <v>0.0662811518929787</v>
      </c>
      <c r="AE45" s="90" t="n">
        <v>0.088235416631382</v>
      </c>
      <c r="AF45" s="90" t="n">
        <v>0.113880717230426</v>
      </c>
      <c r="AH45" s="91" t="n">
        <v>0.107077227184243</v>
      </c>
      <c r="AI45" s="91" t="n">
        <v>0.0193945747608439</v>
      </c>
      <c r="AJ45" s="91" t="n">
        <v>0.239685818339947</v>
      </c>
    </row>
    <row r="46" customFormat="false" ht="15" hidden="false" customHeight="false" outlineLevel="0" collapsed="false">
      <c r="B46" s="86" t="s">
        <v>685</v>
      </c>
      <c r="C46" s="89" t="n">
        <f aca="false">Model!BV377</f>
        <v>0.0480987975300618</v>
      </c>
      <c r="D46" s="90" t="n">
        <f aca="false">Model!CA377</f>
        <v>0.158805680071607</v>
      </c>
      <c r="E46" s="90" t="n">
        <f aca="false">Model!CB377</f>
        <v>0.232084822072112</v>
      </c>
      <c r="F46" s="90" t="n">
        <f aca="false">Model!CC377</f>
        <v>0.330993264929082</v>
      </c>
      <c r="G46" s="90" t="n">
        <f aca="false">Model!CD377</f>
        <v>0.427973399734153</v>
      </c>
      <c r="H46" s="90" t="n">
        <f aca="false">Model!CE377</f>
        <v>0.541078842306055</v>
      </c>
      <c r="J46" s="91" t="n">
        <f aca="false">IFERROR(AVERAGE(Model!C377,Model!D377,Model!E377,Model!F377,Model!G377,Model!H377,Model!I377,Model!N377,Model!S377,Model!X377,Model!AC377,Model!AH377,Model!AM377,Model!AR377,Model!AW377,Model!BB377,Model!BG377,Model!BL377,Model!BQ377,Model!BV377),"n/m")</f>
        <v>0.103637771745322</v>
      </c>
      <c r="K46" s="91" t="n">
        <f aca="false">IFERROR(MIN(Model!C377,Model!D377,Model!E377,Model!F377,Model!G377,Model!H377,Model!I377,Model!N377,Model!S377,Model!X377,Model!AC377,Model!AH377,Model!AM377,Model!AR377,Model!AW377,Model!BB377,Model!BG377,Model!BL377,Model!BQ377,Model!BV377),"n/m")</f>
        <v>0.0157825095321831</v>
      </c>
      <c r="L46" s="91" t="n">
        <f aca="false">IFERROR(MAX(Model!C377,Model!D377,Model!E377,Model!F377,Model!G377,Model!H377,Model!I377,Model!N377,Model!S377,Model!X377,Model!AC377,Model!AH377,Model!AM377,Model!AR377,Model!AW377,Model!BB377,Model!BG377,Model!BL377,Model!BQ377,Model!BV377),"n/m")</f>
        <v>0.237514270149749</v>
      </c>
      <c r="N46" s="86" t="s">
        <v>685</v>
      </c>
      <c r="O46" s="89" t="n">
        <v>0.0480987975300618</v>
      </c>
      <c r="P46" s="90" t="n">
        <v>0.187334780183187</v>
      </c>
      <c r="Q46" s="90" t="n">
        <v>0.299657961980226</v>
      </c>
      <c r="R46" s="90" t="n">
        <v>0.405487994482556</v>
      </c>
      <c r="S46" s="90" t="n">
        <v>0.526878436598092</v>
      </c>
      <c r="T46" s="90" t="n">
        <v>0.671684381542989</v>
      </c>
      <c r="V46" s="91" t="n">
        <v>0.103637771745322</v>
      </c>
      <c r="W46" s="91" t="n">
        <v>0.0157825095321831</v>
      </c>
      <c r="X46" s="91" t="n">
        <v>0.237514270149749</v>
      </c>
      <c r="Z46" s="86" t="s">
        <v>685</v>
      </c>
      <c r="AA46" s="89" t="n">
        <v>0.0480987975300618</v>
      </c>
      <c r="AB46" s="90" t="n">
        <v>0.145566144212962</v>
      </c>
      <c r="AC46" s="90" t="n">
        <v>0.145325449323878</v>
      </c>
      <c r="AD46" s="90" t="n">
        <v>0.202901950867006</v>
      </c>
      <c r="AE46" s="90" t="n">
        <v>0.263057280043764</v>
      </c>
      <c r="AF46" s="90" t="n">
        <v>0.331857363879366</v>
      </c>
      <c r="AH46" s="91" t="n">
        <v>0.103637771745322</v>
      </c>
      <c r="AI46" s="91" t="n">
        <v>0.0157825095321831</v>
      </c>
      <c r="AJ46" s="91" t="n">
        <v>0.237514270149749</v>
      </c>
    </row>
    <row r="48" customFormat="false" ht="15" hidden="false" customHeight="false" outlineLevel="0" collapsed="false">
      <c r="B48" s="86" t="s">
        <v>686</v>
      </c>
      <c r="C48" s="111"/>
      <c r="D48" s="117"/>
      <c r="E48" s="117"/>
      <c r="F48" s="117"/>
      <c r="G48" s="117" t="n">
        <f aca="false">G28*G22</f>
        <v>22080.839398246</v>
      </c>
      <c r="H48" s="117" t="n">
        <f aca="false">H28*H22</f>
        <v>26274.6243118251</v>
      </c>
      <c r="N48" s="86" t="s">
        <v>686</v>
      </c>
      <c r="O48" s="113"/>
      <c r="P48" s="112"/>
      <c r="Q48" s="112"/>
      <c r="R48" s="112"/>
      <c r="S48" s="112" t="n">
        <f aca="false">S28*S22</f>
        <v>33822.9569195996</v>
      </c>
      <c r="T48" s="112" t="n">
        <f aca="false">T28*T22</f>
        <v>41143.8603661368</v>
      </c>
      <c r="Z48" s="86" t="s">
        <v>686</v>
      </c>
      <c r="AA48" s="113"/>
      <c r="AB48" s="112"/>
      <c r="AC48" s="112"/>
      <c r="AD48" s="112" t="n">
        <f aca="false">AD28*AD22</f>
        <v>11080.3330287363</v>
      </c>
      <c r="AE48" s="112" t="n">
        <f aca="false">AE28*AE22</f>
        <v>13430.6191437979</v>
      </c>
      <c r="AF48" s="112" t="n">
        <f aca="false">AF28*AF22</f>
        <v>15783.0055323624</v>
      </c>
    </row>
    <row r="49" customFormat="false" ht="15" hidden="false" customHeight="false" outlineLevel="0" collapsed="false">
      <c r="B49" s="86" t="s">
        <v>687</v>
      </c>
      <c r="C49" s="111"/>
      <c r="D49" s="117"/>
      <c r="E49" s="117"/>
      <c r="F49" s="117"/>
      <c r="G49" s="112" t="n">
        <f aca="false">G39+Model!CD296</f>
        <v>761.259707726295</v>
      </c>
      <c r="H49" s="112" t="n">
        <f aca="false">H39+Model!CE296</f>
        <v>904.412787630721</v>
      </c>
      <c r="N49" s="86" t="s">
        <v>687</v>
      </c>
      <c r="O49" s="113"/>
      <c r="P49" s="112"/>
      <c r="Q49" s="112"/>
      <c r="R49" s="112"/>
      <c r="S49" s="112" t="n">
        <f aca="false">S39+Model!CD296</f>
        <v>1847.13669515019</v>
      </c>
      <c r="T49" s="112" t="n">
        <f aca="false">T39+Model!CE296</f>
        <v>2247.84868252744</v>
      </c>
      <c r="Z49" s="86" t="s">
        <v>687</v>
      </c>
      <c r="AA49" s="113"/>
      <c r="AB49" s="112"/>
      <c r="AC49" s="112"/>
      <c r="AD49" s="112" t="n">
        <f aca="false">AD39+Model!CC296</f>
        <v>13</v>
      </c>
      <c r="AE49" s="112" t="n">
        <f aca="false">AE39+Model!CD296</f>
        <v>13</v>
      </c>
      <c r="AF49" s="112" t="n">
        <f aca="false">AF39+Model!CE296</f>
        <v>13</v>
      </c>
    </row>
    <row r="50" customFormat="false" ht="15" hidden="false" customHeight="false" outlineLevel="0" collapsed="false">
      <c r="B50" s="82" t="s">
        <v>688</v>
      </c>
      <c r="C50" s="118"/>
      <c r="D50" s="119"/>
      <c r="E50" s="119"/>
      <c r="F50" s="119"/>
      <c r="G50" s="119" t="n">
        <f aca="false">G48+G49</f>
        <v>22842.0991059723</v>
      </c>
      <c r="H50" s="119" t="n">
        <f aca="false">H48+H49</f>
        <v>27179.0370994558</v>
      </c>
      <c r="N50" s="82" t="s">
        <v>688</v>
      </c>
      <c r="O50" s="83"/>
      <c r="P50" s="84"/>
      <c r="Q50" s="84"/>
      <c r="R50" s="84"/>
      <c r="S50" s="84" t="n">
        <f aca="false">S48+S49</f>
        <v>35670.0936147498</v>
      </c>
      <c r="T50" s="84" t="n">
        <f aca="false">T48+T49</f>
        <v>43391.7090486643</v>
      </c>
      <c r="Z50" s="82" t="s">
        <v>688</v>
      </c>
      <c r="AA50" s="83"/>
      <c r="AB50" s="84"/>
      <c r="AC50" s="84"/>
      <c r="AD50" s="84" t="n">
        <f aca="false">AD48+AD49</f>
        <v>11093.3330287363</v>
      </c>
      <c r="AE50" s="84" t="n">
        <f aca="false">AE48+AE49</f>
        <v>13443.6191437979</v>
      </c>
      <c r="AF50" s="84" t="n">
        <f aca="false">AF48+AF49</f>
        <v>15796.0055323624</v>
      </c>
    </row>
    <row r="51" customFormat="false" ht="15" hidden="false" customHeight="false" outlineLevel="0" collapsed="false">
      <c r="B51" s="86" t="s">
        <v>689</v>
      </c>
      <c r="C51" s="107"/>
      <c r="D51" s="108"/>
      <c r="E51" s="108"/>
      <c r="F51" s="108"/>
      <c r="G51" s="108" t="n">
        <f aca="false">IFERROR(G50/G36,"")</f>
        <v>15.2634833000574</v>
      </c>
      <c r="H51" s="108" t="n">
        <f aca="false">IFERROR(H50/H36,"")</f>
        <v>15.2449221486348</v>
      </c>
      <c r="N51" s="86" t="s">
        <v>689</v>
      </c>
      <c r="O51" s="109"/>
      <c r="P51" s="110"/>
      <c r="Q51" s="110"/>
      <c r="R51" s="110"/>
      <c r="S51" s="110" t="n">
        <f aca="false">IFERROR(S50/S36,"")</f>
        <v>19.4478926838269</v>
      </c>
      <c r="T51" s="110" t="n">
        <f aca="false">IFERROR(T50/T36,"")</f>
        <v>19.4159494501398</v>
      </c>
      <c r="Z51" s="86" t="s">
        <v>689</v>
      </c>
      <c r="AA51" s="109"/>
      <c r="AB51" s="110"/>
      <c r="AC51" s="110"/>
      <c r="AD51" s="110" t="n">
        <f aca="false">IFERROR(AD50/AD36,"")</f>
        <v>10.6474852677376</v>
      </c>
      <c r="AE51" s="110" t="n">
        <f aca="false">IFERROR(AE50/AE36,"")</f>
        <v>10.7825249421703</v>
      </c>
      <c r="AF51" s="110" t="n">
        <f aca="false">IFERROR(AF50/AF36,"")</f>
        <v>10.7934491748613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11"/>
  <sheetViews>
    <sheetView showFormulas="false" showGridLines="fals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3"/>
    <col collapsed="false" customWidth="true" hidden="false" outlineLevel="0" max="2" min="2" style="0" width="58"/>
    <col collapsed="false" customWidth="true" hidden="false" outlineLevel="0" max="14" min="4" style="0" width="12.57"/>
    <col collapsed="false" customWidth="true" hidden="false" outlineLevel="0" max="15" min="15" style="0" width="2.29"/>
    <col collapsed="false" customWidth="true" hidden="false" outlineLevel="0" max="17" min="16" style="0" width="14.86"/>
  </cols>
  <sheetData>
    <row r="2" customFormat="false" ht="17.35" hidden="false" customHeight="false" outlineLevel="0" collapsed="false">
      <c r="B2" s="120" t="s">
        <v>690</v>
      </c>
    </row>
    <row r="4" customFormat="false" ht="15" hidden="false" customHeight="false" outlineLevel="0" collapsed="false">
      <c r="B4" s="16" t="s">
        <v>691</v>
      </c>
    </row>
    <row r="5" customFormat="false" ht="15" hidden="false" customHeight="false" outlineLevel="0" collapsed="false">
      <c r="B5" s="29" t="s">
        <v>692</v>
      </c>
      <c r="C5" s="121" t="n">
        <v>0.0425</v>
      </c>
      <c r="D5" s="122" t="s">
        <v>693</v>
      </c>
    </row>
    <row r="6" customFormat="false" ht="15" hidden="false" customHeight="false" outlineLevel="0" collapsed="false">
      <c r="B6" s="29" t="s">
        <v>694</v>
      </c>
      <c r="C6" s="121" t="n">
        <v>0.05</v>
      </c>
      <c r="D6" s="122" t="s">
        <v>695</v>
      </c>
    </row>
    <row r="7" customFormat="false" ht="15" hidden="false" customHeight="false" outlineLevel="0" collapsed="false">
      <c r="B7" s="29" t="s">
        <v>696</v>
      </c>
      <c r="C7" s="123" t="n">
        <v>1.1</v>
      </c>
      <c r="D7" s="122" t="s">
        <v>697</v>
      </c>
    </row>
    <row r="8" customFormat="false" ht="15" hidden="false" customHeight="false" outlineLevel="0" collapsed="false">
      <c r="B8" s="29" t="s">
        <v>698</v>
      </c>
      <c r="C8" s="124" t="n">
        <f aca="false">C5+C7*C6</f>
        <v>0.0975</v>
      </c>
    </row>
    <row r="9" customFormat="false" ht="15" hidden="false" customHeight="false" outlineLevel="0" collapsed="false">
      <c r="B9" s="29" t="s">
        <v>699</v>
      </c>
      <c r="C9" s="121" t="n">
        <v>0.055</v>
      </c>
      <c r="D9" s="122" t="s">
        <v>700</v>
      </c>
    </row>
    <row r="10" customFormat="false" ht="15" hidden="false" customHeight="false" outlineLevel="0" collapsed="false">
      <c r="B10" s="29" t="s">
        <v>701</v>
      </c>
      <c r="C10" s="121" t="n">
        <v>0.26</v>
      </c>
      <c r="D10" s="122" t="s">
        <v>702</v>
      </c>
    </row>
    <row r="11" customFormat="false" ht="15" hidden="false" customHeight="false" outlineLevel="0" collapsed="false">
      <c r="B11" s="29" t="s">
        <v>703</v>
      </c>
      <c r="C11" s="124" t="n">
        <f aca="false">C9*(1-C10)</f>
        <v>0.0407</v>
      </c>
    </row>
    <row r="12" customFormat="false" ht="15" hidden="false" customHeight="false" outlineLevel="0" collapsed="false">
      <c r="B12" s="29" t="s">
        <v>704</v>
      </c>
      <c r="C12" s="121" t="n">
        <v>0.1</v>
      </c>
      <c r="D12" s="122" t="s">
        <v>705</v>
      </c>
    </row>
    <row r="13" customFormat="false" ht="15" hidden="false" customHeight="false" outlineLevel="0" collapsed="false">
      <c r="B13" s="29" t="s">
        <v>706</v>
      </c>
      <c r="C13" s="125" t="n">
        <f aca="false">C8*(1-C12)+C11*C12</f>
        <v>0.09182</v>
      </c>
    </row>
    <row r="15" customFormat="false" ht="15" hidden="false" customHeight="false" outlineLevel="0" collapsed="false">
      <c r="B15" s="0" t="s">
        <v>707</v>
      </c>
      <c r="C15" s="126" t="n">
        <f aca="true">TODAY()</f>
        <v>46301</v>
      </c>
      <c r="D15" s="122" t="s">
        <v>708</v>
      </c>
    </row>
    <row r="16" customFormat="false" ht="15" hidden="false" customHeight="false" outlineLevel="0" collapsed="false">
      <c r="B16" s="16" t="s">
        <v>709</v>
      </c>
    </row>
    <row r="17" customFormat="false" ht="15" hidden="false" customHeight="false" outlineLevel="0" collapsed="false">
      <c r="D17" s="9" t="s">
        <v>64</v>
      </c>
      <c r="E17" s="9" t="s">
        <v>65</v>
      </c>
      <c r="F17" s="9" t="s">
        <v>66</v>
      </c>
      <c r="G17" s="9" t="s">
        <v>67</v>
      </c>
      <c r="H17" s="9" t="s">
        <v>68</v>
      </c>
      <c r="I17" s="9" t="s">
        <v>710</v>
      </c>
      <c r="J17" s="9" t="s">
        <v>711</v>
      </c>
      <c r="K17" s="9" t="s">
        <v>712</v>
      </c>
      <c r="L17" s="9" t="s">
        <v>713</v>
      </c>
      <c r="M17" s="9" t="s">
        <v>714</v>
      </c>
      <c r="N17" s="9" t="s">
        <v>715</v>
      </c>
      <c r="P17" s="9" t="s">
        <v>716</v>
      </c>
      <c r="Q17" s="9" t="s">
        <v>717</v>
      </c>
    </row>
    <row r="18" customFormat="false" ht="15" hidden="false" customHeight="false" outlineLevel="0" collapsed="false">
      <c r="B18" s="127" t="s">
        <v>718</v>
      </c>
      <c r="D18" s="128" t="n">
        <f aca="false">Model!CA175-Model!CA162-Model!CA163</f>
        <v>293.388898630137</v>
      </c>
      <c r="E18" s="128" t="n">
        <f aca="false">Model!CB175-Model!CB162-Model!CB163</f>
        <v>469.829610941663</v>
      </c>
      <c r="F18" s="128" t="n">
        <f aca="false">Model!CC175-Model!CC162-Model!CC163</f>
        <v>706.120599808933</v>
      </c>
      <c r="G18" s="128" t="n">
        <f aca="false">Model!CD175-Model!CD162-Model!CD163</f>
        <v>954.045375040454</v>
      </c>
      <c r="H18" s="128" t="n">
        <f aca="false">Model!CE175-Model!CE162-Model!CE163</f>
        <v>1245.29291608607</v>
      </c>
      <c r="I18" s="129" t="n">
        <f aca="false">H18*(1+I$26)</f>
        <v>1369.82220769468</v>
      </c>
      <c r="J18" s="129" t="n">
        <f aca="false">I18*(1+J$26)</f>
        <v>1493.1062063872</v>
      </c>
      <c r="K18" s="129" t="n">
        <f aca="false">J18*(1+K$26)</f>
        <v>1612.55470289818</v>
      </c>
      <c r="L18" s="129" t="n">
        <f aca="false">K18*(1+L$26)</f>
        <v>1725.43353210105</v>
      </c>
      <c r="M18" s="129" t="n">
        <f aca="false">L18*(1+M$26)</f>
        <v>1828.95954402711</v>
      </c>
      <c r="P18" s="130" t="n">
        <f aca="false">IFERROR((H18/D18)^(1/(COLUMNS(D18:H18)-1))-1,"n/m")</f>
        <v>0.435347179372332</v>
      </c>
      <c r="Q18" s="130" t="n">
        <f aca="false">IFERROR((M18/D18)^(1/(COLUMNS(D18:M18)-1))-1,"n/m")</f>
        <v>0.225481370510359</v>
      </c>
    </row>
    <row r="19" customFormat="false" ht="15" hidden="false" customHeight="false" outlineLevel="0" collapsed="false">
      <c r="B19" s="127" t="s">
        <v>719</v>
      </c>
      <c r="D19" s="131" t="n">
        <f aca="false">1-$C$10</f>
        <v>0.74</v>
      </c>
      <c r="E19" s="131" t="n">
        <f aca="false">1-$C$10</f>
        <v>0.74</v>
      </c>
      <c r="F19" s="131" t="n">
        <f aca="false">1-$C$10</f>
        <v>0.74</v>
      </c>
      <c r="G19" s="131" t="n">
        <f aca="false">1-$C$10</f>
        <v>0.74</v>
      </c>
      <c r="H19" s="131" t="n">
        <f aca="false">1-$C$10</f>
        <v>0.74</v>
      </c>
      <c r="I19" s="131" t="n">
        <f aca="false">1-$C$10</f>
        <v>0.74</v>
      </c>
      <c r="J19" s="131" t="n">
        <f aca="false">1-$C$10</f>
        <v>0.74</v>
      </c>
      <c r="K19" s="131" t="n">
        <f aca="false">1-$C$10</f>
        <v>0.74</v>
      </c>
      <c r="L19" s="131" t="n">
        <f aca="false">1-$C$10</f>
        <v>0.74</v>
      </c>
      <c r="M19" s="131" t="n">
        <f aca="false">1-$C$10</f>
        <v>0.74</v>
      </c>
    </row>
    <row r="20" customFormat="false" ht="15" hidden="false" customHeight="false" outlineLevel="0" collapsed="false">
      <c r="B20" s="127" t="s">
        <v>720</v>
      </c>
      <c r="D20" s="129" t="n">
        <f aca="false">D18*D19</f>
        <v>217.107784986302</v>
      </c>
      <c r="E20" s="129" t="n">
        <f aca="false">E18*E19</f>
        <v>347.673912096831</v>
      </c>
      <c r="F20" s="129" t="n">
        <f aca="false">F18*F19</f>
        <v>522.52924385861</v>
      </c>
      <c r="G20" s="129" t="n">
        <f aca="false">G18*G19</f>
        <v>705.993577529936</v>
      </c>
      <c r="H20" s="129" t="n">
        <f aca="false">H18*H19</f>
        <v>921.516757903693</v>
      </c>
      <c r="I20" s="129" t="n">
        <f aca="false">I18*I19</f>
        <v>1013.66843369406</v>
      </c>
      <c r="J20" s="129" t="n">
        <f aca="false">J18*J19</f>
        <v>1104.89859272653</v>
      </c>
      <c r="K20" s="129" t="n">
        <f aca="false">K18*K19</f>
        <v>1193.29048014465</v>
      </c>
      <c r="L20" s="129" t="n">
        <f aca="false">L18*L19</f>
        <v>1276.82081375478</v>
      </c>
      <c r="M20" s="129" t="n">
        <f aca="false">M18*M19</f>
        <v>1353.43006258006</v>
      </c>
    </row>
    <row r="21" customFormat="false" ht="15" hidden="false" customHeight="false" outlineLevel="0" collapsed="false">
      <c r="B21" s="127" t="s">
        <v>721</v>
      </c>
      <c r="D21" s="128" t="n">
        <f aca="false">Model!CA141</f>
        <v>356.998290410959</v>
      </c>
      <c r="E21" s="128" t="n">
        <f aca="false">Model!CB141</f>
        <v>360.147797877358</v>
      </c>
      <c r="F21" s="128" t="n">
        <f aca="false">Model!CC141</f>
        <v>343.519340761785</v>
      </c>
      <c r="G21" s="128" t="n">
        <f aca="false">Model!CD141</f>
        <v>339.071433694629</v>
      </c>
      <c r="H21" s="128" t="n">
        <f aca="false">Model!CE141</f>
        <v>316.672879062228</v>
      </c>
      <c r="I21" s="129" t="n">
        <f aca="false">H21*(1+I$26)</f>
        <v>348.340166968451</v>
      </c>
      <c r="J21" s="129" t="n">
        <f aca="false">I21*(1+J$26)</f>
        <v>379.690781995612</v>
      </c>
      <c r="K21" s="129" t="n">
        <f aca="false">J21*(1+K$26)</f>
        <v>410.066044555261</v>
      </c>
      <c r="L21" s="129" t="n">
        <f aca="false">K21*(1+L$26)</f>
        <v>438.770667674129</v>
      </c>
      <c r="M21" s="129" t="n">
        <f aca="false">L21*(1+M$26)</f>
        <v>465.096907734577</v>
      </c>
    </row>
    <row r="22" customFormat="false" ht="15" hidden="false" customHeight="false" outlineLevel="0" collapsed="false">
      <c r="B22" s="127" t="s">
        <v>722</v>
      </c>
      <c r="D22" s="128" t="n">
        <f aca="false">Model!CA228+Model!CA229+Model!CA230</f>
        <v>-998.513240304949</v>
      </c>
      <c r="E22" s="128" t="n">
        <f aca="false">Model!CB228+Model!CB229+Model!CB230</f>
        <v>-166.497998070325</v>
      </c>
      <c r="F22" s="128" t="n">
        <f aca="false">Model!CC228+Model!CC229+Model!CC230</f>
        <v>-135.017582510714</v>
      </c>
      <c r="G22" s="128" t="n">
        <f aca="false">Model!CD228+Model!CD229+Model!CD230</f>
        <v>-123.701303358754</v>
      </c>
      <c r="H22" s="128" t="n">
        <f aca="false">Model!CE228+Model!CE229+Model!CE230</f>
        <v>-132.429890056571</v>
      </c>
      <c r="I22" s="129" t="n">
        <f aca="false">Model!CE228*(1+I$26)+Model!CE229</f>
        <v>-143.672879062228</v>
      </c>
      <c r="J22" s="129" t="n">
        <f aca="false">I22*(1+J$26)</f>
        <v>-156.603438177829</v>
      </c>
      <c r="K22" s="129" t="n">
        <f aca="false">J22*(1+K$26)</f>
        <v>-169.131713232055</v>
      </c>
      <c r="L22" s="129" t="n">
        <f aca="false">K22*(1+L$26)</f>
        <v>-180.970933158299</v>
      </c>
      <c r="M22" s="129" t="n">
        <f aca="false">L22*(1+M$26)</f>
        <v>-191.829189147797</v>
      </c>
    </row>
    <row r="23" customFormat="false" ht="15" hidden="false" customHeight="false" outlineLevel="0" collapsed="false">
      <c r="B23" s="127" t="s">
        <v>723</v>
      </c>
      <c r="D23" s="128" t="n">
        <f aca="false">Model!CA226</f>
        <v>-263.379758212412</v>
      </c>
      <c r="E23" s="128" t="n">
        <f aca="false">Model!CB226</f>
        <v>-155.122813540466</v>
      </c>
      <c r="F23" s="128" t="n">
        <f aca="false">Model!CC226</f>
        <v>-170.213783032669</v>
      </c>
      <c r="G23" s="128" t="n">
        <f aca="false">Model!CD226</f>
        <v>-185.48606707753</v>
      </c>
      <c r="H23" s="128" t="n">
        <f aca="false">Model!CE226</f>
        <v>-200.781805841691</v>
      </c>
      <c r="I23" s="129" t="n">
        <f aca="false">H23*(1+I$26)</f>
        <v>-220.85998642586</v>
      </c>
      <c r="J23" s="129" t="n">
        <f aca="false">I23*(1+J$26)</f>
        <v>-240.737385204187</v>
      </c>
      <c r="K23" s="129" t="n">
        <f aca="false">J23*(1+K$26)</f>
        <v>-259.996376020522</v>
      </c>
      <c r="L23" s="129" t="n">
        <f aca="false">K23*(1+L$26)</f>
        <v>-278.196122341959</v>
      </c>
      <c r="M23" s="129" t="n">
        <f aca="false">L23*(1+M$26)</f>
        <v>-294.887889682476</v>
      </c>
    </row>
    <row r="24" customFormat="false" ht="15" hidden="false" customHeight="false" outlineLevel="0" collapsed="false">
      <c r="B24" s="132" t="s">
        <v>724</v>
      </c>
      <c r="D24" s="133" t="n">
        <f aca="false">D20+D21+D22+D23</f>
        <v>-687.7869231201</v>
      </c>
      <c r="E24" s="133" t="n">
        <f aca="false">E20+E21+E22+E23</f>
        <v>386.200898363397</v>
      </c>
      <c r="F24" s="133" t="n">
        <f aca="false">F20+F21+F22+F23</f>
        <v>560.817219077013</v>
      </c>
      <c r="G24" s="133" t="n">
        <f aca="false">G20+G21+G22+G23</f>
        <v>735.877640788281</v>
      </c>
      <c r="H24" s="133" t="n">
        <f aca="false">H20+H21+H22+H23</f>
        <v>904.977941067659</v>
      </c>
      <c r="I24" s="133" t="n">
        <f aca="false">I20+I21+I22+I23</f>
        <v>997.475735174425</v>
      </c>
      <c r="J24" s="133" t="n">
        <f aca="false">J20+J21+J22+J23</f>
        <v>1087.24855134012</v>
      </c>
      <c r="K24" s="133" t="n">
        <f aca="false">K20+K21+K22+K23</f>
        <v>1174.22843544733</v>
      </c>
      <c r="L24" s="133" t="n">
        <f aca="false">L20+L21+L22+L23</f>
        <v>1256.42442592865</v>
      </c>
      <c r="M24" s="133" t="n">
        <f aca="false">M20+M21+M22+M23</f>
        <v>1331.80989148437</v>
      </c>
      <c r="N24" s="133" t="n">
        <f aca="false">M24*(1+$C$27)</f>
        <v>1378.42323768632</v>
      </c>
      <c r="P24" s="130" t="str">
        <f aca="false">IFERROR((H24/D24)^(1/(COLUMNS(D24:H24)-1))-1,"n/m")</f>
        <v>n/m</v>
      </c>
      <c r="Q24" s="130" t="n">
        <f aca="false">IFERROR((M24/D24)^(1/(COLUMNS(D24:M24)-1))-1,"n/m")</f>
        <v>-2.0761866275743</v>
      </c>
    </row>
    <row r="25" customFormat="false" ht="15" hidden="false" customHeight="false" outlineLevel="0" collapsed="false">
      <c r="B25" s="127" t="s">
        <v>725</v>
      </c>
      <c r="N25" s="133" t="n">
        <f aca="false">N24/($C$13-$C$27)</f>
        <v>24259.4726801534</v>
      </c>
    </row>
    <row r="26" customFormat="false" ht="15" hidden="false" customHeight="false" outlineLevel="0" collapsed="false">
      <c r="B26" s="127" t="s">
        <v>726</v>
      </c>
      <c r="I26" s="134" t="n">
        <v>0.1</v>
      </c>
      <c r="J26" s="135" t="n">
        <f aca="false">I26+($M$26-$I$26)/4</f>
        <v>0.09</v>
      </c>
      <c r="K26" s="135" t="n">
        <f aca="false">J26+($M$26-$I$26)/4</f>
        <v>0.08</v>
      </c>
      <c r="L26" s="135" t="n">
        <f aca="false">K26+($M$26-$I$26)/4</f>
        <v>0.07</v>
      </c>
      <c r="M26" s="134" t="n">
        <v>0.06</v>
      </c>
    </row>
    <row r="27" customFormat="false" ht="15" hidden="false" customHeight="false" outlineLevel="0" collapsed="false">
      <c r="B27" s="127" t="s">
        <v>727</v>
      </c>
      <c r="C27" s="136" t="n">
        <v>0.035</v>
      </c>
    </row>
    <row r="29" customFormat="false" ht="15" hidden="false" customHeight="false" outlineLevel="0" collapsed="false">
      <c r="B29" s="127" t="s">
        <v>728</v>
      </c>
      <c r="D29" s="137" t="n">
        <f aca="false">(DATE(2026,12,31)-$C$15)/365.25</f>
        <v>0.235455167693361</v>
      </c>
      <c r="E29" s="137" t="n">
        <f aca="false">(DATE(2027,12,31)-$C$15)/365.25</f>
        <v>1.23477070499658</v>
      </c>
      <c r="F29" s="137" t="n">
        <f aca="false">(DATE(2028,12,31)-$C$15)/365.25</f>
        <v>2.23682409308693</v>
      </c>
      <c r="G29" s="137" t="n">
        <f aca="false">(DATE(2029,12,31)-$C$15)/365.25</f>
        <v>3.23613963039014</v>
      </c>
      <c r="H29" s="137" t="n">
        <f aca="false">(DATE(2030,12,31)-$C$15)/365.25</f>
        <v>4.23545516769336</v>
      </c>
      <c r="I29" s="137" t="n">
        <f aca="false">(DATE(2031,12,31)-$C$15)/365.25</f>
        <v>5.23477070499658</v>
      </c>
      <c r="J29" s="137" t="n">
        <f aca="false">(DATE(2032,12,31)-$C$15)/365.25</f>
        <v>6.23682409308693</v>
      </c>
      <c r="K29" s="137" t="n">
        <f aca="false">(DATE(2033,12,31)-$C$15)/365.25</f>
        <v>7.23613963039014</v>
      </c>
      <c r="L29" s="137" t="n">
        <f aca="false">(DATE(2034,12,31)-$C$15)/365.25</f>
        <v>8.23545516769336</v>
      </c>
      <c r="M29" s="137" t="n">
        <f aca="false">(DATE(2035,12,31)-$C$15)/365.25</f>
        <v>9.23477070499658</v>
      </c>
      <c r="N29" s="138" t="n">
        <f aca="false">M29</f>
        <v>9.23477070499658</v>
      </c>
    </row>
    <row r="30" customFormat="false" ht="15" hidden="false" customHeight="false" outlineLevel="0" collapsed="false">
      <c r="B30" s="127" t="s">
        <v>729</v>
      </c>
      <c r="D30" s="139" t="n">
        <f aca="false">1/(1+$C$13)^D29</f>
        <v>0.979528641203593</v>
      </c>
      <c r="E30" s="139" t="n">
        <f aca="false">1/(1+$C$13)^E29</f>
        <v>0.897206077389817</v>
      </c>
      <c r="F30" s="139" t="n">
        <f aca="false">1/(1+$C$13)^F29</f>
        <v>0.821604524709919</v>
      </c>
      <c r="G30" s="139" t="n">
        <f aca="false">1/(1+$C$13)^G29</f>
        <v>0.752554383580804</v>
      </c>
      <c r="H30" s="139" t="n">
        <f aca="false">1/(1+$C$13)^H29</f>
        <v>0.689307426156931</v>
      </c>
      <c r="I30" s="139" t="n">
        <f aca="false">1/(1+$C$13)^I29</f>
        <v>0.631375935243723</v>
      </c>
      <c r="J30" s="139" t="n">
        <f aca="false">1/(1+$C$13)^J29</f>
        <v>0.578174109897182</v>
      </c>
      <c r="K30" s="139" t="n">
        <f aca="false">1/(1+$C$13)^K29</f>
        <v>0.529582600618802</v>
      </c>
      <c r="L30" s="139" t="n">
        <f aca="false">1/(1+$C$13)^L29</f>
        <v>0.48507486945074</v>
      </c>
      <c r="M30" s="139" t="n">
        <f aca="false">1/(1+$C$13)^M29</f>
        <v>0.444307703269922</v>
      </c>
      <c r="N30" s="140" t="n">
        <f aca="false">1/(1+$C$13)^N29</f>
        <v>0.444307703269922</v>
      </c>
    </row>
    <row r="31" customFormat="false" ht="15" hidden="false" customHeight="false" outlineLevel="0" collapsed="false">
      <c r="B31" s="127" t="s">
        <v>730</v>
      </c>
      <c r="D31" s="129" t="n">
        <f aca="false">D24*D30</f>
        <v>-673.706990241431</v>
      </c>
      <c r="E31" s="129" t="n">
        <f aca="false">E24*E30</f>
        <v>346.501793105047</v>
      </c>
      <c r="F31" s="129" t="n">
        <f aca="false">F24*F30</f>
        <v>460.769964728908</v>
      </c>
      <c r="G31" s="129" t="n">
        <f aca="false">G24*G30</f>
        <v>553.787944354321</v>
      </c>
      <c r="H31" s="129" t="n">
        <f aca="false">H24*H30</f>
        <v>623.808015286147</v>
      </c>
      <c r="I31" s="129" t="n">
        <f aca="false">I24*I30</f>
        <v>629.782175178672</v>
      </c>
      <c r="J31" s="129" t="n">
        <f aca="false">J24*J30</f>
        <v>628.618963408076</v>
      </c>
      <c r="K31" s="129" t="n">
        <f aca="false">K24*K30</f>
        <v>621.850948564745</v>
      </c>
      <c r="L31" s="129" t="n">
        <f aca="false">L24*L30</f>
        <v>609.459914382059</v>
      </c>
      <c r="M31" s="129" t="n">
        <f aca="false">M24*M30</f>
        <v>591.733394077583</v>
      </c>
      <c r="N31" s="133" t="n">
        <f aca="false">N25*N30</f>
        <v>10778.6705890584</v>
      </c>
    </row>
    <row r="32" customFormat="false" ht="15" hidden="false" customHeight="false" outlineLevel="0" collapsed="false">
      <c r="D32" s="122" t="s">
        <v>731</v>
      </c>
    </row>
    <row r="33" customFormat="false" ht="15" hidden="false" customHeight="false" outlineLevel="0" collapsed="false">
      <c r="B33" s="16" t="s">
        <v>732</v>
      </c>
    </row>
    <row r="34" customFormat="false" ht="15" hidden="false" customHeight="false" outlineLevel="0" collapsed="false">
      <c r="B34" s="29" t="s">
        <v>733</v>
      </c>
      <c r="D34" s="128" t="n">
        <f aca="false">Model!BV363</f>
        <v>7631</v>
      </c>
      <c r="E34" s="53" t="n">
        <f aca="false">D38</f>
        <v>8535.8947081064</v>
      </c>
      <c r="F34" s="53" t="n">
        <f aca="false">E38</f>
        <v>8497.36772183984</v>
      </c>
      <c r="G34" s="53" t="n">
        <f aca="false">F38</f>
        <v>8459.07974662143</v>
      </c>
      <c r="H34" s="53" t="n">
        <f aca="false">G38</f>
        <v>8429.19568336309</v>
      </c>
      <c r="I34" s="53" t="n">
        <f aca="false">H38</f>
        <v>8445.73450019912</v>
      </c>
      <c r="J34" s="53" t="n">
        <f aca="false">I38</f>
        <v>8461.92719871876</v>
      </c>
      <c r="K34" s="53" t="n">
        <f aca="false">J38</f>
        <v>8479.57724010516</v>
      </c>
      <c r="L34" s="53" t="n">
        <f aca="false">K38</f>
        <v>8498.63928480248</v>
      </c>
      <c r="M34" s="53" t="n">
        <f aca="false">L38</f>
        <v>8519.03567262861</v>
      </c>
    </row>
    <row r="35" customFormat="false" ht="15" hidden="false" customHeight="false" outlineLevel="0" collapsed="false">
      <c r="B35" s="29" t="s">
        <v>734</v>
      </c>
      <c r="D35" s="53" t="n">
        <f aca="false">-D22</f>
        <v>998.513240304949</v>
      </c>
      <c r="E35" s="53" t="n">
        <f aca="false">-E22</f>
        <v>166.497998070325</v>
      </c>
      <c r="F35" s="53" t="n">
        <f aca="false">-F22</f>
        <v>135.017582510714</v>
      </c>
      <c r="G35" s="53" t="n">
        <f aca="false">-G22</f>
        <v>123.701303358754</v>
      </c>
      <c r="H35" s="53" t="n">
        <f aca="false">-H22</f>
        <v>132.429890056571</v>
      </c>
      <c r="I35" s="53" t="n">
        <f aca="false">-I22</f>
        <v>143.672879062228</v>
      </c>
      <c r="J35" s="53" t="n">
        <f aca="false">-J22</f>
        <v>156.603438177829</v>
      </c>
      <c r="K35" s="53" t="n">
        <f aca="false">-K22</f>
        <v>169.131713232055</v>
      </c>
      <c r="L35" s="53" t="n">
        <f aca="false">-L22</f>
        <v>180.970933158299</v>
      </c>
      <c r="M35" s="53" t="n">
        <f aca="false">-M22</f>
        <v>191.829189147797</v>
      </c>
    </row>
    <row r="36" customFormat="false" ht="15" hidden="false" customHeight="false" outlineLevel="0" collapsed="false">
      <c r="B36" s="29" t="s">
        <v>735</v>
      </c>
      <c r="D36" s="53" t="n">
        <f aca="false">-D21</f>
        <v>-356.998290410959</v>
      </c>
      <c r="E36" s="53" t="n">
        <f aca="false">-E21</f>
        <v>-360.147797877358</v>
      </c>
      <c r="F36" s="53" t="n">
        <f aca="false">-F21</f>
        <v>-343.519340761785</v>
      </c>
      <c r="G36" s="53" t="n">
        <f aca="false">-G21</f>
        <v>-339.071433694629</v>
      </c>
      <c r="H36" s="53" t="n">
        <f aca="false">-H21</f>
        <v>-316.672879062228</v>
      </c>
      <c r="I36" s="53" t="n">
        <f aca="false">-I21</f>
        <v>-348.340166968451</v>
      </c>
      <c r="J36" s="53" t="n">
        <f aca="false">-J21</f>
        <v>-379.690781995612</v>
      </c>
      <c r="K36" s="53" t="n">
        <f aca="false">-K21</f>
        <v>-410.066044555261</v>
      </c>
      <c r="L36" s="53" t="n">
        <f aca="false">-L21</f>
        <v>-438.770667674129</v>
      </c>
      <c r="M36" s="53" t="n">
        <f aca="false">-M21</f>
        <v>-465.096907734577</v>
      </c>
    </row>
    <row r="37" customFormat="false" ht="15" hidden="false" customHeight="false" outlineLevel="0" collapsed="false">
      <c r="B37" s="29" t="s">
        <v>736</v>
      </c>
      <c r="D37" s="53" t="n">
        <f aca="false">-D23</f>
        <v>263.379758212412</v>
      </c>
      <c r="E37" s="53" t="n">
        <f aca="false">-E23</f>
        <v>155.122813540466</v>
      </c>
      <c r="F37" s="53" t="n">
        <f aca="false">-F23</f>
        <v>170.213783032669</v>
      </c>
      <c r="G37" s="53" t="n">
        <f aca="false">-G23</f>
        <v>185.48606707753</v>
      </c>
      <c r="H37" s="53" t="n">
        <f aca="false">-H23</f>
        <v>200.781805841691</v>
      </c>
      <c r="I37" s="53" t="n">
        <f aca="false">-I23</f>
        <v>220.85998642586</v>
      </c>
      <c r="J37" s="53" t="n">
        <f aca="false">-J23</f>
        <v>240.737385204187</v>
      </c>
      <c r="K37" s="53" t="n">
        <f aca="false">-K23</f>
        <v>259.996376020522</v>
      </c>
      <c r="L37" s="53" t="n">
        <f aca="false">-L23</f>
        <v>278.196122341959</v>
      </c>
      <c r="M37" s="53" t="n">
        <f aca="false">-M23</f>
        <v>294.887889682476</v>
      </c>
    </row>
    <row r="38" customFormat="false" ht="15" hidden="false" customHeight="false" outlineLevel="0" collapsed="false">
      <c r="B38" s="29" t="s">
        <v>737</v>
      </c>
      <c r="D38" s="53" t="n">
        <f aca="false">SUM(D34:D37)</f>
        <v>8535.8947081064</v>
      </c>
      <c r="E38" s="53" t="n">
        <f aca="false">SUM(E34:E37)</f>
        <v>8497.36772183984</v>
      </c>
      <c r="F38" s="53" t="n">
        <f aca="false">SUM(F34:F37)</f>
        <v>8459.07974662143</v>
      </c>
      <c r="G38" s="53" t="n">
        <f aca="false">SUM(G34:G37)</f>
        <v>8429.19568336309</v>
      </c>
      <c r="H38" s="53" t="n">
        <f aca="false">SUM(H34:H37)</f>
        <v>8445.73450019912</v>
      </c>
      <c r="I38" s="53" t="n">
        <f aca="false">SUM(I34:I37)</f>
        <v>8461.92719871876</v>
      </c>
      <c r="J38" s="53" t="n">
        <f aca="false">SUM(J34:J37)</f>
        <v>8479.57724010516</v>
      </c>
      <c r="K38" s="53" t="n">
        <f aca="false">SUM(K34:K37)</f>
        <v>8498.63928480248</v>
      </c>
      <c r="L38" s="53" t="n">
        <f aca="false">SUM(L34:L37)</f>
        <v>8519.03567262861</v>
      </c>
      <c r="M38" s="53" t="n">
        <f aca="false">SUM(M34:M37)</f>
        <v>8540.6558437243</v>
      </c>
    </row>
    <row r="39" customFormat="false" ht="15" hidden="false" customHeight="false" outlineLevel="0" collapsed="false">
      <c r="B39" s="29" t="s">
        <v>738</v>
      </c>
      <c r="D39" s="53" t="n">
        <f aca="false">D20</f>
        <v>217.107784986302</v>
      </c>
      <c r="E39" s="53" t="n">
        <f aca="false">E20</f>
        <v>347.673912096831</v>
      </c>
      <c r="F39" s="53" t="n">
        <f aca="false">F20</f>
        <v>522.52924385861</v>
      </c>
      <c r="G39" s="53" t="n">
        <f aca="false">G20</f>
        <v>705.993577529936</v>
      </c>
      <c r="H39" s="53" t="n">
        <f aca="false">H20</f>
        <v>921.516757903693</v>
      </c>
      <c r="I39" s="53" t="n">
        <f aca="false">I20</f>
        <v>1013.66843369406</v>
      </c>
      <c r="J39" s="53" t="n">
        <f aca="false">J20</f>
        <v>1104.89859272653</v>
      </c>
      <c r="K39" s="53" t="n">
        <f aca="false">K20</f>
        <v>1193.29048014465</v>
      </c>
      <c r="L39" s="53" t="n">
        <f aca="false">L20</f>
        <v>1276.82081375478</v>
      </c>
      <c r="M39" s="53" t="n">
        <f aca="false">M20</f>
        <v>1353.43006258006</v>
      </c>
    </row>
    <row r="40" customFormat="false" ht="15" hidden="false" customHeight="false" outlineLevel="0" collapsed="false">
      <c r="B40" s="29" t="s">
        <v>739</v>
      </c>
      <c r="D40" s="131" t="n">
        <f aca="false">IFERROR(D39/AVERAGE(D34,D38),"")</f>
        <v>0.026858316195681</v>
      </c>
      <c r="E40" s="131" t="n">
        <f aca="false">IFERROR(E39/AVERAGE(E34,E38),"")</f>
        <v>0.0408229384742625</v>
      </c>
      <c r="F40" s="131" t="n">
        <f aca="false">IFERROR(F39/AVERAGE(F34,F38),"")</f>
        <v>0.0616319243556773</v>
      </c>
      <c r="G40" s="131" t="n">
        <f aca="false">IFERROR(G39/AVERAGE(G34,G38),"")</f>
        <v>0.0836075394976648</v>
      </c>
      <c r="H40" s="131" t="n">
        <f aca="false">IFERROR(H39/AVERAGE(H34,H38),"")</f>
        <v>0.10921725279804</v>
      </c>
      <c r="I40" s="131" t="n">
        <f aca="false">IFERROR(I39/AVERAGE(I34,I38),"")</f>
        <v>0.119906401221517</v>
      </c>
      <c r="J40" s="131" t="n">
        <f aca="false">IFERROR(J39/AVERAGE(J34,J38),"")</f>
        <v>0.130436892038288</v>
      </c>
      <c r="K40" s="131" t="n">
        <f aca="false">IFERROR(K39/AVERAGE(K34,K38),"")</f>
        <v>0.140567235480128</v>
      </c>
      <c r="L40" s="131" t="n">
        <f aca="false">IFERROR(L39/AVERAGE(L34,L38),"")</f>
        <v>0.15005819736817</v>
      </c>
      <c r="M40" s="131" t="n">
        <f aca="false">IFERROR(M39/AVERAGE(M34,M38),"")</f>
        <v>0.158669933894491</v>
      </c>
    </row>
    <row r="41" customFormat="false" ht="15" hidden="false" customHeight="false" outlineLevel="0" collapsed="false">
      <c r="B41" s="29" t="s">
        <v>740</v>
      </c>
      <c r="D41" s="131" t="n">
        <f aca="false">IFERROR(SUM(D35:D37)/D39,"")</f>
        <v>4.16795145399091</v>
      </c>
      <c r="E41" s="131" t="n">
        <f aca="false">IFERROR(SUM(E35:E37)/E39,"")</f>
        <v>-0.110813566753425</v>
      </c>
      <c r="F41" s="131" t="n">
        <f aca="false">IFERROR(SUM(F35:F37)/F39,"")</f>
        <v>-0.0732743203723216</v>
      </c>
      <c r="G41" s="131" t="n">
        <f aca="false">IFERROR(SUM(G35:G37)/G39,"")</f>
        <v>-0.0423290865660576</v>
      </c>
      <c r="H41" s="131" t="n">
        <f aca="false">IFERROR(SUM(H35:H37)/H39,"")</f>
        <v>0.0179473858659465</v>
      </c>
      <c r="I41" s="131" t="n">
        <f aca="false">IFERROR(SUM(I35:I37)/I39,"")</f>
        <v>0.0159743541195484</v>
      </c>
      <c r="J41" s="131" t="n">
        <f aca="false">IFERROR(SUM(J35:J37)/J39,"")</f>
        <v>0.0159743541195484</v>
      </c>
      <c r="K41" s="131" t="n">
        <f aca="false">IFERROR(SUM(K35:K37)/K39,"")</f>
        <v>0.0159743541195484</v>
      </c>
      <c r="L41" s="131" t="n">
        <f aca="false">IFERROR(SUM(L35:L37)/L39,"")</f>
        <v>0.0159743541195484</v>
      </c>
      <c r="M41" s="131" t="n">
        <f aca="false">IFERROR(SUM(M35:M37)/M39,"")</f>
        <v>0.0159743541195484</v>
      </c>
    </row>
    <row r="42" customFormat="false" ht="15" hidden="false" customHeight="false" outlineLevel="0" collapsed="false">
      <c r="B42" s="29" t="s">
        <v>741</v>
      </c>
      <c r="N42" s="141" t="n">
        <f aca="false">IFERROR($C$27/M41,"")</f>
        <v>2.1910119018314</v>
      </c>
    </row>
    <row r="43" customFormat="false" ht="15" hidden="false" customHeight="false" outlineLevel="0" collapsed="false">
      <c r="D43" s="122" t="s">
        <v>742</v>
      </c>
    </row>
    <row r="44" customFormat="false" ht="15" hidden="false" customHeight="false" outlineLevel="0" collapsed="false">
      <c r="B44" s="16" t="s">
        <v>743</v>
      </c>
    </row>
    <row r="45" customFormat="false" ht="15" hidden="false" customHeight="false" outlineLevel="0" collapsed="false">
      <c r="B45" s="127" t="s">
        <v>744</v>
      </c>
      <c r="C45" s="53" t="n">
        <f aca="false">SUM(D31:M31)</f>
        <v>4392.60612284413</v>
      </c>
    </row>
    <row r="46" customFormat="false" ht="15" hidden="false" customHeight="false" outlineLevel="0" collapsed="false">
      <c r="B46" s="127" t="s">
        <v>745</v>
      </c>
      <c r="C46" s="53" t="n">
        <f aca="false">N31</f>
        <v>10778.6705890584</v>
      </c>
    </row>
    <row r="47" customFormat="false" ht="15" hidden="false" customHeight="false" outlineLevel="0" collapsed="false">
      <c r="B47" s="132" t="s">
        <v>746</v>
      </c>
      <c r="C47" s="142" t="n">
        <f aca="false">C45+C46</f>
        <v>15171.2767119025</v>
      </c>
    </row>
    <row r="48" customFormat="false" ht="15" hidden="false" customHeight="false" outlineLevel="0" collapsed="false">
      <c r="B48" s="127" t="s">
        <v>747</v>
      </c>
      <c r="C48" s="128" t="n">
        <f aca="false">Model!CA383+Model!CA296</f>
        <v>350.162842328131</v>
      </c>
      <c r="D48" s="122" t="s">
        <v>748</v>
      </c>
    </row>
    <row r="49" customFormat="false" ht="15" hidden="false" customHeight="false" outlineLevel="0" collapsed="false">
      <c r="B49" s="127" t="s">
        <v>749</v>
      </c>
      <c r="C49" s="53" t="n">
        <f aca="false">C47-C48</f>
        <v>14821.1138695744</v>
      </c>
    </row>
    <row r="50" customFormat="false" ht="15" hidden="false" customHeight="false" outlineLevel="0" collapsed="false">
      <c r="B50" s="127" t="s">
        <v>750</v>
      </c>
      <c r="C50" s="143" t="n">
        <f aca="false">Model!CA389</f>
        <v>402.326372925276</v>
      </c>
    </row>
    <row r="51" customFormat="false" ht="15" hidden="false" customHeight="false" outlineLevel="0" collapsed="false">
      <c r="B51" s="11" t="s">
        <v>751</v>
      </c>
      <c r="C51" s="144" t="n">
        <f aca="false">C49/C50</f>
        <v>36.838534252208</v>
      </c>
    </row>
    <row r="52" customFormat="false" ht="15" hidden="false" customHeight="false" outlineLevel="0" collapsed="false">
      <c r="B52" s="127" t="s">
        <v>752</v>
      </c>
      <c r="C52" s="145" t="n">
        <f aca="false">Model!CA388</f>
        <v>30.78</v>
      </c>
    </row>
    <row r="53" customFormat="false" ht="15" hidden="false" customHeight="false" outlineLevel="0" collapsed="false">
      <c r="B53" s="127" t="s">
        <v>753</v>
      </c>
      <c r="C53" s="38" t="n">
        <f aca="false">C51/C52-1</f>
        <v>0.196833471481741</v>
      </c>
    </row>
    <row r="54" customFormat="false" ht="15" hidden="false" customHeight="false" outlineLevel="0" collapsed="false">
      <c r="B54" s="127" t="s">
        <v>754</v>
      </c>
      <c r="C54" s="38" t="n">
        <f aca="false">1-((1+C13)/(1+H54))^H55</f>
        <v>0.144224960252113</v>
      </c>
      <c r="D54" s="74" t="s">
        <v>755</v>
      </c>
      <c r="E54" s="74" t="s">
        <v>756</v>
      </c>
      <c r="H54" s="146" t="n">
        <v>0.15</v>
      </c>
    </row>
    <row r="55" customFormat="false" ht="15" hidden="false" customHeight="false" outlineLevel="0" collapsed="false">
      <c r="B55" s="127" t="s">
        <v>757</v>
      </c>
      <c r="C55" s="147" t="n">
        <f aca="false">C51*(1-C54)</f>
        <v>31.5254981139372</v>
      </c>
      <c r="D55" s="131" t="n">
        <f aca="false">C55/C52-1</f>
        <v>0.0242202116288892</v>
      </c>
      <c r="E55" s="74" t="s">
        <v>758</v>
      </c>
      <c r="H55" s="148" t="n">
        <v>3</v>
      </c>
    </row>
    <row r="58" customFormat="false" ht="15" hidden="false" customHeight="false" outlineLevel="0" collapsed="false">
      <c r="B58" s="16" t="s">
        <v>759</v>
      </c>
    </row>
    <row r="60" customFormat="false" ht="15" hidden="false" customHeight="false" outlineLevel="0" collapsed="false">
      <c r="D60" s="0" t="s">
        <v>760</v>
      </c>
    </row>
    <row r="61" customFormat="false" ht="15" hidden="false" customHeight="false" outlineLevel="0" collapsed="false">
      <c r="B61" s="0" t="s">
        <v>761</v>
      </c>
      <c r="D61" s="149" t="n">
        <f aca="false">F61-0.01</f>
        <v>0.08182</v>
      </c>
      <c r="E61" s="149" t="n">
        <f aca="false">F61-0.005</f>
        <v>0.08682</v>
      </c>
      <c r="F61" s="149" t="n">
        <f aca="false">$C$13</f>
        <v>0.09182</v>
      </c>
      <c r="G61" s="149" t="n">
        <f aca="false">F61+0.005</f>
        <v>0.09682</v>
      </c>
      <c r="H61" s="149" t="n">
        <f aca="false">F61+0.01</f>
        <v>0.10182</v>
      </c>
    </row>
    <row r="62" customFormat="false" ht="15" hidden="false" customHeight="false" outlineLevel="0" collapsed="false">
      <c r="B62" s="150" t="n">
        <f aca="false">B64-0.01</f>
        <v>0.025</v>
      </c>
      <c r="D62" s="151" t="n">
        <f aca="false">IFERROR((SUMPRODUCT($D$24:$M$24,1/(1+D$61)^$D$29:$M$29)+($M$24*(1+$B62)/(D$61-$B62))/(1+D$61)^$M$29-$C$48)/$C$50,"")</f>
        <v>39.5915698597212</v>
      </c>
      <c r="E62" s="151" t="n">
        <f aca="false">IFERROR((SUMPRODUCT($D$24:$M$24,1/(1+E$61)^$D$29:$M$29)+($M$24*(1+$B62)/(E$61-$B62))/(1+E$61)^$M$29-$C$48)/$C$50,"")</f>
        <v>35.8132952869598</v>
      </c>
      <c r="F62" s="151" t="n">
        <f aca="false">IFERROR((SUMPRODUCT($D$24:$M$24,1/(1+F$61)^$D$29:$M$29)+($M$24*(1+$B62)/(F$61-$B62))/(1+F$61)^$M$29-$C$48)/$C$50,"")</f>
        <v>32.609015820604</v>
      </c>
      <c r="G62" s="151" t="n">
        <f aca="false">IFERROR((SUMPRODUCT($D$24:$M$24,1/(1+G$61)^$D$29:$M$29)+($M$24*(1+$B62)/(G$61-$B62))/(1+G$61)^$M$29-$C$48)/$C$50,"")</f>
        <v>29.8585934853934</v>
      </c>
      <c r="H62" s="151" t="n">
        <f aca="false">IFERROR((SUMPRODUCT($D$24:$M$24,1/(1+H$61)^$D$29:$M$29)+($M$24*(1+$B62)/(H$61-$B62))/(1+H$61)^$M$29-$C$48)/$C$50,"")</f>
        <v>27.4731776161773</v>
      </c>
    </row>
    <row r="63" customFormat="false" ht="15" hidden="false" customHeight="false" outlineLevel="0" collapsed="false">
      <c r="B63" s="150" t="n">
        <f aca="false">B64-0.005</f>
        <v>0.03</v>
      </c>
      <c r="D63" s="151" t="n">
        <f aca="false">IFERROR((SUMPRODUCT($D$24:$M$24,1/(1+D$61)^$D$29:$M$29)+($M$24*(1+$B63)/(D$61-$B63))/(1+D$61)^$M$29-$C$48)/$C$50,"")</f>
        <v>42.5331213606144</v>
      </c>
      <c r="E63" s="151" t="n">
        <f aca="false">IFERROR((SUMPRODUCT($D$24:$M$24,1/(1+E$61)^$D$29:$M$29)+($M$24*(1+$B63)/(E$61-$B63))/(1+E$61)^$M$29-$C$48)/$C$50,"")</f>
        <v>38.1871480756482</v>
      </c>
      <c r="F63" s="151" t="n">
        <f aca="false">IFERROR((SUMPRODUCT($D$24:$M$24,1/(1+F$61)^$D$29:$M$29)+($M$24*(1+$B63)/(F$61-$B63))/(1+F$61)^$M$29-$C$48)/$C$50,"")</f>
        <v>34.5527333657653</v>
      </c>
      <c r="G63" s="151" t="n">
        <f aca="false">IFERROR((SUMPRODUCT($D$24:$M$24,1/(1+G$61)^$D$29:$M$29)+($M$24*(1+$B63)/(G$61-$B63))/(1+G$61)^$M$29-$C$48)/$C$50,"")</f>
        <v>31.4698933525996</v>
      </c>
      <c r="H63" s="151" t="n">
        <f aca="false">IFERROR((SUMPRODUCT($D$24:$M$24,1/(1+H$61)^$D$29:$M$29)+($M$24*(1+$B63)/(H$61-$B63))/(1+H$61)^$M$29-$C$48)/$C$50,"")</f>
        <v>28.8232046865233</v>
      </c>
    </row>
    <row r="64" customFormat="false" ht="15" hidden="false" customHeight="false" outlineLevel="0" collapsed="false">
      <c r="B64" s="150" t="n">
        <f aca="false">$C$27</f>
        <v>0.035</v>
      </c>
      <c r="D64" s="151" t="n">
        <f aca="false">IFERROR((SUMPRODUCT($D$24:$M$24,1/(1+D$61)^$D$29:$M$29)+($M$24*(1+$B64)/(D$61-$B64))/(1+D$61)^$M$29-$C$48)/$C$50,"")</f>
        <v>46.1029410163333</v>
      </c>
      <c r="E64" s="151" t="n">
        <f aca="false">IFERROR((SUMPRODUCT($D$24:$M$24,1/(1+E$61)^$D$29:$M$29)+($M$24*(1+$B64)/(E$61-$B64))/(1+E$61)^$M$29-$C$48)/$C$50,"")</f>
        <v>41.019096732474</v>
      </c>
      <c r="F64" s="152" t="n">
        <f aca="false">IFERROR((SUMPRODUCT($D$24:$M$24,1/(1+F$61)^$D$29:$M$29)+($M$24*(1+$B64)/(F$61-$B64))/(1+F$61)^$M$29-$C$48)/$C$50,"")</f>
        <v>36.838534252208</v>
      </c>
      <c r="G64" s="151" t="n">
        <f aca="false">IFERROR((SUMPRODUCT($D$24:$M$24,1/(1+G$61)^$D$29:$M$29)+($M$24*(1+$B64)/(G$61-$B64))/(1+G$61)^$M$29-$C$48)/$C$50,"")</f>
        <v>33.341837002919</v>
      </c>
      <c r="H64" s="151" t="n">
        <f aca="false">IFERROR((SUMPRODUCT($D$24:$M$24,1/(1+H$61)^$D$29:$M$29)+($M$24*(1+$B64)/(H$61-$B64))/(1+H$61)^$M$29-$C$48)/$C$50,"")</f>
        <v>30.3752711268702</v>
      </c>
    </row>
    <row r="65" customFormat="false" ht="15" hidden="false" customHeight="false" outlineLevel="0" collapsed="false">
      <c r="B65" s="150" t="n">
        <f aca="false">B64+0.005</f>
        <v>0.04</v>
      </c>
      <c r="D65" s="151" t="n">
        <f aca="false">IFERROR((SUMPRODUCT($D$24:$M$24,1/(1+D$61)^$D$29:$M$29)+($M$24*(1+$B65)/(D$61-$B65))/(1+D$61)^$M$29-$C$48)/$C$50,"")</f>
        <v>50.526376084706</v>
      </c>
      <c r="E65" s="151" t="n">
        <f aca="false">IFERROR((SUMPRODUCT($D$24:$M$24,1/(1+E$61)^$D$29:$M$29)+($M$24*(1+$B65)/(E$61-$B65))/(1+E$61)^$M$29-$C$48)/$C$50,"")</f>
        <v>44.4559041370199</v>
      </c>
      <c r="F65" s="151" t="n">
        <f aca="false">IFERROR((SUMPRODUCT($D$24:$M$24,1/(1+F$61)^$D$29:$M$29)+($M$24*(1+$B65)/(F$61-$B65))/(1+F$61)^$M$29-$C$48)/$C$50,"")</f>
        <v>39.5654391306312</v>
      </c>
      <c r="G65" s="151" t="n">
        <f aca="false">IFERROR((SUMPRODUCT($D$24:$M$24,1/(1+G$61)^$D$29:$M$29)+($M$24*(1+$B65)/(G$61-$B65))/(1+G$61)^$M$29-$C$48)/$C$50,"")</f>
        <v>35.5432321932454</v>
      </c>
      <c r="H65" s="151" t="n">
        <f aca="false">IFERROR((SUMPRODUCT($D$24:$M$24,1/(1+H$61)^$D$29:$M$29)+($M$24*(1+$B65)/(H$61-$B65))/(1+H$61)^$M$29-$C$48)/$C$50,"")</f>
        <v>32.1783997542677</v>
      </c>
    </row>
    <row r="66" customFormat="false" ht="15" hidden="false" customHeight="false" outlineLevel="0" collapsed="false">
      <c r="B66" s="150" t="n">
        <f aca="false">B64+0.01</f>
        <v>0.045</v>
      </c>
      <c r="D66" s="151" t="n">
        <f aca="false">IFERROR((SUMPRODUCT($D$24:$M$24,1/(1+D$61)^$D$29:$M$29)+($M$24*(1+$B66)/(D$61-$B66))/(1+D$61)^$M$29-$C$48)/$C$50,"")</f>
        <v>56.1511786349834</v>
      </c>
      <c r="E66" s="151" t="n">
        <f aca="false">IFERROR((SUMPRODUCT($D$24:$M$24,1/(1+E$61)^$D$29:$M$29)+($M$24*(1+$B66)/(E$61-$B66))/(1+E$61)^$M$29-$C$48)/$C$50,"")</f>
        <v>48.7145210596304</v>
      </c>
      <c r="F66" s="151" t="n">
        <f aca="false">IFERROR((SUMPRODUCT($D$24:$M$24,1/(1+F$61)^$D$29:$M$29)+($M$24*(1+$B66)/(F$61-$B66))/(1+F$61)^$M$29-$C$48)/$C$50,"")</f>
        <v>42.8747670928697</v>
      </c>
      <c r="G66" s="151" t="n">
        <f aca="false">IFERROR((SUMPRODUCT($D$24:$M$24,1/(1+G$61)^$D$29:$M$29)+($M$24*(1+$B66)/(G$61-$B66))/(1+G$61)^$M$29-$C$48)/$C$50,"")</f>
        <v>38.1694431285209</v>
      </c>
      <c r="H66" s="151" t="n">
        <f aca="false">IFERROR((SUMPRODUCT($D$24:$M$24,1/(1+H$61)^$D$29:$M$29)+($M$24*(1+$B66)/(H$61-$B66))/(1+H$61)^$M$29-$C$48)/$C$50,"")</f>
        <v>34.2988688651917</v>
      </c>
    </row>
    <row r="69" customFormat="false" ht="15" hidden="false" customHeight="false" outlineLevel="0" collapsed="false">
      <c r="B69" s="16" t="s">
        <v>762</v>
      </c>
    </row>
    <row r="70" customFormat="false" ht="15" hidden="false" customHeight="false" outlineLevel="0" collapsed="false">
      <c r="B70" s="0" t="s">
        <v>763</v>
      </c>
    </row>
    <row r="72" customFormat="false" ht="15" hidden="false" customHeight="false" outlineLevel="0" collapsed="false">
      <c r="B72" s="16" t="s">
        <v>764</v>
      </c>
    </row>
    <row r="73" customFormat="false" ht="15" hidden="false" customHeight="false" outlineLevel="0" collapsed="false">
      <c r="B73" s="0" t="s">
        <v>765</v>
      </c>
    </row>
    <row r="74" customFormat="false" ht="15" hidden="false" customHeight="false" outlineLevel="0" collapsed="false">
      <c r="B74" s="122" t="s">
        <v>766</v>
      </c>
    </row>
    <row r="76" customFormat="false" ht="15" hidden="false" customHeight="false" outlineLevel="0" collapsed="false">
      <c r="B76" s="16" t="s">
        <v>767</v>
      </c>
      <c r="C76" s="16" t="s">
        <v>768</v>
      </c>
      <c r="D76" s="16" t="s">
        <v>769</v>
      </c>
    </row>
    <row r="77" customFormat="false" ht="15" hidden="false" customHeight="false" outlineLevel="0" collapsed="false">
      <c r="B77" s="0" t="s">
        <v>770</v>
      </c>
      <c r="C77" s="124" t="n">
        <f aca="false">$C$13</f>
        <v>0.09182</v>
      </c>
      <c r="D77" s="122" t="s">
        <v>771</v>
      </c>
    </row>
    <row r="78" customFormat="false" ht="15" hidden="false" customHeight="false" outlineLevel="0" collapsed="false">
      <c r="B78" s="0" t="s">
        <v>772</v>
      </c>
      <c r="C78" s="121" t="n">
        <v>0.12</v>
      </c>
      <c r="D78" s="122" t="s">
        <v>773</v>
      </c>
    </row>
    <row r="79" customFormat="false" ht="15" hidden="false" customHeight="false" outlineLevel="0" collapsed="false">
      <c r="B79" s="0" t="s">
        <v>774</v>
      </c>
      <c r="C79" s="121" t="n">
        <v>0.3</v>
      </c>
      <c r="D79" s="122" t="s">
        <v>775</v>
      </c>
    </row>
    <row r="80" customFormat="false" ht="15" hidden="false" customHeight="false" outlineLevel="0" collapsed="false">
      <c r="B80" s="0" t="s">
        <v>776</v>
      </c>
      <c r="C80" s="153" t="n">
        <v>15</v>
      </c>
      <c r="D80" s="122" t="s">
        <v>777</v>
      </c>
    </row>
    <row r="82" customFormat="false" ht="15" hidden="false" customHeight="false" outlineLevel="0" collapsed="false">
      <c r="B82" s="16" t="s">
        <v>778</v>
      </c>
      <c r="C82" s="16" t="s">
        <v>768</v>
      </c>
    </row>
    <row r="83" customFormat="false" ht="15" hidden="false" customHeight="false" outlineLevel="0" collapsed="false">
      <c r="B83" s="0" t="s">
        <v>779</v>
      </c>
      <c r="C83" s="154" t="n">
        <f aca="false">1/C77</f>
        <v>10.8908734480505</v>
      </c>
    </row>
    <row r="84" customFormat="false" ht="15" hidden="false" customHeight="false" outlineLevel="0" collapsed="false">
      <c r="B84" s="0" t="s">
        <v>780</v>
      </c>
      <c r="C84" s="155" t="n">
        <f aca="false">1-C77/C79</f>
        <v>0.693933333333333</v>
      </c>
    </row>
    <row r="85" customFormat="false" ht="15" hidden="false" customHeight="false" outlineLevel="0" collapsed="false">
      <c r="B85" s="0" t="s">
        <v>781</v>
      </c>
      <c r="C85" s="155" t="n">
        <f aca="false">C78*C84/(C77*(C77-C78))</f>
        <v>-32.1825696865175</v>
      </c>
    </row>
    <row r="86" customFormat="false" ht="15" hidden="false" customHeight="false" outlineLevel="0" collapsed="false">
      <c r="B86" s="0" t="s">
        <v>782</v>
      </c>
      <c r="C86" s="155" t="n">
        <f aca="false">1-((1+C78)/(1+C77))^C80</f>
        <v>-0.465563559923062</v>
      </c>
    </row>
    <row r="87" customFormat="false" ht="15" hidden="false" customHeight="false" outlineLevel="0" collapsed="false">
      <c r="B87" s="0" t="s">
        <v>783</v>
      </c>
      <c r="C87" s="154" t="n">
        <f aca="false">C85*C86</f>
        <v>14.9830317107271</v>
      </c>
    </row>
    <row r="88" customFormat="false" ht="15" hidden="false" customHeight="false" outlineLevel="0" collapsed="false">
      <c r="B88" s="0" t="s">
        <v>784</v>
      </c>
      <c r="C88" s="156" t="n">
        <f aca="false">C83+C87</f>
        <v>25.8739051587777</v>
      </c>
    </row>
    <row r="90" customFormat="false" ht="15" hidden="false" customHeight="false" outlineLevel="0" collapsed="false">
      <c r="B90" s="16" t="s">
        <v>785</v>
      </c>
      <c r="C90" s="74" t="s">
        <v>786</v>
      </c>
    </row>
    <row r="91" customFormat="false" ht="15" hidden="false" customHeight="false" outlineLevel="0" collapsed="false">
      <c r="B91" s="0" t="s">
        <v>787</v>
      </c>
      <c r="C91" s="128" t="n">
        <f aca="false">Model!CC175-Model!CC162-Model!CC163</f>
        <v>706.120599808933</v>
      </c>
    </row>
    <row r="92" customFormat="false" ht="15" hidden="false" customHeight="false" outlineLevel="0" collapsed="false">
      <c r="B92" s="0" t="s">
        <v>788</v>
      </c>
      <c r="C92" s="38" t="n">
        <f aca="false">$C$10</f>
        <v>0.26</v>
      </c>
    </row>
    <row r="93" customFormat="false" ht="15" hidden="false" customHeight="false" outlineLevel="0" collapsed="false">
      <c r="B93" s="0" t="s">
        <v>789</v>
      </c>
      <c r="C93" s="53" t="n">
        <f aca="false">C91*(1-C92)</f>
        <v>522.52924385861</v>
      </c>
    </row>
    <row r="94" customFormat="false" ht="15" hidden="false" customHeight="false" outlineLevel="0" collapsed="false">
      <c r="B94" s="0" t="s">
        <v>790</v>
      </c>
      <c r="C94" s="154" t="n">
        <f aca="false">C88</f>
        <v>25.8739051587777</v>
      </c>
    </row>
    <row r="95" customFormat="false" ht="15" hidden="false" customHeight="false" outlineLevel="0" collapsed="false">
      <c r="B95" s="0" t="s">
        <v>791</v>
      </c>
      <c r="C95" s="53" t="n">
        <f aca="false">C93*C94</f>
        <v>13519.8720982855</v>
      </c>
    </row>
    <row r="96" customFormat="false" ht="15" hidden="false" customHeight="false" outlineLevel="0" collapsed="false">
      <c r="B96" s="0" t="s">
        <v>792</v>
      </c>
      <c r="C96" s="128" t="n">
        <f aca="false">Model!CB383+Model!CB296</f>
        <v>514.986702479836</v>
      </c>
    </row>
    <row r="97" customFormat="false" ht="15" hidden="false" customHeight="false" outlineLevel="0" collapsed="false">
      <c r="B97" s="0" t="s">
        <v>793</v>
      </c>
      <c r="C97" s="53" t="n">
        <f aca="false">C95-C96</f>
        <v>13004.8853958056</v>
      </c>
    </row>
    <row r="98" customFormat="false" ht="15" hidden="false" customHeight="false" outlineLevel="0" collapsed="false">
      <c r="B98" s="0" t="s">
        <v>794</v>
      </c>
      <c r="C98" s="143" t="n">
        <f aca="false">Model!CC389</f>
        <v>352.925974106743</v>
      </c>
    </row>
    <row r="99" customFormat="false" ht="15" hidden="false" customHeight="false" outlineLevel="0" collapsed="false">
      <c r="B99" s="0" t="s">
        <v>795</v>
      </c>
      <c r="C99" s="157" t="n">
        <f aca="false">C97/C98</f>
        <v>36.848762488284</v>
      </c>
    </row>
    <row r="101" customFormat="false" ht="15" hidden="false" customHeight="false" outlineLevel="0" collapsed="false">
      <c r="B101" s="0" t="s">
        <v>752</v>
      </c>
      <c r="C101" s="147" t="n">
        <f aca="false">C52</f>
        <v>30.78</v>
      </c>
    </row>
    <row r="102" customFormat="false" ht="15" hidden="false" customHeight="false" outlineLevel="0" collapsed="false">
      <c r="B102" s="0" t="s">
        <v>753</v>
      </c>
      <c r="C102" s="38" t="n">
        <f aca="false">C99/C101-1</f>
        <v>0.197165772848732</v>
      </c>
    </row>
    <row r="104" customFormat="false" ht="15" hidden="false" customHeight="false" outlineLevel="0" collapsed="false">
      <c r="B104" s="16" t="s">
        <v>796</v>
      </c>
      <c r="C104" s="74" t="s">
        <v>786</v>
      </c>
    </row>
    <row r="105" customFormat="false" ht="15" hidden="false" customHeight="false" outlineLevel="0" collapsed="false">
      <c r="B105" s="0" t="s">
        <v>797</v>
      </c>
      <c r="C105" s="129" t="n">
        <f aca="false">C52*C50</f>
        <v>12383.60575864</v>
      </c>
    </row>
    <row r="106" customFormat="false" ht="15" hidden="false" customHeight="false" outlineLevel="0" collapsed="false">
      <c r="B106" s="0" t="s">
        <v>798</v>
      </c>
      <c r="C106" s="129" t="n">
        <f aca="false">C48</f>
        <v>350.162842328131</v>
      </c>
    </row>
    <row r="107" customFormat="false" ht="15" hidden="false" customHeight="false" outlineLevel="0" collapsed="false">
      <c r="B107" s="0" t="s">
        <v>799</v>
      </c>
      <c r="C107" s="129" t="n">
        <f aca="false">C105+C106</f>
        <v>12733.7686009681</v>
      </c>
    </row>
    <row r="108" customFormat="false" ht="15" hidden="false" customHeight="false" outlineLevel="0" collapsed="false">
      <c r="B108" s="0" t="s">
        <v>800</v>
      </c>
      <c r="C108" s="158" t="n">
        <f aca="false">C107/C93</f>
        <v>24.369485058742</v>
      </c>
    </row>
    <row r="110" customFormat="false" ht="15" hidden="false" customHeight="false" outlineLevel="0" collapsed="false">
      <c r="B110" s="0" t="s">
        <v>801</v>
      </c>
      <c r="C110" s="158" t="n">
        <f aca="false">C88-C108</f>
        <v>1.5044201000357</v>
      </c>
    </row>
    <row r="111" customFormat="false" ht="15" hidden="false" customHeight="false" outlineLevel="0" collapsed="false">
      <c r="B111" s="0" t="s">
        <v>802</v>
      </c>
      <c r="C111" s="131" t="n">
        <f aca="false">C88/C108-1</f>
        <v>0.0617337664874467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</cols>
  <sheetData>
    <row r="2" customFormat="false" ht="17.35" hidden="false" customHeight="false" outlineLevel="0" collapsed="false">
      <c r="B2" s="159" t="s">
        <v>803</v>
      </c>
    </row>
    <row r="3" customFormat="false" ht="15" hidden="false" customHeight="false" outlineLevel="0" collapsed="false">
      <c r="B3" s="4" t="s">
        <v>804</v>
      </c>
    </row>
    <row r="7" customFormat="false" ht="15" hidden="false" customHeight="false" outlineLevel="0" collapsed="false">
      <c r="C7" s="9" t="s">
        <v>805</v>
      </c>
      <c r="D7" s="9" t="s">
        <v>806</v>
      </c>
      <c r="E7" s="9" t="s">
        <v>807</v>
      </c>
      <c r="F7" s="9" t="s">
        <v>808</v>
      </c>
      <c r="G7" s="9" t="s">
        <v>809</v>
      </c>
      <c r="H7" s="9" t="s">
        <v>810</v>
      </c>
      <c r="I7" s="9" t="s">
        <v>811</v>
      </c>
      <c r="J7" s="9" t="s">
        <v>812</v>
      </c>
      <c r="K7" s="9" t="s">
        <v>813</v>
      </c>
      <c r="L7" s="9" t="s">
        <v>814</v>
      </c>
      <c r="M7" s="9" t="s">
        <v>815</v>
      </c>
      <c r="N7" s="9" t="s">
        <v>816</v>
      </c>
      <c r="O7" s="9" t="s">
        <v>817</v>
      </c>
      <c r="P7" s="9" t="s">
        <v>818</v>
      </c>
      <c r="Q7" s="9" t="s">
        <v>819</v>
      </c>
      <c r="R7" s="9" t="s">
        <v>820</v>
      </c>
      <c r="S7" s="9" t="s">
        <v>821</v>
      </c>
      <c r="T7" s="9" t="s">
        <v>822</v>
      </c>
      <c r="U7" s="9" t="s">
        <v>823</v>
      </c>
      <c r="V7" s="9" t="s">
        <v>824</v>
      </c>
    </row>
    <row r="8" customFormat="false" ht="15" hidden="false" customHeight="false" outlineLevel="0" collapsed="false">
      <c r="B8" s="160" t="s">
        <v>825</v>
      </c>
      <c r="C8" s="161" t="n">
        <f aca="false">IFERROR(Model!C203+0,NA())</f>
        <v>0</v>
      </c>
      <c r="D8" s="161" t="n">
        <f aca="false">IFERROR(Model!D203+0,NA())</f>
        <v>0.213457193386578</v>
      </c>
      <c r="E8" s="161" t="n">
        <f aca="false">IFERROR(Model!E203+0,NA())</f>
        <v>0.101776406213532</v>
      </c>
      <c r="F8" s="161" t="n">
        <f aca="false">IFERROR(Model!F203+0,NA())</f>
        <v>-0.0130350048016269</v>
      </c>
      <c r="G8" s="161" t="n">
        <f aca="false">IFERROR(Model!G203+0,NA())</f>
        <v>0.0791809557424199</v>
      </c>
      <c r="H8" s="161" t="n">
        <f aca="false">IFERROR(Model!H203+0,NA())</f>
        <v>0.112604967736233</v>
      </c>
      <c r="I8" s="161" t="n">
        <f aca="false">IFERROR(Model!I203+0,NA())</f>
        <v>0.390080162708848</v>
      </c>
      <c r="J8" s="161" t="n">
        <f aca="false">IFERROR(Model!N203+0,NA())</f>
        <v>0.260067555210096</v>
      </c>
      <c r="K8" s="161" t="n">
        <f aca="false">IFERROR(Model!S203+0,NA())</f>
        <v>0.30614614587373</v>
      </c>
      <c r="L8" s="161" t="n">
        <f aca="false">IFERROR(Model!X203+0,NA())</f>
        <v>0.235838704300478</v>
      </c>
      <c r="M8" s="161" t="n">
        <f aca="false">IFERROR(Model!AC203+0,NA())</f>
        <v>0.176836704300864</v>
      </c>
      <c r="N8" s="161" t="n">
        <f aca="false">IFERROR(Model!AH203+0,NA())</f>
        <v>0.152334562993207</v>
      </c>
      <c r="O8" s="161" t="n">
        <f aca="false">IFERROR(Model!AM203+0,NA())</f>
        <v>0.234764771090828</v>
      </c>
      <c r="P8" s="161" t="n">
        <f aca="false">IFERROR(Model!AR203+0,NA())</f>
        <v>0.17442642922828</v>
      </c>
      <c r="Q8" s="161" t="n">
        <f aca="false">IFERROR(Model!AW203+0,NA())</f>
        <v>0.185251468330429</v>
      </c>
      <c r="R8" s="161" t="n">
        <f aca="false">IFERROR(Model!BB203+0,NA())</f>
        <v>0.171858188483676</v>
      </c>
      <c r="S8" s="161" t="n">
        <f aca="false">IFERROR(Model!BG203+0,NA())</f>
        <v>0.122555275225229</v>
      </c>
      <c r="T8" s="161" t="n">
        <f aca="false">IFERROR(Model!BL203+0,NA())</f>
        <v>0.124908873217042</v>
      </c>
      <c r="U8" s="161" t="n">
        <f aca="false">IFERROR(Model!BQ203+0,NA())</f>
        <v>0.114541751527495</v>
      </c>
      <c r="V8" s="161" t="n">
        <f aca="false">IFERROR(Model!BV203+0,NA())</f>
        <v>0.186682260068709</v>
      </c>
    </row>
    <row r="9" customFormat="false" ht="15" hidden="false" customHeight="false" outlineLevel="0" collapsed="false">
      <c r="B9" s="160" t="s">
        <v>826</v>
      </c>
      <c r="C9" s="161" t="n">
        <f aca="false">IFERROR(Model!C206+0,NA())</f>
        <v>0</v>
      </c>
      <c r="D9" s="161" t="n">
        <f aca="false">IFERROR(Model!D206+0,NA())</f>
        <v>0.313209733487833</v>
      </c>
      <c r="E9" s="161" t="n">
        <f aca="false">IFERROR(Model!E206+0,NA())</f>
        <v>0.664431306803141</v>
      </c>
      <c r="F9" s="161" t="n">
        <f aca="false">IFERROR(Model!F206+0,NA())</f>
        <v>-0.03988407641061</v>
      </c>
      <c r="G9" s="161" t="n">
        <f aca="false">IFERROR(Model!G206+0,NA())</f>
        <v>-0.0554921593167931</v>
      </c>
      <c r="H9" s="161" t="n">
        <f aca="false">IFERROR(Model!H206+0,NA())</f>
        <v>0.109710232476568</v>
      </c>
      <c r="I9" s="161" t="n">
        <f aca="false">IFERROR(Model!I206+0,NA())</f>
        <v>0.517165083323089</v>
      </c>
      <c r="J9" s="161" t="n">
        <f aca="false">IFERROR(Model!N206+0,NA())</f>
        <v>0.582918586078381</v>
      </c>
      <c r="K9" s="161" t="n">
        <f aca="false">IFERROR(Model!S206+0,NA())</f>
        <v>0.378082932999905</v>
      </c>
      <c r="L9" s="161" t="n">
        <f aca="false">IFERROR(Model!X206+0,NA())</f>
        <v>-0.280302226372647</v>
      </c>
      <c r="M9" s="161" t="n">
        <f aca="false">IFERROR(Model!AC206+0,NA())</f>
        <v>0.8838248304335</v>
      </c>
      <c r="N9" s="161" t="n">
        <f aca="false">IFERROR(Model!AH206+0,NA())</f>
        <v>0.0949742096570942</v>
      </c>
      <c r="O9" s="161" t="n">
        <f aca="false">IFERROR(Model!AM206+0,NA())</f>
        <v>0.494056256478073</v>
      </c>
      <c r="P9" s="161" t="n">
        <f aca="false">IFERROR(Model!AR206+0,NA())</f>
        <v>0.212137160245154</v>
      </c>
      <c r="Q9" s="161" t="n">
        <f aca="false">IFERROR(Model!AW206+0,NA())</f>
        <v>0.0917426485099664</v>
      </c>
      <c r="R9" s="161" t="n">
        <f aca="false">IFERROR(Model!BB206+0,NA())</f>
        <v>0.170326074774127</v>
      </c>
      <c r="S9" s="161" t="n">
        <f aca="false">IFERROR(Model!BG206+0,NA())</f>
        <v>0.0372300002471391</v>
      </c>
      <c r="T9" s="161" t="n">
        <f aca="false">IFERROR(Model!BL206+0,NA())</f>
        <v>-0.267770743889527</v>
      </c>
      <c r="U9" s="161" t="n">
        <f aca="false">IFERROR(Model!BQ206+0,NA())</f>
        <v>-0.510270490136262</v>
      </c>
      <c r="V9" s="161" t="n">
        <f aca="false">IFERROR(Model!BV206+0,NA())</f>
        <v>0.835548172757476</v>
      </c>
    </row>
    <row r="11" customFormat="false" ht="15" hidden="false" customHeight="false" outlineLevel="0" collapsed="false">
      <c r="C11" s="9" t="str">
        <f aca="false">C7</f>
        <v>2006</v>
      </c>
      <c r="D11" s="9" t="str">
        <f aca="false">D7</f>
        <v>2007</v>
      </c>
      <c r="E11" s="9" t="str">
        <f aca="false">E7</f>
        <v>2008</v>
      </c>
      <c r="F11" s="9" t="str">
        <f aca="false">F7</f>
        <v>2009</v>
      </c>
      <c r="G11" s="9" t="str">
        <f aca="false">G7</f>
        <v>2010</v>
      </c>
      <c r="H11" s="9" t="str">
        <f aca="false">H7</f>
        <v>2011</v>
      </c>
      <c r="I11" s="9" t="str">
        <f aca="false">I7</f>
        <v>2012</v>
      </c>
      <c r="J11" s="9" t="str">
        <f aca="false">J7</f>
        <v>2013</v>
      </c>
      <c r="K11" s="9" t="str">
        <f aca="false">K7</f>
        <v>2014</v>
      </c>
      <c r="L11" s="9" t="str">
        <f aca="false">L7</f>
        <v>2015</v>
      </c>
      <c r="M11" s="9" t="str">
        <f aca="false">M7</f>
        <v>2016</v>
      </c>
      <c r="N11" s="9" t="str">
        <f aca="false">N7</f>
        <v>2017</v>
      </c>
      <c r="O11" s="9" t="str">
        <f aca="false">O7</f>
        <v>2018</v>
      </c>
      <c r="P11" s="9" t="str">
        <f aca="false">P7</f>
        <v>2019</v>
      </c>
      <c r="Q11" s="9" t="str">
        <f aca="false">Q7</f>
        <v>2020</v>
      </c>
      <c r="R11" s="9" t="str">
        <f aca="false">R7</f>
        <v>2021</v>
      </c>
      <c r="S11" s="9" t="str">
        <f aca="false">S7</f>
        <v>2022</v>
      </c>
      <c r="T11" s="9" t="str">
        <f aca="false">T7</f>
        <v>2023</v>
      </c>
      <c r="U11" s="9" t="str">
        <f aca="false">U7</f>
        <v>2024</v>
      </c>
      <c r="V11" s="9" t="str">
        <f aca="false">V7</f>
        <v>2025</v>
      </c>
    </row>
    <row r="12" customFormat="false" ht="15" hidden="false" customHeight="false" outlineLevel="0" collapsed="false">
      <c r="B12" s="160" t="s">
        <v>827</v>
      </c>
      <c r="C12" s="128" t="n">
        <f aca="false">IFERROR(Model!C168+0,0)</f>
        <v>25.89</v>
      </c>
      <c r="D12" s="128" t="n">
        <f aca="false">IFERROR(Model!D168+0,0)</f>
        <v>33.999</v>
      </c>
      <c r="E12" s="128" t="n">
        <f aca="false">IFERROR(Model!E168+0,0)</f>
        <v>56.589</v>
      </c>
      <c r="F12" s="128" t="n">
        <f aca="false">IFERROR(Model!F168+0,0)</f>
        <v>54.332</v>
      </c>
      <c r="G12" s="128" t="n">
        <f aca="false">IFERROR(Model!G168+0,0)</f>
        <v>51.317</v>
      </c>
      <c r="H12" s="128" t="n">
        <f aca="false">IFERROR(Model!H168+0,0)</f>
        <v>56.947</v>
      </c>
      <c r="I12" s="128" t="n">
        <f aca="false">IFERROR(Model!I168+0,0)</f>
        <v>86.398</v>
      </c>
      <c r="J12" s="128" t="n">
        <f aca="false">IFERROR(Model!N168+0,0)</f>
        <v>136.761</v>
      </c>
      <c r="K12" s="128" t="n">
        <f aca="false">IFERROR(Model!S168+0,0)</f>
        <v>188.468</v>
      </c>
      <c r="L12" s="128" t="n">
        <f aca="false">IFERROR(Model!X168+0,0)</f>
        <v>135.64</v>
      </c>
      <c r="M12" s="128" t="n">
        <f aca="false">IFERROR(Model!AC168+0,0)</f>
        <v>255.522</v>
      </c>
      <c r="N12" s="128" t="n">
        <f aca="false">IFERROR(Model!AH168+0,0)</f>
        <v>279.79</v>
      </c>
      <c r="O12" s="128" t="n">
        <f aca="false">IFERROR(Model!AM168+0,0)</f>
        <v>418.022</v>
      </c>
      <c r="P12" s="128" t="n">
        <f aca="false">IFERROR(Model!AR168+0,0)</f>
        <v>506.7</v>
      </c>
      <c r="Q12" s="128" t="n">
        <f aca="false">IFERROR(Model!AW168+0,0)</f>
        <v>553.186</v>
      </c>
      <c r="R12" s="128" t="n">
        <f aca="false">IFERROR(Model!BB168+0,0)</f>
        <v>647.408</v>
      </c>
      <c r="S12" s="128" t="n">
        <f aca="false">IFERROR(Model!BG168+0,0)</f>
        <v>671.511</v>
      </c>
      <c r="T12" s="128" t="n">
        <f aca="false">IFERROR(Model!BL168+0,0)</f>
        <v>491.7</v>
      </c>
      <c r="U12" s="128" t="n">
        <f aca="false">IFERROR(Model!BQ168+0,0)</f>
        <v>240.8</v>
      </c>
      <c r="V12" s="128" t="n">
        <f aca="false">IFERROR(Model!BV168+0,0)</f>
        <v>442</v>
      </c>
    </row>
    <row r="13" customFormat="false" ht="15" hidden="false" customHeight="false" outlineLevel="0" collapsed="false">
      <c r="B13" s="160" t="s">
        <v>662</v>
      </c>
      <c r="C13" s="128" t="n">
        <f aca="false">IFERROR(Model!C131+0,0)</f>
        <v>14.081</v>
      </c>
      <c r="D13" s="128" t="n">
        <f aca="false">IFERROR(Model!D131+0,0)</f>
        <v>17.852</v>
      </c>
      <c r="E13" s="128" t="n">
        <f aca="false">IFERROR(Model!E131+0,0)</f>
        <v>39.788</v>
      </c>
      <c r="F13" s="128" t="n">
        <f aca="false">IFERROR(Model!F131+0,0)</f>
        <v>31.835</v>
      </c>
      <c r="G13" s="128" t="n">
        <f aca="false">IFERROR(Model!G131+0,0)</f>
        <v>22.775</v>
      </c>
      <c r="H13" s="128" t="n">
        <f aca="false">IFERROR(Model!H131+0,0)</f>
        <v>21.771</v>
      </c>
      <c r="I13" s="128" t="n">
        <f aca="false">IFERROR(Model!I131+0,0)</f>
        <v>27.44</v>
      </c>
      <c r="J13" s="128" t="n">
        <f aca="false">IFERROR(Model!N131+0,0)</f>
        <v>54.154</v>
      </c>
      <c r="K13" s="128" t="n">
        <f aca="false">IFERROR(Model!S131+0,0)</f>
        <v>80.878</v>
      </c>
      <c r="L13" s="128" t="n">
        <f aca="false">IFERROR(Model!X131+0,0)</f>
        <v>11.455</v>
      </c>
      <c r="M13" s="128" t="n">
        <f aca="false">IFERROR(Model!AC131+0,0)</f>
        <v>144.905</v>
      </c>
      <c r="N13" s="128" t="n">
        <f aca="false">IFERROR(Model!AH131+0,0)</f>
        <v>173.816</v>
      </c>
      <c r="O13" s="128" t="n">
        <f aca="false">IFERROR(Model!AM131+0,0)</f>
        <v>273.564</v>
      </c>
      <c r="P13" s="128" t="n">
        <f aca="false">IFERROR(Model!AR131+0,0)</f>
        <v>363.547</v>
      </c>
      <c r="Q13" s="128" t="n">
        <f aca="false">IFERROR(Model!AW131+0,0)</f>
        <v>289.202</v>
      </c>
      <c r="R13" s="128" t="n">
        <f aca="false">IFERROR(Model!BB131+0,0)</f>
        <v>432.337</v>
      </c>
      <c r="S13" s="128" t="n">
        <f aca="false">IFERROR(Model!BG131+0,0)</f>
        <v>450.949</v>
      </c>
      <c r="T13" s="128" t="n">
        <f aca="false">IFERROR(Model!BL131+0,0)</f>
        <v>282.3</v>
      </c>
      <c r="U13" s="128" t="n">
        <f aca="false">IFERROR(Model!BQ131+0,0)</f>
        <v>4.69999999999982</v>
      </c>
      <c r="V13" s="128" t="n">
        <f aca="false">IFERROR(Model!BV131+0,0)</f>
        <v>-72</v>
      </c>
    </row>
    <row r="14" customFormat="false" ht="15" hidden="false" customHeight="false" outlineLevel="0" collapsed="false">
      <c r="B14" s="160" t="s">
        <v>828</v>
      </c>
      <c r="C14" s="161" t="n">
        <f aca="false">IFERROR(Model!C169+0,0)</f>
        <v>0.162943941997243</v>
      </c>
      <c r="D14" s="161" t="n">
        <f aca="false">IFERROR(Model!D169+0,0)</f>
        <v>0.176338787894505</v>
      </c>
      <c r="E14" s="161" t="n">
        <f aca="false">IFERROR(Model!E169+0,0)</f>
        <v>0.266391436157192</v>
      </c>
      <c r="F14" s="161" t="n">
        <f aca="false">IFERROR(Model!F169+0,0)</f>
        <v>0.259144611011213</v>
      </c>
      <c r="G14" s="161" t="n">
        <f aca="false">IFERROR(Model!G169+0,0)</f>
        <v>0.226805445063202</v>
      </c>
      <c r="H14" s="161" t="n">
        <f aca="false">IFERROR(Model!H169+0,0)</f>
        <v>0.226215350880678</v>
      </c>
      <c r="I14" s="161" t="n">
        <f aca="false">IFERROR(Model!I169+0,0)</f>
        <v>0.246896575373783</v>
      </c>
      <c r="J14" s="161" t="n">
        <f aca="false">IFERROR(Model!N169+0,0)</f>
        <v>0.310155734414652</v>
      </c>
      <c r="K14" s="161" t="n">
        <f aca="false">IFERROR(Model!S169+0,0)</f>
        <v>0.327237748638738</v>
      </c>
      <c r="L14" s="161" t="n">
        <f aca="false">IFERROR(Model!X169+0,0)</f>
        <v>0.190568784035158</v>
      </c>
      <c r="M14" s="161" t="n">
        <f aca="false">IFERROR(Model!AC169+0,0)</f>
        <v>0.30505354392751</v>
      </c>
      <c r="N14" s="161" t="n">
        <f aca="false">IFERROR(Model!AH169+0,0)</f>
        <v>0.289868735948945</v>
      </c>
      <c r="O14" s="161" t="n">
        <f aca="false">IFERROR(Model!AM169+0,0)</f>
        <v>0.350739030333134</v>
      </c>
      <c r="P14" s="161" t="n">
        <f aca="false">IFERROR(Model!AR169+0,0)</f>
        <v>0.362001230246928</v>
      </c>
      <c r="Q14" s="161" t="n">
        <f aca="false">IFERROR(Model!AW169+0,0)</f>
        <v>0.333441630264632</v>
      </c>
      <c r="R14" s="161" t="n">
        <f aca="false">IFERROR(Model!BB169+0,0)</f>
        <v>0.333005681189835</v>
      </c>
      <c r="S14" s="161" t="n">
        <f aca="false">IFERROR(Model!BG169+0,0)</f>
        <v>0.307693964302586</v>
      </c>
      <c r="T14" s="161" t="n">
        <f aca="false">IFERROR(Model!BL169+0,0)</f>
        <v>0.200285132382892</v>
      </c>
      <c r="U14" s="161" t="n">
        <f aca="false">IFERROR(Model!BQ169+0,0)</f>
        <v>0.088005262773189</v>
      </c>
      <c r="V14" s="161" t="n">
        <f aca="false">IFERROR(Model!BV169+0,0)</f>
        <v>0.136125654450262</v>
      </c>
    </row>
    <row r="15" customFormat="false" ht="15" hidden="false" customHeight="false" outlineLevel="0" collapsed="false">
      <c r="B15" s="160" t="s">
        <v>829</v>
      </c>
      <c r="C15" s="161" t="n">
        <f aca="false">IFERROR(Model!C213+0,0)</f>
        <v>0.0886216163485201</v>
      </c>
      <c r="D15" s="161" t="n">
        <f aca="false">IFERROR(Model!D213+0,0)</f>
        <v>0.0925909597780141</v>
      </c>
      <c r="E15" s="161" t="n">
        <f aca="false">IFERROR(Model!E213+0,0)</f>
        <v>0.187301109081665</v>
      </c>
      <c r="F15" s="161" t="n">
        <f aca="false">IFERROR(Model!F213+0,0)</f>
        <v>0.151841800256607</v>
      </c>
      <c r="G15" s="161" t="n">
        <f aca="false">IFERROR(Model!G213+0,0)</f>
        <v>0.100658534429417</v>
      </c>
      <c r="H15" s="161" t="n">
        <f aca="false">IFERROR(Model!H213+0,0)</f>
        <v>0.0864827717706505</v>
      </c>
      <c r="I15" s="161" t="n">
        <f aca="false">IFERROR(Model!I213+0,0)</f>
        <v>0.0784143386219194</v>
      </c>
      <c r="J15" s="161" t="n">
        <f aca="false">IFERROR(Model!N213+0,0)</f>
        <v>0.122814059867148</v>
      </c>
      <c r="K15" s="161" t="n">
        <f aca="false">IFERROR(Model!S213+0,0)</f>
        <v>0.140428797644183</v>
      </c>
      <c r="L15" s="161" t="n">
        <f aca="false">IFERROR(Model!X213+0,0)</f>
        <v>0.0160938176137035</v>
      </c>
      <c r="M15" s="161" t="n">
        <f aca="false">IFERROR(Model!AC213+0,0)</f>
        <v>0.172994042715758</v>
      </c>
      <c r="N15" s="161" t="n">
        <f aca="false">IFERROR(Model!AH213+0,0)</f>
        <v>0.18007728727868</v>
      </c>
      <c r="O15" s="161" t="n">
        <f aca="false">IFERROR(Model!AM213+0,0)</f>
        <v>0.229532350197008</v>
      </c>
      <c r="P15" s="161" t="n">
        <f aca="false">IFERROR(Model!AR213+0,0)</f>
        <v>0.259728559803789</v>
      </c>
      <c r="Q15" s="161" t="n">
        <f aca="false">IFERROR(Model!AW213+0,0)</f>
        <v>0.174321089752438</v>
      </c>
      <c r="R15" s="161" t="n">
        <f aca="false">IFERROR(Model!BB213+0,0)</f>
        <v>0.222380133066891</v>
      </c>
      <c r="S15" s="161" t="n">
        <f aca="false">IFERROR(Model!BG213+0,0)</f>
        <v>0.20662995171827</v>
      </c>
      <c r="T15" s="161" t="n">
        <f aca="false">IFERROR(Model!BL213+0,0)</f>
        <v>0.114989816700611</v>
      </c>
      <c r="U15" s="161" t="n">
        <f aca="false">IFERROR(Model!BQ213+0,0)</f>
        <v>0.00171771069366268</v>
      </c>
      <c r="V15" s="161" t="n">
        <f aca="false">IFERROR(Model!BV213+0,0)</f>
        <v>-0.0221743147520788</v>
      </c>
    </row>
    <row r="17" customFormat="false" ht="15" hidden="false" customHeight="false" outlineLevel="0" collapsed="false">
      <c r="C17" s="9" t="str">
        <f aca="false">C7</f>
        <v>2006</v>
      </c>
      <c r="D17" s="9" t="str">
        <f aca="false">D7</f>
        <v>2007</v>
      </c>
      <c r="E17" s="9" t="str">
        <f aca="false">E7</f>
        <v>2008</v>
      </c>
      <c r="F17" s="9" t="str">
        <f aca="false">F7</f>
        <v>2009</v>
      </c>
      <c r="G17" s="9" t="str">
        <f aca="false">G7</f>
        <v>2010</v>
      </c>
      <c r="H17" s="9" t="str">
        <f aca="false">H7</f>
        <v>2011</v>
      </c>
      <c r="I17" s="9" t="str">
        <f aca="false">I7</f>
        <v>2012</v>
      </c>
      <c r="J17" s="9" t="str">
        <f aca="false">J7</f>
        <v>2013</v>
      </c>
      <c r="K17" s="9" t="str">
        <f aca="false">K7</f>
        <v>2014</v>
      </c>
      <c r="L17" s="9" t="str">
        <f aca="false">L7</f>
        <v>2015</v>
      </c>
      <c r="M17" s="9" t="str">
        <f aca="false">M7</f>
        <v>2016</v>
      </c>
      <c r="N17" s="9" t="str">
        <f aca="false">N7</f>
        <v>2017</v>
      </c>
      <c r="O17" s="9" t="str">
        <f aca="false">O7</f>
        <v>2018</v>
      </c>
      <c r="P17" s="9" t="str">
        <f aca="false">P7</f>
        <v>2019</v>
      </c>
      <c r="Q17" s="9" t="str">
        <f aca="false">Q7</f>
        <v>2020</v>
      </c>
      <c r="R17" s="9" t="str">
        <f aca="false">R7</f>
        <v>2021</v>
      </c>
      <c r="S17" s="9" t="str">
        <f aca="false">S7</f>
        <v>2022</v>
      </c>
      <c r="T17" s="9" t="str">
        <f aca="false">T7</f>
        <v>2023</v>
      </c>
      <c r="U17" s="9" t="str">
        <f aca="false">U7</f>
        <v>2024</v>
      </c>
      <c r="V17" s="9" t="str">
        <f aca="false">V7</f>
        <v>2025</v>
      </c>
    </row>
    <row r="18" customFormat="false" ht="15" hidden="false" customHeight="false" outlineLevel="0" collapsed="false">
      <c r="B18" s="160" t="s">
        <v>684</v>
      </c>
      <c r="C18" s="161" t="n">
        <f aca="false">IFERROR(Model!C366+0,NA())</f>
        <v>0.0918705552293339</v>
      </c>
      <c r="D18" s="161" t="n">
        <f aca="false">IFERROR(Model!D366+0,NA())</f>
        <v>0.113491348711048</v>
      </c>
      <c r="E18" s="161" t="n">
        <f aca="false">IFERROR(Model!E366+0,NA())</f>
        <v>0.220695010677538</v>
      </c>
      <c r="F18" s="161" t="n">
        <f aca="false">IFERROR(Model!F366+0,NA())</f>
        <v>0.178856215046004</v>
      </c>
      <c r="G18" s="161" t="n">
        <f aca="false">IFERROR(Model!G366+0,NA())</f>
        <v>0.131879212253829</v>
      </c>
      <c r="H18" s="161" t="n">
        <f aca="false">IFERROR(Model!H366+0,NA())</f>
        <v>0.239685818339947</v>
      </c>
      <c r="I18" s="161" t="n">
        <f aca="false">IFERROR(Model!I366+0,NA())</f>
        <v>0.0395532902685681</v>
      </c>
      <c r="J18" s="161" t="n">
        <f aca="false">IFERROR(Model!N366+0,NA())</f>
        <v>0.0726707747801909</v>
      </c>
      <c r="K18" s="161" t="n">
        <f aca="false">IFERROR(Model!S366+0,NA())</f>
        <v>0.0533851293515144</v>
      </c>
      <c r="L18" s="161" t="n">
        <f aca="false">IFERROR(Model!X366+0,NA())</f>
        <v>0.0239710129621129</v>
      </c>
      <c r="M18" s="161" t="n">
        <f aca="false">IFERROR(Model!AC366+0,NA())</f>
        <v>0.0806279392336787</v>
      </c>
      <c r="N18" s="161" t="n">
        <f aca="false">IFERROR(Model!AH366+0,NA())</f>
        <v>0.0930770593150237</v>
      </c>
      <c r="O18" s="161" t="n">
        <f aca="false">IFERROR(Model!AM366+0,NA())</f>
        <v>0.132815923385892</v>
      </c>
      <c r="P18" s="161" t="n">
        <f aca="false">IFERROR(Model!AR366+0,NA())</f>
        <v>0.136689555956626</v>
      </c>
      <c r="Q18" s="161" t="n">
        <f aca="false">IFERROR(Model!AW366+0,NA())</f>
        <v>0.125541505094465</v>
      </c>
      <c r="R18" s="161" t="n">
        <f aca="false">IFERROR(Model!BB366+0,NA())</f>
        <v>0.134403601056923</v>
      </c>
      <c r="S18" s="161" t="n">
        <f aca="false">IFERROR(Model!BG366+0,NA())</f>
        <v>0.138154903521214</v>
      </c>
      <c r="T18" s="161" t="n">
        <f aca="false">IFERROR(Model!BL366+0,NA())</f>
        <v>0.0913233971476294</v>
      </c>
      <c r="U18" s="161" t="n">
        <f aca="false">IFERROR(Model!BQ366+0,NA())</f>
        <v>0.0234577165924852</v>
      </c>
      <c r="V18" s="161" t="n">
        <f aca="false">IFERROR(Model!BV366+0,NA())</f>
        <v>0.0193945747608439</v>
      </c>
    </row>
    <row r="19" customFormat="false" ht="15" hidden="false" customHeight="false" outlineLevel="0" collapsed="false">
      <c r="B19" s="160" t="s">
        <v>685</v>
      </c>
      <c r="C19" s="161" t="n">
        <f aca="false">IFERROR(Model!C377+0,NA())</f>
        <v>0.0370357706470279</v>
      </c>
      <c r="D19" s="161" t="n">
        <f aca="false">IFERROR(Model!D377+0,NA())</f>
        <v>0.0546375503083539</v>
      </c>
      <c r="E19" s="161" t="n">
        <f aca="false">IFERROR(Model!E377+0,NA())</f>
        <v>0.101803419204346</v>
      </c>
      <c r="F19" s="161" t="n">
        <f aca="false">IFERROR(Model!F377+0,NA())</f>
        <v>0.0925385324419242</v>
      </c>
      <c r="G19" s="161" t="n">
        <f aca="false">IFERROR(Model!G377+0,NA())</f>
        <v>0.0789282895518009</v>
      </c>
      <c r="H19" s="161" t="n">
        <f aca="false">IFERROR(Model!H377+0,NA())</f>
        <v>0.0443211115373598</v>
      </c>
      <c r="I19" s="161" t="n">
        <f aca="false">IFERROR(Model!I377+0,NA())</f>
        <v>0.172969717771503</v>
      </c>
      <c r="J19" s="161" t="n">
        <f aca="false">IFERROR(Model!N377+0,NA())</f>
        <v>0.19565732150258</v>
      </c>
      <c r="K19" s="161" t="n">
        <f aca="false">IFERROR(Model!S377+0,NA())</f>
        <v>0.121231395859032</v>
      </c>
      <c r="L19" s="161" t="n">
        <f aca="false">IFERROR(Model!X377+0,NA())</f>
        <v>0.075370359726932</v>
      </c>
      <c r="M19" s="161" t="n">
        <f aca="false">IFERROR(Model!AC377+0,NA())</f>
        <v>0.188040520197921</v>
      </c>
      <c r="N19" s="161" t="n">
        <f aca="false">IFERROR(Model!AH377+0,NA())</f>
        <v>0.106322100623123</v>
      </c>
      <c r="O19" s="161" t="n">
        <f aca="false">IFERROR(Model!AM377+0,NA())</f>
        <v>0.202812289407098</v>
      </c>
      <c r="P19" s="161" t="n">
        <f aca="false">IFERROR(Model!AR377+0,NA())</f>
        <v>0.237514270149749</v>
      </c>
      <c r="Q19" s="161" t="n">
        <f aca="false">IFERROR(Model!AW377+0,NA())</f>
        <v>0.0834258072642692</v>
      </c>
      <c r="R19" s="161" t="n">
        <f aca="false">IFERROR(Model!BB377+0,NA())</f>
        <v>0.0927724465067326</v>
      </c>
      <c r="S19" s="161" t="n">
        <f aca="false">IFERROR(Model!BG377+0,NA())</f>
        <v>0.0741684506822583</v>
      </c>
      <c r="T19" s="161" t="n">
        <f aca="false">IFERROR(Model!BL377+0,NA())</f>
        <v>0.049324774462179</v>
      </c>
      <c r="U19" s="161" t="n">
        <f aca="false">IFERROR(Model!BQ377+0,NA())</f>
        <v>0.0157825095321831</v>
      </c>
      <c r="V19" s="161" t="n">
        <f aca="false">IFERROR(Model!BV377+0,NA())</f>
        <v>0.0480987975300618</v>
      </c>
    </row>
    <row r="20" customFormat="false" ht="15" hidden="false" customHeight="false" outlineLevel="0" collapsed="false">
      <c r="B20" s="160" t="s">
        <v>830</v>
      </c>
      <c r="C20" s="161" t="n">
        <f aca="false">IFERROR(Model!C169+0,NA())</f>
        <v>0.162943941997243</v>
      </c>
      <c r="D20" s="161" t="n">
        <f aca="false">IFERROR(Model!D169+0,NA())</f>
        <v>0.176338787894505</v>
      </c>
      <c r="E20" s="161" t="n">
        <f aca="false">IFERROR(Model!E169+0,NA())</f>
        <v>0.266391436157192</v>
      </c>
      <c r="F20" s="161" t="n">
        <f aca="false">IFERROR(Model!F169+0,NA())</f>
        <v>0.259144611011213</v>
      </c>
      <c r="G20" s="161" t="n">
        <f aca="false">IFERROR(Model!G169+0,NA())</f>
        <v>0.226805445063202</v>
      </c>
      <c r="H20" s="161" t="n">
        <f aca="false">IFERROR(Model!H169+0,NA())</f>
        <v>0.226215350880678</v>
      </c>
      <c r="I20" s="161" t="n">
        <f aca="false">IFERROR(Model!I169+0,NA())</f>
        <v>0.246896575373783</v>
      </c>
      <c r="J20" s="161" t="n">
        <f aca="false">IFERROR(Model!N169+0,NA())</f>
        <v>0.310155734414652</v>
      </c>
      <c r="K20" s="161" t="n">
        <f aca="false">IFERROR(Model!S169+0,NA())</f>
        <v>0.327237748638738</v>
      </c>
      <c r="L20" s="161" t="n">
        <f aca="false">IFERROR(Model!X169+0,NA())</f>
        <v>0.190568784035158</v>
      </c>
      <c r="M20" s="161" t="n">
        <f aca="false">IFERROR(Model!AC169+0,NA())</f>
        <v>0.30505354392751</v>
      </c>
      <c r="N20" s="161" t="n">
        <f aca="false">IFERROR(Model!AH169+0,NA())</f>
        <v>0.289868735948945</v>
      </c>
      <c r="O20" s="161" t="n">
        <f aca="false">IFERROR(Model!AM169+0,NA())</f>
        <v>0.350739030333134</v>
      </c>
      <c r="P20" s="161" t="n">
        <f aca="false">IFERROR(Model!AR169+0,NA())</f>
        <v>0.362001230246928</v>
      </c>
      <c r="Q20" s="161" t="n">
        <f aca="false">IFERROR(Model!AW169+0,NA())</f>
        <v>0.333441630264632</v>
      </c>
      <c r="R20" s="161" t="n">
        <f aca="false">IFERROR(Model!BB169+0,NA())</f>
        <v>0.333005681189835</v>
      </c>
      <c r="S20" s="161" t="n">
        <f aca="false">IFERROR(Model!BG169+0,NA())</f>
        <v>0.307693964302586</v>
      </c>
      <c r="T20" s="161" t="n">
        <f aca="false">IFERROR(Model!BL169+0,NA())</f>
        <v>0.200285132382892</v>
      </c>
      <c r="U20" s="161" t="n">
        <f aca="false">IFERROR(Model!BQ169+0,NA())</f>
        <v>0.088005262773189</v>
      </c>
      <c r="V20" s="161" t="n">
        <f aca="false">IFERROR(Model!BV169+0,NA())</f>
        <v>0.136125654450262</v>
      </c>
    </row>
    <row r="21" customFormat="false" ht="15" hidden="false" customHeight="false" outlineLevel="0" collapsed="false">
      <c r="B21" s="160" t="s">
        <v>831</v>
      </c>
      <c r="C21" s="161" t="n">
        <f aca="false">IFERROR(Model!C250+0,NA())</f>
        <v>0.12456494785668</v>
      </c>
      <c r="D21" s="161" t="n">
        <f aca="false">IFERROR(Model!D250+0,NA())</f>
        <v>0.194294753766759</v>
      </c>
      <c r="E21" s="161" t="n">
        <f aca="false">IFERROR(Model!E250+0,NA())</f>
        <v>0.175362946504227</v>
      </c>
      <c r="F21" s="161" t="n">
        <f aca="false">IFERROR(Model!F250+0,NA())</f>
        <v>0.138439084418031</v>
      </c>
      <c r="G21" s="161" t="n">
        <f aca="false">IFERROR(Model!G250+0,NA())</f>
        <v>-0.0799478476089455</v>
      </c>
      <c r="H21" s="161" t="n">
        <f aca="false">IFERROR(Model!H250+0,NA())</f>
        <v>0.042393281904202</v>
      </c>
      <c r="I21" s="161" t="n">
        <f aca="false">IFERROR(Model!I250+0,NA())</f>
        <v>0.203728681816104</v>
      </c>
      <c r="J21" s="161" t="n">
        <f aca="false">IFERROR(Model!N250+0,NA())</f>
        <v>0.202420721045577</v>
      </c>
      <c r="K21" s="161" t="n">
        <f aca="false">IFERROR(Model!S250+0,NA())</f>
        <v>0.202218649294366</v>
      </c>
      <c r="L21" s="161" t="n">
        <f aca="false">IFERROR(Model!X250+0,NA())</f>
        <v>0.135134679472409</v>
      </c>
      <c r="M21" s="161" t="n">
        <f aca="false">IFERROR(Model!AC250+0,NA())</f>
        <v>0.211522987476571</v>
      </c>
      <c r="N21" s="161" t="n">
        <f aca="false">IFERROR(Model!AH250+0,NA())</f>
        <v>0.217776074096329</v>
      </c>
      <c r="O21" s="161" t="n">
        <f aca="false">IFERROR(Model!AM250+0,NA())</f>
        <v>0.256601601568006</v>
      </c>
      <c r="P21" s="161" t="n">
        <f aca="false">IFERROR(Model!AR250+0,NA())</f>
        <v>0.294046876551651</v>
      </c>
      <c r="Q21" s="161" t="n">
        <f aca="false">IFERROR(Model!AW250+0,NA())</f>
        <v>0.263866176336739</v>
      </c>
      <c r="R21" s="161" t="n">
        <f aca="false">IFERROR(Model!BB250+0,NA())</f>
        <v>0.144407152795459</v>
      </c>
      <c r="S21" s="161" t="n">
        <f aca="false">IFERROR(Model!BG250+0,NA())</f>
        <v>0.176355011159738</v>
      </c>
      <c r="T21" s="161" t="n">
        <f aca="false">IFERROR(Model!BL250+0,NA())</f>
        <v>0.14122199592668</v>
      </c>
      <c r="U21" s="161" t="n">
        <f aca="false">IFERROR(Model!BQ250+0,NA())</f>
        <v>-0.0896498793947811</v>
      </c>
      <c r="V21" s="161" t="n">
        <f aca="false">IFERROR(Model!BV250+0,NA())</f>
        <v>0.0126270403449338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2026-10-06T18:21:10Z</dcterms:created>
  <dc:creator>openpyxl</dc:creator>
  <dc:description/>
  <dc:language>en-US</dc:language>
  <cp:lastModifiedBy/>
  <dcterms:modified xsi:type="dcterms:W3CDTF">2026-10-06T18:21:15Z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