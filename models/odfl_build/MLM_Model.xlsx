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c4fe9d6c707c2821/Desktop/PL Universe/MLM/"/>
    </mc:Choice>
  </mc:AlternateContent>
  <xr:revisionPtr revIDLastSave="215" documentId="8_{0A8C96B6-B6BC-4BF1-967C-6F00F5481035}" xr6:coauthVersionLast="47" xr6:coauthVersionMax="47" xr10:uidLastSave="{83C8B457-99ED-48DE-943F-7EEAF993AE6C}"/>
  <bookViews>
    <workbookView xWindow="-120" yWindow="-120" windowWidth="29040" windowHeight="15720" tabRatio="500" xr2:uid="{00000000-000D-0000-FFFF-FFFF00000000}"/>
  </bookViews>
  <sheets>
    <sheet name="Model" sheetId="1" r:id="rId1"/>
    <sheet name="Bull-Base-Bear" sheetId="2" r:id="rId2"/>
    <sheet name="DCF" sheetId="3" r:id="rId3"/>
    <sheet name="Charts" sheetId="4" r:id="rId4"/>
  </sheets>
  <calcPr calcId="191029" iterate="1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X190" i="1" l="1"/>
  <c r="BW190" i="1"/>
  <c r="BV190" i="1"/>
  <c r="BU190" i="1"/>
  <c r="BT190" i="1"/>
  <c r="BS190" i="1"/>
  <c r="BR190" i="1"/>
  <c r="BQ190" i="1"/>
  <c r="BP190" i="1"/>
  <c r="BO190" i="1"/>
  <c r="BN190" i="1"/>
  <c r="BM190" i="1"/>
  <c r="BL190" i="1"/>
  <c r="BK190" i="1"/>
  <c r="BJ190" i="1"/>
  <c r="BI190" i="1"/>
  <c r="BH190" i="1"/>
  <c r="BG190" i="1"/>
  <c r="BF190" i="1"/>
  <c r="BE190" i="1"/>
  <c r="BD190" i="1"/>
  <c r="BC190" i="1"/>
  <c r="BB190" i="1"/>
  <c r="BA190" i="1"/>
  <c r="AZ190" i="1"/>
  <c r="AY190" i="1"/>
  <c r="AX190" i="1"/>
  <c r="AW190" i="1"/>
  <c r="AV190" i="1"/>
  <c r="AU190" i="1"/>
  <c r="AT190" i="1"/>
  <c r="AS190" i="1"/>
  <c r="AR190" i="1"/>
  <c r="AQ190" i="1"/>
  <c r="AP190" i="1"/>
  <c r="AO190" i="1"/>
  <c r="AN190" i="1"/>
  <c r="AM190" i="1"/>
  <c r="AL190" i="1"/>
  <c r="AK190" i="1"/>
  <c r="AJ190" i="1"/>
  <c r="AI190" i="1"/>
  <c r="AH190" i="1"/>
  <c r="AG190" i="1"/>
  <c r="AF190" i="1"/>
  <c r="AE190" i="1"/>
  <c r="AD190" i="1"/>
  <c r="AC190" i="1"/>
  <c r="AB190" i="1"/>
  <c r="AA190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I190" i="1"/>
  <c r="H190" i="1"/>
  <c r="G190" i="1"/>
  <c r="F190" i="1"/>
  <c r="E190" i="1"/>
  <c r="D190" i="1"/>
  <c r="BS22" i="1"/>
  <c r="BO22" i="1"/>
  <c r="BC22" i="1"/>
  <c r="AY22" i="1"/>
  <c r="AM22" i="1"/>
  <c r="AI22" i="1"/>
  <c r="W22" i="1"/>
  <c r="S22" i="1"/>
  <c r="BQ20" i="1"/>
  <c r="C60" i="3"/>
  <c r="CB38" i="1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C9" i="4"/>
  <c r="C8" i="4"/>
  <c r="C99" i="3"/>
  <c r="C98" i="3"/>
  <c r="B70" i="3"/>
  <c r="B69" i="3" s="1"/>
  <c r="B68" i="3" s="1"/>
  <c r="C58" i="3"/>
  <c r="C108" i="3" s="1"/>
  <c r="M39" i="3"/>
  <c r="L39" i="3"/>
  <c r="K39" i="3"/>
  <c r="J39" i="3"/>
  <c r="I39" i="3"/>
  <c r="H39" i="3"/>
  <c r="G39" i="3"/>
  <c r="F39" i="3"/>
  <c r="E39" i="3"/>
  <c r="D39" i="3"/>
  <c r="J31" i="3"/>
  <c r="K31" i="3" s="1"/>
  <c r="L31" i="3" s="1"/>
  <c r="M21" i="3"/>
  <c r="L21" i="3"/>
  <c r="K21" i="3"/>
  <c r="J21" i="3"/>
  <c r="I21" i="3"/>
  <c r="H21" i="3"/>
  <c r="G21" i="3"/>
  <c r="F21" i="3"/>
  <c r="E21" i="3"/>
  <c r="D21" i="3"/>
  <c r="H20" i="3"/>
  <c r="I20" i="3" s="1"/>
  <c r="G20" i="3"/>
  <c r="F20" i="3"/>
  <c r="E20" i="3"/>
  <c r="C15" i="3"/>
  <c r="K34" i="3" s="1"/>
  <c r="C11" i="3"/>
  <c r="C8" i="3"/>
  <c r="S34" i="2"/>
  <c r="AF27" i="2"/>
  <c r="AF44" i="2" s="1"/>
  <c r="AE27" i="2"/>
  <c r="AD27" i="2"/>
  <c r="T27" i="2"/>
  <c r="T34" i="2" s="1"/>
  <c r="S27" i="2"/>
  <c r="S44" i="2" s="1"/>
  <c r="C21" i="2"/>
  <c r="C9" i="2"/>
  <c r="C5" i="2"/>
  <c r="K3" i="2"/>
  <c r="K2" i="2"/>
  <c r="AE28" i="2" s="1"/>
  <c r="CB433" i="1"/>
  <c r="BV419" i="1"/>
  <c r="BQ419" i="1"/>
  <c r="BL419" i="1"/>
  <c r="BG419" i="1"/>
  <c r="BB419" i="1"/>
  <c r="AW419" i="1"/>
  <c r="AR419" i="1"/>
  <c r="AM419" i="1"/>
  <c r="AH419" i="1"/>
  <c r="AC419" i="1"/>
  <c r="X419" i="1"/>
  <c r="S419" i="1"/>
  <c r="N419" i="1"/>
  <c r="I419" i="1"/>
  <c r="H419" i="1"/>
  <c r="G419" i="1"/>
  <c r="F419" i="1"/>
  <c r="E419" i="1"/>
  <c r="D419" i="1"/>
  <c r="C419" i="1"/>
  <c r="CE406" i="1"/>
  <c r="CE414" i="1" s="1"/>
  <c r="CD406" i="1"/>
  <c r="CD414" i="1" s="1"/>
  <c r="CC406" i="1"/>
  <c r="CC414" i="1" s="1"/>
  <c r="CB406" i="1"/>
  <c r="CB414" i="1" s="1"/>
  <c r="BX401" i="1"/>
  <c r="BW401" i="1"/>
  <c r="BV401" i="1"/>
  <c r="BU401" i="1"/>
  <c r="BT401" i="1"/>
  <c r="BS401" i="1"/>
  <c r="BR401" i="1"/>
  <c r="BQ401" i="1"/>
  <c r="BP401" i="1"/>
  <c r="BO401" i="1"/>
  <c r="BN401" i="1"/>
  <c r="BM401" i="1"/>
  <c r="BL401" i="1"/>
  <c r="BK401" i="1"/>
  <c r="BJ401" i="1"/>
  <c r="BI401" i="1"/>
  <c r="BH401" i="1"/>
  <c r="BG401" i="1"/>
  <c r="BF401" i="1"/>
  <c r="BE401" i="1"/>
  <c r="BD401" i="1"/>
  <c r="BC401" i="1"/>
  <c r="BB401" i="1"/>
  <c r="BA401" i="1"/>
  <c r="AZ401" i="1"/>
  <c r="AY401" i="1"/>
  <c r="AX401" i="1"/>
  <c r="AW401" i="1"/>
  <c r="AV401" i="1"/>
  <c r="AU401" i="1"/>
  <c r="AT401" i="1"/>
  <c r="AS401" i="1"/>
  <c r="AR401" i="1"/>
  <c r="AQ401" i="1"/>
  <c r="AP401" i="1"/>
  <c r="AO401" i="1"/>
  <c r="AN401" i="1"/>
  <c r="AM401" i="1"/>
  <c r="AL401" i="1"/>
  <c r="AK401" i="1"/>
  <c r="AJ401" i="1"/>
  <c r="AI401" i="1"/>
  <c r="AH401" i="1"/>
  <c r="AG401" i="1"/>
  <c r="AF401" i="1"/>
  <c r="AE401" i="1"/>
  <c r="AD401" i="1"/>
  <c r="AC401" i="1"/>
  <c r="AB401" i="1"/>
  <c r="AA401" i="1"/>
  <c r="Z401" i="1"/>
  <c r="Y401" i="1"/>
  <c r="X401" i="1"/>
  <c r="W401" i="1"/>
  <c r="V401" i="1"/>
  <c r="U401" i="1"/>
  <c r="T401" i="1"/>
  <c r="S401" i="1"/>
  <c r="R401" i="1"/>
  <c r="Q401" i="1"/>
  <c r="P401" i="1"/>
  <c r="O401" i="1"/>
  <c r="N401" i="1"/>
  <c r="M401" i="1"/>
  <c r="L401" i="1"/>
  <c r="K401" i="1"/>
  <c r="J401" i="1"/>
  <c r="I401" i="1"/>
  <c r="H401" i="1"/>
  <c r="G401" i="1"/>
  <c r="F401" i="1"/>
  <c r="E401" i="1"/>
  <c r="D401" i="1"/>
  <c r="C401" i="1"/>
  <c r="BX400" i="1"/>
  <c r="BW400" i="1"/>
  <c r="BV400" i="1"/>
  <c r="BU400" i="1"/>
  <c r="BT400" i="1"/>
  <c r="BS400" i="1"/>
  <c r="BR400" i="1"/>
  <c r="BQ400" i="1"/>
  <c r="BP400" i="1"/>
  <c r="BO400" i="1"/>
  <c r="BN400" i="1"/>
  <c r="BM400" i="1"/>
  <c r="BL400" i="1"/>
  <c r="BK400" i="1"/>
  <c r="BJ400" i="1"/>
  <c r="BI400" i="1"/>
  <c r="BH400" i="1"/>
  <c r="BG400" i="1"/>
  <c r="BF400" i="1"/>
  <c r="BE400" i="1"/>
  <c r="BD400" i="1"/>
  <c r="BC400" i="1"/>
  <c r="BB400" i="1"/>
  <c r="BA400" i="1"/>
  <c r="AZ400" i="1"/>
  <c r="AY400" i="1"/>
  <c r="AX400" i="1"/>
  <c r="AW400" i="1"/>
  <c r="AV400" i="1"/>
  <c r="AU400" i="1"/>
  <c r="AT400" i="1"/>
  <c r="AS400" i="1"/>
  <c r="AR400" i="1"/>
  <c r="AQ400" i="1"/>
  <c r="AP400" i="1"/>
  <c r="AO400" i="1"/>
  <c r="AN400" i="1"/>
  <c r="AM400" i="1"/>
  <c r="AL400" i="1"/>
  <c r="AK400" i="1"/>
  <c r="AJ400" i="1"/>
  <c r="AI400" i="1"/>
  <c r="AH400" i="1"/>
  <c r="AG400" i="1"/>
  <c r="AF400" i="1"/>
  <c r="AE400" i="1"/>
  <c r="AD400" i="1"/>
  <c r="AC400" i="1"/>
  <c r="AB400" i="1"/>
  <c r="AA400" i="1"/>
  <c r="Z400" i="1"/>
  <c r="Y400" i="1"/>
  <c r="X400" i="1"/>
  <c r="W400" i="1"/>
  <c r="V400" i="1"/>
  <c r="U400" i="1"/>
  <c r="T400" i="1"/>
  <c r="S400" i="1"/>
  <c r="R400" i="1"/>
  <c r="Q400" i="1"/>
  <c r="P400" i="1"/>
  <c r="O400" i="1"/>
  <c r="N400" i="1"/>
  <c r="M400" i="1"/>
  <c r="L400" i="1"/>
  <c r="K400" i="1"/>
  <c r="J400" i="1"/>
  <c r="I400" i="1"/>
  <c r="H400" i="1"/>
  <c r="G400" i="1"/>
  <c r="F400" i="1"/>
  <c r="E400" i="1"/>
  <c r="D400" i="1"/>
  <c r="C400" i="1"/>
  <c r="CE395" i="1"/>
  <c r="CD395" i="1"/>
  <c r="CC395" i="1"/>
  <c r="CB395" i="1"/>
  <c r="CA384" i="1"/>
  <c r="BY167" i="1" s="1"/>
  <c r="CA382" i="1"/>
  <c r="CE381" i="1"/>
  <c r="CD381" i="1"/>
  <c r="CC381" i="1"/>
  <c r="CB381" i="1"/>
  <c r="BX378" i="1"/>
  <c r="BW378" i="1"/>
  <c r="BV378" i="1"/>
  <c r="BV410" i="1" s="1"/>
  <c r="BV428" i="1" s="1"/>
  <c r="BU378" i="1"/>
  <c r="BT378" i="1"/>
  <c r="BS378" i="1"/>
  <c r="BR378" i="1"/>
  <c r="BQ378" i="1"/>
  <c r="BQ410" i="1" s="1"/>
  <c r="BQ428" i="1" s="1"/>
  <c r="BP378" i="1"/>
  <c r="BO378" i="1"/>
  <c r="BN378" i="1"/>
  <c r="BM378" i="1"/>
  <c r="BL378" i="1"/>
  <c r="BK378" i="1"/>
  <c r="BJ378" i="1"/>
  <c r="BI378" i="1"/>
  <c r="BH378" i="1"/>
  <c r="BG378" i="1"/>
  <c r="BF378" i="1"/>
  <c r="BE378" i="1"/>
  <c r="BD378" i="1"/>
  <c r="BC378" i="1"/>
  <c r="BB378" i="1"/>
  <c r="BA378" i="1"/>
  <c r="AZ378" i="1"/>
  <c r="AY378" i="1"/>
  <c r="AX378" i="1"/>
  <c r="AW378" i="1"/>
  <c r="AV378" i="1"/>
  <c r="AU378" i="1"/>
  <c r="AT378" i="1"/>
  <c r="AS378" i="1"/>
  <c r="AR378" i="1"/>
  <c r="AQ378" i="1"/>
  <c r="AP378" i="1"/>
  <c r="AO378" i="1"/>
  <c r="AN378" i="1"/>
  <c r="AM378" i="1"/>
  <c r="AM410" i="1" s="1"/>
  <c r="AM428" i="1" s="1"/>
  <c r="AL378" i="1"/>
  <c r="AK378" i="1"/>
  <c r="AJ378" i="1"/>
  <c r="AI378" i="1"/>
  <c r="AH378" i="1"/>
  <c r="AG378" i="1"/>
  <c r="AF378" i="1"/>
  <c r="AE378" i="1"/>
  <c r="AD378" i="1"/>
  <c r="AC378" i="1"/>
  <c r="AH391" i="1" s="1"/>
  <c r="AB378" i="1"/>
  <c r="AA378" i="1"/>
  <c r="Z378" i="1"/>
  <c r="Y378" i="1"/>
  <c r="X378" i="1"/>
  <c r="W378" i="1"/>
  <c r="V378" i="1"/>
  <c r="U378" i="1"/>
  <c r="T378" i="1"/>
  <c r="S378" i="1"/>
  <c r="S410" i="1" s="1"/>
  <c r="S428" i="1" s="1"/>
  <c r="R378" i="1"/>
  <c r="Q378" i="1"/>
  <c r="P378" i="1"/>
  <c r="O378" i="1"/>
  <c r="N378" i="1"/>
  <c r="M378" i="1"/>
  <c r="L378" i="1"/>
  <c r="K378" i="1"/>
  <c r="J378" i="1"/>
  <c r="I378" i="1"/>
  <c r="N391" i="1" s="1"/>
  <c r="H378" i="1"/>
  <c r="G378" i="1"/>
  <c r="G410" i="1" s="1"/>
  <c r="G428" i="1" s="1"/>
  <c r="F378" i="1"/>
  <c r="E378" i="1"/>
  <c r="F391" i="1" s="1"/>
  <c r="D378" i="1"/>
  <c r="C378" i="1"/>
  <c r="C410" i="1" s="1"/>
  <c r="C428" i="1" s="1"/>
  <c r="CA372" i="1"/>
  <c r="CA370" i="1"/>
  <c r="BX347" i="1"/>
  <c r="BW347" i="1"/>
  <c r="BV347" i="1"/>
  <c r="BU347" i="1"/>
  <c r="BT347" i="1"/>
  <c r="BS347" i="1"/>
  <c r="BR347" i="1"/>
  <c r="BQ347" i="1"/>
  <c r="BP347" i="1"/>
  <c r="BO347" i="1"/>
  <c r="BN347" i="1"/>
  <c r="BM347" i="1"/>
  <c r="BL347" i="1"/>
  <c r="BK347" i="1"/>
  <c r="BJ347" i="1"/>
  <c r="BI347" i="1"/>
  <c r="BH347" i="1"/>
  <c r="BG347" i="1"/>
  <c r="BF347" i="1"/>
  <c r="BE347" i="1"/>
  <c r="BD347" i="1"/>
  <c r="BC347" i="1"/>
  <c r="BB347" i="1"/>
  <c r="BA347" i="1"/>
  <c r="AZ347" i="1"/>
  <c r="AY347" i="1"/>
  <c r="AX347" i="1"/>
  <c r="AW347" i="1"/>
  <c r="AV347" i="1"/>
  <c r="AU347" i="1"/>
  <c r="AT347" i="1"/>
  <c r="AS347" i="1"/>
  <c r="AR347" i="1"/>
  <c r="AQ347" i="1"/>
  <c r="AP347" i="1"/>
  <c r="AO347" i="1"/>
  <c r="AN347" i="1"/>
  <c r="AM347" i="1"/>
  <c r="AL347" i="1"/>
  <c r="AK347" i="1"/>
  <c r="AJ347" i="1"/>
  <c r="AI347" i="1"/>
  <c r="AH347" i="1"/>
  <c r="AG347" i="1"/>
  <c r="AG349" i="1" s="1"/>
  <c r="AF347" i="1"/>
  <c r="AE347" i="1"/>
  <c r="AD347" i="1"/>
  <c r="AC347" i="1"/>
  <c r="AB347" i="1"/>
  <c r="AA347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H347" i="1"/>
  <c r="G347" i="1"/>
  <c r="F347" i="1"/>
  <c r="E347" i="1"/>
  <c r="D347" i="1"/>
  <c r="C347" i="1"/>
  <c r="BX341" i="1"/>
  <c r="BW341" i="1"/>
  <c r="BW342" i="1" s="1"/>
  <c r="BV341" i="1"/>
  <c r="BV343" i="1" s="1"/>
  <c r="BU341" i="1"/>
  <c r="BT341" i="1"/>
  <c r="BS341" i="1"/>
  <c r="BR341" i="1"/>
  <c r="BR343" i="1" s="1"/>
  <c r="BQ341" i="1"/>
  <c r="BP341" i="1"/>
  <c r="BO341" i="1"/>
  <c r="BO342" i="1" s="1"/>
  <c r="BN341" i="1"/>
  <c r="BM341" i="1"/>
  <c r="BL341" i="1"/>
  <c r="BK341" i="1"/>
  <c r="BK342" i="1" s="1"/>
  <c r="BJ341" i="1"/>
  <c r="BI341" i="1"/>
  <c r="BH341" i="1"/>
  <c r="BG341" i="1"/>
  <c r="BG342" i="1" s="1"/>
  <c r="BF341" i="1"/>
  <c r="BF343" i="1" s="1"/>
  <c r="BE341" i="1"/>
  <c r="BD341" i="1"/>
  <c r="BC341" i="1"/>
  <c r="BB341" i="1"/>
  <c r="BB343" i="1" s="1"/>
  <c r="BA341" i="1"/>
  <c r="AZ341" i="1"/>
  <c r="AY341" i="1"/>
  <c r="AX341" i="1"/>
  <c r="AW341" i="1"/>
  <c r="AV341" i="1"/>
  <c r="AU341" i="1"/>
  <c r="AU342" i="1" s="1"/>
  <c r="AT341" i="1"/>
  <c r="AT346" i="1" s="1"/>
  <c r="AS341" i="1"/>
  <c r="AS342" i="1" s="1"/>
  <c r="AR341" i="1"/>
  <c r="AR343" i="1" s="1"/>
  <c r="AQ341" i="1"/>
  <c r="AQ342" i="1" s="1"/>
  <c r="AP341" i="1"/>
  <c r="AP346" i="1" s="1"/>
  <c r="AO341" i="1"/>
  <c r="AO342" i="1" s="1"/>
  <c r="AN341" i="1"/>
  <c r="AM341" i="1"/>
  <c r="AL341" i="1"/>
  <c r="AL346" i="1" s="1"/>
  <c r="AK341" i="1"/>
  <c r="AK342" i="1" s="1"/>
  <c r="AJ341" i="1"/>
  <c r="AI341" i="1"/>
  <c r="AI342" i="1" s="1"/>
  <c r="AH341" i="1"/>
  <c r="AH346" i="1" s="1"/>
  <c r="AG341" i="1"/>
  <c r="AG342" i="1" s="1"/>
  <c r="AF341" i="1"/>
  <c r="AE341" i="1"/>
  <c r="AE342" i="1" s="1"/>
  <c r="AD341" i="1"/>
  <c r="AD346" i="1" s="1"/>
  <c r="AC341" i="1"/>
  <c r="AC342" i="1" s="1"/>
  <c r="AB341" i="1"/>
  <c r="AA341" i="1"/>
  <c r="AA342" i="1" s="1"/>
  <c r="Z341" i="1"/>
  <c r="Z346" i="1" s="1"/>
  <c r="Y341" i="1"/>
  <c r="Y342" i="1" s="1"/>
  <c r="X341" i="1"/>
  <c r="W341" i="1"/>
  <c r="V341" i="1"/>
  <c r="V346" i="1" s="1"/>
  <c r="U341" i="1"/>
  <c r="U342" i="1" s="1"/>
  <c r="T341" i="1"/>
  <c r="S341" i="1"/>
  <c r="S342" i="1" s="1"/>
  <c r="R341" i="1"/>
  <c r="R346" i="1" s="1"/>
  <c r="Q341" i="1"/>
  <c r="Q342" i="1" s="1"/>
  <c r="P341" i="1"/>
  <c r="O341" i="1"/>
  <c r="O342" i="1" s="1"/>
  <c r="N341" i="1"/>
  <c r="N346" i="1" s="1"/>
  <c r="M341" i="1"/>
  <c r="M342" i="1" s="1"/>
  <c r="L341" i="1"/>
  <c r="K341" i="1"/>
  <c r="K342" i="1" s="1"/>
  <c r="J341" i="1"/>
  <c r="J346" i="1" s="1"/>
  <c r="I341" i="1"/>
  <c r="I342" i="1" s="1"/>
  <c r="H341" i="1"/>
  <c r="G341" i="1"/>
  <c r="F341" i="1"/>
  <c r="F346" i="1" s="1"/>
  <c r="E341" i="1"/>
  <c r="E342" i="1" s="1"/>
  <c r="D341" i="1"/>
  <c r="C341" i="1"/>
  <c r="C342" i="1" s="1"/>
  <c r="BX337" i="1"/>
  <c r="BW337" i="1"/>
  <c r="BV337" i="1"/>
  <c r="BU337" i="1"/>
  <c r="BT337" i="1"/>
  <c r="BS337" i="1"/>
  <c r="BR337" i="1"/>
  <c r="BQ337" i="1"/>
  <c r="BP337" i="1"/>
  <c r="BO337" i="1"/>
  <c r="BN337" i="1"/>
  <c r="BM337" i="1"/>
  <c r="BL337" i="1"/>
  <c r="BK337" i="1"/>
  <c r="BJ337" i="1"/>
  <c r="BI337" i="1"/>
  <c r="BH337" i="1"/>
  <c r="BG337" i="1"/>
  <c r="BF337" i="1"/>
  <c r="BE337" i="1"/>
  <c r="BD337" i="1"/>
  <c r="BC337" i="1"/>
  <c r="BB337" i="1"/>
  <c r="BA337" i="1"/>
  <c r="AZ337" i="1"/>
  <c r="AY337" i="1"/>
  <c r="AX337" i="1"/>
  <c r="AW337" i="1"/>
  <c r="AV337" i="1"/>
  <c r="AU337" i="1"/>
  <c r="AT337" i="1"/>
  <c r="AS337" i="1"/>
  <c r="AR337" i="1"/>
  <c r="AQ337" i="1"/>
  <c r="AP337" i="1"/>
  <c r="AO337" i="1"/>
  <c r="AN337" i="1"/>
  <c r="AM337" i="1"/>
  <c r="AL337" i="1"/>
  <c r="AK337" i="1"/>
  <c r="AJ337" i="1"/>
  <c r="AI337" i="1"/>
  <c r="AH337" i="1"/>
  <c r="AG337" i="1"/>
  <c r="AF337" i="1"/>
  <c r="AE337" i="1"/>
  <c r="AD337" i="1"/>
  <c r="AC337" i="1"/>
  <c r="AB337" i="1"/>
  <c r="AA337" i="1"/>
  <c r="Z337" i="1"/>
  <c r="Y337" i="1"/>
  <c r="X337" i="1"/>
  <c r="W337" i="1"/>
  <c r="V337" i="1"/>
  <c r="U337" i="1"/>
  <c r="T337" i="1"/>
  <c r="S337" i="1"/>
  <c r="R337" i="1"/>
  <c r="Q337" i="1"/>
  <c r="P337" i="1"/>
  <c r="O337" i="1"/>
  <c r="N337" i="1"/>
  <c r="M337" i="1"/>
  <c r="L337" i="1"/>
  <c r="K337" i="1"/>
  <c r="J337" i="1"/>
  <c r="I337" i="1"/>
  <c r="H337" i="1"/>
  <c r="G337" i="1"/>
  <c r="F337" i="1"/>
  <c r="E337" i="1"/>
  <c r="D337" i="1"/>
  <c r="C337" i="1"/>
  <c r="CA331" i="1"/>
  <c r="C54" i="3" s="1"/>
  <c r="BX330" i="1"/>
  <c r="BX332" i="1" s="1"/>
  <c r="BW330" i="1"/>
  <c r="BW332" i="1" s="1"/>
  <c r="BV330" i="1"/>
  <c r="BV425" i="1" s="1"/>
  <c r="BU330" i="1"/>
  <c r="BU332" i="1" s="1"/>
  <c r="BT330" i="1"/>
  <c r="BT332" i="1" s="1"/>
  <c r="BS330" i="1"/>
  <c r="BS332" i="1" s="1"/>
  <c r="BR330" i="1"/>
  <c r="BR332" i="1" s="1"/>
  <c r="BQ330" i="1"/>
  <c r="BQ425" i="1" s="1"/>
  <c r="BP330" i="1"/>
  <c r="BP332" i="1" s="1"/>
  <c r="BO330" i="1"/>
  <c r="BO332" i="1" s="1"/>
  <c r="BN330" i="1"/>
  <c r="BN332" i="1" s="1"/>
  <c r="BM330" i="1"/>
  <c r="BM332" i="1" s="1"/>
  <c r="BL330" i="1"/>
  <c r="BL425" i="1" s="1"/>
  <c r="BK330" i="1"/>
  <c r="BK332" i="1" s="1"/>
  <c r="BJ330" i="1"/>
  <c r="BJ332" i="1" s="1"/>
  <c r="BI330" i="1"/>
  <c r="BI332" i="1" s="1"/>
  <c r="BH330" i="1"/>
  <c r="BH332" i="1" s="1"/>
  <c r="BG330" i="1"/>
  <c r="BG425" i="1" s="1"/>
  <c r="BF330" i="1"/>
  <c r="BF332" i="1" s="1"/>
  <c r="BE330" i="1"/>
  <c r="BE332" i="1" s="1"/>
  <c r="BD330" i="1"/>
  <c r="BD332" i="1" s="1"/>
  <c r="BC330" i="1"/>
  <c r="BC332" i="1" s="1"/>
  <c r="BB330" i="1"/>
  <c r="BB425" i="1" s="1"/>
  <c r="BA330" i="1"/>
  <c r="BA332" i="1" s="1"/>
  <c r="AZ330" i="1"/>
  <c r="AZ332" i="1" s="1"/>
  <c r="AY330" i="1"/>
  <c r="AY332" i="1" s="1"/>
  <c r="AX330" i="1"/>
  <c r="AX332" i="1" s="1"/>
  <c r="AW330" i="1"/>
  <c r="AW425" i="1" s="1"/>
  <c r="AV330" i="1"/>
  <c r="AV332" i="1" s="1"/>
  <c r="AU330" i="1"/>
  <c r="AU332" i="1" s="1"/>
  <c r="AT330" i="1"/>
  <c r="AT332" i="1" s="1"/>
  <c r="AS330" i="1"/>
  <c r="AS332" i="1" s="1"/>
  <c r="AR330" i="1"/>
  <c r="AR425" i="1" s="1"/>
  <c r="AQ330" i="1"/>
  <c r="AQ332" i="1" s="1"/>
  <c r="AP330" i="1"/>
  <c r="AP332" i="1" s="1"/>
  <c r="AO330" i="1"/>
  <c r="AO332" i="1" s="1"/>
  <c r="AN330" i="1"/>
  <c r="AN332" i="1" s="1"/>
  <c r="AM330" i="1"/>
  <c r="AM425" i="1" s="1"/>
  <c r="AL330" i="1"/>
  <c r="AL332" i="1" s="1"/>
  <c r="AK330" i="1"/>
  <c r="AK332" i="1" s="1"/>
  <c r="AJ330" i="1"/>
  <c r="AJ332" i="1" s="1"/>
  <c r="AI330" i="1"/>
  <c r="AI332" i="1" s="1"/>
  <c r="AH330" i="1"/>
  <c r="AH425" i="1" s="1"/>
  <c r="AG330" i="1"/>
  <c r="AG332" i="1" s="1"/>
  <c r="AF330" i="1"/>
  <c r="AF332" i="1" s="1"/>
  <c r="AE330" i="1"/>
  <c r="AE332" i="1" s="1"/>
  <c r="AD330" i="1"/>
  <c r="AD332" i="1" s="1"/>
  <c r="AC330" i="1"/>
  <c r="AC425" i="1" s="1"/>
  <c r="AB330" i="1"/>
  <c r="AB332" i="1" s="1"/>
  <c r="AA330" i="1"/>
  <c r="AA332" i="1" s="1"/>
  <c r="Z330" i="1"/>
  <c r="Z332" i="1" s="1"/>
  <c r="Y330" i="1"/>
  <c r="Y332" i="1" s="1"/>
  <c r="X330" i="1"/>
  <c r="X425" i="1" s="1"/>
  <c r="W330" i="1"/>
  <c r="W332" i="1" s="1"/>
  <c r="V330" i="1"/>
  <c r="V332" i="1" s="1"/>
  <c r="U330" i="1"/>
  <c r="U332" i="1" s="1"/>
  <c r="T330" i="1"/>
  <c r="T332" i="1" s="1"/>
  <c r="S330" i="1"/>
  <c r="S425" i="1" s="1"/>
  <c r="R330" i="1"/>
  <c r="R332" i="1" s="1"/>
  <c r="Q330" i="1"/>
  <c r="Q332" i="1" s="1"/>
  <c r="P330" i="1"/>
  <c r="P332" i="1" s="1"/>
  <c r="O330" i="1"/>
  <c r="O332" i="1" s="1"/>
  <c r="N330" i="1"/>
  <c r="N425" i="1" s="1"/>
  <c r="M330" i="1"/>
  <c r="M332" i="1" s="1"/>
  <c r="L330" i="1"/>
  <c r="L332" i="1" s="1"/>
  <c r="K330" i="1"/>
  <c r="K332" i="1" s="1"/>
  <c r="J330" i="1"/>
  <c r="J332" i="1" s="1"/>
  <c r="I330" i="1"/>
  <c r="I425" i="1" s="1"/>
  <c r="H330" i="1"/>
  <c r="H425" i="1" s="1"/>
  <c r="G330" i="1"/>
  <c r="G425" i="1" s="1"/>
  <c r="F330" i="1"/>
  <c r="F425" i="1" s="1"/>
  <c r="E330" i="1"/>
  <c r="E425" i="1" s="1"/>
  <c r="D330" i="1"/>
  <c r="D425" i="1" s="1"/>
  <c r="C330" i="1"/>
  <c r="C425" i="1" s="1"/>
  <c r="CA329" i="1"/>
  <c r="CB329" i="1" s="1"/>
  <c r="CC329" i="1" s="1"/>
  <c r="CD329" i="1" s="1"/>
  <c r="CE329" i="1" s="1"/>
  <c r="CA324" i="1"/>
  <c r="CB324" i="1" s="1"/>
  <c r="CC324" i="1" s="1"/>
  <c r="CD324" i="1" s="1"/>
  <c r="CE324" i="1" s="1"/>
  <c r="CB322" i="1"/>
  <c r="CC322" i="1" s="1"/>
  <c r="CD322" i="1" s="1"/>
  <c r="CE322" i="1" s="1"/>
  <c r="CA322" i="1"/>
  <c r="CA321" i="1"/>
  <c r="CB321" i="1" s="1"/>
  <c r="CC321" i="1" s="1"/>
  <c r="CD321" i="1" s="1"/>
  <c r="CE321" i="1" s="1"/>
  <c r="BX319" i="1"/>
  <c r="BX325" i="1" s="1"/>
  <c r="BW319" i="1"/>
  <c r="BW325" i="1" s="1"/>
  <c r="BV319" i="1"/>
  <c r="BV420" i="1" s="1"/>
  <c r="BU319" i="1"/>
  <c r="BU325" i="1" s="1"/>
  <c r="BT319" i="1"/>
  <c r="BT325" i="1" s="1"/>
  <c r="BS319" i="1"/>
  <c r="BS325" i="1" s="1"/>
  <c r="BR319" i="1"/>
  <c r="BR325" i="1" s="1"/>
  <c r="BQ319" i="1"/>
  <c r="BQ420" i="1" s="1"/>
  <c r="BP319" i="1"/>
  <c r="BP325" i="1" s="1"/>
  <c r="BO319" i="1"/>
  <c r="BO325" i="1" s="1"/>
  <c r="BN319" i="1"/>
  <c r="BN325" i="1" s="1"/>
  <c r="BM319" i="1"/>
  <c r="BM325" i="1" s="1"/>
  <c r="BL319" i="1"/>
  <c r="BL420" i="1" s="1"/>
  <c r="BK319" i="1"/>
  <c r="BK325" i="1" s="1"/>
  <c r="BJ319" i="1"/>
  <c r="BJ325" i="1" s="1"/>
  <c r="BI319" i="1"/>
  <c r="BI325" i="1" s="1"/>
  <c r="BH319" i="1"/>
  <c r="BH325" i="1" s="1"/>
  <c r="BG319" i="1"/>
  <c r="BG420" i="1" s="1"/>
  <c r="BF319" i="1"/>
  <c r="BF325" i="1" s="1"/>
  <c r="BE319" i="1"/>
  <c r="BE325" i="1" s="1"/>
  <c r="BD319" i="1"/>
  <c r="BD325" i="1" s="1"/>
  <c r="BC319" i="1"/>
  <c r="BC325" i="1" s="1"/>
  <c r="BB319" i="1"/>
  <c r="BB420" i="1" s="1"/>
  <c r="BA319" i="1"/>
  <c r="BA325" i="1" s="1"/>
  <c r="AZ319" i="1"/>
  <c r="AZ325" i="1" s="1"/>
  <c r="AY319" i="1"/>
  <c r="AY325" i="1" s="1"/>
  <c r="AX319" i="1"/>
  <c r="AX325" i="1" s="1"/>
  <c r="AW319" i="1"/>
  <c r="AW420" i="1" s="1"/>
  <c r="AV319" i="1"/>
  <c r="AV325" i="1" s="1"/>
  <c r="AU319" i="1"/>
  <c r="AU325" i="1" s="1"/>
  <c r="AT319" i="1"/>
  <c r="AT325" i="1" s="1"/>
  <c r="AS319" i="1"/>
  <c r="AS325" i="1" s="1"/>
  <c r="AR319" i="1"/>
  <c r="AR420" i="1" s="1"/>
  <c r="AQ319" i="1"/>
  <c r="AQ325" i="1" s="1"/>
  <c r="AP319" i="1"/>
  <c r="AP325" i="1" s="1"/>
  <c r="AO319" i="1"/>
  <c r="AO325" i="1" s="1"/>
  <c r="AN319" i="1"/>
  <c r="AN325" i="1" s="1"/>
  <c r="AM319" i="1"/>
  <c r="AM420" i="1" s="1"/>
  <c r="AL319" i="1"/>
  <c r="AL325" i="1" s="1"/>
  <c r="AK319" i="1"/>
  <c r="AK325" i="1" s="1"/>
  <c r="AJ319" i="1"/>
  <c r="AJ325" i="1" s="1"/>
  <c r="AI319" i="1"/>
  <c r="AI325" i="1" s="1"/>
  <c r="AH319" i="1"/>
  <c r="AH420" i="1" s="1"/>
  <c r="AG319" i="1"/>
  <c r="AG325" i="1" s="1"/>
  <c r="AF319" i="1"/>
  <c r="AF325" i="1" s="1"/>
  <c r="AE319" i="1"/>
  <c r="AE325" i="1" s="1"/>
  <c r="AD319" i="1"/>
  <c r="AD325" i="1" s="1"/>
  <c r="AC319" i="1"/>
  <c r="AC420" i="1" s="1"/>
  <c r="AB319" i="1"/>
  <c r="AB325" i="1" s="1"/>
  <c r="AA319" i="1"/>
  <c r="AA325" i="1" s="1"/>
  <c r="Z319" i="1"/>
  <c r="Z325" i="1" s="1"/>
  <c r="Y319" i="1"/>
  <c r="Y325" i="1" s="1"/>
  <c r="X319" i="1"/>
  <c r="X420" i="1" s="1"/>
  <c r="W319" i="1"/>
  <c r="W325" i="1" s="1"/>
  <c r="V319" i="1"/>
  <c r="V325" i="1" s="1"/>
  <c r="U319" i="1"/>
  <c r="U325" i="1" s="1"/>
  <c r="T319" i="1"/>
  <c r="T325" i="1" s="1"/>
  <c r="S319" i="1"/>
  <c r="S420" i="1" s="1"/>
  <c r="R319" i="1"/>
  <c r="R325" i="1" s="1"/>
  <c r="Q319" i="1"/>
  <c r="Q325" i="1" s="1"/>
  <c r="P319" i="1"/>
  <c r="P325" i="1" s="1"/>
  <c r="O319" i="1"/>
  <c r="O325" i="1" s="1"/>
  <c r="N319" i="1"/>
  <c r="N420" i="1" s="1"/>
  <c r="M319" i="1"/>
  <c r="M325" i="1" s="1"/>
  <c r="L319" i="1"/>
  <c r="L325" i="1" s="1"/>
  <c r="K319" i="1"/>
  <c r="K325" i="1" s="1"/>
  <c r="J319" i="1"/>
  <c r="J325" i="1" s="1"/>
  <c r="I319" i="1"/>
  <c r="I420" i="1" s="1"/>
  <c r="H319" i="1"/>
  <c r="H420" i="1" s="1"/>
  <c r="G319" i="1"/>
  <c r="G420" i="1" s="1"/>
  <c r="F319" i="1"/>
  <c r="F420" i="1" s="1"/>
  <c r="E319" i="1"/>
  <c r="E420" i="1" s="1"/>
  <c r="D319" i="1"/>
  <c r="D325" i="1" s="1"/>
  <c r="C319" i="1"/>
  <c r="C420" i="1" s="1"/>
  <c r="CA318" i="1"/>
  <c r="CB318" i="1" s="1"/>
  <c r="CC318" i="1" s="1"/>
  <c r="CD318" i="1" s="1"/>
  <c r="CE318" i="1" s="1"/>
  <c r="CA317" i="1"/>
  <c r="CB317" i="1" s="1"/>
  <c r="CC317" i="1" s="1"/>
  <c r="CD317" i="1" s="1"/>
  <c r="CE317" i="1" s="1"/>
  <c r="CE316" i="1"/>
  <c r="CA311" i="1"/>
  <c r="CB311" i="1" s="1"/>
  <c r="CC311" i="1" s="1"/>
  <c r="CD311" i="1" s="1"/>
  <c r="CE311" i="1" s="1"/>
  <c r="CA310" i="1"/>
  <c r="CB310" i="1" s="1"/>
  <c r="CC310" i="1" s="1"/>
  <c r="CD310" i="1" s="1"/>
  <c r="CE310" i="1" s="1"/>
  <c r="CA308" i="1"/>
  <c r="BX306" i="1"/>
  <c r="BX312" i="1" s="1"/>
  <c r="BW306" i="1"/>
  <c r="BW312" i="1" s="1"/>
  <c r="BV306" i="1"/>
  <c r="BV312" i="1" s="1"/>
  <c r="BU306" i="1"/>
  <c r="BU312" i="1" s="1"/>
  <c r="BT306" i="1"/>
  <c r="BT312" i="1" s="1"/>
  <c r="BS306" i="1"/>
  <c r="BS312" i="1" s="1"/>
  <c r="BR306" i="1"/>
  <c r="BR312" i="1" s="1"/>
  <c r="BQ306" i="1"/>
  <c r="BQ312" i="1" s="1"/>
  <c r="BP306" i="1"/>
  <c r="BP312" i="1" s="1"/>
  <c r="BO306" i="1"/>
  <c r="BO312" i="1" s="1"/>
  <c r="BN306" i="1"/>
  <c r="BN312" i="1" s="1"/>
  <c r="BM306" i="1"/>
  <c r="BM312" i="1" s="1"/>
  <c r="BL306" i="1"/>
  <c r="BL312" i="1" s="1"/>
  <c r="BK306" i="1"/>
  <c r="BK312" i="1" s="1"/>
  <c r="BJ306" i="1"/>
  <c r="BJ312" i="1" s="1"/>
  <c r="BI306" i="1"/>
  <c r="BI312" i="1" s="1"/>
  <c r="BH306" i="1"/>
  <c r="BH312" i="1" s="1"/>
  <c r="BG306" i="1"/>
  <c r="BG312" i="1" s="1"/>
  <c r="BF306" i="1"/>
  <c r="BF312" i="1" s="1"/>
  <c r="BE306" i="1"/>
  <c r="BE312" i="1" s="1"/>
  <c r="BD306" i="1"/>
  <c r="BD312" i="1" s="1"/>
  <c r="BC306" i="1"/>
  <c r="BC312" i="1" s="1"/>
  <c r="BB306" i="1"/>
  <c r="BB312" i="1" s="1"/>
  <c r="BA306" i="1"/>
  <c r="BA312" i="1" s="1"/>
  <c r="AZ306" i="1"/>
  <c r="AZ312" i="1" s="1"/>
  <c r="AY306" i="1"/>
  <c r="AY312" i="1" s="1"/>
  <c r="AX306" i="1"/>
  <c r="AX312" i="1" s="1"/>
  <c r="AW306" i="1"/>
  <c r="AW312" i="1" s="1"/>
  <c r="AV306" i="1"/>
  <c r="AV312" i="1" s="1"/>
  <c r="AU306" i="1"/>
  <c r="AU312" i="1" s="1"/>
  <c r="AT306" i="1"/>
  <c r="AT312" i="1" s="1"/>
  <c r="AS306" i="1"/>
  <c r="AS312" i="1" s="1"/>
  <c r="AR306" i="1"/>
  <c r="AR312" i="1" s="1"/>
  <c r="AQ306" i="1"/>
  <c r="AQ312" i="1" s="1"/>
  <c r="AP306" i="1"/>
  <c r="AP312" i="1" s="1"/>
  <c r="AO306" i="1"/>
  <c r="AO312" i="1" s="1"/>
  <c r="AN306" i="1"/>
  <c r="AN312" i="1" s="1"/>
  <c r="AM306" i="1"/>
  <c r="AM312" i="1" s="1"/>
  <c r="AL306" i="1"/>
  <c r="AL312" i="1" s="1"/>
  <c r="AK306" i="1"/>
  <c r="AK312" i="1" s="1"/>
  <c r="AJ306" i="1"/>
  <c r="AJ312" i="1" s="1"/>
  <c r="AI306" i="1"/>
  <c r="AI312" i="1" s="1"/>
  <c r="AH306" i="1"/>
  <c r="AH312" i="1" s="1"/>
  <c r="AH335" i="1" s="1"/>
  <c r="AG306" i="1"/>
  <c r="AG312" i="1" s="1"/>
  <c r="AF306" i="1"/>
  <c r="AF312" i="1" s="1"/>
  <c r="AE306" i="1"/>
  <c r="AE312" i="1" s="1"/>
  <c r="AD306" i="1"/>
  <c r="AD312" i="1" s="1"/>
  <c r="AC306" i="1"/>
  <c r="AC312" i="1" s="1"/>
  <c r="AB306" i="1"/>
  <c r="AB312" i="1" s="1"/>
  <c r="AA306" i="1"/>
  <c r="AA312" i="1" s="1"/>
  <c r="Z306" i="1"/>
  <c r="Z312" i="1" s="1"/>
  <c r="Y306" i="1"/>
  <c r="Y312" i="1" s="1"/>
  <c r="X306" i="1"/>
  <c r="X312" i="1" s="1"/>
  <c r="W306" i="1"/>
  <c r="W312" i="1" s="1"/>
  <c r="V306" i="1"/>
  <c r="V312" i="1" s="1"/>
  <c r="U306" i="1"/>
  <c r="U312" i="1" s="1"/>
  <c r="T306" i="1"/>
  <c r="T312" i="1" s="1"/>
  <c r="S306" i="1"/>
  <c r="S312" i="1" s="1"/>
  <c r="R306" i="1"/>
  <c r="R312" i="1" s="1"/>
  <c r="Q306" i="1"/>
  <c r="Q312" i="1" s="1"/>
  <c r="P306" i="1"/>
  <c r="P312" i="1" s="1"/>
  <c r="O306" i="1"/>
  <c r="O312" i="1" s="1"/>
  <c r="N306" i="1"/>
  <c r="N312" i="1" s="1"/>
  <c r="N335" i="1" s="1"/>
  <c r="M306" i="1"/>
  <c r="M312" i="1" s="1"/>
  <c r="L306" i="1"/>
  <c r="L312" i="1" s="1"/>
  <c r="K306" i="1"/>
  <c r="K312" i="1" s="1"/>
  <c r="J306" i="1"/>
  <c r="J312" i="1" s="1"/>
  <c r="I306" i="1"/>
  <c r="I312" i="1" s="1"/>
  <c r="H306" i="1"/>
  <c r="H312" i="1" s="1"/>
  <c r="G306" i="1"/>
  <c r="G312" i="1" s="1"/>
  <c r="F306" i="1"/>
  <c r="F312" i="1" s="1"/>
  <c r="E306" i="1"/>
  <c r="E312" i="1" s="1"/>
  <c r="D306" i="1"/>
  <c r="D312" i="1" s="1"/>
  <c r="C306" i="1"/>
  <c r="C312" i="1" s="1"/>
  <c r="CA305" i="1"/>
  <c r="CB305" i="1" s="1"/>
  <c r="CC305" i="1" s="1"/>
  <c r="CD305" i="1" s="1"/>
  <c r="CE305" i="1" s="1"/>
  <c r="CA302" i="1"/>
  <c r="CB302" i="1" s="1"/>
  <c r="CC302" i="1" s="1"/>
  <c r="CD302" i="1" s="1"/>
  <c r="CE302" i="1" s="1"/>
  <c r="CA294" i="1"/>
  <c r="CA291" i="1"/>
  <c r="CA290" i="1"/>
  <c r="BX287" i="1"/>
  <c r="BW287" i="1"/>
  <c r="BV287" i="1"/>
  <c r="BU287" i="1"/>
  <c r="BT287" i="1"/>
  <c r="BS287" i="1"/>
  <c r="BR287" i="1"/>
  <c r="BQ287" i="1"/>
  <c r="BP287" i="1"/>
  <c r="BO287" i="1"/>
  <c r="BN287" i="1"/>
  <c r="BM287" i="1"/>
  <c r="BL287" i="1"/>
  <c r="BK287" i="1"/>
  <c r="BJ287" i="1"/>
  <c r="BI287" i="1"/>
  <c r="BH287" i="1"/>
  <c r="BG287" i="1"/>
  <c r="BF287" i="1"/>
  <c r="BE287" i="1"/>
  <c r="BD287" i="1"/>
  <c r="BC287" i="1"/>
  <c r="BB287" i="1"/>
  <c r="BA287" i="1"/>
  <c r="AZ287" i="1"/>
  <c r="AY287" i="1"/>
  <c r="AX287" i="1"/>
  <c r="AW287" i="1"/>
  <c r="AV287" i="1"/>
  <c r="AU287" i="1"/>
  <c r="AT287" i="1"/>
  <c r="AS287" i="1"/>
  <c r="AR287" i="1"/>
  <c r="AQ287" i="1"/>
  <c r="AP287" i="1"/>
  <c r="AO287" i="1"/>
  <c r="AN287" i="1"/>
  <c r="AM287" i="1"/>
  <c r="AL287" i="1"/>
  <c r="AK287" i="1"/>
  <c r="AJ287" i="1"/>
  <c r="AI287" i="1"/>
  <c r="AH287" i="1"/>
  <c r="AG287" i="1"/>
  <c r="AF287" i="1"/>
  <c r="AE287" i="1"/>
  <c r="AD287" i="1"/>
  <c r="AC287" i="1"/>
  <c r="AB287" i="1"/>
  <c r="AA287" i="1"/>
  <c r="Z287" i="1"/>
  <c r="Y287" i="1"/>
  <c r="X287" i="1"/>
  <c r="W287" i="1"/>
  <c r="V287" i="1"/>
  <c r="U287" i="1"/>
  <c r="T287" i="1"/>
  <c r="S287" i="1"/>
  <c r="R287" i="1"/>
  <c r="Q287" i="1"/>
  <c r="P287" i="1"/>
  <c r="O287" i="1"/>
  <c r="N287" i="1"/>
  <c r="M287" i="1"/>
  <c r="L287" i="1"/>
  <c r="K287" i="1"/>
  <c r="J287" i="1"/>
  <c r="I287" i="1"/>
  <c r="H287" i="1"/>
  <c r="G287" i="1"/>
  <c r="F287" i="1"/>
  <c r="E287" i="1"/>
  <c r="D287" i="1"/>
  <c r="C287" i="1"/>
  <c r="BX286" i="1"/>
  <c r="BW286" i="1"/>
  <c r="BV286" i="1"/>
  <c r="BU286" i="1"/>
  <c r="BT286" i="1"/>
  <c r="BS286" i="1"/>
  <c r="BR286" i="1"/>
  <c r="BQ286" i="1"/>
  <c r="BP286" i="1"/>
  <c r="BO286" i="1"/>
  <c r="BN286" i="1"/>
  <c r="BM286" i="1"/>
  <c r="BL286" i="1"/>
  <c r="BK286" i="1"/>
  <c r="BJ286" i="1"/>
  <c r="BI286" i="1"/>
  <c r="BH286" i="1"/>
  <c r="BG286" i="1"/>
  <c r="BF286" i="1"/>
  <c r="BE286" i="1"/>
  <c r="BD286" i="1"/>
  <c r="BC286" i="1"/>
  <c r="BB286" i="1"/>
  <c r="BA286" i="1"/>
  <c r="AZ286" i="1"/>
  <c r="AY286" i="1"/>
  <c r="AX286" i="1"/>
  <c r="AW286" i="1"/>
  <c r="AV286" i="1"/>
  <c r="AU286" i="1"/>
  <c r="AT286" i="1"/>
  <c r="AS286" i="1"/>
  <c r="AR286" i="1"/>
  <c r="AQ286" i="1"/>
  <c r="AP286" i="1"/>
  <c r="AO286" i="1"/>
  <c r="AN286" i="1"/>
  <c r="AM286" i="1"/>
  <c r="AL286" i="1"/>
  <c r="AK286" i="1"/>
  <c r="AJ286" i="1"/>
  <c r="AI286" i="1"/>
  <c r="AH286" i="1"/>
  <c r="AG286" i="1"/>
  <c r="AF286" i="1"/>
  <c r="AE286" i="1"/>
  <c r="AD286" i="1"/>
  <c r="AC286" i="1"/>
  <c r="AB286" i="1"/>
  <c r="AA286" i="1"/>
  <c r="Z286" i="1"/>
  <c r="Y286" i="1"/>
  <c r="X286" i="1"/>
  <c r="W286" i="1"/>
  <c r="V286" i="1"/>
  <c r="U286" i="1"/>
  <c r="T286" i="1"/>
  <c r="S286" i="1"/>
  <c r="R286" i="1"/>
  <c r="Q286" i="1"/>
  <c r="P286" i="1"/>
  <c r="O286" i="1"/>
  <c r="N286" i="1"/>
  <c r="M286" i="1"/>
  <c r="L286" i="1"/>
  <c r="K286" i="1"/>
  <c r="J286" i="1"/>
  <c r="I286" i="1"/>
  <c r="H286" i="1"/>
  <c r="G286" i="1"/>
  <c r="F286" i="1"/>
  <c r="E286" i="1"/>
  <c r="D286" i="1"/>
  <c r="C286" i="1"/>
  <c r="BX280" i="1"/>
  <c r="BX282" i="1" s="1"/>
  <c r="BW280" i="1"/>
  <c r="BW282" i="1" s="1"/>
  <c r="BV280" i="1"/>
  <c r="BU280" i="1"/>
  <c r="BT280" i="1"/>
  <c r="BT282" i="1" s="1"/>
  <c r="BS280" i="1"/>
  <c r="BS282" i="1" s="1"/>
  <c r="BR280" i="1"/>
  <c r="BQ280" i="1"/>
  <c r="BP280" i="1"/>
  <c r="BP282" i="1" s="1"/>
  <c r="BO280" i="1"/>
  <c r="BO282" i="1" s="1"/>
  <c r="BN280" i="1"/>
  <c r="BM280" i="1"/>
  <c r="BL280" i="1"/>
  <c r="BL282" i="1" s="1"/>
  <c r="T21" i="4" s="1"/>
  <c r="BK280" i="1"/>
  <c r="BK282" i="1" s="1"/>
  <c r="BJ280" i="1"/>
  <c r="BI280" i="1"/>
  <c r="BH280" i="1"/>
  <c r="BH282" i="1" s="1"/>
  <c r="BG280" i="1"/>
  <c r="BG282" i="1" s="1"/>
  <c r="S21" i="4" s="1"/>
  <c r="BF280" i="1"/>
  <c r="BE280" i="1"/>
  <c r="BD280" i="1"/>
  <c r="BD282" i="1" s="1"/>
  <c r="BC280" i="1"/>
  <c r="BC282" i="1" s="1"/>
  <c r="BB280" i="1"/>
  <c r="BB281" i="1" s="1"/>
  <c r="BA280" i="1"/>
  <c r="AZ280" i="1"/>
  <c r="AZ282" i="1" s="1"/>
  <c r="AY280" i="1"/>
  <c r="AY282" i="1" s="1"/>
  <c r="AX280" i="1"/>
  <c r="AW280" i="1"/>
  <c r="AV280" i="1"/>
  <c r="AV282" i="1" s="1"/>
  <c r="AU280" i="1"/>
  <c r="AU282" i="1" s="1"/>
  <c r="AT280" i="1"/>
  <c r="AS280" i="1"/>
  <c r="AR280" i="1"/>
  <c r="AR282" i="1" s="1"/>
  <c r="P21" i="4" s="1"/>
  <c r="AQ280" i="1"/>
  <c r="AQ282" i="1" s="1"/>
  <c r="AP280" i="1"/>
  <c r="AO280" i="1"/>
  <c r="AN280" i="1"/>
  <c r="AN282" i="1" s="1"/>
  <c r="AM280" i="1"/>
  <c r="AM282" i="1" s="1"/>
  <c r="O21" i="4" s="1"/>
  <c r="AL280" i="1"/>
  <c r="AL281" i="1" s="1"/>
  <c r="AK280" i="1"/>
  <c r="AJ280" i="1"/>
  <c r="AJ282" i="1" s="1"/>
  <c r="AI280" i="1"/>
  <c r="AI282" i="1" s="1"/>
  <c r="AH280" i="1"/>
  <c r="AG280" i="1"/>
  <c r="AF280" i="1"/>
  <c r="AF282" i="1" s="1"/>
  <c r="AE280" i="1"/>
  <c r="AE282" i="1" s="1"/>
  <c r="AD280" i="1"/>
  <c r="AC280" i="1"/>
  <c r="AB280" i="1"/>
  <c r="AB282" i="1" s="1"/>
  <c r="AA280" i="1"/>
  <c r="AA282" i="1" s="1"/>
  <c r="Z280" i="1"/>
  <c r="Y280" i="1"/>
  <c r="X280" i="1"/>
  <c r="X282" i="1" s="1"/>
  <c r="L21" i="4" s="1"/>
  <c r="W280" i="1"/>
  <c r="W282" i="1" s="1"/>
  <c r="V280" i="1"/>
  <c r="V281" i="1" s="1"/>
  <c r="U280" i="1"/>
  <c r="T280" i="1"/>
  <c r="T282" i="1" s="1"/>
  <c r="S280" i="1"/>
  <c r="S282" i="1" s="1"/>
  <c r="K21" i="4" s="1"/>
  <c r="R280" i="1"/>
  <c r="Q280" i="1"/>
  <c r="P280" i="1"/>
  <c r="P282" i="1" s="1"/>
  <c r="O280" i="1"/>
  <c r="O282" i="1" s="1"/>
  <c r="N280" i="1"/>
  <c r="M280" i="1"/>
  <c r="L280" i="1"/>
  <c r="L282" i="1" s="1"/>
  <c r="K280" i="1"/>
  <c r="K282" i="1" s="1"/>
  <c r="J280" i="1"/>
  <c r="I280" i="1"/>
  <c r="H280" i="1"/>
  <c r="H282" i="1" s="1"/>
  <c r="H21" i="4" s="1"/>
  <c r="G280" i="1"/>
  <c r="G282" i="1" s="1"/>
  <c r="G21" i="4" s="1"/>
  <c r="F280" i="1"/>
  <c r="F281" i="1" s="1"/>
  <c r="E280" i="1"/>
  <c r="D280" i="1"/>
  <c r="D282" i="1" s="1"/>
  <c r="D21" i="4" s="1"/>
  <c r="C280" i="1"/>
  <c r="C282" i="1" s="1"/>
  <c r="BX278" i="1"/>
  <c r="BW278" i="1"/>
  <c r="BV278" i="1"/>
  <c r="BU278" i="1"/>
  <c r="BT278" i="1"/>
  <c r="BS278" i="1"/>
  <c r="BR278" i="1"/>
  <c r="BQ278" i="1"/>
  <c r="BP278" i="1"/>
  <c r="BO278" i="1"/>
  <c r="BN278" i="1"/>
  <c r="BM278" i="1"/>
  <c r="BL278" i="1"/>
  <c r="BK278" i="1"/>
  <c r="BJ278" i="1"/>
  <c r="BI278" i="1"/>
  <c r="BH278" i="1"/>
  <c r="BG278" i="1"/>
  <c r="BF278" i="1"/>
  <c r="BE278" i="1"/>
  <c r="BD278" i="1"/>
  <c r="BC278" i="1"/>
  <c r="BB278" i="1"/>
  <c r="BA278" i="1"/>
  <c r="AZ278" i="1"/>
  <c r="AY278" i="1"/>
  <c r="AX278" i="1"/>
  <c r="AW278" i="1"/>
  <c r="AV278" i="1"/>
  <c r="AU278" i="1"/>
  <c r="AT278" i="1"/>
  <c r="AS278" i="1"/>
  <c r="AR278" i="1"/>
  <c r="AQ278" i="1"/>
  <c r="AP278" i="1"/>
  <c r="AO278" i="1"/>
  <c r="AN278" i="1"/>
  <c r="AM278" i="1"/>
  <c r="AL278" i="1"/>
  <c r="AK278" i="1"/>
  <c r="AJ278" i="1"/>
  <c r="AI278" i="1"/>
  <c r="AH278" i="1"/>
  <c r="AG278" i="1"/>
  <c r="AF278" i="1"/>
  <c r="AE278" i="1"/>
  <c r="AD278" i="1"/>
  <c r="AC278" i="1"/>
  <c r="AB278" i="1"/>
  <c r="AA278" i="1"/>
  <c r="Z278" i="1"/>
  <c r="Y278" i="1"/>
  <c r="X278" i="1"/>
  <c r="W278" i="1"/>
  <c r="V278" i="1"/>
  <c r="U278" i="1"/>
  <c r="T278" i="1"/>
  <c r="S278" i="1"/>
  <c r="R278" i="1"/>
  <c r="Q278" i="1"/>
  <c r="P278" i="1"/>
  <c r="O278" i="1"/>
  <c r="N278" i="1"/>
  <c r="M278" i="1"/>
  <c r="L278" i="1"/>
  <c r="K278" i="1"/>
  <c r="J278" i="1"/>
  <c r="I278" i="1"/>
  <c r="H278" i="1"/>
  <c r="G278" i="1"/>
  <c r="F278" i="1"/>
  <c r="E278" i="1"/>
  <c r="D278" i="1"/>
  <c r="C278" i="1"/>
  <c r="BX277" i="1"/>
  <c r="BW277" i="1"/>
  <c r="BV277" i="1"/>
  <c r="BU277" i="1"/>
  <c r="BT277" i="1"/>
  <c r="BS277" i="1"/>
  <c r="BR277" i="1"/>
  <c r="BQ277" i="1"/>
  <c r="BP277" i="1"/>
  <c r="BO277" i="1"/>
  <c r="BN277" i="1"/>
  <c r="BM277" i="1"/>
  <c r="BL277" i="1"/>
  <c r="BK277" i="1"/>
  <c r="BJ277" i="1"/>
  <c r="BI277" i="1"/>
  <c r="BH277" i="1"/>
  <c r="BG277" i="1"/>
  <c r="BF277" i="1"/>
  <c r="BE277" i="1"/>
  <c r="BD277" i="1"/>
  <c r="BC277" i="1"/>
  <c r="BB277" i="1"/>
  <c r="BA277" i="1"/>
  <c r="AZ277" i="1"/>
  <c r="AY277" i="1"/>
  <c r="AX277" i="1"/>
  <c r="AW277" i="1"/>
  <c r="AV277" i="1"/>
  <c r="AU277" i="1"/>
  <c r="AT277" i="1"/>
  <c r="AS277" i="1"/>
  <c r="AR277" i="1"/>
  <c r="AQ277" i="1"/>
  <c r="AP277" i="1"/>
  <c r="AO277" i="1"/>
  <c r="AN277" i="1"/>
  <c r="AM277" i="1"/>
  <c r="AL277" i="1"/>
  <c r="AK277" i="1"/>
  <c r="AJ277" i="1"/>
  <c r="AI277" i="1"/>
  <c r="AH277" i="1"/>
  <c r="AG277" i="1"/>
  <c r="AF277" i="1"/>
  <c r="AE277" i="1"/>
  <c r="AD277" i="1"/>
  <c r="AC277" i="1"/>
  <c r="AB277" i="1"/>
  <c r="AA277" i="1"/>
  <c r="Z277" i="1"/>
  <c r="Y277" i="1"/>
  <c r="X277" i="1"/>
  <c r="W277" i="1"/>
  <c r="V277" i="1"/>
  <c r="U277" i="1"/>
  <c r="T277" i="1"/>
  <c r="S277" i="1"/>
  <c r="R277" i="1"/>
  <c r="Q277" i="1"/>
  <c r="P277" i="1"/>
  <c r="O277" i="1"/>
  <c r="N277" i="1"/>
  <c r="M277" i="1"/>
  <c r="L277" i="1"/>
  <c r="K277" i="1"/>
  <c r="J277" i="1"/>
  <c r="I277" i="1"/>
  <c r="H277" i="1"/>
  <c r="G277" i="1"/>
  <c r="F277" i="1"/>
  <c r="E277" i="1"/>
  <c r="D277" i="1"/>
  <c r="C277" i="1"/>
  <c r="CA275" i="1"/>
  <c r="CA272" i="1"/>
  <c r="CA271" i="1"/>
  <c r="CA270" i="1"/>
  <c r="CA265" i="1"/>
  <c r="CA264" i="1"/>
  <c r="CA263" i="1"/>
  <c r="CK261" i="1"/>
  <c r="CJ261" i="1"/>
  <c r="CI261" i="1"/>
  <c r="CA259" i="1"/>
  <c r="CA257" i="1"/>
  <c r="BX249" i="1"/>
  <c r="BW249" i="1"/>
  <c r="BV249" i="1"/>
  <c r="BU249" i="1"/>
  <c r="BT249" i="1"/>
  <c r="BS249" i="1"/>
  <c r="BR249" i="1"/>
  <c r="BQ249" i="1"/>
  <c r="BP249" i="1"/>
  <c r="BO249" i="1"/>
  <c r="BN249" i="1"/>
  <c r="BM249" i="1"/>
  <c r="BL249" i="1"/>
  <c r="BK249" i="1"/>
  <c r="BJ249" i="1"/>
  <c r="BI249" i="1"/>
  <c r="BH249" i="1"/>
  <c r="BG249" i="1"/>
  <c r="BF249" i="1"/>
  <c r="BE249" i="1"/>
  <c r="BD249" i="1"/>
  <c r="BC249" i="1"/>
  <c r="BB249" i="1"/>
  <c r="BA249" i="1"/>
  <c r="AZ249" i="1"/>
  <c r="AY249" i="1"/>
  <c r="AX249" i="1"/>
  <c r="AW249" i="1"/>
  <c r="AV249" i="1"/>
  <c r="AU249" i="1"/>
  <c r="AT249" i="1"/>
  <c r="AS249" i="1"/>
  <c r="AR249" i="1"/>
  <c r="AQ249" i="1"/>
  <c r="AP249" i="1"/>
  <c r="AO249" i="1"/>
  <c r="AN249" i="1"/>
  <c r="AM249" i="1"/>
  <c r="AL249" i="1"/>
  <c r="AK249" i="1"/>
  <c r="AJ249" i="1"/>
  <c r="AI249" i="1"/>
  <c r="AH249" i="1"/>
  <c r="AG249" i="1"/>
  <c r="AF249" i="1"/>
  <c r="AE249" i="1"/>
  <c r="AD249" i="1"/>
  <c r="AC249" i="1"/>
  <c r="AB249" i="1"/>
  <c r="AA249" i="1"/>
  <c r="Z249" i="1"/>
  <c r="Y249" i="1"/>
  <c r="X249" i="1"/>
  <c r="W249" i="1"/>
  <c r="V249" i="1"/>
  <c r="U249" i="1"/>
  <c r="T249" i="1"/>
  <c r="S249" i="1"/>
  <c r="R249" i="1"/>
  <c r="Q249" i="1"/>
  <c r="P249" i="1"/>
  <c r="O249" i="1"/>
  <c r="N249" i="1"/>
  <c r="M249" i="1"/>
  <c r="L249" i="1"/>
  <c r="K249" i="1"/>
  <c r="J249" i="1"/>
  <c r="I249" i="1"/>
  <c r="H249" i="1"/>
  <c r="G249" i="1"/>
  <c r="F249" i="1"/>
  <c r="E249" i="1"/>
  <c r="D249" i="1"/>
  <c r="C249" i="1"/>
  <c r="M239" i="1"/>
  <c r="L239" i="1"/>
  <c r="K239" i="1"/>
  <c r="J239" i="1"/>
  <c r="C239" i="1"/>
  <c r="M238" i="1"/>
  <c r="L238" i="1"/>
  <c r="K238" i="1"/>
  <c r="J238" i="1"/>
  <c r="BX237" i="1"/>
  <c r="BW237" i="1"/>
  <c r="BV237" i="1"/>
  <c r="BU237" i="1"/>
  <c r="BT237" i="1"/>
  <c r="BS237" i="1"/>
  <c r="BR237" i="1"/>
  <c r="BQ237" i="1"/>
  <c r="BP237" i="1"/>
  <c r="BO237" i="1"/>
  <c r="BN237" i="1"/>
  <c r="BM237" i="1"/>
  <c r="BL237" i="1"/>
  <c r="BK237" i="1"/>
  <c r="BJ237" i="1"/>
  <c r="BI237" i="1"/>
  <c r="BH237" i="1"/>
  <c r="BG237" i="1"/>
  <c r="BF237" i="1"/>
  <c r="BE237" i="1"/>
  <c r="BD237" i="1"/>
  <c r="BC237" i="1"/>
  <c r="BB237" i="1"/>
  <c r="BA237" i="1"/>
  <c r="AZ237" i="1"/>
  <c r="AY237" i="1"/>
  <c r="AX237" i="1"/>
  <c r="AW237" i="1"/>
  <c r="AV237" i="1"/>
  <c r="AU237" i="1"/>
  <c r="AT237" i="1"/>
  <c r="AS237" i="1"/>
  <c r="AR237" i="1"/>
  <c r="AQ237" i="1"/>
  <c r="AP237" i="1"/>
  <c r="AO237" i="1"/>
  <c r="AN237" i="1"/>
  <c r="AM237" i="1"/>
  <c r="AL237" i="1"/>
  <c r="AK237" i="1"/>
  <c r="AJ237" i="1"/>
  <c r="AI237" i="1"/>
  <c r="AH237" i="1"/>
  <c r="AG237" i="1"/>
  <c r="AF237" i="1"/>
  <c r="AE237" i="1"/>
  <c r="AD237" i="1"/>
  <c r="AC237" i="1"/>
  <c r="AB237" i="1"/>
  <c r="AA237" i="1"/>
  <c r="Z237" i="1"/>
  <c r="Y237" i="1"/>
  <c r="X237" i="1"/>
  <c r="W237" i="1"/>
  <c r="V237" i="1"/>
  <c r="U237" i="1"/>
  <c r="T237" i="1"/>
  <c r="S237" i="1"/>
  <c r="R237" i="1"/>
  <c r="Q237" i="1"/>
  <c r="P237" i="1"/>
  <c r="O237" i="1"/>
  <c r="N237" i="1"/>
  <c r="I237" i="1"/>
  <c r="H237" i="1"/>
  <c r="G237" i="1"/>
  <c r="F237" i="1"/>
  <c r="E237" i="1"/>
  <c r="D237" i="1"/>
  <c r="BV233" i="1"/>
  <c r="BU233" i="1"/>
  <c r="BT233" i="1"/>
  <c r="BQ233" i="1"/>
  <c r="BP233" i="1"/>
  <c r="BO233" i="1"/>
  <c r="BN233" i="1"/>
  <c r="BM233" i="1"/>
  <c r="BL233" i="1"/>
  <c r="BK233" i="1"/>
  <c r="BJ233" i="1"/>
  <c r="BI233" i="1"/>
  <c r="BH233" i="1"/>
  <c r="BC233" i="1"/>
  <c r="AX233" i="1"/>
  <c r="AW233" i="1"/>
  <c r="AV233" i="1"/>
  <c r="AU233" i="1"/>
  <c r="AT233" i="1"/>
  <c r="AS233" i="1"/>
  <c r="AR233" i="1"/>
  <c r="AQ233" i="1"/>
  <c r="AP233" i="1"/>
  <c r="AO233" i="1"/>
  <c r="AN233" i="1"/>
  <c r="AM233" i="1"/>
  <c r="AL233" i="1"/>
  <c r="AK233" i="1"/>
  <c r="AI233" i="1"/>
  <c r="AF233" i="1"/>
  <c r="AE233" i="1"/>
  <c r="AD233" i="1"/>
  <c r="AC233" i="1"/>
  <c r="AB233" i="1"/>
  <c r="AA233" i="1"/>
  <c r="Z233" i="1"/>
  <c r="Y233" i="1"/>
  <c r="U233" i="1"/>
  <c r="T233" i="1"/>
  <c r="N233" i="1"/>
  <c r="M233" i="1"/>
  <c r="L233" i="1"/>
  <c r="K233" i="1"/>
  <c r="J233" i="1"/>
  <c r="G233" i="1"/>
  <c r="F233" i="1"/>
  <c r="E233" i="1"/>
  <c r="D233" i="1"/>
  <c r="C233" i="1"/>
  <c r="BX230" i="1"/>
  <c r="BW230" i="1"/>
  <c r="BV230" i="1"/>
  <c r="BU230" i="1"/>
  <c r="BT230" i="1"/>
  <c r="BS230" i="1"/>
  <c r="BR230" i="1"/>
  <c r="BQ230" i="1"/>
  <c r="BP230" i="1"/>
  <c r="BO230" i="1"/>
  <c r="BN230" i="1"/>
  <c r="BM230" i="1"/>
  <c r="BL230" i="1"/>
  <c r="BK230" i="1"/>
  <c r="BJ230" i="1"/>
  <c r="BI230" i="1"/>
  <c r="BH230" i="1"/>
  <c r="BG230" i="1"/>
  <c r="BF230" i="1"/>
  <c r="BE230" i="1"/>
  <c r="BD230" i="1"/>
  <c r="BC230" i="1"/>
  <c r="BB230" i="1"/>
  <c r="BA230" i="1"/>
  <c r="AZ230" i="1"/>
  <c r="AY230" i="1"/>
  <c r="AX230" i="1"/>
  <c r="AW230" i="1"/>
  <c r="AV230" i="1"/>
  <c r="AU230" i="1"/>
  <c r="AT230" i="1"/>
  <c r="AS230" i="1"/>
  <c r="AR230" i="1"/>
  <c r="AQ230" i="1"/>
  <c r="AP230" i="1"/>
  <c r="AO230" i="1"/>
  <c r="AN230" i="1"/>
  <c r="AM230" i="1"/>
  <c r="AL230" i="1"/>
  <c r="AK230" i="1"/>
  <c r="AJ230" i="1"/>
  <c r="AI230" i="1"/>
  <c r="AH230" i="1"/>
  <c r="AG230" i="1"/>
  <c r="AF230" i="1"/>
  <c r="AE230" i="1"/>
  <c r="AD230" i="1"/>
  <c r="AC230" i="1"/>
  <c r="AB230" i="1"/>
  <c r="AA230" i="1"/>
  <c r="Z230" i="1"/>
  <c r="Y230" i="1"/>
  <c r="X230" i="1"/>
  <c r="W230" i="1"/>
  <c r="V230" i="1"/>
  <c r="U230" i="1"/>
  <c r="T230" i="1"/>
  <c r="S230" i="1"/>
  <c r="R230" i="1"/>
  <c r="Q230" i="1"/>
  <c r="P230" i="1"/>
  <c r="O230" i="1"/>
  <c r="N230" i="1"/>
  <c r="M230" i="1"/>
  <c r="L230" i="1"/>
  <c r="K230" i="1"/>
  <c r="J230" i="1"/>
  <c r="I230" i="1"/>
  <c r="H230" i="1"/>
  <c r="G230" i="1"/>
  <c r="F230" i="1"/>
  <c r="E230" i="1"/>
  <c r="D230" i="1"/>
  <c r="C230" i="1"/>
  <c r="CA228" i="1"/>
  <c r="BX218" i="1"/>
  <c r="BW218" i="1"/>
  <c r="BV218" i="1"/>
  <c r="BU218" i="1"/>
  <c r="BT218" i="1"/>
  <c r="BS218" i="1"/>
  <c r="BR218" i="1"/>
  <c r="BQ218" i="1"/>
  <c r="BP218" i="1"/>
  <c r="BO218" i="1"/>
  <c r="BN218" i="1"/>
  <c r="BM218" i="1"/>
  <c r="BL218" i="1"/>
  <c r="BK218" i="1"/>
  <c r="BJ218" i="1"/>
  <c r="BI218" i="1"/>
  <c r="BH218" i="1"/>
  <c r="BG218" i="1"/>
  <c r="BF218" i="1"/>
  <c r="BE218" i="1"/>
  <c r="BD218" i="1"/>
  <c r="BC218" i="1"/>
  <c r="BB218" i="1"/>
  <c r="BA218" i="1"/>
  <c r="AZ218" i="1"/>
  <c r="AY218" i="1"/>
  <c r="AX218" i="1"/>
  <c r="AW218" i="1"/>
  <c r="AV218" i="1"/>
  <c r="AU218" i="1"/>
  <c r="AT218" i="1"/>
  <c r="AS218" i="1"/>
  <c r="AR218" i="1"/>
  <c r="AQ218" i="1"/>
  <c r="AP218" i="1"/>
  <c r="AO218" i="1"/>
  <c r="AN218" i="1"/>
  <c r="AM218" i="1"/>
  <c r="AL218" i="1"/>
  <c r="AK218" i="1"/>
  <c r="AJ218" i="1"/>
  <c r="AI218" i="1"/>
  <c r="AH218" i="1"/>
  <c r="AG218" i="1"/>
  <c r="AF218" i="1"/>
  <c r="AE218" i="1"/>
  <c r="AD218" i="1"/>
  <c r="AC218" i="1"/>
  <c r="AB218" i="1"/>
  <c r="AA218" i="1"/>
  <c r="Z218" i="1"/>
  <c r="Y218" i="1"/>
  <c r="X218" i="1"/>
  <c r="W218" i="1"/>
  <c r="T218" i="1"/>
  <c r="S218" i="1"/>
  <c r="R218" i="1"/>
  <c r="Q218" i="1"/>
  <c r="P218" i="1"/>
  <c r="O218" i="1"/>
  <c r="N218" i="1"/>
  <c r="M218" i="1"/>
  <c r="L218" i="1"/>
  <c r="K218" i="1"/>
  <c r="J218" i="1"/>
  <c r="I218" i="1"/>
  <c r="H218" i="1"/>
  <c r="G218" i="1"/>
  <c r="F218" i="1"/>
  <c r="V214" i="1"/>
  <c r="U214" i="1"/>
  <c r="BX210" i="1"/>
  <c r="BX225" i="1" s="1"/>
  <c r="BW210" i="1"/>
  <c r="BW225" i="1" s="1"/>
  <c r="BV210" i="1"/>
  <c r="BV225" i="1" s="1"/>
  <c r="BU210" i="1"/>
  <c r="BU225" i="1" s="1"/>
  <c r="BT210" i="1"/>
  <c r="BT225" i="1" s="1"/>
  <c r="BS210" i="1"/>
  <c r="BS225" i="1" s="1"/>
  <c r="BR210" i="1"/>
  <c r="BR225" i="1" s="1"/>
  <c r="BQ210" i="1"/>
  <c r="BQ225" i="1" s="1"/>
  <c r="BP210" i="1"/>
  <c r="BP225" i="1" s="1"/>
  <c r="BO210" i="1"/>
  <c r="BO225" i="1" s="1"/>
  <c r="BN210" i="1"/>
  <c r="BN225" i="1" s="1"/>
  <c r="BM210" i="1"/>
  <c r="BM225" i="1" s="1"/>
  <c r="BL210" i="1"/>
  <c r="BL225" i="1" s="1"/>
  <c r="BK210" i="1"/>
  <c r="BK225" i="1" s="1"/>
  <c r="BJ210" i="1"/>
  <c r="BJ225" i="1" s="1"/>
  <c r="BI210" i="1"/>
  <c r="BI225" i="1" s="1"/>
  <c r="BH210" i="1"/>
  <c r="BH225" i="1" s="1"/>
  <c r="BG210" i="1"/>
  <c r="BG225" i="1" s="1"/>
  <c r="BF210" i="1"/>
  <c r="BF225" i="1" s="1"/>
  <c r="BE210" i="1"/>
  <c r="BE225" i="1" s="1"/>
  <c r="BD210" i="1"/>
  <c r="BD225" i="1" s="1"/>
  <c r="BC210" i="1"/>
  <c r="BC225" i="1" s="1"/>
  <c r="BB210" i="1"/>
  <c r="BB225" i="1" s="1"/>
  <c r="BA210" i="1"/>
  <c r="BA225" i="1" s="1"/>
  <c r="AZ210" i="1"/>
  <c r="AZ225" i="1" s="1"/>
  <c r="AY210" i="1"/>
  <c r="AY225" i="1" s="1"/>
  <c r="AX210" i="1"/>
  <c r="AX225" i="1" s="1"/>
  <c r="AW210" i="1"/>
  <c r="AW225" i="1" s="1"/>
  <c r="AV210" i="1"/>
  <c r="AV225" i="1" s="1"/>
  <c r="AU210" i="1"/>
  <c r="AU225" i="1" s="1"/>
  <c r="AT210" i="1"/>
  <c r="AT225" i="1" s="1"/>
  <c r="AS210" i="1"/>
  <c r="AS225" i="1" s="1"/>
  <c r="AR210" i="1"/>
  <c r="AR225" i="1" s="1"/>
  <c r="AQ210" i="1"/>
  <c r="AQ225" i="1" s="1"/>
  <c r="AP210" i="1"/>
  <c r="AP225" i="1" s="1"/>
  <c r="AO210" i="1"/>
  <c r="AO225" i="1" s="1"/>
  <c r="AN210" i="1"/>
  <c r="AN225" i="1" s="1"/>
  <c r="AM210" i="1"/>
  <c r="AM225" i="1" s="1"/>
  <c r="AL210" i="1"/>
  <c r="AL225" i="1" s="1"/>
  <c r="AK210" i="1"/>
  <c r="AK225" i="1" s="1"/>
  <c r="AJ210" i="1"/>
  <c r="AJ225" i="1" s="1"/>
  <c r="AI210" i="1"/>
  <c r="AI225" i="1" s="1"/>
  <c r="AH210" i="1"/>
  <c r="AH225" i="1" s="1"/>
  <c r="AG210" i="1"/>
  <c r="AG225" i="1" s="1"/>
  <c r="AF210" i="1"/>
  <c r="AF225" i="1" s="1"/>
  <c r="AE210" i="1"/>
  <c r="AE225" i="1" s="1"/>
  <c r="AD210" i="1"/>
  <c r="AD225" i="1" s="1"/>
  <c r="AC210" i="1"/>
  <c r="AC225" i="1" s="1"/>
  <c r="AB210" i="1"/>
  <c r="AB225" i="1" s="1"/>
  <c r="AA210" i="1"/>
  <c r="AA225" i="1" s="1"/>
  <c r="Z210" i="1"/>
  <c r="Z225" i="1" s="1"/>
  <c r="Y210" i="1"/>
  <c r="Y225" i="1" s="1"/>
  <c r="X210" i="1"/>
  <c r="X225" i="1" s="1"/>
  <c r="W210" i="1"/>
  <c r="W225" i="1" s="1"/>
  <c r="V210" i="1"/>
  <c r="V225" i="1" s="1"/>
  <c r="U210" i="1"/>
  <c r="U225" i="1" s="1"/>
  <c r="T210" i="1"/>
  <c r="T225" i="1" s="1"/>
  <c r="S210" i="1"/>
  <c r="S225" i="1" s="1"/>
  <c r="R210" i="1"/>
  <c r="R225" i="1" s="1"/>
  <c r="Q210" i="1"/>
  <c r="Q225" i="1" s="1"/>
  <c r="P210" i="1"/>
  <c r="P225" i="1" s="1"/>
  <c r="O210" i="1"/>
  <c r="O225" i="1" s="1"/>
  <c r="N210" i="1"/>
  <c r="N225" i="1" s="1"/>
  <c r="M210" i="1"/>
  <c r="M225" i="1" s="1"/>
  <c r="L210" i="1"/>
  <c r="L225" i="1" s="1"/>
  <c r="K210" i="1"/>
  <c r="K225" i="1" s="1"/>
  <c r="J210" i="1"/>
  <c r="J225" i="1" s="1"/>
  <c r="I210" i="1"/>
  <c r="I225" i="1" s="1"/>
  <c r="H210" i="1"/>
  <c r="H225" i="1" s="1"/>
  <c r="G210" i="1"/>
  <c r="G225" i="1" s="1"/>
  <c r="F210" i="1"/>
  <c r="F225" i="1" s="1"/>
  <c r="E210" i="1"/>
  <c r="E225" i="1" s="1"/>
  <c r="D210" i="1"/>
  <c r="D225" i="1" s="1"/>
  <c r="C210" i="1"/>
  <c r="C225" i="1" s="1"/>
  <c r="CA209" i="1"/>
  <c r="CA208" i="1"/>
  <c r="CA207" i="1"/>
  <c r="CE206" i="1"/>
  <c r="CD206" i="1"/>
  <c r="CC206" i="1"/>
  <c r="CB206" i="1"/>
  <c r="BZ206" i="1"/>
  <c r="BY206" i="1"/>
  <c r="CE205" i="1"/>
  <c r="CD205" i="1"/>
  <c r="CC205" i="1"/>
  <c r="CB205" i="1"/>
  <c r="BZ205" i="1"/>
  <c r="BY205" i="1"/>
  <c r="V203" i="1"/>
  <c r="V218" i="1" s="1"/>
  <c r="U203" i="1"/>
  <c r="U218" i="1" s="1"/>
  <c r="E203" i="1"/>
  <c r="E218" i="1" s="1"/>
  <c r="D203" i="1"/>
  <c r="D218" i="1" s="1"/>
  <c r="C203" i="1"/>
  <c r="C218" i="1" s="1"/>
  <c r="V202" i="1"/>
  <c r="U202" i="1"/>
  <c r="E202" i="1"/>
  <c r="D202" i="1"/>
  <c r="C202" i="1"/>
  <c r="V201" i="1"/>
  <c r="U201" i="1"/>
  <c r="E201" i="1"/>
  <c r="D201" i="1"/>
  <c r="C201" i="1"/>
  <c r="CA195" i="1"/>
  <c r="BX194" i="1"/>
  <c r="BW194" i="1"/>
  <c r="BV194" i="1"/>
  <c r="BU194" i="1"/>
  <c r="BT194" i="1"/>
  <c r="BS194" i="1"/>
  <c r="BR194" i="1"/>
  <c r="BQ194" i="1"/>
  <c r="BP194" i="1"/>
  <c r="BO194" i="1"/>
  <c r="BN194" i="1"/>
  <c r="BM194" i="1"/>
  <c r="BL194" i="1"/>
  <c r="BK194" i="1"/>
  <c r="BJ194" i="1"/>
  <c r="BI194" i="1"/>
  <c r="BH194" i="1"/>
  <c r="BG194" i="1"/>
  <c r="BF194" i="1"/>
  <c r="BE194" i="1"/>
  <c r="BD194" i="1"/>
  <c r="BC194" i="1"/>
  <c r="BB194" i="1"/>
  <c r="BA194" i="1"/>
  <c r="AZ194" i="1"/>
  <c r="AY194" i="1"/>
  <c r="AX194" i="1"/>
  <c r="AW194" i="1"/>
  <c r="AV194" i="1"/>
  <c r="AU194" i="1"/>
  <c r="AT194" i="1"/>
  <c r="AS194" i="1"/>
  <c r="AR194" i="1"/>
  <c r="AQ194" i="1"/>
  <c r="AP194" i="1"/>
  <c r="AO194" i="1"/>
  <c r="AN194" i="1"/>
  <c r="AM194" i="1"/>
  <c r="AL194" i="1"/>
  <c r="AK194" i="1"/>
  <c r="AJ194" i="1"/>
  <c r="AI194" i="1"/>
  <c r="AH194" i="1"/>
  <c r="AG194" i="1"/>
  <c r="AF194" i="1"/>
  <c r="AE194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I194" i="1"/>
  <c r="H194" i="1"/>
  <c r="G194" i="1"/>
  <c r="F194" i="1"/>
  <c r="E194" i="1"/>
  <c r="D194" i="1"/>
  <c r="BZ193" i="1"/>
  <c r="BY193" i="1"/>
  <c r="CA177" i="1"/>
  <c r="CA175" i="1"/>
  <c r="AR169" i="1"/>
  <c r="AQ169" i="1"/>
  <c r="AP169" i="1"/>
  <c r="AO169" i="1"/>
  <c r="AN169" i="1"/>
  <c r="AM169" i="1"/>
  <c r="AL169" i="1"/>
  <c r="AK169" i="1"/>
  <c r="AJ169" i="1"/>
  <c r="AI169" i="1"/>
  <c r="AH169" i="1"/>
  <c r="AG169" i="1"/>
  <c r="AF169" i="1"/>
  <c r="AE169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H169" i="1"/>
  <c r="G169" i="1"/>
  <c r="F169" i="1"/>
  <c r="E169" i="1"/>
  <c r="D169" i="1"/>
  <c r="C169" i="1"/>
  <c r="BX168" i="1"/>
  <c r="BW168" i="1"/>
  <c r="BW169" i="1" s="1"/>
  <c r="BV168" i="1"/>
  <c r="BV169" i="1" s="1"/>
  <c r="BU168" i="1"/>
  <c r="BU169" i="1" s="1"/>
  <c r="BT168" i="1"/>
  <c r="BT169" i="1" s="1"/>
  <c r="BS168" i="1"/>
  <c r="BS169" i="1" s="1"/>
  <c r="BR168" i="1"/>
  <c r="BR169" i="1" s="1"/>
  <c r="BQ168" i="1"/>
  <c r="BQ169" i="1" s="1"/>
  <c r="BP168" i="1"/>
  <c r="BP169" i="1" s="1"/>
  <c r="BO168" i="1"/>
  <c r="BO169" i="1" s="1"/>
  <c r="BN168" i="1"/>
  <c r="BN169" i="1" s="1"/>
  <c r="BM168" i="1"/>
  <c r="BM169" i="1" s="1"/>
  <c r="BL168" i="1"/>
  <c r="BL169" i="1" s="1"/>
  <c r="BK168" i="1"/>
  <c r="BK169" i="1" s="1"/>
  <c r="BJ168" i="1"/>
  <c r="BJ169" i="1" s="1"/>
  <c r="BI168" i="1"/>
  <c r="BI169" i="1" s="1"/>
  <c r="BH168" i="1"/>
  <c r="BH169" i="1" s="1"/>
  <c r="BG168" i="1"/>
  <c r="BG169" i="1" s="1"/>
  <c r="BF168" i="1"/>
  <c r="BF169" i="1" s="1"/>
  <c r="BE168" i="1"/>
  <c r="BE169" i="1" s="1"/>
  <c r="BD168" i="1"/>
  <c r="BD169" i="1" s="1"/>
  <c r="BC168" i="1"/>
  <c r="BC169" i="1" s="1"/>
  <c r="BB168" i="1"/>
  <c r="BB169" i="1" s="1"/>
  <c r="BA168" i="1"/>
  <c r="BA169" i="1" s="1"/>
  <c r="AZ168" i="1"/>
  <c r="AZ169" i="1" s="1"/>
  <c r="AY168" i="1"/>
  <c r="AY169" i="1" s="1"/>
  <c r="AX168" i="1"/>
  <c r="AX169" i="1" s="1"/>
  <c r="AW168" i="1"/>
  <c r="AW169" i="1" s="1"/>
  <c r="AV168" i="1"/>
  <c r="AV169" i="1" s="1"/>
  <c r="AU168" i="1"/>
  <c r="AU169" i="1" s="1"/>
  <c r="AT168" i="1"/>
  <c r="AT169" i="1" s="1"/>
  <c r="AS168" i="1"/>
  <c r="AS169" i="1" s="1"/>
  <c r="BZ167" i="1"/>
  <c r="BZ165" i="1"/>
  <c r="BY165" i="1"/>
  <c r="CA165" i="1" s="1"/>
  <c r="CA164" i="1"/>
  <c r="D20" i="3" s="1"/>
  <c r="BX162" i="1"/>
  <c r="BX244" i="1" s="1"/>
  <c r="BW162" i="1"/>
  <c r="BW244" i="1" s="1"/>
  <c r="BV162" i="1"/>
  <c r="BU162" i="1"/>
  <c r="BU244" i="1" s="1"/>
  <c r="BT162" i="1"/>
  <c r="BT244" i="1" s="1"/>
  <c r="BS162" i="1"/>
  <c r="BS244" i="1" s="1"/>
  <c r="BR162" i="1"/>
  <c r="BR244" i="1" s="1"/>
  <c r="BQ162" i="1"/>
  <c r="BQ244" i="1" s="1"/>
  <c r="BP162" i="1"/>
  <c r="BP244" i="1" s="1"/>
  <c r="BO162" i="1"/>
  <c r="BO244" i="1" s="1"/>
  <c r="BN162" i="1"/>
  <c r="BM162" i="1"/>
  <c r="BM244" i="1" s="1"/>
  <c r="BL162" i="1"/>
  <c r="BL244" i="1" s="1"/>
  <c r="BK162" i="1"/>
  <c r="BK244" i="1" s="1"/>
  <c r="BJ162" i="1"/>
  <c r="BI162" i="1"/>
  <c r="BI244" i="1" s="1"/>
  <c r="BH162" i="1"/>
  <c r="BH244" i="1" s="1"/>
  <c r="BG162" i="1"/>
  <c r="BG244" i="1" s="1"/>
  <c r="BF162" i="1"/>
  <c r="BE162" i="1"/>
  <c r="BE244" i="1" s="1"/>
  <c r="BD162" i="1"/>
  <c r="BD244" i="1" s="1"/>
  <c r="BC162" i="1"/>
  <c r="BC244" i="1" s="1"/>
  <c r="BB162" i="1"/>
  <c r="BB244" i="1" s="1"/>
  <c r="BA162" i="1"/>
  <c r="BA244" i="1" s="1"/>
  <c r="AZ162" i="1"/>
  <c r="AZ244" i="1" s="1"/>
  <c r="AY162" i="1"/>
  <c r="AY244" i="1" s="1"/>
  <c r="AX162" i="1"/>
  <c r="AW162" i="1"/>
  <c r="AW244" i="1" s="1"/>
  <c r="AV162" i="1"/>
  <c r="AV244" i="1" s="1"/>
  <c r="AU162" i="1"/>
  <c r="AU244" i="1" s="1"/>
  <c r="AT162" i="1"/>
  <c r="AS162" i="1"/>
  <c r="AS244" i="1" s="1"/>
  <c r="AR162" i="1"/>
  <c r="AR244" i="1" s="1"/>
  <c r="AQ162" i="1"/>
  <c r="AQ244" i="1" s="1"/>
  <c r="AP162" i="1"/>
  <c r="AO162" i="1"/>
  <c r="AO244" i="1" s="1"/>
  <c r="AN162" i="1"/>
  <c r="AN244" i="1" s="1"/>
  <c r="AM162" i="1"/>
  <c r="AM244" i="1" s="1"/>
  <c r="AL162" i="1"/>
  <c r="AL244" i="1" s="1"/>
  <c r="AK162" i="1"/>
  <c r="AK244" i="1" s="1"/>
  <c r="AJ162" i="1"/>
  <c r="AJ244" i="1" s="1"/>
  <c r="AI162" i="1"/>
  <c r="AI244" i="1" s="1"/>
  <c r="AH162" i="1"/>
  <c r="AG162" i="1"/>
  <c r="AG244" i="1" s="1"/>
  <c r="AF162" i="1"/>
  <c r="AF244" i="1" s="1"/>
  <c r="AE162" i="1"/>
  <c r="AE244" i="1" s="1"/>
  <c r="AD162" i="1"/>
  <c r="AC162" i="1"/>
  <c r="AC244" i="1" s="1"/>
  <c r="AB162" i="1"/>
  <c r="AB244" i="1" s="1"/>
  <c r="AA162" i="1"/>
  <c r="AA244" i="1" s="1"/>
  <c r="Z162" i="1"/>
  <c r="Y162" i="1"/>
  <c r="Y244" i="1" s="1"/>
  <c r="X162" i="1"/>
  <c r="X244" i="1" s="1"/>
  <c r="W162" i="1"/>
  <c r="W244" i="1" s="1"/>
  <c r="V162" i="1"/>
  <c r="V244" i="1" s="1"/>
  <c r="U162" i="1"/>
  <c r="U244" i="1" s="1"/>
  <c r="T162" i="1"/>
  <c r="T244" i="1" s="1"/>
  <c r="S162" i="1"/>
  <c r="S244" i="1" s="1"/>
  <c r="R162" i="1"/>
  <c r="Q162" i="1"/>
  <c r="Q244" i="1" s="1"/>
  <c r="P162" i="1"/>
  <c r="P244" i="1" s="1"/>
  <c r="O162" i="1"/>
  <c r="O244" i="1" s="1"/>
  <c r="N162" i="1"/>
  <c r="M162" i="1"/>
  <c r="M244" i="1" s="1"/>
  <c r="L162" i="1"/>
  <c r="L244" i="1" s="1"/>
  <c r="K162" i="1"/>
  <c r="K244" i="1" s="1"/>
  <c r="J162" i="1"/>
  <c r="I162" i="1"/>
  <c r="I244" i="1" s="1"/>
  <c r="H162" i="1"/>
  <c r="H244" i="1" s="1"/>
  <c r="G162" i="1"/>
  <c r="G244" i="1" s="1"/>
  <c r="F162" i="1"/>
  <c r="F244" i="1" s="1"/>
  <c r="E162" i="1"/>
  <c r="E244" i="1" s="1"/>
  <c r="D162" i="1"/>
  <c r="D244" i="1" s="1"/>
  <c r="C162" i="1"/>
  <c r="C244" i="1" s="1"/>
  <c r="CK158" i="1"/>
  <c r="CJ158" i="1"/>
  <c r="CI158" i="1"/>
  <c r="BZ155" i="1"/>
  <c r="BY155" i="1"/>
  <c r="BX155" i="1"/>
  <c r="BW155" i="1"/>
  <c r="BV155" i="1"/>
  <c r="BU155" i="1"/>
  <c r="BT155" i="1"/>
  <c r="BS155" i="1"/>
  <c r="BR155" i="1"/>
  <c r="BQ155" i="1"/>
  <c r="BP155" i="1"/>
  <c r="BO155" i="1"/>
  <c r="BN155" i="1"/>
  <c r="BM155" i="1"/>
  <c r="BL155" i="1"/>
  <c r="BK155" i="1"/>
  <c r="BJ155" i="1"/>
  <c r="BI155" i="1"/>
  <c r="BH155" i="1"/>
  <c r="BG155" i="1"/>
  <c r="BF155" i="1"/>
  <c r="BE155" i="1"/>
  <c r="BD155" i="1"/>
  <c r="BC155" i="1"/>
  <c r="BB155" i="1"/>
  <c r="BA155" i="1"/>
  <c r="AZ155" i="1"/>
  <c r="AY155" i="1"/>
  <c r="AX155" i="1"/>
  <c r="AW155" i="1"/>
  <c r="AV155" i="1"/>
  <c r="AU155" i="1"/>
  <c r="AT155" i="1"/>
  <c r="AS155" i="1"/>
  <c r="AR155" i="1"/>
  <c r="AQ155" i="1"/>
  <c r="AP155" i="1"/>
  <c r="AO155" i="1"/>
  <c r="AN155" i="1"/>
  <c r="AM155" i="1"/>
  <c r="AL155" i="1"/>
  <c r="AK155" i="1"/>
  <c r="AJ155" i="1"/>
  <c r="AI155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E155" i="1"/>
  <c r="D155" i="1"/>
  <c r="C155" i="1"/>
  <c r="BX154" i="1"/>
  <c r="BW154" i="1"/>
  <c r="BV154" i="1"/>
  <c r="BU154" i="1"/>
  <c r="BT154" i="1"/>
  <c r="BS154" i="1"/>
  <c r="BR154" i="1"/>
  <c r="BQ154" i="1"/>
  <c r="BP154" i="1"/>
  <c r="BO154" i="1"/>
  <c r="BN154" i="1"/>
  <c r="BM154" i="1"/>
  <c r="BL154" i="1"/>
  <c r="BK154" i="1"/>
  <c r="BJ154" i="1"/>
  <c r="BI154" i="1"/>
  <c r="BH154" i="1"/>
  <c r="BG154" i="1"/>
  <c r="BF154" i="1"/>
  <c r="BE154" i="1"/>
  <c r="BD154" i="1"/>
  <c r="BC154" i="1"/>
  <c r="BB154" i="1"/>
  <c r="BA154" i="1"/>
  <c r="AZ154" i="1"/>
  <c r="AY154" i="1"/>
  <c r="AX154" i="1"/>
  <c r="AW154" i="1"/>
  <c r="AV154" i="1"/>
  <c r="AU154" i="1"/>
  <c r="AT154" i="1"/>
  <c r="AS154" i="1"/>
  <c r="AR154" i="1"/>
  <c r="AQ154" i="1"/>
  <c r="AP154" i="1"/>
  <c r="AO154" i="1"/>
  <c r="AN154" i="1"/>
  <c r="AM154" i="1"/>
  <c r="AL154" i="1"/>
  <c r="AK154" i="1"/>
  <c r="AJ154" i="1"/>
  <c r="AI154" i="1"/>
  <c r="AH154" i="1"/>
  <c r="AG154" i="1"/>
  <c r="AF154" i="1"/>
  <c r="AE154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H154" i="1"/>
  <c r="G154" i="1"/>
  <c r="F154" i="1"/>
  <c r="E154" i="1"/>
  <c r="D154" i="1"/>
  <c r="C154" i="1"/>
  <c r="BX153" i="1"/>
  <c r="BW153" i="1"/>
  <c r="BV153" i="1"/>
  <c r="BU153" i="1"/>
  <c r="BT153" i="1"/>
  <c r="BS153" i="1"/>
  <c r="BR153" i="1"/>
  <c r="BQ153" i="1"/>
  <c r="BP153" i="1"/>
  <c r="BO153" i="1"/>
  <c r="BN153" i="1"/>
  <c r="BM153" i="1"/>
  <c r="BL153" i="1"/>
  <c r="BK153" i="1"/>
  <c r="BJ153" i="1"/>
  <c r="BI153" i="1"/>
  <c r="BH153" i="1"/>
  <c r="BG153" i="1"/>
  <c r="BF153" i="1"/>
  <c r="BE153" i="1"/>
  <c r="BD153" i="1"/>
  <c r="BC153" i="1"/>
  <c r="BB153" i="1"/>
  <c r="BA153" i="1"/>
  <c r="AZ153" i="1"/>
  <c r="AY153" i="1"/>
  <c r="AX153" i="1"/>
  <c r="AW153" i="1"/>
  <c r="AV153" i="1"/>
  <c r="AU153" i="1"/>
  <c r="AT153" i="1"/>
  <c r="AS153" i="1"/>
  <c r="AR153" i="1"/>
  <c r="AQ153" i="1"/>
  <c r="AP153" i="1"/>
  <c r="AO153" i="1"/>
  <c r="AN153" i="1"/>
  <c r="AM153" i="1"/>
  <c r="AL153" i="1"/>
  <c r="AK153" i="1"/>
  <c r="AJ153" i="1"/>
  <c r="AI153" i="1"/>
  <c r="AH153" i="1"/>
  <c r="AG153" i="1"/>
  <c r="AF153" i="1"/>
  <c r="AE153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E153" i="1"/>
  <c r="D153" i="1"/>
  <c r="C153" i="1"/>
  <c r="BZ152" i="1"/>
  <c r="BY152" i="1"/>
  <c r="BX152" i="1"/>
  <c r="BW152" i="1"/>
  <c r="BV152" i="1"/>
  <c r="BU152" i="1"/>
  <c r="BT152" i="1"/>
  <c r="BS152" i="1"/>
  <c r="BR152" i="1"/>
  <c r="BQ152" i="1"/>
  <c r="BP152" i="1"/>
  <c r="BO152" i="1"/>
  <c r="BN152" i="1"/>
  <c r="BM152" i="1"/>
  <c r="BL152" i="1"/>
  <c r="BK152" i="1"/>
  <c r="BJ152" i="1"/>
  <c r="BI152" i="1"/>
  <c r="BH152" i="1"/>
  <c r="BG152" i="1"/>
  <c r="BF152" i="1"/>
  <c r="BE152" i="1"/>
  <c r="BD152" i="1"/>
  <c r="BC152" i="1"/>
  <c r="BB152" i="1"/>
  <c r="BA152" i="1"/>
  <c r="AZ152" i="1"/>
  <c r="AY152" i="1"/>
  <c r="AX152" i="1"/>
  <c r="AW152" i="1"/>
  <c r="AV152" i="1"/>
  <c r="AU152" i="1"/>
  <c r="AT152" i="1"/>
  <c r="AS152" i="1"/>
  <c r="AR152" i="1"/>
  <c r="AQ152" i="1"/>
  <c r="AP152" i="1"/>
  <c r="AO152" i="1"/>
  <c r="AN152" i="1"/>
  <c r="AM152" i="1"/>
  <c r="AL152" i="1"/>
  <c r="AK152" i="1"/>
  <c r="AJ152" i="1"/>
  <c r="AI152" i="1"/>
  <c r="AH152" i="1"/>
  <c r="AG152" i="1"/>
  <c r="AF152" i="1"/>
  <c r="AE152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H152" i="1"/>
  <c r="G152" i="1"/>
  <c r="F152" i="1"/>
  <c r="E152" i="1"/>
  <c r="D152" i="1"/>
  <c r="C152" i="1"/>
  <c r="CA128" i="1"/>
  <c r="CA121" i="1"/>
  <c r="H115" i="1"/>
  <c r="H119" i="1" s="1"/>
  <c r="G115" i="1"/>
  <c r="G119" i="1" s="1"/>
  <c r="F115" i="1"/>
  <c r="E115" i="1"/>
  <c r="D115" i="1"/>
  <c r="C115" i="1"/>
  <c r="C119" i="1" s="1"/>
  <c r="G114" i="1"/>
  <c r="F114" i="1"/>
  <c r="F118" i="1" s="1"/>
  <c r="E114" i="1"/>
  <c r="E118" i="1" s="1"/>
  <c r="D114" i="1"/>
  <c r="D118" i="1" s="1"/>
  <c r="C114" i="1"/>
  <c r="C118" i="1" s="1"/>
  <c r="CC109" i="1"/>
  <c r="CD109" i="1" s="1"/>
  <c r="CE109" i="1" s="1"/>
  <c r="CC108" i="1"/>
  <c r="CD108" i="1" s="1"/>
  <c r="CE108" i="1" s="1"/>
  <c r="CC107" i="1"/>
  <c r="CD107" i="1" s="1"/>
  <c r="CE107" i="1" s="1"/>
  <c r="CC105" i="1"/>
  <c r="CD105" i="1" s="1"/>
  <c r="CE105" i="1" s="1"/>
  <c r="CC103" i="1"/>
  <c r="CD103" i="1" s="1"/>
  <c r="CE103" i="1" s="1"/>
  <c r="CC100" i="1"/>
  <c r="CD100" i="1" s="1"/>
  <c r="CE100" i="1" s="1"/>
  <c r="CC98" i="1"/>
  <c r="CD98" i="1" s="1"/>
  <c r="CE98" i="1" s="1"/>
  <c r="CE97" i="1"/>
  <c r="CE263" i="1" s="1"/>
  <c r="CD97" i="1"/>
  <c r="CD263" i="1" s="1"/>
  <c r="CC97" i="1"/>
  <c r="CB97" i="1"/>
  <c r="CB99" i="1" s="1"/>
  <c r="BZ90" i="1"/>
  <c r="BY90" i="1"/>
  <c r="CQ84" i="1"/>
  <c r="CO84" i="1"/>
  <c r="CB84" i="1"/>
  <c r="CC84" i="1" s="1"/>
  <c r="CD84" i="1" s="1"/>
  <c r="CE84" i="1" s="1"/>
  <c r="BZ84" i="1"/>
  <c r="BY84" i="1"/>
  <c r="CQ83" i="1"/>
  <c r="CO83" i="1"/>
  <c r="CQ82" i="1"/>
  <c r="CO82" i="1"/>
  <c r="CB82" i="1"/>
  <c r="CC82" i="1" s="1"/>
  <c r="CD82" i="1" s="1"/>
  <c r="CE82" i="1" s="1"/>
  <c r="BZ82" i="1"/>
  <c r="BY82" i="1"/>
  <c r="CQ81" i="1"/>
  <c r="CO81" i="1"/>
  <c r="CQ79" i="1"/>
  <c r="CO79" i="1"/>
  <c r="CA79" i="1"/>
  <c r="CQ78" i="1"/>
  <c r="CO78" i="1"/>
  <c r="CE78" i="1"/>
  <c r="CE258" i="1" s="1"/>
  <c r="CD78" i="1"/>
  <c r="CD258" i="1" s="1"/>
  <c r="CC78" i="1"/>
  <c r="CC258" i="1" s="1"/>
  <c r="CB78" i="1"/>
  <c r="CB258" i="1" s="1"/>
  <c r="CQ77" i="1"/>
  <c r="CO77" i="1"/>
  <c r="BZ77" i="1"/>
  <c r="BY77" i="1"/>
  <c r="CQ76" i="1"/>
  <c r="CO76" i="1"/>
  <c r="CE76" i="1"/>
  <c r="CD76" i="1"/>
  <c r="CC76" i="1"/>
  <c r="CB76" i="1"/>
  <c r="CA76" i="1"/>
  <c r="CE75" i="1"/>
  <c r="CD75" i="1"/>
  <c r="CC75" i="1"/>
  <c r="CB75" i="1"/>
  <c r="CA75" i="1"/>
  <c r="BY75" i="1" s="1"/>
  <c r="BV75" i="1"/>
  <c r="BQ75" i="1"/>
  <c r="CQ74" i="1"/>
  <c r="CO74" i="1"/>
  <c r="CQ73" i="1"/>
  <c r="CO73" i="1"/>
  <c r="CE73" i="1"/>
  <c r="CD73" i="1"/>
  <c r="CC73" i="1"/>
  <c r="CB73" i="1"/>
  <c r="CA73" i="1"/>
  <c r="CA72" i="1" s="1"/>
  <c r="BV73" i="1"/>
  <c r="CQ72" i="1"/>
  <c r="CO72" i="1"/>
  <c r="CQ71" i="1"/>
  <c r="CO71" i="1"/>
  <c r="CA71" i="1"/>
  <c r="CQ69" i="1"/>
  <c r="CO69" i="1"/>
  <c r="CQ68" i="1"/>
  <c r="CO68" i="1"/>
  <c r="CQ67" i="1"/>
  <c r="CO67" i="1"/>
  <c r="CQ66" i="1"/>
  <c r="CO66" i="1"/>
  <c r="CQ64" i="1"/>
  <c r="CO64" i="1"/>
  <c r="CE64" i="1"/>
  <c r="CD64" i="1"/>
  <c r="CC64" i="1"/>
  <c r="CB64" i="1"/>
  <c r="BX64" i="1"/>
  <c r="BW64" i="1"/>
  <c r="BV64" i="1"/>
  <c r="BU64" i="1"/>
  <c r="BZ63" i="1" s="1"/>
  <c r="BT64" i="1"/>
  <c r="BS64" i="1"/>
  <c r="BR64" i="1"/>
  <c r="BQ64" i="1"/>
  <c r="BP64" i="1"/>
  <c r="BO64" i="1"/>
  <c r="BN64" i="1"/>
  <c r="BM64" i="1"/>
  <c r="BL64" i="1"/>
  <c r="BK64" i="1"/>
  <c r="BJ64" i="1"/>
  <c r="BI64" i="1"/>
  <c r="BH64" i="1"/>
  <c r="BG64" i="1"/>
  <c r="BF64" i="1"/>
  <c r="BE64" i="1"/>
  <c r="BD64" i="1"/>
  <c r="BC64" i="1"/>
  <c r="BB64" i="1"/>
  <c r="BA64" i="1"/>
  <c r="AZ64" i="1"/>
  <c r="AY64" i="1"/>
  <c r="AX64" i="1"/>
  <c r="AW64" i="1"/>
  <c r="AV64" i="1"/>
  <c r="AU64" i="1"/>
  <c r="AT64" i="1"/>
  <c r="AS64" i="1"/>
  <c r="AR64" i="1"/>
  <c r="AQ64" i="1"/>
  <c r="AP64" i="1"/>
  <c r="AO64" i="1"/>
  <c r="AN64" i="1"/>
  <c r="AM64" i="1"/>
  <c r="AL64" i="1"/>
  <c r="AK64" i="1"/>
  <c r="AJ64" i="1"/>
  <c r="AI64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CQ63" i="1"/>
  <c r="CO63" i="1"/>
  <c r="BY63" i="1"/>
  <c r="CQ62" i="1"/>
  <c r="CO62" i="1"/>
  <c r="CK62" i="1"/>
  <c r="CJ62" i="1"/>
  <c r="CI62" i="1"/>
  <c r="CQ61" i="1"/>
  <c r="CO61" i="1"/>
  <c r="CE60" i="1"/>
  <c r="CD60" i="1"/>
  <c r="CC60" i="1"/>
  <c r="CB60" i="1"/>
  <c r="BX60" i="1"/>
  <c r="BW60" i="1"/>
  <c r="BV60" i="1"/>
  <c r="BU60" i="1"/>
  <c r="BT60" i="1"/>
  <c r="BS60" i="1"/>
  <c r="BR60" i="1"/>
  <c r="BQ60" i="1"/>
  <c r="BP60" i="1"/>
  <c r="BO60" i="1"/>
  <c r="BN60" i="1"/>
  <c r="BM60" i="1"/>
  <c r="BL60" i="1"/>
  <c r="BK60" i="1"/>
  <c r="BJ60" i="1"/>
  <c r="BI60" i="1"/>
  <c r="BH60" i="1"/>
  <c r="BG60" i="1"/>
  <c r="BF60" i="1"/>
  <c r="BE60" i="1"/>
  <c r="BD60" i="1"/>
  <c r="BC60" i="1"/>
  <c r="BB60" i="1"/>
  <c r="BA60" i="1"/>
  <c r="AZ60" i="1"/>
  <c r="AY60" i="1"/>
  <c r="AX60" i="1"/>
  <c r="AW60" i="1"/>
  <c r="AV60" i="1"/>
  <c r="AU60" i="1"/>
  <c r="AT60" i="1"/>
  <c r="AS60" i="1"/>
  <c r="AR60" i="1"/>
  <c r="AQ60" i="1"/>
  <c r="AP60" i="1"/>
  <c r="AO60" i="1"/>
  <c r="AN60" i="1"/>
  <c r="AM60" i="1"/>
  <c r="AL60" i="1"/>
  <c r="AK60" i="1"/>
  <c r="AJ60" i="1"/>
  <c r="AI60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I60" i="1"/>
  <c r="H60" i="1"/>
  <c r="G60" i="1"/>
  <c r="F60" i="1"/>
  <c r="E60" i="1"/>
  <c r="D60" i="1"/>
  <c r="CQ59" i="1"/>
  <c r="CO59" i="1"/>
  <c r="CK59" i="1"/>
  <c r="CJ59" i="1"/>
  <c r="CI59" i="1"/>
  <c r="CQ58" i="1"/>
  <c r="CO58" i="1"/>
  <c r="CQ57" i="1"/>
  <c r="CO57" i="1"/>
  <c r="CQ56" i="1"/>
  <c r="CO56" i="1"/>
  <c r="G56" i="1"/>
  <c r="F56" i="1"/>
  <c r="E56" i="1"/>
  <c r="D56" i="1"/>
  <c r="C56" i="1"/>
  <c r="CQ54" i="1"/>
  <c r="CO54" i="1"/>
  <c r="CQ53" i="1"/>
  <c r="CO53" i="1"/>
  <c r="CQ52" i="1"/>
  <c r="CO52" i="1"/>
  <c r="CQ51" i="1"/>
  <c r="CO51" i="1"/>
  <c r="CQ49" i="1"/>
  <c r="CO49" i="1"/>
  <c r="CQ48" i="1"/>
  <c r="CO48" i="1"/>
  <c r="CQ47" i="1"/>
  <c r="CO47" i="1"/>
  <c r="CQ46" i="1"/>
  <c r="CO46" i="1"/>
  <c r="CQ44" i="1"/>
  <c r="CO44" i="1"/>
  <c r="CQ43" i="1"/>
  <c r="CO43" i="1"/>
  <c r="CQ42" i="1"/>
  <c r="CO42" i="1"/>
  <c r="CQ41" i="1"/>
  <c r="CO41" i="1"/>
  <c r="CQ39" i="1"/>
  <c r="CO39" i="1"/>
  <c r="CQ38" i="1"/>
  <c r="CO38" i="1"/>
  <c r="CE38" i="1"/>
  <c r="CD38" i="1"/>
  <c r="CC38" i="1"/>
  <c r="G38" i="1"/>
  <c r="F38" i="1"/>
  <c r="E38" i="1"/>
  <c r="D38" i="1"/>
  <c r="C38" i="1"/>
  <c r="CQ37" i="1"/>
  <c r="CO37" i="1"/>
  <c r="CQ36" i="1"/>
  <c r="CO36" i="1"/>
  <c r="BX36" i="1"/>
  <c r="BW36" i="1"/>
  <c r="BV36" i="1"/>
  <c r="BU36" i="1"/>
  <c r="BU115" i="1" s="1"/>
  <c r="BU119" i="1" s="1"/>
  <c r="BT36" i="1"/>
  <c r="BS36" i="1"/>
  <c r="BR36" i="1"/>
  <c r="BR115" i="1" s="1"/>
  <c r="BQ36" i="1"/>
  <c r="BQ115" i="1" s="1"/>
  <c r="BQ119" i="1" s="1"/>
  <c r="BP36" i="1"/>
  <c r="BO36" i="1"/>
  <c r="BN36" i="1"/>
  <c r="BM36" i="1"/>
  <c r="BM115" i="1" s="1"/>
  <c r="BM119" i="1" s="1"/>
  <c r="BL36" i="1"/>
  <c r="BK36" i="1"/>
  <c r="BJ36" i="1"/>
  <c r="BJ115" i="1" s="1"/>
  <c r="BI36" i="1"/>
  <c r="BI115" i="1" s="1"/>
  <c r="BI119" i="1" s="1"/>
  <c r="BH36" i="1"/>
  <c r="BG36" i="1"/>
  <c r="BF36" i="1"/>
  <c r="BE36" i="1"/>
  <c r="BE115" i="1" s="1"/>
  <c r="BE119" i="1" s="1"/>
  <c r="BD36" i="1"/>
  <c r="BC36" i="1"/>
  <c r="BB36" i="1"/>
  <c r="BB115" i="1" s="1"/>
  <c r="BA36" i="1"/>
  <c r="BA115" i="1" s="1"/>
  <c r="BA119" i="1" s="1"/>
  <c r="AZ36" i="1"/>
  <c r="AY36" i="1"/>
  <c r="AX36" i="1"/>
  <c r="AX115" i="1" s="1"/>
  <c r="AW36" i="1"/>
  <c r="AW115" i="1" s="1"/>
  <c r="AW119" i="1" s="1"/>
  <c r="AV36" i="1"/>
  <c r="AU36" i="1"/>
  <c r="AT36" i="1"/>
  <c r="AS36" i="1"/>
  <c r="AS115" i="1" s="1"/>
  <c r="AS119" i="1" s="1"/>
  <c r="AR36" i="1"/>
  <c r="AQ36" i="1"/>
  <c r="AP36" i="1"/>
  <c r="AO36" i="1"/>
  <c r="AO115" i="1" s="1"/>
  <c r="AO119" i="1" s="1"/>
  <c r="AN36" i="1"/>
  <c r="AM36" i="1"/>
  <c r="AL36" i="1"/>
  <c r="AL115" i="1" s="1"/>
  <c r="AK36" i="1"/>
  <c r="AK115" i="1" s="1"/>
  <c r="AK119" i="1" s="1"/>
  <c r="AJ36" i="1"/>
  <c r="AI36" i="1"/>
  <c r="AH36" i="1"/>
  <c r="AH115" i="1" s="1"/>
  <c r="AG36" i="1"/>
  <c r="AG115" i="1" s="1"/>
  <c r="AG119" i="1" s="1"/>
  <c r="AF36" i="1"/>
  <c r="AE36" i="1"/>
  <c r="AD36" i="1"/>
  <c r="AC36" i="1"/>
  <c r="AC115" i="1" s="1"/>
  <c r="AC119" i="1" s="1"/>
  <c r="AB36" i="1"/>
  <c r="AA36" i="1"/>
  <c r="Z36" i="1"/>
  <c r="Y36" i="1"/>
  <c r="Y115" i="1" s="1"/>
  <c r="Y119" i="1" s="1"/>
  <c r="X36" i="1"/>
  <c r="W36" i="1"/>
  <c r="V36" i="1"/>
  <c r="U36" i="1"/>
  <c r="U115" i="1" s="1"/>
  <c r="U119" i="1" s="1"/>
  <c r="T36" i="1"/>
  <c r="S36" i="1"/>
  <c r="R36" i="1"/>
  <c r="R115" i="1" s="1"/>
  <c r="Q36" i="1"/>
  <c r="Q115" i="1" s="1"/>
  <c r="Q119" i="1" s="1"/>
  <c r="P36" i="1"/>
  <c r="O36" i="1"/>
  <c r="N36" i="1"/>
  <c r="N115" i="1" s="1"/>
  <c r="M36" i="1"/>
  <c r="M115" i="1" s="1"/>
  <c r="M119" i="1" s="1"/>
  <c r="L36" i="1"/>
  <c r="K36" i="1"/>
  <c r="J36" i="1"/>
  <c r="I36" i="1"/>
  <c r="I115" i="1" s="1"/>
  <c r="I119" i="1" s="1"/>
  <c r="CE35" i="1"/>
  <c r="CD35" i="1"/>
  <c r="CC35" i="1"/>
  <c r="CB35" i="1"/>
  <c r="G35" i="1"/>
  <c r="F35" i="1"/>
  <c r="E35" i="1"/>
  <c r="D35" i="1"/>
  <c r="CQ34" i="1"/>
  <c r="CO34" i="1"/>
  <c r="BX34" i="1"/>
  <c r="BX56" i="1" s="1"/>
  <c r="BW34" i="1"/>
  <c r="BW56" i="1" s="1"/>
  <c r="BV34" i="1"/>
  <c r="BV114" i="1" s="1"/>
  <c r="BU34" i="1"/>
  <c r="BU56" i="1" s="1"/>
  <c r="BZ56" i="1" s="1"/>
  <c r="BT34" i="1"/>
  <c r="BT56" i="1" s="1"/>
  <c r="BY56" i="1" s="1"/>
  <c r="BS34" i="1"/>
  <c r="BS56" i="1" s="1"/>
  <c r="BR34" i="1"/>
  <c r="BR114" i="1" s="1"/>
  <c r="BQ34" i="1"/>
  <c r="BP34" i="1"/>
  <c r="BP56" i="1" s="1"/>
  <c r="BO34" i="1"/>
  <c r="BO56" i="1" s="1"/>
  <c r="BN34" i="1"/>
  <c r="BN114" i="1" s="1"/>
  <c r="BM34" i="1"/>
  <c r="BM56" i="1" s="1"/>
  <c r="BL34" i="1"/>
  <c r="BL56" i="1" s="1"/>
  <c r="BK34" i="1"/>
  <c r="BK56" i="1" s="1"/>
  <c r="BJ34" i="1"/>
  <c r="BJ114" i="1" s="1"/>
  <c r="BI34" i="1"/>
  <c r="BH34" i="1"/>
  <c r="BH56" i="1" s="1"/>
  <c r="BG34" i="1"/>
  <c r="BG56" i="1" s="1"/>
  <c r="BF34" i="1"/>
  <c r="BF114" i="1" s="1"/>
  <c r="BE34" i="1"/>
  <c r="BD34" i="1"/>
  <c r="BD56" i="1" s="1"/>
  <c r="BC34" i="1"/>
  <c r="BC56" i="1" s="1"/>
  <c r="BB34" i="1"/>
  <c r="BB114" i="1" s="1"/>
  <c r="BA34" i="1"/>
  <c r="AZ34" i="1"/>
  <c r="AZ56" i="1" s="1"/>
  <c r="AY34" i="1"/>
  <c r="AY56" i="1" s="1"/>
  <c r="AX34" i="1"/>
  <c r="AX114" i="1" s="1"/>
  <c r="AW34" i="1"/>
  <c r="AV34" i="1"/>
  <c r="AV56" i="1" s="1"/>
  <c r="AU34" i="1"/>
  <c r="AU56" i="1" s="1"/>
  <c r="AT34" i="1"/>
  <c r="AT114" i="1" s="1"/>
  <c r="AS34" i="1"/>
  <c r="AS56" i="1" s="1"/>
  <c r="AR34" i="1"/>
  <c r="AR56" i="1" s="1"/>
  <c r="AQ34" i="1"/>
  <c r="AQ56" i="1" s="1"/>
  <c r="AP34" i="1"/>
  <c r="AP114" i="1" s="1"/>
  <c r="AO34" i="1"/>
  <c r="AN34" i="1"/>
  <c r="AN56" i="1" s="1"/>
  <c r="AM34" i="1"/>
  <c r="AM56" i="1" s="1"/>
  <c r="AL34" i="1"/>
  <c r="AL114" i="1" s="1"/>
  <c r="AK34" i="1"/>
  <c r="AJ34" i="1"/>
  <c r="AJ56" i="1" s="1"/>
  <c r="AI34" i="1"/>
  <c r="AI56" i="1" s="1"/>
  <c r="AH34" i="1"/>
  <c r="AH114" i="1" s="1"/>
  <c r="AG34" i="1"/>
  <c r="AG56" i="1" s="1"/>
  <c r="AF34" i="1"/>
  <c r="AF56" i="1" s="1"/>
  <c r="AE34" i="1"/>
  <c r="AE56" i="1" s="1"/>
  <c r="AD34" i="1"/>
  <c r="AD114" i="1" s="1"/>
  <c r="AC34" i="1"/>
  <c r="AC56" i="1" s="1"/>
  <c r="AB34" i="1"/>
  <c r="AB56" i="1" s="1"/>
  <c r="AA34" i="1"/>
  <c r="AA56" i="1" s="1"/>
  <c r="Z34" i="1"/>
  <c r="Z114" i="1" s="1"/>
  <c r="Y34" i="1"/>
  <c r="X34" i="1"/>
  <c r="X56" i="1" s="1"/>
  <c r="W34" i="1"/>
  <c r="W56" i="1" s="1"/>
  <c r="V34" i="1"/>
  <c r="V114" i="1" s="1"/>
  <c r="U34" i="1"/>
  <c r="T34" i="1"/>
  <c r="T56" i="1" s="1"/>
  <c r="S34" i="1"/>
  <c r="S56" i="1" s="1"/>
  <c r="R34" i="1"/>
  <c r="R114" i="1" s="1"/>
  <c r="Q34" i="1"/>
  <c r="P34" i="1"/>
  <c r="P56" i="1" s="1"/>
  <c r="O34" i="1"/>
  <c r="O56" i="1" s="1"/>
  <c r="N34" i="1"/>
  <c r="N114" i="1" s="1"/>
  <c r="M34" i="1"/>
  <c r="M114" i="1" s="1"/>
  <c r="M118" i="1" s="1"/>
  <c r="L34" i="1"/>
  <c r="L56" i="1" s="1"/>
  <c r="K34" i="1"/>
  <c r="K56" i="1" s="1"/>
  <c r="J34" i="1"/>
  <c r="J114" i="1" s="1"/>
  <c r="J118" i="1" s="1"/>
  <c r="I34" i="1"/>
  <c r="I56" i="1" s="1"/>
  <c r="H34" i="1"/>
  <c r="H56" i="1" s="1"/>
  <c r="CQ33" i="1"/>
  <c r="CO33" i="1"/>
  <c r="CQ32" i="1"/>
  <c r="CO32" i="1"/>
  <c r="CQ31" i="1"/>
  <c r="CO31" i="1"/>
  <c r="BX29" i="1"/>
  <c r="BW29" i="1"/>
  <c r="BV29" i="1"/>
  <c r="BU29" i="1"/>
  <c r="BT29" i="1"/>
  <c r="BS29" i="1"/>
  <c r="BR29" i="1"/>
  <c r="BQ29" i="1"/>
  <c r="BP29" i="1"/>
  <c r="BO29" i="1"/>
  <c r="BN29" i="1"/>
  <c r="BM29" i="1"/>
  <c r="BL29" i="1"/>
  <c r="BK29" i="1"/>
  <c r="BJ29" i="1"/>
  <c r="BI29" i="1"/>
  <c r="BH29" i="1"/>
  <c r="BG29" i="1"/>
  <c r="BF29" i="1"/>
  <c r="BE29" i="1"/>
  <c r="BD29" i="1"/>
  <c r="BC29" i="1"/>
  <c r="BB29" i="1"/>
  <c r="BA29" i="1"/>
  <c r="AZ29" i="1"/>
  <c r="AY29" i="1"/>
  <c r="AX29" i="1"/>
  <c r="AW29" i="1"/>
  <c r="AV29" i="1"/>
  <c r="AU29" i="1"/>
  <c r="AT29" i="1"/>
  <c r="AS29" i="1"/>
  <c r="AR29" i="1"/>
  <c r="AQ29" i="1"/>
  <c r="AP29" i="1"/>
  <c r="AO29" i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X21" i="1"/>
  <c r="BX22" i="1" s="1"/>
  <c r="BW21" i="1"/>
  <c r="BW22" i="1" s="1"/>
  <c r="BV21" i="1"/>
  <c r="BU21" i="1"/>
  <c r="BT21" i="1"/>
  <c r="BT22" i="1" s="1"/>
  <c r="BS21" i="1"/>
  <c r="BR21" i="1"/>
  <c r="BQ21" i="1"/>
  <c r="BP21" i="1"/>
  <c r="BP22" i="1" s="1"/>
  <c r="BO21" i="1"/>
  <c r="BN21" i="1"/>
  <c r="BM21" i="1"/>
  <c r="BL21" i="1"/>
  <c r="BL22" i="1" s="1"/>
  <c r="BK21" i="1"/>
  <c r="BK22" i="1" s="1"/>
  <c r="BJ21" i="1"/>
  <c r="BI21" i="1"/>
  <c r="BH21" i="1"/>
  <c r="BH22" i="1" s="1"/>
  <c r="BG21" i="1"/>
  <c r="BG22" i="1" s="1"/>
  <c r="BF21" i="1"/>
  <c r="BE21" i="1"/>
  <c r="BD21" i="1"/>
  <c r="BD22" i="1" s="1"/>
  <c r="BC21" i="1"/>
  <c r="BB21" i="1"/>
  <c r="BA21" i="1"/>
  <c r="AZ21" i="1"/>
  <c r="AZ22" i="1" s="1"/>
  <c r="AY21" i="1"/>
  <c r="AX21" i="1"/>
  <c r="AW21" i="1"/>
  <c r="AV21" i="1"/>
  <c r="AV22" i="1" s="1"/>
  <c r="AU21" i="1"/>
  <c r="AU22" i="1" s="1"/>
  <c r="AT21" i="1"/>
  <c r="AS21" i="1"/>
  <c r="AR21" i="1"/>
  <c r="AR22" i="1" s="1"/>
  <c r="AQ21" i="1"/>
  <c r="AQ22" i="1" s="1"/>
  <c r="AP21" i="1"/>
  <c r="AO21" i="1"/>
  <c r="AN21" i="1"/>
  <c r="AN22" i="1" s="1"/>
  <c r="AM21" i="1"/>
  <c r="AL21" i="1"/>
  <c r="AK21" i="1"/>
  <c r="AJ21" i="1"/>
  <c r="AJ22" i="1" s="1"/>
  <c r="AI21" i="1"/>
  <c r="AH21" i="1"/>
  <c r="AG21" i="1"/>
  <c r="AF21" i="1"/>
  <c r="AF22" i="1" s="1"/>
  <c r="AE21" i="1"/>
  <c r="AE22" i="1" s="1"/>
  <c r="AD21" i="1"/>
  <c r="AC21" i="1"/>
  <c r="AB21" i="1"/>
  <c r="AB22" i="1" s="1"/>
  <c r="AA21" i="1"/>
  <c r="AA22" i="1" s="1"/>
  <c r="Z21" i="1"/>
  <c r="Y21" i="1"/>
  <c r="X21" i="1"/>
  <c r="X22" i="1" s="1"/>
  <c r="W21" i="1"/>
  <c r="V21" i="1"/>
  <c r="U21" i="1"/>
  <c r="T21" i="1"/>
  <c r="T22" i="1" s="1"/>
  <c r="S21" i="1"/>
  <c r="R21" i="1"/>
  <c r="Q21" i="1"/>
  <c r="P21" i="1"/>
  <c r="P22" i="1" s="1"/>
  <c r="O21" i="1"/>
  <c r="O22" i="1" s="1"/>
  <c r="N21" i="1"/>
  <c r="M21" i="1"/>
  <c r="L21" i="1"/>
  <c r="K21" i="1"/>
  <c r="J21" i="1"/>
  <c r="I21" i="1"/>
  <c r="H21" i="1"/>
  <c r="H22" i="1" s="1"/>
  <c r="G21" i="1"/>
  <c r="G22" i="1" s="1"/>
  <c r="F21" i="1"/>
  <c r="E21" i="1"/>
  <c r="D21" i="1"/>
  <c r="D22" i="1" s="1"/>
  <c r="C21" i="1"/>
  <c r="BX20" i="1"/>
  <c r="BW20" i="1"/>
  <c r="BV20" i="1"/>
  <c r="BU20" i="1"/>
  <c r="BZ19" i="1" s="1"/>
  <c r="BT20" i="1"/>
  <c r="BY19" i="1" s="1"/>
  <c r="BS20" i="1"/>
  <c r="BR20" i="1"/>
  <c r="BP20" i="1"/>
  <c r="BO20" i="1"/>
  <c r="BN20" i="1"/>
  <c r="BM20" i="1"/>
  <c r="BL20" i="1"/>
  <c r="BK20" i="1"/>
  <c r="BJ20" i="1"/>
  <c r="BI20" i="1"/>
  <c r="BH20" i="1"/>
  <c r="BG20" i="1"/>
  <c r="BF20" i="1"/>
  <c r="BE20" i="1"/>
  <c r="BD20" i="1"/>
  <c r="BC20" i="1"/>
  <c r="BB20" i="1"/>
  <c r="BA20" i="1"/>
  <c r="AZ20" i="1"/>
  <c r="AY20" i="1"/>
  <c r="AX20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CK18" i="1"/>
  <c r="CJ18" i="1"/>
  <c r="CI18" i="1"/>
  <c r="CP17" i="1"/>
  <c r="BX17" i="1"/>
  <c r="BW17" i="1"/>
  <c r="BV17" i="1"/>
  <c r="BU17" i="1"/>
  <c r="BT17" i="1"/>
  <c r="BS17" i="1"/>
  <c r="BR17" i="1"/>
  <c r="BQ17" i="1"/>
  <c r="BP17" i="1"/>
  <c r="BO17" i="1"/>
  <c r="BN17" i="1"/>
  <c r="BM17" i="1"/>
  <c r="BL17" i="1"/>
  <c r="BK17" i="1"/>
  <c r="BJ17" i="1"/>
  <c r="BI17" i="1"/>
  <c r="BH17" i="1"/>
  <c r="BG17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I17" i="1"/>
  <c r="H17" i="1"/>
  <c r="G17" i="1"/>
  <c r="F17" i="1"/>
  <c r="E17" i="1"/>
  <c r="D17" i="1"/>
  <c r="CK16" i="1"/>
  <c r="CJ16" i="1"/>
  <c r="CI16" i="1"/>
  <c r="BX15" i="1"/>
  <c r="BW15" i="1"/>
  <c r="BV15" i="1"/>
  <c r="BU15" i="1"/>
  <c r="BZ15" i="1" s="1"/>
  <c r="BT15" i="1"/>
  <c r="BY15" i="1" s="1"/>
  <c r="BS15" i="1"/>
  <c r="BR15" i="1"/>
  <c r="BQ15" i="1"/>
  <c r="BP15" i="1"/>
  <c r="BO15" i="1"/>
  <c r="BN15" i="1"/>
  <c r="BM15" i="1"/>
  <c r="BL15" i="1"/>
  <c r="BK15" i="1"/>
  <c r="BJ15" i="1"/>
  <c r="BI15" i="1"/>
  <c r="BH15" i="1"/>
  <c r="BG15" i="1"/>
  <c r="BF15" i="1"/>
  <c r="BE15" i="1"/>
  <c r="BD15" i="1"/>
  <c r="BC15" i="1"/>
  <c r="BB15" i="1"/>
  <c r="BA15" i="1"/>
  <c r="AZ15" i="1"/>
  <c r="AY15" i="1"/>
  <c r="AX15" i="1"/>
  <c r="AW15" i="1"/>
  <c r="AV15" i="1"/>
  <c r="AU15" i="1"/>
  <c r="AT15" i="1"/>
  <c r="AS15" i="1"/>
  <c r="AR15" i="1"/>
  <c r="AQ15" i="1"/>
  <c r="AP15" i="1"/>
  <c r="AO15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CE14" i="1"/>
  <c r="CE239" i="1" s="1"/>
  <c r="CD14" i="1"/>
  <c r="CD239" i="1" s="1"/>
  <c r="CC14" i="1"/>
  <c r="CC239" i="1" s="1"/>
  <c r="CB14" i="1"/>
  <c r="CB239" i="1" s="1"/>
  <c r="BX14" i="1"/>
  <c r="BX239" i="1" s="1"/>
  <c r="BW14" i="1"/>
  <c r="BW239" i="1" s="1"/>
  <c r="BV14" i="1"/>
  <c r="BU14" i="1"/>
  <c r="BU239" i="1" s="1"/>
  <c r="BT14" i="1"/>
  <c r="BT239" i="1" s="1"/>
  <c r="BS14" i="1"/>
  <c r="BS239" i="1" s="1"/>
  <c r="BR14" i="1"/>
  <c r="BR239" i="1" s="1"/>
  <c r="BQ14" i="1"/>
  <c r="BP14" i="1"/>
  <c r="BP239" i="1" s="1"/>
  <c r="BO14" i="1"/>
  <c r="BO239" i="1" s="1"/>
  <c r="BN14" i="1"/>
  <c r="BN239" i="1" s="1"/>
  <c r="BM14" i="1"/>
  <c r="BM239" i="1" s="1"/>
  <c r="BL14" i="1"/>
  <c r="BK14" i="1"/>
  <c r="BK239" i="1" s="1"/>
  <c r="BJ14" i="1"/>
  <c r="BJ239" i="1" s="1"/>
  <c r="BI14" i="1"/>
  <c r="BI239" i="1" s="1"/>
  <c r="BH14" i="1"/>
  <c r="BH239" i="1" s="1"/>
  <c r="BG14" i="1"/>
  <c r="BF14" i="1"/>
  <c r="BF239" i="1" s="1"/>
  <c r="BE14" i="1"/>
  <c r="BE239" i="1" s="1"/>
  <c r="BD14" i="1"/>
  <c r="BD239" i="1" s="1"/>
  <c r="BC14" i="1"/>
  <c r="BC239" i="1" s="1"/>
  <c r="BB14" i="1"/>
  <c r="BA14" i="1"/>
  <c r="BA239" i="1" s="1"/>
  <c r="AZ14" i="1"/>
  <c r="AZ239" i="1" s="1"/>
  <c r="AY14" i="1"/>
  <c r="AY239" i="1" s="1"/>
  <c r="AX14" i="1"/>
  <c r="AX239" i="1" s="1"/>
  <c r="AW14" i="1"/>
  <c r="AV14" i="1"/>
  <c r="AV239" i="1" s="1"/>
  <c r="AU14" i="1"/>
  <c r="AU239" i="1" s="1"/>
  <c r="AT14" i="1"/>
  <c r="AT239" i="1" s="1"/>
  <c r="AS14" i="1"/>
  <c r="AS239" i="1" s="1"/>
  <c r="AR14" i="1"/>
  <c r="AQ14" i="1"/>
  <c r="AQ239" i="1" s="1"/>
  <c r="AP14" i="1"/>
  <c r="AP239" i="1" s="1"/>
  <c r="AO14" i="1"/>
  <c r="AO239" i="1" s="1"/>
  <c r="AN14" i="1"/>
  <c r="AN239" i="1" s="1"/>
  <c r="AM14" i="1"/>
  <c r="AL14" i="1"/>
  <c r="AL239" i="1" s="1"/>
  <c r="AK14" i="1"/>
  <c r="AK239" i="1" s="1"/>
  <c r="AJ14" i="1"/>
  <c r="AJ239" i="1" s="1"/>
  <c r="AI14" i="1"/>
  <c r="AI239" i="1" s="1"/>
  <c r="AH14" i="1"/>
  <c r="AG14" i="1"/>
  <c r="AG239" i="1" s="1"/>
  <c r="AF14" i="1"/>
  <c r="AF239" i="1" s="1"/>
  <c r="AE14" i="1"/>
  <c r="AE239" i="1" s="1"/>
  <c r="AD14" i="1"/>
  <c r="AD239" i="1" s="1"/>
  <c r="AC14" i="1"/>
  <c r="AB14" i="1"/>
  <c r="AB239" i="1" s="1"/>
  <c r="AA14" i="1"/>
  <c r="AA239" i="1" s="1"/>
  <c r="Z14" i="1"/>
  <c r="Z239" i="1" s="1"/>
  <c r="Y14" i="1"/>
  <c r="Y239" i="1" s="1"/>
  <c r="X14" i="1"/>
  <c r="W14" i="1"/>
  <c r="W239" i="1" s="1"/>
  <c r="V14" i="1"/>
  <c r="V239" i="1" s="1"/>
  <c r="U14" i="1"/>
  <c r="U239" i="1" s="1"/>
  <c r="T14" i="1"/>
  <c r="T239" i="1" s="1"/>
  <c r="S14" i="1"/>
  <c r="R14" i="1"/>
  <c r="R239" i="1" s="1"/>
  <c r="Q14" i="1"/>
  <c r="Q239" i="1" s="1"/>
  <c r="P14" i="1"/>
  <c r="P239" i="1" s="1"/>
  <c r="O14" i="1"/>
  <c r="O239" i="1" s="1"/>
  <c r="N14" i="1"/>
  <c r="I14" i="1"/>
  <c r="H14" i="1"/>
  <c r="G14" i="1"/>
  <c r="F14" i="1"/>
  <c r="E14" i="1"/>
  <c r="D14" i="1"/>
  <c r="CK13" i="1"/>
  <c r="CJ13" i="1"/>
  <c r="CI13" i="1"/>
  <c r="CE12" i="1"/>
  <c r="CE238" i="1" s="1"/>
  <c r="H11" i="2" s="1"/>
  <c r="CD12" i="1"/>
  <c r="CD238" i="1" s="1"/>
  <c r="G11" i="2" s="1"/>
  <c r="CC12" i="1"/>
  <c r="CC238" i="1" s="1"/>
  <c r="F11" i="2" s="1"/>
  <c r="CB12" i="1"/>
  <c r="CB238" i="1" s="1"/>
  <c r="E11" i="2" s="1"/>
  <c r="BX12" i="1"/>
  <c r="BW12" i="1"/>
  <c r="BW238" i="1" s="1"/>
  <c r="BV12" i="1"/>
  <c r="BU12" i="1"/>
  <c r="BU238" i="1" s="1"/>
  <c r="BT12" i="1"/>
  <c r="BT238" i="1" s="1"/>
  <c r="BS12" i="1"/>
  <c r="BS238" i="1" s="1"/>
  <c r="BR12" i="1"/>
  <c r="BR238" i="1" s="1"/>
  <c r="BQ12" i="1"/>
  <c r="BP12" i="1"/>
  <c r="BP238" i="1" s="1"/>
  <c r="BO12" i="1"/>
  <c r="BO238" i="1" s="1"/>
  <c r="BN12" i="1"/>
  <c r="BN238" i="1" s="1"/>
  <c r="BM12" i="1"/>
  <c r="BM238" i="1" s="1"/>
  <c r="BL12" i="1"/>
  <c r="BK12" i="1"/>
  <c r="BK238" i="1" s="1"/>
  <c r="BJ12" i="1"/>
  <c r="BJ238" i="1" s="1"/>
  <c r="BI12" i="1"/>
  <c r="BI238" i="1" s="1"/>
  <c r="BH12" i="1"/>
  <c r="BH238" i="1" s="1"/>
  <c r="BG12" i="1"/>
  <c r="BF12" i="1"/>
  <c r="BF238" i="1" s="1"/>
  <c r="BE12" i="1"/>
  <c r="BE238" i="1" s="1"/>
  <c r="BD12" i="1"/>
  <c r="BD238" i="1" s="1"/>
  <c r="BC12" i="1"/>
  <c r="BC238" i="1" s="1"/>
  <c r="BB12" i="1"/>
  <c r="BA12" i="1"/>
  <c r="BA238" i="1" s="1"/>
  <c r="AZ12" i="1"/>
  <c r="AZ238" i="1" s="1"/>
  <c r="AY12" i="1"/>
  <c r="AY238" i="1" s="1"/>
  <c r="AX12" i="1"/>
  <c r="AX238" i="1" s="1"/>
  <c r="AW12" i="1"/>
  <c r="AV12" i="1"/>
  <c r="AV238" i="1" s="1"/>
  <c r="AU12" i="1"/>
  <c r="AU238" i="1" s="1"/>
  <c r="AT12" i="1"/>
  <c r="AT238" i="1" s="1"/>
  <c r="AS12" i="1"/>
  <c r="AS238" i="1" s="1"/>
  <c r="AR12" i="1"/>
  <c r="AQ12" i="1"/>
  <c r="AQ238" i="1" s="1"/>
  <c r="AP12" i="1"/>
  <c r="AP238" i="1" s="1"/>
  <c r="AO12" i="1"/>
  <c r="AO238" i="1" s="1"/>
  <c r="AN12" i="1"/>
  <c r="AN238" i="1" s="1"/>
  <c r="AM12" i="1"/>
  <c r="AL12" i="1"/>
  <c r="AL238" i="1" s="1"/>
  <c r="AK12" i="1"/>
  <c r="AK238" i="1" s="1"/>
  <c r="AJ12" i="1"/>
  <c r="AJ238" i="1" s="1"/>
  <c r="AI12" i="1"/>
  <c r="AI238" i="1" s="1"/>
  <c r="AH12" i="1"/>
  <c r="AG12" i="1"/>
  <c r="AG238" i="1" s="1"/>
  <c r="AF12" i="1"/>
  <c r="AF238" i="1" s="1"/>
  <c r="AE12" i="1"/>
  <c r="AE238" i="1" s="1"/>
  <c r="AD12" i="1"/>
  <c r="AD238" i="1" s="1"/>
  <c r="AC12" i="1"/>
  <c r="AB12" i="1"/>
  <c r="AB238" i="1" s="1"/>
  <c r="AA12" i="1"/>
  <c r="AA238" i="1" s="1"/>
  <c r="Z12" i="1"/>
  <c r="Z238" i="1" s="1"/>
  <c r="Y12" i="1"/>
  <c r="Y238" i="1" s="1"/>
  <c r="X12" i="1"/>
  <c r="W12" i="1"/>
  <c r="W238" i="1" s="1"/>
  <c r="V12" i="1"/>
  <c r="V238" i="1" s="1"/>
  <c r="U12" i="1"/>
  <c r="U238" i="1" s="1"/>
  <c r="T12" i="1"/>
  <c r="T238" i="1" s="1"/>
  <c r="S12" i="1"/>
  <c r="R12" i="1"/>
  <c r="R238" i="1" s="1"/>
  <c r="Q12" i="1"/>
  <c r="Q238" i="1" s="1"/>
  <c r="P12" i="1"/>
  <c r="P238" i="1" s="1"/>
  <c r="O12" i="1"/>
  <c r="O238" i="1" s="1"/>
  <c r="N12" i="1"/>
  <c r="I12" i="1"/>
  <c r="H12" i="1"/>
  <c r="G12" i="1"/>
  <c r="F12" i="1"/>
  <c r="E12" i="1"/>
  <c r="D12" i="1"/>
  <c r="CK11" i="1"/>
  <c r="CJ11" i="1"/>
  <c r="CI11" i="1"/>
  <c r="CB382" i="1" l="1"/>
  <c r="CD210" i="1"/>
  <c r="CD225" i="1" s="1"/>
  <c r="CD227" i="1" s="1"/>
  <c r="BZ75" i="1"/>
  <c r="BY72" i="1"/>
  <c r="BY74" i="1" s="1"/>
  <c r="BY80" i="1" s="1"/>
  <c r="BZ72" i="1"/>
  <c r="BZ74" i="1" s="1"/>
  <c r="CA262" i="1" s="1"/>
  <c r="E22" i="1"/>
  <c r="Q22" i="1"/>
  <c r="AC22" i="1"/>
  <c r="AO22" i="1"/>
  <c r="BA22" i="1"/>
  <c r="BM22" i="1"/>
  <c r="U349" i="1"/>
  <c r="AW349" i="1"/>
  <c r="AL284" i="1"/>
  <c r="I22" i="1"/>
  <c r="U22" i="1"/>
  <c r="AG22" i="1"/>
  <c r="AS22" i="1"/>
  <c r="BE22" i="1"/>
  <c r="BU22" i="1"/>
  <c r="Q349" i="1"/>
  <c r="AK349" i="1"/>
  <c r="BM349" i="1"/>
  <c r="F22" i="1"/>
  <c r="N22" i="1"/>
  <c r="R22" i="1"/>
  <c r="V22" i="1"/>
  <c r="Z22" i="1"/>
  <c r="AD22" i="1"/>
  <c r="AH22" i="1"/>
  <c r="AL22" i="1"/>
  <c r="AP22" i="1"/>
  <c r="AT22" i="1"/>
  <c r="AX22" i="1"/>
  <c r="BB22" i="1"/>
  <c r="BF22" i="1"/>
  <c r="BJ22" i="1"/>
  <c r="BN22" i="1"/>
  <c r="BR22" i="1"/>
  <c r="BV22" i="1"/>
  <c r="BZ210" i="1"/>
  <c r="BZ225" i="1" s="1"/>
  <c r="BZ227" i="1" s="1"/>
  <c r="M333" i="1"/>
  <c r="Q333" i="1"/>
  <c r="U333" i="1"/>
  <c r="Y333" i="1"/>
  <c r="Y334" i="1" s="1"/>
  <c r="AG333" i="1"/>
  <c r="AK333" i="1"/>
  <c r="AO333" i="1"/>
  <c r="AS333" i="1"/>
  <c r="AS334" i="1" s="1"/>
  <c r="BA333" i="1"/>
  <c r="BE333" i="1"/>
  <c r="BI333" i="1"/>
  <c r="BM333" i="1"/>
  <c r="BM334" i="1" s="1"/>
  <c r="BU333" i="1"/>
  <c r="Y390" i="1"/>
  <c r="AO390" i="1"/>
  <c r="Y22" i="1"/>
  <c r="AK22" i="1"/>
  <c r="AW22" i="1"/>
  <c r="BI22" i="1"/>
  <c r="BQ22" i="1"/>
  <c r="BA349" i="1"/>
  <c r="BQ349" i="1"/>
  <c r="E119" i="1"/>
  <c r="CB210" i="1"/>
  <c r="CB225" i="1" s="1"/>
  <c r="CB227" i="1" s="1"/>
  <c r="CA206" i="1"/>
  <c r="V284" i="1"/>
  <c r="J333" i="1"/>
  <c r="R333" i="1"/>
  <c r="V333" i="1"/>
  <c r="Z333" i="1"/>
  <c r="AD333" i="1"/>
  <c r="AL333" i="1"/>
  <c r="AP333" i="1"/>
  <c r="AT333" i="1"/>
  <c r="AX333" i="1"/>
  <c r="BF333" i="1"/>
  <c r="BJ333" i="1"/>
  <c r="BN333" i="1"/>
  <c r="BR333" i="1"/>
  <c r="F390" i="1"/>
  <c r="N390" i="1"/>
  <c r="R390" i="1"/>
  <c r="V390" i="1"/>
  <c r="Z390" i="1"/>
  <c r="AD390" i="1"/>
  <c r="AH390" i="1"/>
  <c r="AL390" i="1"/>
  <c r="AP390" i="1"/>
  <c r="AT390" i="1"/>
  <c r="AX390" i="1"/>
  <c r="BB390" i="1"/>
  <c r="BF390" i="1"/>
  <c r="BJ390" i="1"/>
  <c r="BN390" i="1"/>
  <c r="BR390" i="1"/>
  <c r="CI21" i="1"/>
  <c r="CC210" i="1"/>
  <c r="CC225" i="1" s="1"/>
  <c r="CC227" i="1" s="1"/>
  <c r="AQ281" i="1"/>
  <c r="CA292" i="1"/>
  <c r="CA295" i="1" s="1"/>
  <c r="O348" i="1"/>
  <c r="AE348" i="1"/>
  <c r="AU348" i="1"/>
  <c r="BK348" i="1"/>
  <c r="BY210" i="1"/>
  <c r="BY225" i="1" s="1"/>
  <c r="BY227" i="1" s="1"/>
  <c r="BR281" i="1"/>
  <c r="BG281" i="1"/>
  <c r="CB290" i="1"/>
  <c r="CC290" i="1" s="1"/>
  <c r="CD290" i="1" s="1"/>
  <c r="CE290" i="1" s="1"/>
  <c r="CB331" i="1"/>
  <c r="I390" i="1"/>
  <c r="Q390" i="1"/>
  <c r="AC390" i="1"/>
  <c r="BZ14" i="1"/>
  <c r="BZ239" i="1" s="1"/>
  <c r="CJ20" i="1"/>
  <c r="CI20" i="1"/>
  <c r="CJ64" i="1"/>
  <c r="CI64" i="1"/>
  <c r="CE99" i="1"/>
  <c r="AL166" i="1"/>
  <c r="AL247" i="1" s="1"/>
  <c r="CK21" i="1"/>
  <c r="G250" i="1"/>
  <c r="O250" i="1"/>
  <c r="S250" i="1"/>
  <c r="W250" i="1"/>
  <c r="AA250" i="1"/>
  <c r="AE250" i="1"/>
  <c r="AI250" i="1"/>
  <c r="AM250" i="1"/>
  <c r="AQ250" i="1"/>
  <c r="AU250" i="1"/>
  <c r="AY250" i="1"/>
  <c r="BC250" i="1"/>
  <c r="BG250" i="1"/>
  <c r="BK250" i="1"/>
  <c r="BO250" i="1"/>
  <c r="BS250" i="1"/>
  <c r="BW250" i="1"/>
  <c r="CA77" i="1"/>
  <c r="BZ78" i="1"/>
  <c r="E116" i="1"/>
  <c r="CA167" i="1"/>
  <c r="CJ286" i="1"/>
  <c r="CI286" i="1"/>
  <c r="L333" i="1"/>
  <c r="L334" i="1" s="1"/>
  <c r="P333" i="1"/>
  <c r="T333" i="1"/>
  <c r="AB333" i="1"/>
  <c r="AF333" i="1"/>
  <c r="AF334" i="1" s="1"/>
  <c r="AJ333" i="1"/>
  <c r="AN333" i="1"/>
  <c r="AV333" i="1"/>
  <c r="AV334" i="1" s="1"/>
  <c r="AZ333" i="1"/>
  <c r="AZ334" i="1" s="1"/>
  <c r="BD333" i="1"/>
  <c r="BH333" i="1"/>
  <c r="BP333" i="1"/>
  <c r="BT333" i="1"/>
  <c r="BT334" i="1" s="1"/>
  <c r="BX333" i="1"/>
  <c r="AL343" i="1"/>
  <c r="H391" i="1"/>
  <c r="AA35" i="1"/>
  <c r="BG35" i="1"/>
  <c r="W114" i="1"/>
  <c r="W117" i="1" s="1"/>
  <c r="BC114" i="1"/>
  <c r="BC118" i="1" s="1"/>
  <c r="BS114" i="1"/>
  <c r="BS120" i="1" s="1"/>
  <c r="CC382" i="1"/>
  <c r="CK20" i="1"/>
  <c r="I250" i="1"/>
  <c r="U250" i="1"/>
  <c r="AG250" i="1"/>
  <c r="AO250" i="1"/>
  <c r="AW250" i="1"/>
  <c r="BQ250" i="1"/>
  <c r="O35" i="1"/>
  <c r="AE35" i="1"/>
  <c r="AU35" i="1"/>
  <c r="BK35" i="1"/>
  <c r="K114" i="1"/>
  <c r="K118" i="1" s="1"/>
  <c r="AA114" i="1"/>
  <c r="AA118" i="1" s="1"/>
  <c r="AQ114" i="1"/>
  <c r="AQ118" i="1" s="1"/>
  <c r="BG114" i="1"/>
  <c r="BG118" i="1" s="1"/>
  <c r="BW114" i="1"/>
  <c r="BW118" i="1" s="1"/>
  <c r="E117" i="1"/>
  <c r="U38" i="1"/>
  <c r="BA38" i="1"/>
  <c r="BE38" i="1"/>
  <c r="CK34" i="1"/>
  <c r="S35" i="1"/>
  <c r="AI35" i="1"/>
  <c r="AY35" i="1"/>
  <c r="BO35" i="1"/>
  <c r="J38" i="1"/>
  <c r="J115" i="1"/>
  <c r="J119" i="1" s="1"/>
  <c r="N38" i="1"/>
  <c r="R38" i="1"/>
  <c r="V38" i="1"/>
  <c r="Z38" i="1"/>
  <c r="Z115" i="1"/>
  <c r="Z116" i="1" s="1"/>
  <c r="AD38" i="1"/>
  <c r="AH38" i="1"/>
  <c r="AL38" i="1"/>
  <c r="AP38" i="1"/>
  <c r="AP115" i="1"/>
  <c r="AP116" i="1" s="1"/>
  <c r="AT38" i="1"/>
  <c r="AX38" i="1"/>
  <c r="BB38" i="1"/>
  <c r="BF38" i="1"/>
  <c r="BF115" i="1"/>
  <c r="BF119" i="1" s="1"/>
  <c r="BJ38" i="1"/>
  <c r="BN38" i="1"/>
  <c r="BR38" i="1"/>
  <c r="CK36" i="1"/>
  <c r="BV115" i="1"/>
  <c r="BV119" i="1" s="1"/>
  <c r="CA90" i="1"/>
  <c r="CD99" i="1"/>
  <c r="CB110" i="1"/>
  <c r="CC111" i="1" s="1"/>
  <c r="O114" i="1"/>
  <c r="O117" i="1" s="1"/>
  <c r="AE114" i="1"/>
  <c r="AE117" i="1" s="1"/>
  <c r="AU114" i="1"/>
  <c r="AU117" i="1" s="1"/>
  <c r="BK114" i="1"/>
  <c r="BK117" i="1" s="1"/>
  <c r="V115" i="1"/>
  <c r="V119" i="1" s="1"/>
  <c r="AT115" i="1"/>
  <c r="AT116" i="1" s="1"/>
  <c r="BN115" i="1"/>
  <c r="BN119" i="1" s="1"/>
  <c r="CJ154" i="1"/>
  <c r="CI154" i="1"/>
  <c r="G281" i="1"/>
  <c r="BW281" i="1"/>
  <c r="BB284" i="1"/>
  <c r="AQ35" i="1"/>
  <c r="BW35" i="1"/>
  <c r="AM114" i="1"/>
  <c r="AM118" i="1" s="1"/>
  <c r="E250" i="1"/>
  <c r="Q250" i="1"/>
  <c r="Y250" i="1"/>
  <c r="AC250" i="1"/>
  <c r="AK250" i="1"/>
  <c r="AS250" i="1"/>
  <c r="BA250" i="1"/>
  <c r="BE250" i="1"/>
  <c r="BI250" i="1"/>
  <c r="BM250" i="1"/>
  <c r="BU250" i="1"/>
  <c r="BZ13" i="1"/>
  <c r="W35" i="1"/>
  <c r="AM35" i="1"/>
  <c r="BC35" i="1"/>
  <c r="BS35" i="1"/>
  <c r="K38" i="1"/>
  <c r="O38" i="1"/>
  <c r="S38" i="1"/>
  <c r="W38" i="1"/>
  <c r="AA38" i="1"/>
  <c r="AE38" i="1"/>
  <c r="AI38" i="1"/>
  <c r="AM38" i="1"/>
  <c r="AQ38" i="1"/>
  <c r="AU38" i="1"/>
  <c r="AY38" i="1"/>
  <c r="BC38" i="1"/>
  <c r="BG38" i="1"/>
  <c r="BK38" i="1"/>
  <c r="BO38" i="1"/>
  <c r="BS38" i="1"/>
  <c r="CB111" i="1"/>
  <c r="S114" i="1"/>
  <c r="S117" i="1" s="1"/>
  <c r="AI114" i="1"/>
  <c r="AI118" i="1" s="1"/>
  <c r="AY114" i="1"/>
  <c r="AY118" i="1" s="1"/>
  <c r="BO114" i="1"/>
  <c r="BO118" i="1" s="1"/>
  <c r="D116" i="1"/>
  <c r="AD115" i="1"/>
  <c r="AD119" i="1" s="1"/>
  <c r="J282" i="1"/>
  <c r="J284" i="1"/>
  <c r="N281" i="1"/>
  <c r="N284" i="1"/>
  <c r="R281" i="1"/>
  <c r="R284" i="1"/>
  <c r="Z281" i="1"/>
  <c r="Z284" i="1"/>
  <c r="AD281" i="1"/>
  <c r="AD284" i="1"/>
  <c r="AH281" i="1"/>
  <c r="AH284" i="1"/>
  <c r="AP281" i="1"/>
  <c r="AP284" i="1"/>
  <c r="AT281" i="1"/>
  <c r="AT284" i="1"/>
  <c r="AY281" i="1"/>
  <c r="AX281" i="1"/>
  <c r="AX284" i="1"/>
  <c r="BF281" i="1"/>
  <c r="BF284" i="1"/>
  <c r="BJ281" i="1"/>
  <c r="BJ284" i="1"/>
  <c r="BO281" i="1"/>
  <c r="BN281" i="1"/>
  <c r="BN284" i="1"/>
  <c r="C31" i="2"/>
  <c r="C33" i="2" s="1"/>
  <c r="CK280" i="1"/>
  <c r="BV284" i="1"/>
  <c r="AA281" i="1"/>
  <c r="F284" i="1"/>
  <c r="BR284" i="1"/>
  <c r="CA205" i="1"/>
  <c r="CA210" i="1" s="1"/>
  <c r="CA225" i="1" s="1"/>
  <c r="CE210" i="1"/>
  <c r="CE225" i="1" s="1"/>
  <c r="CE227" i="1" s="1"/>
  <c r="CJ249" i="1"/>
  <c r="CI249" i="1"/>
  <c r="O281" i="1"/>
  <c r="AE281" i="1"/>
  <c r="AU281" i="1"/>
  <c r="BK281" i="1"/>
  <c r="F342" i="1"/>
  <c r="F344" i="1" s="1"/>
  <c r="N342" i="1"/>
  <c r="N344" i="1" s="1"/>
  <c r="V342" i="1"/>
  <c r="V344" i="1" s="1"/>
  <c r="AD342" i="1"/>
  <c r="AD344" i="1" s="1"/>
  <c r="AL342" i="1"/>
  <c r="AL344" i="1" s="1"/>
  <c r="AT342" i="1"/>
  <c r="AT344" i="1" s="1"/>
  <c r="AP343" i="1"/>
  <c r="D349" i="1"/>
  <c r="H349" i="1"/>
  <c r="P349" i="1"/>
  <c r="T349" i="1"/>
  <c r="X349" i="1"/>
  <c r="AB349" i="1"/>
  <c r="AF349" i="1"/>
  <c r="AJ349" i="1"/>
  <c r="AN349" i="1"/>
  <c r="AR349" i="1"/>
  <c r="AV349" i="1"/>
  <c r="AZ349" i="1"/>
  <c r="BD349" i="1"/>
  <c r="BH349" i="1"/>
  <c r="BL349" i="1"/>
  <c r="BP349" i="1"/>
  <c r="BT349" i="1"/>
  <c r="BX349" i="1"/>
  <c r="O390" i="1"/>
  <c r="W390" i="1"/>
  <c r="AA390" i="1"/>
  <c r="AE390" i="1"/>
  <c r="AI390" i="1"/>
  <c r="AQ390" i="1"/>
  <c r="AU390" i="1"/>
  <c r="AY390" i="1"/>
  <c r="BC390" i="1"/>
  <c r="BK390" i="1"/>
  <c r="BO390" i="1"/>
  <c r="E410" i="1"/>
  <c r="E428" i="1" s="1"/>
  <c r="CA437" i="1"/>
  <c r="S281" i="1"/>
  <c r="AI281" i="1"/>
  <c r="CK286" i="1"/>
  <c r="J334" i="1"/>
  <c r="R334" i="1"/>
  <c r="V334" i="1"/>
  <c r="Z334" i="1"/>
  <c r="AD334" i="1"/>
  <c r="AL334" i="1"/>
  <c r="AP334" i="1"/>
  <c r="AT334" i="1"/>
  <c r="AX334" i="1"/>
  <c r="BF334" i="1"/>
  <c r="BJ334" i="1"/>
  <c r="BN334" i="1"/>
  <c r="BR334" i="1"/>
  <c r="G348" i="1"/>
  <c r="W348" i="1"/>
  <c r="AM348" i="1"/>
  <c r="AY348" i="1"/>
  <c r="BC348" i="1"/>
  <c r="BO348" i="1"/>
  <c r="BS348" i="1"/>
  <c r="AY342" i="1"/>
  <c r="AY344" i="1" s="1"/>
  <c r="F343" i="1"/>
  <c r="E348" i="1"/>
  <c r="I348" i="1"/>
  <c r="M348" i="1"/>
  <c r="Q348" i="1"/>
  <c r="U348" i="1"/>
  <c r="Y348" i="1"/>
  <c r="AC348" i="1"/>
  <c r="AG348" i="1"/>
  <c r="AK348" i="1"/>
  <c r="AO348" i="1"/>
  <c r="AS348" i="1"/>
  <c r="AW348" i="1"/>
  <c r="BA348" i="1"/>
  <c r="BE348" i="1"/>
  <c r="BI348" i="1"/>
  <c r="BM348" i="1"/>
  <c r="BQ348" i="1"/>
  <c r="BU348" i="1"/>
  <c r="E349" i="1"/>
  <c r="Y349" i="1"/>
  <c r="AO349" i="1"/>
  <c r="BE349" i="1"/>
  <c r="BU349" i="1"/>
  <c r="P390" i="1"/>
  <c r="T390" i="1"/>
  <c r="AB390" i="1"/>
  <c r="AF390" i="1"/>
  <c r="AJ390" i="1"/>
  <c r="AN390" i="1"/>
  <c r="AV390" i="1"/>
  <c r="AZ390" i="1"/>
  <c r="BD390" i="1"/>
  <c r="BH390" i="1"/>
  <c r="BP390" i="1"/>
  <c r="BT390" i="1"/>
  <c r="CA152" i="1"/>
  <c r="CK153" i="1"/>
  <c r="CJ153" i="1"/>
  <c r="W281" i="1"/>
  <c r="AM281" i="1"/>
  <c r="BC281" i="1"/>
  <c r="BS281" i="1"/>
  <c r="J342" i="1"/>
  <c r="J344" i="1" s="1"/>
  <c r="R342" i="1"/>
  <c r="Z342" i="1"/>
  <c r="Z344" i="1" s="1"/>
  <c r="AH342" i="1"/>
  <c r="AP342" i="1"/>
  <c r="AP344" i="1" s="1"/>
  <c r="V343" i="1"/>
  <c r="I349" i="1"/>
  <c r="AC349" i="1"/>
  <c r="AS349" i="1"/>
  <c r="BI349" i="1"/>
  <c r="E390" i="1"/>
  <c r="B71" i="3"/>
  <c r="B72" i="3" s="1"/>
  <c r="J20" i="3"/>
  <c r="K20" i="3" s="1"/>
  <c r="L20" i="3" s="1"/>
  <c r="M20" i="3" s="1"/>
  <c r="C13" i="3"/>
  <c r="C83" i="3" s="1"/>
  <c r="AF29" i="2"/>
  <c r="T28" i="2"/>
  <c r="L34" i="3"/>
  <c r="L35" i="3" s="1"/>
  <c r="S29" i="2"/>
  <c r="D34" i="3"/>
  <c r="D35" i="3" s="1"/>
  <c r="H34" i="3"/>
  <c r="H35" i="3" s="1"/>
  <c r="BY85" i="1"/>
  <c r="BY83" i="1"/>
  <c r="BY182" i="1" s="1"/>
  <c r="M8" i="4"/>
  <c r="AC238" i="1"/>
  <c r="J9" i="4"/>
  <c r="N239" i="1"/>
  <c r="N9" i="4"/>
  <c r="AH239" i="1"/>
  <c r="R9" i="4"/>
  <c r="BB239" i="1"/>
  <c r="V9" i="4"/>
  <c r="BV239" i="1"/>
  <c r="Q114" i="1"/>
  <c r="V117" i="1" s="1"/>
  <c r="Q35" i="1"/>
  <c r="Y114" i="1"/>
  <c r="Y35" i="1"/>
  <c r="AK114" i="1"/>
  <c r="AP117" i="1" s="1"/>
  <c r="AK35" i="1"/>
  <c r="AW114" i="1"/>
  <c r="AW35" i="1"/>
  <c r="BI114" i="1"/>
  <c r="BI116" i="1" s="1"/>
  <c r="BI35" i="1"/>
  <c r="BQ114" i="1"/>
  <c r="BV117" i="1" s="1"/>
  <c r="BQ35" i="1"/>
  <c r="AG38" i="1"/>
  <c r="AW38" i="1"/>
  <c r="BM38" i="1"/>
  <c r="BB119" i="1"/>
  <c r="BB116" i="1"/>
  <c r="F8" i="4"/>
  <c r="F238" i="1"/>
  <c r="J8" i="4"/>
  <c r="N238" i="1"/>
  <c r="N8" i="4"/>
  <c r="AH238" i="1"/>
  <c r="R8" i="4"/>
  <c r="BB238" i="1"/>
  <c r="V8" i="4"/>
  <c r="BV238" i="1"/>
  <c r="C11" i="2" s="1"/>
  <c r="G9" i="4"/>
  <c r="G239" i="1"/>
  <c r="K9" i="4"/>
  <c r="S239" i="1"/>
  <c r="O9" i="4"/>
  <c r="AM239" i="1"/>
  <c r="S9" i="4"/>
  <c r="BG239" i="1"/>
  <c r="N118" i="1"/>
  <c r="R118" i="1"/>
  <c r="R117" i="1"/>
  <c r="V118" i="1"/>
  <c r="Z118" i="1"/>
  <c r="AD118" i="1"/>
  <c r="AH118" i="1"/>
  <c r="AL118" i="1"/>
  <c r="AP118" i="1"/>
  <c r="AT118" i="1"/>
  <c r="AX118" i="1"/>
  <c r="BB118" i="1"/>
  <c r="BF118" i="1"/>
  <c r="BJ118" i="1"/>
  <c r="BN118" i="1"/>
  <c r="BR118" i="1"/>
  <c r="BR120" i="1"/>
  <c r="BV118" i="1"/>
  <c r="BV120" i="1"/>
  <c r="AK38" i="1"/>
  <c r="BQ38" i="1"/>
  <c r="M56" i="1"/>
  <c r="BI56" i="1"/>
  <c r="BB166" i="1"/>
  <c r="E8" i="4"/>
  <c r="E238" i="1"/>
  <c r="Q8" i="4"/>
  <c r="AW238" i="1"/>
  <c r="U8" i="4"/>
  <c r="BQ238" i="1"/>
  <c r="F9" i="4"/>
  <c r="F239" i="1"/>
  <c r="I114" i="1"/>
  <c r="I116" i="1" s="1"/>
  <c r="I35" i="1"/>
  <c r="AC114" i="1"/>
  <c r="AC116" i="1" s="1"/>
  <c r="AC35" i="1"/>
  <c r="AO114" i="1"/>
  <c r="AO116" i="1" s="1"/>
  <c r="AO35" i="1"/>
  <c r="BA114" i="1"/>
  <c r="BF117" i="1" s="1"/>
  <c r="BA35" i="1"/>
  <c r="BU114" i="1"/>
  <c r="BU116" i="1" s="1"/>
  <c r="BU35" i="1"/>
  <c r="AO56" i="1"/>
  <c r="AL119" i="1"/>
  <c r="AL116" i="1"/>
  <c r="G8" i="4"/>
  <c r="G238" i="1"/>
  <c r="K8" i="4"/>
  <c r="S238" i="1"/>
  <c r="O8" i="4"/>
  <c r="AM238" i="1"/>
  <c r="S8" i="4"/>
  <c r="BG238" i="1"/>
  <c r="D9" i="4"/>
  <c r="D239" i="1"/>
  <c r="H9" i="4"/>
  <c r="H239" i="1"/>
  <c r="L9" i="4"/>
  <c r="X239" i="1"/>
  <c r="P9" i="4"/>
  <c r="AR239" i="1"/>
  <c r="T9" i="4"/>
  <c r="BL239" i="1"/>
  <c r="CI34" i="1"/>
  <c r="L38" i="1"/>
  <c r="L115" i="1"/>
  <c r="P38" i="1"/>
  <c r="P115" i="1"/>
  <c r="T38" i="1"/>
  <c r="T115" i="1"/>
  <c r="X38" i="1"/>
  <c r="X115" i="1"/>
  <c r="AB38" i="1"/>
  <c r="AB115" i="1"/>
  <c r="AF38" i="1"/>
  <c r="AF115" i="1"/>
  <c r="AJ38" i="1"/>
  <c r="AJ115" i="1"/>
  <c r="AN38" i="1"/>
  <c r="AN115" i="1"/>
  <c r="AR38" i="1"/>
  <c r="AR115" i="1"/>
  <c r="AV38" i="1"/>
  <c r="AV115" i="1"/>
  <c r="AZ38" i="1"/>
  <c r="AZ115" i="1"/>
  <c r="BD38" i="1"/>
  <c r="BD115" i="1"/>
  <c r="BH38" i="1"/>
  <c r="BH115" i="1"/>
  <c r="BL38" i="1"/>
  <c r="BL115" i="1"/>
  <c r="BP38" i="1"/>
  <c r="BP115" i="1"/>
  <c r="BT38" i="1"/>
  <c r="BY37" i="1" s="1"/>
  <c r="BT115" i="1"/>
  <c r="BX38" i="1"/>
  <c r="BX115" i="1"/>
  <c r="I38" i="1"/>
  <c r="Y38" i="1"/>
  <c r="AO38" i="1"/>
  <c r="BU38" i="1"/>
  <c r="BZ37" i="1" s="1"/>
  <c r="Q56" i="1"/>
  <c r="AW56" i="1"/>
  <c r="CB102" i="1"/>
  <c r="CB101" i="1"/>
  <c r="G118" i="1"/>
  <c r="G117" i="1"/>
  <c r="CK114" i="1"/>
  <c r="F119" i="1"/>
  <c r="F116" i="1"/>
  <c r="N119" i="1"/>
  <c r="N116" i="1"/>
  <c r="BJ119" i="1"/>
  <c r="BJ116" i="1"/>
  <c r="J244" i="1"/>
  <c r="J166" i="1"/>
  <c r="N244" i="1"/>
  <c r="N166" i="1"/>
  <c r="R244" i="1"/>
  <c r="R166" i="1"/>
  <c r="Z244" i="1"/>
  <c r="Z166" i="1"/>
  <c r="AD244" i="1"/>
  <c r="AD166" i="1"/>
  <c r="AH244" i="1"/>
  <c r="AH166" i="1"/>
  <c r="AP244" i="1"/>
  <c r="AP166" i="1"/>
  <c r="AT244" i="1"/>
  <c r="AT166" i="1"/>
  <c r="AX244" i="1"/>
  <c r="AX166" i="1"/>
  <c r="BF244" i="1"/>
  <c r="BF166" i="1"/>
  <c r="BJ244" i="1"/>
  <c r="BJ166" i="1"/>
  <c r="BN244" i="1"/>
  <c r="BN166" i="1"/>
  <c r="BV244" i="1"/>
  <c r="CI244" i="1" s="1"/>
  <c r="CI162" i="1"/>
  <c r="CK162" i="1"/>
  <c r="BV166" i="1"/>
  <c r="CJ162" i="1"/>
  <c r="F166" i="1"/>
  <c r="BR166" i="1"/>
  <c r="I8" i="4"/>
  <c r="I238" i="1"/>
  <c r="BZ123" i="1"/>
  <c r="U114" i="1"/>
  <c r="U116" i="1" s="1"/>
  <c r="U35" i="1"/>
  <c r="AG114" i="1"/>
  <c r="AG35" i="1"/>
  <c r="AS114" i="1"/>
  <c r="AX117" i="1" s="1"/>
  <c r="AS35" i="1"/>
  <c r="BE114" i="1"/>
  <c r="BE116" i="1" s="1"/>
  <c r="BE35" i="1"/>
  <c r="BM114" i="1"/>
  <c r="BR117" i="1" s="1"/>
  <c r="BM35" i="1"/>
  <c r="Q38" i="1"/>
  <c r="Y56" i="1"/>
  <c r="BE56" i="1"/>
  <c r="BR119" i="1"/>
  <c r="BR116" i="1"/>
  <c r="AL149" i="1"/>
  <c r="D8" i="4"/>
  <c r="D238" i="1"/>
  <c r="H8" i="4"/>
  <c r="H238" i="1"/>
  <c r="L8" i="4"/>
  <c r="X238" i="1"/>
  <c r="P8" i="4"/>
  <c r="AR238" i="1"/>
  <c r="T8" i="4"/>
  <c r="BL238" i="1"/>
  <c r="BX238" i="1"/>
  <c r="E9" i="4"/>
  <c r="E239" i="1"/>
  <c r="I9" i="4"/>
  <c r="I239" i="1"/>
  <c r="M9" i="4"/>
  <c r="AC239" i="1"/>
  <c r="Q9" i="4"/>
  <c r="AW239" i="1"/>
  <c r="U9" i="4"/>
  <c r="BQ239" i="1"/>
  <c r="BY14" i="1"/>
  <c r="M38" i="1"/>
  <c r="AC38" i="1"/>
  <c r="AS38" i="1"/>
  <c r="BI38" i="1"/>
  <c r="U56" i="1"/>
  <c r="AK56" i="1"/>
  <c r="BA56" i="1"/>
  <c r="BQ56" i="1"/>
  <c r="CK64" i="1"/>
  <c r="CC263" i="1"/>
  <c r="CC99" i="1"/>
  <c r="D117" i="1"/>
  <c r="C116" i="1"/>
  <c r="G116" i="1"/>
  <c r="R119" i="1"/>
  <c r="R116" i="1"/>
  <c r="AH119" i="1"/>
  <c r="AH116" i="1"/>
  <c r="AX119" i="1"/>
  <c r="AX116" i="1"/>
  <c r="M116" i="1"/>
  <c r="V166" i="1"/>
  <c r="BZ168" i="1"/>
  <c r="BZ201" i="1" s="1"/>
  <c r="BX169" i="1"/>
  <c r="BY168" i="1"/>
  <c r="BY201" i="1" s="1"/>
  <c r="F250" i="1"/>
  <c r="N250" i="1"/>
  <c r="R250" i="1"/>
  <c r="V250" i="1"/>
  <c r="Z250" i="1"/>
  <c r="AD250" i="1"/>
  <c r="AH250" i="1"/>
  <c r="AL250" i="1"/>
  <c r="AP250" i="1"/>
  <c r="AT250" i="1"/>
  <c r="AX250" i="1"/>
  <c r="BB250" i="1"/>
  <c r="BF250" i="1"/>
  <c r="BJ250" i="1"/>
  <c r="BN250" i="1"/>
  <c r="BR250" i="1"/>
  <c r="BV250" i="1"/>
  <c r="CJ21" i="1"/>
  <c r="CJ34" i="1"/>
  <c r="H35" i="1"/>
  <c r="P35" i="1"/>
  <c r="T35" i="1"/>
  <c r="X35" i="1"/>
  <c r="AB35" i="1"/>
  <c r="AF35" i="1"/>
  <c r="AJ35" i="1"/>
  <c r="AN35" i="1"/>
  <c r="AR35" i="1"/>
  <c r="AV35" i="1"/>
  <c r="AZ35" i="1"/>
  <c r="BD35" i="1"/>
  <c r="BH35" i="1"/>
  <c r="BL35" i="1"/>
  <c r="BP35" i="1"/>
  <c r="BT35" i="1"/>
  <c r="BX35" i="1"/>
  <c r="CI36" i="1"/>
  <c r="BV38" i="1"/>
  <c r="J56" i="1"/>
  <c r="N56" i="1"/>
  <c r="R56" i="1"/>
  <c r="V56" i="1"/>
  <c r="Z56" i="1"/>
  <c r="AD56" i="1"/>
  <c r="AH56" i="1"/>
  <c r="AL56" i="1"/>
  <c r="AP56" i="1"/>
  <c r="AT56" i="1"/>
  <c r="AX56" i="1"/>
  <c r="BB56" i="1"/>
  <c r="BF56" i="1"/>
  <c r="BJ56" i="1"/>
  <c r="BN56" i="1"/>
  <c r="BR56" i="1"/>
  <c r="BV56" i="1"/>
  <c r="H114" i="1"/>
  <c r="L114" i="1"/>
  <c r="L118" i="1" s="1"/>
  <c r="P114" i="1"/>
  <c r="T114" i="1"/>
  <c r="X114" i="1"/>
  <c r="CJ114" i="1" s="1"/>
  <c r="AB114" i="1"/>
  <c r="AF114" i="1"/>
  <c r="AJ114" i="1"/>
  <c r="AN114" i="1"/>
  <c r="AR114" i="1"/>
  <c r="AV114" i="1"/>
  <c r="AZ114" i="1"/>
  <c r="BD114" i="1"/>
  <c r="BH114" i="1"/>
  <c r="BL114" i="1"/>
  <c r="BP114" i="1"/>
  <c r="BT114" i="1"/>
  <c r="BX114" i="1"/>
  <c r="K115" i="1"/>
  <c r="O115" i="1"/>
  <c r="S115" i="1"/>
  <c r="W115" i="1"/>
  <c r="AA115" i="1"/>
  <c r="AE115" i="1"/>
  <c r="AI115" i="1"/>
  <c r="AM115" i="1"/>
  <c r="AQ115" i="1"/>
  <c r="AU115" i="1"/>
  <c r="AY115" i="1"/>
  <c r="BC115" i="1"/>
  <c r="BG115" i="1"/>
  <c r="BK115" i="1"/>
  <c r="BO115" i="1"/>
  <c r="BS115" i="1"/>
  <c r="BW115" i="1"/>
  <c r="F117" i="1"/>
  <c r="D119" i="1"/>
  <c r="CJ36" i="1"/>
  <c r="BW38" i="1"/>
  <c r="CB72" i="1"/>
  <c r="BY78" i="1"/>
  <c r="CK154" i="1"/>
  <c r="BZ173" i="1"/>
  <c r="BY173" i="1"/>
  <c r="D250" i="1"/>
  <c r="H250" i="1"/>
  <c r="P250" i="1"/>
  <c r="T250" i="1"/>
  <c r="X250" i="1"/>
  <c r="AB250" i="1"/>
  <c r="AF250" i="1"/>
  <c r="AJ250" i="1"/>
  <c r="AN250" i="1"/>
  <c r="AR250" i="1"/>
  <c r="AV250" i="1"/>
  <c r="AZ250" i="1"/>
  <c r="BD250" i="1"/>
  <c r="BH250" i="1"/>
  <c r="BL250" i="1"/>
  <c r="BP250" i="1"/>
  <c r="BT250" i="1"/>
  <c r="BX250" i="1"/>
  <c r="N35" i="1"/>
  <c r="R35" i="1"/>
  <c r="V35" i="1"/>
  <c r="Z35" i="1"/>
  <c r="AD35" i="1"/>
  <c r="AH35" i="1"/>
  <c r="AL35" i="1"/>
  <c r="AP35" i="1"/>
  <c r="AT35" i="1"/>
  <c r="AX35" i="1"/>
  <c r="BB35" i="1"/>
  <c r="BF35" i="1"/>
  <c r="BJ35" i="1"/>
  <c r="BN35" i="1"/>
  <c r="BR35" i="1"/>
  <c r="BV35" i="1"/>
  <c r="H38" i="1"/>
  <c r="CB308" i="1"/>
  <c r="CB263" i="1"/>
  <c r="CI153" i="1"/>
  <c r="CA193" i="1"/>
  <c r="C166" i="1"/>
  <c r="G166" i="1"/>
  <c r="K166" i="1"/>
  <c r="O166" i="1"/>
  <c r="S166" i="1"/>
  <c r="W166" i="1"/>
  <c r="AA166" i="1"/>
  <c r="AE166" i="1"/>
  <c r="AI166" i="1"/>
  <c r="AM166" i="1"/>
  <c r="AQ166" i="1"/>
  <c r="AU166" i="1"/>
  <c r="AY166" i="1"/>
  <c r="BC166" i="1"/>
  <c r="BG166" i="1"/>
  <c r="BK166" i="1"/>
  <c r="BO166" i="1"/>
  <c r="BS166" i="1"/>
  <c r="BW166" i="1"/>
  <c r="D166" i="1"/>
  <c r="H166" i="1"/>
  <c r="L166" i="1"/>
  <c r="P166" i="1"/>
  <c r="T166" i="1"/>
  <c r="X166" i="1"/>
  <c r="AB166" i="1"/>
  <c r="AF166" i="1"/>
  <c r="AJ166" i="1"/>
  <c r="AN166" i="1"/>
  <c r="AR166" i="1"/>
  <c r="AV166" i="1"/>
  <c r="AZ166" i="1"/>
  <c r="BD166" i="1"/>
  <c r="BH166" i="1"/>
  <c r="BL166" i="1"/>
  <c r="BP166" i="1"/>
  <c r="BT166" i="1"/>
  <c r="BX166" i="1"/>
  <c r="E166" i="1"/>
  <c r="I166" i="1"/>
  <c r="M166" i="1"/>
  <c r="Q166" i="1"/>
  <c r="U166" i="1"/>
  <c r="Y166" i="1"/>
  <c r="AC166" i="1"/>
  <c r="AG166" i="1"/>
  <c r="AK166" i="1"/>
  <c r="AO166" i="1"/>
  <c r="AS166" i="1"/>
  <c r="AW166" i="1"/>
  <c r="BA166" i="1"/>
  <c r="BE166" i="1"/>
  <c r="BI166" i="1"/>
  <c r="BM166" i="1"/>
  <c r="BQ166" i="1"/>
  <c r="BU166" i="1"/>
  <c r="CK249" i="1"/>
  <c r="E418" i="1"/>
  <c r="E421" i="1" s="1"/>
  <c r="E335" i="1"/>
  <c r="I418" i="1"/>
  <c r="I421" i="1" s="1"/>
  <c r="I335" i="1"/>
  <c r="M335" i="1"/>
  <c r="M334" i="1"/>
  <c r="Q335" i="1"/>
  <c r="Q334" i="1"/>
  <c r="U335" i="1"/>
  <c r="U334" i="1"/>
  <c r="Y335" i="1"/>
  <c r="AC418" i="1"/>
  <c r="AC421" i="1" s="1"/>
  <c r="AC335" i="1"/>
  <c r="AG335" i="1"/>
  <c r="AG334" i="1"/>
  <c r="AK335" i="1"/>
  <c r="AK334" i="1"/>
  <c r="AO335" i="1"/>
  <c r="AO334" i="1"/>
  <c r="AS335" i="1"/>
  <c r="AW418" i="1"/>
  <c r="AW421" i="1" s="1"/>
  <c r="AW335" i="1"/>
  <c r="BA335" i="1"/>
  <c r="BA334" i="1"/>
  <c r="BE335" i="1"/>
  <c r="BE334" i="1"/>
  <c r="BI335" i="1"/>
  <c r="BI334" i="1"/>
  <c r="BM335" i="1"/>
  <c r="BQ418" i="1"/>
  <c r="BQ421" i="1" s="1"/>
  <c r="BQ335" i="1"/>
  <c r="BU335" i="1"/>
  <c r="BU334" i="1"/>
  <c r="C21" i="4"/>
  <c r="D418" i="1"/>
  <c r="D335" i="1"/>
  <c r="H418" i="1"/>
  <c r="H421" i="1" s="1"/>
  <c r="H335" i="1"/>
  <c r="L335" i="1"/>
  <c r="P334" i="1"/>
  <c r="P335" i="1"/>
  <c r="T334" i="1"/>
  <c r="T335" i="1"/>
  <c r="X418" i="1"/>
  <c r="X421" i="1" s="1"/>
  <c r="X335" i="1"/>
  <c r="AB334" i="1"/>
  <c r="AB335" i="1"/>
  <c r="AF335" i="1"/>
  <c r="AJ334" i="1"/>
  <c r="AJ335" i="1"/>
  <c r="AN334" i="1"/>
  <c r="AN335" i="1"/>
  <c r="AR418" i="1"/>
  <c r="AR421" i="1" s="1"/>
  <c r="AR335" i="1"/>
  <c r="AV335" i="1"/>
  <c r="AZ335" i="1"/>
  <c r="BD334" i="1"/>
  <c r="BD335" i="1"/>
  <c r="BH334" i="1"/>
  <c r="BH335" i="1"/>
  <c r="BL418" i="1"/>
  <c r="BL421" i="1" s="1"/>
  <c r="BL335" i="1"/>
  <c r="BP334" i="1"/>
  <c r="BP335" i="1"/>
  <c r="BT335" i="1"/>
  <c r="BX334" i="1"/>
  <c r="BX335" i="1"/>
  <c r="AW325" i="1"/>
  <c r="BG332" i="1"/>
  <c r="BG409" i="1" s="1"/>
  <c r="AD335" i="1"/>
  <c r="AT335" i="1"/>
  <c r="BJ335" i="1"/>
  <c r="C344" i="1"/>
  <c r="C345" i="1"/>
  <c r="K344" i="1"/>
  <c r="K345" i="1"/>
  <c r="O344" i="1"/>
  <c r="O345" i="1"/>
  <c r="S344" i="1"/>
  <c r="S345" i="1"/>
  <c r="AA344" i="1"/>
  <c r="AA345" i="1"/>
  <c r="AE344" i="1"/>
  <c r="AE345" i="1"/>
  <c r="AI344" i="1"/>
  <c r="AI345" i="1"/>
  <c r="AQ344" i="1"/>
  <c r="AQ345" i="1"/>
  <c r="AU344" i="1"/>
  <c r="AU345" i="1"/>
  <c r="BK344" i="1"/>
  <c r="BK345" i="1"/>
  <c r="E325" i="1"/>
  <c r="BQ325" i="1"/>
  <c r="CB437" i="1"/>
  <c r="CC331" i="1"/>
  <c r="R335" i="1"/>
  <c r="AX335" i="1"/>
  <c r="BN335" i="1"/>
  <c r="D343" i="1"/>
  <c r="D346" i="1"/>
  <c r="D342" i="1"/>
  <c r="H343" i="1"/>
  <c r="H342" i="1"/>
  <c r="H346" i="1"/>
  <c r="L343" i="1"/>
  <c r="L342" i="1"/>
  <c r="L346" i="1"/>
  <c r="P343" i="1"/>
  <c r="P342" i="1"/>
  <c r="P346" i="1"/>
  <c r="T343" i="1"/>
  <c r="T346" i="1"/>
  <c r="T342" i="1"/>
  <c r="X343" i="1"/>
  <c r="X342" i="1"/>
  <c r="X346" i="1"/>
  <c r="AB343" i="1"/>
  <c r="AB342" i="1"/>
  <c r="AB346" i="1"/>
  <c r="AF343" i="1"/>
  <c r="AF342" i="1"/>
  <c r="AF346" i="1"/>
  <c r="AJ343" i="1"/>
  <c r="AJ346" i="1"/>
  <c r="AJ342" i="1"/>
  <c r="AN343" i="1"/>
  <c r="AN342" i="1"/>
  <c r="AN346" i="1"/>
  <c r="E284" i="1"/>
  <c r="E281" i="1"/>
  <c r="E282" i="1"/>
  <c r="E21" i="4" s="1"/>
  <c r="I284" i="1"/>
  <c r="I281" i="1"/>
  <c r="I282" i="1"/>
  <c r="I21" i="4" s="1"/>
  <c r="M284" i="1"/>
  <c r="M282" i="1"/>
  <c r="Q284" i="1"/>
  <c r="Q281" i="1"/>
  <c r="Q282" i="1"/>
  <c r="U284" i="1"/>
  <c r="U281" i="1"/>
  <c r="U282" i="1"/>
  <c r="Y284" i="1"/>
  <c r="Y281" i="1"/>
  <c r="Y282" i="1"/>
  <c r="AC284" i="1"/>
  <c r="AC281" i="1"/>
  <c r="AC282" i="1"/>
  <c r="AG284" i="1"/>
  <c r="AG281" i="1"/>
  <c r="AG282" i="1"/>
  <c r="AK284" i="1"/>
  <c r="AK281" i="1"/>
  <c r="AK282" i="1"/>
  <c r="AO284" i="1"/>
  <c r="AO281" i="1"/>
  <c r="AO282" i="1"/>
  <c r="AS284" i="1"/>
  <c r="AS281" i="1"/>
  <c r="AS282" i="1"/>
  <c r="AW284" i="1"/>
  <c r="AW281" i="1"/>
  <c r="CI280" i="1"/>
  <c r="AW282" i="1"/>
  <c r="Q21" i="4" s="1"/>
  <c r="BA284" i="1"/>
  <c r="BA281" i="1"/>
  <c r="BA282" i="1"/>
  <c r="BE284" i="1"/>
  <c r="BE281" i="1"/>
  <c r="BE282" i="1"/>
  <c r="BI284" i="1"/>
  <c r="BI281" i="1"/>
  <c r="BI282" i="1"/>
  <c r="BM284" i="1"/>
  <c r="BM281" i="1"/>
  <c r="BM282" i="1"/>
  <c r="BQ284" i="1"/>
  <c r="BQ281" i="1"/>
  <c r="BQ282" i="1"/>
  <c r="U21" i="4" s="1"/>
  <c r="BU284" i="1"/>
  <c r="BU281" i="1"/>
  <c r="BU282" i="1"/>
  <c r="F418" i="1"/>
  <c r="F421" i="1" s="1"/>
  <c r="N418" i="1"/>
  <c r="N421" i="1" s="1"/>
  <c r="AH418" i="1"/>
  <c r="AH421" i="1" s="1"/>
  <c r="BB418" i="1"/>
  <c r="BB421" i="1" s="1"/>
  <c r="BV418" i="1"/>
  <c r="BV421" i="1" s="1"/>
  <c r="I325" i="1"/>
  <c r="C332" i="1"/>
  <c r="C409" i="1" s="1"/>
  <c r="C408" i="1" s="1"/>
  <c r="C413" i="1" s="1"/>
  <c r="S332" i="1"/>
  <c r="S409" i="1" s="1"/>
  <c r="S408" i="1" s="1"/>
  <c r="S413" i="1" s="1"/>
  <c r="F335" i="1"/>
  <c r="V335" i="1"/>
  <c r="AL335" i="1"/>
  <c r="BB335" i="1"/>
  <c r="BR335" i="1"/>
  <c r="C418" i="1"/>
  <c r="C421" i="1" s="1"/>
  <c r="C335" i="1"/>
  <c r="G418" i="1"/>
  <c r="G421" i="1" s="1"/>
  <c r="G335" i="1"/>
  <c r="K335" i="1"/>
  <c r="O335" i="1"/>
  <c r="S418" i="1"/>
  <c r="S421" i="1" s="1"/>
  <c r="S335" i="1"/>
  <c r="W335" i="1"/>
  <c r="AA335" i="1"/>
  <c r="AE335" i="1"/>
  <c r="AI335" i="1"/>
  <c r="AM418" i="1"/>
  <c r="AM421" i="1" s="1"/>
  <c r="AM335" i="1"/>
  <c r="AQ334" i="1"/>
  <c r="AQ335" i="1"/>
  <c r="AU335" i="1"/>
  <c r="AY335" i="1"/>
  <c r="BC335" i="1"/>
  <c r="BG418" i="1"/>
  <c r="BG421" i="1" s="1"/>
  <c r="BG335" i="1"/>
  <c r="BK335" i="1"/>
  <c r="BO335" i="1"/>
  <c r="BS335" i="1"/>
  <c r="BW335" i="1"/>
  <c r="K333" i="1"/>
  <c r="K334" i="1" s="1"/>
  <c r="O333" i="1"/>
  <c r="O334" i="1" s="1"/>
  <c r="W333" i="1"/>
  <c r="W334" i="1" s="1"/>
  <c r="AA333" i="1"/>
  <c r="AA334" i="1" s="1"/>
  <c r="AE333" i="1"/>
  <c r="AE334" i="1" s="1"/>
  <c r="AI333" i="1"/>
  <c r="AI334" i="1" s="1"/>
  <c r="AQ333" i="1"/>
  <c r="AU333" i="1"/>
  <c r="AU334" i="1" s="1"/>
  <c r="AY333" i="1"/>
  <c r="AY334" i="1" s="1"/>
  <c r="BC333" i="1"/>
  <c r="BC334" i="1" s="1"/>
  <c r="BK333" i="1"/>
  <c r="BK334" i="1" s="1"/>
  <c r="BO333" i="1"/>
  <c r="BO334" i="1" s="1"/>
  <c r="BS333" i="1"/>
  <c r="BS334" i="1" s="1"/>
  <c r="BW333" i="1"/>
  <c r="BW334" i="1" s="1"/>
  <c r="AC325" i="1"/>
  <c r="G332" i="1"/>
  <c r="G409" i="1" s="1"/>
  <c r="G408" i="1" s="1"/>
  <c r="G413" i="1" s="1"/>
  <c r="AM332" i="1"/>
  <c r="AM409" i="1" s="1"/>
  <c r="AM408" i="1" s="1"/>
  <c r="AM413" i="1" s="1"/>
  <c r="J335" i="1"/>
  <c r="Z335" i="1"/>
  <c r="AP335" i="1"/>
  <c r="BF335" i="1"/>
  <c r="BV335" i="1"/>
  <c r="AV342" i="1"/>
  <c r="AV343" i="1"/>
  <c r="AZ342" i="1"/>
  <c r="AZ343" i="1"/>
  <c r="BD342" i="1"/>
  <c r="BD343" i="1"/>
  <c r="BD348" i="1"/>
  <c r="BH342" i="1"/>
  <c r="BH343" i="1"/>
  <c r="BH348" i="1"/>
  <c r="BL342" i="1"/>
  <c r="BL343" i="1"/>
  <c r="BL348" i="1"/>
  <c r="BP342" i="1"/>
  <c r="BP343" i="1"/>
  <c r="BP348" i="1"/>
  <c r="BT342" i="1"/>
  <c r="BT343" i="1"/>
  <c r="BT348" i="1"/>
  <c r="BX342" i="1"/>
  <c r="BX343" i="1"/>
  <c r="BX348" i="1"/>
  <c r="E345" i="1"/>
  <c r="E344" i="1"/>
  <c r="I345" i="1"/>
  <c r="I344" i="1"/>
  <c r="M345" i="1"/>
  <c r="M344" i="1"/>
  <c r="Q345" i="1"/>
  <c r="Q344" i="1"/>
  <c r="U345" i="1"/>
  <c r="U344" i="1"/>
  <c r="Y345" i="1"/>
  <c r="Y344" i="1"/>
  <c r="AC345" i="1"/>
  <c r="AC344" i="1"/>
  <c r="AG345" i="1"/>
  <c r="AG344" i="1"/>
  <c r="AK345" i="1"/>
  <c r="AK344" i="1"/>
  <c r="AO345" i="1"/>
  <c r="AO344" i="1"/>
  <c r="AS345" i="1"/>
  <c r="AS344" i="1"/>
  <c r="BG344" i="1"/>
  <c r="BG345" i="1"/>
  <c r="BO344" i="1"/>
  <c r="BO345" i="1"/>
  <c r="BW344" i="1"/>
  <c r="BW345" i="1"/>
  <c r="BD346" i="1"/>
  <c r="BT346" i="1"/>
  <c r="D281" i="1"/>
  <c r="H281" i="1"/>
  <c r="P281" i="1"/>
  <c r="T281" i="1"/>
  <c r="X281" i="1"/>
  <c r="AB281" i="1"/>
  <c r="AF281" i="1"/>
  <c r="AJ281" i="1"/>
  <c r="AN281" i="1"/>
  <c r="AR281" i="1"/>
  <c r="AV281" i="1"/>
  <c r="AZ281" i="1"/>
  <c r="BD281" i="1"/>
  <c r="BH281" i="1"/>
  <c r="BL281" i="1"/>
  <c r="BP281" i="1"/>
  <c r="BT281" i="1"/>
  <c r="BX281" i="1"/>
  <c r="C284" i="1"/>
  <c r="G284" i="1"/>
  <c r="K284" i="1"/>
  <c r="O284" i="1"/>
  <c r="S284" i="1"/>
  <c r="W284" i="1"/>
  <c r="AA284" i="1"/>
  <c r="AE284" i="1"/>
  <c r="AI284" i="1"/>
  <c r="AM284" i="1"/>
  <c r="AQ284" i="1"/>
  <c r="AU284" i="1"/>
  <c r="AY284" i="1"/>
  <c r="BC284" i="1"/>
  <c r="BG284" i="1"/>
  <c r="BK284" i="1"/>
  <c r="BO284" i="1"/>
  <c r="BS284" i="1"/>
  <c r="BW284" i="1"/>
  <c r="F325" i="1"/>
  <c r="N325" i="1"/>
  <c r="AH325" i="1"/>
  <c r="BB325" i="1"/>
  <c r="BV325" i="1"/>
  <c r="D332" i="1"/>
  <c r="D409" i="1" s="1"/>
  <c r="H332" i="1"/>
  <c r="H409" i="1" s="1"/>
  <c r="X332" i="1"/>
  <c r="X409" i="1" s="1"/>
  <c r="AR332" i="1"/>
  <c r="AR409" i="1" s="1"/>
  <c r="BL332" i="1"/>
  <c r="BL409" i="1" s="1"/>
  <c r="E343" i="1"/>
  <c r="E346" i="1"/>
  <c r="I343" i="1"/>
  <c r="I346" i="1"/>
  <c r="M343" i="1"/>
  <c r="M346" i="1"/>
  <c r="Q343" i="1"/>
  <c r="Q346" i="1"/>
  <c r="U343" i="1"/>
  <c r="U346" i="1"/>
  <c r="Y343" i="1"/>
  <c r="Y346" i="1"/>
  <c r="AC343" i="1"/>
  <c r="AC346" i="1"/>
  <c r="AG343" i="1"/>
  <c r="AG346" i="1"/>
  <c r="AK343" i="1"/>
  <c r="AK346" i="1"/>
  <c r="AO343" i="1"/>
  <c r="AO346" i="1"/>
  <c r="AS343" i="1"/>
  <c r="AS346" i="1"/>
  <c r="AW343" i="1"/>
  <c r="AW346" i="1"/>
  <c r="BA343" i="1"/>
  <c r="BA346" i="1"/>
  <c r="BE343" i="1"/>
  <c r="BE346" i="1"/>
  <c r="BI343" i="1"/>
  <c r="BI346" i="1"/>
  <c r="BM343" i="1"/>
  <c r="BM346" i="1"/>
  <c r="BQ343" i="1"/>
  <c r="BQ346" i="1"/>
  <c r="BU343" i="1"/>
  <c r="BU346" i="1"/>
  <c r="BA342" i="1"/>
  <c r="BI342" i="1"/>
  <c r="BQ342" i="1"/>
  <c r="J343" i="1"/>
  <c r="Z343" i="1"/>
  <c r="AL345" i="1"/>
  <c r="AR346" i="1"/>
  <c r="BH346" i="1"/>
  <c r="BX346" i="1"/>
  <c r="F348" i="1"/>
  <c r="F349" i="1"/>
  <c r="J348" i="1"/>
  <c r="N348" i="1"/>
  <c r="N349" i="1"/>
  <c r="R348" i="1"/>
  <c r="R349" i="1"/>
  <c r="V348" i="1"/>
  <c r="V349" i="1"/>
  <c r="Z348" i="1"/>
  <c r="Z349" i="1"/>
  <c r="AD348" i="1"/>
  <c r="AD349" i="1"/>
  <c r="AH348" i="1"/>
  <c r="AH349" i="1"/>
  <c r="AL348" i="1"/>
  <c r="AL349" i="1"/>
  <c r="AP348" i="1"/>
  <c r="AP349" i="1"/>
  <c r="AT348" i="1"/>
  <c r="AT349" i="1"/>
  <c r="AX348" i="1"/>
  <c r="AX349" i="1"/>
  <c r="BB348" i="1"/>
  <c r="BB349" i="1"/>
  <c r="BF348" i="1"/>
  <c r="BF349" i="1"/>
  <c r="BJ348" i="1"/>
  <c r="BJ349" i="1"/>
  <c r="BN348" i="1"/>
  <c r="BN349" i="1"/>
  <c r="BR348" i="1"/>
  <c r="BR349" i="1"/>
  <c r="BV348" i="1"/>
  <c r="BV349" i="1"/>
  <c r="C348" i="1"/>
  <c r="S348" i="1"/>
  <c r="AI348" i="1"/>
  <c r="C38" i="2"/>
  <c r="F282" i="1"/>
  <c r="F21" i="4" s="1"/>
  <c r="N282" i="1"/>
  <c r="J21" i="4" s="1"/>
  <c r="R282" i="1"/>
  <c r="V282" i="1"/>
  <c r="Z282" i="1"/>
  <c r="AD282" i="1"/>
  <c r="AH282" i="1"/>
  <c r="N21" i="4" s="1"/>
  <c r="AL282" i="1"/>
  <c r="AP282" i="1"/>
  <c r="AT282" i="1"/>
  <c r="AX282" i="1"/>
  <c r="BB282" i="1"/>
  <c r="BF282" i="1"/>
  <c r="BJ282" i="1"/>
  <c r="BN282" i="1"/>
  <c r="BR282" i="1"/>
  <c r="BV282" i="1"/>
  <c r="V21" i="4" s="1"/>
  <c r="D284" i="1"/>
  <c r="H284" i="1"/>
  <c r="L284" i="1"/>
  <c r="P284" i="1"/>
  <c r="T284" i="1"/>
  <c r="X284" i="1"/>
  <c r="AB284" i="1"/>
  <c r="AF284" i="1"/>
  <c r="AJ284" i="1"/>
  <c r="AN284" i="1"/>
  <c r="AR284" i="1"/>
  <c r="AV284" i="1"/>
  <c r="AZ284" i="1"/>
  <c r="BD284" i="1"/>
  <c r="BH284" i="1"/>
  <c r="BL284" i="1"/>
  <c r="BP284" i="1"/>
  <c r="BT284" i="1"/>
  <c r="BX284" i="1"/>
  <c r="C325" i="1"/>
  <c r="G325" i="1"/>
  <c r="G333" i="1" s="1"/>
  <c r="G334" i="1" s="1"/>
  <c r="S325" i="1"/>
  <c r="AM325" i="1"/>
  <c r="BG325" i="1"/>
  <c r="E332" i="1"/>
  <c r="E409" i="1" s="1"/>
  <c r="E408" i="1" s="1"/>
  <c r="E413" i="1" s="1"/>
  <c r="I332" i="1"/>
  <c r="I409" i="1" s="1"/>
  <c r="AC332" i="1"/>
  <c r="AC409" i="1" s="1"/>
  <c r="AW332" i="1"/>
  <c r="AW409" i="1" s="1"/>
  <c r="BQ332" i="1"/>
  <c r="BQ409" i="1" s="1"/>
  <c r="BQ408" i="1" s="1"/>
  <c r="BQ413" i="1" s="1"/>
  <c r="AX346" i="1"/>
  <c r="AX342" i="1"/>
  <c r="BB346" i="1"/>
  <c r="BB342" i="1"/>
  <c r="BF346" i="1"/>
  <c r="BF342" i="1"/>
  <c r="BJ346" i="1"/>
  <c r="BJ342" i="1"/>
  <c r="BN346" i="1"/>
  <c r="BN342" i="1"/>
  <c r="BR346" i="1"/>
  <c r="BR342" i="1"/>
  <c r="BV346" i="1"/>
  <c r="BV342" i="1"/>
  <c r="G342" i="1"/>
  <c r="W342" i="1"/>
  <c r="AM342" i="1"/>
  <c r="BC342" i="1"/>
  <c r="BS342" i="1"/>
  <c r="N343" i="1"/>
  <c r="AD343" i="1"/>
  <c r="AT343" i="1"/>
  <c r="BJ343" i="1"/>
  <c r="Z345" i="1"/>
  <c r="AP345" i="1"/>
  <c r="AV346" i="1"/>
  <c r="BL346" i="1"/>
  <c r="G349" i="1"/>
  <c r="O349" i="1"/>
  <c r="S349" i="1"/>
  <c r="W349" i="1"/>
  <c r="AA349" i="1"/>
  <c r="AE349" i="1"/>
  <c r="AI349" i="1"/>
  <c r="AM349" i="1"/>
  <c r="AQ349" i="1"/>
  <c r="AU349" i="1"/>
  <c r="AY349" i="1"/>
  <c r="BC349" i="1"/>
  <c r="BG349" i="1"/>
  <c r="BK349" i="1"/>
  <c r="BO349" i="1"/>
  <c r="BS349" i="1"/>
  <c r="BW349" i="1"/>
  <c r="AG390" i="1"/>
  <c r="D420" i="1"/>
  <c r="CJ280" i="1"/>
  <c r="BV281" i="1"/>
  <c r="H325" i="1"/>
  <c r="X325" i="1"/>
  <c r="X333" i="1" s="1"/>
  <c r="X334" i="1" s="1"/>
  <c r="AR325" i="1"/>
  <c r="BL325" i="1"/>
  <c r="F332" i="1"/>
  <c r="F409" i="1" s="1"/>
  <c r="N332" i="1"/>
  <c r="N409" i="1" s="1"/>
  <c r="AH332" i="1"/>
  <c r="AH409" i="1" s="1"/>
  <c r="BB332" i="1"/>
  <c r="BB409" i="1" s="1"/>
  <c r="BV332" i="1"/>
  <c r="BV409" i="1" s="1"/>
  <c r="BV408" i="1" s="1"/>
  <c r="C346" i="1"/>
  <c r="C343" i="1"/>
  <c r="G346" i="1"/>
  <c r="G343" i="1"/>
  <c r="K346" i="1"/>
  <c r="K343" i="1"/>
  <c r="O346" i="1"/>
  <c r="O343" i="1"/>
  <c r="S346" i="1"/>
  <c r="S343" i="1"/>
  <c r="W346" i="1"/>
  <c r="W343" i="1"/>
  <c r="AA346" i="1"/>
  <c r="AA343" i="1"/>
  <c r="AE346" i="1"/>
  <c r="AE343" i="1"/>
  <c r="AI346" i="1"/>
  <c r="AI343" i="1"/>
  <c r="AM346" i="1"/>
  <c r="AM343" i="1"/>
  <c r="AQ346" i="1"/>
  <c r="AQ343" i="1"/>
  <c r="AU346" i="1"/>
  <c r="AU343" i="1"/>
  <c r="AY346" i="1"/>
  <c r="AY343" i="1"/>
  <c r="BC346" i="1"/>
  <c r="BC343" i="1"/>
  <c r="BG346" i="1"/>
  <c r="BG343" i="1"/>
  <c r="BK346" i="1"/>
  <c r="BK343" i="1"/>
  <c r="BO346" i="1"/>
  <c r="BO343" i="1"/>
  <c r="BS346" i="1"/>
  <c r="BS343" i="1"/>
  <c r="BW346" i="1"/>
  <c r="BW343" i="1"/>
  <c r="AR342" i="1"/>
  <c r="AW342" i="1"/>
  <c r="BE342" i="1"/>
  <c r="BM342" i="1"/>
  <c r="BU342" i="1"/>
  <c r="R343" i="1"/>
  <c r="AH343" i="1"/>
  <c r="AX343" i="1"/>
  <c r="BN343" i="1"/>
  <c r="N345" i="1"/>
  <c r="AD345" i="1"/>
  <c r="AZ346" i="1"/>
  <c r="BP346" i="1"/>
  <c r="L348" i="1"/>
  <c r="K348" i="1"/>
  <c r="AA348" i="1"/>
  <c r="AQ348" i="1"/>
  <c r="BG348" i="1"/>
  <c r="BW348" i="1"/>
  <c r="D410" i="1"/>
  <c r="D428" i="1" s="1"/>
  <c r="E391" i="1"/>
  <c r="D390" i="1"/>
  <c r="H410" i="1"/>
  <c r="H428" i="1" s="1"/>
  <c r="I391" i="1"/>
  <c r="H390" i="1"/>
  <c r="X410" i="1"/>
  <c r="X428" i="1" s="1"/>
  <c r="AC391" i="1"/>
  <c r="X390" i="1"/>
  <c r="AR410" i="1"/>
  <c r="AR428" i="1" s="1"/>
  <c r="AR390" i="1"/>
  <c r="AW391" i="1"/>
  <c r="BL410" i="1"/>
  <c r="BL428" i="1" s="1"/>
  <c r="BL390" i="1"/>
  <c r="BQ391" i="1"/>
  <c r="BX390" i="1"/>
  <c r="BX389" i="1"/>
  <c r="CD382" i="1"/>
  <c r="U390" i="1"/>
  <c r="AK390" i="1"/>
  <c r="D348" i="1"/>
  <c r="H348" i="1"/>
  <c r="P348" i="1"/>
  <c r="T348" i="1"/>
  <c r="X348" i="1"/>
  <c r="AB348" i="1"/>
  <c r="AF348" i="1"/>
  <c r="AJ348" i="1"/>
  <c r="AN348" i="1"/>
  <c r="AR348" i="1"/>
  <c r="AV348" i="1"/>
  <c r="AZ348" i="1"/>
  <c r="AS390" i="1"/>
  <c r="AW390" i="1"/>
  <c r="BB391" i="1"/>
  <c r="BA390" i="1"/>
  <c r="BE390" i="1"/>
  <c r="BI390" i="1"/>
  <c r="BM390" i="1"/>
  <c r="BQ390" i="1"/>
  <c r="BV391" i="1"/>
  <c r="BU390" i="1"/>
  <c r="BV390" i="1"/>
  <c r="X391" i="1"/>
  <c r="I410" i="1"/>
  <c r="I428" i="1" s="1"/>
  <c r="G391" i="1"/>
  <c r="F410" i="1"/>
  <c r="F428" i="1" s="1"/>
  <c r="S391" i="1"/>
  <c r="N410" i="1"/>
  <c r="N428" i="1" s="1"/>
  <c r="AM391" i="1"/>
  <c r="AH410" i="1"/>
  <c r="AH428" i="1" s="1"/>
  <c r="BG391" i="1"/>
  <c r="BB410" i="1"/>
  <c r="BB428" i="1" s="1"/>
  <c r="G390" i="1"/>
  <c r="S390" i="1"/>
  <c r="AM390" i="1"/>
  <c r="AR391" i="1"/>
  <c r="AC410" i="1"/>
  <c r="AC428" i="1" s="1"/>
  <c r="BG410" i="1"/>
  <c r="BG428" i="1" s="1"/>
  <c r="BG390" i="1"/>
  <c r="BS390" i="1"/>
  <c r="BW390" i="1"/>
  <c r="D391" i="1"/>
  <c r="BL391" i="1"/>
  <c r="AW410" i="1"/>
  <c r="AW428" i="1" s="1"/>
  <c r="AD44" i="2"/>
  <c r="AD29" i="2"/>
  <c r="AD34" i="2"/>
  <c r="AD28" i="2"/>
  <c r="R34" i="2"/>
  <c r="R44" i="2"/>
  <c r="AE34" i="2"/>
  <c r="AE44" i="2"/>
  <c r="T29" i="2"/>
  <c r="T44" i="2"/>
  <c r="CC433" i="1"/>
  <c r="AF34" i="2"/>
  <c r="F67" i="3"/>
  <c r="K35" i="3"/>
  <c r="S28" i="2"/>
  <c r="AF28" i="2"/>
  <c r="AE29" i="2"/>
  <c r="E34" i="3"/>
  <c r="E35" i="3" s="1"/>
  <c r="I34" i="3"/>
  <c r="M34" i="3"/>
  <c r="N34" i="3" s="1"/>
  <c r="N35" i="3" s="1"/>
  <c r="F34" i="3"/>
  <c r="F35" i="3" s="1"/>
  <c r="J34" i="3"/>
  <c r="J35" i="3" s="1"/>
  <c r="G34" i="3"/>
  <c r="BS117" i="1" l="1"/>
  <c r="BZ85" i="1"/>
  <c r="BZ163" i="1" s="1"/>
  <c r="BZ80" i="1"/>
  <c r="BZ81" i="1" s="1"/>
  <c r="Z119" i="1"/>
  <c r="AP119" i="1"/>
  <c r="AA117" i="1"/>
  <c r="AU118" i="1"/>
  <c r="W118" i="1"/>
  <c r="AM117" i="1"/>
  <c r="BN116" i="1"/>
  <c r="AY117" i="1"/>
  <c r="BZ83" i="1"/>
  <c r="BZ182" i="1" s="1"/>
  <c r="BZ203" i="1" s="1"/>
  <c r="BZ218" i="1" s="1"/>
  <c r="AT119" i="1"/>
  <c r="AE118" i="1"/>
  <c r="BN117" i="1"/>
  <c r="CA74" i="1"/>
  <c r="BW117" i="1"/>
  <c r="AD116" i="1"/>
  <c r="BW120" i="1"/>
  <c r="AI117" i="1"/>
  <c r="CK115" i="1"/>
  <c r="AH408" i="1"/>
  <c r="AH413" i="1" s="1"/>
  <c r="AR333" i="1"/>
  <c r="AR334" i="1" s="1"/>
  <c r="C32" i="2"/>
  <c r="CI38" i="1"/>
  <c r="J116" i="1"/>
  <c r="S118" i="1"/>
  <c r="O118" i="1"/>
  <c r="BZ185" i="1"/>
  <c r="BZ186" i="1" s="1"/>
  <c r="BZ230" i="1" s="1"/>
  <c r="J345" i="1"/>
  <c r="CA297" i="1"/>
  <c r="BG117" i="1"/>
  <c r="AL171" i="1"/>
  <c r="BK118" i="1"/>
  <c r="CJ244" i="1"/>
  <c r="CK244" i="1"/>
  <c r="BS118" i="1"/>
  <c r="CI115" i="1"/>
  <c r="BO117" i="1"/>
  <c r="V116" i="1"/>
  <c r="CA296" i="1"/>
  <c r="BZ122" i="1"/>
  <c r="BY185" i="1"/>
  <c r="S333" i="1"/>
  <c r="S334" i="1" s="1"/>
  <c r="BV116" i="1"/>
  <c r="AT345" i="1"/>
  <c r="AY345" i="1"/>
  <c r="V345" i="1"/>
  <c r="AS116" i="1"/>
  <c r="AH117" i="1"/>
  <c r="BG333" i="1"/>
  <c r="BG334" i="1" s="1"/>
  <c r="CA168" i="1"/>
  <c r="CK38" i="1"/>
  <c r="CJ38" i="1"/>
  <c r="BC117" i="1"/>
  <c r="AK116" i="1"/>
  <c r="AH344" i="1"/>
  <c r="AH345" i="1"/>
  <c r="CF282" i="1"/>
  <c r="F408" i="1"/>
  <c r="F413" i="1" s="1"/>
  <c r="AC408" i="1"/>
  <c r="AC413" i="1" s="1"/>
  <c r="AM333" i="1"/>
  <c r="AM334" i="1" s="1"/>
  <c r="F345" i="1"/>
  <c r="AQ117" i="1"/>
  <c r="BF116" i="1"/>
  <c r="CC110" i="1"/>
  <c r="CD110" i="1" s="1"/>
  <c r="R344" i="1"/>
  <c r="R345" i="1"/>
  <c r="BL333" i="1"/>
  <c r="BL334" i="1" s="1"/>
  <c r="Z117" i="1"/>
  <c r="G35" i="3"/>
  <c r="I35" i="3"/>
  <c r="G67" i="3"/>
  <c r="H67" i="3" s="1"/>
  <c r="E67" i="3"/>
  <c r="D67" i="3" s="1"/>
  <c r="CE382" i="1"/>
  <c r="BM345" i="1"/>
  <c r="BM344" i="1"/>
  <c r="BC344" i="1"/>
  <c r="BC345" i="1"/>
  <c r="BN344" i="1"/>
  <c r="BN345" i="1"/>
  <c r="R21" i="4"/>
  <c r="CI282" i="1"/>
  <c r="BA345" i="1"/>
  <c r="BA344" i="1"/>
  <c r="H408" i="1"/>
  <c r="H413" i="1" s="1"/>
  <c r="AB345" i="1"/>
  <c r="AB344" i="1"/>
  <c r="BI247" i="1"/>
  <c r="BI241" i="1"/>
  <c r="BI171" i="1"/>
  <c r="BI149" i="1"/>
  <c r="M247" i="1"/>
  <c r="M171" i="1"/>
  <c r="M149" i="1"/>
  <c r="BD241" i="1"/>
  <c r="BD247" i="1"/>
  <c r="BD149" i="1"/>
  <c r="BD171" i="1"/>
  <c r="H13" i="4"/>
  <c r="H241" i="1"/>
  <c r="H247" i="1"/>
  <c r="H15" i="4" s="1"/>
  <c r="H149" i="1"/>
  <c r="H171" i="1"/>
  <c r="BC241" i="1"/>
  <c r="BC247" i="1"/>
  <c r="BC149" i="1"/>
  <c r="BC171" i="1"/>
  <c r="W241" i="1"/>
  <c r="W247" i="1"/>
  <c r="W149" i="1"/>
  <c r="W171" i="1"/>
  <c r="BS116" i="1"/>
  <c r="BS119" i="1"/>
  <c r="AM116" i="1"/>
  <c r="AM119" i="1"/>
  <c r="BH117" i="1"/>
  <c r="BH118" i="1"/>
  <c r="AB117" i="1"/>
  <c r="AB118" i="1"/>
  <c r="V247" i="1"/>
  <c r="V241" i="1"/>
  <c r="V171" i="1"/>
  <c r="V149" i="1"/>
  <c r="F13" i="4"/>
  <c r="F247" i="1"/>
  <c r="F15" i="4" s="1"/>
  <c r="F241" i="1"/>
  <c r="F171" i="1"/>
  <c r="F149" i="1"/>
  <c r="BJ247" i="1"/>
  <c r="BJ241" i="1"/>
  <c r="BJ171" i="1"/>
  <c r="BJ149" i="1"/>
  <c r="BL116" i="1"/>
  <c r="BL119" i="1"/>
  <c r="BD116" i="1"/>
  <c r="BD119" i="1"/>
  <c r="AV116" i="1"/>
  <c r="AV119" i="1"/>
  <c r="AN116" i="1"/>
  <c r="AN119" i="1"/>
  <c r="AF116" i="1"/>
  <c r="AF119" i="1"/>
  <c r="X116" i="1"/>
  <c r="X119" i="1"/>
  <c r="CJ115" i="1"/>
  <c r="P116" i="1"/>
  <c r="P119" i="1"/>
  <c r="R13" i="4"/>
  <c r="BB247" i="1"/>
  <c r="BB241" i="1"/>
  <c r="BB171" i="1"/>
  <c r="BB149" i="1"/>
  <c r="CD111" i="1"/>
  <c r="BQ118" i="1"/>
  <c r="BQ117" i="1"/>
  <c r="AW118" i="1"/>
  <c r="AW117" i="1"/>
  <c r="AW116" i="1"/>
  <c r="Y118" i="1"/>
  <c r="Y117" i="1"/>
  <c r="BY163" i="1"/>
  <c r="CA85" i="1"/>
  <c r="M35" i="3"/>
  <c r="C92" i="3"/>
  <c r="C90" i="3"/>
  <c r="C91" i="3" s="1"/>
  <c r="C89" i="3"/>
  <c r="BE345" i="1"/>
  <c r="BE344" i="1"/>
  <c r="N408" i="1"/>
  <c r="N413" i="1" s="1"/>
  <c r="AM344" i="1"/>
  <c r="AM345" i="1"/>
  <c r="I408" i="1"/>
  <c r="I413" i="1" s="1"/>
  <c r="BL408" i="1"/>
  <c r="BL413" i="1" s="1"/>
  <c r="D408" i="1"/>
  <c r="D413" i="1" s="1"/>
  <c r="N333" i="1"/>
  <c r="N334" i="1" s="1"/>
  <c r="BL345" i="1"/>
  <c r="BL344" i="1"/>
  <c r="AZ345" i="1"/>
  <c r="AZ344" i="1"/>
  <c r="I333" i="1"/>
  <c r="I334" i="1" s="1"/>
  <c r="AJ345" i="1"/>
  <c r="AJ344" i="1"/>
  <c r="AF345" i="1"/>
  <c r="AF344" i="1"/>
  <c r="T345" i="1"/>
  <c r="T344" i="1"/>
  <c r="P345" i="1"/>
  <c r="P344" i="1"/>
  <c r="D345" i="1"/>
  <c r="D344" i="1"/>
  <c r="BQ333" i="1"/>
  <c r="BQ334" i="1" s="1"/>
  <c r="BG408" i="1"/>
  <c r="BG413" i="1" s="1"/>
  <c r="D421" i="1"/>
  <c r="K32" i="2"/>
  <c r="D333" i="1"/>
  <c r="D334" i="1" s="1"/>
  <c r="BU247" i="1"/>
  <c r="BU241" i="1"/>
  <c r="BU171" i="1"/>
  <c r="BU149" i="1"/>
  <c r="BE247" i="1"/>
  <c r="BE241" i="1"/>
  <c r="BE171" i="1"/>
  <c r="BE149" i="1"/>
  <c r="AO247" i="1"/>
  <c r="AO241" i="1"/>
  <c r="AO171" i="1"/>
  <c r="AO149" i="1"/>
  <c r="Y247" i="1"/>
  <c r="Y241" i="1"/>
  <c r="Y171" i="1"/>
  <c r="Y149" i="1"/>
  <c r="I13" i="4"/>
  <c r="I247" i="1"/>
  <c r="I15" i="4" s="1"/>
  <c r="I241" i="1"/>
  <c r="I171" i="1"/>
  <c r="I149" i="1"/>
  <c r="BP241" i="1"/>
  <c r="BP247" i="1"/>
  <c r="BP149" i="1"/>
  <c r="BP171" i="1"/>
  <c r="AZ241" i="1"/>
  <c r="AZ247" i="1"/>
  <c r="AZ149" i="1"/>
  <c r="AZ171" i="1"/>
  <c r="AJ241" i="1"/>
  <c r="AJ247" i="1"/>
  <c r="AJ149" i="1"/>
  <c r="AJ171" i="1"/>
  <c r="T241" i="1"/>
  <c r="T247" i="1"/>
  <c r="T149" i="1"/>
  <c r="T171" i="1"/>
  <c r="D13" i="4"/>
  <c r="D241" i="1"/>
  <c r="D247" i="1"/>
  <c r="D15" i="4" s="1"/>
  <c r="D149" i="1"/>
  <c r="D171" i="1"/>
  <c r="BO241" i="1"/>
  <c r="BO247" i="1"/>
  <c r="BO149" i="1"/>
  <c r="BO171" i="1"/>
  <c r="AY241" i="1"/>
  <c r="AY247" i="1"/>
  <c r="AY149" i="1"/>
  <c r="AY171" i="1"/>
  <c r="AI241" i="1"/>
  <c r="AI247" i="1"/>
  <c r="AI149" i="1"/>
  <c r="AI171" i="1"/>
  <c r="K13" i="4"/>
  <c r="S241" i="1"/>
  <c r="S247" i="1"/>
  <c r="K15" i="4" s="1"/>
  <c r="S149" i="1"/>
  <c r="S171" i="1"/>
  <c r="C13" i="4"/>
  <c r="C247" i="1"/>
  <c r="C149" i="1"/>
  <c r="C171" i="1"/>
  <c r="CC308" i="1"/>
  <c r="CB74" i="1"/>
  <c r="CC72" i="1"/>
  <c r="BO116" i="1"/>
  <c r="BO119" i="1"/>
  <c r="AY116" i="1"/>
  <c r="AY119" i="1"/>
  <c r="AI116" i="1"/>
  <c r="AI119" i="1"/>
  <c r="S116" i="1"/>
  <c r="S119" i="1"/>
  <c r="BT120" i="1"/>
  <c r="BT117" i="1"/>
  <c r="BT118" i="1"/>
  <c r="BD117" i="1"/>
  <c r="BD118" i="1"/>
  <c r="AN117" i="1"/>
  <c r="AN118" i="1"/>
  <c r="X117" i="1"/>
  <c r="X118" i="1"/>
  <c r="H117" i="1"/>
  <c r="H116" i="1"/>
  <c r="H118" i="1"/>
  <c r="BE118" i="1"/>
  <c r="BE117" i="1"/>
  <c r="AG118" i="1"/>
  <c r="AG117" i="1"/>
  <c r="AG116" i="1"/>
  <c r="AX247" i="1"/>
  <c r="AX241" i="1"/>
  <c r="AX171" i="1"/>
  <c r="AX149" i="1"/>
  <c r="AP247" i="1"/>
  <c r="AP241" i="1"/>
  <c r="AP171" i="1"/>
  <c r="AP149" i="1"/>
  <c r="AD247" i="1"/>
  <c r="AD241" i="1"/>
  <c r="AD171" i="1"/>
  <c r="AD149" i="1"/>
  <c r="R247" i="1"/>
  <c r="R241" i="1"/>
  <c r="R171" i="1"/>
  <c r="R149" i="1"/>
  <c r="J247" i="1"/>
  <c r="J171" i="1"/>
  <c r="J149" i="1"/>
  <c r="BU118" i="1"/>
  <c r="BU120" i="1"/>
  <c r="BU117" i="1"/>
  <c r="AO118" i="1"/>
  <c r="AO117" i="1"/>
  <c r="I118" i="1"/>
  <c r="I117" i="1"/>
  <c r="D29" i="3"/>
  <c r="D24" i="3" s="1"/>
  <c r="CA266" i="1"/>
  <c r="AH333" i="1"/>
  <c r="AH334" i="1" s="1"/>
  <c r="L345" i="1"/>
  <c r="L344" i="1"/>
  <c r="AS247" i="1"/>
  <c r="AS241" i="1"/>
  <c r="AS171" i="1"/>
  <c r="AS149" i="1"/>
  <c r="L13" i="4"/>
  <c r="X241" i="1"/>
  <c r="X247" i="1"/>
  <c r="L15" i="4" s="1"/>
  <c r="X149" i="1"/>
  <c r="X171" i="1"/>
  <c r="BS241" i="1"/>
  <c r="BS247" i="1"/>
  <c r="BS149" i="1"/>
  <c r="BS171" i="1"/>
  <c r="W116" i="1"/>
  <c r="W119" i="1"/>
  <c r="AR117" i="1"/>
  <c r="AR118" i="1"/>
  <c r="AW345" i="1"/>
  <c r="AW344" i="1"/>
  <c r="H333" i="1"/>
  <c r="H334" i="1" s="1"/>
  <c r="W344" i="1"/>
  <c r="W345" i="1"/>
  <c r="BR344" i="1"/>
  <c r="BR345" i="1"/>
  <c r="BJ344" i="1"/>
  <c r="BJ345" i="1"/>
  <c r="BB344" i="1"/>
  <c r="BB345" i="1"/>
  <c r="BQ345" i="1"/>
  <c r="BQ344" i="1"/>
  <c r="AR408" i="1"/>
  <c r="AR413" i="1" s="1"/>
  <c r="BV333" i="1"/>
  <c r="BV334" i="1" s="1"/>
  <c r="F333" i="1"/>
  <c r="F334" i="1" s="1"/>
  <c r="BP345" i="1"/>
  <c r="BP344" i="1"/>
  <c r="M21" i="4"/>
  <c r="CJ282" i="1"/>
  <c r="E333" i="1"/>
  <c r="E334" i="1" s="1"/>
  <c r="AW333" i="1"/>
  <c r="AW334" i="1" s="1"/>
  <c r="L32" i="2"/>
  <c r="U13" i="4"/>
  <c r="BQ247" i="1"/>
  <c r="U15" i="4" s="1"/>
  <c r="BQ241" i="1"/>
  <c r="BQ171" i="1"/>
  <c r="BQ149" i="1"/>
  <c r="BA247" i="1"/>
  <c r="BA241" i="1"/>
  <c r="BA171" i="1"/>
  <c r="BA149" i="1"/>
  <c r="AK247" i="1"/>
  <c r="AK241" i="1"/>
  <c r="AK171" i="1"/>
  <c r="AK149" i="1"/>
  <c r="U247" i="1"/>
  <c r="U241" i="1"/>
  <c r="U171" i="1"/>
  <c r="U149" i="1"/>
  <c r="E13" i="4"/>
  <c r="E247" i="1"/>
  <c r="E15" i="4" s="1"/>
  <c r="E241" i="1"/>
  <c r="E171" i="1"/>
  <c r="E149" i="1"/>
  <c r="CA201" i="1"/>
  <c r="T13" i="4"/>
  <c r="BL241" i="1"/>
  <c r="BL247" i="1"/>
  <c r="T15" i="4" s="1"/>
  <c r="BL149" i="1"/>
  <c r="BL171" i="1"/>
  <c r="AV241" i="1"/>
  <c r="AV247" i="1"/>
  <c r="AV149" i="1"/>
  <c r="AV171" i="1"/>
  <c r="AF241" i="1"/>
  <c r="AF247" i="1"/>
  <c r="AF149" i="1"/>
  <c r="AF171" i="1"/>
  <c r="P241" i="1"/>
  <c r="P247" i="1"/>
  <c r="P149" i="1"/>
  <c r="P171" i="1"/>
  <c r="BY203" i="1"/>
  <c r="BK241" i="1"/>
  <c r="BK247" i="1"/>
  <c r="BK149" i="1"/>
  <c r="BK171" i="1"/>
  <c r="AU241" i="1"/>
  <c r="AU247" i="1"/>
  <c r="AU149" i="1"/>
  <c r="AU171" i="1"/>
  <c r="AE241" i="1"/>
  <c r="AE247" i="1"/>
  <c r="AE149" i="1"/>
  <c r="AE171" i="1"/>
  <c r="O241" i="1"/>
  <c r="O247" i="1"/>
  <c r="O149" i="1"/>
  <c r="O171" i="1"/>
  <c r="BK116" i="1"/>
  <c r="BK119" i="1"/>
  <c r="AU116" i="1"/>
  <c r="AU119" i="1"/>
  <c r="AE116" i="1"/>
  <c r="AE119" i="1"/>
  <c r="O116" i="1"/>
  <c r="O119" i="1"/>
  <c r="BP117" i="1"/>
  <c r="BP118" i="1"/>
  <c r="AZ117" i="1"/>
  <c r="AZ118" i="1"/>
  <c r="AJ117" i="1"/>
  <c r="AJ118" i="1"/>
  <c r="T117" i="1"/>
  <c r="T118" i="1"/>
  <c r="BZ169" i="1"/>
  <c r="BZ170" i="1" s="1"/>
  <c r="BY169" i="1"/>
  <c r="BY170" i="1" s="1"/>
  <c r="AL173" i="1"/>
  <c r="AL226" i="1" s="1"/>
  <c r="AL227" i="1" s="1"/>
  <c r="AL174" i="1"/>
  <c r="V13" i="4"/>
  <c r="C15" i="2"/>
  <c r="C17" i="2" s="1"/>
  <c r="BV247" i="1"/>
  <c r="V15" i="4" s="1"/>
  <c r="BV241" i="1"/>
  <c r="BV171" i="1"/>
  <c r="CI166" i="1"/>
  <c r="CK166" i="1"/>
  <c r="CJ166" i="1"/>
  <c r="BV149" i="1"/>
  <c r="BN247" i="1"/>
  <c r="BN241" i="1"/>
  <c r="BN171" i="1"/>
  <c r="BN149" i="1"/>
  <c r="BF247" i="1"/>
  <c r="BF241" i="1"/>
  <c r="BF171" i="1"/>
  <c r="BF149" i="1"/>
  <c r="Y116" i="1"/>
  <c r="CC102" i="1"/>
  <c r="CC101" i="1"/>
  <c r="BX116" i="1"/>
  <c r="BX119" i="1"/>
  <c r="BP116" i="1"/>
  <c r="BP119" i="1"/>
  <c r="BH116" i="1"/>
  <c r="BH119" i="1"/>
  <c r="AZ116" i="1"/>
  <c r="AZ119" i="1"/>
  <c r="AR116" i="1"/>
  <c r="AR119" i="1"/>
  <c r="AJ116" i="1"/>
  <c r="AJ119" i="1"/>
  <c r="AB116" i="1"/>
  <c r="AB119" i="1"/>
  <c r="T116" i="1"/>
  <c r="T119" i="1"/>
  <c r="L116" i="1"/>
  <c r="L119" i="1"/>
  <c r="BQ116" i="1"/>
  <c r="CI114" i="1"/>
  <c r="BJ117" i="1"/>
  <c r="BB117" i="1"/>
  <c r="AT117" i="1"/>
  <c r="AL117" i="1"/>
  <c r="AD117" i="1"/>
  <c r="N117" i="1"/>
  <c r="BI118" i="1"/>
  <c r="BI117" i="1"/>
  <c r="AK118" i="1"/>
  <c r="AK117" i="1"/>
  <c r="Q118" i="1"/>
  <c r="Q116" i="1"/>
  <c r="Q117" i="1"/>
  <c r="BY86" i="1"/>
  <c r="BY87" i="1" s="1"/>
  <c r="BY81" i="1"/>
  <c r="CA80" i="1"/>
  <c r="BV344" i="1"/>
  <c r="BV345" i="1"/>
  <c r="BF344" i="1"/>
  <c r="BF345" i="1"/>
  <c r="AX344" i="1"/>
  <c r="AX345" i="1"/>
  <c r="BX345" i="1"/>
  <c r="BX344" i="1"/>
  <c r="BH345" i="1"/>
  <c r="BH344" i="1"/>
  <c r="CK282" i="1"/>
  <c r="M13" i="4"/>
  <c r="AC247" i="1"/>
  <c r="AC241" i="1"/>
  <c r="AC171" i="1"/>
  <c r="AC149" i="1"/>
  <c r="BT241" i="1"/>
  <c r="BT247" i="1"/>
  <c r="BT149" i="1"/>
  <c r="BT171" i="1"/>
  <c r="AN241" i="1"/>
  <c r="AN247" i="1"/>
  <c r="AN149" i="1"/>
  <c r="AN171" i="1"/>
  <c r="O13" i="4"/>
  <c r="AM241" i="1"/>
  <c r="AM247" i="1"/>
  <c r="O15" i="4" s="1"/>
  <c r="AM149" i="1"/>
  <c r="AM171" i="1"/>
  <c r="G13" i="4"/>
  <c r="G241" i="1"/>
  <c r="G247" i="1"/>
  <c r="G15" i="4" s="1"/>
  <c r="G149" i="1"/>
  <c r="G171" i="1"/>
  <c r="CA309" i="1"/>
  <c r="CA258" i="1"/>
  <c r="CA323" i="1" s="1"/>
  <c r="CB323" i="1" s="1"/>
  <c r="CC323" i="1" s="1"/>
  <c r="CD323" i="1" s="1"/>
  <c r="CE323" i="1" s="1"/>
  <c r="CA78" i="1"/>
  <c r="BC116" i="1"/>
  <c r="BC119" i="1"/>
  <c r="BX120" i="1"/>
  <c r="BX117" i="1"/>
  <c r="BX118" i="1"/>
  <c r="BT116" i="1"/>
  <c r="BT119" i="1"/>
  <c r="CD433" i="1"/>
  <c r="D42" i="3"/>
  <c r="BV413" i="1"/>
  <c r="BU345" i="1"/>
  <c r="BU344" i="1"/>
  <c r="AR345" i="1"/>
  <c r="AR344" i="1"/>
  <c r="BB408" i="1"/>
  <c r="BB413" i="1" s="1"/>
  <c r="BS344" i="1"/>
  <c r="BS345" i="1"/>
  <c r="G344" i="1"/>
  <c r="G345" i="1"/>
  <c r="AW408" i="1"/>
  <c r="AW413" i="1" s="1"/>
  <c r="C333" i="1"/>
  <c r="C334" i="1" s="1"/>
  <c r="BI345" i="1"/>
  <c r="BI344" i="1"/>
  <c r="X408" i="1"/>
  <c r="X413" i="1" s="1"/>
  <c r="BB333" i="1"/>
  <c r="BB334" i="1" s="1"/>
  <c r="BT345" i="1"/>
  <c r="BT344" i="1"/>
  <c r="BD345" i="1"/>
  <c r="BD344" i="1"/>
  <c r="AV345" i="1"/>
  <c r="AV344" i="1"/>
  <c r="AC333" i="1"/>
  <c r="AC334" i="1" s="1"/>
  <c r="AN345" i="1"/>
  <c r="AN344" i="1"/>
  <c r="X345" i="1"/>
  <c r="X344" i="1"/>
  <c r="H345" i="1"/>
  <c r="H344" i="1"/>
  <c r="R45" i="2"/>
  <c r="R46" i="2" s="1"/>
  <c r="R47" i="2" s="1"/>
  <c r="AD45" i="2"/>
  <c r="AD46" i="2" s="1"/>
  <c r="AD47" i="2" s="1"/>
  <c r="CC437" i="1"/>
  <c r="CD331" i="1"/>
  <c r="CA434" i="1"/>
  <c r="CA338" i="1"/>
  <c r="CB294" i="1"/>
  <c r="J32" i="2"/>
  <c r="BM247" i="1"/>
  <c r="BM241" i="1"/>
  <c r="BM171" i="1"/>
  <c r="BM149" i="1"/>
  <c r="Q13" i="4"/>
  <c r="AW247" i="1"/>
  <c r="Q15" i="4" s="1"/>
  <c r="AW241" i="1"/>
  <c r="AW171" i="1"/>
  <c r="AW149" i="1"/>
  <c r="AG247" i="1"/>
  <c r="AG241" i="1"/>
  <c r="AG171" i="1"/>
  <c r="AG149" i="1"/>
  <c r="Q247" i="1"/>
  <c r="Q241" i="1"/>
  <c r="Q171" i="1"/>
  <c r="Q149" i="1"/>
  <c r="BX241" i="1"/>
  <c r="BX247" i="1"/>
  <c r="BX149" i="1"/>
  <c r="BX171" i="1"/>
  <c r="BH241" i="1"/>
  <c r="BH247" i="1"/>
  <c r="BH149" i="1"/>
  <c r="BH171" i="1"/>
  <c r="P13" i="4"/>
  <c r="AR241" i="1"/>
  <c r="AR247" i="1"/>
  <c r="P15" i="4" s="1"/>
  <c r="AR149" i="1"/>
  <c r="AR171" i="1"/>
  <c r="AB241" i="1"/>
  <c r="AB247" i="1"/>
  <c r="AB149" i="1"/>
  <c r="AB171" i="1"/>
  <c r="L247" i="1"/>
  <c r="L149" i="1"/>
  <c r="L171" i="1"/>
  <c r="BW241" i="1"/>
  <c r="BW247" i="1"/>
  <c r="BW149" i="1"/>
  <c r="BW171" i="1"/>
  <c r="S13" i="4"/>
  <c r="BG241" i="1"/>
  <c r="BG247" i="1"/>
  <c r="S15" i="4" s="1"/>
  <c r="BG149" i="1"/>
  <c r="BG171" i="1"/>
  <c r="AQ241" i="1"/>
  <c r="AQ247" i="1"/>
  <c r="AQ149" i="1"/>
  <c r="AQ171" i="1"/>
  <c r="AA241" i="1"/>
  <c r="AA247" i="1"/>
  <c r="AA149" i="1"/>
  <c r="AA171" i="1"/>
  <c r="K247" i="1"/>
  <c r="K149" i="1"/>
  <c r="K171" i="1"/>
  <c r="CA447" i="1"/>
  <c r="CB193" i="1"/>
  <c r="BW116" i="1"/>
  <c r="BW119" i="1"/>
  <c r="BG116" i="1"/>
  <c r="BG119" i="1"/>
  <c r="AQ116" i="1"/>
  <c r="AQ119" i="1"/>
  <c r="AA116" i="1"/>
  <c r="AA119" i="1"/>
  <c r="K116" i="1"/>
  <c r="K119" i="1"/>
  <c r="BL117" i="1"/>
  <c r="BL118" i="1"/>
  <c r="AV117" i="1"/>
  <c r="AV118" i="1"/>
  <c r="AF117" i="1"/>
  <c r="AF118" i="1"/>
  <c r="P117" i="1"/>
  <c r="P118" i="1"/>
  <c r="BY239" i="1"/>
  <c r="BY13" i="1"/>
  <c r="AL241" i="1"/>
  <c r="BM118" i="1"/>
  <c r="BM117" i="1"/>
  <c r="BM116" i="1"/>
  <c r="AS118" i="1"/>
  <c r="AS117" i="1"/>
  <c r="U118" i="1"/>
  <c r="U117" i="1"/>
  <c r="BR247" i="1"/>
  <c r="BR241" i="1"/>
  <c r="BR171" i="1"/>
  <c r="BR149" i="1"/>
  <c r="AT247" i="1"/>
  <c r="AT241" i="1"/>
  <c r="AT171" i="1"/>
  <c r="AT149" i="1"/>
  <c r="N13" i="4"/>
  <c r="AH247" i="1"/>
  <c r="N15" i="4" s="1"/>
  <c r="AH241" i="1"/>
  <c r="AH171" i="1"/>
  <c r="AH149" i="1"/>
  <c r="Z247" i="1"/>
  <c r="Z241" i="1"/>
  <c r="Z171" i="1"/>
  <c r="Z149" i="1"/>
  <c r="J13" i="4"/>
  <c r="N247" i="1"/>
  <c r="J15" i="4" s="1"/>
  <c r="N241" i="1"/>
  <c r="N171" i="1"/>
  <c r="N149" i="1"/>
  <c r="CB106" i="1"/>
  <c r="CB104" i="1"/>
  <c r="BA118" i="1"/>
  <c r="BA117" i="1"/>
  <c r="AC118" i="1"/>
  <c r="AC117" i="1"/>
  <c r="BA116" i="1"/>
  <c r="BZ86" i="1" l="1"/>
  <c r="BZ87" i="1" s="1"/>
  <c r="CA83" i="1"/>
  <c r="CA307" i="1"/>
  <c r="CA182" i="1"/>
  <c r="CA287" i="1" s="1"/>
  <c r="BY186" i="1"/>
  <c r="CA185" i="1"/>
  <c r="CA269" i="1"/>
  <c r="CI116" i="1"/>
  <c r="CJ116" i="1"/>
  <c r="C93" i="3"/>
  <c r="C94" i="3"/>
  <c r="CA169" i="1"/>
  <c r="L174" i="1"/>
  <c r="L173" i="1"/>
  <c r="L226" i="1" s="1"/>
  <c r="L227" i="1" s="1"/>
  <c r="BX174" i="1"/>
  <c r="BX173" i="1"/>
  <c r="BX226" i="1" s="1"/>
  <c r="BX227" i="1" s="1"/>
  <c r="BV173" i="1"/>
  <c r="CJ171" i="1"/>
  <c r="CI171" i="1"/>
  <c r="BV174" i="1"/>
  <c r="CK171" i="1"/>
  <c r="CA203" i="1"/>
  <c r="CA218" i="1" s="1"/>
  <c r="BY218" i="1"/>
  <c r="E174" i="1"/>
  <c r="E173" i="1"/>
  <c r="CC74" i="1"/>
  <c r="CD72" i="1"/>
  <c r="C174" i="1"/>
  <c r="C173" i="1"/>
  <c r="S174" i="1"/>
  <c r="S173" i="1"/>
  <c r="Y174" i="1"/>
  <c r="Y173" i="1"/>
  <c r="Y226" i="1" s="1"/>
  <c r="Y227" i="1" s="1"/>
  <c r="AO174" i="1"/>
  <c r="AO173" i="1"/>
  <c r="AO226" i="1" s="1"/>
  <c r="AO227" i="1" s="1"/>
  <c r="BE174" i="1"/>
  <c r="BE173" i="1"/>
  <c r="BE226" i="1" s="1"/>
  <c r="BE227" i="1" s="1"/>
  <c r="BU174" i="1"/>
  <c r="BU173" i="1"/>
  <c r="BU226" i="1" s="1"/>
  <c r="BU227" i="1" s="1"/>
  <c r="CA163" i="1"/>
  <c r="CE111" i="1"/>
  <c r="CE110" i="1"/>
  <c r="V173" i="1"/>
  <c r="V226" i="1" s="1"/>
  <c r="V227" i="1" s="1"/>
  <c r="V174" i="1"/>
  <c r="BD174" i="1"/>
  <c r="BD173" i="1"/>
  <c r="BD226" i="1" s="1"/>
  <c r="BD227" i="1" s="1"/>
  <c r="BI174" i="1"/>
  <c r="BI173" i="1"/>
  <c r="BI226" i="1" s="1"/>
  <c r="BI227" i="1" s="1"/>
  <c r="BR173" i="1"/>
  <c r="BR226" i="1" s="1"/>
  <c r="BR227" i="1" s="1"/>
  <c r="BR174" i="1"/>
  <c r="BW174" i="1"/>
  <c r="BW173" i="1"/>
  <c r="BW226" i="1" s="1"/>
  <c r="BW227" i="1" s="1"/>
  <c r="CA227" i="1" s="1"/>
  <c r="CA226" i="1" s="1"/>
  <c r="BH174" i="1"/>
  <c r="BH173" i="1"/>
  <c r="BH226" i="1" s="1"/>
  <c r="BH227" i="1" s="1"/>
  <c r="CA81" i="1"/>
  <c r="CA86" i="1"/>
  <c r="CA87" i="1" s="1"/>
  <c r="O174" i="1"/>
  <c r="O173" i="1"/>
  <c r="O226" i="1" s="1"/>
  <c r="O227" i="1" s="1"/>
  <c r="AE174" i="1"/>
  <c r="AE173" i="1"/>
  <c r="AE226" i="1" s="1"/>
  <c r="AE227" i="1" s="1"/>
  <c r="BK174" i="1"/>
  <c r="BK173" i="1"/>
  <c r="BK226" i="1" s="1"/>
  <c r="BK227" i="1" s="1"/>
  <c r="X174" i="1"/>
  <c r="X173" i="1"/>
  <c r="J173" i="1"/>
  <c r="J226" i="1" s="1"/>
  <c r="J227" i="1" s="1"/>
  <c r="J174" i="1"/>
  <c r="I174" i="1"/>
  <c r="I173" i="1"/>
  <c r="BJ173" i="1"/>
  <c r="BJ226" i="1" s="1"/>
  <c r="BJ227" i="1" s="1"/>
  <c r="BJ174" i="1"/>
  <c r="F173" i="1"/>
  <c r="F174" i="1"/>
  <c r="W174" i="1"/>
  <c r="W173" i="1"/>
  <c r="W226" i="1" s="1"/>
  <c r="W227" i="1" s="1"/>
  <c r="H174" i="1"/>
  <c r="H173" i="1"/>
  <c r="Q174" i="1"/>
  <c r="Q173" i="1"/>
  <c r="Q226" i="1" s="1"/>
  <c r="Q227" i="1" s="1"/>
  <c r="N173" i="1"/>
  <c r="N174" i="1"/>
  <c r="CB447" i="1"/>
  <c r="CB269" i="1"/>
  <c r="CC193" i="1"/>
  <c r="BM174" i="1"/>
  <c r="BM173" i="1"/>
  <c r="BM226" i="1" s="1"/>
  <c r="BM227" i="1" s="1"/>
  <c r="G174" i="1"/>
  <c r="G173" i="1"/>
  <c r="CD102" i="1"/>
  <c r="CD101" i="1"/>
  <c r="BF173" i="1"/>
  <c r="BF226" i="1" s="1"/>
  <c r="BF227" i="1" s="1"/>
  <c r="BF174" i="1"/>
  <c r="BN173" i="1"/>
  <c r="BN226" i="1" s="1"/>
  <c r="BN227" i="1" s="1"/>
  <c r="BN174" i="1"/>
  <c r="AL181" i="1"/>
  <c r="AL176" i="1"/>
  <c r="AL178" i="1" s="1"/>
  <c r="CA170" i="1"/>
  <c r="P174" i="1"/>
  <c r="P173" i="1"/>
  <c r="P226" i="1" s="1"/>
  <c r="P227" i="1" s="1"/>
  <c r="AF174" i="1"/>
  <c r="AF173" i="1"/>
  <c r="AF226" i="1" s="1"/>
  <c r="AF227" i="1" s="1"/>
  <c r="AV174" i="1"/>
  <c r="AV173" i="1"/>
  <c r="AV226" i="1" s="1"/>
  <c r="AV227" i="1" s="1"/>
  <c r="BL174" i="1"/>
  <c r="BL173" i="1"/>
  <c r="U174" i="1"/>
  <c r="U173" i="1"/>
  <c r="U226" i="1" s="1"/>
  <c r="U227" i="1" s="1"/>
  <c r="AK174" i="1"/>
  <c r="AK173" i="1"/>
  <c r="AK226" i="1" s="1"/>
  <c r="AK227" i="1" s="1"/>
  <c r="BA174" i="1"/>
  <c r="BA173" i="1"/>
  <c r="BA226" i="1" s="1"/>
  <c r="BA227" i="1" s="1"/>
  <c r="BQ174" i="1"/>
  <c r="BQ173" i="1"/>
  <c r="AS174" i="1"/>
  <c r="AS173" i="1"/>
  <c r="AS226" i="1" s="1"/>
  <c r="AS227" i="1" s="1"/>
  <c r="CB85" i="1"/>
  <c r="CB83" i="1"/>
  <c r="CB80" i="1"/>
  <c r="AI174" i="1"/>
  <c r="AI173" i="1"/>
  <c r="AI226" i="1" s="1"/>
  <c r="AI227" i="1" s="1"/>
  <c r="AY174" i="1"/>
  <c r="AY173" i="1"/>
  <c r="AY226" i="1" s="1"/>
  <c r="AY227" i="1" s="1"/>
  <c r="BO174" i="1"/>
  <c r="BO173" i="1"/>
  <c r="BO226" i="1" s="1"/>
  <c r="BO227" i="1" s="1"/>
  <c r="D174" i="1"/>
  <c r="D173" i="1"/>
  <c r="R15" i="4"/>
  <c r="CI247" i="1"/>
  <c r="M174" i="1"/>
  <c r="M173" i="1"/>
  <c r="M226" i="1" s="1"/>
  <c r="M227" i="1" s="1"/>
  <c r="AT173" i="1"/>
  <c r="AT226" i="1" s="1"/>
  <c r="AT227" i="1" s="1"/>
  <c r="AT174" i="1"/>
  <c r="K174" i="1"/>
  <c r="K173" i="1"/>
  <c r="K226" i="1" s="1"/>
  <c r="K227" i="1" s="1"/>
  <c r="C56" i="3"/>
  <c r="C112" i="3" s="1"/>
  <c r="CA435" i="1"/>
  <c r="AN174" i="1"/>
  <c r="AN173" i="1"/>
  <c r="AN226" i="1" s="1"/>
  <c r="AN227" i="1" s="1"/>
  <c r="BT174" i="1"/>
  <c r="BT173" i="1"/>
  <c r="BT226" i="1" s="1"/>
  <c r="BT227" i="1" s="1"/>
  <c r="CK116" i="1"/>
  <c r="AU174" i="1"/>
  <c r="AU173" i="1"/>
  <c r="AU226" i="1" s="1"/>
  <c r="AU227" i="1" s="1"/>
  <c r="D23" i="3"/>
  <c r="BS174" i="1"/>
  <c r="BS173" i="1"/>
  <c r="BS226" i="1" s="1"/>
  <c r="BS227" i="1" s="1"/>
  <c r="C101" i="3"/>
  <c r="BB173" i="1"/>
  <c r="BB174" i="1"/>
  <c r="BC174" i="1"/>
  <c r="BC173" i="1"/>
  <c r="BC226" i="1" s="1"/>
  <c r="BC227" i="1" s="1"/>
  <c r="AG174" i="1"/>
  <c r="AG173" i="1"/>
  <c r="AG226" i="1" s="1"/>
  <c r="AG227" i="1" s="1"/>
  <c r="AW174" i="1"/>
  <c r="AW173" i="1"/>
  <c r="AE45" i="2"/>
  <c r="AE46" i="2" s="1"/>
  <c r="AE47" i="2" s="1"/>
  <c r="S45" i="2"/>
  <c r="S46" i="2" s="1"/>
  <c r="S47" i="2" s="1"/>
  <c r="CD437" i="1"/>
  <c r="CE331" i="1"/>
  <c r="CB309" i="1"/>
  <c r="CA419" i="1"/>
  <c r="AC174" i="1"/>
  <c r="AC173" i="1"/>
  <c r="Z173" i="1"/>
  <c r="Z226" i="1" s="1"/>
  <c r="Z227" i="1" s="1"/>
  <c r="Z174" i="1"/>
  <c r="AH173" i="1"/>
  <c r="AH174" i="1"/>
  <c r="BY123" i="1"/>
  <c r="BY122" i="1"/>
  <c r="AA174" i="1"/>
  <c r="AA173" i="1"/>
  <c r="AA226" i="1" s="1"/>
  <c r="AA227" i="1" s="1"/>
  <c r="AQ174" i="1"/>
  <c r="AQ173" i="1"/>
  <c r="AQ226" i="1" s="1"/>
  <c r="AQ227" i="1" s="1"/>
  <c r="BG174" i="1"/>
  <c r="BG173" i="1"/>
  <c r="AB174" i="1"/>
  <c r="AB173" i="1"/>
  <c r="AB226" i="1" s="1"/>
  <c r="AB227" i="1" s="1"/>
  <c r="AR174" i="1"/>
  <c r="AR173" i="1"/>
  <c r="CE433" i="1"/>
  <c r="AM174" i="1"/>
  <c r="AM173" i="1"/>
  <c r="M15" i="4"/>
  <c r="CJ247" i="1"/>
  <c r="CC104" i="1"/>
  <c r="CC106" i="1"/>
  <c r="R173" i="1"/>
  <c r="R226" i="1" s="1"/>
  <c r="R227" i="1" s="1"/>
  <c r="R174" i="1"/>
  <c r="AD173" i="1"/>
  <c r="AD226" i="1" s="1"/>
  <c r="AD227" i="1" s="1"/>
  <c r="AD174" i="1"/>
  <c r="AP173" i="1"/>
  <c r="AP226" i="1" s="1"/>
  <c r="AP227" i="1" s="1"/>
  <c r="AP174" i="1"/>
  <c r="AX173" i="1"/>
  <c r="AX226" i="1" s="1"/>
  <c r="AX227" i="1" s="1"/>
  <c r="AX174" i="1"/>
  <c r="CD308" i="1"/>
  <c r="C15" i="4"/>
  <c r="L17" i="2"/>
  <c r="K17" i="2"/>
  <c r="J17" i="2"/>
  <c r="CK247" i="1"/>
  <c r="T174" i="1"/>
  <c r="T173" i="1"/>
  <c r="T226" i="1" s="1"/>
  <c r="T227" i="1" s="1"/>
  <c r="AJ174" i="1"/>
  <c r="AJ173" i="1"/>
  <c r="AJ226" i="1" s="1"/>
  <c r="AJ227" i="1" s="1"/>
  <c r="AZ174" i="1"/>
  <c r="AZ173" i="1"/>
  <c r="AZ226" i="1" s="1"/>
  <c r="AZ227" i="1" s="1"/>
  <c r="BP174" i="1"/>
  <c r="BP173" i="1"/>
  <c r="BP226" i="1" s="1"/>
  <c r="BP227" i="1" s="1"/>
  <c r="CA255" i="1" l="1"/>
  <c r="BY124" i="1"/>
  <c r="BY230" i="1"/>
  <c r="CA186" i="1"/>
  <c r="T181" i="1"/>
  <c r="T176" i="1"/>
  <c r="T178" i="1" s="1"/>
  <c r="AX181" i="1"/>
  <c r="AX176" i="1"/>
  <c r="AX178" i="1" s="1"/>
  <c r="AD181" i="1"/>
  <c r="AD176" i="1"/>
  <c r="AD178" i="1" s="1"/>
  <c r="AM406" i="1"/>
  <c r="AM414" i="1" s="1"/>
  <c r="AM226" i="1"/>
  <c r="AM227" i="1" s="1"/>
  <c r="BY60" i="1"/>
  <c r="BY59" i="1" s="1"/>
  <c r="BZ124" i="1"/>
  <c r="BY12" i="1"/>
  <c r="BY35" i="1"/>
  <c r="BY34" i="1" s="1"/>
  <c r="Z181" i="1"/>
  <c r="Z176" i="1"/>
  <c r="Z178" i="1" s="1"/>
  <c r="BC176" i="1"/>
  <c r="BC178" i="1" s="1"/>
  <c r="BC181" i="1"/>
  <c r="BT181" i="1"/>
  <c r="BT176" i="1"/>
  <c r="BT178" i="1" s="1"/>
  <c r="BO176" i="1"/>
  <c r="BO178" i="1" s="1"/>
  <c r="BO181" i="1"/>
  <c r="AI176" i="1"/>
  <c r="AI178" i="1" s="1"/>
  <c r="AI181" i="1"/>
  <c r="AL189" i="1"/>
  <c r="AL198" i="1"/>
  <c r="G176" i="1"/>
  <c r="G178" i="1" s="1"/>
  <c r="G181" i="1"/>
  <c r="Q181" i="1"/>
  <c r="Q176" i="1"/>
  <c r="Q178" i="1" s="1"/>
  <c r="W176" i="1"/>
  <c r="W178" i="1" s="1"/>
  <c r="W181" i="1"/>
  <c r="BK176" i="1"/>
  <c r="BK178" i="1" s="1"/>
  <c r="BK181" i="1"/>
  <c r="O176" i="1"/>
  <c r="O178" i="1" s="1"/>
  <c r="O181" i="1"/>
  <c r="BH181" i="1"/>
  <c r="BH176" i="1"/>
  <c r="BH178" i="1" s="1"/>
  <c r="BD181" i="1"/>
  <c r="BD176" i="1"/>
  <c r="BD178" i="1" s="1"/>
  <c r="S406" i="1"/>
  <c r="S414" i="1" s="1"/>
  <c r="S226" i="1"/>
  <c r="S227" i="1" s="1"/>
  <c r="CD74" i="1"/>
  <c r="CE72" i="1"/>
  <c r="CE74" i="1" s="1"/>
  <c r="E181" i="1"/>
  <c r="E176" i="1"/>
  <c r="E178" i="1" s="1"/>
  <c r="BV181" i="1"/>
  <c r="CI174" i="1"/>
  <c r="BV176" i="1"/>
  <c r="BV178" i="1" s="1"/>
  <c r="CK174" i="1"/>
  <c r="CJ174" i="1"/>
  <c r="AZ181" i="1"/>
  <c r="AZ176" i="1"/>
  <c r="AZ178" i="1" s="1"/>
  <c r="AM176" i="1"/>
  <c r="AM178" i="1" s="1"/>
  <c r="AM181" i="1"/>
  <c r="AB181" i="1"/>
  <c r="AB176" i="1"/>
  <c r="AB178" i="1" s="1"/>
  <c r="AQ176" i="1"/>
  <c r="AQ178" i="1" s="1"/>
  <c r="AQ181" i="1"/>
  <c r="CC309" i="1"/>
  <c r="CB419" i="1"/>
  <c r="AG181" i="1"/>
  <c r="AG176" i="1"/>
  <c r="AG178" i="1" s="1"/>
  <c r="BB181" i="1"/>
  <c r="BB176" i="1"/>
  <c r="BB178" i="1" s="1"/>
  <c r="AU176" i="1"/>
  <c r="AU178" i="1" s="1"/>
  <c r="AU181" i="1"/>
  <c r="D406" i="1"/>
  <c r="D414" i="1" s="1"/>
  <c r="D226" i="1"/>
  <c r="D227" i="1" s="1"/>
  <c r="CB86" i="1"/>
  <c r="CB87" i="1" s="1"/>
  <c r="CB81" i="1"/>
  <c r="AS181" i="1"/>
  <c r="AS176" i="1"/>
  <c r="AS178" i="1" s="1"/>
  <c r="BA181" i="1"/>
  <c r="BA176" i="1"/>
  <c r="BA178" i="1" s="1"/>
  <c r="U181" i="1"/>
  <c r="U176" i="1"/>
  <c r="U178" i="1" s="1"/>
  <c r="AV181" i="1"/>
  <c r="AV176" i="1"/>
  <c r="AV178" i="1" s="1"/>
  <c r="P181" i="1"/>
  <c r="P176" i="1"/>
  <c r="P178" i="1" s="1"/>
  <c r="BN181" i="1"/>
  <c r="BN176" i="1"/>
  <c r="BN178" i="1" s="1"/>
  <c r="CE102" i="1"/>
  <c r="CE101" i="1"/>
  <c r="BM181" i="1"/>
  <c r="BM176" i="1"/>
  <c r="BM178" i="1" s="1"/>
  <c r="N181" i="1"/>
  <c r="N176" i="1"/>
  <c r="N178" i="1" s="1"/>
  <c r="H406" i="1"/>
  <c r="H414" i="1" s="1"/>
  <c r="H226" i="1"/>
  <c r="H227" i="1" s="1"/>
  <c r="F181" i="1"/>
  <c r="F176" i="1"/>
  <c r="F178" i="1" s="1"/>
  <c r="I406" i="1"/>
  <c r="I414" i="1" s="1"/>
  <c r="I226" i="1"/>
  <c r="I227" i="1" s="1"/>
  <c r="X406" i="1"/>
  <c r="X414" i="1" s="1"/>
  <c r="X226" i="1"/>
  <c r="X227" i="1" s="1"/>
  <c r="V181" i="1"/>
  <c r="V176" i="1"/>
  <c r="V178" i="1" s="1"/>
  <c r="BU181" i="1"/>
  <c r="BU176" i="1"/>
  <c r="BU178" i="1" s="1"/>
  <c r="AO181" i="1"/>
  <c r="AO176" i="1"/>
  <c r="AO178" i="1" s="1"/>
  <c r="S176" i="1"/>
  <c r="S178" i="1" s="1"/>
  <c r="S181" i="1"/>
  <c r="CC85" i="1"/>
  <c r="CC83" i="1"/>
  <c r="CC80" i="1"/>
  <c r="BX181" i="1"/>
  <c r="BX176" i="1"/>
  <c r="BX178" i="1" s="1"/>
  <c r="BP181" i="1"/>
  <c r="BP176" i="1"/>
  <c r="BP178" i="1" s="1"/>
  <c r="AJ181" i="1"/>
  <c r="AJ176" i="1"/>
  <c r="AJ178" i="1" s="1"/>
  <c r="CE308" i="1"/>
  <c r="AP181" i="1"/>
  <c r="AP176" i="1"/>
  <c r="AP178" i="1" s="1"/>
  <c r="R181" i="1"/>
  <c r="R176" i="1"/>
  <c r="R178" i="1" s="1"/>
  <c r="AR406" i="1"/>
  <c r="AR414" i="1" s="1"/>
  <c r="AR226" i="1"/>
  <c r="AR227" i="1" s="1"/>
  <c r="BG406" i="1"/>
  <c r="BG414" i="1" s="1"/>
  <c r="BG226" i="1"/>
  <c r="BG227" i="1" s="1"/>
  <c r="AH181" i="1"/>
  <c r="AH176" i="1"/>
  <c r="AH178" i="1" s="1"/>
  <c r="AC406" i="1"/>
  <c r="AC414" i="1" s="1"/>
  <c r="AC226" i="1"/>
  <c r="AC227" i="1" s="1"/>
  <c r="CJ173" i="1"/>
  <c r="T45" i="2"/>
  <c r="T46" i="2" s="1"/>
  <c r="T47" i="2" s="1"/>
  <c r="AF45" i="2"/>
  <c r="AF46" i="2" s="1"/>
  <c r="AF47" i="2" s="1"/>
  <c r="CE437" i="1"/>
  <c r="AW406" i="1"/>
  <c r="AW414" i="1" s="1"/>
  <c r="AW226" i="1"/>
  <c r="AW227" i="1" s="1"/>
  <c r="BB406" i="1"/>
  <c r="BB414" i="1" s="1"/>
  <c r="BB226" i="1"/>
  <c r="BB227" i="1" s="1"/>
  <c r="CI173" i="1"/>
  <c r="AN181" i="1"/>
  <c r="AN176" i="1"/>
  <c r="AN178" i="1" s="1"/>
  <c r="K176" i="1"/>
  <c r="K178" i="1" s="1"/>
  <c r="K181" i="1"/>
  <c r="M181" i="1"/>
  <c r="M176" i="1"/>
  <c r="M178" i="1" s="1"/>
  <c r="D181" i="1"/>
  <c r="D176" i="1"/>
  <c r="D178" i="1" s="1"/>
  <c r="AY176" i="1"/>
  <c r="AY178" i="1" s="1"/>
  <c r="AY181" i="1"/>
  <c r="BQ406" i="1"/>
  <c r="BQ414" i="1" s="1"/>
  <c r="BQ226" i="1"/>
  <c r="BQ227" i="1" s="1"/>
  <c r="BL406" i="1"/>
  <c r="BL414" i="1" s="1"/>
  <c r="BL226" i="1"/>
  <c r="BL227" i="1" s="1"/>
  <c r="CD104" i="1"/>
  <c r="CD106" i="1"/>
  <c r="CC447" i="1"/>
  <c r="CD193" i="1"/>
  <c r="N406" i="1"/>
  <c r="N414" i="1" s="1"/>
  <c r="N226" i="1"/>
  <c r="N227" i="1" s="1"/>
  <c r="H181" i="1"/>
  <c r="H176" i="1"/>
  <c r="H178" i="1" s="1"/>
  <c r="F406" i="1"/>
  <c r="F414" i="1" s="1"/>
  <c r="F226" i="1"/>
  <c r="F227" i="1" s="1"/>
  <c r="I181" i="1"/>
  <c r="I176" i="1"/>
  <c r="I178" i="1" s="1"/>
  <c r="X181" i="1"/>
  <c r="X176" i="1"/>
  <c r="X178" i="1" s="1"/>
  <c r="AE176" i="1"/>
  <c r="AE178" i="1" s="1"/>
  <c r="AE181" i="1"/>
  <c r="BW176" i="1"/>
  <c r="BW178" i="1" s="1"/>
  <c r="BW181" i="1"/>
  <c r="BI181" i="1"/>
  <c r="BI176" i="1"/>
  <c r="BI178" i="1" s="1"/>
  <c r="C406" i="1"/>
  <c r="C414" i="1" s="1"/>
  <c r="C226" i="1"/>
  <c r="C227" i="1" s="1"/>
  <c r="CK173" i="1"/>
  <c r="AR181" i="1"/>
  <c r="AR176" i="1"/>
  <c r="AR178" i="1" s="1"/>
  <c r="BG176" i="1"/>
  <c r="BG178" i="1" s="1"/>
  <c r="BG181" i="1"/>
  <c r="AA176" i="1"/>
  <c r="AA178" i="1" s="1"/>
  <c r="AA181" i="1"/>
  <c r="AH406" i="1"/>
  <c r="AH414" i="1" s="1"/>
  <c r="AH226" i="1"/>
  <c r="AH227" i="1" s="1"/>
  <c r="AC181" i="1"/>
  <c r="AC176" i="1"/>
  <c r="AC178" i="1" s="1"/>
  <c r="AW181" i="1"/>
  <c r="AW176" i="1"/>
  <c r="AW178" i="1" s="1"/>
  <c r="BS176" i="1"/>
  <c r="BS178" i="1" s="1"/>
  <c r="BS181" i="1"/>
  <c r="AT181" i="1"/>
  <c r="AT176" i="1"/>
  <c r="AT178" i="1" s="1"/>
  <c r="BQ181" i="1"/>
  <c r="BQ176" i="1"/>
  <c r="BQ178" i="1" s="1"/>
  <c r="AK181" i="1"/>
  <c r="AK176" i="1"/>
  <c r="AK178" i="1" s="1"/>
  <c r="BL181" i="1"/>
  <c r="BL176" i="1"/>
  <c r="BL178" i="1" s="1"/>
  <c r="AF181" i="1"/>
  <c r="AF176" i="1"/>
  <c r="AF178" i="1" s="1"/>
  <c r="AL248" i="1"/>
  <c r="AL242" i="1"/>
  <c r="AL188" i="1"/>
  <c r="AL179" i="1"/>
  <c r="AL187" i="1"/>
  <c r="BF181" i="1"/>
  <c r="BF176" i="1"/>
  <c r="BF178" i="1" s="1"/>
  <c r="G406" i="1"/>
  <c r="G414" i="1" s="1"/>
  <c r="G226" i="1"/>
  <c r="G227" i="1" s="1"/>
  <c r="BJ181" i="1"/>
  <c r="BJ176" i="1"/>
  <c r="BJ178" i="1" s="1"/>
  <c r="J181" i="1"/>
  <c r="J176" i="1"/>
  <c r="J178" i="1" s="1"/>
  <c r="BR181" i="1"/>
  <c r="BR176" i="1"/>
  <c r="BR178" i="1" s="1"/>
  <c r="BE181" i="1"/>
  <c r="BE176" i="1"/>
  <c r="BE178" i="1" s="1"/>
  <c r="Y181" i="1"/>
  <c r="Y176" i="1"/>
  <c r="Y178" i="1" s="1"/>
  <c r="C176" i="1"/>
  <c r="C178" i="1" s="1"/>
  <c r="C181" i="1"/>
  <c r="E406" i="1"/>
  <c r="E414" i="1" s="1"/>
  <c r="E226" i="1"/>
  <c r="E227" i="1" s="1"/>
  <c r="BV406" i="1"/>
  <c r="BV414" i="1" s="1"/>
  <c r="BV226" i="1"/>
  <c r="BV227" i="1" s="1"/>
  <c r="L181" i="1"/>
  <c r="L176" i="1"/>
  <c r="L178" i="1" s="1"/>
  <c r="D21" i="2" l="1"/>
  <c r="CA230" i="1"/>
  <c r="C189" i="1"/>
  <c r="C198" i="1"/>
  <c r="J248" i="1"/>
  <c r="J188" i="1"/>
  <c r="J179" i="1"/>
  <c r="J187" i="1"/>
  <c r="BQ198" i="1"/>
  <c r="BQ189" i="1"/>
  <c r="BS189" i="1"/>
  <c r="BS198" i="1"/>
  <c r="AR424" i="1"/>
  <c r="AR426" i="1" s="1"/>
  <c r="AR248" i="1"/>
  <c r="AR242" i="1"/>
  <c r="AR188" i="1"/>
  <c r="AR179" i="1"/>
  <c r="AR187" i="1"/>
  <c r="C424" i="1"/>
  <c r="C426" i="1" s="1"/>
  <c r="C248" i="1"/>
  <c r="C199" i="1"/>
  <c r="C200" i="1" s="1"/>
  <c r="C188" i="1"/>
  <c r="C179" i="1"/>
  <c r="C187" i="1"/>
  <c r="BE198" i="1"/>
  <c r="BE189" i="1"/>
  <c r="J189" i="1"/>
  <c r="J198" i="1"/>
  <c r="AF248" i="1"/>
  <c r="AF242" i="1"/>
  <c r="AF188" i="1"/>
  <c r="AF179" i="1"/>
  <c r="AF187" i="1"/>
  <c r="AK248" i="1"/>
  <c r="AK242" i="1"/>
  <c r="AK187" i="1"/>
  <c r="AK179" i="1"/>
  <c r="AK188" i="1"/>
  <c r="AT248" i="1"/>
  <c r="AT242" i="1"/>
  <c r="AT188" i="1"/>
  <c r="AT179" i="1"/>
  <c r="AT187" i="1"/>
  <c r="BS248" i="1"/>
  <c r="BS242" i="1"/>
  <c r="BS188" i="1"/>
  <c r="BS179" i="1"/>
  <c r="BS187" i="1"/>
  <c r="AC198" i="1"/>
  <c r="AC189" i="1"/>
  <c r="AA248" i="1"/>
  <c r="AA242" i="1"/>
  <c r="AA188" i="1"/>
  <c r="AA179" i="1"/>
  <c r="AA187" i="1"/>
  <c r="AR198" i="1"/>
  <c r="AR189" i="1"/>
  <c r="BI248" i="1"/>
  <c r="BI242" i="1"/>
  <c r="BI187" i="1"/>
  <c r="BI188" i="1"/>
  <c r="BI179" i="1"/>
  <c r="AE189" i="1"/>
  <c r="AE198" i="1"/>
  <c r="I424" i="1"/>
  <c r="I426" i="1" s="1"/>
  <c r="I248" i="1"/>
  <c r="I242" i="1"/>
  <c r="I187" i="1"/>
  <c r="I179" i="1"/>
  <c r="I188" i="1"/>
  <c r="H424" i="1"/>
  <c r="H426" i="1" s="1"/>
  <c r="H248" i="1"/>
  <c r="H242" i="1"/>
  <c r="H188" i="1"/>
  <c r="H179" i="1"/>
  <c r="H187" i="1"/>
  <c r="CD447" i="1"/>
  <c r="CE193" i="1"/>
  <c r="D198" i="1"/>
  <c r="D189" i="1"/>
  <c r="K248" i="1"/>
  <c r="K188" i="1"/>
  <c r="K179" i="1"/>
  <c r="K187" i="1"/>
  <c r="R189" i="1"/>
  <c r="R198" i="1"/>
  <c r="BP198" i="1"/>
  <c r="BP189" i="1"/>
  <c r="AO248" i="1"/>
  <c r="AO242" i="1"/>
  <c r="AO187" i="1"/>
  <c r="AO179" i="1"/>
  <c r="AO188" i="1"/>
  <c r="F424" i="1"/>
  <c r="F426" i="1" s="1"/>
  <c r="F248" i="1"/>
  <c r="F242" i="1"/>
  <c r="F188" i="1"/>
  <c r="F179" i="1"/>
  <c r="F187" i="1"/>
  <c r="N424" i="1"/>
  <c r="N426" i="1" s="1"/>
  <c r="N248" i="1"/>
  <c r="N242" i="1"/>
  <c r="N188" i="1"/>
  <c r="N179" i="1"/>
  <c r="N187" i="1"/>
  <c r="P248" i="1"/>
  <c r="P242" i="1"/>
  <c r="P188" i="1"/>
  <c r="P179" i="1"/>
  <c r="P187" i="1"/>
  <c r="U248" i="1"/>
  <c r="U242" i="1"/>
  <c r="U187" i="1"/>
  <c r="U199" i="1"/>
  <c r="U179" i="1"/>
  <c r="U188" i="1"/>
  <c r="AS248" i="1"/>
  <c r="AS242" i="1"/>
  <c r="AS187" i="1"/>
  <c r="AS188" i="1"/>
  <c r="AS179" i="1"/>
  <c r="BB424" i="1"/>
  <c r="BB426" i="1" s="1"/>
  <c r="BB248" i="1"/>
  <c r="BB242" i="1"/>
  <c r="BB188" i="1"/>
  <c r="BB179" i="1"/>
  <c r="BB187" i="1"/>
  <c r="AB248" i="1"/>
  <c r="AB242" i="1"/>
  <c r="AB188" i="1"/>
  <c r="AB179" i="1"/>
  <c r="AB187" i="1"/>
  <c r="AZ248" i="1"/>
  <c r="AZ242" i="1"/>
  <c r="AZ188" i="1"/>
  <c r="AZ179" i="1"/>
  <c r="AZ187" i="1"/>
  <c r="BV424" i="1"/>
  <c r="BV426" i="1" s="1"/>
  <c r="BV248" i="1"/>
  <c r="BV242" i="1"/>
  <c r="CI178" i="1"/>
  <c r="BV188" i="1"/>
  <c r="BV179" i="1"/>
  <c r="CK178" i="1"/>
  <c r="BV187" i="1"/>
  <c r="CJ178" i="1"/>
  <c r="E198" i="1"/>
  <c r="E189" i="1"/>
  <c r="BH198" i="1"/>
  <c r="BH189" i="1"/>
  <c r="BK248" i="1"/>
  <c r="BK242" i="1"/>
  <c r="BK188" i="1"/>
  <c r="BK179" i="1"/>
  <c r="BK187" i="1"/>
  <c r="Q198" i="1"/>
  <c r="Q189" i="1"/>
  <c r="BO242" i="1"/>
  <c r="BO248" i="1"/>
  <c r="BO188" i="1"/>
  <c r="BO179" i="1"/>
  <c r="BO187" i="1"/>
  <c r="BC189" i="1"/>
  <c r="BC198" i="1"/>
  <c r="BY55" i="1"/>
  <c r="AX248" i="1"/>
  <c r="AX242" i="1"/>
  <c r="AX188" i="1"/>
  <c r="AX179" i="1"/>
  <c r="AX187" i="1"/>
  <c r="BL198" i="1"/>
  <c r="BL189" i="1"/>
  <c r="AC424" i="1"/>
  <c r="AC426" i="1" s="1"/>
  <c r="AC248" i="1"/>
  <c r="AC242" i="1"/>
  <c r="AC187" i="1"/>
  <c r="AC188" i="1"/>
  <c r="AC179" i="1"/>
  <c r="AA189" i="1"/>
  <c r="AA198" i="1"/>
  <c r="L248" i="1"/>
  <c r="L188" i="1"/>
  <c r="L179" i="1"/>
  <c r="L187" i="1"/>
  <c r="Y248" i="1"/>
  <c r="Y242" i="1"/>
  <c r="Y187" i="1"/>
  <c r="Y179" i="1"/>
  <c r="Y188" i="1"/>
  <c r="BR248" i="1"/>
  <c r="BR242" i="1"/>
  <c r="BR188" i="1"/>
  <c r="BR179" i="1"/>
  <c r="BR187" i="1"/>
  <c r="BJ248" i="1"/>
  <c r="BJ242" i="1"/>
  <c r="BJ188" i="1"/>
  <c r="BJ179" i="1"/>
  <c r="BJ187" i="1"/>
  <c r="BF248" i="1"/>
  <c r="BF242" i="1"/>
  <c r="BF188" i="1"/>
  <c r="BF179" i="1"/>
  <c r="BF187" i="1"/>
  <c r="AF198" i="1"/>
  <c r="AF189" i="1"/>
  <c r="AK198" i="1"/>
  <c r="AK189" i="1"/>
  <c r="AT189" i="1"/>
  <c r="AT198" i="1"/>
  <c r="AW424" i="1"/>
  <c r="AW426" i="1" s="1"/>
  <c r="AW248" i="1"/>
  <c r="AW242" i="1"/>
  <c r="AW187" i="1"/>
  <c r="AW179" i="1"/>
  <c r="AW188" i="1"/>
  <c r="BG189" i="1"/>
  <c r="BG198" i="1"/>
  <c r="BI198" i="1"/>
  <c r="BI189" i="1"/>
  <c r="AE248" i="1"/>
  <c r="AE242" i="1"/>
  <c r="AE188" i="1"/>
  <c r="AE179" i="1"/>
  <c r="AE187" i="1"/>
  <c r="I198" i="1"/>
  <c r="I189" i="1"/>
  <c r="H198" i="1"/>
  <c r="H189" i="1"/>
  <c r="AY189" i="1"/>
  <c r="AY198" i="1"/>
  <c r="M248" i="1"/>
  <c r="M187" i="1"/>
  <c r="M188" i="1"/>
  <c r="M179" i="1"/>
  <c r="AN242" i="1"/>
  <c r="AN248" i="1"/>
  <c r="AN188" i="1"/>
  <c r="AN179" i="1"/>
  <c r="AN187" i="1"/>
  <c r="AP248" i="1"/>
  <c r="AP242" i="1"/>
  <c r="AP188" i="1"/>
  <c r="AP179" i="1"/>
  <c r="AP187" i="1"/>
  <c r="AJ248" i="1"/>
  <c r="AJ242" i="1"/>
  <c r="AJ188" i="1"/>
  <c r="AJ179" i="1"/>
  <c r="AJ187" i="1"/>
  <c r="BX248" i="1"/>
  <c r="BX242" i="1"/>
  <c r="BX188" i="1"/>
  <c r="BX179" i="1"/>
  <c r="BX187" i="1"/>
  <c r="AO198" i="1"/>
  <c r="AO189" i="1"/>
  <c r="F189" i="1"/>
  <c r="F198" i="1"/>
  <c r="N189" i="1"/>
  <c r="N198" i="1"/>
  <c r="CE104" i="1"/>
  <c r="CE106" i="1"/>
  <c r="P198" i="1"/>
  <c r="P189" i="1"/>
  <c r="U198" i="1"/>
  <c r="U189" i="1"/>
  <c r="AS198" i="1"/>
  <c r="AS189" i="1"/>
  <c r="BB189" i="1"/>
  <c r="BB198" i="1"/>
  <c r="CD309" i="1"/>
  <c r="CC419" i="1"/>
  <c r="AB198" i="1"/>
  <c r="AB189" i="1"/>
  <c r="AZ198" i="1"/>
  <c r="AZ189" i="1"/>
  <c r="CE85" i="1"/>
  <c r="CE83" i="1"/>
  <c r="CE80" i="1"/>
  <c r="BD248" i="1"/>
  <c r="BD242" i="1"/>
  <c r="BD188" i="1"/>
  <c r="BD179" i="1"/>
  <c r="BD187" i="1"/>
  <c r="O189" i="1"/>
  <c r="O198" i="1"/>
  <c r="W189" i="1"/>
  <c r="W198" i="1"/>
  <c r="G189" i="1"/>
  <c r="G198" i="1"/>
  <c r="AI189" i="1"/>
  <c r="AI198" i="1"/>
  <c r="BC248" i="1"/>
  <c r="BC242" i="1"/>
  <c r="BC188" i="1"/>
  <c r="BC179" i="1"/>
  <c r="BC187" i="1"/>
  <c r="BY238" i="1"/>
  <c r="BY11" i="1"/>
  <c r="AX189" i="1"/>
  <c r="AX198" i="1"/>
  <c r="BE248" i="1"/>
  <c r="BE242" i="1"/>
  <c r="BE187" i="1"/>
  <c r="BE179" i="1"/>
  <c r="BE188" i="1"/>
  <c r="L198" i="1"/>
  <c r="L189" i="1"/>
  <c r="Y198" i="1"/>
  <c r="Y189" i="1"/>
  <c r="BR189" i="1"/>
  <c r="BR198" i="1"/>
  <c r="BJ189" i="1"/>
  <c r="BJ198" i="1"/>
  <c r="BF189" i="1"/>
  <c r="BF198" i="1"/>
  <c r="BL424" i="1"/>
  <c r="BL426" i="1" s="1"/>
  <c r="BL248" i="1"/>
  <c r="BL242" i="1"/>
  <c r="BL188" i="1"/>
  <c r="BL179" i="1"/>
  <c r="BL187" i="1"/>
  <c r="BQ424" i="1"/>
  <c r="BQ426" i="1" s="1"/>
  <c r="BQ248" i="1"/>
  <c r="BQ242" i="1"/>
  <c r="BQ187" i="1"/>
  <c r="BQ179" i="1"/>
  <c r="BQ188" i="1"/>
  <c r="AW198" i="1"/>
  <c r="AW189" i="1"/>
  <c r="BG424" i="1"/>
  <c r="BG426" i="1" s="1"/>
  <c r="BG242" i="1"/>
  <c r="BG248" i="1"/>
  <c r="BG188" i="1"/>
  <c r="BG179" i="1"/>
  <c r="BG187" i="1"/>
  <c r="BW189" i="1"/>
  <c r="BW198" i="1"/>
  <c r="X424" i="1"/>
  <c r="X426" i="1" s="1"/>
  <c r="X248" i="1"/>
  <c r="X242" i="1"/>
  <c r="X188" i="1"/>
  <c r="X179" i="1"/>
  <c r="X187" i="1"/>
  <c r="AY242" i="1"/>
  <c r="AY248" i="1"/>
  <c r="AY188" i="1"/>
  <c r="AY179" i="1"/>
  <c r="AY187" i="1"/>
  <c r="M198" i="1"/>
  <c r="M189" i="1"/>
  <c r="AN198" i="1"/>
  <c r="AN189" i="1"/>
  <c r="AH424" i="1"/>
  <c r="AH426" i="1" s="1"/>
  <c r="AH248" i="1"/>
  <c r="AH242" i="1"/>
  <c r="AH188" i="1"/>
  <c r="AH179" i="1"/>
  <c r="AH187" i="1"/>
  <c r="AP189" i="1"/>
  <c r="AP198" i="1"/>
  <c r="AJ198" i="1"/>
  <c r="AJ189" i="1"/>
  <c r="BX198" i="1"/>
  <c r="BX189" i="1"/>
  <c r="S189" i="1"/>
  <c r="S198" i="1"/>
  <c r="BU248" i="1"/>
  <c r="BU242" i="1"/>
  <c r="BU187" i="1"/>
  <c r="BU179" i="1"/>
  <c r="BU188" i="1"/>
  <c r="V248" i="1"/>
  <c r="V242" i="1"/>
  <c r="V199" i="1"/>
  <c r="V188" i="1"/>
  <c r="V179" i="1"/>
  <c r="V187" i="1"/>
  <c r="BM248" i="1"/>
  <c r="BM242" i="1"/>
  <c r="BM187" i="1"/>
  <c r="BM179" i="1"/>
  <c r="BM188" i="1"/>
  <c r="BN248" i="1"/>
  <c r="BN242" i="1"/>
  <c r="BN188" i="1"/>
  <c r="BN179" i="1"/>
  <c r="BN187" i="1"/>
  <c r="AV248" i="1"/>
  <c r="AV242" i="1"/>
  <c r="AV188" i="1"/>
  <c r="AV179" i="1"/>
  <c r="AV187" i="1"/>
  <c r="BA248" i="1"/>
  <c r="BA242" i="1"/>
  <c r="BA187" i="1"/>
  <c r="BA179" i="1"/>
  <c r="BA188" i="1"/>
  <c r="AU189" i="1"/>
  <c r="AU198" i="1"/>
  <c r="AG248" i="1"/>
  <c r="AG242" i="1"/>
  <c r="AG187" i="1"/>
  <c r="AG179" i="1"/>
  <c r="AG188" i="1"/>
  <c r="AQ189" i="1"/>
  <c r="AQ198" i="1"/>
  <c r="AM189" i="1"/>
  <c r="AM198" i="1"/>
  <c r="BV189" i="1"/>
  <c r="BV198" i="1"/>
  <c r="CD83" i="1"/>
  <c r="CD80" i="1"/>
  <c r="CD85" i="1"/>
  <c r="BD198" i="1"/>
  <c r="BD189" i="1"/>
  <c r="O248" i="1"/>
  <c r="O242" i="1"/>
  <c r="O188" i="1"/>
  <c r="O179" i="1"/>
  <c r="O187" i="1"/>
  <c r="W248" i="1"/>
  <c r="W242" i="1"/>
  <c r="W188" i="1"/>
  <c r="W179" i="1"/>
  <c r="W187" i="1"/>
  <c r="G424" i="1"/>
  <c r="G426" i="1" s="1"/>
  <c r="G248" i="1"/>
  <c r="G242" i="1"/>
  <c r="G188" i="1"/>
  <c r="G179" i="1"/>
  <c r="G187" i="1"/>
  <c r="AI248" i="1"/>
  <c r="AI242" i="1"/>
  <c r="AI188" i="1"/>
  <c r="AI179" i="1"/>
  <c r="AI187" i="1"/>
  <c r="BT248" i="1"/>
  <c r="BT242" i="1"/>
  <c r="BT188" i="1"/>
  <c r="BT179" i="1"/>
  <c r="BT187" i="1"/>
  <c r="Z248" i="1"/>
  <c r="Z242" i="1"/>
  <c r="Z188" i="1"/>
  <c r="Z179" i="1"/>
  <c r="Z187" i="1"/>
  <c r="BZ60" i="1"/>
  <c r="BZ59" i="1" s="1"/>
  <c r="CA59" i="1" s="1"/>
  <c r="BZ12" i="1"/>
  <c r="BZ35" i="1"/>
  <c r="BZ34" i="1" s="1"/>
  <c r="CA34" i="1" s="1"/>
  <c r="AD248" i="1"/>
  <c r="AD242" i="1"/>
  <c r="AD188" i="1"/>
  <c r="AD179" i="1"/>
  <c r="AD187" i="1"/>
  <c r="T248" i="1"/>
  <c r="T242" i="1"/>
  <c r="T188" i="1"/>
  <c r="T179" i="1"/>
  <c r="T187" i="1"/>
  <c r="BW242" i="1"/>
  <c r="BW248" i="1"/>
  <c r="BW188" i="1"/>
  <c r="BW179" i="1"/>
  <c r="BW187" i="1"/>
  <c r="X198" i="1"/>
  <c r="X189" i="1"/>
  <c r="D424" i="1"/>
  <c r="D426" i="1" s="1"/>
  <c r="D248" i="1"/>
  <c r="D242" i="1"/>
  <c r="D199" i="1"/>
  <c r="D188" i="1"/>
  <c r="D179" i="1"/>
  <c r="D187" i="1"/>
  <c r="K189" i="1"/>
  <c r="K198" i="1"/>
  <c r="AH189" i="1"/>
  <c r="AH198" i="1"/>
  <c r="R248" i="1"/>
  <c r="R242" i="1"/>
  <c r="R188" i="1"/>
  <c r="R179" i="1"/>
  <c r="R187" i="1"/>
  <c r="BP248" i="1"/>
  <c r="BP242" i="1"/>
  <c r="BP188" i="1"/>
  <c r="BP179" i="1"/>
  <c r="BP187" i="1"/>
  <c r="CC86" i="1"/>
  <c r="CC87" i="1" s="1"/>
  <c r="CC81" i="1"/>
  <c r="S424" i="1"/>
  <c r="S426" i="1" s="1"/>
  <c r="S248" i="1"/>
  <c r="S242" i="1"/>
  <c r="S188" i="1"/>
  <c r="S179" i="1"/>
  <c r="S187" i="1"/>
  <c r="BU198" i="1"/>
  <c r="BU189" i="1"/>
  <c r="V189" i="1"/>
  <c r="V198" i="1"/>
  <c r="BM198" i="1"/>
  <c r="BM189" i="1"/>
  <c r="BN189" i="1"/>
  <c r="BN198" i="1"/>
  <c r="AV198" i="1"/>
  <c r="AV189" i="1"/>
  <c r="BA198" i="1"/>
  <c r="BA189" i="1"/>
  <c r="AU248" i="1"/>
  <c r="AU242" i="1"/>
  <c r="AU188" i="1"/>
  <c r="AU179" i="1"/>
  <c r="AU187" i="1"/>
  <c r="AG198" i="1"/>
  <c r="AG189" i="1"/>
  <c r="AQ242" i="1"/>
  <c r="AQ248" i="1"/>
  <c r="AQ188" i="1"/>
  <c r="AQ179" i="1"/>
  <c r="AQ187" i="1"/>
  <c r="AM424" i="1"/>
  <c r="AM426" i="1" s="1"/>
  <c r="AM242" i="1"/>
  <c r="AM248" i="1"/>
  <c r="AM188" i="1"/>
  <c r="AM179" i="1"/>
  <c r="AM187" i="1"/>
  <c r="E424" i="1"/>
  <c r="E426" i="1" s="1"/>
  <c r="E248" i="1"/>
  <c r="E242" i="1"/>
  <c r="E187" i="1"/>
  <c r="E179" i="1"/>
  <c r="E188" i="1"/>
  <c r="E199" i="1"/>
  <c r="BH248" i="1"/>
  <c r="BH242" i="1"/>
  <c r="BH188" i="1"/>
  <c r="BH179" i="1"/>
  <c r="BH187" i="1"/>
  <c r="BK189" i="1"/>
  <c r="BK198" i="1"/>
  <c r="Q248" i="1"/>
  <c r="Q242" i="1"/>
  <c r="Q187" i="1"/>
  <c r="Q179" i="1"/>
  <c r="Q188" i="1"/>
  <c r="AL224" i="1"/>
  <c r="AL229" i="1" s="1"/>
  <c r="AL200" i="1"/>
  <c r="AL204" i="1" s="1"/>
  <c r="AL211" i="1" s="1"/>
  <c r="BO189" i="1"/>
  <c r="BO198" i="1"/>
  <c r="BT198" i="1"/>
  <c r="BT189" i="1"/>
  <c r="Z189" i="1"/>
  <c r="Z198" i="1"/>
  <c r="AD189" i="1"/>
  <c r="AD198" i="1"/>
  <c r="T198" i="1"/>
  <c r="T189" i="1"/>
  <c r="E200" i="1" l="1"/>
  <c r="D200" i="1"/>
  <c r="AL245" i="1"/>
  <c r="AL214" i="1"/>
  <c r="AL219" i="1"/>
  <c r="AL220" i="1" s="1"/>
  <c r="AL212" i="1"/>
  <c r="CB34" i="1"/>
  <c r="CA35" i="1"/>
  <c r="AV224" i="1"/>
  <c r="AV229" i="1" s="1"/>
  <c r="AV200" i="1"/>
  <c r="AV204" i="1" s="1"/>
  <c r="AV211" i="1" s="1"/>
  <c r="AH224" i="1"/>
  <c r="AH229" i="1" s="1"/>
  <c r="AH200" i="1"/>
  <c r="AH204" i="1" s="1"/>
  <c r="AH211" i="1" s="1"/>
  <c r="M224" i="1"/>
  <c r="M229" i="1" s="1"/>
  <c r="M200" i="1"/>
  <c r="M204" i="1" s="1"/>
  <c r="M211" i="1" s="1"/>
  <c r="BW224" i="1"/>
  <c r="BW229" i="1" s="1"/>
  <c r="BW200" i="1"/>
  <c r="BW204" i="1" s="1"/>
  <c r="BW211" i="1" s="1"/>
  <c r="BJ224" i="1"/>
  <c r="BJ229" i="1" s="1"/>
  <c r="BJ200" i="1"/>
  <c r="BJ204" i="1" s="1"/>
  <c r="BJ211" i="1" s="1"/>
  <c r="G224" i="1"/>
  <c r="G229" i="1" s="1"/>
  <c r="G200" i="1"/>
  <c r="G204" i="1" s="1"/>
  <c r="G211" i="1" s="1"/>
  <c r="O224" i="1"/>
  <c r="O229" i="1" s="1"/>
  <c r="O200" i="1"/>
  <c r="O204" i="1" s="1"/>
  <c r="O211" i="1" s="1"/>
  <c r="BB224" i="1"/>
  <c r="BB229" i="1" s="1"/>
  <c r="BB200" i="1"/>
  <c r="BB204" i="1" s="1"/>
  <c r="BB211" i="1" s="1"/>
  <c r="F224" i="1"/>
  <c r="F229" i="1" s="1"/>
  <c r="F200" i="1"/>
  <c r="F204" i="1" s="1"/>
  <c r="F211" i="1" s="1"/>
  <c r="AY224" i="1"/>
  <c r="AY229" i="1" s="1"/>
  <c r="AY200" i="1"/>
  <c r="AY204" i="1" s="1"/>
  <c r="AY211" i="1" s="1"/>
  <c r="BI224" i="1"/>
  <c r="BI229" i="1" s="1"/>
  <c r="BI200" i="1"/>
  <c r="BI204" i="1" s="1"/>
  <c r="BI211" i="1" s="1"/>
  <c r="AK224" i="1"/>
  <c r="AK229" i="1" s="1"/>
  <c r="AK200" i="1"/>
  <c r="AK204" i="1" s="1"/>
  <c r="AK211" i="1" s="1"/>
  <c r="BL224" i="1"/>
  <c r="BL229" i="1" s="1"/>
  <c r="BL200" i="1"/>
  <c r="BL204" i="1" s="1"/>
  <c r="BL211" i="1" s="1"/>
  <c r="BH224" i="1"/>
  <c r="BH229" i="1" s="1"/>
  <c r="BH200" i="1"/>
  <c r="BH204" i="1" s="1"/>
  <c r="BH211" i="1" s="1"/>
  <c r="BU224" i="1"/>
  <c r="BU229" i="1" s="1"/>
  <c r="BU200" i="1"/>
  <c r="BU204" i="1" s="1"/>
  <c r="BU211" i="1" s="1"/>
  <c r="AJ224" i="1"/>
  <c r="AJ229" i="1" s="1"/>
  <c r="AJ200" i="1"/>
  <c r="AJ204" i="1" s="1"/>
  <c r="AJ211" i="1" s="1"/>
  <c r="BK224" i="1"/>
  <c r="BK229" i="1" s="1"/>
  <c r="BK200" i="1"/>
  <c r="BK204" i="1" s="1"/>
  <c r="BK211" i="1" s="1"/>
  <c r="BN224" i="1"/>
  <c r="BN229" i="1" s="1"/>
  <c r="BN200" i="1"/>
  <c r="BN204" i="1" s="1"/>
  <c r="BN211" i="1" s="1"/>
  <c r="Y224" i="1"/>
  <c r="Y229" i="1" s="1"/>
  <c r="Y200" i="1"/>
  <c r="Y204" i="1" s="1"/>
  <c r="Y211" i="1" s="1"/>
  <c r="AX224" i="1"/>
  <c r="AX229" i="1" s="1"/>
  <c r="AX200" i="1"/>
  <c r="AX204" i="1" s="1"/>
  <c r="AX211" i="1" s="1"/>
  <c r="AB224" i="1"/>
  <c r="AB229" i="1" s="1"/>
  <c r="AB200" i="1"/>
  <c r="AB204" i="1" s="1"/>
  <c r="AB211" i="1" s="1"/>
  <c r="U224" i="1"/>
  <c r="U229" i="1" s="1"/>
  <c r="I224" i="1"/>
  <c r="I229" i="1" s="1"/>
  <c r="I200" i="1"/>
  <c r="I204" i="1" s="1"/>
  <c r="I211" i="1" s="1"/>
  <c r="BG224" i="1"/>
  <c r="BG229" i="1" s="1"/>
  <c r="BG200" i="1"/>
  <c r="BG204" i="1" s="1"/>
  <c r="BG211" i="1" s="1"/>
  <c r="AT224" i="1"/>
  <c r="AT229" i="1" s="1"/>
  <c r="AT200" i="1"/>
  <c r="AT204" i="1" s="1"/>
  <c r="AT211" i="1" s="1"/>
  <c r="CJ248" i="1"/>
  <c r="BC224" i="1"/>
  <c r="BC229" i="1" s="1"/>
  <c r="BC200" i="1"/>
  <c r="BC204" i="1" s="1"/>
  <c r="BC211" i="1" s="1"/>
  <c r="Q224" i="1"/>
  <c r="Q229" i="1" s="1"/>
  <c r="Q200" i="1"/>
  <c r="Q204" i="1" s="1"/>
  <c r="Q211" i="1" s="1"/>
  <c r="AC224" i="1"/>
  <c r="AC229" i="1" s="1"/>
  <c r="AC200" i="1"/>
  <c r="AC204" i="1" s="1"/>
  <c r="AC211" i="1" s="1"/>
  <c r="BE224" i="1"/>
  <c r="BE229" i="1" s="1"/>
  <c r="BE200" i="1"/>
  <c r="BE204" i="1" s="1"/>
  <c r="BE211" i="1" s="1"/>
  <c r="BQ224" i="1"/>
  <c r="BQ229" i="1" s="1"/>
  <c r="BQ200" i="1"/>
  <c r="BQ204" i="1" s="1"/>
  <c r="BQ211" i="1" s="1"/>
  <c r="BM224" i="1"/>
  <c r="BM229" i="1" s="1"/>
  <c r="BM200" i="1"/>
  <c r="BM204" i="1" s="1"/>
  <c r="BM211" i="1" s="1"/>
  <c r="X224" i="1"/>
  <c r="X229" i="1" s="1"/>
  <c r="X200" i="1"/>
  <c r="X204" i="1" s="1"/>
  <c r="X211" i="1" s="1"/>
  <c r="CK189" i="1"/>
  <c r="CJ189" i="1"/>
  <c r="CI189" i="1"/>
  <c r="CD86" i="1"/>
  <c r="CD87" i="1" s="1"/>
  <c r="CD81" i="1"/>
  <c r="AM224" i="1"/>
  <c r="AM229" i="1" s="1"/>
  <c r="AM200" i="1"/>
  <c r="AM204" i="1" s="1"/>
  <c r="AM211" i="1" s="1"/>
  <c r="AP224" i="1"/>
  <c r="AP229" i="1" s="1"/>
  <c r="AP200" i="1"/>
  <c r="AP204" i="1" s="1"/>
  <c r="AP211" i="1" s="1"/>
  <c r="T224" i="1"/>
  <c r="T229" i="1" s="1"/>
  <c r="T200" i="1"/>
  <c r="T204" i="1" s="1"/>
  <c r="T211" i="1" s="1"/>
  <c r="CA60" i="1"/>
  <c r="CB59" i="1"/>
  <c r="BT224" i="1"/>
  <c r="BT229" i="1" s="1"/>
  <c r="BT200" i="1"/>
  <c r="BT204" i="1" s="1"/>
  <c r="BT211" i="1" s="1"/>
  <c r="AL231" i="1"/>
  <c r="AL283" i="1"/>
  <c r="BA224" i="1"/>
  <c r="BA229" i="1" s="1"/>
  <c r="BA200" i="1"/>
  <c r="BA204" i="1" s="1"/>
  <c r="BA211" i="1" s="1"/>
  <c r="K224" i="1"/>
  <c r="K229" i="1" s="1"/>
  <c r="K200" i="1"/>
  <c r="K204" i="1" s="1"/>
  <c r="K211" i="1" s="1"/>
  <c r="AU224" i="1"/>
  <c r="AU229" i="1" s="1"/>
  <c r="AU200" i="1"/>
  <c r="AU204" i="1" s="1"/>
  <c r="AU211" i="1" s="1"/>
  <c r="BX224" i="1"/>
  <c r="BX229" i="1" s="1"/>
  <c r="BX200" i="1"/>
  <c r="BX204" i="1" s="1"/>
  <c r="BX211" i="1" s="1"/>
  <c r="AN224" i="1"/>
  <c r="AN229" i="1" s="1"/>
  <c r="AN200" i="1"/>
  <c r="AN204" i="1" s="1"/>
  <c r="AN211" i="1" s="1"/>
  <c r="BF224" i="1"/>
  <c r="BF229" i="1" s="1"/>
  <c r="BF200" i="1"/>
  <c r="BF204" i="1" s="1"/>
  <c r="BF211" i="1" s="1"/>
  <c r="BR224" i="1"/>
  <c r="BR229" i="1" s="1"/>
  <c r="BR200" i="1"/>
  <c r="BR204" i="1" s="1"/>
  <c r="BR211" i="1" s="1"/>
  <c r="AI224" i="1"/>
  <c r="AI229" i="1" s="1"/>
  <c r="AI200" i="1"/>
  <c r="AI204" i="1" s="1"/>
  <c r="AI211" i="1" s="1"/>
  <c r="W224" i="1"/>
  <c r="W229" i="1" s="1"/>
  <c r="W200" i="1"/>
  <c r="W204" i="1" s="1"/>
  <c r="W211" i="1" s="1"/>
  <c r="N224" i="1"/>
  <c r="N229" i="1" s="1"/>
  <c r="N200" i="1"/>
  <c r="N204" i="1" s="1"/>
  <c r="N211" i="1" s="1"/>
  <c r="AF224" i="1"/>
  <c r="AF229" i="1" s="1"/>
  <c r="AF200" i="1"/>
  <c r="AF204" i="1" s="1"/>
  <c r="AF211" i="1" s="1"/>
  <c r="CJ426" i="1"/>
  <c r="E204" i="1"/>
  <c r="E211" i="1" s="1"/>
  <c r="E224" i="1"/>
  <c r="E229" i="1" s="1"/>
  <c r="CI248" i="1"/>
  <c r="BP224" i="1"/>
  <c r="BP229" i="1" s="1"/>
  <c r="BP200" i="1"/>
  <c r="BP204" i="1" s="1"/>
  <c r="BP211" i="1" s="1"/>
  <c r="D224" i="1"/>
  <c r="D229" i="1" s="1"/>
  <c r="D204" i="1"/>
  <c r="D211" i="1" s="1"/>
  <c r="AE224" i="1"/>
  <c r="AE229" i="1" s="1"/>
  <c r="AE200" i="1"/>
  <c r="AE204" i="1" s="1"/>
  <c r="AE211" i="1" s="1"/>
  <c r="AR224" i="1"/>
  <c r="AR229" i="1" s="1"/>
  <c r="AR200" i="1"/>
  <c r="AR204" i="1" s="1"/>
  <c r="AR211" i="1" s="1"/>
  <c r="J224" i="1"/>
  <c r="J229" i="1" s="1"/>
  <c r="J200" i="1"/>
  <c r="J204" i="1" s="1"/>
  <c r="J211" i="1" s="1"/>
  <c r="CK248" i="1"/>
  <c r="BS224" i="1"/>
  <c r="BS229" i="1" s="1"/>
  <c r="BS200" i="1"/>
  <c r="BS204" i="1" s="1"/>
  <c r="BS211" i="1" s="1"/>
  <c r="C204" i="1"/>
  <c r="C211" i="1" s="1"/>
  <c r="C224" i="1"/>
  <c r="C229" i="1" s="1"/>
  <c r="BZ55" i="1"/>
  <c r="CA55" i="1" s="1"/>
  <c r="CA56" i="1" s="1"/>
  <c r="V224" i="1"/>
  <c r="V229" i="1" s="1"/>
  <c r="BZ238" i="1"/>
  <c r="BZ11" i="1"/>
  <c r="BZ16" i="1" s="1"/>
  <c r="AW224" i="1"/>
  <c r="AW229" i="1" s="1"/>
  <c r="AW200" i="1"/>
  <c r="AW204" i="1" s="1"/>
  <c r="AW211" i="1" s="1"/>
  <c r="AD224" i="1"/>
  <c r="AD229" i="1" s="1"/>
  <c r="AD200" i="1"/>
  <c r="AD204" i="1" s="1"/>
  <c r="AD211" i="1" s="1"/>
  <c r="Z204" i="1"/>
  <c r="Z211" i="1" s="1"/>
  <c r="Z224" i="1"/>
  <c r="Z229" i="1" s="1"/>
  <c r="Z200" i="1"/>
  <c r="BO224" i="1"/>
  <c r="BO229" i="1" s="1"/>
  <c r="BO200" i="1"/>
  <c r="BO204" i="1" s="1"/>
  <c r="BO211" i="1" s="1"/>
  <c r="AG224" i="1"/>
  <c r="AG229" i="1" s="1"/>
  <c r="AG200" i="1"/>
  <c r="AG204" i="1" s="1"/>
  <c r="AG211" i="1" s="1"/>
  <c r="BD224" i="1"/>
  <c r="BD229" i="1" s="1"/>
  <c r="BD200" i="1"/>
  <c r="BD204" i="1" s="1"/>
  <c r="BD211" i="1" s="1"/>
  <c r="BV224" i="1"/>
  <c r="BV229" i="1" s="1"/>
  <c r="BV200" i="1"/>
  <c r="BV204" i="1" s="1"/>
  <c r="AQ224" i="1"/>
  <c r="AQ229" i="1" s="1"/>
  <c r="AQ200" i="1"/>
  <c r="AQ204" i="1" s="1"/>
  <c r="AQ211" i="1" s="1"/>
  <c r="V200" i="1"/>
  <c r="V204" i="1" s="1"/>
  <c r="V211" i="1" s="1"/>
  <c r="S224" i="1"/>
  <c r="S229" i="1" s="1"/>
  <c r="S200" i="1"/>
  <c r="S204" i="1" s="1"/>
  <c r="S211" i="1" s="1"/>
  <c r="L224" i="1"/>
  <c r="L229" i="1" s="1"/>
  <c r="L200" i="1"/>
  <c r="L204" i="1" s="1"/>
  <c r="L211" i="1" s="1"/>
  <c r="BY16" i="1"/>
  <c r="CE81" i="1"/>
  <c r="CE86" i="1"/>
  <c r="CE87" i="1" s="1"/>
  <c r="AZ224" i="1"/>
  <c r="AZ229" i="1" s="1"/>
  <c r="AZ200" i="1"/>
  <c r="AZ204" i="1" s="1"/>
  <c r="AZ211" i="1" s="1"/>
  <c r="CE309" i="1"/>
  <c r="CE419" i="1" s="1"/>
  <c r="CD419" i="1"/>
  <c r="AS224" i="1"/>
  <c r="AS229" i="1" s="1"/>
  <c r="AS200" i="1"/>
  <c r="AS204" i="1" s="1"/>
  <c r="AS211" i="1" s="1"/>
  <c r="P224" i="1"/>
  <c r="P229" i="1" s="1"/>
  <c r="P200" i="1"/>
  <c r="P204" i="1" s="1"/>
  <c r="P211" i="1" s="1"/>
  <c r="AO224" i="1"/>
  <c r="AO229" i="1" s="1"/>
  <c r="AO200" i="1"/>
  <c r="AO204" i="1" s="1"/>
  <c r="AO211" i="1" s="1"/>
  <c r="H224" i="1"/>
  <c r="H229" i="1" s="1"/>
  <c r="H200" i="1"/>
  <c r="H204" i="1" s="1"/>
  <c r="H211" i="1" s="1"/>
  <c r="AA224" i="1"/>
  <c r="AA229" i="1" s="1"/>
  <c r="AA200" i="1"/>
  <c r="AA204" i="1" s="1"/>
  <c r="AA211" i="1" s="1"/>
  <c r="CK188" i="1"/>
  <c r="CJ188" i="1"/>
  <c r="CI188" i="1"/>
  <c r="CI426" i="1"/>
  <c r="U200" i="1"/>
  <c r="U204" i="1" s="1"/>
  <c r="U211" i="1" s="1"/>
  <c r="R224" i="1"/>
  <c r="R229" i="1" s="1"/>
  <c r="R200" i="1"/>
  <c r="R204" i="1" s="1"/>
  <c r="R211" i="1" s="1"/>
  <c r="CE447" i="1"/>
  <c r="CK426" i="1"/>
  <c r="CA11" i="1" l="1"/>
  <c r="CA13" i="1" s="1"/>
  <c r="AZ246" i="1"/>
  <c r="AZ245" i="1"/>
  <c r="AZ240" i="1"/>
  <c r="AZ214" i="1"/>
  <c r="AZ219" i="1"/>
  <c r="AZ220" i="1" s="1"/>
  <c r="AZ212" i="1"/>
  <c r="V246" i="1"/>
  <c r="V245" i="1"/>
  <c r="V219" i="1"/>
  <c r="V220" i="1" s="1"/>
  <c r="V212" i="1"/>
  <c r="V240" i="1"/>
  <c r="Q12" i="4"/>
  <c r="AW246" i="1"/>
  <c r="AW245" i="1"/>
  <c r="AW240" i="1"/>
  <c r="AW221" i="1"/>
  <c r="AW429" i="1" s="1"/>
  <c r="AW430" i="1" s="1"/>
  <c r="AW214" i="1"/>
  <c r="AW219" i="1"/>
  <c r="AW212" i="1"/>
  <c r="AF246" i="1"/>
  <c r="AF245" i="1"/>
  <c r="AF240" i="1"/>
  <c r="AF214" i="1"/>
  <c r="AF219" i="1"/>
  <c r="AF220" i="1" s="1"/>
  <c r="AF212" i="1"/>
  <c r="BF246" i="1"/>
  <c r="BF245" i="1"/>
  <c r="BF214" i="1"/>
  <c r="BF219" i="1"/>
  <c r="BF220" i="1" s="1"/>
  <c r="BF212" i="1"/>
  <c r="BF240" i="1"/>
  <c r="AB246" i="1"/>
  <c r="AB245" i="1"/>
  <c r="AB240" i="1"/>
  <c r="AB214" i="1"/>
  <c r="AB219" i="1"/>
  <c r="AB220" i="1" s="1"/>
  <c r="AB212" i="1"/>
  <c r="T12" i="4"/>
  <c r="BL246" i="1"/>
  <c r="BL245" i="1"/>
  <c r="BL240" i="1"/>
  <c r="BL221" i="1"/>
  <c r="BL429" i="1" s="1"/>
  <c r="BL430" i="1" s="1"/>
  <c r="BL214" i="1"/>
  <c r="BL219" i="1"/>
  <c r="BL212" i="1"/>
  <c r="BI246" i="1"/>
  <c r="BI245" i="1"/>
  <c r="BI240" i="1"/>
  <c r="BI214" i="1"/>
  <c r="BI219" i="1"/>
  <c r="BI220" i="1" s="1"/>
  <c r="BI212" i="1"/>
  <c r="R12" i="4"/>
  <c r="BB246" i="1"/>
  <c r="BB245" i="1"/>
  <c r="BB214" i="1"/>
  <c r="BB240" i="1"/>
  <c r="BB219" i="1"/>
  <c r="BB212" i="1"/>
  <c r="BB221" i="1"/>
  <c r="BB429" i="1" s="1"/>
  <c r="BB430" i="1" s="1"/>
  <c r="AV246" i="1"/>
  <c r="AV245" i="1"/>
  <c r="AV240" i="1"/>
  <c r="AV214" i="1"/>
  <c r="AV219" i="1"/>
  <c r="AV220" i="1" s="1"/>
  <c r="AV212" i="1"/>
  <c r="CB56" i="1"/>
  <c r="CB55" i="1" s="1"/>
  <c r="CE56" i="1"/>
  <c r="CD56" i="1"/>
  <c r="CC56" i="1"/>
  <c r="BX240" i="1"/>
  <c r="BX246" i="1"/>
  <c r="BX245" i="1"/>
  <c r="BX214" i="1"/>
  <c r="BX219" i="1"/>
  <c r="BX220" i="1" s="1"/>
  <c r="BX212" i="1"/>
  <c r="BX129" i="1"/>
  <c r="K245" i="1"/>
  <c r="K219" i="1"/>
  <c r="K220" i="1" s="1"/>
  <c r="K212" i="1"/>
  <c r="K214" i="1"/>
  <c r="O12" i="4"/>
  <c r="AM240" i="1"/>
  <c r="AM246" i="1"/>
  <c r="AM245" i="1"/>
  <c r="AM219" i="1"/>
  <c r="AM212" i="1"/>
  <c r="AM221" i="1"/>
  <c r="AM429" i="1" s="1"/>
  <c r="AM430" i="1" s="1"/>
  <c r="AM214" i="1"/>
  <c r="BE246" i="1"/>
  <c r="BE245" i="1"/>
  <c r="BE240" i="1"/>
  <c r="BE214" i="1"/>
  <c r="BE219" i="1"/>
  <c r="BE220" i="1" s="1"/>
  <c r="BE212" i="1"/>
  <c r="I12" i="4"/>
  <c r="I246" i="1"/>
  <c r="I245" i="1"/>
  <c r="I221" i="1"/>
  <c r="I429" i="1" s="1"/>
  <c r="I430" i="1" s="1"/>
  <c r="I214" i="1"/>
  <c r="I219" i="1"/>
  <c r="I212" i="1"/>
  <c r="I240" i="1"/>
  <c r="BW240" i="1"/>
  <c r="BW246" i="1"/>
  <c r="BW245" i="1"/>
  <c r="BW219" i="1"/>
  <c r="BW220" i="1" s="1"/>
  <c r="BW212" i="1"/>
  <c r="BW214" i="1"/>
  <c r="BW129" i="1"/>
  <c r="AO246" i="1"/>
  <c r="AO245" i="1"/>
  <c r="AO240" i="1"/>
  <c r="AO214" i="1"/>
  <c r="AO219" i="1"/>
  <c r="AO220" i="1" s="1"/>
  <c r="AO212" i="1"/>
  <c r="AG246" i="1"/>
  <c r="AG245" i="1"/>
  <c r="AG240" i="1"/>
  <c r="AG214" i="1"/>
  <c r="AG219" i="1"/>
  <c r="AG220" i="1" s="1"/>
  <c r="AG212" i="1"/>
  <c r="AL246" i="1"/>
  <c r="AL240" i="1"/>
  <c r="AD246" i="1"/>
  <c r="AD245" i="1"/>
  <c r="AD214" i="1"/>
  <c r="AD240" i="1"/>
  <c r="AD219" i="1"/>
  <c r="AD220" i="1" s="1"/>
  <c r="AD212" i="1"/>
  <c r="AE240" i="1"/>
  <c r="AE246" i="1"/>
  <c r="AE245" i="1"/>
  <c r="AE219" i="1"/>
  <c r="AE220" i="1" s="1"/>
  <c r="AE212" i="1"/>
  <c r="AE214" i="1"/>
  <c r="BP246" i="1"/>
  <c r="BP245" i="1"/>
  <c r="BP240" i="1"/>
  <c r="BP214" i="1"/>
  <c r="BP219" i="1"/>
  <c r="BP220" i="1" s="1"/>
  <c r="BP212" i="1"/>
  <c r="J12" i="4"/>
  <c r="N246" i="1"/>
  <c r="N245" i="1"/>
  <c r="N214" i="1"/>
  <c r="N219" i="1"/>
  <c r="N212" i="1"/>
  <c r="N240" i="1"/>
  <c r="N221" i="1"/>
  <c r="N429" i="1" s="1"/>
  <c r="N430" i="1" s="1"/>
  <c r="BR246" i="1"/>
  <c r="BR245" i="1"/>
  <c r="BR214" i="1"/>
  <c r="BR240" i="1"/>
  <c r="BR219" i="1"/>
  <c r="BR220" i="1" s="1"/>
  <c r="BR212" i="1"/>
  <c r="AX246" i="1"/>
  <c r="AX245" i="1"/>
  <c r="AX214" i="1"/>
  <c r="AX219" i="1"/>
  <c r="AX220" i="1" s="1"/>
  <c r="AX212" i="1"/>
  <c r="AX240" i="1"/>
  <c r="BK240" i="1"/>
  <c r="BK246" i="1"/>
  <c r="BK245" i="1"/>
  <c r="BK219" i="1"/>
  <c r="BK220" i="1" s="1"/>
  <c r="BK212" i="1"/>
  <c r="BK214" i="1"/>
  <c r="BH246" i="1"/>
  <c r="BH245" i="1"/>
  <c r="BH240" i="1"/>
  <c r="BH214" i="1"/>
  <c r="BH219" i="1"/>
  <c r="BH220" i="1" s="1"/>
  <c r="BH212" i="1"/>
  <c r="AK246" i="1"/>
  <c r="AK245" i="1"/>
  <c r="AK240" i="1"/>
  <c r="AK214" i="1"/>
  <c r="AK219" i="1"/>
  <c r="AK220" i="1" s="1"/>
  <c r="AK212" i="1"/>
  <c r="O246" i="1"/>
  <c r="O245" i="1"/>
  <c r="O219" i="1"/>
  <c r="O220" i="1" s="1"/>
  <c r="O212" i="1"/>
  <c r="O240" i="1"/>
  <c r="O214" i="1"/>
  <c r="U246" i="1"/>
  <c r="U245" i="1"/>
  <c r="U219" i="1"/>
  <c r="U220" i="1" s="1"/>
  <c r="U212" i="1"/>
  <c r="U240" i="1"/>
  <c r="L245" i="1"/>
  <c r="L214" i="1"/>
  <c r="L219" i="1"/>
  <c r="L220" i="1" s="1"/>
  <c r="L212" i="1"/>
  <c r="AU240" i="1"/>
  <c r="AU246" i="1"/>
  <c r="AU245" i="1"/>
  <c r="AU219" i="1"/>
  <c r="AU220" i="1" s="1"/>
  <c r="AU212" i="1"/>
  <c r="AU214" i="1"/>
  <c r="BA246" i="1"/>
  <c r="BA245" i="1"/>
  <c r="BA240" i="1"/>
  <c r="BA214" i="1"/>
  <c r="BA219" i="1"/>
  <c r="BA220" i="1" s="1"/>
  <c r="BA212" i="1"/>
  <c r="AP246" i="1"/>
  <c r="AP245" i="1"/>
  <c r="AP214" i="1"/>
  <c r="AP219" i="1"/>
  <c r="AP220" i="1" s="1"/>
  <c r="AP212" i="1"/>
  <c r="AP240" i="1"/>
  <c r="M12" i="4"/>
  <c r="AC246" i="1"/>
  <c r="AC245" i="1"/>
  <c r="AC240" i="1"/>
  <c r="AC221" i="1"/>
  <c r="AC429" i="1" s="1"/>
  <c r="AC430" i="1" s="1"/>
  <c r="AC214" i="1"/>
  <c r="AC219" i="1"/>
  <c r="AC212" i="1"/>
  <c r="S12" i="4"/>
  <c r="BG240" i="1"/>
  <c r="BG246" i="1"/>
  <c r="BG245" i="1"/>
  <c r="BG219" i="1"/>
  <c r="BG212" i="1"/>
  <c r="BG221" i="1"/>
  <c r="BG429" i="1" s="1"/>
  <c r="BG430" i="1" s="1"/>
  <c r="BG214" i="1"/>
  <c r="BJ246" i="1"/>
  <c r="BJ245" i="1"/>
  <c r="BJ214" i="1"/>
  <c r="BJ240" i="1"/>
  <c r="BJ219" i="1"/>
  <c r="BJ220" i="1" s="1"/>
  <c r="BJ212" i="1"/>
  <c r="M245" i="1"/>
  <c r="M214" i="1"/>
  <c r="M219" i="1"/>
  <c r="M220" i="1" s="1"/>
  <c r="M212" i="1"/>
  <c r="R246" i="1"/>
  <c r="R245" i="1"/>
  <c r="R214" i="1"/>
  <c r="R219" i="1"/>
  <c r="R220" i="1" s="1"/>
  <c r="R212" i="1"/>
  <c r="R240" i="1"/>
  <c r="AA240" i="1"/>
  <c r="AA246" i="1"/>
  <c r="AA245" i="1"/>
  <c r="AA219" i="1"/>
  <c r="AA220" i="1" s="1"/>
  <c r="AA212" i="1"/>
  <c r="AA214" i="1"/>
  <c r="P246" i="1"/>
  <c r="P245" i="1"/>
  <c r="P240" i="1"/>
  <c r="P214" i="1"/>
  <c r="P219" i="1"/>
  <c r="P220" i="1" s="1"/>
  <c r="P212" i="1"/>
  <c r="AS246" i="1"/>
  <c r="AS245" i="1"/>
  <c r="AS240" i="1"/>
  <c r="AS214" i="1"/>
  <c r="AS219" i="1"/>
  <c r="AS220" i="1" s="1"/>
  <c r="AS212" i="1"/>
  <c r="CB13" i="1"/>
  <c r="CC13" i="1" s="1"/>
  <c r="CD13" i="1" s="1"/>
  <c r="CE13" i="1" s="1"/>
  <c r="CH13" i="1" s="1"/>
  <c r="CA14" i="1"/>
  <c r="CA239" i="1" s="1"/>
  <c r="K12" i="4"/>
  <c r="S246" i="1"/>
  <c r="S245" i="1"/>
  <c r="S219" i="1"/>
  <c r="S212" i="1"/>
  <c r="S240" i="1"/>
  <c r="S221" i="1"/>
  <c r="S429" i="1" s="1"/>
  <c r="S430" i="1" s="1"/>
  <c r="S214" i="1"/>
  <c r="AQ240" i="1"/>
  <c r="AQ246" i="1"/>
  <c r="AQ245" i="1"/>
  <c r="AQ219" i="1"/>
  <c r="AQ220" i="1" s="1"/>
  <c r="AQ212" i="1"/>
  <c r="AQ214" i="1"/>
  <c r="BD246" i="1"/>
  <c r="BD245" i="1"/>
  <c r="BD240" i="1"/>
  <c r="BD214" i="1"/>
  <c r="BD219" i="1"/>
  <c r="BD220" i="1" s="1"/>
  <c r="BD212" i="1"/>
  <c r="AG231" i="1"/>
  <c r="AG283" i="1"/>
  <c r="BO240" i="1"/>
  <c r="BO246" i="1"/>
  <c r="BO245" i="1"/>
  <c r="BO219" i="1"/>
  <c r="BO220" i="1" s="1"/>
  <c r="BO212" i="1"/>
  <c r="BO214" i="1"/>
  <c r="AW231" i="1"/>
  <c r="AW283" i="1"/>
  <c r="V231" i="1"/>
  <c r="V283" i="1"/>
  <c r="C231" i="1"/>
  <c r="C283" i="1"/>
  <c r="BS240" i="1"/>
  <c r="BS246" i="1"/>
  <c r="BS245" i="1"/>
  <c r="BS219" i="1"/>
  <c r="BS220" i="1" s="1"/>
  <c r="BS212" i="1"/>
  <c r="BS214" i="1"/>
  <c r="J245" i="1"/>
  <c r="J214" i="1"/>
  <c r="J219" i="1"/>
  <c r="J220" i="1" s="1"/>
  <c r="J212" i="1"/>
  <c r="D231" i="1"/>
  <c r="D243" i="1" s="1"/>
  <c r="D283" i="1"/>
  <c r="N231" i="1"/>
  <c r="N283" i="1"/>
  <c r="W240" i="1"/>
  <c r="W246" i="1"/>
  <c r="W245" i="1"/>
  <c r="W219" i="1"/>
  <c r="W220" i="1" s="1"/>
  <c r="W212" i="1"/>
  <c r="W214" i="1"/>
  <c r="BF231" i="1"/>
  <c r="BF283" i="1"/>
  <c r="AN231" i="1"/>
  <c r="AN283" i="1"/>
  <c r="BA231" i="1"/>
  <c r="BA283" i="1"/>
  <c r="BT246" i="1"/>
  <c r="BT245" i="1"/>
  <c r="BT240" i="1"/>
  <c r="BT214" i="1"/>
  <c r="BT219" i="1"/>
  <c r="BT220" i="1" s="1"/>
  <c r="BT212" i="1"/>
  <c r="AM231" i="1"/>
  <c r="AM283" i="1"/>
  <c r="L12" i="4"/>
  <c r="X246" i="1"/>
  <c r="X245" i="1"/>
  <c r="X240" i="1"/>
  <c r="X221" i="1"/>
  <c r="X429" i="1" s="1"/>
  <c r="X430" i="1" s="1"/>
  <c r="X214" i="1"/>
  <c r="X219" i="1"/>
  <c r="X212" i="1"/>
  <c r="BM246" i="1"/>
  <c r="BM245" i="1"/>
  <c r="BM240" i="1"/>
  <c r="BM214" i="1"/>
  <c r="BM219" i="1"/>
  <c r="BM220" i="1" s="1"/>
  <c r="BM212" i="1"/>
  <c r="AC231" i="1"/>
  <c r="AC283" i="1"/>
  <c r="Q246" i="1"/>
  <c r="Q245" i="1"/>
  <c r="Q214" i="1"/>
  <c r="Q219" i="1"/>
  <c r="Q220" i="1" s="1"/>
  <c r="Q212" i="1"/>
  <c r="Q240" i="1"/>
  <c r="I231" i="1"/>
  <c r="I283" i="1"/>
  <c r="AX231" i="1"/>
  <c r="AX283" i="1"/>
  <c r="Y246" i="1"/>
  <c r="Y245" i="1"/>
  <c r="Y240" i="1"/>
  <c r="Y214" i="1"/>
  <c r="Y219" i="1"/>
  <c r="Y220" i="1" s="1"/>
  <c r="Y212" i="1"/>
  <c r="AJ246" i="1"/>
  <c r="AJ245" i="1"/>
  <c r="AJ240" i="1"/>
  <c r="AJ214" i="1"/>
  <c r="AJ219" i="1"/>
  <c r="AJ220" i="1" s="1"/>
  <c r="AJ212" i="1"/>
  <c r="BU246" i="1"/>
  <c r="BU245" i="1"/>
  <c r="BU240" i="1"/>
  <c r="BU214" i="1"/>
  <c r="BU219" i="1"/>
  <c r="BU220" i="1" s="1"/>
  <c r="BU212" i="1"/>
  <c r="BI231" i="1"/>
  <c r="BI283" i="1"/>
  <c r="AY240" i="1"/>
  <c r="AY246" i="1"/>
  <c r="AY245" i="1"/>
  <c r="AY219" i="1"/>
  <c r="AY220" i="1" s="1"/>
  <c r="AY212" i="1"/>
  <c r="AY214" i="1"/>
  <c r="O231" i="1"/>
  <c r="O283" i="1"/>
  <c r="G12" i="4"/>
  <c r="G246" i="1"/>
  <c r="G245" i="1"/>
  <c r="G219" i="1"/>
  <c r="G212" i="1"/>
  <c r="G240" i="1"/>
  <c r="G221" i="1"/>
  <c r="G429" i="1" s="1"/>
  <c r="G430" i="1" s="1"/>
  <c r="G214" i="1"/>
  <c r="M231" i="1"/>
  <c r="M283" i="1"/>
  <c r="N12" i="4"/>
  <c r="AH246" i="1"/>
  <c r="AH245" i="1"/>
  <c r="AH214" i="1"/>
  <c r="AH219" i="1"/>
  <c r="AH212" i="1"/>
  <c r="AH240" i="1"/>
  <c r="AH221" i="1"/>
  <c r="AH429" i="1" s="1"/>
  <c r="AH430" i="1" s="1"/>
  <c r="AO231" i="1"/>
  <c r="AO283" i="1"/>
  <c r="P231" i="1"/>
  <c r="P283" i="1"/>
  <c r="AZ231" i="1"/>
  <c r="AZ283" i="1"/>
  <c r="BY126" i="1"/>
  <c r="BY114" i="1"/>
  <c r="CA16" i="1"/>
  <c r="BY17" i="1"/>
  <c r="L231" i="1"/>
  <c r="L283" i="1"/>
  <c r="AD231" i="1"/>
  <c r="AD283" i="1"/>
  <c r="C12" i="4"/>
  <c r="C245" i="1"/>
  <c r="C219" i="1"/>
  <c r="C212" i="1"/>
  <c r="C221" i="1"/>
  <c r="C429" i="1" s="1"/>
  <c r="C430" i="1" s="1"/>
  <c r="C214" i="1"/>
  <c r="AE231" i="1"/>
  <c r="AE283" i="1"/>
  <c r="E231" i="1"/>
  <c r="E243" i="1" s="1"/>
  <c r="E283" i="1"/>
  <c r="BR231" i="1"/>
  <c r="BR283" i="1"/>
  <c r="AU231" i="1"/>
  <c r="AU283" i="1"/>
  <c r="K231" i="1"/>
  <c r="K283" i="1"/>
  <c r="AP231" i="1"/>
  <c r="AP283" i="1"/>
  <c r="X231" i="1"/>
  <c r="X283" i="1"/>
  <c r="BE231" i="1"/>
  <c r="BE283" i="1"/>
  <c r="BG231" i="1"/>
  <c r="BG283" i="1"/>
  <c r="BK231" i="1"/>
  <c r="BK243" i="1" s="1"/>
  <c r="BK283" i="1"/>
  <c r="AJ231" i="1"/>
  <c r="AJ283" i="1"/>
  <c r="AK231" i="1"/>
  <c r="AK283" i="1"/>
  <c r="BB231" i="1"/>
  <c r="BB283" i="1"/>
  <c r="BW231" i="1"/>
  <c r="BW283" i="1"/>
  <c r="CB36" i="1"/>
  <c r="CC34" i="1"/>
  <c r="H12" i="4"/>
  <c r="H246" i="1"/>
  <c r="H245" i="1"/>
  <c r="H240" i="1"/>
  <c r="H221" i="1"/>
  <c r="H429" i="1" s="1"/>
  <c r="H430" i="1" s="1"/>
  <c r="H214" i="1"/>
  <c r="H219" i="1"/>
  <c r="H212" i="1"/>
  <c r="CB11" i="1"/>
  <c r="CA12" i="1"/>
  <c r="CA238" i="1" s="1"/>
  <c r="D11" i="2" s="1"/>
  <c r="C19" i="2"/>
  <c r="CI229" i="1"/>
  <c r="BV231" i="1"/>
  <c r="CK229" i="1"/>
  <c r="CJ229" i="1"/>
  <c r="BV283" i="1"/>
  <c r="BD231" i="1"/>
  <c r="BD283" i="1"/>
  <c r="Z231" i="1"/>
  <c r="Z283" i="1"/>
  <c r="BZ114" i="1"/>
  <c r="BZ17" i="1"/>
  <c r="BZ126" i="1"/>
  <c r="P12" i="4"/>
  <c r="AR246" i="1"/>
  <c r="AR245" i="1"/>
  <c r="AR221" i="1"/>
  <c r="AR429" i="1" s="1"/>
  <c r="AR430" i="1" s="1"/>
  <c r="AR240" i="1"/>
  <c r="AR214" i="1"/>
  <c r="AR219" i="1"/>
  <c r="AR212" i="1"/>
  <c r="E12" i="4"/>
  <c r="E246" i="1"/>
  <c r="E245" i="1"/>
  <c r="E221" i="1"/>
  <c r="E429" i="1" s="1"/>
  <c r="E430" i="1" s="1"/>
  <c r="E214" i="1"/>
  <c r="E219" i="1"/>
  <c r="E212" i="1"/>
  <c r="E240" i="1"/>
  <c r="AF231" i="1"/>
  <c r="AF283" i="1"/>
  <c r="AI231" i="1"/>
  <c r="AI243" i="1" s="1"/>
  <c r="AI283" i="1"/>
  <c r="BT231" i="1"/>
  <c r="BT283" i="1"/>
  <c r="T246" i="1"/>
  <c r="T245" i="1"/>
  <c r="T240" i="1"/>
  <c r="T214" i="1"/>
  <c r="T219" i="1"/>
  <c r="T220" i="1" s="1"/>
  <c r="T212" i="1"/>
  <c r="BQ231" i="1"/>
  <c r="BQ283" i="1"/>
  <c r="BC231" i="1"/>
  <c r="BC243" i="1" s="1"/>
  <c r="BC283" i="1"/>
  <c r="AT231" i="1"/>
  <c r="AT243" i="1" s="1"/>
  <c r="AT283" i="1"/>
  <c r="U231" i="1"/>
  <c r="U283" i="1"/>
  <c r="AB231" i="1"/>
  <c r="AB283" i="1"/>
  <c r="BN231" i="1"/>
  <c r="BN243" i="1" s="1"/>
  <c r="BN283" i="1"/>
  <c r="F231" i="1"/>
  <c r="F243" i="1" s="1"/>
  <c r="F283" i="1"/>
  <c r="BJ231" i="1"/>
  <c r="BJ283" i="1"/>
  <c r="R231" i="1"/>
  <c r="R283" i="1"/>
  <c r="AA231" i="1"/>
  <c r="AA283" i="1"/>
  <c r="H231" i="1"/>
  <c r="H283" i="1"/>
  <c r="AS231" i="1"/>
  <c r="AS243" i="1" s="1"/>
  <c r="AS283" i="1"/>
  <c r="S231" i="1"/>
  <c r="S283" i="1"/>
  <c r="AQ231" i="1"/>
  <c r="AQ243" i="1" s="1"/>
  <c r="AQ283" i="1"/>
  <c r="CK204" i="1"/>
  <c r="CJ204" i="1"/>
  <c r="BV211" i="1"/>
  <c r="CI204" i="1"/>
  <c r="BO231" i="1"/>
  <c r="BO283" i="1"/>
  <c r="Z246" i="1"/>
  <c r="Z245" i="1"/>
  <c r="Z214" i="1"/>
  <c r="Z219" i="1"/>
  <c r="Z220" i="1" s="1"/>
  <c r="Z212" i="1"/>
  <c r="Z240" i="1"/>
  <c r="BS231" i="1"/>
  <c r="BS283" i="1"/>
  <c r="J231" i="1"/>
  <c r="J283" i="1"/>
  <c r="AR231" i="1"/>
  <c r="AR243" i="1" s="1"/>
  <c r="AR283" i="1"/>
  <c r="D12" i="4"/>
  <c r="D246" i="1"/>
  <c r="D245" i="1"/>
  <c r="D240" i="1"/>
  <c r="D221" i="1"/>
  <c r="D429" i="1" s="1"/>
  <c r="D430" i="1" s="1"/>
  <c r="D214" i="1"/>
  <c r="D219" i="1"/>
  <c r="D212" i="1"/>
  <c r="BP231" i="1"/>
  <c r="BP283" i="1"/>
  <c r="W231" i="1"/>
  <c r="W283" i="1"/>
  <c r="AI240" i="1"/>
  <c r="AI246" i="1"/>
  <c r="AI245" i="1"/>
  <c r="AI219" i="1"/>
  <c r="AI220" i="1" s="1"/>
  <c r="AI212" i="1"/>
  <c r="AI214" i="1"/>
  <c r="AN246" i="1"/>
  <c r="AN245" i="1"/>
  <c r="AN240" i="1"/>
  <c r="AN214" i="1"/>
  <c r="AN219" i="1"/>
  <c r="AN220" i="1" s="1"/>
  <c r="AN212" i="1"/>
  <c r="BX231" i="1"/>
  <c r="BX283" i="1"/>
  <c r="AL243" i="1"/>
  <c r="CB62" i="1"/>
  <c r="CC59" i="1"/>
  <c r="T231" i="1"/>
  <c r="T243" i="1" s="1"/>
  <c r="T283" i="1"/>
  <c r="BM231" i="1"/>
  <c r="BM283" i="1"/>
  <c r="U12" i="4"/>
  <c r="BQ246" i="1"/>
  <c r="BQ245" i="1"/>
  <c r="BQ240" i="1"/>
  <c r="BQ221" i="1"/>
  <c r="BQ429" i="1" s="1"/>
  <c r="BQ430" i="1" s="1"/>
  <c r="BQ214" i="1"/>
  <c r="BQ219" i="1"/>
  <c r="BQ212" i="1"/>
  <c r="Q231" i="1"/>
  <c r="Q283" i="1"/>
  <c r="BC240" i="1"/>
  <c r="BC246" i="1"/>
  <c r="BC245" i="1"/>
  <c r="BC219" i="1"/>
  <c r="BC220" i="1" s="1"/>
  <c r="BC212" i="1"/>
  <c r="BC214" i="1"/>
  <c r="AT246" i="1"/>
  <c r="AT245" i="1"/>
  <c r="AT214" i="1"/>
  <c r="AT240" i="1"/>
  <c r="AT219" i="1"/>
  <c r="AT220" i="1" s="1"/>
  <c r="AT212" i="1"/>
  <c r="Y231" i="1"/>
  <c r="Y283" i="1"/>
  <c r="BN246" i="1"/>
  <c r="BN245" i="1"/>
  <c r="BN214" i="1"/>
  <c r="BN219" i="1"/>
  <c r="BN220" i="1" s="1"/>
  <c r="BN212" i="1"/>
  <c r="BN240" i="1"/>
  <c r="BU231" i="1"/>
  <c r="BU283" i="1"/>
  <c r="BH231" i="1"/>
  <c r="BH243" i="1" s="1"/>
  <c r="BH283" i="1"/>
  <c r="BL231" i="1"/>
  <c r="BL243" i="1" s="1"/>
  <c r="BL283" i="1"/>
  <c r="AY231" i="1"/>
  <c r="AY283" i="1"/>
  <c r="F12" i="4"/>
  <c r="F246" i="1"/>
  <c r="F245" i="1"/>
  <c r="F214" i="1"/>
  <c r="F219" i="1"/>
  <c r="F212" i="1"/>
  <c r="F240" i="1"/>
  <c r="F221" i="1"/>
  <c r="F429" i="1" s="1"/>
  <c r="F430" i="1" s="1"/>
  <c r="G231" i="1"/>
  <c r="G283" i="1"/>
  <c r="AH231" i="1"/>
  <c r="AH283" i="1"/>
  <c r="AV231" i="1"/>
  <c r="AV243" i="1" s="1"/>
  <c r="AV283" i="1"/>
  <c r="CB23" i="1" l="1"/>
  <c r="CF283" i="1"/>
  <c r="BP243" i="1"/>
  <c r="AA243" i="1"/>
  <c r="BJ243" i="1"/>
  <c r="U243" i="1"/>
  <c r="G243" i="1"/>
  <c r="BO243" i="1"/>
  <c r="BY127" i="1"/>
  <c r="BY64" i="1" s="1"/>
  <c r="BY62" i="1" s="1"/>
  <c r="CD59" i="1"/>
  <c r="CC62" i="1"/>
  <c r="BX243" i="1"/>
  <c r="BX233" i="1"/>
  <c r="V12" i="4"/>
  <c r="C12" i="2"/>
  <c r="C13" i="2" s="1"/>
  <c r="BV246" i="1"/>
  <c r="BV245" i="1"/>
  <c r="BV214" i="1"/>
  <c r="BV219" i="1"/>
  <c r="BV212" i="1"/>
  <c r="L13" i="2" s="1"/>
  <c r="CK211" i="1"/>
  <c r="CJ211" i="1"/>
  <c r="BV240" i="1"/>
  <c r="BV221" i="1"/>
  <c r="CI211" i="1"/>
  <c r="E20" i="4"/>
  <c r="E14" i="4"/>
  <c r="AR405" i="1"/>
  <c r="AR220" i="1"/>
  <c r="P20" i="4"/>
  <c r="P14" i="4"/>
  <c r="Z243" i="1"/>
  <c r="H405" i="1"/>
  <c r="H220" i="1"/>
  <c r="H20" i="4"/>
  <c r="H14" i="4"/>
  <c r="CK212" i="1"/>
  <c r="P243" i="1"/>
  <c r="P233" i="1"/>
  <c r="N20" i="4"/>
  <c r="N14" i="4"/>
  <c r="I243" i="1"/>
  <c r="I233" i="1"/>
  <c r="AC243" i="1"/>
  <c r="X405" i="1"/>
  <c r="X220" i="1"/>
  <c r="L20" i="4"/>
  <c r="L14" i="4"/>
  <c r="AM243" i="1"/>
  <c r="BA243" i="1"/>
  <c r="BA233" i="1"/>
  <c r="BF243" i="1"/>
  <c r="BF233" i="1"/>
  <c r="N243" i="1"/>
  <c r="V243" i="1"/>
  <c r="V233" i="1"/>
  <c r="K20" i="4"/>
  <c r="K14" i="4"/>
  <c r="AC405" i="1"/>
  <c r="AC220" i="1"/>
  <c r="M20" i="4"/>
  <c r="M14" i="4"/>
  <c r="CJ245" i="1"/>
  <c r="I405" i="1"/>
  <c r="I220" i="1"/>
  <c r="O20" i="4"/>
  <c r="O14" i="4"/>
  <c r="BL405" i="1"/>
  <c r="BL220" i="1"/>
  <c r="T20" i="4"/>
  <c r="T14" i="4"/>
  <c r="F405" i="1"/>
  <c r="F220" i="1"/>
  <c r="BU243" i="1"/>
  <c r="Y243" i="1"/>
  <c r="BQ405" i="1"/>
  <c r="BQ220" i="1"/>
  <c r="U20" i="4"/>
  <c r="U14" i="4"/>
  <c r="BM243" i="1"/>
  <c r="E405" i="1"/>
  <c r="E220" i="1"/>
  <c r="BB243" i="1"/>
  <c r="BB233" i="1"/>
  <c r="AJ243" i="1"/>
  <c r="AJ233" i="1"/>
  <c r="BG243" i="1"/>
  <c r="BG233" i="1"/>
  <c r="X243" i="1"/>
  <c r="X233" i="1"/>
  <c r="BR243" i="1"/>
  <c r="BR233" i="1"/>
  <c r="AE243" i="1"/>
  <c r="C405" i="1"/>
  <c r="C220" i="1"/>
  <c r="AD243" i="1"/>
  <c r="CA17" i="1"/>
  <c r="CA15" i="1"/>
  <c r="CB15" i="1" s="1"/>
  <c r="CC15" i="1" s="1"/>
  <c r="CD15" i="1" s="1"/>
  <c r="CE15" i="1" s="1"/>
  <c r="CA114" i="1"/>
  <c r="G405" i="1"/>
  <c r="G220" i="1"/>
  <c r="N405" i="1"/>
  <c r="N220" i="1"/>
  <c r="W243" i="1"/>
  <c r="W233" i="1"/>
  <c r="D405" i="1"/>
  <c r="D220" i="1"/>
  <c r="D20" i="4"/>
  <c r="D14" i="4"/>
  <c r="BS243" i="1"/>
  <c r="BS233" i="1"/>
  <c r="S243" i="1"/>
  <c r="S233" i="1"/>
  <c r="H243" i="1"/>
  <c r="H233" i="1"/>
  <c r="R243" i="1"/>
  <c r="R233" i="1"/>
  <c r="AB243" i="1"/>
  <c r="BQ243" i="1"/>
  <c r="BT243" i="1"/>
  <c r="AF243" i="1"/>
  <c r="BZ158" i="1"/>
  <c r="BZ118" i="1" s="1"/>
  <c r="BZ120" i="1"/>
  <c r="BZ117" i="1"/>
  <c r="BD243" i="1"/>
  <c r="BD233" i="1"/>
  <c r="C23" i="2"/>
  <c r="BV243" i="1"/>
  <c r="CK231" i="1"/>
  <c r="CJ231" i="1"/>
  <c r="CI231" i="1"/>
  <c r="CC11" i="1"/>
  <c r="K36" i="2"/>
  <c r="C20" i="4"/>
  <c r="C14" i="4"/>
  <c r="L36" i="2"/>
  <c r="J36" i="2"/>
  <c r="CK245" i="1"/>
  <c r="AZ243" i="1"/>
  <c r="AZ233" i="1"/>
  <c r="AO243" i="1"/>
  <c r="AH405" i="1"/>
  <c r="AH220" i="1"/>
  <c r="G20" i="4"/>
  <c r="G14" i="4"/>
  <c r="O243" i="1"/>
  <c r="O233" i="1"/>
  <c r="BI243" i="1"/>
  <c r="AX243" i="1"/>
  <c r="AN243" i="1"/>
  <c r="AW243" i="1"/>
  <c r="AG243" i="1"/>
  <c r="AG233" i="1"/>
  <c r="BG405" i="1"/>
  <c r="BG220" i="1"/>
  <c r="R20" i="4"/>
  <c r="R14" i="4"/>
  <c r="CI245" i="1"/>
  <c r="AW405" i="1"/>
  <c r="AW220" i="1"/>
  <c r="Q20" i="4"/>
  <c r="Q14" i="4"/>
  <c r="AH243" i="1"/>
  <c r="AH233" i="1"/>
  <c r="F20" i="4"/>
  <c r="F14" i="4"/>
  <c r="AY243" i="1"/>
  <c r="AY233" i="1"/>
  <c r="Q243" i="1"/>
  <c r="Q233" i="1"/>
  <c r="CC55" i="1"/>
  <c r="CC36" i="1"/>
  <c r="CD34" i="1"/>
  <c r="BW243" i="1"/>
  <c r="BW233" i="1"/>
  <c r="AK243" i="1"/>
  <c r="BE243" i="1"/>
  <c r="BE233" i="1"/>
  <c r="AP243" i="1"/>
  <c r="AU243" i="1"/>
  <c r="BY158" i="1"/>
  <c r="BY118" i="1" s="1"/>
  <c r="BY120" i="1"/>
  <c r="BY117" i="1"/>
  <c r="S405" i="1"/>
  <c r="S220" i="1"/>
  <c r="S20" i="4"/>
  <c r="S14" i="4"/>
  <c r="CJ212" i="1"/>
  <c r="J20" i="4"/>
  <c r="J14" i="4"/>
  <c r="I20" i="4"/>
  <c r="I14" i="4"/>
  <c r="AM405" i="1"/>
  <c r="AM220" i="1"/>
  <c r="BB405" i="1"/>
  <c r="BB220" i="1"/>
  <c r="CB16" i="1" l="1"/>
  <c r="CB114" i="1" s="1"/>
  <c r="J13" i="2"/>
  <c r="CI212" i="1"/>
  <c r="K13" i="2"/>
  <c r="BY38" i="1"/>
  <c r="BY36" i="1" s="1"/>
  <c r="BY20" i="1"/>
  <c r="BY18" i="1" s="1"/>
  <c r="BY21" i="1" s="1"/>
  <c r="BZ127" i="1"/>
  <c r="BZ38" i="1" s="1"/>
  <c r="BZ36" i="1" s="1"/>
  <c r="CA36" i="1" s="1"/>
  <c r="CA38" i="1" s="1"/>
  <c r="CH38" i="1" s="1"/>
  <c r="AW412" i="1"/>
  <c r="AW415" i="1" s="1"/>
  <c r="AW407" i="1"/>
  <c r="CC16" i="1"/>
  <c r="CD11" i="1"/>
  <c r="BZ237" i="1"/>
  <c r="BZ183" i="1"/>
  <c r="BZ153" i="1"/>
  <c r="BZ249" i="1"/>
  <c r="BZ154" i="1"/>
  <c r="D412" i="1"/>
  <c r="D415" i="1" s="1"/>
  <c r="D407" i="1"/>
  <c r="N412" i="1"/>
  <c r="N415" i="1" s="1"/>
  <c r="N407" i="1"/>
  <c r="C407" i="1"/>
  <c r="C412" i="1"/>
  <c r="C415" i="1" s="1"/>
  <c r="H412" i="1"/>
  <c r="H415" i="1" s="1"/>
  <c r="H407" i="1"/>
  <c r="V20" i="4"/>
  <c r="V14" i="4"/>
  <c r="AM407" i="1"/>
  <c r="AM412" i="1"/>
  <c r="AM415" i="1" s="1"/>
  <c r="E412" i="1"/>
  <c r="E415" i="1" s="1"/>
  <c r="E407" i="1"/>
  <c r="X412" i="1"/>
  <c r="X415" i="1" s="1"/>
  <c r="X407" i="1"/>
  <c r="AR412" i="1"/>
  <c r="AR415" i="1" s="1"/>
  <c r="AR407" i="1"/>
  <c r="C35" i="2"/>
  <c r="BV429" i="1"/>
  <c r="BV430" i="1" s="1"/>
  <c r="S407" i="1"/>
  <c r="S412" i="1"/>
  <c r="S415" i="1" s="1"/>
  <c r="BY237" i="1"/>
  <c r="BY183" i="1"/>
  <c r="BY153" i="1"/>
  <c r="BY249" i="1"/>
  <c r="BY154" i="1"/>
  <c r="CD36" i="1"/>
  <c r="CE34" i="1"/>
  <c r="CD55" i="1"/>
  <c r="BG407" i="1"/>
  <c r="BG412" i="1"/>
  <c r="BG415" i="1" s="1"/>
  <c r="AH412" i="1"/>
  <c r="AH415" i="1" s="1"/>
  <c r="AH407" i="1"/>
  <c r="G407" i="1"/>
  <c r="G412" i="1"/>
  <c r="G415" i="1" s="1"/>
  <c r="BQ412" i="1"/>
  <c r="BQ415" i="1" s="1"/>
  <c r="BQ407" i="1"/>
  <c r="F412" i="1"/>
  <c r="F415" i="1" s="1"/>
  <c r="F407" i="1"/>
  <c r="BL412" i="1"/>
  <c r="BL415" i="1" s="1"/>
  <c r="BL407" i="1"/>
  <c r="I412" i="1"/>
  <c r="I415" i="1" s="1"/>
  <c r="I407" i="1"/>
  <c r="BV405" i="1"/>
  <c r="BV220" i="1"/>
  <c r="CI220" i="1" s="1"/>
  <c r="CK219" i="1"/>
  <c r="CJ219" i="1"/>
  <c r="CI219" i="1"/>
  <c r="BB412" i="1"/>
  <c r="BB415" i="1" s="1"/>
  <c r="BB407" i="1"/>
  <c r="CA158" i="1"/>
  <c r="CA118" i="1" s="1"/>
  <c r="CA120" i="1"/>
  <c r="CA125" i="1" s="1"/>
  <c r="CA117" i="1"/>
  <c r="CK220" i="1"/>
  <c r="AC412" i="1"/>
  <c r="AC415" i="1" s="1"/>
  <c r="AC407" i="1"/>
  <c r="CE59" i="1"/>
  <c r="CD62" i="1"/>
  <c r="BZ20" i="1"/>
  <c r="BZ18" i="1" s="1"/>
  <c r="BZ64" i="1" l="1"/>
  <c r="BZ62" i="1" s="1"/>
  <c r="CA62" i="1" s="1"/>
  <c r="CA64" i="1" s="1"/>
  <c r="CH64" i="1" s="1"/>
  <c r="BY115" i="1"/>
  <c r="BY116" i="1" s="1"/>
  <c r="CB17" i="1"/>
  <c r="CB24" i="1"/>
  <c r="CB27" i="1" s="1"/>
  <c r="CC23" i="1"/>
  <c r="CC24" i="1" s="1"/>
  <c r="CC27" i="1" s="1"/>
  <c r="CA18" i="1"/>
  <c r="CD23" i="1"/>
  <c r="CA183" i="1"/>
  <c r="CA256" i="1" s="1"/>
  <c r="CA327" i="1" s="1"/>
  <c r="BY250" i="1"/>
  <c r="BY22" i="1"/>
  <c r="CJ220" i="1"/>
  <c r="C411" i="1"/>
  <c r="C417" i="1"/>
  <c r="C422" i="1" s="1"/>
  <c r="D9" i="2"/>
  <c r="D10" i="2" s="1"/>
  <c r="CA286" i="1"/>
  <c r="CH286" i="1" s="1"/>
  <c r="CA401" i="1"/>
  <c r="CA341" i="1"/>
  <c r="CA237" i="1"/>
  <c r="CA153" i="1"/>
  <c r="CH153" i="1" s="1"/>
  <c r="CA400" i="1"/>
  <c r="CA249" i="1"/>
  <c r="CA154" i="1"/>
  <c r="CH154" i="1" s="1"/>
  <c r="I417" i="1"/>
  <c r="I422" i="1" s="1"/>
  <c r="I19" i="4" s="1"/>
  <c r="I411" i="1"/>
  <c r="I18" i="4" s="1"/>
  <c r="F417" i="1"/>
  <c r="F422" i="1" s="1"/>
  <c r="F19" i="4" s="1"/>
  <c r="F411" i="1"/>
  <c r="F18" i="4" s="1"/>
  <c r="X417" i="1"/>
  <c r="X422" i="1" s="1"/>
  <c r="L19" i="4" s="1"/>
  <c r="X411" i="1"/>
  <c r="L18" i="4" s="1"/>
  <c r="CB158" i="1"/>
  <c r="CB118" i="1" s="1"/>
  <c r="CB120" i="1"/>
  <c r="CB117" i="1"/>
  <c r="AM411" i="1"/>
  <c r="O18" i="4" s="1"/>
  <c r="AM417" i="1"/>
  <c r="AM422" i="1" s="1"/>
  <c r="O19" i="4" s="1"/>
  <c r="H417" i="1"/>
  <c r="H422" i="1" s="1"/>
  <c r="H19" i="4" s="1"/>
  <c r="H411" i="1"/>
  <c r="H18" i="4" s="1"/>
  <c r="N417" i="1"/>
  <c r="N422" i="1" s="1"/>
  <c r="J19" i="4" s="1"/>
  <c r="N411" i="1"/>
  <c r="J18" i="4" s="1"/>
  <c r="CC114" i="1"/>
  <c r="CC17" i="1"/>
  <c r="BZ21" i="1"/>
  <c r="BZ115" i="1"/>
  <c r="CE36" i="1"/>
  <c r="CH36" i="1" s="1"/>
  <c r="CH34" i="1"/>
  <c r="CE55" i="1"/>
  <c r="CE62" i="1"/>
  <c r="CH62" i="1" s="1"/>
  <c r="CH59" i="1"/>
  <c r="BB417" i="1"/>
  <c r="BB422" i="1" s="1"/>
  <c r="BB411" i="1"/>
  <c r="G411" i="1"/>
  <c r="G18" i="4" s="1"/>
  <c r="G417" i="1"/>
  <c r="G422" i="1" s="1"/>
  <c r="G19" i="4" s="1"/>
  <c r="BG411" i="1"/>
  <c r="S18" i="4" s="1"/>
  <c r="BG417" i="1"/>
  <c r="BG422" i="1" s="1"/>
  <c r="S19" i="4" s="1"/>
  <c r="S411" i="1"/>
  <c r="K18" i="4" s="1"/>
  <c r="S417" i="1"/>
  <c r="S422" i="1" s="1"/>
  <c r="K19" i="4" s="1"/>
  <c r="C36" i="2"/>
  <c r="C39" i="2"/>
  <c r="AW417" i="1"/>
  <c r="AW422" i="1" s="1"/>
  <c r="Q19" i="4" s="1"/>
  <c r="AW411" i="1"/>
  <c r="Q18" i="4" s="1"/>
  <c r="CD16" i="1"/>
  <c r="CE11" i="1"/>
  <c r="AC417" i="1"/>
  <c r="AC422" i="1" s="1"/>
  <c r="AC411" i="1"/>
  <c r="BV412" i="1"/>
  <c r="BV415" i="1" s="1"/>
  <c r="BV407" i="1"/>
  <c r="BL417" i="1"/>
  <c r="BL422" i="1" s="1"/>
  <c r="T19" i="4" s="1"/>
  <c r="BL411" i="1"/>
  <c r="T18" i="4" s="1"/>
  <c r="BQ417" i="1"/>
  <c r="BQ422" i="1" s="1"/>
  <c r="U19" i="4" s="1"/>
  <c r="BQ411" i="1"/>
  <c r="U18" i="4" s="1"/>
  <c r="AH417" i="1"/>
  <c r="AH422" i="1" s="1"/>
  <c r="N19" i="4" s="1"/>
  <c r="AH411" i="1"/>
  <c r="N18" i="4" s="1"/>
  <c r="AR417" i="1"/>
  <c r="AR422" i="1" s="1"/>
  <c r="P19" i="4" s="1"/>
  <c r="AR411" i="1"/>
  <c r="P18" i="4" s="1"/>
  <c r="E417" i="1"/>
  <c r="E422" i="1" s="1"/>
  <c r="E19" i="4" s="1"/>
  <c r="E411" i="1"/>
  <c r="E18" i="4" s="1"/>
  <c r="D417" i="1"/>
  <c r="D422" i="1" s="1"/>
  <c r="D19" i="4" s="1"/>
  <c r="D411" i="1"/>
  <c r="D18" i="4" s="1"/>
  <c r="CA21" i="1" l="1"/>
  <c r="CA22" i="1" s="1"/>
  <c r="CB18" i="1"/>
  <c r="CC18" i="1" s="1"/>
  <c r="BY161" i="1"/>
  <c r="CA115" i="1"/>
  <c r="CA250" i="1"/>
  <c r="CA20" i="1"/>
  <c r="CE23" i="1"/>
  <c r="CD24" i="1"/>
  <c r="CD27" i="1" s="1"/>
  <c r="BZ250" i="1"/>
  <c r="BZ22" i="1"/>
  <c r="CA155" i="1"/>
  <c r="CD114" i="1"/>
  <c r="CD17" i="1"/>
  <c r="C18" i="4"/>
  <c r="M18" i="4"/>
  <c r="BZ116" i="1"/>
  <c r="BZ161" i="1"/>
  <c r="BZ162" i="1" s="1"/>
  <c r="BZ119" i="1" s="1"/>
  <c r="CC158" i="1"/>
  <c r="CC118" i="1" s="1"/>
  <c r="CC120" i="1"/>
  <c r="CC117" i="1"/>
  <c r="M19" i="4"/>
  <c r="R18" i="4"/>
  <c r="CA303" i="1"/>
  <c r="CA315" i="1"/>
  <c r="CA116" i="1"/>
  <c r="BV417" i="1"/>
  <c r="BV422" i="1" s="1"/>
  <c r="CJ422" i="1" s="1"/>
  <c r="BV411" i="1"/>
  <c r="J41" i="2" s="1"/>
  <c r="CH11" i="1"/>
  <c r="CE16" i="1"/>
  <c r="BY162" i="1"/>
  <c r="R19" i="4"/>
  <c r="E9" i="2"/>
  <c r="E10" i="2" s="1"/>
  <c r="CB341" i="1"/>
  <c r="CB262" i="1"/>
  <c r="CB237" i="1"/>
  <c r="CB183" i="1"/>
  <c r="CB256" i="1" s="1"/>
  <c r="CB327" i="1" s="1"/>
  <c r="CB163" i="1"/>
  <c r="CB249" i="1" s="1"/>
  <c r="CB152" i="1"/>
  <c r="CB182" i="1" s="1"/>
  <c r="C19" i="4"/>
  <c r="K42" i="2"/>
  <c r="CB21" i="1" l="1"/>
  <c r="CB250" i="1" s="1"/>
  <c r="CB115" i="1"/>
  <c r="CB116" i="1" s="1"/>
  <c r="CC21" i="1"/>
  <c r="CC250" i="1" s="1"/>
  <c r="CE24" i="1"/>
  <c r="CE27" i="1" s="1"/>
  <c r="CB20" i="1"/>
  <c r="CB22" i="1"/>
  <c r="CD18" i="1"/>
  <c r="CD21" i="1" s="1"/>
  <c r="CK422" i="1"/>
  <c r="L42" i="2"/>
  <c r="CI422" i="1"/>
  <c r="J42" i="2"/>
  <c r="CA161" i="1"/>
  <c r="CA162" i="1" s="1"/>
  <c r="CA119" i="1" s="1"/>
  <c r="E29" i="3"/>
  <c r="E24" i="3" s="1"/>
  <c r="CB266" i="1"/>
  <c r="CB307" i="1"/>
  <c r="CK411" i="1"/>
  <c r="CB315" i="1"/>
  <c r="CB303" i="1"/>
  <c r="BY244" i="1"/>
  <c r="BY166" i="1"/>
  <c r="BY119" i="1"/>
  <c r="V18" i="4"/>
  <c r="C41" i="2"/>
  <c r="K41" i="2"/>
  <c r="E23" i="3"/>
  <c r="CB400" i="1"/>
  <c r="CB255" i="1"/>
  <c r="CB287" i="1"/>
  <c r="CB203" i="1"/>
  <c r="CB218" i="1" s="1"/>
  <c r="CB401" i="1"/>
  <c r="V19" i="4"/>
  <c r="C42" i="2"/>
  <c r="CI411" i="1"/>
  <c r="F9" i="2"/>
  <c r="F10" i="2" s="1"/>
  <c r="CC341" i="1"/>
  <c r="CC262" i="1"/>
  <c r="CC401" i="1" s="1"/>
  <c r="CC237" i="1"/>
  <c r="CC163" i="1"/>
  <c r="CC249" i="1" s="1"/>
  <c r="CC152" i="1"/>
  <c r="CC182" i="1" s="1"/>
  <c r="CC183" i="1"/>
  <c r="CC256" i="1" s="1"/>
  <c r="CC327" i="1" s="1"/>
  <c r="CJ411" i="1"/>
  <c r="CH16" i="1"/>
  <c r="CE17" i="1"/>
  <c r="CE114" i="1"/>
  <c r="BZ244" i="1"/>
  <c r="BZ166" i="1"/>
  <c r="L41" i="2"/>
  <c r="CD158" i="1"/>
  <c r="CD118" i="1" s="1"/>
  <c r="CD120" i="1"/>
  <c r="CD117" i="1"/>
  <c r="CC22" i="1" l="1"/>
  <c r="CB161" i="1"/>
  <c r="CB162" i="1" s="1"/>
  <c r="CB244" i="1" s="1"/>
  <c r="CC20" i="1"/>
  <c r="CC115" i="1"/>
  <c r="CC116" i="1" s="1"/>
  <c r="CD115" i="1"/>
  <c r="CD116" i="1" s="1"/>
  <c r="CA342" i="1"/>
  <c r="CA304" i="1" s="1"/>
  <c r="CA244" i="1"/>
  <c r="CB119" i="1"/>
  <c r="CE18" i="1"/>
  <c r="CE20" i="1" s="1"/>
  <c r="CD20" i="1"/>
  <c r="CD250" i="1"/>
  <c r="CD22" i="1"/>
  <c r="CA166" i="1"/>
  <c r="CA241" i="1" s="1"/>
  <c r="BZ247" i="1"/>
  <c r="BZ241" i="1"/>
  <c r="BZ171" i="1"/>
  <c r="CE158" i="1"/>
  <c r="CE118" i="1" s="1"/>
  <c r="CE120" i="1"/>
  <c r="CE117" i="1"/>
  <c r="CH114" i="1"/>
  <c r="F29" i="3"/>
  <c r="F24" i="3" s="1"/>
  <c r="CC266" i="1"/>
  <c r="CC303" i="1"/>
  <c r="CC315" i="1"/>
  <c r="BY247" i="1"/>
  <c r="BY241" i="1"/>
  <c r="BY171" i="1"/>
  <c r="G9" i="2"/>
  <c r="G10" i="2" s="1"/>
  <c r="CD341" i="1"/>
  <c r="CD262" i="1"/>
  <c r="CD401" i="1" s="1"/>
  <c r="CD237" i="1"/>
  <c r="CD163" i="1"/>
  <c r="CD249" i="1" s="1"/>
  <c r="CD152" i="1"/>
  <c r="CD182" i="1" s="1"/>
  <c r="CD183" i="1"/>
  <c r="CD256" i="1" s="1"/>
  <c r="CD327" i="1" s="1"/>
  <c r="CC400" i="1"/>
  <c r="F23" i="3"/>
  <c r="CC287" i="1"/>
  <c r="CC255" i="1"/>
  <c r="CC203" i="1"/>
  <c r="CC218" i="1" s="1"/>
  <c r="CC307" i="1"/>
  <c r="CD161" i="1" l="1"/>
  <c r="CD162" i="1" s="1"/>
  <c r="CD166" i="1" s="1"/>
  <c r="CB166" i="1"/>
  <c r="E15" i="2" s="1"/>
  <c r="E17" i="2" s="1"/>
  <c r="CB342" i="1"/>
  <c r="CB314" i="1" s="1"/>
  <c r="CA314" i="1"/>
  <c r="CA347" i="1" s="1"/>
  <c r="CC161" i="1"/>
  <c r="CC162" i="1" s="1"/>
  <c r="CC166" i="1" s="1"/>
  <c r="D15" i="2"/>
  <c r="E16" i="2" s="1"/>
  <c r="CH20" i="1"/>
  <c r="CH18" i="1"/>
  <c r="CE115" i="1"/>
  <c r="CE116" i="1" s="1"/>
  <c r="CH116" i="1" s="1"/>
  <c r="CE21" i="1"/>
  <c r="CE22" i="1" s="1"/>
  <c r="CA171" i="1"/>
  <c r="CA247" i="1"/>
  <c r="CD307" i="1"/>
  <c r="CD303" i="1"/>
  <c r="CD315" i="1"/>
  <c r="BY172" i="1"/>
  <c r="BY174" i="1" s="1"/>
  <c r="H9" i="2"/>
  <c r="CE341" i="1"/>
  <c r="CE262" i="1"/>
  <c r="CE237" i="1"/>
  <c r="CE183" i="1"/>
  <c r="CE256" i="1" s="1"/>
  <c r="CE327" i="1" s="1"/>
  <c r="CH158" i="1"/>
  <c r="CE163" i="1"/>
  <c r="CE249" i="1" s="1"/>
  <c r="CH249" i="1" s="1"/>
  <c r="CE152" i="1"/>
  <c r="CE182" i="1" s="1"/>
  <c r="BZ172" i="1"/>
  <c r="BZ202" i="1" s="1"/>
  <c r="G23" i="3"/>
  <c r="CD400" i="1"/>
  <c r="CD255" i="1"/>
  <c r="CD287" i="1"/>
  <c r="CD203" i="1"/>
  <c r="CD218" i="1" s="1"/>
  <c r="G29" i="3"/>
  <c r="G24" i="3" s="1"/>
  <c r="CD266" i="1"/>
  <c r="CD342" i="1" l="1"/>
  <c r="D17" i="2"/>
  <c r="CD244" i="1"/>
  <c r="CE250" i="1"/>
  <c r="CD119" i="1"/>
  <c r="CB241" i="1"/>
  <c r="CB247" i="1"/>
  <c r="CC241" i="1"/>
  <c r="CA260" i="1"/>
  <c r="D25" i="3" s="1"/>
  <c r="CE161" i="1"/>
  <c r="CE162" i="1" s="1"/>
  <c r="CE119" i="1" s="1"/>
  <c r="CB304" i="1"/>
  <c r="CB347" i="1" s="1"/>
  <c r="CB348" i="1" s="1"/>
  <c r="CC247" i="1"/>
  <c r="F15" i="2"/>
  <c r="F16" i="2" s="1"/>
  <c r="CC342" i="1"/>
  <c r="CC314" i="1" s="1"/>
  <c r="CC119" i="1"/>
  <c r="D16" i="2"/>
  <c r="CH115" i="1"/>
  <c r="CC244" i="1"/>
  <c r="CB260" i="1"/>
  <c r="E25" i="3" s="1"/>
  <c r="CH21" i="1"/>
  <c r="CE307" i="1"/>
  <c r="BZ174" i="1"/>
  <c r="BZ181" i="1" s="1"/>
  <c r="CA348" i="1"/>
  <c r="CA349" i="1"/>
  <c r="H29" i="3"/>
  <c r="CE266" i="1"/>
  <c r="I9" i="2"/>
  <c r="H10" i="2"/>
  <c r="BY202" i="1"/>
  <c r="CA202" i="1" s="1"/>
  <c r="CA172" i="1"/>
  <c r="CD304" i="1"/>
  <c r="CD314" i="1"/>
  <c r="G15" i="2"/>
  <c r="CD247" i="1"/>
  <c r="CD241" i="1"/>
  <c r="CE303" i="1"/>
  <c r="CE315" i="1"/>
  <c r="BY181" i="1"/>
  <c r="BY176" i="1"/>
  <c r="BY178" i="1" s="1"/>
  <c r="H23" i="3"/>
  <c r="I23" i="3" s="1"/>
  <c r="J23" i="3" s="1"/>
  <c r="K23" i="3" s="1"/>
  <c r="L23" i="3" s="1"/>
  <c r="M23" i="3" s="1"/>
  <c r="CE400" i="1"/>
  <c r="CE255" i="1"/>
  <c r="CE287" i="1"/>
  <c r="CE203" i="1"/>
  <c r="CE218" i="1" s="1"/>
  <c r="CE401" i="1"/>
  <c r="CE166" i="1" l="1"/>
  <c r="CE247" i="1" s="1"/>
  <c r="CH247" i="1" s="1"/>
  <c r="F17" i="2"/>
  <c r="CH162" i="1"/>
  <c r="CE244" i="1"/>
  <c r="CE342" i="1"/>
  <c r="CE304" i="1" s="1"/>
  <c r="CB349" i="1"/>
  <c r="CC304" i="1"/>
  <c r="CH244" i="1"/>
  <c r="CD347" i="1"/>
  <c r="CD348" i="1" s="1"/>
  <c r="BZ176" i="1"/>
  <c r="BZ178" i="1" s="1"/>
  <c r="CA328" i="1" s="1"/>
  <c r="G17" i="2"/>
  <c r="G16" i="2"/>
  <c r="H24" i="3"/>
  <c r="I29" i="3"/>
  <c r="H15" i="2"/>
  <c r="CE241" i="1"/>
  <c r="BZ189" i="1"/>
  <c r="BZ190" i="1" s="1"/>
  <c r="BZ198" i="1"/>
  <c r="BY248" i="1"/>
  <c r="BY242" i="1"/>
  <c r="BY187" i="1"/>
  <c r="BY188" i="1"/>
  <c r="BY198" i="1"/>
  <c r="BY189" i="1"/>
  <c r="BY190" i="1" s="1"/>
  <c r="CA173" i="1"/>
  <c r="CA174" i="1"/>
  <c r="CE314" i="1" l="1"/>
  <c r="CE260" i="1" s="1"/>
  <c r="H25" i="3" s="1"/>
  <c r="I25" i="3" s="1"/>
  <c r="J25" i="3" s="1"/>
  <c r="K25" i="3" s="1"/>
  <c r="L25" i="3" s="1"/>
  <c r="M25" i="3" s="1"/>
  <c r="CH166" i="1"/>
  <c r="CC347" i="1"/>
  <c r="CC260" i="1"/>
  <c r="F25" i="3" s="1"/>
  <c r="CD260" i="1"/>
  <c r="G25" i="3" s="1"/>
  <c r="BZ187" i="1"/>
  <c r="BZ242" i="1"/>
  <c r="BZ248" i="1"/>
  <c r="BZ188" i="1"/>
  <c r="BY224" i="1"/>
  <c r="BY229" i="1" s="1"/>
  <c r="BY231" i="1" s="1"/>
  <c r="BY243" i="1" s="1"/>
  <c r="BY199" i="1"/>
  <c r="BY200" i="1" s="1"/>
  <c r="BY204" i="1" s="1"/>
  <c r="BY211" i="1" s="1"/>
  <c r="H16" i="2"/>
  <c r="I15" i="2"/>
  <c r="H17" i="2"/>
  <c r="CA330" i="1"/>
  <c r="J29" i="3"/>
  <c r="I24" i="3"/>
  <c r="CA176" i="1"/>
  <c r="CA181" i="1"/>
  <c r="CA406" i="1"/>
  <c r="CA414" i="1" s="1"/>
  <c r="CH173" i="1"/>
  <c r="BZ224" i="1"/>
  <c r="BZ229" i="1" s="1"/>
  <c r="BZ231" i="1" s="1"/>
  <c r="BZ243" i="1" s="1"/>
  <c r="BZ199" i="1"/>
  <c r="BZ200" i="1" s="1"/>
  <c r="BZ204" i="1" s="1"/>
  <c r="BZ211" i="1" s="1"/>
  <c r="CE319" i="1" l="1"/>
  <c r="CE420" i="1" s="1"/>
  <c r="CE347" i="1"/>
  <c r="CE348" i="1" s="1"/>
  <c r="CC348" i="1"/>
  <c r="CC349" i="1"/>
  <c r="CD349" i="1"/>
  <c r="CE349" i="1"/>
  <c r="BY246" i="1"/>
  <c r="BY245" i="1"/>
  <c r="BY240" i="1"/>
  <c r="BY219" i="1"/>
  <c r="BY220" i="1" s="1"/>
  <c r="BY212" i="1"/>
  <c r="BY129" i="1"/>
  <c r="K29" i="3"/>
  <c r="J24" i="3"/>
  <c r="BZ246" i="1"/>
  <c r="BZ245" i="1"/>
  <c r="BZ219" i="1"/>
  <c r="BZ220" i="1" s="1"/>
  <c r="BZ212" i="1"/>
  <c r="BZ240" i="1"/>
  <c r="BZ129" i="1"/>
  <c r="CA189" i="1"/>
  <c r="CA198" i="1"/>
  <c r="CA425" i="1"/>
  <c r="CA332" i="1"/>
  <c r="CA409" i="1" s="1"/>
  <c r="CA253" i="1"/>
  <c r="CA261" i="1" s="1"/>
  <c r="CA178" i="1"/>
  <c r="CA444" i="1" l="1"/>
  <c r="CA190" i="1"/>
  <c r="CA424" i="1"/>
  <c r="CA426" i="1" s="1"/>
  <c r="CA248" i="1"/>
  <c r="CA242" i="1"/>
  <c r="CA188" i="1"/>
  <c r="CA187" i="1"/>
  <c r="CA224" i="1"/>
  <c r="CA229" i="1" s="1"/>
  <c r="CA199" i="1"/>
  <c r="CA200" i="1" s="1"/>
  <c r="CA204" i="1" s="1"/>
  <c r="CA211" i="1" s="1"/>
  <c r="CA280" i="1"/>
  <c r="CA387" i="1"/>
  <c r="CA389" i="1" s="1"/>
  <c r="L29" i="3"/>
  <c r="K24" i="3"/>
  <c r="D12" i="2" l="1"/>
  <c r="D13" i="2" s="1"/>
  <c r="CA240" i="1"/>
  <c r="CA246" i="1"/>
  <c r="CA245" i="1"/>
  <c r="CA219" i="1"/>
  <c r="CA212" i="1"/>
  <c r="CA221" i="1"/>
  <c r="CA129" i="1"/>
  <c r="CA130" i="1" s="1"/>
  <c r="CA378" i="1"/>
  <c r="CA268" i="1"/>
  <c r="CA267" i="1"/>
  <c r="CA273" i="1" s="1"/>
  <c r="CB167" i="1"/>
  <c r="D19" i="2"/>
  <c r="CA231" i="1"/>
  <c r="D31" i="2"/>
  <c r="CA446" i="1"/>
  <c r="CA284" i="1"/>
  <c r="CA281" i="1"/>
  <c r="CA282" i="1"/>
  <c r="CA283" i="1"/>
  <c r="M29" i="3"/>
  <c r="M24" i="3" s="1"/>
  <c r="L24" i="3"/>
  <c r="CA274" i="1" l="1"/>
  <c r="D35" i="2"/>
  <c r="D36" i="2" s="1"/>
  <c r="CA429" i="1"/>
  <c r="CA390" i="1"/>
  <c r="CA316" i="1"/>
  <c r="CA319" i="1" s="1"/>
  <c r="D23" i="2"/>
  <c r="D24" i="2" s="1"/>
  <c r="CA445" i="1"/>
  <c r="CA243" i="1"/>
  <c r="D33" i="2"/>
  <c r="D32" i="2"/>
  <c r="D18" i="3"/>
  <c r="D22" i="3" s="1"/>
  <c r="CA405" i="1"/>
  <c r="CA220" i="1"/>
  <c r="CA420" i="1" l="1"/>
  <c r="CA407" i="1"/>
  <c r="CA412" i="1"/>
  <c r="D40" i="3"/>
  <c r="D26" i="3"/>
  <c r="CA276" i="1"/>
  <c r="CA278" i="1" s="1"/>
  <c r="CA320" i="1"/>
  <c r="CA325" i="1" s="1"/>
  <c r="CA333" i="1" s="1"/>
  <c r="CA277" i="1"/>
  <c r="CB275" i="1" l="1"/>
  <c r="CA301" i="1"/>
  <c r="CA417" i="1"/>
  <c r="D36" i="3"/>
  <c r="D44" i="3"/>
  <c r="D41" i="3"/>
  <c r="CA337" i="1" l="1"/>
  <c r="CA306" i="1"/>
  <c r="CA312" i="1" s="1"/>
  <c r="CB168" i="1"/>
  <c r="CA410" i="1"/>
  <c r="D45" i="3"/>
  <c r="D43" i="3"/>
  <c r="E42" i="3" s="1"/>
  <c r="CA418" i="1" l="1"/>
  <c r="CA421" i="1" s="1"/>
  <c r="CA422" i="1" s="1"/>
  <c r="CA334" i="1"/>
  <c r="CA428" i="1"/>
  <c r="CA408" i="1"/>
  <c r="CB170" i="1"/>
  <c r="CB171" i="1" s="1"/>
  <c r="CB201" i="1"/>
  <c r="CA413" i="1" l="1"/>
  <c r="CA415" i="1" s="1"/>
  <c r="CA411" i="1"/>
  <c r="C53" i="3"/>
  <c r="C113" i="3" s="1"/>
  <c r="C114" i="3" s="1"/>
  <c r="D38" i="2"/>
  <c r="D39" i="2" s="1"/>
  <c r="CA436" i="1"/>
  <c r="CA438" i="1" s="1"/>
  <c r="CA430" i="1"/>
  <c r="CB172" i="1"/>
  <c r="CB202" i="1" s="1"/>
  <c r="D42" i="2"/>
  <c r="CB174" i="1" l="1"/>
  <c r="D41" i="2"/>
  <c r="CA441" i="1"/>
  <c r="CA440" i="1"/>
  <c r="CA443" i="1"/>
  <c r="CA442" i="1"/>
  <c r="CB181" i="1" l="1"/>
  <c r="CB176" i="1"/>
  <c r="CB253" i="1" l="1"/>
  <c r="CB261" i="1" s="1"/>
  <c r="CB178" i="1"/>
  <c r="CB198" i="1"/>
  <c r="CB224" i="1" l="1"/>
  <c r="CB229" i="1" s="1"/>
  <c r="CB199" i="1"/>
  <c r="CB200" i="1" s="1"/>
  <c r="CB204" i="1" s="1"/>
  <c r="CB211" i="1" s="1"/>
  <c r="CB424" i="1"/>
  <c r="CB248" i="1"/>
  <c r="CB242" i="1"/>
  <c r="CB280" i="1"/>
  <c r="CB396" i="1"/>
  <c r="E12" i="2" l="1"/>
  <c r="E13" i="2" s="1"/>
  <c r="CB240" i="1"/>
  <c r="CB246" i="1"/>
  <c r="CB245" i="1"/>
  <c r="CB221" i="1"/>
  <c r="CB219" i="1"/>
  <c r="CB212" i="1"/>
  <c r="CB129" i="1"/>
  <c r="CB397" i="1"/>
  <c r="CB398" i="1" s="1"/>
  <c r="CB270" i="1" s="1"/>
  <c r="E31" i="2"/>
  <c r="CB281" i="1"/>
  <c r="CB282" i="1"/>
  <c r="CB283" i="1"/>
  <c r="E19" i="2"/>
  <c r="E32" i="2" l="1"/>
  <c r="E18" i="3"/>
  <c r="CB405" i="1"/>
  <c r="CB220" i="1"/>
  <c r="CB291" i="1"/>
  <c r="CB292" i="1" s="1"/>
  <c r="CB328" i="1"/>
  <c r="CB387" i="1"/>
  <c r="CB389" i="1" s="1"/>
  <c r="E35" i="2"/>
  <c r="E36" i="2" s="1"/>
  <c r="CB429" i="1"/>
  <c r="CB267" i="1" l="1"/>
  <c r="CB268" i="1"/>
  <c r="CC167" i="1"/>
  <c r="CB378" i="1"/>
  <c r="CB330" i="1"/>
  <c r="E19" i="3"/>
  <c r="E22" i="3"/>
  <c r="CB412" i="1"/>
  <c r="CB407" i="1"/>
  <c r="CB296" i="1"/>
  <c r="CB297" i="1"/>
  <c r="CB295" i="1"/>
  <c r="CB425" i="1" l="1"/>
  <c r="CB426" i="1" s="1"/>
  <c r="CB332" i="1"/>
  <c r="CB409" i="1" s="1"/>
  <c r="CB390" i="1"/>
  <c r="CB316" i="1"/>
  <c r="CB319" i="1" s="1"/>
  <c r="CB273" i="1"/>
  <c r="CB434" i="1"/>
  <c r="CB435" i="1" s="1"/>
  <c r="CB338" i="1"/>
  <c r="CC294" i="1"/>
  <c r="CB185" i="1"/>
  <c r="E26" i="3"/>
  <c r="E40" i="3"/>
  <c r="CB417" i="1"/>
  <c r="CB420" i="1" l="1"/>
  <c r="E46" i="3"/>
  <c r="E44" i="3"/>
  <c r="E41" i="3"/>
  <c r="CB320" i="1"/>
  <c r="CB325" i="1" s="1"/>
  <c r="CB333" i="1" s="1"/>
  <c r="E36" i="3"/>
  <c r="E27" i="3"/>
  <c r="CB446" i="1"/>
  <c r="CC269" i="1"/>
  <c r="CB186" i="1"/>
  <c r="CB187" i="1"/>
  <c r="CB274" i="1"/>
  <c r="E21" i="2" l="1"/>
  <c r="E33" i="2" s="1"/>
  <c r="CB230" i="1"/>
  <c r="CB231" i="1" s="1"/>
  <c r="CB189" i="1"/>
  <c r="CB188" i="1"/>
  <c r="CB284" i="1"/>
  <c r="CB276" i="1"/>
  <c r="CB277" i="1"/>
  <c r="E45" i="3"/>
  <c r="E43" i="3"/>
  <c r="F42" i="3" s="1"/>
  <c r="CB444" i="1" l="1"/>
  <c r="CB190" i="1"/>
  <c r="CB301" i="1"/>
  <c r="CC275" i="1"/>
  <c r="CB278" i="1"/>
  <c r="E23" i="2"/>
  <c r="E24" i="2" s="1"/>
  <c r="CB445" i="1"/>
  <c r="CB243" i="1"/>
  <c r="CB337" i="1" l="1"/>
  <c r="CB306" i="1"/>
  <c r="CB312" i="1" s="1"/>
  <c r="CC168" i="1"/>
  <c r="CB410" i="1"/>
  <c r="CB418" i="1" l="1"/>
  <c r="CB421" i="1" s="1"/>
  <c r="CB422" i="1" s="1"/>
  <c r="CB334" i="1"/>
  <c r="CC170" i="1"/>
  <c r="CC171" i="1" s="1"/>
  <c r="CC201" i="1"/>
  <c r="CB428" i="1"/>
  <c r="CB408" i="1"/>
  <c r="CC172" i="1" l="1"/>
  <c r="CC202" i="1" s="1"/>
  <c r="CB413" i="1"/>
  <c r="CB415" i="1" s="1"/>
  <c r="CB411" i="1"/>
  <c r="C103" i="3"/>
  <c r="E38" i="2"/>
  <c r="E39" i="2" s="1"/>
  <c r="CB430" i="1"/>
  <c r="CB436" i="1"/>
  <c r="CB438" i="1" s="1"/>
  <c r="E42" i="2"/>
  <c r="CB440" i="1" l="1"/>
  <c r="CB443" i="1"/>
  <c r="CB442" i="1"/>
  <c r="CB441" i="1"/>
  <c r="E41" i="2"/>
  <c r="CC174" i="1"/>
  <c r="CC181" i="1" l="1"/>
  <c r="CC176" i="1"/>
  <c r="CC253" i="1" l="1"/>
  <c r="CC261" i="1" s="1"/>
  <c r="CC178" i="1"/>
  <c r="CC198" i="1"/>
  <c r="CC224" i="1" l="1"/>
  <c r="CC229" i="1" s="1"/>
  <c r="CC199" i="1"/>
  <c r="CC200" i="1" s="1"/>
  <c r="CC204" i="1" s="1"/>
  <c r="CC211" i="1" s="1"/>
  <c r="CC424" i="1"/>
  <c r="CC248" i="1"/>
  <c r="CC242" i="1"/>
  <c r="CC280" i="1"/>
  <c r="CC396" i="1"/>
  <c r="F12" i="2" l="1"/>
  <c r="F13" i="2" s="1"/>
  <c r="CC246" i="1"/>
  <c r="CC245" i="1"/>
  <c r="CC240" i="1"/>
  <c r="CC221" i="1"/>
  <c r="CC219" i="1"/>
  <c r="CC212" i="1"/>
  <c r="CC129" i="1"/>
  <c r="CC397" i="1"/>
  <c r="CC398" i="1" s="1"/>
  <c r="CC270" i="1" s="1"/>
  <c r="F31" i="2"/>
  <c r="CC282" i="1"/>
  <c r="CC283" i="1"/>
  <c r="CC281" i="1"/>
  <c r="F19" i="2"/>
  <c r="F32" i="2" l="1"/>
  <c r="C97" i="3"/>
  <c r="C100" i="3" s="1"/>
  <c r="F18" i="3"/>
  <c r="CC405" i="1"/>
  <c r="CC220" i="1"/>
  <c r="CC291" i="1"/>
  <c r="CC292" i="1" s="1"/>
  <c r="CC328" i="1"/>
  <c r="CC387" i="1"/>
  <c r="CC389" i="1" s="1"/>
  <c r="CC429" i="1"/>
  <c r="F35" i="2"/>
  <c r="F36" i="2" s="1"/>
  <c r="CC268" i="1" l="1"/>
  <c r="CC267" i="1"/>
  <c r="CD167" i="1"/>
  <c r="CC378" i="1"/>
  <c r="CC330" i="1"/>
  <c r="CC412" i="1"/>
  <c r="CC407" i="1"/>
  <c r="CC296" i="1"/>
  <c r="CC297" i="1"/>
  <c r="CC295" i="1"/>
  <c r="F22" i="3"/>
  <c r="F19" i="3"/>
  <c r="C102" i="3"/>
  <c r="C104" i="3" s="1"/>
  <c r="C115" i="3"/>
  <c r="F26" i="3" l="1"/>
  <c r="F40" i="3"/>
  <c r="CC417" i="1"/>
  <c r="CC273" i="1"/>
  <c r="C118" i="3"/>
  <c r="C117" i="3"/>
  <c r="CC390" i="1"/>
  <c r="CC316" i="1"/>
  <c r="CC319" i="1" s="1"/>
  <c r="CC434" i="1"/>
  <c r="CC338" i="1"/>
  <c r="CD294" i="1"/>
  <c r="CC185" i="1"/>
  <c r="CC425" i="1"/>
  <c r="CC426" i="1" s="1"/>
  <c r="CC332" i="1"/>
  <c r="CC409" i="1" s="1"/>
  <c r="F44" i="3" l="1"/>
  <c r="F46" i="3"/>
  <c r="F41" i="3"/>
  <c r="C105" i="3"/>
  <c r="C106" i="3" s="1"/>
  <c r="C109" i="3" s="1"/>
  <c r="CC435" i="1"/>
  <c r="CC274" i="1"/>
  <c r="CC277" i="1" s="1"/>
  <c r="F27" i="3"/>
  <c r="F36" i="3"/>
  <c r="CC420" i="1"/>
  <c r="CC186" i="1"/>
  <c r="CC187" i="1"/>
  <c r="CD269" i="1"/>
  <c r="CC320" i="1"/>
  <c r="CC325" i="1" s="1"/>
  <c r="CC333" i="1" s="1"/>
  <c r="F45" i="3" l="1"/>
  <c r="F43" i="3"/>
  <c r="G42" i="3" s="1"/>
  <c r="CC276" i="1"/>
  <c r="F21" i="2"/>
  <c r="F33" i="2" s="1"/>
  <c r="CC230" i="1"/>
  <c r="CC231" i="1" s="1"/>
  <c r="CC189" i="1"/>
  <c r="CC188" i="1"/>
  <c r="CC284" i="1"/>
  <c r="CC446" i="1"/>
  <c r="CC444" i="1" l="1"/>
  <c r="CC190" i="1"/>
  <c r="CC301" i="1"/>
  <c r="CD275" i="1"/>
  <c r="CC278" i="1"/>
  <c r="F23" i="2"/>
  <c r="CC243" i="1"/>
  <c r="CC445" i="1"/>
  <c r="F24" i="2" l="1"/>
  <c r="CC337" i="1"/>
  <c r="CC306" i="1"/>
  <c r="CC312" i="1" s="1"/>
  <c r="CD168" i="1"/>
  <c r="CC410" i="1"/>
  <c r="CC418" i="1" l="1"/>
  <c r="CC421" i="1" s="1"/>
  <c r="CC422" i="1" s="1"/>
  <c r="CC334" i="1"/>
  <c r="CC428" i="1"/>
  <c r="CC408" i="1"/>
  <c r="CD170" i="1"/>
  <c r="CD171" i="1" s="1"/>
  <c r="CD201" i="1"/>
  <c r="F44" i="2"/>
  <c r="F34" i="2"/>
  <c r="CC430" i="1" l="1"/>
  <c r="CC436" i="1"/>
  <c r="CC438" i="1" s="1"/>
  <c r="F38" i="2"/>
  <c r="CC413" i="1"/>
  <c r="CC415" i="1" s="1"/>
  <c r="CC411" i="1"/>
  <c r="CD172" i="1"/>
  <c r="CD202" i="1" s="1"/>
  <c r="F42" i="2"/>
  <c r="CD174" i="1" l="1"/>
  <c r="CD181" i="1" s="1"/>
  <c r="F39" i="2"/>
  <c r="F45" i="2"/>
  <c r="F46" i="2" s="1"/>
  <c r="F47" i="2" s="1"/>
  <c r="CC443" i="1"/>
  <c r="CC442" i="1"/>
  <c r="CC441" i="1"/>
  <c r="CC440" i="1"/>
  <c r="F41" i="2"/>
  <c r="CD176" i="1" l="1"/>
  <c r="CD253" i="1"/>
  <c r="CD261" i="1" s="1"/>
  <c r="CD178" i="1"/>
  <c r="CD198" i="1"/>
  <c r="CD224" i="1" l="1"/>
  <c r="CD229" i="1" s="1"/>
  <c r="CD199" i="1"/>
  <c r="CD200" i="1" s="1"/>
  <c r="CD204" i="1" s="1"/>
  <c r="CD211" i="1" s="1"/>
  <c r="CD424" i="1"/>
  <c r="CD248" i="1"/>
  <c r="CD242" i="1"/>
  <c r="CD280" i="1"/>
  <c r="CD396" i="1"/>
  <c r="G12" i="2" l="1"/>
  <c r="G13" i="2" s="1"/>
  <c r="CD246" i="1"/>
  <c r="CD245" i="1"/>
  <c r="CD240" i="1"/>
  <c r="CD219" i="1"/>
  <c r="CD212" i="1"/>
  <c r="CD221" i="1"/>
  <c r="CD129" i="1"/>
  <c r="CD397" i="1"/>
  <c r="CD398" i="1" s="1"/>
  <c r="CD270" i="1" s="1"/>
  <c r="G19" i="2"/>
  <c r="G31" i="2"/>
  <c r="CD283" i="1"/>
  <c r="CD281" i="1"/>
  <c r="CD282" i="1"/>
  <c r="G35" i="2" l="1"/>
  <c r="G36" i="2" s="1"/>
  <c r="CD429" i="1"/>
  <c r="G32" i="2"/>
  <c r="CD291" i="1"/>
  <c r="CD292" i="1" s="1"/>
  <c r="CD328" i="1"/>
  <c r="CD387" i="1"/>
  <c r="CD389" i="1" s="1"/>
  <c r="G18" i="3"/>
  <c r="CD405" i="1"/>
  <c r="CD220" i="1"/>
  <c r="CD296" i="1" l="1"/>
  <c r="CD297" i="1"/>
  <c r="CD295" i="1"/>
  <c r="G22" i="3"/>
  <c r="G19" i="3"/>
  <c r="CD268" i="1"/>
  <c r="CD267" i="1"/>
  <c r="CD378" i="1"/>
  <c r="CE167" i="1"/>
  <c r="CD412" i="1"/>
  <c r="CD407" i="1"/>
  <c r="CD330" i="1"/>
  <c r="CD273" i="1" l="1"/>
  <c r="CD274" i="1" s="1"/>
  <c r="G40" i="3"/>
  <c r="G26" i="3"/>
  <c r="CD434" i="1"/>
  <c r="CD435" i="1" s="1"/>
  <c r="CD338" i="1"/>
  <c r="CE294" i="1"/>
  <c r="CD185" i="1"/>
  <c r="CD425" i="1"/>
  <c r="CD426" i="1" s="1"/>
  <c r="CD332" i="1"/>
  <c r="CD409" i="1" s="1"/>
  <c r="CD417" i="1"/>
  <c r="CD390" i="1"/>
  <c r="CD316" i="1"/>
  <c r="CD319" i="1" s="1"/>
  <c r="CD320" i="1" l="1"/>
  <c r="CD325" i="1" s="1"/>
  <c r="CD333" i="1" s="1"/>
  <c r="CD276" i="1"/>
  <c r="CD278" i="1" s="1"/>
  <c r="CD186" i="1"/>
  <c r="CD187" i="1"/>
  <c r="CD420" i="1"/>
  <c r="CE269" i="1"/>
  <c r="CD277" i="1"/>
  <c r="G27" i="3"/>
  <c r="G36" i="3"/>
  <c r="CD446" i="1"/>
  <c r="G46" i="3"/>
  <c r="G44" i="3"/>
  <c r="G41" i="3"/>
  <c r="G45" i="3" l="1"/>
  <c r="G43" i="3"/>
  <c r="H42" i="3" s="1"/>
  <c r="G21" i="2"/>
  <c r="G33" i="2" s="1"/>
  <c r="CD230" i="1"/>
  <c r="CD231" i="1" s="1"/>
  <c r="CD189" i="1"/>
  <c r="CD188" i="1"/>
  <c r="CD284" i="1"/>
  <c r="CE275" i="1"/>
  <c r="CD301" i="1"/>
  <c r="CD444" i="1" l="1"/>
  <c r="CD190" i="1"/>
  <c r="G23" i="2"/>
  <c r="CD243" i="1"/>
  <c r="CD445" i="1"/>
  <c r="CD306" i="1"/>
  <c r="CD312" i="1" s="1"/>
  <c r="CD337" i="1"/>
  <c r="CE168" i="1"/>
  <c r="CD410" i="1"/>
  <c r="CD418" i="1" l="1"/>
  <c r="CD421" i="1" s="1"/>
  <c r="CD422" i="1" s="1"/>
  <c r="CD334" i="1"/>
  <c r="CE170" i="1"/>
  <c r="CE171" i="1" s="1"/>
  <c r="CE201" i="1"/>
  <c r="CD428" i="1"/>
  <c r="CD408" i="1"/>
  <c r="G27" i="2"/>
  <c r="G24" i="2"/>
  <c r="CE172" i="1" l="1"/>
  <c r="CE202" i="1" s="1"/>
  <c r="CH171" i="1"/>
  <c r="G29" i="2"/>
  <c r="G28" i="2"/>
  <c r="G44" i="2"/>
  <c r="G34" i="2"/>
  <c r="CD413" i="1"/>
  <c r="CD415" i="1" s="1"/>
  <c r="CD411" i="1"/>
  <c r="G38" i="2"/>
  <c r="CD430" i="1"/>
  <c r="CD436" i="1"/>
  <c r="CD438" i="1" s="1"/>
  <c r="G42" i="2"/>
  <c r="CD442" i="1" l="1"/>
  <c r="CD441" i="1"/>
  <c r="CD440" i="1"/>
  <c r="CD443" i="1"/>
  <c r="G39" i="2"/>
  <c r="G45" i="2"/>
  <c r="G46" i="2" s="1"/>
  <c r="G47" i="2" s="1"/>
  <c r="CE174" i="1"/>
  <c r="G41" i="2"/>
  <c r="CE176" i="1" l="1"/>
  <c r="CH174" i="1"/>
  <c r="CE181" i="1"/>
  <c r="CE198" i="1" l="1"/>
  <c r="CE253" i="1"/>
  <c r="CE261" i="1" s="1"/>
  <c r="CE178" i="1"/>
  <c r="CH261" i="1" l="1"/>
  <c r="CE280" i="1"/>
  <c r="CE396" i="1"/>
  <c r="CE224" i="1"/>
  <c r="CE229" i="1" s="1"/>
  <c r="CE199" i="1"/>
  <c r="CE200" i="1" s="1"/>
  <c r="CE204" i="1" s="1"/>
  <c r="CE424" i="1"/>
  <c r="CE242" i="1"/>
  <c r="CE248" i="1"/>
  <c r="CH248" i="1" s="1"/>
  <c r="CH178" i="1"/>
  <c r="CE211" i="1" l="1"/>
  <c r="CH204" i="1"/>
  <c r="H19" i="2"/>
  <c r="I19" i="2" s="1"/>
  <c r="CH229" i="1"/>
  <c r="H31" i="2"/>
  <c r="CE281" i="1"/>
  <c r="CE282" i="1"/>
  <c r="CH282" i="1" s="1"/>
  <c r="CH280" i="1"/>
  <c r="CE283" i="1"/>
  <c r="I31" i="2" l="1"/>
  <c r="H32" i="2"/>
  <c r="H12" i="2"/>
  <c r="CE240" i="1"/>
  <c r="CE246" i="1"/>
  <c r="CE245" i="1"/>
  <c r="CH245" i="1" s="1"/>
  <c r="CE219" i="1"/>
  <c r="CE212" i="1"/>
  <c r="CH212" i="1" s="1"/>
  <c r="CH211" i="1"/>
  <c r="CE221" i="1"/>
  <c r="CE129" i="1"/>
  <c r="CE397" i="1"/>
  <c r="CE398" i="1" s="1"/>
  <c r="CE270" i="1" s="1"/>
  <c r="H13" i="2" l="1"/>
  <c r="I12" i="2"/>
  <c r="H18" i="3"/>
  <c r="CE405" i="1"/>
  <c r="CE220" i="1"/>
  <c r="CH220" i="1" s="1"/>
  <c r="CH219" i="1"/>
  <c r="CE429" i="1"/>
  <c r="H35" i="2"/>
  <c r="CE291" i="1"/>
  <c r="CE292" i="1" s="1"/>
  <c r="CE387" i="1"/>
  <c r="CE389" i="1" s="1"/>
  <c r="CE328" i="1"/>
  <c r="CE330" i="1" s="1"/>
  <c r="CE407" i="1" l="1"/>
  <c r="CE412" i="1"/>
  <c r="I35" i="2"/>
  <c r="H36" i="2"/>
  <c r="CE425" i="1"/>
  <c r="CE426" i="1" s="1"/>
  <c r="CH426" i="1" s="1"/>
  <c r="CE332" i="1"/>
  <c r="CE409" i="1" s="1"/>
  <c r="H19" i="3"/>
  <c r="P18" i="3"/>
  <c r="H22" i="3"/>
  <c r="I18" i="3"/>
  <c r="CE268" i="1"/>
  <c r="CE267" i="1"/>
  <c r="CE378" i="1"/>
  <c r="CE296" i="1"/>
  <c r="CE297" i="1"/>
  <c r="CE295" i="1"/>
  <c r="CE273" i="1" l="1"/>
  <c r="CE274" i="1" s="1"/>
  <c r="I19" i="3"/>
  <c r="I22" i="3"/>
  <c r="J18" i="3"/>
  <c r="CE434" i="1"/>
  <c r="CE435" i="1" s="1"/>
  <c r="CE338" i="1"/>
  <c r="CE185" i="1"/>
  <c r="CE390" i="1"/>
  <c r="CE320" i="1"/>
  <c r="CE325" i="1" s="1"/>
  <c r="CE333" i="1" s="1"/>
  <c r="H40" i="3"/>
  <c r="H26" i="3"/>
  <c r="CE417" i="1"/>
  <c r="CE186" i="1" l="1"/>
  <c r="CE187" i="1"/>
  <c r="P26" i="3"/>
  <c r="H36" i="3"/>
  <c r="H27" i="3"/>
  <c r="J22" i="3"/>
  <c r="K18" i="3"/>
  <c r="J19" i="3"/>
  <c r="H46" i="3"/>
  <c r="H44" i="3"/>
  <c r="H41" i="3"/>
  <c r="CE276" i="1"/>
  <c r="CE301" i="1" s="1"/>
  <c r="CE446" i="1"/>
  <c r="I40" i="3"/>
  <c r="I26" i="3"/>
  <c r="CE277" i="1"/>
  <c r="I46" i="3" l="1"/>
  <c r="I41" i="3"/>
  <c r="I45" i="3" s="1"/>
  <c r="CE337" i="1"/>
  <c r="CE306" i="1"/>
  <c r="CE312" i="1" s="1"/>
  <c r="CE410" i="1"/>
  <c r="K22" i="3"/>
  <c r="L18" i="3"/>
  <c r="K19" i="3"/>
  <c r="J26" i="3"/>
  <c r="J40" i="3"/>
  <c r="H45" i="3"/>
  <c r="H43" i="3"/>
  <c r="I42" i="3" s="1"/>
  <c r="I36" i="3"/>
  <c r="I27" i="3"/>
  <c r="CE278" i="1"/>
  <c r="H21" i="2"/>
  <c r="CE230" i="1"/>
  <c r="CE231" i="1" s="1"/>
  <c r="CE189" i="1"/>
  <c r="CE190" i="1" s="1"/>
  <c r="CE188" i="1"/>
  <c r="CH188" i="1" s="1"/>
  <c r="CE284" i="1"/>
  <c r="I43" i="3" l="1"/>
  <c r="J42" i="3" s="1"/>
  <c r="J44" i="3" s="1"/>
  <c r="CE418" i="1"/>
  <c r="CE421" i="1" s="1"/>
  <c r="CE422" i="1" s="1"/>
  <c r="CE334" i="1"/>
  <c r="CH189" i="1"/>
  <c r="CE444" i="1"/>
  <c r="J41" i="3"/>
  <c r="J45" i="3" s="1"/>
  <c r="J46" i="3"/>
  <c r="K40" i="3"/>
  <c r="K26" i="3"/>
  <c r="H23" i="2"/>
  <c r="CE243" i="1"/>
  <c r="CH231" i="1"/>
  <c r="CE445" i="1"/>
  <c r="J27" i="3"/>
  <c r="J36" i="3"/>
  <c r="CE428" i="1"/>
  <c r="CE408" i="1"/>
  <c r="I21" i="2"/>
  <c r="H33" i="2"/>
  <c r="I44" i="3"/>
  <c r="L19" i="3"/>
  <c r="L22" i="3"/>
  <c r="M18" i="3"/>
  <c r="J43" i="3" l="1"/>
  <c r="K42" i="3" s="1"/>
  <c r="K44" i="3" s="1"/>
  <c r="K46" i="3"/>
  <c r="K41" i="3"/>
  <c r="K45" i="3" s="1"/>
  <c r="CE436" i="1"/>
  <c r="CE438" i="1" s="1"/>
  <c r="H38" i="2"/>
  <c r="CE430" i="1"/>
  <c r="L40" i="3"/>
  <c r="L26" i="3"/>
  <c r="M19" i="3"/>
  <c r="Q18" i="3"/>
  <c r="M22" i="3"/>
  <c r="H24" i="2"/>
  <c r="H27" i="2"/>
  <c r="I23" i="2"/>
  <c r="CE413" i="1"/>
  <c r="CE415" i="1" s="1"/>
  <c r="CE411" i="1"/>
  <c r="K27" i="3"/>
  <c r="K36" i="3"/>
  <c r="H42" i="2"/>
  <c r="CH422" i="1"/>
  <c r="L46" i="3" l="1"/>
  <c r="L41" i="3"/>
  <c r="L45" i="3" s="1"/>
  <c r="H44" i="2"/>
  <c r="H29" i="2"/>
  <c r="H28" i="2"/>
  <c r="H34" i="2"/>
  <c r="H45" i="2"/>
  <c r="H39" i="2"/>
  <c r="H41" i="2"/>
  <c r="CH411" i="1"/>
  <c r="M40" i="3"/>
  <c r="M26" i="3"/>
  <c r="L36" i="3"/>
  <c r="L27" i="3"/>
  <c r="CE441" i="1"/>
  <c r="CE440" i="1"/>
  <c r="CE443" i="1"/>
  <c r="CE442" i="1"/>
  <c r="K43" i="3"/>
  <c r="L42" i="3" s="1"/>
  <c r="L43" i="3" l="1"/>
  <c r="M42" i="3" s="1"/>
  <c r="M44" i="3" s="1"/>
  <c r="H46" i="2"/>
  <c r="H47" i="2" s="1"/>
  <c r="M46" i="3"/>
  <c r="C47" i="3"/>
  <c r="N40" i="3"/>
  <c r="M41" i="3"/>
  <c r="M45" i="3" s="1"/>
  <c r="L44" i="3"/>
  <c r="M36" i="3"/>
  <c r="C50" i="3" s="1"/>
  <c r="N26" i="3"/>
  <c r="N28" i="3" s="1"/>
  <c r="N36" i="3" s="1"/>
  <c r="C51" i="3" s="1"/>
  <c r="M27" i="3"/>
  <c r="Q26" i="3"/>
  <c r="G69" i="3"/>
  <c r="F71" i="3"/>
  <c r="H68" i="3"/>
  <c r="G70" i="3"/>
  <c r="F72" i="3"/>
  <c r="F68" i="3"/>
  <c r="E72" i="3"/>
  <c r="E68" i="3"/>
  <c r="H70" i="3"/>
  <c r="D68" i="3"/>
  <c r="E69" i="3"/>
  <c r="F70" i="3"/>
  <c r="H69" i="3"/>
  <c r="G71" i="3"/>
  <c r="H72" i="3"/>
  <c r="D70" i="3"/>
  <c r="G72" i="3"/>
  <c r="G68" i="3"/>
  <c r="D71" i="3"/>
  <c r="E70" i="3"/>
  <c r="D72" i="3"/>
  <c r="F69" i="3"/>
  <c r="E71" i="3"/>
  <c r="D69" i="3"/>
  <c r="H71" i="3"/>
  <c r="M43" i="3" l="1"/>
  <c r="N42" i="3" s="1"/>
  <c r="N44" i="3" s="1"/>
  <c r="N41" i="3"/>
  <c r="N45" i="3" s="1"/>
  <c r="N46" i="3" s="1"/>
  <c r="C52" i="3"/>
  <c r="C55" i="3" s="1"/>
  <c r="C57" i="3" s="1"/>
  <c r="C59" i="3" l="1"/>
  <c r="C61" i="3"/>
  <c r="D61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F2" authorId="0" shapeId="0" xr:uid="{00000000-0006-0000-0000-000024000000}">
      <text>
        <r>
          <rPr>
            <sz val="10"/>
            <rFont val="Arial"/>
            <family val="2"/>
          </rPr>
          <t>Scenario toggle. Choose Bull / Base / Bear. Drives: FY26 guidance end-points (revenue, Adjusted EBITDA calibration, capex), 2027E–30E aggregates volume / ASP / gross margin, Other Building Materials, Specialties and LNA growth &amp; margins, LNA synergy realisation, M&amp;A spend, 2H/26 buybacks and the leverage floor for buybacks.</t>
        </r>
      </text>
    </comment>
    <comment ref="B11" authorId="0" shapeId="0" xr:uid="{00000000-0006-0000-0000-000001000000}">
      <text>
        <r>
          <rPr>
            <sz val="10"/>
            <rFont val="Arial"/>
            <family val="2"/>
          </rPr>
          <t>Source: earnings releases (Form 8-K Ex. 99.1) — total aggregates shipments incl. internal tons ("Aggregates Product Line"/"Total aggregates tons"). Thousands of tons converted to millions. 2025 quarters on the continuing-operations basis recast in the 2026 releases.</t>
        </r>
      </text>
    </comment>
    <comment ref="B13" authorId="0" shapeId="0" xr:uid="{00000000-0006-0000-0000-000002000000}">
      <text>
        <r>
          <rPr>
            <sz val="10"/>
            <rFont val="Arial"/>
            <family val="2"/>
          </rPr>
          <t>Source: earnings releases — reported aggregates ASP (average unit sales price incl. internal sales; from 2023 "average selling price per ton"). Not published 2006–2012 and 2014Q3–2015 (TXI heritage/acquired split only).</t>
        </r>
      </text>
    </comment>
    <comment ref="B16" authorId="0" shapeId="0" xr:uid="{00000000-0006-0000-0000-000003000000}">
      <text>
        <r>
          <rPr>
            <sz val="10"/>
            <rFont val="Arial"/>
            <family val="2"/>
          </rPr>
          <t>Source: earnings-release product-line tables. Basis: net sales (ex freight) to 2017; products &amp; services revenues (ex freight) 2018–2022; total revenues incl. freight from 2023. 2014Q3–2015: heritage + acquired (TXI) operations summed. 2025 quarters: continuing-operations recast (2026 releases).</t>
        </r>
      </text>
    </comment>
    <comment ref="B28" authorId="0" shapeId="0" xr:uid="{00000000-0006-0000-0000-000004000000}">
      <text>
        <r>
          <rPr>
            <sz val="10"/>
            <rFont val="Arial"/>
            <family val="2"/>
          </rPr>
          <t>Source: 2026 earnings releases (product-line DD&amp;A table; Q1–Q2/25 recast comparatives).</t>
        </r>
      </text>
    </comment>
    <comment ref="B30" authorId="0" shapeId="0" xr:uid="{00000000-0006-0000-0000-000005000000}">
      <text>
        <r>
          <rPr>
            <sz val="10"/>
            <rFont val="Arial"/>
            <family val="2"/>
          </rPr>
          <t>Source: earnings releases (volume/pricing variance tables or narrative; total aggregates product line).</t>
        </r>
      </text>
    </comment>
    <comment ref="B39" authorId="0" shapeId="0" xr:uid="{00000000-0006-0000-0000-000006000000}">
      <text>
        <r>
          <rPr>
            <sz val="10"/>
            <rFont val="Arial"/>
            <family val="2"/>
          </rPr>
          <t>Cement product line: TXI (acquired Jul-2014). California cement sold 2015 and Tehachapi 2022; South Texas cement (Hunter) sold Feb-2024; Midlothian cement = discontinued operations from Q3/25 (QUIKRETE asset exchange, closed Feb-2026). Q1/24–Q2/25 reported combined with ready mixed concrete (see combined row).</t>
        </r>
      </text>
    </comment>
    <comment ref="B55" authorId="0" shapeId="0" xr:uid="{00000000-0006-0000-0000-000007000000}">
      <text>
        <r>
          <rPr>
            <sz val="10"/>
            <rFont val="Arial"/>
            <family val="2"/>
          </rPr>
          <t>Interproduct sales (aggregates sold to the downstream product lines) eliminated from 2016; 2016Q4/FY2016 also include intersegment sales.</t>
        </r>
      </text>
    </comment>
    <comment ref="B59" authorId="0" shapeId="0" xr:uid="{00000000-0006-0000-0000-000008000000}">
      <text>
        <r>
          <rPr>
            <sz val="10"/>
            <rFont val="Arial"/>
            <family val="2"/>
          </rPr>
          <t>Specialty Products (to 2013) / Magnesia Specialties (2014–2025) / Specialties (2025Q3+). Net sales basis to 2017; products &amp; services 2018–22; total revenues from 2023.</t>
        </r>
      </text>
    </comment>
    <comment ref="B67" authorId="0" shapeId="0" xr:uid="{00000000-0006-0000-0000-000009000000}">
      <text>
        <r>
          <rPr>
            <sz val="10"/>
            <rFont val="Arial"/>
            <family val="2"/>
          </rPr>
          <t>Source: LNA audited consolidated financial statements FY2025/FY2024 (MLM Form 8-K dated 10-Aug-2026, Ex. 99.1), USD thousands converted to millions.</t>
        </r>
      </text>
    </comment>
    <comment ref="B69" authorId="0" shapeId="0" xr:uid="{00000000-0006-0000-0000-00000A000000}">
      <text>
        <r>
          <rPr>
            <sz val="10"/>
            <rFont val="Arial"/>
            <family val="2"/>
          </rPr>
          <t>Source: LNA unaudited condensed consolidated financial statements, six months ended 30-Jun-2026 and 2025 (Form 8-K 10-Aug-2026, Ex. 99.2).</t>
        </r>
      </text>
    </comment>
    <comment ref="B91" authorId="0" shapeId="0" xr:uid="{00000000-0006-0000-0000-00000B000000}">
      <text>
        <r>
          <rPr>
            <sz val="10"/>
            <rFont val="Arial"/>
            <family val="2"/>
          </rPr>
          <t>Consolidated freight &amp; delivery revenues when the product-line tables excluded freight (derived as consolidated revenues − Σ product lines; equals reported freight revenues). Zero from 2023 (product lines on total-revenue basis).</t>
        </r>
      </text>
    </comment>
    <comment ref="B92" authorId="0" shapeId="0" xr:uid="{00000000-0006-0000-0000-00000C000000}">
      <text>
        <r>
          <rPr>
            <sz val="10"/>
            <rFont val="Arial"/>
            <family val="2"/>
          </rPr>
          <t>Freight gross profit printed separately (Building Materials and Magnesia Specialties freight lines) 2018–2022; derived as consolidated GP − Σ product-line GP.</t>
        </r>
      </text>
    </comment>
    <comment ref="B93" authorId="0" shapeId="0" xr:uid="{00000000-0006-0000-0000-00000D000000}">
      <text>
        <r>
          <rPr>
            <sz val="10"/>
            <rFont val="Arial"/>
            <family val="2"/>
          </rPr>
          <t>2006–Q2/11 releases show only the Aggregates business total (segment table); product-line revenue split begins Q3/11.</t>
        </r>
      </text>
    </comment>
    <comment ref="B94" authorId="0" shapeId="0" xr:uid="{00000000-0006-0000-0000-00000E000000}">
      <text>
        <r>
          <rPr>
            <sz val="10"/>
            <rFont val="Arial"/>
            <family val="2"/>
          </rPr>
          <t>Product-line gross profit first published in the Q4/12 release; earlier periods = Aggregates business (segment) gross profit.</t>
        </r>
      </text>
    </comment>
    <comment ref="B133" authorId="0" shapeId="0" xr:uid="{00000000-0006-0000-0000-00000F000000}">
      <text>
        <r>
          <rPr>
            <sz val="10"/>
            <rFont val="Arial"/>
            <family val="2"/>
          </rPr>
          <t>Source: earnings-release segment tables (Unaudited Operating Segment Financial Highlights).</t>
        </r>
      </text>
    </comment>
    <comment ref="B158" authorId="0" shapeId="0" xr:uid="{00000000-0006-0000-0000-000010000000}">
      <text>
        <r>
          <rPr>
            <sz val="10"/>
            <rFont val="Arial"/>
            <family val="2"/>
          </rPr>
          <t>Source: earnings releases (Statements of Earnings). Total revenues incl. freight &amp; delivery revenues. 2025 quarters restated for discontinued operations (Midlothian cement &amp; Texas ready mix; 2026 releases). 2024 and earlier as originally reported.</t>
        </r>
      </text>
    </comment>
    <comment ref="B182" authorId="0" shapeId="0" xr:uid="{00000000-0006-0000-0000-000011000000}">
      <text>
        <r>
          <rPr>
            <sz val="10"/>
            <rFont val="Arial"/>
            <family val="2"/>
          </rPr>
          <t>Source: statements of cash flows (10-Q/10-K); quarterly = year-to-date differences. Includes discontinued operations where not separately presented.</t>
        </r>
      </text>
    </comment>
    <comment ref="B193" authorId="0" shapeId="0" xr:uid="{00000000-0006-0000-0000-000012000000}">
      <text>
        <r>
          <rPr>
            <sz val="10"/>
            <rFont val="Arial"/>
            <family val="2"/>
          </rPr>
          <t>Source: earnings releases / XBRL (CommonStockDividendsPerShareDeclared).</t>
        </r>
      </text>
    </comment>
    <comment ref="B199" authorId="0" shapeId="0" xr:uid="{00000000-0006-0000-0000-000013000000}">
      <text>
        <r>
          <rPr>
            <sz val="10"/>
            <rFont val="Arial"/>
            <family val="2"/>
          </rPr>
          <t>Company bridge start: net earnings attributable to MLM (incl. discontinued ops) to 2021Q3; net earnings from continuing operations attributable to MLM from 2021Q4. 2006–Q3/09 EBITDA was reconciled from operating cash flow — model rebuilds it from net earnings (start = net earnings attributable).</t>
        </r>
      </text>
    </comment>
    <comment ref="B209" authorId="0" shapeId="0" xr:uid="{00000000-0006-0000-0000-000014000000}">
      <text>
        <r>
          <rPr>
            <sz val="10"/>
            <rFont val="Arial"/>
            <family val="2"/>
          </rPr>
          <t>Other reconciling items as published (e.g. 2015 loss on California cement sale; NCI in 2009–10 bridges). 2006–Q3/09: residual vs the company's operating-cash-flow-based EBITDA reconciliation (taxes on discontinued operations, rounding).</t>
        </r>
      </text>
    </comment>
    <comment ref="B213" authorId="0" shapeId="0" xr:uid="{00000000-0006-0000-0000-000015000000}">
      <text>
        <r>
          <rPr>
            <sz val="10"/>
            <rFont val="Arial"/>
            <family val="2"/>
          </rPr>
          <t>Source: earnings-release non-GAAP reconciliations. 2006–2017: "EBITDA"; 2018+: "Adjusted EBITDA" (2019 redefinition adds equity-affiliate results; 2018 shown as originally published); 2021Q4+: from continuing operations. Q2–Q3/15 releases did not publish a quarterly EBITDA.</t>
        </r>
      </text>
    </comment>
    <comment ref="B228" authorId="0" shapeId="0" xr:uid="{00000000-0006-0000-0000-000016000000}">
      <text>
        <r>
          <rPr>
            <sz val="10"/>
            <rFont val="Arial"/>
            <family val="2"/>
          </rPr>
          <t>Plug in periods where MLM published an adjusted EPS: = published adjusted EPS × diluted shares − (GAAP continuing earnings + adjusting items after tax). Captures items the company excluded that are not in the EBITDA bridge (e.g. 2017 Tax Act benefit, 2011–14 business development costs, 2011 early-retirement charge, 2015 cement sale loss/tax) and rounding.</t>
        </r>
      </text>
    </comment>
    <comment ref="B232" authorId="0" shapeId="0" xr:uid="{00000000-0006-0000-0000-000017000000}">
      <text>
        <r>
          <rPr>
            <sz val="10"/>
            <rFont val="Arial"/>
            <family val="2"/>
          </rPr>
          <t>Source: earnings releases (adjusted EPS tables / narrative where published).</t>
        </r>
      </text>
    </comment>
    <comment ref="B253" authorId="0" shapeId="0" xr:uid="{00000000-0006-0000-0000-000018000000}">
      <text>
        <r>
          <rPr>
            <sz val="10"/>
            <rFont val="Arial"/>
            <family val="2"/>
          </rPr>
          <t>Source: statements of cash flows (Form 10-Q / 10-K). Quarterly columns = discrete quarter (year-to-date less prior year-to-date). Pre-2018 cash = cash &amp; equivalents; from 2018 incl. restricted cash (ASU 2016-18).</t>
        </r>
      </text>
    </comment>
    <comment ref="B259" authorId="0" shapeId="0" xr:uid="{00000000-0006-0000-0000-000019000000}">
      <text>
        <r>
          <rPr>
            <sz val="10"/>
            <rFont val="Arial"/>
            <family val="2"/>
          </rPr>
          <t>Derived: net cash from operating activities less the itemised lines (asset rationalization charges, pension, excess tax benefits, other).</t>
        </r>
      </text>
    </comment>
    <comment ref="B272" authorId="0" shapeId="0" xr:uid="{00000000-0006-0000-0000-00001A000000}">
      <text>
        <r>
          <rPr>
            <sz val="10"/>
            <rFont val="Arial"/>
            <family val="2"/>
          </rPr>
          <t>Derived: finance-lease payments, debt issuance costs, bank overdraft, excess tax benefits, NCI distributions, other.</t>
        </r>
      </text>
    </comment>
    <comment ref="B301" authorId="0" shapeId="0" xr:uid="{00000000-0006-0000-0000-00001B000000}">
      <text>
        <r>
          <rPr>
            <sz val="10"/>
            <rFont val="Arial"/>
            <family val="2"/>
          </rPr>
          <t>Source: balance sheets (Form 10-Q / 10-K; pre-2019 annual from the 10-K Exhibit 13 annual report). FY2008 from the FY2009 annual report comparative column (recast for SFAS 160).</t>
        </r>
      </text>
    </comment>
    <comment ref="B305" authorId="0" shapeId="0" xr:uid="{00000000-0006-0000-0000-00001C000000}">
      <text>
        <r>
          <rPr>
            <sz val="10"/>
            <rFont val="Arial"/>
            <family val="2"/>
          </rPr>
          <t>Derived: total current assets less the itemised lines.</t>
        </r>
      </text>
    </comment>
    <comment ref="B311" authorId="0" shapeId="0" xr:uid="{00000000-0006-0000-0000-00001D000000}">
      <text>
        <r>
          <rPr>
            <sz val="10"/>
            <rFont val="Arial"/>
            <family val="2"/>
          </rPr>
          <t>Derived: total assets less the itemised lines.</t>
        </r>
      </text>
    </comment>
    <comment ref="B318" authorId="0" shapeId="0" xr:uid="{00000000-0006-0000-0000-00001E000000}">
      <text>
        <r>
          <rPr>
            <sz val="10"/>
            <rFont val="Arial"/>
            <family val="2"/>
          </rPr>
          <t>Derived: total current liabilities less the itemised lines.</t>
        </r>
      </text>
    </comment>
    <comment ref="B324" authorId="0" shapeId="0" xr:uid="{00000000-0006-0000-0000-00001F000000}">
      <text>
        <r>
          <rPr>
            <sz val="10"/>
            <rFont val="Arial"/>
            <family val="2"/>
          </rPr>
          <t>Derived: total liabilities less the itemised lines.</t>
        </r>
      </text>
    </comment>
    <comment ref="B338" authorId="0" shapeId="0" xr:uid="{00000000-0006-0000-0000-000020000000}">
      <text>
        <r>
          <rPr>
            <sz val="10"/>
            <rFont val="Arial"/>
            <family val="2"/>
          </rPr>
          <t>Source: XBRL dei/us-gaap CommonStockSharesOutstanding (balance-sheet parenthetical / 10-Q cover), 2009+.</t>
        </r>
      </text>
    </comment>
    <comment ref="B353" authorId="0" shapeId="0" xr:uid="{00000000-0006-0000-0000-000021000000}">
      <text>
        <r>
          <rPr>
            <sz val="10"/>
            <rFont val="Arial"/>
            <family val="2"/>
          </rPr>
          <t>Source: MLM Form 8-K dated 10-Aug-2026, Ex. 99.3 (unaudited pro forma condensed combined financial statements), note 2; closing terms per Form 8-K filed 24-Aug-2026.</t>
        </r>
      </text>
    </comment>
    <comment ref="B382" authorId="0" shapeId="0" xr:uid="{00000000-0006-0000-0000-000022000000}">
      <text>
        <r>
          <rPr>
            <sz val="10"/>
            <rFont val="Arial"/>
            <family val="2"/>
          </rPr>
          <t>Q2/26: senior notes face value per 10-Q debt note (30-Jun-2026).</t>
        </r>
      </text>
    </comment>
    <comment ref="B433" authorId="0" shapeId="0" xr:uid="{00000000-0006-0000-0000-000023000000}">
      <text>
        <r>
          <rPr>
            <sz val="10"/>
            <rFont val="Arial"/>
            <family val="2"/>
          </rPr>
          <t>Input: $518.70 = price on MLM Form 4 filings dated 31-Aug-2026 (restricted-stock grants). EDGAR is the only market-data source reachable from the build environment — update to the current market price.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N26" authorId="0" shapeId="0" xr:uid="{00000000-0006-0000-0100-000001000000}">
      <text>
        <r>
          <rPr>
            <sz val="10"/>
            <rFont val="Arial"/>
            <family val="2"/>
          </rPr>
          <t>P/E on adjusted EPS (continuing operations). MLM has traded at ~25–35x NTM EPS over 2019–26 (≈28x 2027E adjusted EPS at $518.70). Base 26x, Bull 30x, Bear 21x applied to 2028E–2030E.</t>
        </r>
      </text>
    </comment>
  </commentList>
</comments>
</file>

<file path=xl/sharedStrings.xml><?xml version="1.0" encoding="utf-8"?>
<sst xmlns="http://schemas.openxmlformats.org/spreadsheetml/2006/main" count="1011" uniqueCount="826">
  <si>
    <t>SCENARIO SWITCH ▼ (Bull / Base / Bear) — drives all scenario-linked forecast drivers</t>
  </si>
  <si>
    <t>Martin Marietta Materials, Inc. (NYSE: MLM) — 3-Statement Financial Model</t>
  </si>
  <si>
    <t>Base</t>
  </si>
  <si>
    <t>US GAAP as reported · USD millions (per-share data in USD; shipments in millions of tons) · Source: Martin Marietta Forms 10-K (incl. Exhibit 13 annual reports to 2018) / 10-Q and Form 8-K earnings releases (Ex. 99.1), deal 8-Ks (LNA, Aug-2026), SEC EDGAR CIK 0000916076 (investor-relations releases are the same documents as filed on EDGAR)</t>
  </si>
  <si>
    <t>Basis notes: calendar fiscal year. Revenues incl. freight (net sales + freight &amp; delivery revenues to 2017; ASC 606 from 2018). Product-line revenues: net sales basis to 2017, products &amp; services (ex freight) 2018–22, total revenues from 2023. TXI from 1-Jul-2014 (cement); Bluegrass Apr-2018; Lehigh West Oct-2021; Blue Water Apr-2024; South Texas cement sold Feb-2024; Midlothian cement &amp; Texas ready mix = discontinued operations from Q3/25 (2025 quarters shown on the recast continuing-ops basis; 2024 and earlier as originally reported); QUIKRETE asset exchange closed Feb-2026; NFM May-2026; LNA (Lhoist North America) closed 21-Aug-2026 — excluded from company FY26 guidance, modelled separately from Q3/26E.</t>
  </si>
  <si>
    <t>Forecast</t>
  </si>
  <si>
    <t>Historical</t>
  </si>
  <si>
    <t>(USDm)</t>
  </si>
  <si>
    <t>Q1/13</t>
  </si>
  <si>
    <t>Q2/13</t>
  </si>
  <si>
    <t>Q3/13</t>
  </si>
  <si>
    <t>Q4/13</t>
  </si>
  <si>
    <t>Q1/14</t>
  </si>
  <si>
    <t>Q2/14</t>
  </si>
  <si>
    <t>Q3/14</t>
  </si>
  <si>
    <t>Q4/14</t>
  </si>
  <si>
    <t>Q1/15</t>
  </si>
  <si>
    <t>Q2/15</t>
  </si>
  <si>
    <t>Q3/15</t>
  </si>
  <si>
    <t>Q4/15</t>
  </si>
  <si>
    <t>Q1/16</t>
  </si>
  <si>
    <t>Q2/16</t>
  </si>
  <si>
    <t>Q3/16</t>
  </si>
  <si>
    <t>Q4/16</t>
  </si>
  <si>
    <t>Q1/17</t>
  </si>
  <si>
    <t>Q2/17</t>
  </si>
  <si>
    <t>Q3/17</t>
  </si>
  <si>
    <t>Q4/17</t>
  </si>
  <si>
    <t>Q1/18</t>
  </si>
  <si>
    <t>Q2/18</t>
  </si>
  <si>
    <t>Q3/18</t>
  </si>
  <si>
    <t>Q4/18</t>
  </si>
  <si>
    <t>Q1/19</t>
  </si>
  <si>
    <t>Q2/19</t>
  </si>
  <si>
    <t>Q3/19</t>
  </si>
  <si>
    <t>Q4/19</t>
  </si>
  <si>
    <t>Q1/20</t>
  </si>
  <si>
    <t>Q2/20</t>
  </si>
  <si>
    <t>Q3/20</t>
  </si>
  <si>
    <t>Q4/20</t>
  </si>
  <si>
    <t>Q1/21</t>
  </si>
  <si>
    <t>Q2/21</t>
  </si>
  <si>
    <t>Q3/21</t>
  </si>
  <si>
    <t>Q4/21</t>
  </si>
  <si>
    <t>Q1/22</t>
  </si>
  <si>
    <t>Q2/22</t>
  </si>
  <si>
    <t>Q3/22</t>
  </si>
  <si>
    <t>Q4/22</t>
  </si>
  <si>
    <t>Q1/23</t>
  </si>
  <si>
    <t>Q2/23</t>
  </si>
  <si>
    <t>Q3/23</t>
  </si>
  <si>
    <t>Q4/23</t>
  </si>
  <si>
    <t>Q1/24</t>
  </si>
  <si>
    <t>Q2/24</t>
  </si>
  <si>
    <t>Q3/24</t>
  </si>
  <si>
    <t>Q4/24</t>
  </si>
  <si>
    <t>Q1/25</t>
  </si>
  <si>
    <t>Q2/25</t>
  </si>
  <si>
    <t>Q3/25</t>
  </si>
  <si>
    <t>Q4/25</t>
  </si>
  <si>
    <t>Q1/26</t>
  </si>
  <si>
    <t>Q2/26</t>
  </si>
  <si>
    <t>Q3/26E</t>
  </si>
  <si>
    <t>Q4/26E</t>
  </si>
  <si>
    <t>2026E</t>
  </si>
  <si>
    <t>2027E</t>
  </si>
  <si>
    <t>2028E</t>
  </si>
  <si>
    <t>2029E</t>
  </si>
  <si>
    <t>2030E</t>
  </si>
  <si>
    <t>Modelling Notes</t>
  </si>
  <si>
    <t>5Y CAGR</t>
  </si>
  <si>
    <t>10Y CAGR</t>
  </si>
  <si>
    <t>19Y CAGR</t>
  </si>
  <si>
    <t>25-'30</t>
  </si>
  <si>
    <t>20-'25</t>
  </si>
  <si>
    <t>15-'25</t>
  </si>
  <si>
    <t>06-'25</t>
  </si>
  <si>
    <t>PRODUCT-LINE P&amp;L — AGGREGATES · OTHER BUILDING MATERIALS · SPECIALTIES · LNA (volume × price build)</t>
  </si>
  <si>
    <t>PRODUCT-LINE BUILD — modelling logic (shipments × ASP → revenues → gross profit → Adjusted EBITDA)</t>
  </si>
  <si>
    <t>SCENARIO INPUT TABLE — driver assumptions per Bull / Base / Bear</t>
  </si>
  <si>
    <t>Bull</t>
  </si>
  <si>
    <t>Bear</t>
  </si>
  <si>
    <t>Bull / Bear = Base + Δ (Δ inputs on each block header). Outlook block = high / mid / low end of FY26 ranges.</t>
  </si>
  <si>
    <t>Aggregates (crushed stone, sand &amp; gravel; shipments incl. internal tons) — Building Materials business</t>
  </si>
  <si>
    <t>AGGREGATES — modelling logic</t>
  </si>
  <si>
    <t xml:space="preserve">  Shipments (million tons)</t>
  </si>
  <si>
    <t>Q3/26E–Q4/26E: prior-year quarter × (1 + Q2/26 y/y shipment growth, which includes the Feb-26 QUIKRETE aggregates sites and May-26 NFM). 2027E+: prior year × (1 + scenario volume lever AGG_vol).</t>
  </si>
  <si>
    <t>FY26 outlook — Q2-26 release (30-Jul-26); legacy MLM, excludes LNA</t>
  </si>
  <si>
    <t>High</t>
  </si>
  <si>
    <t>Mid</t>
  </si>
  <si>
    <t>Low</t>
  </si>
  <si>
    <t>Company guidance excludes the LNA acquisition (closed 21-Aug-26) — the model adds LNA separately.</t>
  </si>
  <si>
    <t xml:space="preserve">  Shipments y/y %</t>
  </si>
  <si>
    <t>Q3/Q4-26E: Q2/26 y/y + revenue-outlook calibration Δ (Group block). 2027E–2030E: scenario lever AGG_vol (Bull/Base/Bear table →).</t>
  </si>
  <si>
    <t xml:space="preserve">  FY26 revenues ($m)</t>
  </si>
  <si>
    <t>Raised to $7.2–7.4bn in the Q2-26 release (from $7.00–7.32bn).</t>
  </si>
  <si>
    <t xml:space="preserve">  Average selling price — ASP ($ / ton, as reported)</t>
  </si>
  <si>
    <t>Q3/26E–Q4/26E: prior-year quarter × (1 + Q2/26 y/y ASP change, which reflects acquisition mix). FY = shipment-weighted. 2027E+: scenario lever AGG_ASP.</t>
  </si>
  <si>
    <t xml:space="preserve">  FY26 Adjusted EBITDA from continuing operations ($m)</t>
  </si>
  <si>
    <t>Reaffirmed $2.36–2.50bn. Drives the Q3/Q4-26E margin calibration.</t>
  </si>
  <si>
    <t xml:space="preserve">  ASP y/y %</t>
  </si>
  <si>
    <t xml:space="preserve">  FY26 net earnings from continuing ops attributable ($m, mid-point reconciliation)</t>
  </si>
  <si>
    <t>Q2-26 release mid-point reconciliation (memo only).</t>
  </si>
  <si>
    <t xml:space="preserve">  Revenue ÷ (shipments × ASP) — freight, internal &amp; other (x)</t>
  </si>
  <si>
    <t>Bridges shipments × ASP to product-line revenues (freight revenues included from 2018/2023 basis; internal sales). Forecast: prior-year quarter (Q3/Q4-26E) / prior year (2027E+).</t>
  </si>
  <si>
    <t>FY26 point estimates (all cases)</t>
  </si>
  <si>
    <t xml:space="preserve">  Revenues</t>
  </si>
  <si>
    <t xml:space="preserve">  Interest expense, net of interest income ($m)</t>
  </si>
  <si>
    <t>Q2-26 mid-point reconciliation (legacy; LNA financing added separately).</t>
  </si>
  <si>
    <t xml:space="preserve">  Revenues y/y %</t>
  </si>
  <si>
    <t xml:space="preserve">  Tax rate (GAAP)</t>
  </si>
  <si>
    <t>Implied by the Q2-26 mid-point reconciliation: tax $279m / pre-tax $1,322m.</t>
  </si>
  <si>
    <t xml:space="preserve">  Gross profit (GAAP)</t>
  </si>
  <si>
    <t xml:space="preserve">  DD&amp;A incl. equity-affiliate results ($m)</t>
  </si>
  <si>
    <t>Q2-26 mid-point reconciliation.</t>
  </si>
  <si>
    <t xml:space="preserve">  Gross margin before outlook calibration % (Q3/Q4-26E helper)</t>
  </si>
  <si>
    <t>Q3/Q4-26E: prior-year quarter margin + (1H/26 − 1H/25 margin drift).</t>
  </si>
  <si>
    <t xml:space="preserve">  Capital expenditures ($m)</t>
  </si>
  <si>
    <t>Latest published range $550–600m (Q1-26 release guidance table); Q2 release cites capex reductions without a new range.</t>
  </si>
  <si>
    <t xml:space="preserve">  Gross margin %</t>
  </si>
  <si>
    <t xml:space="preserve">  LNA run-rate cost synergies ($m)</t>
  </si>
  <si>
    <t>Deal release (29-Jun-2026): ~$85m annual run-rate cost synergies.</t>
  </si>
  <si>
    <t xml:space="preserve">  Gross profit per ton ($)</t>
  </si>
  <si>
    <t xml:space="preserve">  2H/26 share repurchases ($m)</t>
  </si>
  <si>
    <t>Post-LNA deleveraging: Base assumes no 2H buybacks (1H/26: $200m).</t>
  </si>
  <si>
    <t xml:space="preserve">  DD&amp;A in cost of revenues (where disclosed)</t>
  </si>
  <si>
    <t xml:space="preserve">  Minimum net debt / Adjusted EBITDA (x) — buyback floor 2027E+</t>
  </si>
  <si>
    <t>MLM target: &lt; 2.5x within 24 months of closing.</t>
  </si>
  <si>
    <t xml:space="preserve">  Cash gross profit per ton ($) (where DD&amp;A disclosed)</t>
  </si>
  <si>
    <t xml:space="preserve">  Memo: reported aggregates volume change % (company)</t>
  </si>
  <si>
    <t>AGG_vol (aggregates shipments y/y)</t>
  </si>
  <si>
    <t>Δ →</t>
  </si>
  <si>
    <t>Infrastructure (IIJA tail), data centers / heavy nonresidential vs. soft housing; 2026 organic guide +1–3%.</t>
  </si>
  <si>
    <t xml:space="preserve">  Memo: reported aggregates ASP change % (company)</t>
  </si>
  <si>
    <t xml:space="preserve">  2027E</t>
  </si>
  <si>
    <t xml:space="preserve">  2028E</t>
  </si>
  <si>
    <t>Other Building Materials (ready mixed concrete · asphalt &amp; paving; cement Jul-2014 → divested / discontinued 2024–26)</t>
  </si>
  <si>
    <t>OTHER BUILDING MATERIALS — modelling logic</t>
  </si>
  <si>
    <t xml:space="preserve">  2029E</t>
  </si>
  <si>
    <t>Historical = sum of the product lines reported in each period (memo rows below). Q3/Q4-26E: prior-year quarter × (1 + Q2/26 y/y). 2027E+: scenario lever OBM_growth.</t>
  </si>
  <si>
    <t xml:space="preserve">  2030E</t>
  </si>
  <si>
    <t>Note: 2025 y/y compares the continuing-operations recast with 2024 as reported (2024 still includes Texas/California cement &amp; ready mix).</t>
  </si>
  <si>
    <t>AGG_ASP (aggregates ASP y/y)</t>
  </si>
  <si>
    <t>Organic ASP guide +4–6% for 2026; mid-single-digit pricing through the cycle.</t>
  </si>
  <si>
    <t xml:space="preserve">  Memo: Cement revenues (TXI from Jul-2014)</t>
  </si>
  <si>
    <t xml:space="preserve">  Memo: Cement gross profit</t>
  </si>
  <si>
    <t>AGG_GM (aggregates gross margin)</t>
  </si>
  <si>
    <t>FY25 33.5%; 1H/26 26.4% (inventory markup, acquired-site mix). Unit-margin expansion as pricing &gt; cost.</t>
  </si>
  <si>
    <t xml:space="preserve">  Memo: Cement shipments (million tons)</t>
  </si>
  <si>
    <t xml:space="preserve">  Memo: Ready mixed concrete revenues</t>
  </si>
  <si>
    <t xml:space="preserve">  Memo: Ready mixed concrete gross profit</t>
  </si>
  <si>
    <t xml:space="preserve">  Memo: Ready mixed concrete shipments (million cubic yards)</t>
  </si>
  <si>
    <t xml:space="preserve">  Memo: Asphalt &amp; paving revenues (asphalt + road paving before 2016)</t>
  </si>
  <si>
    <t>OBM_growth (Other Building Materials revenues y/y)</t>
  </si>
  <si>
    <t>Ready mixed concrete &amp; asphalt/paving (Texas ready mix divested).</t>
  </si>
  <si>
    <t xml:space="preserve">  Memo: Asphalt &amp; paving gross profit</t>
  </si>
  <si>
    <t xml:space="preserve">  Memo: Asphalt shipments (million tons)</t>
  </si>
  <si>
    <t xml:space="preserve">  Memo: Cement &amp; ready mixed concrete (reported combined, Q1/24–Q2/25)</t>
  </si>
  <si>
    <t xml:space="preserve">  Memo: Cement &amp; ready mixed concrete gross profit (combined)</t>
  </si>
  <si>
    <t xml:space="preserve">  Memo: Ready mixed concrete and asphalt &amp; paving (reported combined)</t>
  </si>
  <si>
    <t>OBM_GM (Other Building Materials gross margin)</t>
  </si>
  <si>
    <t>FY25 9.9%.</t>
  </si>
  <si>
    <t xml:space="preserve">  Memo: Ready mixed concrete and asphalt &amp; paving gross profit (combined)</t>
  </si>
  <si>
    <t xml:space="preserve">  Memo: Other Building Materials as reported (continuing ops, Q3/25+ &amp; recast Q1–Q2/25; "other" line 2011–12)</t>
  </si>
  <si>
    <t xml:space="preserve">  Memo: Other Building Materials gross profit as reported</t>
  </si>
  <si>
    <t xml:space="preserve">  Less: interproduct / intersegment sales</t>
  </si>
  <si>
    <t>SPEC_growth (legacy Specialties revenues y/y)</t>
  </si>
  <si>
    <t>Magnesia chemicals &amp; dolomitic lime (steel, environmental).</t>
  </si>
  <si>
    <t xml:space="preserve">  Interproduct sales % of Other Building Materials revenues</t>
  </si>
  <si>
    <t>Forecast: prior-year quarter (Q3/Q4-26E); 2026E level held flat 2027E+.</t>
  </si>
  <si>
    <t>Specialties (Magnesia Specialties: magnesia-based chemicals &amp; dolomitic lime; Premier Magnesia from 25-Jul-2025)</t>
  </si>
  <si>
    <t>SPECIALTIES (legacy Magnesia Specialties) — modelling logic</t>
  </si>
  <si>
    <t>Q3/Q4-26E: organic growth input (row below) + revenue-outlook calibration Δ. 2027E+: scenario lever SPEC_growth.</t>
  </si>
  <si>
    <t>SPEC_GM (legacy Specialties gross margin)</t>
  </si>
  <si>
    <t>FY25 31.1% (Premier Magnesia from Jul-25).</t>
  </si>
  <si>
    <t xml:space="preserve">  Q3/Q4-26E organic growth input (before revenue calibration)</t>
  </si>
  <si>
    <t>+5% input: Q2/26 +69% y/y is inflated by Premier Magnesia (acquired 25-Jul-2025), which anniversaries in Q3.</t>
  </si>
  <si>
    <t>Prior-year quarter margin (already includes Premier Magnesia); no 1H drift applied.</t>
  </si>
  <si>
    <t>LNA_growth (LNA sales y/y)</t>
  </si>
  <si>
    <t>LNA sales +5.0% (2025) and +4.8% (1H/26).</t>
  </si>
  <si>
    <t>LNA — Lhoist North America (high-calcium &amp; dolomitic lime, industrial minerals; acquired 21-Aug-2026, Specialties)</t>
  </si>
  <si>
    <t>LNA — modelling logic (closed 21-Aug-2026; NOT in company FY26 guidance)</t>
  </si>
  <si>
    <t xml:space="preserve">  Memo: LNA standalone sales (pre-acquisition; not consolidated)</t>
  </si>
  <si>
    <t xml:space="preserve">  Memo: LNA standalone gross profit (pre-acquisition)</t>
  </si>
  <si>
    <t xml:space="preserve">  Memo: LNA standalone sales — six months (1H/25 in Q2/25 column; 1H/26 in Q2/26 column)</t>
  </si>
  <si>
    <t xml:space="preserve">  Memo: LNA standalone gross profit — six months</t>
  </si>
  <si>
    <t>LNA_GM (LNA standalone gross margin, pre-PPA)</t>
  </si>
  <si>
    <t>LNA 46.8% (FY25), 46.3% (1H/26).</t>
  </si>
  <si>
    <t xml:space="preserve">  Days consolidated in period (closing 21-Aug-2026)</t>
  </si>
  <si>
    <t>Closing 21-Aug-2026 (Form 8-K Item 2.01, filed 24-Aug-2026): 41 days in Q3/26, full Q4/26.</t>
  </si>
  <si>
    <t xml:space="preserve">  Annual sales run-rate (standalone basis)</t>
  </si>
  <si>
    <t>2026E = FY2025 standalone sales × (1 + 1H/26 y/y growth). 2027E+: × (1 + scenario lever LNA_growth).</t>
  </si>
  <si>
    <t xml:space="preserve">  Sales growth y/y %</t>
  </si>
  <si>
    <t xml:space="preserve">  Revenues (consolidated from closing)</t>
  </si>
  <si>
    <t xml:space="preserve">  Standalone gross margin % (before purchase accounting)</t>
  </si>
  <si>
    <t>2026E = 1H/26 standalone gross margin (46.3%). 2027E+: scenario lever LNA_GM.</t>
  </si>
  <si>
    <t>LNA_syn (synergy realisation % of $85m)</t>
  </si>
  <si>
    <t>Company: run-rate synergies within ~2 years.</t>
  </si>
  <si>
    <t xml:space="preserve">  (+) Cost synergies realised ($85m run-rate target)</t>
  </si>
  <si>
    <t>Company target: ~$85m annual run-rate cost synergies (deal release, 29-Jun-2026). Realisation % per scenario lever LNA_syn; booked in gross profit.</t>
  </si>
  <si>
    <t xml:space="preserve">  (−) Purchase-accounting D&amp;A (PP&amp;E step-up + acquired intangibles)</t>
  </si>
  <si>
    <t>$380m p.a. per pro forma note (q) (Form 8-K 10-Aug-2026 Ex. 99.3): PP&amp;E write-up (20-yr life) + $5.9bn intangibles (customer relationships $4.0bn/16y, permits $1.5bn/20y, technology $0.4bn/10y). Non-cash; added back in Adjusted EBITDA.</t>
  </si>
  <si>
    <t xml:space="preserve">  of which: amortization of acquired intangibles</t>
  </si>
  <si>
    <t>Straight-line: $4,000m/16y + $1,500m/20y + $400m/10y = $365m p.a. (pro forma note (f)). Drives the intangibles roll-forward.</t>
  </si>
  <si>
    <t xml:space="preserve">  (−) Inventory fair-value markup expensed</t>
  </si>
  <si>
    <t>$59m step-up of acquired inventory ($152m fair value vs $93m book; pro forma note) expensed as the inventory turns (assumed Q3/Q4-26). Added back in Adjusted EBITDA (Specialties deal &gt; $200m threshold).</t>
  </si>
  <si>
    <t>M&amp;A_spend (bolt-on acquisitions, $m)</t>
  </si>
  <si>
    <t>Base: deleveraging pause in 2027E, bolt-ons resume 2028E.</t>
  </si>
  <si>
    <t xml:space="preserve">  Gross margin % (GAAP)</t>
  </si>
  <si>
    <t xml:space="preserve">  Standalone DD&amp;A % of sales (in cost of sales)</t>
  </si>
  <si>
    <t>1H/26 standalone DD&amp;A $38.7m on sales $904.6m = 4.3% (Ex. 99.2 cash-flow statement).</t>
  </si>
  <si>
    <t xml:space="preserve">  Standalone DD&amp;A (USDm)</t>
  </si>
  <si>
    <t xml:space="preserve">  Standalone SG&amp;A % of sales</t>
  </si>
  <si>
    <t>1H/26 standalone SG&amp;A $79.6m / sales $904.6m = 8.8%.</t>
  </si>
  <si>
    <t xml:space="preserve">  SG&amp;A (USDm; consolidated in the SG&amp;A line)</t>
  </si>
  <si>
    <t xml:space="preserve">  Memo: LNA Adjusted EBITDA contribution (GP + PA D&amp;A + markup + standalone D&amp;A − SG&amp;A)</t>
  </si>
  <si>
    <t>Deal release: LNA FY2025 Adjusted EBITDA $786m (44.8% margin) on $1.75bn gross sales; ~15x incl. run-rate synergies.</t>
  </si>
  <si>
    <t xml:space="preserve">  Memo: LNA Adjusted EBITDA margin %</t>
  </si>
  <si>
    <t>Corporate gross profit, freight outside product lines &amp; unallocated Building Materials</t>
  </si>
  <si>
    <t>CORPORATE &amp; RECONCILING ITEMS</t>
  </si>
  <si>
    <t xml:space="preserve">  Corporate gross profit (loss)</t>
  </si>
  <si>
    <t>Q3/Q4-26E: 1H/26 run-rate; 2027E+: −$30m p.a. input.</t>
  </si>
  <si>
    <t xml:space="preserve">  Freight revenues outside product-line tables (net-sales basis to 2017; ex-freight basis 2018–22)</t>
  </si>
  <si>
    <t xml:space="preserve">  Freight gross profit outside product-line tables (2018–22)</t>
  </si>
  <si>
    <t xml:space="preserve">  Building Materials revenues not split by product line (to Q2/11; segment total)</t>
  </si>
  <si>
    <t xml:space="preserve">  Building Materials gross profit not split by product line (to Q3/12)</t>
  </si>
  <si>
    <t>Future acquisitions (M&amp;A lever — bolt-ons, unallocated; deals closed from 2027E)</t>
  </si>
  <si>
    <t>M&amp;A LEVER — acquired sales = spend ÷ EV/sales; mid-year convention</t>
  </si>
  <si>
    <t xml:space="preserve">  Acquisition spend (USDm, scenario)</t>
  </si>
  <si>
    <t>Scenario lever M&amp;A_spend. MLM deployed ~$0.5–3.6bn p.a. on acquisitions in 2018–25 (Bluegrass, Lehigh West, Blue Water, Albert Frei, Premier Magnesia, NFM) plus LNA ($13.5bn) in 2026; Base assumes a deleveraging pause in 2027.</t>
  </si>
  <si>
    <t xml:space="preserve">  Purchase multiple — EV / sales (x)</t>
  </si>
  <si>
    <t xml:space="preserve">  Annualised sales acquired in the year</t>
  </si>
  <si>
    <t xml:space="preserve">  Growth of acquired businesses after acquisition %</t>
  </si>
  <si>
    <t xml:space="preserve">  Run-rate sales of businesses acquired (year end)</t>
  </si>
  <si>
    <t xml:space="preserve">  Revenues from future acquisitions</t>
  </si>
  <si>
    <t>Mid-year convention: deals close evenly through the year (half a year of sales in year 1).</t>
  </si>
  <si>
    <t xml:space="preserve">  Gross margin of acquired businesses % (after D&amp;A)</t>
  </si>
  <si>
    <t xml:space="preserve">  Gross profit from future acquisitions</t>
  </si>
  <si>
    <t xml:space="preserve">  D&amp;A of acquired businesses % of sales (incl. step-ups)</t>
  </si>
  <si>
    <t xml:space="preserve">  D&amp;A from future acquisitions (in cost of revenues)</t>
  </si>
  <si>
    <t xml:space="preserve">  PP&amp;E &amp; mineral reserves % of spend</t>
  </si>
  <si>
    <t>Aggregates bolt-ons: consideration mostly allocated to PP&amp;E / mineral reserves; balance to intangibles and goodwill.</t>
  </si>
  <si>
    <t xml:space="preserve">  Acquired intangibles % of spend</t>
  </si>
  <si>
    <t xml:space="preserve">  Intangible amortization life (years)</t>
  </si>
  <si>
    <t xml:space="preserve">  Cumulative acquired intangibles (gross)</t>
  </si>
  <si>
    <t xml:space="preserve">  Amortization of future-acquisition intangibles (within D&amp;A)</t>
  </si>
  <si>
    <t>Group Total — revenues &amp; gross profit (product-line build) → Adjusted EBITDA (MLM's primary profit KPI)</t>
  </si>
  <si>
    <t>GROUP TOTAL (CONSOLIDATED) — modelling logic</t>
  </si>
  <si>
    <t>Revenues (product-line build)</t>
  </si>
  <si>
    <t>Σ aggregates + other building materials − interproduct sales + Specialties + LNA + future M&amp;A (+ freight / unallocated lines in historical periods).</t>
  </si>
  <si>
    <t>Gross profit (product-line build)</t>
  </si>
  <si>
    <t xml:space="preserve">  Check: product-line build vs consolidated revenues (should be 0)</t>
  </si>
  <si>
    <t xml:space="preserve">  Check: product-line build vs consolidated gross profit (should be 0)</t>
  </si>
  <si>
    <t xml:space="preserve">  Memo: revenues — legacy MLM ex-LNA &amp; future M&amp;A</t>
  </si>
  <si>
    <t xml:space="preserve">  Memo: FY26 revenue guidance — legacy ex-LNA (scenario end-point)</t>
  </si>
  <si>
    <t>Company FY26 revenue guidance $7.2–7.4bn (raised in the Q2-26 release, 30-Jul-2026; excludes LNA). Drives the revenue-outlook calibration below.</t>
  </si>
  <si>
    <t xml:space="preserve">  Legacy revenues before revenue calibration (Q3/Q4-26E helper)</t>
  </si>
  <si>
    <t>Aggregates (prior-year tons × (1 + Q2/26 growth) × ASP × uplift) + Other Building Materials net of interproduct sales + Specialties, at Q2/26 trend growth.</t>
  </si>
  <si>
    <t xml:space="preserve">  Revenue sensitivity to +1.00 of growth (Q3/Q4-26E helper)</t>
  </si>
  <si>
    <t xml:space="preserve">  Outlook calibration: Δ y/y growth applied to legacy product lines (Q3/Q4-26E)</t>
  </si>
  <si>
    <t>Solves the uniform growth shift (vs Q2/26 y/y trend) so that legacy FY26 revenues = the FY26 revenue guidance end-point for the active scenario ($7.2bn / $7.3bn / $7.4bn).</t>
  </si>
  <si>
    <t xml:space="preserve">  Check: legacy FY26 revenues vs guidance end-point (should be 0)</t>
  </si>
  <si>
    <t xml:space="preserve">  Legacy Adjusted EBITDA before margin calibration (Q3/Q4-26E helper)</t>
  </si>
  <si>
    <t>Legacy (ex-LNA) Adj. EBITDA = Σ product-line revenue × pre-calibration margin + corporate GP − legacy SG&amp;A − other operating items − other non-operating items (ex interest income) + legacy DD&amp;A. Acquisition costs and inventory markup net to zero (added back).</t>
  </si>
  <si>
    <t xml:space="preserve">  Outlook calibration: Δ gross margin applied to legacy product lines (Q3/Q4-26E)</t>
  </si>
  <si>
    <t>Solves the uniform margin shift (vs prior-year quarter + 1H drift) so that legacy MLM FY26 Adjusted EBITDA = FY26 guidance end-point for the active scenario (High / Mid / Low). LNA is added on top (not in guidance).</t>
  </si>
  <si>
    <t xml:space="preserve">  Memo: FY26 Adjusted EBITDA guidance — legacy MLM ex-LNA (scenario end-point)</t>
  </si>
  <si>
    <t>Q2-26 release: Adjusted EBITDA from continuing operations $2,360–2,500m (mid $2,430m), reaffirmed; excludes LNA.</t>
  </si>
  <si>
    <t xml:space="preserve">  Memo: model legacy Adjusted EBITDA (ex-LNA &amp; future M&amp;A)</t>
  </si>
  <si>
    <t xml:space="preserve">  Check: legacy FY26 Adjusted EBITDA vs guidance end-point (should be 0)</t>
  </si>
  <si>
    <t>Reportable segments (memo; segment profit = earnings from operations, as reported)</t>
  </si>
  <si>
    <t>SEGMENTS — historical disclosure only (not forecast). Current: East / West Group (recast Q1-26: East = East + Southwest divisions; West = Central + West divisions) + Specialties.</t>
  </si>
  <si>
    <t xml:space="preserve">  East Group — revenues (from Q3/20; Q1/26 recast basis from 2026)</t>
  </si>
  <si>
    <t xml:space="preserve">  West Group — revenues (from Q3/20)</t>
  </si>
  <si>
    <t xml:space="preserve">  East Group — earnings from operations</t>
  </si>
  <si>
    <t xml:space="preserve">  West Group — earnings from operations</t>
  </si>
  <si>
    <t xml:space="preserve">  Specialties / Magnesia Specialties / Specialty Products — revenues</t>
  </si>
  <si>
    <t xml:space="preserve">  Specialties — earnings from operations</t>
  </si>
  <si>
    <t xml:space="preserve">  Corporate — earnings (loss) from operations</t>
  </si>
  <si>
    <t xml:space="preserve">  Legacy segments (as originally reported: Mideast / Mid-America, Southeast and West Groups to Q2/20; Cement segment 2014–16)</t>
  </si>
  <si>
    <t xml:space="preserve">  Mideast Group (to 2012) / Mid-America Group (2013–Q2/20) — revenues</t>
  </si>
  <si>
    <t xml:space="preserve">  Southeast Group — revenues</t>
  </si>
  <si>
    <t xml:space="preserve">  West Group (legacy basis; incl. cement 2017–Q2/20) — revenues</t>
  </si>
  <si>
    <t xml:space="preserve">  Cement segment (2014–2016) — revenues</t>
  </si>
  <si>
    <t xml:space="preserve">  Mideast / Mid-America Group — earnings from operations</t>
  </si>
  <si>
    <t xml:space="preserve">  Southeast Group — earnings from operations</t>
  </si>
  <si>
    <t xml:space="preserve">  West Group (legacy) — earnings from operations</t>
  </si>
  <si>
    <t xml:space="preserve">  Cement segment (2014–2016) — earnings from operations</t>
  </si>
  <si>
    <t xml:space="preserve">  Check: Σ segment earnings from operations vs consolidated (should be 0)</t>
  </si>
  <si>
    <t>Cost drivers &amp; D&amp;A</t>
  </si>
  <si>
    <t>COST DRIVERS — inputs that drive forecast cost lines</t>
  </si>
  <si>
    <t xml:space="preserve">  DD&amp;A — legacy MLM (ex-LNA purchase accounting &amp; future M&amp;A)</t>
  </si>
  <si>
    <t>Q3/Q4-26E = (FY26 guidance DD&amp;A incl. equity affiliates $800m − 1H/26 actual) ÷ 2. 2027E+: legacy revenues × DD&amp;A %. Historical = total DD&amp;A (cash-flow statement).</t>
  </si>
  <si>
    <t xml:space="preserve">  DD&amp;A (legacy) % of revenues</t>
  </si>
  <si>
    <t>2027E+: 11.0% input (FY26 guidance-implied ~11%; FY25 10.4%).</t>
  </si>
  <si>
    <t xml:space="preserve">  SG&amp;A (legacy) % of revenues</t>
  </si>
  <si>
    <t>2027E+: 7.0% input (FY25 7.2%; 1H/26 7.5%); LNA SG&amp;A modelled separately.</t>
  </si>
  <si>
    <t xml:space="preserve">  Stock-based compensation % of revenues</t>
  </si>
  <si>
    <t>CONSOLIDATED STATEMENT OF EARNINGS (US GAAP; continuing operations as reported)</t>
  </si>
  <si>
    <t>CONSOLIDATED IS — forecast logic</t>
  </si>
  <si>
    <t>Total revenues</t>
  </si>
  <si>
    <t>Forecast linked to the product-line build.</t>
  </si>
  <si>
    <t xml:space="preserve">  of which: net sales / products &amp; services revenues (ex freight)</t>
  </si>
  <si>
    <t xml:space="preserve">  of which: freight &amp; delivery revenues</t>
  </si>
  <si>
    <t>Cost of revenues (incl. freight costs)</t>
  </si>
  <si>
    <t>Forecast = revenues − product-line gross profit.</t>
  </si>
  <si>
    <t>Gross profit</t>
  </si>
  <si>
    <t>Selling, general &amp; administrative expenses (incl. R&amp;D to 2009)</t>
  </si>
  <si>
    <t>Q3/Q4-26E: prior-year quarter × 1H/26 y/y growth + LNA SG&amp;A. 2027E+: legacy revenues × SG&amp;A % + LNA SG&amp;A.</t>
  </si>
  <si>
    <t>Acquisition, divestiture &amp; integration expenses (business development costs 2011–14)</t>
  </si>
  <si>
    <t>Q3/Q4-26E: $83m of LNA transaction expenses expected after 30-Jun-2026 (pro forma note (r)); integration costs 2027E $25m, then $10m p.a. Added back in Adjusted EBITDA.</t>
  </si>
  <si>
    <t>Other operating (income) expense, net (expense = +)</t>
  </si>
  <si>
    <t>Gains on asset sales, land, royalties. Q3/Q4-26E: 1H/26 run-rate; 2027E+: −$20m p.a. (income).</t>
  </si>
  <si>
    <t>Earnings from operations</t>
  </si>
  <si>
    <t>Interest expense</t>
  </si>
  <si>
    <t>Q3/Q4-26E: Q2/26 run-rate + LNA financing ($5.5bn notes at 5.52% blended coupon issued 14-Aug-26; $1.5bn term loan) for the days after closing. 2027E+: rate × opening balance (no circularity).</t>
  </si>
  <si>
    <t xml:space="preserve">  Memo: interest income (within other nonoperating; = interest expense − net interest in the EBITDA bridge)</t>
  </si>
  <si>
    <t xml:space="preserve">  Memo: other nonoperating (income) expense excluding interest income (expense = +)</t>
  </si>
  <si>
    <t>Pension (non-service), equity affiliates, FX, other. 2027E+: −$15m p.a. input.</t>
  </si>
  <si>
    <t>Other nonoperating (income) expense, net (expense = +)</t>
  </si>
  <si>
    <t>Earnings from continuing operations before income tax expense</t>
  </si>
  <si>
    <t>Income tax expense</t>
  </si>
  <si>
    <t>Q3/Q4-26E at the FY26 guidance-implied rate; 2027E+ input ETR.</t>
  </si>
  <si>
    <t xml:space="preserve">  Effective tax rate</t>
  </si>
  <si>
    <t>FY26 guidance mid-point: tax $279m on pre-tax $1,322m = 21.1%. 2027E+: 22.0% input (higher state mix; LNA).</t>
  </si>
  <si>
    <t>Earnings from continuing operations</t>
  </si>
  <si>
    <t>Earnings (loss) from discontinued operations, net of tax</t>
  </si>
  <si>
    <t>1H/26 includes the $1.43bn after-tax gain on the Midlothian cement / Texas ready-mix divestiture (QUIKRETE asset exchange, Feb-2026). None forecast.</t>
  </si>
  <si>
    <t>Consolidated net earnings</t>
  </si>
  <si>
    <t xml:space="preserve">  Less: net earnings attributable to noncontrolling interests</t>
  </si>
  <si>
    <t>Net earnings attributable to Martin Marietta</t>
  </si>
  <si>
    <t xml:space="preserve">  Check: net earnings attributable vs reported (should be 0; ±0.1 rounding in published subtotals tolerated)</t>
  </si>
  <si>
    <t xml:space="preserve">  Memo: net earnings attributable to Martin Marietta as reported</t>
  </si>
  <si>
    <t xml:space="preserve">  Memo: net earnings from continuing operations attributable to Martin Marietta</t>
  </si>
  <si>
    <t xml:space="preserve">  Memo: depreciation, depletion &amp; amortization (total; cash-flow statement)</t>
  </si>
  <si>
    <t>Forecast = legacy DD&amp;A + LNA standalone D&amp;A + LNA purchase-accounting D&amp;A + future-M&amp;A D&amp;A.</t>
  </si>
  <si>
    <t xml:space="preserve">  Memo: stock-based compensation</t>
  </si>
  <si>
    <t>(Earnings per share)</t>
  </si>
  <si>
    <t xml:space="preserve">  Weighted-average basic shares (m)</t>
  </si>
  <si>
    <t>Q3/Q4-26E: Q2/26 + 10.95m LNA consideration shares (issued 21-Aug-26, time-weighted) − 2H buybacks. 2027E+: average of beginning and ending shares.</t>
  </si>
  <si>
    <t xml:space="preserve">  Weighted-average diluted shares (m)</t>
  </si>
  <si>
    <t>EPS – basic, attributable to Martin Marietta ($)</t>
  </si>
  <si>
    <t>EPS – diluted, attributable to Martin Marietta ($)</t>
  </si>
  <si>
    <t>EPS computed as net earnings / weighted diluted shares (may differ by ±$0.01–0.02 vs reported; two-class method).</t>
  </si>
  <si>
    <t>EPS – diluted, continuing operations ($)</t>
  </si>
  <si>
    <t xml:space="preserve">  Memo: EPS – diluted as reported ($)</t>
  </si>
  <si>
    <t xml:space="preserve">  Memo: EPS – diluted, continuing operations as reported ($)</t>
  </si>
  <si>
    <t xml:space="preserve">  Dividends declared per share ($)</t>
  </si>
  <si>
    <t>Q3/Q4-26E: Q2/26 quarterly dividend +5% (MLM typically raises in August). 2027E+: +6% p.a.</t>
  </si>
  <si>
    <t xml:space="preserve">  Dividend per share growth %</t>
  </si>
  <si>
    <t xml:space="preserve">  Memo: FY26 net earnings from continuing ops attributable — guidance mid-point (legacy ex-LNA)</t>
  </si>
  <si>
    <t>Q2-26 release mid-point reconciliation: $1,043m (excludes LNA). Compare with model legacy earnings; LNA adds purchase-accounting D&amp;A and interest.</t>
  </si>
  <si>
    <t>RECONCILIATION: NET EARNINGS → EBITDA → ADJUSTED EBITDA (company definition; continuing operations)</t>
  </si>
  <si>
    <t>ADJUSTED EBITDA — per MLM earnings-release reconciliations; company definition in force in each period (see definition row &amp; comments)</t>
  </si>
  <si>
    <t>Net earnings from continuing operations attributable to Martin Marietta (GAAP)</t>
  </si>
  <si>
    <t xml:space="preserve">  Memo: starting point of the company reconciliation (as published)</t>
  </si>
  <si>
    <t xml:space="preserve">  (+) Basis difference: discontinued operations / NCI (company start vs. model continuing-ops earnings)</t>
  </si>
  <si>
    <t xml:space="preserve">  (+) Interest expense (net of interest income from 2020)</t>
  </si>
  <si>
    <t xml:space="preserve">  (+) Income tax expense (for controlling interests)</t>
  </si>
  <si>
    <t xml:space="preserve">  (+) DD&amp;A (and earnings/loss of nonconsolidated equity affiliates from 2019)</t>
  </si>
  <si>
    <t xml:space="preserve">  = EBITDA</t>
  </si>
  <si>
    <t xml:space="preserve">  (+) Acquisition, divestiture &amp; integration expenses (qualifying transactions)</t>
  </si>
  <si>
    <t>From 2024 only transactions ≥ $2.0bn (Building Materials) or ≥ $200m (Specialties) are added back; LNA qualifies. Forecast: all acquisition costs added back.</t>
  </si>
  <si>
    <t xml:space="preserve">  (+) Impact of selling acquired inventory after markup to fair value</t>
  </si>
  <si>
    <t xml:space="preserve">  (−) Nonrecurring gains on divestitures</t>
  </si>
  <si>
    <t xml:space="preserve">  (+) Asset &amp; portfolio rationalization / restructuring charges</t>
  </si>
  <si>
    <t xml:space="preserve">  (+/−) Other company items / definitional differences</t>
  </si>
  <si>
    <t xml:space="preserve">  Total adjusting items</t>
  </si>
  <si>
    <t xml:space="preserve">  = Adjusted EBITDA (model bridge)</t>
  </si>
  <si>
    <t>Historical bridge rebuilt from the company reconciliation in each period; forecast = net earnings + interest (net) + tax + total DD&amp;A + acquisition costs + inventory markup.</t>
  </si>
  <si>
    <t xml:space="preserve">  Adjusted EBITDA margin %</t>
  </si>
  <si>
    <t xml:space="preserve">  Company-published Adjusted EBITDA (EBITDA before 2018; continuing operations from Q4/21)</t>
  </si>
  <si>
    <t xml:space="preserve">  Check: model bridge vs company-published (should be 0)</t>
  </si>
  <si>
    <t xml:space="preserve">  Definition basis (company Adjusted EBITDA definition in force)</t>
  </si>
  <si>
    <t>EBITDA (CFO recon)</t>
  </si>
  <si>
    <t>EBITDA</t>
  </si>
  <si>
    <t>Adj. EBITDA</t>
  </si>
  <si>
    <t>Adj. EBITDA (incl. eq. affil.)</t>
  </si>
  <si>
    <t>Adj. EBITDA (cont. ops)</t>
  </si>
  <si>
    <t>Adj. EBITDA ($2bn/$200m threshold)</t>
  </si>
  <si>
    <t>Adj. EBITDA (cont. ops; ex Midlothian)</t>
  </si>
  <si>
    <t>Definition changes are flagged in the column where they take effect.</t>
  </si>
  <si>
    <t xml:space="preserve">  Memo: Consolidated Adjusted EBITDA incl. discontinued operations (as published)</t>
  </si>
  <si>
    <t>To adjusted EBIT:</t>
  </si>
  <si>
    <t xml:space="preserve">  (−) DD&amp;A</t>
  </si>
  <si>
    <t xml:space="preserve">  = Adjusted EBIT (model)</t>
  </si>
  <si>
    <t xml:space="preserve">  Adjusted EBIT margin %</t>
  </si>
  <si>
    <t xml:space="preserve">  Memo: Adjusted EBITDA pro forma — LNA full year (2026E), for leverage &amp; valuation</t>
  </si>
  <si>
    <t>2026E adds LNA pre-closing days at the Q4/26E LNA EBITDA margin (company pro forma basis).</t>
  </si>
  <si>
    <t>RECONCILIATION: GAAP NET EARNINGS / DILUTED EPS (CONTINUING OPS) → ADJUSTED EPS</t>
  </si>
  <si>
    <t>ADJUSTED EPS — company publishes adjusted EPS only sporadically (2011–16, 2017–18 tax reform, 2021–22, 2026+); model applies one definition to all periods</t>
  </si>
  <si>
    <t xml:space="preserve">  (+) Adjusting items, pre-tax (as in the Adjusted EBITDA bridge)</t>
  </si>
  <si>
    <t xml:space="preserve">  Tax rate applied to adjustments</t>
  </si>
  <si>
    <t>Historical: period ETR bounded 15–40%. Forecast: 23% input (blended federal + state on transaction costs).</t>
  </si>
  <si>
    <t xml:space="preserve">  (−) Income tax effect of adjusting items</t>
  </si>
  <si>
    <t xml:space="preserve">  (+/−) Other company-defined items &amp; per-share rounding (periods with published adjusted EPS)</t>
  </si>
  <si>
    <t xml:space="preserve">  = Adjusted net earnings from continuing operations (model)</t>
  </si>
  <si>
    <t>Adjusted EPS – diluted, continuing operations ($) (model)</t>
  </si>
  <si>
    <t xml:space="preserve">  Company-published adjusted EPS – diluted ($)</t>
  </si>
  <si>
    <t xml:space="preserve">  Check: model vs company-published adjusted EPS (should be 0.00)</t>
  </si>
  <si>
    <t xml:space="preserve">  Definition basis (company adjusted EPS, where published)</t>
  </si>
  <si>
    <t>ex TXI costs</t>
  </si>
  <si>
    <t>ex TXI costs &amp; markup</t>
  </si>
  <si>
    <t>ex cement sale</t>
  </si>
  <si>
    <t>ex Tax Act</t>
  </si>
  <si>
    <t>ex Bluegrass costs</t>
  </si>
  <si>
    <t>ex acquisition items</t>
  </si>
  <si>
    <t>Adj. EPS cont. ops (current)</t>
  </si>
  <si>
    <t>GROWTH &amp; MARGINS</t>
  </si>
  <si>
    <t>GROWTH &amp; MARGINS (consolidated) — forecast outputs</t>
  </si>
  <si>
    <t xml:space="preserve">  Aggregates shipments y/y % (volume)</t>
  </si>
  <si>
    <t xml:space="preserve">  Aggregates ASP y/y % (price)</t>
  </si>
  <si>
    <t xml:space="preserve">  Adjusted EBITDA y/y %</t>
  </si>
  <si>
    <t xml:space="preserve">  Earnings from operations y/y %</t>
  </si>
  <si>
    <t xml:space="preserve">  Net earnings attributable y/y %</t>
  </si>
  <si>
    <t xml:space="preserve">  Adjusted EPS y/y %</t>
  </si>
  <si>
    <t xml:space="preserve">  Incremental Adjusted EBITDA margin (ΔEBITDA / ΔRevenues)</t>
  </si>
  <si>
    <t xml:space="preserve">  Operating margin (earnings from operations) %</t>
  </si>
  <si>
    <t xml:space="preserve">  Net margin %</t>
  </si>
  <si>
    <t xml:space="preserve">  SG&amp;A % of revenues</t>
  </si>
  <si>
    <t xml:space="preserve">  Aggregates gross profit per ton y/y %</t>
  </si>
  <si>
    <t>CONSOLIDATED STATEMENT OF CASH FLOWS</t>
  </si>
  <si>
    <t>CASH FLOW — forecast logic (annual; 2026E = 1H/26 actual + 2H estimate; quarters = discrete, derived from year-to-date statements)</t>
  </si>
  <si>
    <t>Adjustments:</t>
  </si>
  <si>
    <t xml:space="preserve">  Depreciation, depletion &amp; amortization</t>
  </si>
  <si>
    <t xml:space="preserve">  Stock-based compensation</t>
  </si>
  <si>
    <t xml:space="preserve">  (Gains) losses on divestitures &amp; sales of assets</t>
  </si>
  <si>
    <t>2026E = 1H/26 actual (incl. the $1.98bn pre-tax gain on the QUIKRETE asset exchange); none forecast.</t>
  </si>
  <si>
    <t xml:space="preserve">  Deferred income taxes</t>
  </si>
  <si>
    <t>Forecast: unwind of the deferred tax liability on LNA intangible amortization (book &gt; tax) at 24.6%.</t>
  </si>
  <si>
    <t xml:space="preserve">  Other non-cash items, net (derived)</t>
  </si>
  <si>
    <t xml:space="preserve">  Changes in operating assets &amp; liabilities, net</t>
  </si>
  <si>
    <t>Linked to the balance sheet: −Δ(receivables, inventories) + Δ(payables, accrued salaries); 2026E excludes balances acquired with LNA.</t>
  </si>
  <si>
    <t>Net cash provided by operating activities</t>
  </si>
  <si>
    <t>Additions to property, plant &amp; equipment</t>
  </si>
  <si>
    <t>2026E: FY26 capex guidance (scenario end-point; Q1-26 range $550–600m, legacy) + LNA 2H capex at 9% of sales. 2027E+: revenues × capex %.</t>
  </si>
  <si>
    <t>Acquisitions, net of cash acquired</t>
  </si>
  <si>
    <t>2026E: 1H/26 (QUIKRETE cash true-up, NFM) + LNA cash consideration $7.0bn + $0.22bn other, net of $26m cash acquired. 2027E+: M&amp;A lever.</t>
  </si>
  <si>
    <t>Proceeds from divestitures &amp; sales of assets</t>
  </si>
  <si>
    <t>Other investing activities, net (derived)</t>
  </si>
  <si>
    <t>Net cash used for investing activities</t>
  </si>
  <si>
    <t>Proceeds from borrowings (incl. commercial paper / facilities, net)</t>
  </si>
  <si>
    <t>Repayments of debt</t>
  </si>
  <si>
    <t>Net issuance / (repayment) = change in total debt per the debt schedule (scheduled note maturities, refinancing, prepayable facilities).</t>
  </si>
  <si>
    <t>Dividends paid</t>
  </si>
  <si>
    <t>2027E+: dividends per share × beginning shares outstanding (avoids circularity with buybacks).</t>
  </si>
  <si>
    <t>Repurchases of common stock</t>
  </si>
  <si>
    <t>2026E = 1H/26 actual + 2H scenario amount; 2027E+ = leverage plug (surplus cash returned via buybacks once net debt / Adj. EBITDA reaches the scenario minimum).</t>
  </si>
  <si>
    <t>Issuances of common stock / shares withheld for employee taxes, net</t>
  </si>
  <si>
    <t>Other financing activities, net (derived)</t>
  </si>
  <si>
    <t>Net cash provided by (used for) financing activities</t>
  </si>
  <si>
    <t>Net increase (decrease) in cash</t>
  </si>
  <si>
    <t>Cash — beginning of period</t>
  </si>
  <si>
    <t>Cash — end of period</t>
  </si>
  <si>
    <t xml:space="preserve">  Check: CFO + CFI + CFF = change in cash (should be 0)</t>
  </si>
  <si>
    <t xml:space="preserve">  Check: beginning cash + change = ending cash (should be 0)</t>
  </si>
  <si>
    <t>(Memo)</t>
  </si>
  <si>
    <t>Free cash flow (operating cash flow − capital expenditures)</t>
  </si>
  <si>
    <t>MLM does not publish a free-cash-flow measure in its releases; model definition = CFO − additions to PP&amp;E.</t>
  </si>
  <si>
    <t xml:space="preserve">  FCF y/y %</t>
  </si>
  <si>
    <t xml:space="preserve">  FCF % of revenues</t>
  </si>
  <si>
    <t xml:space="preserve">  FCF / adjusted net earnings conversion %</t>
  </si>
  <si>
    <t xml:space="preserve">  FCF per diluted share ($)</t>
  </si>
  <si>
    <t>Capex ratios</t>
  </si>
  <si>
    <t xml:space="preserve">  Capex % of revenues</t>
  </si>
  <si>
    <t>2027E+: 8.5% input (FY26 guidance ~7.9% legacy; LNA ~9%; FY25 13.1% incl. growth projects).</t>
  </si>
  <si>
    <t xml:space="preserve">  Capex / DD&amp;A (x)</t>
  </si>
  <si>
    <t>SHARE BUYBACK SCHEDULE</t>
  </si>
  <si>
    <t>SHARES — 2026E includes the 10.95m LNA consideration shares (21-Aug-2026)</t>
  </si>
  <si>
    <t xml:space="preserve">  Avg buyback price ($)</t>
  </si>
  <si>
    <t>2026E = current share price (valuation input); appreciates with the share-price input.</t>
  </si>
  <si>
    <t xml:space="preserve">  Buyback cash deployed (USDm)</t>
  </si>
  <si>
    <t>2026E row = 2H/26 buyback only (1H/26 repurchases already in Q1/Q2 share counts).</t>
  </si>
  <si>
    <t xml:space="preserve">  Implied shares repurchased (m)</t>
  </si>
  <si>
    <t xml:space="preserve">  Shares issued under equity plans (m)</t>
  </si>
  <si>
    <t xml:space="preserve">  Beginning shares outstanding (m)</t>
  </si>
  <si>
    <t>2026E begins from shares outstanding at 30-Jun-2026 (10-Q cover).</t>
  </si>
  <si>
    <t xml:space="preserve">  Ending shares outstanding (m)</t>
  </si>
  <si>
    <t xml:space="preserve">  % of shares repurchased</t>
  </si>
  <si>
    <t xml:space="preserve">  Memo: cumulative shares repurchased since 2H/26 (m)</t>
  </si>
  <si>
    <t>CONSOLIDATED BALANCE SHEET</t>
  </si>
  <si>
    <t>BS FORECAST — 2026E rolled forward from the 30-Jun-2026 balance sheet (Q2/26) + LNA purchase-price allocation + 2H flows; 2027E+ from prior year end</t>
  </si>
  <si>
    <t>ASSETS</t>
  </si>
  <si>
    <t xml:space="preserve">  Cash and cash equivalents</t>
  </si>
  <si>
    <t xml:space="preserve">  Restricted cash</t>
  </si>
  <si>
    <t xml:space="preserve">  Accounts receivable, net</t>
  </si>
  <si>
    <t>Receivables = revenues (2026E: pro forma full-year incl. LNA) × DSO / 365.</t>
  </si>
  <si>
    <t xml:space="preserve">  Inventories, net</t>
  </si>
  <si>
    <t xml:space="preserve">  Other current assets (incl. held for sale, deferred taxes to 2015)</t>
  </si>
  <si>
    <t>Total current assets</t>
  </si>
  <si>
    <t xml:space="preserve">  Property, plant &amp; equipment, net (incl. mineral reserves)</t>
  </si>
  <si>
    <t>PP&amp;E roll-forward: prior + capex − depreciation &amp; depletion (total D&amp;A less intangible amortization) + acquired PP&amp;E (LNA $3,247m fair value; M&amp;A lever).</t>
  </si>
  <si>
    <t xml:space="preserve">  Goodwill</t>
  </si>
  <si>
    <t>2026E: + LNA preliminary goodwill $6,000m (Ex. 99.3 note 2).</t>
  </si>
  <si>
    <t xml:space="preserve">  Other intangibles, net</t>
  </si>
  <si>
    <t>Intangibles roll-forward: prior + acquired (LNA $5,900m) − amortization (LNA $365m p.a.; legacy ~$25m p.a. per FY2025 10-K schedule).</t>
  </si>
  <si>
    <t xml:space="preserve">  Operating lease right-of-use assets (2019+)</t>
  </si>
  <si>
    <t xml:space="preserve">  Other noncurrent assets (incl. noncurrent held for sale)</t>
  </si>
  <si>
    <t>TOTAL ASSETS</t>
  </si>
  <si>
    <t>LIABILITIES AND EQUITY</t>
  </si>
  <si>
    <t xml:space="preserve">  Accounts payable</t>
  </si>
  <si>
    <t xml:space="preserve">  Accrued salaries, benefits &amp; payroll taxes</t>
  </si>
  <si>
    <t xml:space="preserve">  Current maturities of long-term debt &amp; short-term facilities</t>
  </si>
  <si>
    <t>Forecast: next year's scheduled note maturities.</t>
  </si>
  <si>
    <t xml:space="preserve">  Current operating lease liabilities</t>
  </si>
  <si>
    <t xml:space="preserve">  Other current liabilities (derived; incl. accrued taxes, interest, held for sale)</t>
  </si>
  <si>
    <t>Total current liabilities</t>
  </si>
  <si>
    <t xml:space="preserve">  Long-term debt (excluding current maturities)</t>
  </si>
  <si>
    <t xml:space="preserve">  Noncurrent operating lease liabilities</t>
  </si>
  <si>
    <t xml:space="preserve">  Pension, postretirement &amp; postemployment benefits (where separate)</t>
  </si>
  <si>
    <t xml:space="preserve">  Deferred income taxes, net</t>
  </si>
  <si>
    <t>2026E: + LNA deferred tax liability $2,039m (PPA) + 2H deferred tax expense.</t>
  </si>
  <si>
    <t xml:space="preserve">  Other noncurrent liabilities (derived; incl. ARO, uncertain tax positions)</t>
  </si>
  <si>
    <t>Total liabilities</t>
  </si>
  <si>
    <t>Shareholders' equity:</t>
  </si>
  <si>
    <t xml:space="preserve">  Common stock &amp; additional paid-in capital</t>
  </si>
  <si>
    <t>+ stock-based compensation + net issuances; 2026E + LNA share consideration ($6,317m at the 30-Jun-26 price per pro forma; final value set at closing).</t>
  </si>
  <si>
    <t xml:space="preserve">  Retained earnings</t>
  </si>
  <si>
    <t>+ net earnings − dividends − share repurchases (MLM retires repurchased shares; cost charged to equity).</t>
  </si>
  <si>
    <t xml:space="preserve">  Accumulated other comprehensive income (loss)</t>
  </si>
  <si>
    <t>Total shareholders' equity</t>
  </si>
  <si>
    <t xml:space="preserve">  Noncontrolling interests</t>
  </si>
  <si>
    <t>Total equity</t>
  </si>
  <si>
    <t>TOTAL LIABILITIES AND EQUITY</t>
  </si>
  <si>
    <t>BS tie-out check (TA − TL&amp;E)</t>
  </si>
  <si>
    <t xml:space="preserve">  Check: model total assets vs reported (should be 0)</t>
  </si>
  <si>
    <t xml:space="preserve">  Memo: total assets as reported</t>
  </si>
  <si>
    <t xml:space="preserve">  Check: BS cash (+ restricted cash from 2018) vs cash-flow ending cash (should be 0)</t>
  </si>
  <si>
    <t xml:space="preserve">  Memo: common shares outstanding at period end (m)</t>
  </si>
  <si>
    <t>WORKING CAPITAL &amp; CASH CONVERSION</t>
  </si>
  <si>
    <t>WORKING CAPITAL — forecast drivers (blue = input)</t>
  </si>
  <si>
    <t xml:space="preserve">  Revenues — pro forma full-year basis (2026E incl. LNA pre-closing)</t>
  </si>
  <si>
    <t>2026E adds LNA sales for the pre-closing days so year-end working capital is sized on a full-year run-rate.</t>
  </si>
  <si>
    <t xml:space="preserve">  Cost of revenues — pro forma basis</t>
  </si>
  <si>
    <t xml:space="preserve">  DSO — receivables / revenues × 365</t>
  </si>
  <si>
    <t xml:space="preserve">  Inventory days — inventories / cost of revenues × 365</t>
  </si>
  <si>
    <t xml:space="preserve">  Payable days — payables / cost of revenues × 365</t>
  </si>
  <si>
    <t xml:space="preserve">  Accrued salaries &amp; benefits % of revenues</t>
  </si>
  <si>
    <t>Forecast inputs set at FY2025 levels (DSO 43d, inventory 92d, payables 33d, accrued 1.6%).</t>
  </si>
  <si>
    <t xml:space="preserve">  Operating NWC (receivables + inventories − payables − accrued salaries)</t>
  </si>
  <si>
    <t xml:space="preserve">  NWC % of revenues</t>
  </si>
  <si>
    <t xml:space="preserve">  ΔNWC (y/y)</t>
  </si>
  <si>
    <t>BALANCE SHEET FORECAST SCHEDULES</t>
  </si>
  <si>
    <t>BS FORECAST SCHEDULES — explicit driver assumptions</t>
  </si>
  <si>
    <t>LNA acquisition — consideration &amp; preliminary purchase-price allocation (closed 21-Aug-2026; Form 8-K 10-Aug-26 Ex. 99.3 note 2)</t>
  </si>
  <si>
    <t xml:space="preserve">  Cash consideration incl. other transaction cash consideration ($7,000m + $222m)</t>
  </si>
  <si>
    <t xml:space="preserve">  Cash acquired</t>
  </si>
  <si>
    <t xml:space="preserve">  Share consideration (10,953,543 shares × $576.70 at 30-Jun-26, pro forma basis)</t>
  </si>
  <si>
    <t xml:space="preserve">  Consideration shares issued (m)</t>
  </si>
  <si>
    <t xml:space="preserve">  Accounts receivable acquired</t>
  </si>
  <si>
    <t xml:space="preserve">  Inventories acquired (at fair value)</t>
  </si>
  <si>
    <t xml:space="preserve">  Other current assets acquired (incl. $279m advances to Lhoist affiliates)</t>
  </si>
  <si>
    <t xml:space="preserve">  Property, plant &amp; equipment (fair value)</t>
  </si>
  <si>
    <t xml:space="preserve">  Other intangible assets (customer relationships, permits, technology)</t>
  </si>
  <si>
    <t xml:space="preserve">  Other noncurrent assets (incl. ROU)</t>
  </si>
  <si>
    <t xml:space="preserve">  Accounts payable assumed</t>
  </si>
  <si>
    <t xml:space="preserve">  Accrued expenses assumed</t>
  </si>
  <si>
    <t xml:space="preserve">  Other noncurrent liabilities</t>
  </si>
  <si>
    <t xml:space="preserve">  Check: assets acquired − liabilities assumed − consideration (should be 0)</t>
  </si>
  <si>
    <t>Asset roll-forwards &amp; non-cash items</t>
  </si>
  <si>
    <t xml:space="preserve">  Amortization of legacy acquired intangibles (USDm)</t>
  </si>
  <si>
    <t>FY2025 10-K: expected amortization ~$25m p.a. for 2026–2028.</t>
  </si>
  <si>
    <t xml:space="preserve">  Deferred tax rate on LNA book-tax basis differences</t>
  </si>
  <si>
    <t>Estimated statutory rate used in the pro forma PPA (24.6%).</t>
  </si>
  <si>
    <t xml:space="preserve">  LNA capex % of sales (2026E 2H)</t>
  </si>
  <si>
    <t>LNA standalone capex: FY2025 $151m (8.6% of sales); 1H/26 $113m.</t>
  </si>
  <si>
    <t xml:space="preserve">  Dilutive securities (m shares)</t>
  </si>
  <si>
    <t xml:space="preserve">  Share-price appreciation % (buyback pricing)</t>
  </si>
  <si>
    <t>Debt schedule (scheduled note maturities + prepayable facilities to a minimum cash balance)</t>
  </si>
  <si>
    <t xml:space="preserve">  Total debt (current + long-term)</t>
  </si>
  <si>
    <t>Debt at 30-Jun-26 $5,951m: senior notes $5,296m face (3.45%/3.50% 2027, 2.50% 2030, 2.40% 2031, 5.15% 2034, 6.25% 2037, 4.25% 2047, 3.20% 2051, 5.50% 2054) + revolver $95m + trade receivable facility $560m. Aug-26: + $5.5bn notes (4.85% 2029, 5.20% 2032, 5.40% 2034, 5.625% 2036, 6.375% 2056) + $1.5bn 3-yr term loan.</t>
  </si>
  <si>
    <t xml:space="preserve">  Scheduled note maturities (input, negative)</t>
  </si>
  <si>
    <t>2027: 3.45% &amp; 3.50% notes ($794m); 2029: 4.85% notes ($750m); 2030: 2.50% notes ($474m).</t>
  </si>
  <si>
    <t xml:space="preserve">  % of scheduled maturities refinanced (input)</t>
  </si>
  <si>
    <t>100% = each maturity refinanced with new notes at the refinancing rate.</t>
  </si>
  <si>
    <t xml:space="preserve">  Refinancing issuance</t>
  </si>
  <si>
    <t xml:space="preserve">  Senior notes outstanding (face, year end)</t>
  </si>
  <si>
    <t xml:space="preserve">  New senior notes issued Aug-2026 (LNA financing)</t>
  </si>
  <si>
    <t>Form 8-K 14-Aug-2026: $750m 4.850% 2029, $1,250m 5.200% 2032, $1,000m 5.400% 2034, $1,500m 5.625% 2036, $1,000m 6.375% 2056.</t>
  </si>
  <si>
    <t xml:space="preserve">  Blended coupon on Aug-2026 notes %</t>
  </si>
  <si>
    <t xml:space="preserve">  Term loan drawn at closing (3-year, prepayable)</t>
  </si>
  <si>
    <t>Term Credit Agreement (8-K 15-Jul-2026); SOFR + ratings-based margin.</t>
  </si>
  <si>
    <t xml:space="preserve">  Term loan / facilities interest rate %</t>
  </si>
  <si>
    <t>Assumption: Term SOFR ~3.9% + ~1.1% margin.</t>
  </si>
  <si>
    <t xml:space="preserve">  Cash before prepayable facilities (opening cash + CFO + CFI + non-facility financing)</t>
  </si>
  <si>
    <t xml:space="preserve">  Minimum cash balance (incl. restricted)</t>
  </si>
  <si>
    <t xml:space="preserve">  Prepayable facilities outstanding: term loan, revolver, receivables facility (year end)</t>
  </si>
  <si>
    <t>Drawn/repaid so that cash = minimum balance; surplus cash first repays the term loan &amp; facilities (deleveraging), then accumulates.</t>
  </si>
  <si>
    <t xml:space="preserve">  Net issuance / (repayment)</t>
  </si>
  <si>
    <t xml:space="preserve">  Interest rate on senior notes (opening balance) % (historical = interest / opening total debt)</t>
  </si>
  <si>
    <t>2027E: 2026 year-end mix ≈ $5.3bn legacy notes at ~3.9% + $5.5bn new notes at 5.52% → ~4.7% incl. fees; drifts up as 2027/2030 maturities refinance at ~5.5%.</t>
  </si>
  <si>
    <t xml:space="preserve">  Interest rate on prepayable facilities %</t>
  </si>
  <si>
    <t xml:space="preserve">  Interest income yield on opening cash %</t>
  </si>
  <si>
    <t>Leverage-targeted buybacks (repurchases plug to a minimum net debt / Adjusted EBITDA)</t>
  </si>
  <si>
    <t xml:space="preserve">  Minimum net debt / Adjusted EBITDA (x) (scenario)</t>
  </si>
  <si>
    <t>MLM targets &lt; 2.5x within 24 months of the LNA closing (3.7x at closing). Buybacks resume only once leverage falls to the scenario floor.</t>
  </si>
  <si>
    <t xml:space="preserve">  Net debt before buybacks (year end)</t>
  </si>
  <si>
    <t xml:space="preserve">  Target minimum net debt = min. leverage × Adjusted EBITDA</t>
  </si>
  <si>
    <t xml:space="preserve">  Share repurchases: plug to minimum leverage</t>
  </si>
  <si>
    <t>Zero while leverage is above the floor (deleveraging after LNA); feeds the cash-flow repurchase line.</t>
  </si>
  <si>
    <t>Historical reference (driver context)</t>
  </si>
  <si>
    <t xml:space="preserve">  Total DD&amp;A % of revenues</t>
  </si>
  <si>
    <t>RATIO ANALYSIS</t>
  </si>
  <si>
    <t>RETURNS — annual columns (NOPAT on Adjusted EBIT)</t>
  </si>
  <si>
    <t>DuPont decomposition of ROIC</t>
  </si>
  <si>
    <t>Adjusted EBIT (Adjusted EBITDA − DD&amp;A)</t>
  </si>
  <si>
    <t>Effective tax rate (actual)</t>
  </si>
  <si>
    <t>NOPAT = Adjusted EBIT × (1 − tax rate)</t>
  </si>
  <si>
    <t>Invested capital (IC) = Equity + Net debt</t>
  </si>
  <si>
    <t xml:space="preserve">  Total equity incl. NCI</t>
  </si>
  <si>
    <t xml:space="preserve">  Net debt = Total debt − Cash</t>
  </si>
  <si>
    <t>ROIC = NOPAT / IC</t>
  </si>
  <si>
    <t xml:space="preserve">  Margin = Adjusted EBIT / Revenues</t>
  </si>
  <si>
    <t xml:space="preserve">  Capital turnover = Revenues / IC</t>
  </si>
  <si>
    <t xml:space="preserve">  Tax burden = (1 − effective tax rate)</t>
  </si>
  <si>
    <t xml:space="preserve">  Check: Margin × Turnover × Tax burden = ROIC</t>
  </si>
  <si>
    <t>RONTA decomposition</t>
  </si>
  <si>
    <t xml:space="preserve">  Total assets</t>
  </si>
  <si>
    <t xml:space="preserve">  − Goodwill &amp; acquired intangible assets</t>
  </si>
  <si>
    <t xml:space="preserve">  − Non-interest-bearing current liabilities (total CL excl. debt)</t>
  </si>
  <si>
    <t xml:space="preserve">  = Net tangible assets</t>
  </si>
  <si>
    <t>RONTA = NOPAT / NTA</t>
  </si>
  <si>
    <t>Return on Equity (ROE)</t>
  </si>
  <si>
    <t>Martin Marietta shareholders' equity</t>
  </si>
  <si>
    <t>ROE = Net earnings / Equity</t>
  </si>
  <si>
    <t>Leverage</t>
  </si>
  <si>
    <t>Net debt = Total debt − cash</t>
  </si>
  <si>
    <t>Adjusted EBITDA (2026E pro forma for LNA full year)</t>
  </si>
  <si>
    <t>Net debt / Adjusted EBITDA (x)</t>
  </si>
  <si>
    <t>VALUATION</t>
  </si>
  <si>
    <t>VALUATION — share price input $518.70 (latest observable on EDGAR: Form 4 grant price 31-Aug-2026; update to market)</t>
  </si>
  <si>
    <t>Share price ($) — current</t>
  </si>
  <si>
    <t>Diluted shares at period end (m)</t>
  </si>
  <si>
    <t>Market capitalisation (USDm)</t>
  </si>
  <si>
    <t>Net debt (USDm)</t>
  </si>
  <si>
    <t>Noncontrolling interests (USDm)</t>
  </si>
  <si>
    <t>Enterprise value (USDm)</t>
  </si>
  <si>
    <t>Multiples</t>
  </si>
  <si>
    <t xml:space="preserve">  EV / Revenues (2026E pro forma)</t>
  </si>
  <si>
    <t xml:space="preserve">  EV / Adjusted EBITDA (2026E pro forma)</t>
  </si>
  <si>
    <t xml:space="preserve">  EV / Adjusted EBIT</t>
  </si>
  <si>
    <t xml:space="preserve">  EV / IC</t>
  </si>
  <si>
    <t xml:space="preserve">  P / E (GAAP diluted, continuing ops)</t>
  </si>
  <si>
    <t xml:space="preserve">  P / E (adjusted EPS)</t>
  </si>
  <si>
    <t xml:space="preserve">  FCF yield</t>
  </si>
  <si>
    <t xml:space="preserve">  Dividend yield</t>
  </si>
  <si>
    <t>Martin Marietta Materials (MLM) — Bull / Base / Bear Case P&amp;L Summary</t>
  </si>
  <si>
    <t>Share price ($):</t>
  </si>
  <si>
    <t>Adjusted figures (company current definition: Adjusted EBITDA / adjusted EPS from continuing operations) · USD millions · Live panel linked to Model — toggle scenario via Model!CF2. Bull and Bear panels are value snapshots generated from the Model with the switch set to each case. 2026E includes LNA from 21-Aug-2026.</t>
  </si>
  <si>
    <t>As of:</t>
  </si>
  <si>
    <t>Scenario:</t>
  </si>
  <si>
    <t>Snapshot (values) — Model run with switch = Bull</t>
  </si>
  <si>
    <t>Snapshot (values) — Model run with switch = Bear</t>
  </si>
  <si>
    <t>(USDm, except EPS and shares)</t>
  </si>
  <si>
    <t>2025A</t>
  </si>
  <si>
    <t>25-'30 CAGR</t>
  </si>
  <si>
    <t>LT Hist Avg</t>
  </si>
  <si>
    <t>LT Hist Min</t>
  </si>
  <si>
    <t>LT Hist Max</t>
  </si>
  <si>
    <t>Revenues</t>
  </si>
  <si>
    <t xml:space="preserve">   Revenues y/y %</t>
  </si>
  <si>
    <t xml:space="preserve">   Aggregates shipments y/y %</t>
  </si>
  <si>
    <t>Adjusted EBITDA (continuing operations)</t>
  </si>
  <si>
    <t xml:space="preserve">   Adjusted EBITDA margin %</t>
  </si>
  <si>
    <t>Earnings from Operations (GAAP)</t>
  </si>
  <si>
    <t xml:space="preserve">   Earnings from operations y/y %</t>
  </si>
  <si>
    <t xml:space="preserve">   Operating margin (GAAP) %</t>
  </si>
  <si>
    <t>Adjusted Net Earnings (continuing ops, attributable to MLM)</t>
  </si>
  <si>
    <t>FDSO (m)</t>
  </si>
  <si>
    <t>Adjusted EPS — Diluted ($)</t>
  </si>
  <si>
    <t xml:space="preserve">   EPS y/y %</t>
  </si>
  <si>
    <t>P / E (x) — assumed (adjusted EPS)</t>
  </si>
  <si>
    <t>Price Target ($)</t>
  </si>
  <si>
    <t xml:space="preserve">   Upside / (Downside) vs current</t>
  </si>
  <si>
    <t>IRR (to Dec-Y-1)</t>
  </si>
  <si>
    <t>Free Cash Flow</t>
  </si>
  <si>
    <t xml:space="preserve">   FCF %</t>
  </si>
  <si>
    <t xml:space="preserve">   FCF / share ($)</t>
  </si>
  <si>
    <t xml:space="preserve">   FCF Yield (on PT)</t>
  </si>
  <si>
    <t>Adjusted EBITDA — pro forma (2026E incl. LNA full year)</t>
  </si>
  <si>
    <t xml:space="preserve">   Adjusted EBITDA (pro forma) % of revenues</t>
  </si>
  <si>
    <t>Net Debt</t>
  </si>
  <si>
    <t xml:space="preserve">   Net Debt / Adjusted EBITDA (x)</t>
  </si>
  <si>
    <t>ROIC</t>
  </si>
  <si>
    <t>RONTA</t>
  </si>
  <si>
    <t>Implied Market Cap (USDm)</t>
  </si>
  <si>
    <t>(+) Net Debt &amp; NCI</t>
  </si>
  <si>
    <t>Implied Enterprise Value (USDm)</t>
  </si>
  <si>
    <t>Implied EV / Adjusted EBITDA (x)</t>
  </si>
  <si>
    <t>DCF VALUATION — MARTIN MARIETTA MATERIALS (MLM)</t>
  </si>
  <si>
    <t>1. WACC BUILD</t>
  </si>
  <si>
    <t>Risk-free rate (US 10Y govt)</t>
  </si>
  <si>
    <t>Assumption (~US 10Y Treasury yield); update to market</t>
  </si>
  <si>
    <t>Equity risk premium</t>
  </si>
  <si>
    <t>US implied ERP ~4.5–5.5% (Damodaran)</t>
  </si>
  <si>
    <t>Levered beta</t>
  </si>
  <si>
    <t>Construction-materials peers (VMC, CRH, EXP, Knife River) ~0.9–1.1; infrastructure-weighted demand and aggregates pricing power dampen cyclicality</t>
  </si>
  <si>
    <t>Cost of equity</t>
  </si>
  <si>
    <t>Pre-tax cost of debt</t>
  </si>
  <si>
    <t>Investment grade (BBB+/Baa2); Aug-2026 LNA notes priced at 4.85%–6.375% (5.52% blended); marginal cost ~5.5%</t>
  </si>
  <si>
    <t>Tax rate</t>
  </si>
  <si>
    <t>Model 2027E+ effective tax rate</t>
  </si>
  <si>
    <t>After-tax cost of debt</t>
  </si>
  <si>
    <t>Target D/V</t>
  </si>
  <si>
    <t>Net debt ~$12.2bn at YE2026E (post-LNA) vs ~$37bn market cap ($518.70 × ~71m shares); 3.8x pro forma leverage, targeted &lt; 2.5x</t>
  </si>
  <si>
    <t>WACC</t>
  </si>
  <si>
    <t>Valuation date (live)</t>
  </si>
  <si>
    <t>Periods = (Dec-31-Year − today) / 365.25; cash flows assumed at year-end</t>
  </si>
  <si>
    <t>2. UNLEVERED FREE CASH FLOW BUILD (USDm)</t>
  </si>
  <si>
    <t>2031E</t>
  </si>
  <si>
    <t>2032E</t>
  </si>
  <si>
    <t>2033E</t>
  </si>
  <si>
    <t>2034E</t>
  </si>
  <si>
    <t>2035E</t>
  </si>
  <si>
    <t>Terminal</t>
  </si>
  <si>
    <t>CAGR 26–30E</t>
  </si>
  <si>
    <t>CAGR 26–35E</t>
  </si>
  <si>
    <t>Adjusted EBIT (Model; Adjusted EBITDA − DD&amp;A)</t>
  </si>
  <si>
    <t xml:space="preserve">   y/y %</t>
  </si>
  <si>
    <t>(−) Acquisition, divestiture &amp; integration costs (cash; added back in Adjusted EBITDA)</t>
  </si>
  <si>
    <t>× (1 − tax rate)</t>
  </si>
  <si>
    <t>NOPAT  =  (Adjusted EBIT − acquisition costs) × (1 − t)</t>
  </si>
  <si>
    <t>plus depreciation, depletion &amp; amortization (total, incl. LNA purchase accounting)</t>
  </si>
  <si>
    <t>− Capex (PP&amp;E) and acquisitions (M&amp;A lever, 2027E+)</t>
  </si>
  <si>
    <t>− Δ Working capital (CF statement)</t>
  </si>
  <si>
    <t>Unlevered FCF</t>
  </si>
  <si>
    <t>Terminal Value (Gordon Growth)</t>
  </si>
  <si>
    <t xml:space="preserve">   memo: PP&amp;E capex only (fade years carry no new acquisitions)</t>
  </si>
  <si>
    <t>Fade-period growth (2031E–35E)</t>
  </si>
  <si>
    <t>Terminal growth rate</t>
  </si>
  <si>
    <t>Discount period (years)</t>
  </si>
  <si>
    <t>Discount factor</t>
  </si>
  <si>
    <t>PV of UFCF</t>
  </si>
  <si>
    <t>MLM's Adjusted EBITDA expenses stock-based compensation; Adjusted EBIT deducts all DD&amp;A incl. ~$380m p.a. of LNA purchase-accounting D&amp;A (non-cash, added back in row 23). The LNA cash consideration (closed 21-Aug-2026) sits in YE2026E net debt, not in UFCF. Acquisition spend from the M&amp;A lever is deducted in 2027E–30E; the fade period and terminal value assume no new acquisitions. LNA intangible amortization is largely non-deductible (a deferred tax liability was recorded), so NOPAT slightly overstates the tax shield. Operating-lease costs sit inside earnings from operations.</t>
  </si>
  <si>
    <t>Implied ROIC &amp; incremental ROIC (USDm)</t>
  </si>
  <si>
    <t>NOPAT (row 22)</t>
  </si>
  <si>
    <t>Net investment  =  NOPAT − UFCF</t>
  </si>
  <si>
    <t>Opening invested capital</t>
  </si>
  <si>
    <t>Closing invested capital</t>
  </si>
  <si>
    <t>Implied ROIC  =  NOPAT / opening IC</t>
  </si>
  <si>
    <t>Reinvestment rate  =  net inv. / NOPAT</t>
  </si>
  <si>
    <t>Incremental ROIC  =  Δ NOPAT / prior-yr net inv.</t>
  </si>
  <si>
    <t>Cumulative incremental ROIC 2026E–35E</t>
  </si>
  <si>
    <t>Opening IC = Model 2025A book IC (equity + net debt) + LNA total consideration ($13.5bn cash &amp; shares), rolled forward with DCF net investment (capex + M&amp;A − D&amp;A + ΔWC). Terminal incremental ROIC = g ÷ reinvestment rate. Cumulative = (NOPAT 2035E − 2026E) / Σ net investment 2026E–34E.</t>
  </si>
  <si>
    <t>3. VALUATION SUMMARY</t>
  </si>
  <si>
    <t>Sum of PV (explicit + fade)</t>
  </si>
  <si>
    <t>PV of Terminal Value</t>
  </si>
  <si>
    <t>Enterprise Value</t>
  </si>
  <si>
    <t>Less: net debt (Model 2026E YE, post-LNA)</t>
  </si>
  <si>
    <t>Less: non-controlling interests (Model 2026E)</t>
  </si>
  <si>
    <t>Equity Value</t>
  </si>
  <si>
    <t>Diluted shares (m, Model 2026E period end incl. 10.95m LNA shares)</t>
  </si>
  <si>
    <t>Implied share price ($)</t>
  </si>
  <si>
    <t>Current share price ($)</t>
  </si>
  <si>
    <t>Implied upside / (downside)</t>
  </si>
  <si>
    <t>4. SENSITIVITY: IMPLIED PRICE ($) — WACC × Terminal Growth</t>
  </si>
  <si>
    <t>WACC step (across)</t>
  </si>
  <si>
    <t>Terminal growth step (down)</t>
  </si>
  <si>
    <t>g (down) / WACC</t>
  </si>
  <si>
    <t>5. REVERSE DCF</t>
  </si>
  <si>
    <t>To solve for the market-implied path: Data ▸ What-If Analysis ▸ Goal Seek — set C57 (implied price) to the current price (C58) by changing C32 (terminal growth) or the Model scenario levers (aggregates volume / ASP / margins, LNA growth &amp; synergies, M&amp;A spend).</t>
  </si>
  <si>
    <t>6. MAUBOUSSIN EV / NOPAT — TWO-STAGE FRAMEWORK</t>
  </si>
  <si>
    <t>EV/NOPAT  =  1/r  +  [g × (1 − r/ROIIC) / (r × (r − g))] × [1 − ((1+g)/(1+r))^N]</t>
  </si>
  <si>
    <t>Formula source: Mauboussin &amp; Rappaport, "Expectations Investing" (2021); Counterpoint Global, "What Does a Price-Earnings Multiple Mean?" (2020).</t>
  </si>
  <si>
    <t>Input</t>
  </si>
  <si>
    <t>Value</t>
  </si>
  <si>
    <t>Rationale (Martin Marietta characteristics)</t>
  </si>
  <si>
    <t>r  (Cost of capital / WACC)</t>
  </si>
  <si>
    <t>Linked from Section 1 WACC build</t>
  </si>
  <si>
    <t>g  (NOPAT growth, Stage 1)</t>
  </si>
  <si>
    <t>Model Adjusted EBIT CAGR 2026–30E: mid-single-digit aggregates pricing + low-single-digit volume, LNA synergies and deleveraging → ~9% NOPAT growth</t>
  </si>
  <si>
    <t>ROIIC  (Return on incremental invested capital)</t>
  </si>
  <si>
    <t>Aggregates pricing power on a fixed, permitted reserve base earns high returns on organic investment (capex ~8% of sales); acquired growth earns ~6–8% after tax on purchase price (LNA ~15x EBITDA incl. synergies)</t>
  </si>
  <si>
    <t>N  (Years of value creation / CAP)</t>
  </si>
  <si>
    <t>Irreplaceable permitted reserves (~70–100 years) in Sun Belt growth markets; local scale plus rail/water logistics; #1 U.S. lime producer post-LNA; disciplined SOAR 2030 capital allocation</t>
  </si>
  <si>
    <t>Calculation</t>
  </si>
  <si>
    <t>Steady-state component:  1 / r</t>
  </si>
  <si>
    <t>Value-creation factor: 1 − r / ROIIC</t>
  </si>
  <si>
    <t>Growth multiplier: g × (1 − r/ROIIC) / (r × (r − g))</t>
  </si>
  <si>
    <t>Time decay: 1 − ((1+g)/(1+r))^N</t>
  </si>
  <si>
    <t>PVGO component (growth value)</t>
  </si>
  <si>
    <t>Mauboussin EV / NOPAT (steady-state + PVGO)</t>
  </si>
  <si>
    <t>VALUATION  —  Applied to 2028E NOPAT</t>
  </si>
  <si>
    <t>USDm</t>
  </si>
  <si>
    <t>2028E Adjusted EBIT (Model)</t>
  </si>
  <si>
    <t>(−) 2028E acquisition &amp; integration costs</t>
  </si>
  <si>
    <t>Tax rate (from WACC build)</t>
  </si>
  <si>
    <t>2028E NOPAT  =  (Adj. EBIT − acquisition costs) × (1 − t)</t>
  </si>
  <si>
    <t>× Mauboussin EV/NOPAT multiple</t>
  </si>
  <si>
    <t>Implied Enterprise Value (2028E basis)</t>
  </si>
  <si>
    <t>Less: YE2027 net debt + NCI (Model)</t>
  </si>
  <si>
    <t>Implied Equity Value</t>
  </si>
  <si>
    <t>Diluted shares 2028E (m, Model)</t>
  </si>
  <si>
    <t>Implied share price 2028 ($)</t>
  </si>
  <si>
    <t>MARKET-IMPLIED EV/NOPAT TODAY</t>
  </si>
  <si>
    <t>Current market cap (spot × diluted shares)</t>
  </si>
  <si>
    <t>Plus: YE2026 net debt &amp; NCI</t>
  </si>
  <si>
    <t>Implied Enterprise Value (today)</t>
  </si>
  <si>
    <t>MLM's market-implied EV/NOPAT (on 2028E NOPAT)</t>
  </si>
  <si>
    <t>Multiple gap (Mauboussin − Market)</t>
  </si>
  <si>
    <t>Implied re-rating headroom</t>
  </si>
  <si>
    <t>Martin Marietta Materials — Historical Operating Performance (2006–2025)</t>
  </si>
  <si>
    <t>All historicals · USDm · Linked to Model. Volume / price = aggregates shipments and ASP y/y (company-reported price change where the $ ASP was not disclosed: 2007–12, 2014–15). Adjusted EBITDA as reconciled by MLM in each period (EBITDA before 2018); 2025 on the continuing-operations basis.</t>
  </si>
  <si>
    <t>Aggregates volume %</t>
  </si>
  <si>
    <t>Aggregates price (ASP) %</t>
  </si>
  <si>
    <t>Adjusted EBITDA</t>
  </si>
  <si>
    <t>Adj. EBITDA Margin %</t>
  </si>
  <si>
    <t>GAAP Op. Margin %</t>
  </si>
  <si>
    <t>Adj. EBITDA margin %</t>
  </si>
  <si>
    <t>FCF margin %</t>
  </si>
  <si>
    <t>Required discount to DCF value for target IRR (discount closes over horizon; value compounds at WACC)</t>
  </si>
  <si>
    <t>Target IRR</t>
  </si>
  <si>
    <t>Max entry price for target IRR ($) — % vs. current share price shown right</t>
  </si>
  <si>
    <t>Years for discount to close</t>
  </si>
  <si>
    <t xml:space="preserve">  Gross profit per ton y/y %</t>
  </si>
  <si>
    <t xml:space="preserve">  Δ Revenues — volume effect (Δ shipments × prior-year revenue per ton)</t>
  </si>
  <si>
    <t xml:space="preserve">  Δ Revenues — price/mix effect (total Δ revenues − volume effect)</t>
  </si>
  <si>
    <t xml:space="preserve">  Price/mix fall-through to gross profit %</t>
  </si>
  <si>
    <t xml:space="preserve">  Volume incremental gross margin %</t>
  </si>
  <si>
    <t xml:space="preserve">  Δ Gross profit (price/mix × fall-through + volume × incremental GM)</t>
  </si>
  <si>
    <t>2027E+: prior-year gross profit + Δ gross profit bridge (row 27): price/mix Δ revenues fall through at row 25 %, volume Δ revenues at row 26 incremental GM %. 2026E = sum of quarters.</t>
  </si>
  <si>
    <t>Q3/Q4-26E: margin before calibration + outlook calibration Δ (row "Outlook calibration"). 2027E+: output = gross profit ÷ revenues (AGG_GM scenario lever no longer drives aggregates GP).</t>
  </si>
  <si>
    <t>Volume effect = prior-year revenues × shipment growth; price/mix = residual, so the two sum exactly to Δ revenues.</t>
  </si>
  <si>
    <t>Input: price increases assumed to fall through 100% to gross profit (cost inflation absorbed).</t>
  </si>
  <si>
    <t>Input: incremental gross margin on volume-driven revenue growth.</t>
  </si>
  <si>
    <t xml:space="preserve">  EPS – diluted, continuing operations y/y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</si>
</sst>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#,##0.0;\(#,##0.0\);\-"/>
    <numFmt numFmtId="165" formatCode="0%;\(0%\);&quot;n/m&quot;"/>
    <numFmt numFmtId="166" formatCode="0.0%;\(0.0%\);\-"/>
    <numFmt numFmtId="167" formatCode="#,##0;\(#,##0\);\-"/>
    <numFmt numFmtId="168" formatCode="0.00;\(0.00\);\-"/>
    <numFmt numFmtId="169" formatCode="0.000\x;\(0.000&quot;x)&quot;;\-"/>
    <numFmt numFmtId="170" formatCode="0.0\x;\(0.0&quot;x)&quot;;\-"/>
    <numFmt numFmtId="171" formatCode="\+0.0%;\-0.0%"/>
    <numFmt numFmtId="172" formatCode="\+#,##0;\-#,##0"/>
    <numFmt numFmtId="173" formatCode="0.00\x;\(0.00&quot;x)&quot;;\-"/>
    <numFmt numFmtId="174" formatCode="0\d;\(0&quot;)d&quot;;\-"/>
    <numFmt numFmtId="175" formatCode="dd\-mmm\-yy"/>
    <numFmt numFmtId="176" formatCode="0%;\(0%\);\-"/>
    <numFmt numFmtId="177" formatCode="0.0\x"/>
    <numFmt numFmtId="178" formatCode="0.0%"/>
    <numFmt numFmtId="179" formatCode="0.000"/>
  </numFmts>
  <fonts count="48" x14ac:knownFonts="1">
    <font>
      <sz val="11"/>
      <color theme="1"/>
      <name val="Calibri"/>
      <family val="2"/>
      <charset val="1"/>
    </font>
    <font>
      <b/>
      <sz val="10"/>
      <color rgb="FFC00000"/>
      <name val="Calibri"/>
      <family val="2"/>
    </font>
    <font>
      <b/>
      <sz val="16"/>
      <color rgb="FF1F3864"/>
      <name val="Calibri"/>
      <family val="2"/>
    </font>
    <font>
      <b/>
      <sz val="12"/>
      <color rgb="FF0000FF"/>
      <name val="Calibri"/>
      <family val="2"/>
    </font>
    <font>
      <sz val="10"/>
      <color rgb="FF595959"/>
      <name val="Calibri"/>
      <family val="2"/>
    </font>
    <font>
      <sz val="10"/>
      <color rgb="FFC00000"/>
      <name val="Calibri"/>
      <family val="2"/>
    </font>
    <font>
      <b/>
      <sz val="12"/>
      <color rgb="FFFFFFFF"/>
      <name val="Calibri"/>
      <family val="2"/>
    </font>
    <font>
      <sz val="9"/>
      <color rgb="FF666666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0"/>
      <name val="Calibri"/>
      <family val="2"/>
    </font>
    <font>
      <b/>
      <sz val="11"/>
      <color rgb="FFFFFFFF"/>
      <name val="Calibri"/>
      <family val="2"/>
    </font>
    <font>
      <b/>
      <sz val="12"/>
      <name val="Calibri"/>
      <family val="2"/>
    </font>
    <font>
      <sz val="12"/>
      <color rgb="FF404040"/>
      <name val="Calibri"/>
      <family val="2"/>
    </font>
    <font>
      <sz val="12"/>
      <color rgb="FFA6A6A6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sz val="12"/>
      <color rgb="FF0000FF"/>
      <name val="Calibri"/>
      <family val="2"/>
    </font>
    <font>
      <b/>
      <i/>
      <sz val="12"/>
      <color rgb="FF666666"/>
      <name val="Calibri"/>
      <family val="2"/>
    </font>
    <font>
      <b/>
      <sz val="12"/>
      <color rgb="FF595959"/>
      <name val="Calibri"/>
      <family val="2"/>
    </font>
    <font>
      <b/>
      <i/>
      <sz val="11"/>
      <color rgb="FFC00000"/>
      <name val="Calibri"/>
      <family val="2"/>
    </font>
    <font>
      <b/>
      <i/>
      <sz val="10"/>
      <color rgb="FFC00000"/>
      <name val="Calibri"/>
      <family val="2"/>
    </font>
    <font>
      <sz val="10"/>
      <name val="Arial"/>
      <family val="2"/>
    </font>
    <font>
      <b/>
      <sz val="16"/>
      <color rgb="FF2F3E46"/>
      <name val="Calibri"/>
      <family val="2"/>
    </font>
    <font>
      <b/>
      <sz val="12"/>
      <color rgb="FF008000"/>
      <name val="Calibri"/>
      <family val="2"/>
    </font>
    <font>
      <b/>
      <sz val="12"/>
      <color rgb="FF2F3E46"/>
      <name val="Calibri"/>
      <family val="2"/>
    </font>
    <font>
      <b/>
      <sz val="9"/>
      <color rgb="FFFFFFFF"/>
      <name val="Calibri"/>
      <family val="2"/>
    </font>
    <font>
      <sz val="12"/>
      <color rgb="FF595959"/>
      <name val="Calibri"/>
      <family val="2"/>
    </font>
    <font>
      <sz val="12"/>
      <color rgb="FF008000"/>
      <name val="Calibri"/>
      <family val="2"/>
    </font>
    <font>
      <b/>
      <sz val="14"/>
      <name val="Calibri"/>
      <family val="2"/>
    </font>
    <font>
      <sz val="11"/>
      <color theme="1"/>
      <name val="Calibri"/>
      <family val="2"/>
      <charset val="1"/>
    </font>
    <font>
      <b/>
      <sz val="14"/>
      <color rgb="FFFFFFFF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i/>
      <sz val="11"/>
      <color theme="1"/>
      <name val="Calibri"/>
      <family val="2"/>
    </font>
    <font>
      <i/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FF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  <font>
      <sz val="11"/>
      <color rgb="FF595959"/>
      <name val="Calibri"/>
      <family val="2"/>
    </font>
    <font>
      <b/>
      <sz val="11"/>
      <name val="Calibri"/>
      <family val="2"/>
    </font>
    <font>
      <sz val="11"/>
      <color rgb="FF008000"/>
      <name val="Calibri"/>
      <family val="2"/>
    </font>
    <font>
      <b/>
      <sz val="11"/>
      <color rgb="FF0000FF"/>
      <name val="Calibri"/>
      <family val="2"/>
    </font>
    <font>
      <sz val="10"/>
      <color theme="1"/>
      <name val="Calibri"/>
      <family val="2"/>
      <charset val="1"/>
    </font>
    <font>
      <sz val="12"/>
      <color rgb="FF000000"/>
      <name val="Calibri"/>
      <family val="2"/>
    </font>
    <font>
      <sz val="12"/>
      <color rgb="FF0000FF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DE7"/>
        <bgColor rgb="FFFFF8DC"/>
      </patternFill>
    </fill>
    <fill>
      <patternFill patternType="solid">
        <fgColor rgb="FFFFFF00"/>
        <bgColor rgb="FFFFFF00"/>
      </patternFill>
    </fill>
    <fill>
      <patternFill patternType="solid">
        <fgColor rgb="FF84A98C"/>
        <bgColor rgb="FFA6A6A6"/>
      </patternFill>
    </fill>
    <fill>
      <patternFill patternType="solid">
        <fgColor rgb="FF2F3E46"/>
        <bgColor rgb="FF404040"/>
      </patternFill>
    </fill>
    <fill>
      <patternFill patternType="solid">
        <fgColor rgb="FFCAD2C5"/>
        <bgColor rgb="FFD9D9D9"/>
      </patternFill>
    </fill>
    <fill>
      <patternFill patternType="solid">
        <fgColor rgb="FF52796F"/>
        <bgColor rgb="FF666666"/>
      </patternFill>
    </fill>
    <fill>
      <patternFill patternType="solid">
        <fgColor rgb="FFE9ECEC"/>
        <bgColor rgb="FFE8EDE9"/>
      </patternFill>
    </fill>
    <fill>
      <patternFill patternType="solid">
        <fgColor rgb="FFF5F5F5"/>
        <bgColor rgb="FFF0F2F0"/>
      </patternFill>
    </fill>
    <fill>
      <patternFill patternType="solid">
        <fgColor rgb="FFE8EDE9"/>
        <bgColor rgb="FFE9ECEC"/>
      </patternFill>
    </fill>
    <fill>
      <patternFill patternType="solid">
        <fgColor rgb="FFF0F2F0"/>
        <bgColor rgb="FFF5F5F5"/>
      </patternFill>
    </fill>
    <fill>
      <patternFill patternType="solid">
        <fgColor rgb="FFFFF8DC"/>
        <bgColor rgb="FFFFFDE7"/>
      </patternFill>
    </fill>
    <fill>
      <patternFill patternType="solid">
        <fgColor rgb="FFFFFDE7"/>
        <bgColor indexed="64"/>
      </patternFill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30" fillId="0" borderId="0" applyFont="0" applyFill="0" applyBorder="0" applyAlignment="0" applyProtection="0"/>
  </cellStyleXfs>
  <cellXfs count="17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3" borderId="1" xfId="0" applyFont="1" applyFill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0" fillId="2" borderId="0" xfId="0" applyFill="1"/>
    <xf numFmtId="0" fontId="6" fillId="4" borderId="0" xfId="0" applyFont="1" applyFill="1" applyAlignment="1">
      <alignment horizontal="center"/>
    </xf>
    <xf numFmtId="0" fontId="6" fillId="5" borderId="0" xfId="0" applyFont="1" applyFill="1" applyAlignment="1">
      <alignment horizontal="left"/>
    </xf>
    <xf numFmtId="0" fontId="6" fillId="5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6" fillId="5" borderId="0" xfId="0" applyFont="1" applyFill="1"/>
    <xf numFmtId="0" fontId="8" fillId="0" borderId="0" xfId="0" applyFont="1"/>
    <xf numFmtId="0" fontId="9" fillId="6" borderId="0" xfId="0" applyFont="1" applyFill="1" applyAlignment="1">
      <alignment horizontal="center"/>
    </xf>
    <xf numFmtId="0" fontId="10" fillId="0" borderId="0" xfId="0" applyFont="1"/>
    <xf numFmtId="0" fontId="11" fillId="7" borderId="0" xfId="0" applyFont="1" applyFill="1"/>
    <xf numFmtId="0" fontId="6" fillId="7" borderId="0" xfId="0" applyFont="1" applyFill="1"/>
    <xf numFmtId="0" fontId="12" fillId="0" borderId="2" xfId="0" applyFont="1" applyBorder="1"/>
    <xf numFmtId="164" fontId="3" fillId="0" borderId="2" xfId="0" applyNumberFormat="1" applyFont="1" applyBorder="1" applyAlignment="1">
      <alignment horizontal="right"/>
    </xf>
    <xf numFmtId="164" fontId="9" fillId="2" borderId="2" xfId="0" applyNumberFormat="1" applyFont="1" applyFill="1" applyBorder="1" applyAlignment="1">
      <alignment horizontal="right"/>
    </xf>
    <xf numFmtId="0" fontId="10" fillId="2" borderId="0" xfId="0" applyFont="1" applyFill="1"/>
    <xf numFmtId="165" fontId="12" fillId="6" borderId="0" xfId="0" applyNumberFormat="1" applyFont="1" applyFill="1"/>
    <xf numFmtId="0" fontId="6" fillId="7" borderId="0" xfId="0" applyFont="1" applyFill="1" applyAlignment="1">
      <alignment horizontal="center"/>
    </xf>
    <xf numFmtId="0" fontId="13" fillId="0" borderId="0" xfId="0" applyFont="1"/>
    <xf numFmtId="166" fontId="14" fillId="0" borderId="0" xfId="0" applyNumberFormat="1" applyFont="1" applyAlignment="1">
      <alignment horizontal="right"/>
    </xf>
    <xf numFmtId="166" fontId="15" fillId="2" borderId="0" xfId="0" applyNumberFormat="1" applyFont="1" applyFill="1" applyAlignment="1">
      <alignment horizontal="right"/>
    </xf>
    <xf numFmtId="0" fontId="16" fillId="0" borderId="0" xfId="0" applyFont="1"/>
    <xf numFmtId="167" fontId="17" fillId="0" borderId="0" xfId="0" applyNumberFormat="1" applyFont="1"/>
    <xf numFmtId="168" fontId="17" fillId="0" borderId="0" xfId="0" applyNumberFormat="1" applyFont="1" applyAlignment="1">
      <alignment horizontal="right"/>
    </xf>
    <xf numFmtId="168" fontId="15" fillId="2" borderId="0" xfId="0" applyNumberFormat="1" applyFont="1" applyFill="1" applyAlignment="1">
      <alignment horizontal="right"/>
    </xf>
    <xf numFmtId="169" fontId="15" fillId="0" borderId="0" xfId="0" applyNumberFormat="1" applyFont="1" applyAlignment="1">
      <alignment horizontal="right"/>
    </xf>
    <xf numFmtId="169" fontId="15" fillId="2" borderId="0" xfId="0" applyNumberFormat="1" applyFont="1" applyFill="1" applyAlignment="1">
      <alignment horizontal="right"/>
    </xf>
    <xf numFmtId="0" fontId="0" fillId="0" borderId="2" xfId="0" applyBorder="1"/>
    <xf numFmtId="167" fontId="3" fillId="0" borderId="2" xfId="0" applyNumberFormat="1" applyFont="1" applyBorder="1" applyAlignment="1">
      <alignment horizontal="right"/>
    </xf>
    <xf numFmtId="167" fontId="9" fillId="2" borderId="2" xfId="0" applyNumberFormat="1" applyFont="1" applyFill="1" applyBorder="1" applyAlignment="1">
      <alignment horizontal="right"/>
    </xf>
    <xf numFmtId="166" fontId="15" fillId="0" borderId="0" xfId="0" applyNumberFormat="1" applyFont="1"/>
    <xf numFmtId="167" fontId="17" fillId="0" borderId="0" xfId="0" applyNumberFormat="1" applyFont="1" applyAlignment="1">
      <alignment horizontal="right"/>
    </xf>
    <xf numFmtId="167" fontId="15" fillId="2" borderId="0" xfId="0" applyNumberFormat="1" applyFont="1" applyFill="1" applyAlignment="1">
      <alignment horizontal="right"/>
    </xf>
    <xf numFmtId="166" fontId="15" fillId="0" borderId="0" xfId="0" applyNumberFormat="1" applyFont="1" applyAlignment="1">
      <alignment horizontal="right"/>
    </xf>
    <xf numFmtId="166" fontId="12" fillId="6" borderId="0" xfId="0" applyNumberFormat="1" applyFont="1" applyFill="1"/>
    <xf numFmtId="168" fontId="15" fillId="0" borderId="0" xfId="0" applyNumberFormat="1" applyFont="1" applyAlignment="1">
      <alignment horizontal="right"/>
    </xf>
    <xf numFmtId="170" fontId="17" fillId="0" borderId="0" xfId="0" applyNumberFormat="1" applyFont="1"/>
    <xf numFmtId="0" fontId="18" fillId="0" borderId="0" xfId="0" applyFont="1"/>
    <xf numFmtId="166" fontId="17" fillId="0" borderId="0" xfId="0" applyNumberFormat="1" applyFont="1" applyAlignment="1">
      <alignment horizontal="right"/>
    </xf>
    <xf numFmtId="171" fontId="3" fillId="8" borderId="0" xfId="0" applyNumberFormat="1" applyFont="1" applyFill="1" applyAlignment="1">
      <alignment horizontal="center"/>
    </xf>
    <xf numFmtId="166" fontId="17" fillId="0" borderId="0" xfId="0" applyNumberFormat="1" applyFont="1"/>
    <xf numFmtId="167" fontId="9" fillId="0" borderId="2" xfId="0" applyNumberFormat="1" applyFont="1" applyBorder="1" applyAlignment="1">
      <alignment horizontal="right"/>
    </xf>
    <xf numFmtId="167" fontId="15" fillId="0" borderId="0" xfId="0" applyNumberFormat="1" applyFont="1" applyAlignment="1">
      <alignment horizontal="right"/>
    </xf>
    <xf numFmtId="164" fontId="17" fillId="0" borderId="0" xfId="0" applyNumberFormat="1" applyFont="1" applyAlignment="1">
      <alignment horizontal="right"/>
    </xf>
    <xf numFmtId="166" fontId="3" fillId="2" borderId="0" xfId="0" applyNumberFormat="1" applyFont="1" applyFill="1" applyAlignment="1">
      <alignment horizontal="right"/>
    </xf>
    <xf numFmtId="1" fontId="3" fillId="2" borderId="0" xfId="0" applyNumberFormat="1" applyFont="1" applyFill="1" applyAlignment="1">
      <alignment horizontal="right"/>
    </xf>
    <xf numFmtId="1" fontId="15" fillId="2" borderId="0" xfId="0" applyNumberFormat="1" applyFont="1" applyFill="1" applyAlignment="1">
      <alignment horizontal="right"/>
    </xf>
    <xf numFmtId="167" fontId="3" fillId="2" borderId="0" xfId="0" applyNumberFormat="1" applyFont="1" applyFill="1" applyAlignment="1">
      <alignment horizontal="right"/>
    </xf>
    <xf numFmtId="172" fontId="3" fillId="8" borderId="0" xfId="0" applyNumberFormat="1" applyFont="1" applyFill="1" applyAlignment="1">
      <alignment horizontal="center"/>
    </xf>
    <xf numFmtId="167" fontId="15" fillId="0" borderId="0" xfId="0" applyNumberFormat="1" applyFont="1"/>
    <xf numFmtId="170" fontId="3" fillId="2" borderId="0" xfId="0" applyNumberFormat="1" applyFont="1" applyFill="1" applyAlignment="1">
      <alignment horizontal="right"/>
    </xf>
    <xf numFmtId="170" fontId="15" fillId="2" borderId="0" xfId="0" applyNumberFormat="1" applyFont="1" applyFill="1" applyAlignment="1">
      <alignment horizontal="right"/>
    </xf>
    <xf numFmtId="0" fontId="0" fillId="2" borderId="2" xfId="0" applyFill="1" applyBorder="1"/>
    <xf numFmtId="167" fontId="3" fillId="2" borderId="2" xfId="0" applyNumberFormat="1" applyFont="1" applyFill="1" applyBorder="1" applyAlignment="1">
      <alignment horizontal="right"/>
    </xf>
    <xf numFmtId="0" fontId="11" fillId="5" borderId="2" xfId="0" applyFont="1" applyFill="1" applyBorder="1"/>
    <xf numFmtId="167" fontId="9" fillId="6" borderId="2" xfId="0" applyNumberFormat="1" applyFont="1" applyFill="1" applyBorder="1" applyAlignment="1">
      <alignment horizontal="right"/>
    </xf>
    <xf numFmtId="0" fontId="19" fillId="0" borderId="0" xfId="0" applyFont="1"/>
    <xf numFmtId="167" fontId="3" fillId="6" borderId="2" xfId="0" applyNumberFormat="1" applyFont="1" applyFill="1" applyBorder="1" applyAlignment="1">
      <alignment horizontal="right"/>
    </xf>
    <xf numFmtId="164" fontId="15" fillId="2" borderId="0" xfId="0" applyNumberFormat="1" applyFont="1" applyFill="1" applyAlignment="1">
      <alignment horizontal="right"/>
    </xf>
    <xf numFmtId="168" fontId="9" fillId="6" borderId="2" xfId="0" applyNumberFormat="1" applyFont="1" applyFill="1" applyBorder="1" applyAlignment="1">
      <alignment horizontal="right"/>
    </xf>
    <xf numFmtId="168" fontId="9" fillId="0" borderId="2" xfId="0" applyNumberFormat="1" applyFont="1" applyBorder="1" applyAlignment="1">
      <alignment horizontal="right"/>
    </xf>
    <xf numFmtId="168" fontId="9" fillId="2" borderId="2" xfId="0" applyNumberFormat="1" applyFont="1" applyFill="1" applyBorder="1" applyAlignment="1">
      <alignment horizontal="right"/>
    </xf>
    <xf numFmtId="0" fontId="20" fillId="0" borderId="0" xfId="0" applyFont="1"/>
    <xf numFmtId="0" fontId="21" fillId="0" borderId="0" xfId="0" applyFont="1"/>
    <xf numFmtId="164" fontId="15" fillId="0" borderId="0" xfId="0" applyNumberFormat="1" applyFont="1" applyAlignment="1">
      <alignment horizontal="right"/>
    </xf>
    <xf numFmtId="0" fontId="0" fillId="6" borderId="2" xfId="0" applyFill="1" applyBorder="1"/>
    <xf numFmtId="173" fontId="15" fillId="0" borderId="0" xfId="0" applyNumberFormat="1" applyFont="1" applyAlignment="1">
      <alignment horizontal="right"/>
    </xf>
    <xf numFmtId="173" fontId="15" fillId="2" borderId="0" xfId="0" applyNumberFormat="1" applyFont="1" applyFill="1" applyAlignment="1">
      <alignment horizontal="right"/>
    </xf>
    <xf numFmtId="164" fontId="3" fillId="2" borderId="0" xfId="0" applyNumberFormat="1" applyFont="1" applyFill="1" applyAlignment="1">
      <alignment horizontal="right"/>
    </xf>
    <xf numFmtId="174" fontId="15" fillId="0" borderId="0" xfId="0" applyNumberFormat="1" applyFont="1" applyAlignment="1">
      <alignment horizontal="right"/>
    </xf>
    <xf numFmtId="174" fontId="3" fillId="2" borderId="0" xfId="0" applyNumberFormat="1" applyFont="1" applyFill="1" applyAlignment="1">
      <alignment horizontal="right"/>
    </xf>
    <xf numFmtId="0" fontId="13" fillId="8" borderId="0" xfId="0" applyFont="1" applyFill="1"/>
    <xf numFmtId="166" fontId="9" fillId="6" borderId="2" xfId="0" applyNumberFormat="1" applyFont="1" applyFill="1" applyBorder="1" applyAlignment="1">
      <alignment horizontal="right"/>
    </xf>
    <xf numFmtId="173" fontId="9" fillId="6" borderId="2" xfId="0" applyNumberFormat="1" applyFont="1" applyFill="1" applyBorder="1" applyAlignment="1">
      <alignment horizontal="right"/>
    </xf>
    <xf numFmtId="168" fontId="3" fillId="2" borderId="0" xfId="0" applyNumberFormat="1" applyFont="1" applyFill="1" applyAlignment="1">
      <alignment horizontal="right"/>
    </xf>
    <xf numFmtId="0" fontId="23" fillId="0" borderId="0" xfId="0" applyFont="1"/>
    <xf numFmtId="4" fontId="24" fillId="2" borderId="0" xfId="0" applyNumberFormat="1" applyFont="1" applyFill="1"/>
    <xf numFmtId="175" fontId="0" fillId="0" borderId="0" xfId="0" applyNumberFormat="1"/>
    <xf numFmtId="0" fontId="25" fillId="6" borderId="0" xfId="0" applyFont="1" applyFill="1"/>
    <xf numFmtId="0" fontId="12" fillId="0" borderId="0" xfId="0" applyFont="1"/>
    <xf numFmtId="0" fontId="24" fillId="3" borderId="0" xfId="0" applyFont="1" applyFill="1"/>
    <xf numFmtId="0" fontId="26" fillId="5" borderId="0" xfId="0" applyFont="1" applyFill="1"/>
    <xf numFmtId="0" fontId="25" fillId="0" borderId="0" xfId="0" applyFont="1"/>
    <xf numFmtId="167" fontId="24" fillId="9" borderId="0" xfId="0" applyNumberFormat="1" applyFont="1" applyFill="1"/>
    <xf numFmtId="167" fontId="24" fillId="2" borderId="0" xfId="0" applyNumberFormat="1" applyFont="1" applyFill="1"/>
    <xf numFmtId="176" fontId="12" fillId="10" borderId="0" xfId="0" applyNumberFormat="1" applyFont="1" applyFill="1"/>
    <xf numFmtId="0" fontId="27" fillId="0" borderId="0" xfId="0" applyFont="1"/>
    <xf numFmtId="176" fontId="27" fillId="9" borderId="0" xfId="0" applyNumberFormat="1" applyFont="1" applyFill="1"/>
    <xf numFmtId="176" fontId="27" fillId="2" borderId="0" xfId="0" applyNumberFormat="1" applyFont="1" applyFill="1"/>
    <xf numFmtId="166" fontId="24" fillId="9" borderId="0" xfId="0" applyNumberFormat="1" applyFont="1" applyFill="1"/>
    <xf numFmtId="166" fontId="24" fillId="2" borderId="0" xfId="0" applyNumberFormat="1" applyFont="1" applyFill="1"/>
    <xf numFmtId="166" fontId="27" fillId="9" borderId="0" xfId="0" applyNumberFormat="1" applyFont="1" applyFill="1"/>
    <xf numFmtId="166" fontId="27" fillId="2" borderId="0" xfId="0" applyNumberFormat="1" applyFont="1" applyFill="1"/>
    <xf numFmtId="166" fontId="27" fillId="11" borderId="0" xfId="0" applyNumberFormat="1" applyFont="1" applyFill="1"/>
    <xf numFmtId="164" fontId="24" fillId="9" borderId="0" xfId="0" applyNumberFormat="1" applyFont="1" applyFill="1"/>
    <xf numFmtId="164" fontId="24" fillId="2" borderId="0" xfId="0" applyNumberFormat="1" applyFont="1" applyFill="1"/>
    <xf numFmtId="168" fontId="24" fillId="9" borderId="0" xfId="0" applyNumberFormat="1" applyFont="1" applyFill="1"/>
    <xf numFmtId="168" fontId="24" fillId="2" borderId="0" xfId="0" applyNumberFormat="1" applyFont="1" applyFill="1"/>
    <xf numFmtId="177" fontId="3" fillId="12" borderId="0" xfId="0" applyNumberFormat="1" applyFont="1" applyFill="1"/>
    <xf numFmtId="167" fontId="6" fillId="5" borderId="0" xfId="0" applyNumberFormat="1" applyFont="1" applyFill="1"/>
    <xf numFmtId="176" fontId="27" fillId="0" borderId="0" xfId="0" applyNumberFormat="1" applyFont="1"/>
    <xf numFmtId="176" fontId="25" fillId="6" borderId="0" xfId="0" applyNumberFormat="1" applyFont="1" applyFill="1"/>
    <xf numFmtId="168" fontId="27" fillId="9" borderId="0" xfId="0" applyNumberFormat="1" applyFont="1" applyFill="1"/>
    <xf numFmtId="168" fontId="27" fillId="2" borderId="0" xfId="0" applyNumberFormat="1" applyFont="1" applyFill="1"/>
    <xf numFmtId="166" fontId="27" fillId="0" borderId="0" xfId="0" applyNumberFormat="1" applyFont="1"/>
    <xf numFmtId="173" fontId="27" fillId="9" borderId="0" xfId="0" applyNumberFormat="1" applyFont="1" applyFill="1"/>
    <xf numFmtId="173" fontId="27" fillId="2" borderId="0" xfId="0" applyNumberFormat="1" applyFont="1" applyFill="1"/>
    <xf numFmtId="167" fontId="27" fillId="0" borderId="0" xfId="0" applyNumberFormat="1" applyFont="1"/>
    <xf numFmtId="173" fontId="27" fillId="0" borderId="0" xfId="0" applyNumberFormat="1" applyFont="1"/>
    <xf numFmtId="167" fontId="28" fillId="0" borderId="0" xfId="0" applyNumberFormat="1" applyFont="1"/>
    <xf numFmtId="0" fontId="29" fillId="0" borderId="0" xfId="0" applyFont="1"/>
    <xf numFmtId="166" fontId="28" fillId="0" borderId="0" xfId="0" applyNumberFormat="1" applyFont="1"/>
    <xf numFmtId="0" fontId="31" fillId="5" borderId="0" xfId="0" applyFont="1" applyFill="1"/>
    <xf numFmtId="0" fontId="32" fillId="0" borderId="0" xfId="0" applyFont="1"/>
    <xf numFmtId="175" fontId="32" fillId="0" borderId="0" xfId="0" applyNumberFormat="1" applyFont="1"/>
    <xf numFmtId="167" fontId="32" fillId="0" borderId="0" xfId="0" applyNumberFormat="1" applyFont="1"/>
    <xf numFmtId="166" fontId="33" fillId="0" borderId="0" xfId="0" applyNumberFormat="1" applyFont="1"/>
    <xf numFmtId="0" fontId="34" fillId="0" borderId="0" xfId="0" applyFont="1"/>
    <xf numFmtId="166" fontId="35" fillId="0" borderId="0" xfId="0" applyNumberFormat="1" applyFont="1"/>
    <xf numFmtId="178" fontId="32" fillId="0" borderId="0" xfId="0" applyNumberFormat="1" applyFont="1"/>
    <xf numFmtId="2" fontId="32" fillId="0" borderId="0" xfId="0" applyNumberFormat="1" applyFont="1"/>
    <xf numFmtId="179" fontId="32" fillId="0" borderId="0" xfId="0" applyNumberFormat="1" applyFont="1"/>
    <xf numFmtId="167" fontId="33" fillId="0" borderId="0" xfId="0" applyNumberFormat="1" applyFont="1"/>
    <xf numFmtId="0" fontId="36" fillId="0" borderId="0" xfId="0" applyFont="1"/>
    <xf numFmtId="166" fontId="36" fillId="0" borderId="0" xfId="0" applyNumberFormat="1" applyFont="1"/>
    <xf numFmtId="166" fontId="37" fillId="0" borderId="0" xfId="0" applyNumberFormat="1" applyFont="1"/>
    <xf numFmtId="166" fontId="32" fillId="0" borderId="0" xfId="0" applyNumberFormat="1" applyFont="1"/>
    <xf numFmtId="164" fontId="32" fillId="0" borderId="0" xfId="0" applyNumberFormat="1" applyFont="1"/>
    <xf numFmtId="4" fontId="32" fillId="0" borderId="0" xfId="0" applyNumberFormat="1" applyFont="1"/>
    <xf numFmtId="178" fontId="38" fillId="0" borderId="0" xfId="0" applyNumberFormat="1" applyFont="1"/>
    <xf numFmtId="3" fontId="32" fillId="0" borderId="0" xfId="0" applyNumberFormat="1" applyFont="1"/>
    <xf numFmtId="3" fontId="32" fillId="3" borderId="0" xfId="0" applyNumberFormat="1" applyFont="1" applyFill="1"/>
    <xf numFmtId="177" fontId="32" fillId="0" borderId="0" xfId="0" applyNumberFormat="1" applyFont="1"/>
    <xf numFmtId="0" fontId="39" fillId="5" borderId="0" xfId="0" applyFont="1" applyFill="1"/>
    <xf numFmtId="0" fontId="39" fillId="7" borderId="0" xfId="0" applyFont="1" applyFill="1"/>
    <xf numFmtId="0" fontId="40" fillId="0" borderId="0" xfId="0" applyFont="1"/>
    <xf numFmtId="10" fontId="38" fillId="2" borderId="0" xfId="0" applyNumberFormat="1" applyFont="1" applyFill="1"/>
    <xf numFmtId="0" fontId="41" fillId="0" borderId="0" xfId="0" applyFont="1"/>
    <xf numFmtId="2" fontId="38" fillId="2" borderId="0" xfId="0" applyNumberFormat="1" applyFont="1" applyFill="1"/>
    <xf numFmtId="10" fontId="40" fillId="0" borderId="0" xfId="0" applyNumberFormat="1" applyFont="1"/>
    <xf numFmtId="0" fontId="42" fillId="0" borderId="0" xfId="0" applyFont="1"/>
    <xf numFmtId="10" fontId="42" fillId="6" borderId="0" xfId="0" applyNumberFormat="1" applyFont="1" applyFill="1"/>
    <xf numFmtId="167" fontId="43" fillId="0" borderId="0" xfId="0" applyNumberFormat="1" applyFont="1"/>
    <xf numFmtId="0" fontId="42" fillId="6" borderId="0" xfId="0" applyFont="1" applyFill="1"/>
    <xf numFmtId="167" fontId="42" fillId="6" borderId="0" xfId="0" applyNumberFormat="1" applyFont="1" applyFill="1"/>
    <xf numFmtId="178" fontId="38" fillId="2" borderId="0" xfId="0" applyNumberFormat="1" applyFont="1" applyFill="1"/>
    <xf numFmtId="178" fontId="33" fillId="2" borderId="0" xfId="0" applyNumberFormat="1" applyFont="1" applyFill="1"/>
    <xf numFmtId="178" fontId="44" fillId="3" borderId="0" xfId="0" applyNumberFormat="1" applyFont="1" applyFill="1"/>
    <xf numFmtId="0" fontId="39" fillId="5" borderId="0" xfId="0" applyFont="1" applyFill="1" applyAlignment="1">
      <alignment horizontal="right"/>
    </xf>
    <xf numFmtId="4" fontId="39" fillId="5" borderId="0" xfId="0" applyNumberFormat="1" applyFont="1" applyFill="1"/>
    <xf numFmtId="178" fontId="37" fillId="0" borderId="0" xfId="0" applyNumberFormat="1" applyFont="1"/>
    <xf numFmtId="10" fontId="33" fillId="0" borderId="0" xfId="0" applyNumberFormat="1" applyFont="1"/>
    <xf numFmtId="1" fontId="38" fillId="2" borderId="0" xfId="0" applyNumberFormat="1" applyFont="1" applyFill="1"/>
    <xf numFmtId="177" fontId="39" fillId="5" borderId="0" xfId="0" applyNumberFormat="1" applyFont="1" applyFill="1"/>
    <xf numFmtId="0" fontId="33" fillId="0" borderId="0" xfId="0" applyFont="1" applyAlignment="1">
      <alignment horizontal="right"/>
    </xf>
    <xf numFmtId="178" fontId="38" fillId="13" borderId="0" xfId="0" applyNumberFormat="1" applyFont="1" applyFill="1"/>
    <xf numFmtId="4" fontId="37" fillId="0" borderId="0" xfId="0" applyNumberFormat="1" applyFont="1"/>
    <xf numFmtId="1" fontId="38" fillId="13" borderId="0" xfId="0" applyNumberFormat="1" applyFont="1" applyFill="1"/>
    <xf numFmtId="0" fontId="45" fillId="2" borderId="0" xfId="0" applyFont="1" applyFill="1"/>
    <xf numFmtId="0" fontId="16" fillId="0" borderId="3" xfId="0" applyFont="1" applyBorder="1"/>
    <xf numFmtId="168" fontId="15" fillId="0" borderId="3" xfId="0" applyNumberFormat="1" applyFont="1" applyBorder="1" applyAlignment="1">
      <alignment horizontal="right"/>
    </xf>
    <xf numFmtId="168" fontId="15" fillId="2" borderId="3" xfId="0" applyNumberFormat="1" applyFont="1" applyFill="1" applyBorder="1" applyAlignment="1">
      <alignment horizontal="right"/>
    </xf>
    <xf numFmtId="166" fontId="47" fillId="2" borderId="0" xfId="0" applyNumberFormat="1" applyFont="1" applyFill="1" applyAlignment="1">
      <alignment horizontal="right"/>
    </xf>
    <xf numFmtId="167" fontId="46" fillId="2" borderId="0" xfId="0" applyNumberFormat="1" applyFont="1" applyFill="1" applyAlignment="1">
      <alignment horizontal="right"/>
    </xf>
    <xf numFmtId="166" fontId="46" fillId="2" borderId="0" xfId="0" applyNumberFormat="1" applyFont="1" applyFill="1" applyAlignment="1">
      <alignment horizontal="right"/>
    </xf>
    <xf numFmtId="9" fontId="33" fillId="0" borderId="0" xfId="1" applyFont="1" applyAlignment="1">
      <alignment horizontal="left"/>
    </xf>
    <xf numFmtId="0" fontId="11" fillId="5" borderId="0" xfId="0" applyFont="1" applyFill="1" applyAlignment="1">
      <alignment horizontal="center" vertical="center" wrapText="1"/>
    </xf>
    <xf numFmtId="0" fontId="11" fillId="7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shrinkToFi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AD2C5"/>
      <rgbColor rgb="FF878787"/>
      <rgbColor rgb="FF84A98C"/>
      <rgbColor rgb="FF595959"/>
      <rgbColor rgb="FFFFF8DC"/>
      <rgbColor rgb="FFE8EDE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ECEC"/>
      <rgbColor rgb="FFF0F2F0"/>
      <rgbColor rgb="FFFFFDE7"/>
      <rgbColor rgb="FFA8C5D6"/>
      <rgbColor rgb="FFFF99CC"/>
      <rgbColor rgb="FFCC99FF"/>
      <rgbColor rgb="FFF5F5F5"/>
      <rgbColor rgb="FF3366FF"/>
      <rgbColor rgb="FF33CCCC"/>
      <rgbColor rgb="FF99CC00"/>
      <rgbColor rgb="FFFFCC00"/>
      <rgbColor rgb="FFFF9900"/>
      <rgbColor rgb="FFC8553D"/>
      <rgbColor rgb="FF666666"/>
      <rgbColor rgb="FFA6A6A6"/>
      <rgbColor rgb="FF1F3864"/>
      <rgbColor rgb="FF52796F"/>
      <rgbColor rgb="FF003300"/>
      <rgbColor rgb="FF404040"/>
      <rgbColor rgb="FF993300"/>
      <rgbColor rgb="FF993366"/>
      <rgbColor rgb="FF1F4E79"/>
      <rgbColor rgb="FF2F3E4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Aggregates Revenue Drivers: Shipment Volume vs. Price (ASP), y/y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Charts!$B$8</c:f>
              <c:strCache>
                <c:ptCount val="1"/>
                <c:pt idx="0">
                  <c:v>Aggregates volume %</c:v>
                </c:pt>
              </c:strCache>
            </c:strRef>
          </c:tx>
          <c:spPr>
            <a:solidFill>
              <a:srgbClr val="2F3E4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Charts!$C$8:$V$8</c:f>
              <c:numCache>
                <c:formatCode>0.0%;\(0.0%\);\-</c:formatCode>
                <c:ptCount val="20"/>
                <c:pt idx="0">
                  <c:v>0</c:v>
                </c:pt>
                <c:pt idx="1">
                  <c:v>-8.1434832989067507E-2</c:v>
                </c:pt>
                <c:pt idx="2">
                  <c:v>-0.12598861380165205</c:v>
                </c:pt>
                <c:pt idx="3">
                  <c:v>-0.22562203884409027</c:v>
                </c:pt>
                <c:pt idx="4">
                  <c:v>5.353279146846468E-2</c:v>
                </c:pt>
                <c:pt idx="5">
                  <c:v>-3.7944110701731537E-2</c:v>
                </c:pt>
                <c:pt idx="6">
                  <c:v>2.6040583974287212E-2</c:v>
                </c:pt>
                <c:pt idx="7">
                  <c:v>7.9481964607142075E-4</c:v>
                </c:pt>
                <c:pt idx="8">
                  <c:v>0.13716879618166677</c:v>
                </c:pt>
                <c:pt idx="9">
                  <c:v>7.1016775077028305E-2</c:v>
                </c:pt>
                <c:pt idx="10">
                  <c:v>1.4090089629336111E-2</c:v>
                </c:pt>
                <c:pt idx="11">
                  <c:v>-5.8502389267837129E-3</c:v>
                </c:pt>
                <c:pt idx="12">
                  <c:v>8.3311139012542945E-2</c:v>
                </c:pt>
                <c:pt idx="13">
                  <c:v>0.11876887775410339</c:v>
                </c:pt>
                <c:pt idx="14">
                  <c:v>-2.420392829860929E-2</c:v>
                </c:pt>
                <c:pt idx="15">
                  <c:v>7.8820375335120652E-2</c:v>
                </c:pt>
                <c:pt idx="16">
                  <c:v>3.2306163021868839E-2</c:v>
                </c:pt>
                <c:pt idx="17">
                  <c:v>-4.2850264805007088E-2</c:v>
                </c:pt>
                <c:pt idx="18">
                  <c:v>-3.8732394366197243E-2</c:v>
                </c:pt>
                <c:pt idx="19">
                  <c:v>3.8723181580324395E-2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49-44E0-9EFD-670A32200F47}"/>
            </c:ext>
          </c:extLst>
        </c:ser>
        <c:ser>
          <c:idx val="1"/>
          <c:order val="1"/>
          <c:tx>
            <c:strRef>
              <c:f>Charts!$B$9</c:f>
              <c:strCache>
                <c:ptCount val="1"/>
                <c:pt idx="0">
                  <c:v>Aggregates price (ASP) %</c:v>
                </c:pt>
              </c:strCache>
            </c:strRef>
          </c:tx>
          <c:spPr>
            <a:solidFill>
              <a:srgbClr val="84A98C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Charts!$C$9:$V$9</c:f>
              <c:numCache>
                <c:formatCode>0.0%;\(0.0%\);\-</c:formatCode>
                <c:ptCount val="20"/>
                <c:pt idx="0">
                  <c:v>0</c:v>
                </c:pt>
                <c:pt idx="1">
                  <c:v>0.104</c:v>
                </c:pt>
                <c:pt idx="2">
                  <c:v>6.9000000000000006E-2</c:v>
                </c:pt>
                <c:pt idx="3">
                  <c:v>2.1000000000000001E-2</c:v>
                </c:pt>
                <c:pt idx="4">
                  <c:v>-3.4000000000000002E-2</c:v>
                </c:pt>
                <c:pt idx="5">
                  <c:v>2.7E-2</c:v>
                </c:pt>
                <c:pt idx="6">
                  <c:v>8.0000000000000002E-3</c:v>
                </c:pt>
                <c:pt idx="7">
                  <c:v>2.9041626331074655E-2</c:v>
                </c:pt>
                <c:pt idx="8">
                  <c:v>4.4999999999999998E-2</c:v>
                </c:pt>
                <c:pt idx="9">
                  <c:v>0.08</c:v>
                </c:pt>
                <c:pt idx="10">
                  <c:v>7.2999999999999995E-2</c:v>
                </c:pt>
                <c:pt idx="11">
                  <c:v>4.5031055900621064E-2</c:v>
                </c:pt>
                <c:pt idx="12">
                  <c:v>1.857355126300142E-2</c:v>
                </c:pt>
                <c:pt idx="13">
                  <c:v>4.5222465353756292E-2</c:v>
                </c:pt>
                <c:pt idx="14">
                  <c:v>3.0704815073272718E-2</c:v>
                </c:pt>
                <c:pt idx="15">
                  <c:v>2.0988490182803021E-2</c:v>
                </c:pt>
                <c:pt idx="16">
                  <c:v>0.10610079575596809</c:v>
                </c:pt>
                <c:pt idx="17">
                  <c:v>0.18944844124700233</c:v>
                </c:pt>
                <c:pt idx="18">
                  <c:v>9.879032258064524E-2</c:v>
                </c:pt>
                <c:pt idx="19">
                  <c:v>6.8807339449541205E-2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49-44E0-9EFD-670A32200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044735"/>
        <c:axId val="65342648"/>
      </c:barChart>
      <c:catAx>
        <c:axId val="2004473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342648"/>
        <c:crosses val="autoZero"/>
        <c:auto val="1"/>
        <c:lblAlgn val="ctr"/>
        <c:lblOffset val="100"/>
        <c:noMultiLvlLbl val="0"/>
      </c:catAx>
      <c:valAx>
        <c:axId val="653426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04473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Adjusted EBITDA &amp; Earnings from Operations (USDm)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Charts!$B$12</c:f>
              <c:strCache>
                <c:ptCount val="1"/>
                <c:pt idx="0">
                  <c:v>Adjusted EBITDA</c:v>
                </c:pt>
              </c:strCache>
            </c:strRef>
          </c:tx>
          <c:spPr>
            <a:solidFill>
              <a:srgbClr val="A8C5D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Charts!$C$12:$V$12</c:f>
              <c:numCache>
                <c:formatCode>#,##0;\(#,##0\);\-</c:formatCode>
                <c:ptCount val="20"/>
                <c:pt idx="0">
                  <c:v>535</c:v>
                </c:pt>
                <c:pt idx="1">
                  <c:v>590.59999999999991</c:v>
                </c:pt>
                <c:pt idx="2">
                  <c:v>497.69999999999987</c:v>
                </c:pt>
                <c:pt idx="3">
                  <c:v>364.1</c:v>
                </c:pt>
                <c:pt idx="4">
                  <c:v>374.70000000000005</c:v>
                </c:pt>
                <c:pt idx="5">
                  <c:v>335.9</c:v>
                </c:pt>
                <c:pt idx="6">
                  <c:v>329.9</c:v>
                </c:pt>
                <c:pt idx="7">
                  <c:v>390.20000000000005</c:v>
                </c:pt>
                <c:pt idx="8">
                  <c:v>537.00000000000023</c:v>
                </c:pt>
                <c:pt idx="9">
                  <c:v>766.69999999999982</c:v>
                </c:pt>
                <c:pt idx="10">
                  <c:v>971.5999999999998</c:v>
                </c:pt>
                <c:pt idx="11">
                  <c:v>1004.4000000000001</c:v>
                </c:pt>
                <c:pt idx="12">
                  <c:v>1103.7650000000001</c:v>
                </c:pt>
                <c:pt idx="13">
                  <c:v>1254.549</c:v>
                </c:pt>
                <c:pt idx="14">
                  <c:v>1392.7999999999997</c:v>
                </c:pt>
                <c:pt idx="15">
                  <c:v>1528.5000000000002</c:v>
                </c:pt>
                <c:pt idx="16">
                  <c:v>1600.3000000000004</c:v>
                </c:pt>
                <c:pt idx="17">
                  <c:v>2127.6999999999994</c:v>
                </c:pt>
                <c:pt idx="18">
                  <c:v>2066</c:v>
                </c:pt>
                <c:pt idx="19">
                  <c:v>2065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F1-4400-9151-F0905619F4D5}"/>
            </c:ext>
          </c:extLst>
        </c:ser>
        <c:ser>
          <c:idx val="1"/>
          <c:order val="1"/>
          <c:tx>
            <c:strRef>
              <c:f>Charts!$B$13</c:f>
              <c:strCache>
                <c:ptCount val="1"/>
                <c:pt idx="0">
                  <c:v>Earnings from Operations (GAAP)</c:v>
                </c:pt>
              </c:strCache>
            </c:strRef>
          </c:tx>
          <c:spPr>
            <a:solidFill>
              <a:srgbClr val="1F4E7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Charts!$C$13:$V$13</c:f>
              <c:numCache>
                <c:formatCode>#,##0;\(#,##0\);\-</c:formatCode>
                <c:ptCount val="20"/>
                <c:pt idx="0">
                  <c:v>388</c:v>
                </c:pt>
                <c:pt idx="1">
                  <c:v>433</c:v>
                </c:pt>
                <c:pt idx="2">
                  <c:v>323.2999999999999</c:v>
                </c:pt>
                <c:pt idx="3">
                  <c:v>187.5999999999998</c:v>
                </c:pt>
                <c:pt idx="4">
                  <c:v>196.4</c:v>
                </c:pt>
                <c:pt idx="5">
                  <c:v>161</c:v>
                </c:pt>
                <c:pt idx="6">
                  <c:v>154.99999999999986</c:v>
                </c:pt>
                <c:pt idx="7">
                  <c:v>218.00000000000003</c:v>
                </c:pt>
                <c:pt idx="8">
                  <c:v>314.90000000000015</c:v>
                </c:pt>
                <c:pt idx="9">
                  <c:v>479.39999999999975</c:v>
                </c:pt>
                <c:pt idx="10">
                  <c:v>667.3</c:v>
                </c:pt>
                <c:pt idx="11">
                  <c:v>700.40000000000009</c:v>
                </c:pt>
                <c:pt idx="12">
                  <c:v>690.73700000000019</c:v>
                </c:pt>
                <c:pt idx="13">
                  <c:v>884.9340000000002</c:v>
                </c:pt>
                <c:pt idx="14">
                  <c:v>1005.3999999999997</c:v>
                </c:pt>
                <c:pt idx="15">
                  <c:v>973.80000000000007</c:v>
                </c:pt>
                <c:pt idx="16">
                  <c:v>1206.7</c:v>
                </c:pt>
                <c:pt idx="17">
                  <c:v>1595.9999999999995</c:v>
                </c:pt>
                <c:pt idx="18">
                  <c:v>2707</c:v>
                </c:pt>
                <c:pt idx="19">
                  <c:v>1437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F1-4400-9151-F0905619F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608424"/>
        <c:axId val="81960370"/>
      </c:barChart>
      <c:lineChart>
        <c:grouping val="standard"/>
        <c:varyColors val="0"/>
        <c:ser>
          <c:idx val="2"/>
          <c:order val="2"/>
          <c:tx>
            <c:strRef>
              <c:f>Charts!$B$14</c:f>
              <c:strCache>
                <c:ptCount val="1"/>
                <c:pt idx="0">
                  <c:v>Adj. EBITDA Margin %</c:v>
                </c:pt>
              </c:strCache>
            </c:strRef>
          </c:tx>
          <c:spPr>
            <a:ln w="28440">
              <a:solidFill>
                <a:srgbClr val="2F3E4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Charts!$C$14:$V$14</c:f>
              <c:numCache>
                <c:formatCode>0.0%;\(0.0%\);\-</c:formatCode>
                <c:ptCount val="20"/>
                <c:pt idx="0">
                  <c:v>0.24247643219724438</c:v>
                </c:pt>
                <c:pt idx="1">
                  <c:v>0.26759095645870146</c:v>
                </c:pt>
                <c:pt idx="2">
                  <c:v>0.2347530776850148</c:v>
                </c:pt>
                <c:pt idx="3">
                  <c:v>0.21384940678961592</c:v>
                </c:pt>
                <c:pt idx="4">
                  <c:v>0.21016321723035505</c:v>
                </c:pt>
                <c:pt idx="5">
                  <c:v>0.19598576346344593</c:v>
                </c:pt>
                <c:pt idx="6">
                  <c:v>0.16190616411464467</c:v>
                </c:pt>
                <c:pt idx="7">
                  <c:v>0.18102528415680819</c:v>
                </c:pt>
                <c:pt idx="8">
                  <c:v>0.18154158215010149</c:v>
                </c:pt>
                <c:pt idx="9">
                  <c:v>0.21660639620296074</c:v>
                </c:pt>
                <c:pt idx="10">
                  <c:v>0.25442547397088083</c:v>
                </c:pt>
                <c:pt idx="11">
                  <c:v>0.25327819245511402</c:v>
                </c:pt>
                <c:pt idx="12">
                  <c:v>0.26006034024736913</c:v>
                </c:pt>
                <c:pt idx="13">
                  <c:v>0.26472316039887761</c:v>
                </c:pt>
                <c:pt idx="14">
                  <c:v>0.29446711346962934</c:v>
                </c:pt>
                <c:pt idx="15">
                  <c:v>0.282323605467307</c:v>
                </c:pt>
                <c:pt idx="16">
                  <c:v>0.25975944292044745</c:v>
                </c:pt>
                <c:pt idx="17">
                  <c:v>0.31394971374608976</c:v>
                </c:pt>
                <c:pt idx="18">
                  <c:v>0.31609547123623011</c:v>
                </c:pt>
                <c:pt idx="19">
                  <c:v>0.33577235772357722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0F1-4400-9151-F0905619F4D5}"/>
            </c:ext>
          </c:extLst>
        </c:ser>
        <c:ser>
          <c:idx val="3"/>
          <c:order val="3"/>
          <c:tx>
            <c:strRef>
              <c:f>Charts!$B$15</c:f>
              <c:strCache>
                <c:ptCount val="1"/>
                <c:pt idx="0">
                  <c:v>GAAP Op. Margin %</c:v>
                </c:pt>
              </c:strCache>
            </c:strRef>
          </c:tx>
          <c:spPr>
            <a:ln w="28440">
              <a:solidFill>
                <a:srgbClr val="C8553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Charts!$C$15:$V$15</c:f>
              <c:numCache>
                <c:formatCode>0.0%;\(0.0%\);\-</c:formatCode>
                <c:ptCount val="20"/>
                <c:pt idx="0">
                  <c:v>0.17585206671501086</c:v>
                </c:pt>
                <c:pt idx="1">
                  <c:v>0.19618503919169952</c:v>
                </c:pt>
                <c:pt idx="2">
                  <c:v>0.15249280694306869</c:v>
                </c:pt>
                <c:pt idx="3">
                  <c:v>0.11018442382238917</c:v>
                </c:pt>
                <c:pt idx="4">
                  <c:v>0.11015760839082393</c:v>
                </c:pt>
                <c:pt idx="5">
                  <c:v>9.3937802672267923E-2</c:v>
                </c:pt>
                <c:pt idx="6">
                  <c:v>7.6069886140557458E-2</c:v>
                </c:pt>
                <c:pt idx="7">
                  <c:v>0.10113662723266065</c:v>
                </c:pt>
                <c:pt idx="8">
                  <c:v>0.10645706558485468</c:v>
                </c:pt>
                <c:pt idx="9">
                  <c:v>0.13543903265905746</c:v>
                </c:pt>
                <c:pt idx="10">
                  <c:v>0.17474075625851052</c:v>
                </c:pt>
                <c:pt idx="11">
                  <c:v>0.17661892273552554</c:v>
                </c:pt>
                <c:pt idx="12">
                  <c:v>0.16274596426000737</c:v>
                </c:pt>
                <c:pt idx="13">
                  <c:v>0.18673047065074413</c:v>
                </c:pt>
                <c:pt idx="14">
                  <c:v>0.21256263345948115</c:v>
                </c:pt>
                <c:pt idx="15">
                  <c:v>0.17986701145179165</c:v>
                </c:pt>
                <c:pt idx="16">
                  <c:v>0.19587059912022986</c:v>
                </c:pt>
                <c:pt idx="17">
                  <c:v>0.23549548486100449</c:v>
                </c:pt>
                <c:pt idx="18">
                  <c:v>0.41416768665850673</c:v>
                </c:pt>
                <c:pt idx="19">
                  <c:v>0.23365853658536587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70F1-4400-9151-F0905619F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9874911"/>
        <c:axId val="65694817"/>
      </c:lineChart>
      <c:catAx>
        <c:axId val="226084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960370"/>
        <c:crosses val="autoZero"/>
        <c:auto val="1"/>
        <c:lblAlgn val="ctr"/>
        <c:lblOffset val="100"/>
        <c:noMultiLvlLbl val="0"/>
      </c:catAx>
      <c:valAx>
        <c:axId val="819603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608424"/>
        <c:crosses val="autoZero"/>
        <c:crossBetween val="between"/>
      </c:valAx>
      <c:catAx>
        <c:axId val="9987491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694817"/>
        <c:crosses val="autoZero"/>
        <c:auto val="1"/>
        <c:lblAlgn val="ctr"/>
        <c:lblOffset val="100"/>
        <c:noMultiLvlLbl val="0"/>
      </c:catAx>
      <c:valAx>
        <c:axId val="65694817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9874911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Returns Profile: ROIC, RONTA, Adjusted EBITDA Margin &amp; FCF Margin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Charts!$B$18</c:f>
              <c:strCache>
                <c:ptCount val="1"/>
                <c:pt idx="0">
                  <c:v>ROIC</c:v>
                </c:pt>
              </c:strCache>
            </c:strRef>
          </c:tx>
          <c:spPr>
            <a:ln w="28440">
              <a:solidFill>
                <a:srgbClr val="2F3E4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Charts!$C$18:$V$18</c:f>
              <c:numCache>
                <c:formatCode>0.0%;\(0.0%\);\-</c:formatCode>
                <c:ptCount val="20"/>
                <c:pt idx="0">
                  <c:v>0.14210892254571714</c:v>
                </c:pt>
                <c:pt idx="1">
                  <c:v>0.14888391629115655</c:v>
                </c:pt>
                <c:pt idx="2">
                  <c:v>9.6542534716534664E-2</c:v>
                </c:pt>
                <c:pt idx="3">
                  <c:v>5.9397211205489776E-2</c:v>
                </c:pt>
                <c:pt idx="4">
                  <c:v>6.1867320514460512E-2</c:v>
                </c:pt>
                <c:pt idx="5">
                  <c:v>5.2294966826712072E-2</c:v>
                </c:pt>
                <c:pt idx="6">
                  <c:v>5.2185242159716386E-2</c:v>
                </c:pt>
                <c:pt idx="7">
                  <c:v>6.2340195851760927E-2</c:v>
                </c:pt>
                <c:pt idx="8">
                  <c:v>3.3617149985296635E-2</c:v>
                </c:pt>
                <c:pt idx="9">
                  <c:v>6.4646376575395501E-2</c:v>
                </c:pt>
                <c:pt idx="10">
                  <c:v>8.3522915837170891E-2</c:v>
                </c:pt>
                <c:pt idx="11">
                  <c:v>0.13074083416947649</c:v>
                </c:pt>
                <c:pt idx="12">
                  <c:v>7.7709273461120304E-2</c:v>
                </c:pt>
                <c:pt idx="13">
                  <c:v>8.8493879253323623E-2</c:v>
                </c:pt>
                <c:pt idx="14">
                  <c:v>9.8218958702364564E-2</c:v>
                </c:pt>
                <c:pt idx="15">
                  <c:v>7.8341199660215785E-2</c:v>
                </c:pt>
                <c:pt idx="16">
                  <c:v>7.7645377206850441E-2</c:v>
                </c:pt>
                <c:pt idx="17">
                  <c:v>0.11746405068570739</c:v>
                </c:pt>
                <c:pt idx="18">
                  <c:v>8.1333230459273001E-2</c:v>
                </c:pt>
                <c:pt idx="19">
                  <c:v>7.8373842524675205E-2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2EB-4AF7-A066-6A1A3BE056BF}"/>
            </c:ext>
          </c:extLst>
        </c:ser>
        <c:ser>
          <c:idx val="1"/>
          <c:order val="1"/>
          <c:tx>
            <c:strRef>
              <c:f>Charts!$B$19</c:f>
              <c:strCache>
                <c:ptCount val="1"/>
                <c:pt idx="0">
                  <c:v>RONTA</c:v>
                </c:pt>
              </c:strCache>
            </c:strRef>
          </c:tx>
          <c:spPr>
            <a:ln w="28440">
              <a:solidFill>
                <a:srgbClr val="84A98C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Charts!$C$19:$V$19</c:f>
              <c:numCache>
                <c:formatCode>0.0%;\(0.0%\);\-</c:formatCode>
                <c:ptCount val="20"/>
                <c:pt idx="0">
                  <c:v>0.15775686101785949</c:v>
                </c:pt>
                <c:pt idx="1">
                  <c:v>0.16330395128793587</c:v>
                </c:pt>
                <c:pt idx="2">
                  <c:v>0.10230040503111822</c:v>
                </c:pt>
                <c:pt idx="3">
                  <c:v>5.7879714935246941E-2</c:v>
                </c:pt>
                <c:pt idx="4">
                  <c:v>6.5503104987585575E-2</c:v>
                </c:pt>
                <c:pt idx="5">
                  <c:v>5.619788235350321E-2</c:v>
                </c:pt>
                <c:pt idx="6">
                  <c:v>5.5462960652888055E-2</c:v>
                </c:pt>
                <c:pt idx="7">
                  <c:v>6.6682736872343593E-2</c:v>
                </c:pt>
                <c:pt idx="8">
                  <c:v>3.9851224458555365E-2</c:v>
                </c:pt>
                <c:pt idx="9">
                  <c:v>7.8859899247304355E-2</c:v>
                </c:pt>
                <c:pt idx="10">
                  <c:v>0.10256416048000294</c:v>
                </c:pt>
                <c:pt idx="11">
                  <c:v>0.12853746067445987</c:v>
                </c:pt>
                <c:pt idx="12">
                  <c:v>9.9709943626846168E-2</c:v>
                </c:pt>
                <c:pt idx="13">
                  <c:v>0.10627787774494643</c:v>
                </c:pt>
                <c:pt idx="14">
                  <c:v>0.11402700481071498</c:v>
                </c:pt>
                <c:pt idx="15">
                  <c:v>9.817452396578083E-2</c:v>
                </c:pt>
                <c:pt idx="16">
                  <c:v>9.5704037754699822E-2</c:v>
                </c:pt>
                <c:pt idx="17">
                  <c:v>0.12709607767212977</c:v>
                </c:pt>
                <c:pt idx="18">
                  <c:v>9.034975272189151E-2</c:v>
                </c:pt>
                <c:pt idx="19">
                  <c:v>8.7006175285143678E-2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2EB-4AF7-A066-6A1A3BE056BF}"/>
            </c:ext>
          </c:extLst>
        </c:ser>
        <c:ser>
          <c:idx val="2"/>
          <c:order val="2"/>
          <c:tx>
            <c:strRef>
              <c:f>Charts!$B$20</c:f>
              <c:strCache>
                <c:ptCount val="1"/>
                <c:pt idx="0">
                  <c:v>Adj. EBITDA margin %</c:v>
                </c:pt>
              </c:strCache>
            </c:strRef>
          </c:tx>
          <c:spPr>
            <a:ln w="2844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Charts!$C$20:$V$20</c:f>
              <c:numCache>
                <c:formatCode>0.0%;\(0.0%\);\-</c:formatCode>
                <c:ptCount val="20"/>
                <c:pt idx="0">
                  <c:v>0.24247643219724438</c:v>
                </c:pt>
                <c:pt idx="1">
                  <c:v>0.26759095645870146</c:v>
                </c:pt>
                <c:pt idx="2">
                  <c:v>0.2347530776850148</c:v>
                </c:pt>
                <c:pt idx="3">
                  <c:v>0.21384940678961592</c:v>
                </c:pt>
                <c:pt idx="4">
                  <c:v>0.21016321723035505</c:v>
                </c:pt>
                <c:pt idx="5">
                  <c:v>0.19598576346344593</c:v>
                </c:pt>
                <c:pt idx="6">
                  <c:v>0.16190616411464467</c:v>
                </c:pt>
                <c:pt idx="7">
                  <c:v>0.18102528415680819</c:v>
                </c:pt>
                <c:pt idx="8">
                  <c:v>0.18154158215010149</c:v>
                </c:pt>
                <c:pt idx="9">
                  <c:v>0.21660639620296074</c:v>
                </c:pt>
                <c:pt idx="10">
                  <c:v>0.25442547397088083</c:v>
                </c:pt>
                <c:pt idx="11">
                  <c:v>0.25327819245511402</c:v>
                </c:pt>
                <c:pt idx="12">
                  <c:v>0.26006034024736913</c:v>
                </c:pt>
                <c:pt idx="13">
                  <c:v>0.26472316039887761</c:v>
                </c:pt>
                <c:pt idx="14">
                  <c:v>0.29446711346962934</c:v>
                </c:pt>
                <c:pt idx="15">
                  <c:v>0.282323605467307</c:v>
                </c:pt>
                <c:pt idx="16">
                  <c:v>0.25975944292044745</c:v>
                </c:pt>
                <c:pt idx="17">
                  <c:v>0.31394971374608976</c:v>
                </c:pt>
                <c:pt idx="18">
                  <c:v>0.31609547123623011</c:v>
                </c:pt>
                <c:pt idx="19">
                  <c:v>0.33577235772357722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2EB-4AF7-A066-6A1A3BE056BF}"/>
            </c:ext>
          </c:extLst>
        </c:ser>
        <c:ser>
          <c:idx val="3"/>
          <c:order val="3"/>
          <c:tx>
            <c:strRef>
              <c:f>Charts!$B$21</c:f>
              <c:strCache>
                <c:ptCount val="1"/>
                <c:pt idx="0">
                  <c:v>FCF margin %</c:v>
                </c:pt>
              </c:strCache>
            </c:strRef>
          </c:tx>
          <c:spPr>
            <a:ln w="28440">
              <a:solidFill>
                <a:srgbClr val="C8553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Charts!$C$21:$V$21</c:f>
              <c:numCache>
                <c:formatCode>0.0%;\(0.0%\);\-</c:formatCode>
                <c:ptCount val="20"/>
                <c:pt idx="0">
                  <c:v>3.2730239303843368E-2</c:v>
                </c:pt>
                <c:pt idx="1">
                  <c:v>5.9193058764895105E-2</c:v>
                </c:pt>
                <c:pt idx="2">
                  <c:v>4.1218810433470136E-2</c:v>
                </c:pt>
                <c:pt idx="3">
                  <c:v>0.10521437801010221</c:v>
                </c:pt>
                <c:pt idx="4">
                  <c:v>7.5097874249817703E-2</c:v>
                </c:pt>
                <c:pt idx="5">
                  <c:v>6.0523367757745486E-2</c:v>
                </c:pt>
                <c:pt idx="6">
                  <c:v>3.5171770710639969E-2</c:v>
                </c:pt>
                <c:pt idx="7">
                  <c:v>7.1314312224541876E-2</c:v>
                </c:pt>
                <c:pt idx="8">
                  <c:v>5.0532454361054774E-2</c:v>
                </c:pt>
                <c:pt idx="9">
                  <c:v>7.201915470674651E-2</c:v>
                </c:pt>
                <c:pt idx="10">
                  <c:v>7.6303288991306159E-2</c:v>
                </c:pt>
                <c:pt idx="11">
                  <c:v>6.2425105910833181E-2</c:v>
                </c:pt>
                <c:pt idx="12">
                  <c:v>7.7562074941126435E-2</c:v>
                </c:pt>
                <c:pt idx="13">
                  <c:v>0.12082468013955398</c:v>
                </c:pt>
                <c:pt idx="14">
                  <c:v>0.14596503097317065</c:v>
                </c:pt>
                <c:pt idx="15">
                  <c:v>0.13199113409678612</c:v>
                </c:pt>
                <c:pt idx="16">
                  <c:v>8.268540912558639E-2</c:v>
                </c:pt>
                <c:pt idx="17">
                  <c:v>0.12956678274213543</c:v>
                </c:pt>
                <c:pt idx="18">
                  <c:v>9.2411260709914317E-2</c:v>
                </c:pt>
                <c:pt idx="19">
                  <c:v>0.15902439024390244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D2EB-4AF7-A066-6A1A3BE056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7004353"/>
        <c:axId val="61682655"/>
      </c:lineChart>
      <c:catAx>
        <c:axId val="2700435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682655"/>
        <c:crosses val="autoZero"/>
        <c:auto val="1"/>
        <c:lblAlgn val="ctr"/>
        <c:lblOffset val="100"/>
        <c:noMultiLvlLbl val="0"/>
      </c:catAx>
      <c:valAx>
        <c:axId val="616826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0043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22</xdr:row>
      <xdr:rowOff>160560</xdr:rowOff>
    </xdr:from>
    <xdr:to>
      <xdr:col>12</xdr:col>
      <xdr:colOff>543600</xdr:colOff>
      <xdr:row>37</xdr:row>
      <xdr:rowOff>2160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43</xdr:row>
      <xdr:rowOff>160560</xdr:rowOff>
    </xdr:from>
    <xdr:to>
      <xdr:col>12</xdr:col>
      <xdr:colOff>543600</xdr:colOff>
      <xdr:row>58</xdr:row>
      <xdr:rowOff>1800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64</xdr:row>
      <xdr:rowOff>160560</xdr:rowOff>
    </xdr:from>
    <xdr:to>
      <xdr:col>12</xdr:col>
      <xdr:colOff>543600</xdr:colOff>
      <xdr:row>79</xdr:row>
      <xdr:rowOff>2160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88622A7-5A7D-4C45-975C-1C398E5DB996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2856cdad-4134-40c0-ad24-4e1a82e4042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R447"/>
  <sheetViews>
    <sheetView showGridLines="0" tabSelected="1" zoomScale="70" zoomScaleNormal="70" workbookViewId="0">
      <pane xSplit="2" ySplit="7" topLeftCell="H8" activePane="bottomRight" state="frozen"/>
      <selection pane="topRight" activeCell="C1" sqref="C1"/>
      <selection pane="bottomLeft" activeCell="A8" sqref="A8"/>
      <selection pane="bottomRight" activeCell="X421" sqref="X421"/>
    </sheetView>
  </sheetViews>
  <sheetFormatPr defaultColWidth="8.5703125" defaultRowHeight="15" outlineLevelRow="2" outlineLevelCol="1" x14ac:dyDescent="0.25"/>
  <cols>
    <col min="1" max="1" width="2.42578125" customWidth="1"/>
    <col min="2" max="2" width="62" customWidth="1"/>
    <col min="3" max="9" width="14.140625" customWidth="1"/>
    <col min="10" max="13" width="9.5703125" hidden="1" customWidth="1" outlineLevel="1"/>
    <col min="14" max="14" width="14.140625" customWidth="1" collapsed="1"/>
    <col min="15" max="18" width="9.5703125" hidden="1" customWidth="1" outlineLevel="1"/>
    <col min="19" max="19" width="14.140625" customWidth="1" collapsed="1"/>
    <col min="20" max="23" width="9.5703125" hidden="1" customWidth="1" outlineLevel="1"/>
    <col min="24" max="24" width="14.140625" customWidth="1" collapsed="1"/>
    <col min="25" max="28" width="9.5703125" hidden="1" customWidth="1" outlineLevel="1"/>
    <col min="29" max="29" width="14.140625" customWidth="1" collapsed="1"/>
    <col min="30" max="33" width="9.5703125" hidden="1" customWidth="1" outlineLevel="1"/>
    <col min="34" max="34" width="14.140625" customWidth="1" collapsed="1"/>
    <col min="35" max="38" width="9.5703125" hidden="1" customWidth="1" outlineLevel="1"/>
    <col min="39" max="39" width="14.140625" customWidth="1" collapsed="1"/>
    <col min="40" max="43" width="9.5703125" hidden="1" customWidth="1" outlineLevel="1"/>
    <col min="44" max="44" width="14.140625" customWidth="1" collapsed="1"/>
    <col min="45" max="48" width="9.5703125" hidden="1" customWidth="1" outlineLevel="1"/>
    <col min="49" max="49" width="14.140625" customWidth="1" collapsed="1"/>
    <col min="50" max="53" width="9.5703125" hidden="1" customWidth="1" outlineLevel="1"/>
    <col min="54" max="54" width="14.140625" customWidth="1" collapsed="1"/>
    <col min="55" max="58" width="9.5703125" hidden="1" customWidth="1" outlineLevel="1"/>
    <col min="59" max="59" width="14.140625" customWidth="1" collapsed="1"/>
    <col min="60" max="63" width="9.5703125" hidden="1" customWidth="1" outlineLevel="1"/>
    <col min="64" max="64" width="14.140625" customWidth="1" collapsed="1"/>
    <col min="65" max="68" width="9.5703125" hidden="1" customWidth="1" outlineLevel="1"/>
    <col min="69" max="69" width="14.140625" customWidth="1" collapsed="1"/>
    <col min="70" max="73" width="9.5703125" hidden="1" customWidth="1" outlineLevel="1"/>
    <col min="74" max="74" width="14.140625" customWidth="1" collapsed="1"/>
    <col min="75" max="76" width="9.5703125" hidden="1" customWidth="1" outlineLevel="1"/>
    <col min="77" max="78" width="11.42578125" hidden="1" customWidth="1" outlineLevel="1"/>
    <col min="79" max="79" width="14.140625" customWidth="1" collapsed="1"/>
    <col min="80" max="83" width="14.140625" customWidth="1"/>
    <col min="84" max="84" width="86.85546875" customWidth="1"/>
    <col min="85" max="85" width="2" customWidth="1"/>
    <col min="86" max="86" width="14.140625" customWidth="1"/>
    <col min="87" max="87" width="12.42578125" customWidth="1"/>
    <col min="88" max="89" width="13.42578125" customWidth="1"/>
    <col min="90" max="90" width="2" customWidth="1"/>
    <col min="91" max="91" width="6" customWidth="1"/>
    <col min="92" max="92" width="46" customWidth="1"/>
    <col min="93" max="95" width="11.5703125" customWidth="1"/>
    <col min="96" max="96" width="60" customWidth="1"/>
  </cols>
  <sheetData>
    <row r="1" spans="2:96" ht="15" customHeight="1" x14ac:dyDescent="0.25">
      <c r="CF1" s="1" t="s">
        <v>0</v>
      </c>
    </row>
    <row r="2" spans="2:96" ht="21" customHeight="1" x14ac:dyDescent="0.35">
      <c r="B2" s="2" t="s">
        <v>1</v>
      </c>
      <c r="CF2" s="3" t="s">
        <v>2</v>
      </c>
    </row>
    <row r="3" spans="2:96" ht="15" customHeight="1" x14ac:dyDescent="0.25">
      <c r="B3" s="4" t="s">
        <v>3</v>
      </c>
    </row>
    <row r="4" spans="2:96" ht="15" customHeight="1" x14ac:dyDescent="0.25">
      <c r="B4" s="5" t="s">
        <v>4</v>
      </c>
    </row>
    <row r="5" spans="2:96" ht="15" customHeight="1" x14ac:dyDescent="0.25">
      <c r="BY5" s="6"/>
      <c r="BZ5" s="6"/>
      <c r="CA5" s="6"/>
      <c r="CB5" s="6"/>
      <c r="CC5" s="6"/>
      <c r="CD5" s="6"/>
      <c r="CE5" s="6"/>
      <c r="CH5" s="7" t="s">
        <v>5</v>
      </c>
      <c r="CI5" s="7" t="s">
        <v>6</v>
      </c>
      <c r="CJ5" s="7" t="s">
        <v>6</v>
      </c>
      <c r="CK5" s="7" t="s">
        <v>6</v>
      </c>
    </row>
    <row r="6" spans="2:96" ht="15" customHeight="1" x14ac:dyDescent="0.25">
      <c r="B6" s="8" t="s">
        <v>7</v>
      </c>
      <c r="C6" s="9">
        <v>2006</v>
      </c>
      <c r="D6" s="9">
        <v>2007</v>
      </c>
      <c r="E6" s="9">
        <v>2008</v>
      </c>
      <c r="F6" s="9">
        <v>2009</v>
      </c>
      <c r="G6" s="9">
        <v>2010</v>
      </c>
      <c r="H6" s="9">
        <v>2011</v>
      </c>
      <c r="I6" s="9">
        <v>2012</v>
      </c>
      <c r="J6" s="9" t="s">
        <v>8</v>
      </c>
      <c r="K6" s="9" t="s">
        <v>9</v>
      </c>
      <c r="L6" s="9" t="s">
        <v>10</v>
      </c>
      <c r="M6" s="9" t="s">
        <v>11</v>
      </c>
      <c r="N6" s="9">
        <v>2013</v>
      </c>
      <c r="O6" s="9" t="s">
        <v>12</v>
      </c>
      <c r="P6" s="9" t="s">
        <v>13</v>
      </c>
      <c r="Q6" s="9" t="s">
        <v>14</v>
      </c>
      <c r="R6" s="9" t="s">
        <v>15</v>
      </c>
      <c r="S6" s="9">
        <v>2014</v>
      </c>
      <c r="T6" s="9" t="s">
        <v>16</v>
      </c>
      <c r="U6" s="9" t="s">
        <v>17</v>
      </c>
      <c r="V6" s="9" t="s">
        <v>18</v>
      </c>
      <c r="W6" s="9" t="s">
        <v>19</v>
      </c>
      <c r="X6" s="9">
        <v>2015</v>
      </c>
      <c r="Y6" s="9" t="s">
        <v>20</v>
      </c>
      <c r="Z6" s="9" t="s">
        <v>21</v>
      </c>
      <c r="AA6" s="9" t="s">
        <v>22</v>
      </c>
      <c r="AB6" s="9" t="s">
        <v>23</v>
      </c>
      <c r="AC6" s="9">
        <v>2016</v>
      </c>
      <c r="AD6" s="9" t="s">
        <v>24</v>
      </c>
      <c r="AE6" s="9" t="s">
        <v>25</v>
      </c>
      <c r="AF6" s="9" t="s">
        <v>26</v>
      </c>
      <c r="AG6" s="9" t="s">
        <v>27</v>
      </c>
      <c r="AH6" s="9">
        <v>2017</v>
      </c>
      <c r="AI6" s="9" t="s">
        <v>28</v>
      </c>
      <c r="AJ6" s="9" t="s">
        <v>29</v>
      </c>
      <c r="AK6" s="9" t="s">
        <v>30</v>
      </c>
      <c r="AL6" s="9" t="s">
        <v>31</v>
      </c>
      <c r="AM6" s="9">
        <v>2018</v>
      </c>
      <c r="AN6" s="9" t="s">
        <v>32</v>
      </c>
      <c r="AO6" s="9" t="s">
        <v>33</v>
      </c>
      <c r="AP6" s="9" t="s">
        <v>34</v>
      </c>
      <c r="AQ6" s="9" t="s">
        <v>35</v>
      </c>
      <c r="AR6" s="9">
        <v>2019</v>
      </c>
      <c r="AS6" s="9" t="s">
        <v>36</v>
      </c>
      <c r="AT6" s="9" t="s">
        <v>37</v>
      </c>
      <c r="AU6" s="9" t="s">
        <v>38</v>
      </c>
      <c r="AV6" s="9" t="s">
        <v>39</v>
      </c>
      <c r="AW6" s="9">
        <v>2020</v>
      </c>
      <c r="AX6" s="9" t="s">
        <v>40</v>
      </c>
      <c r="AY6" s="9" t="s">
        <v>41</v>
      </c>
      <c r="AZ6" s="9" t="s">
        <v>42</v>
      </c>
      <c r="BA6" s="9" t="s">
        <v>43</v>
      </c>
      <c r="BB6" s="9">
        <v>2021</v>
      </c>
      <c r="BC6" s="9" t="s">
        <v>44</v>
      </c>
      <c r="BD6" s="9" t="s">
        <v>45</v>
      </c>
      <c r="BE6" s="9" t="s">
        <v>46</v>
      </c>
      <c r="BF6" s="9" t="s">
        <v>47</v>
      </c>
      <c r="BG6" s="9">
        <v>2022</v>
      </c>
      <c r="BH6" s="9" t="s">
        <v>48</v>
      </c>
      <c r="BI6" s="9" t="s">
        <v>49</v>
      </c>
      <c r="BJ6" s="9" t="s">
        <v>50</v>
      </c>
      <c r="BK6" s="9" t="s">
        <v>51</v>
      </c>
      <c r="BL6" s="9">
        <v>2023</v>
      </c>
      <c r="BM6" s="9" t="s">
        <v>52</v>
      </c>
      <c r="BN6" s="9" t="s">
        <v>53</v>
      </c>
      <c r="BO6" s="9" t="s">
        <v>54</v>
      </c>
      <c r="BP6" s="9" t="s">
        <v>55</v>
      </c>
      <c r="BQ6" s="9">
        <v>2024</v>
      </c>
      <c r="BR6" s="9" t="s">
        <v>56</v>
      </c>
      <c r="BS6" s="9" t="s">
        <v>57</v>
      </c>
      <c r="BT6" s="9" t="s">
        <v>58</v>
      </c>
      <c r="BU6" s="9" t="s">
        <v>59</v>
      </c>
      <c r="BV6" s="9">
        <v>2025</v>
      </c>
      <c r="BW6" s="9" t="s">
        <v>60</v>
      </c>
      <c r="BX6" s="9" t="s">
        <v>61</v>
      </c>
      <c r="BY6" s="9" t="s">
        <v>62</v>
      </c>
      <c r="BZ6" s="9" t="s">
        <v>63</v>
      </c>
      <c r="CA6" s="9" t="s">
        <v>64</v>
      </c>
      <c r="CB6" s="9" t="s">
        <v>65</v>
      </c>
      <c r="CC6" s="9" t="s">
        <v>66</v>
      </c>
      <c r="CD6" s="9" t="s">
        <v>67</v>
      </c>
      <c r="CE6" s="9" t="s">
        <v>68</v>
      </c>
      <c r="CF6" s="9" t="s">
        <v>69</v>
      </c>
      <c r="CH6" s="7" t="s">
        <v>70</v>
      </c>
      <c r="CI6" s="7" t="s">
        <v>70</v>
      </c>
      <c r="CJ6" s="7" t="s">
        <v>71</v>
      </c>
      <c r="CK6" s="7" t="s">
        <v>72</v>
      </c>
    </row>
    <row r="7" spans="2:96" ht="15" customHeight="1" x14ac:dyDescent="0.25">
      <c r="CH7" s="10" t="s">
        <v>73</v>
      </c>
      <c r="CI7" s="10" t="s">
        <v>74</v>
      </c>
      <c r="CJ7" s="10" t="s">
        <v>75</v>
      </c>
      <c r="CK7" s="10" t="s">
        <v>76</v>
      </c>
    </row>
    <row r="8" spans="2:96" ht="15" customHeight="1" x14ac:dyDescent="0.25">
      <c r="B8" s="11" t="s">
        <v>77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 t="s">
        <v>78</v>
      </c>
    </row>
    <row r="9" spans="2:96" ht="15" customHeight="1" x14ac:dyDescent="0.25">
      <c r="CN9" s="12" t="s">
        <v>79</v>
      </c>
      <c r="CO9" s="13" t="s">
        <v>80</v>
      </c>
      <c r="CP9" s="13" t="s">
        <v>2</v>
      </c>
      <c r="CQ9" s="13" t="s">
        <v>81</v>
      </c>
      <c r="CR9" s="14" t="s">
        <v>82</v>
      </c>
    </row>
    <row r="10" spans="2:96" ht="15" customHeight="1" x14ac:dyDescent="0.25">
      <c r="B10" s="15" t="s">
        <v>83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6" t="s">
        <v>84</v>
      </c>
    </row>
    <row r="11" spans="2:96" ht="15" customHeight="1" x14ac:dyDescent="0.25">
      <c r="B11" s="17" t="s">
        <v>85</v>
      </c>
      <c r="C11" s="18">
        <v>198.49</v>
      </c>
      <c r="D11" s="18">
        <v>182.32599999999999</v>
      </c>
      <c r="E11" s="18">
        <v>159.35499999999999</v>
      </c>
      <c r="F11" s="18">
        <v>123.401</v>
      </c>
      <c r="G11" s="18">
        <v>130.00700000000001</v>
      </c>
      <c r="H11" s="18">
        <v>125.074</v>
      </c>
      <c r="I11" s="18">
        <v>128.33099999999999</v>
      </c>
      <c r="J11" s="18">
        <v>22.779</v>
      </c>
      <c r="K11" s="18">
        <v>34.573999999999998</v>
      </c>
      <c r="L11" s="18">
        <v>39.631</v>
      </c>
      <c r="M11" s="18">
        <v>31.448</v>
      </c>
      <c r="N11" s="18">
        <v>128.43299999999999</v>
      </c>
      <c r="O11" s="18">
        <v>24.619</v>
      </c>
      <c r="P11" s="18">
        <v>38.973999999999997</v>
      </c>
      <c r="Q11" s="18">
        <v>45.106999999999999</v>
      </c>
      <c r="R11" s="18">
        <v>37.35</v>
      </c>
      <c r="S11" s="18">
        <v>146.05000000000001</v>
      </c>
      <c r="T11" s="18">
        <v>28.835999999999999</v>
      </c>
      <c r="U11" s="18">
        <v>42.003</v>
      </c>
      <c r="V11" s="18">
        <v>47.521000000000001</v>
      </c>
      <c r="W11" s="18">
        <v>38.000999999999998</v>
      </c>
      <c r="X11" s="18">
        <v>156.422</v>
      </c>
      <c r="Y11" s="18">
        <v>32.664999999999999</v>
      </c>
      <c r="Z11" s="18">
        <v>42.554000000000002</v>
      </c>
      <c r="AA11" s="18">
        <v>45.238999999999997</v>
      </c>
      <c r="AB11" s="18">
        <v>38.167999999999999</v>
      </c>
      <c r="AC11" s="18">
        <v>158.626</v>
      </c>
      <c r="AD11" s="18">
        <v>32.610999999999997</v>
      </c>
      <c r="AE11" s="18">
        <v>43.423000000000002</v>
      </c>
      <c r="AF11" s="18">
        <v>43.805</v>
      </c>
      <c r="AG11" s="18">
        <v>37.857999999999997</v>
      </c>
      <c r="AH11" s="18">
        <v>157.69800000000001</v>
      </c>
      <c r="AI11" s="18">
        <v>30.02</v>
      </c>
      <c r="AJ11" s="18">
        <v>48.319000000000003</v>
      </c>
      <c r="AK11" s="18">
        <v>50.323999999999998</v>
      </c>
      <c r="AL11" s="18">
        <v>42.173000000000002</v>
      </c>
      <c r="AM11" s="18">
        <v>170.83600000000001</v>
      </c>
      <c r="AN11" s="18">
        <v>37.286000000000001</v>
      </c>
      <c r="AO11" s="18">
        <v>53.152999999999999</v>
      </c>
      <c r="AP11" s="18">
        <v>56.668999999999997</v>
      </c>
      <c r="AQ11" s="18">
        <v>43.923000000000002</v>
      </c>
      <c r="AR11" s="18">
        <v>191.126</v>
      </c>
      <c r="AS11" s="18">
        <v>38.299999999999997</v>
      </c>
      <c r="AT11" s="18">
        <v>51.2</v>
      </c>
      <c r="AU11" s="18">
        <v>51.8</v>
      </c>
      <c r="AV11" s="18">
        <v>45.2</v>
      </c>
      <c r="AW11" s="18">
        <v>186.5</v>
      </c>
      <c r="AX11" s="18">
        <v>37.1</v>
      </c>
      <c r="AY11" s="18">
        <v>52.9</v>
      </c>
      <c r="AZ11" s="18">
        <v>57</v>
      </c>
      <c r="BA11" s="18">
        <v>54.2</v>
      </c>
      <c r="BB11" s="18">
        <v>201.2</v>
      </c>
      <c r="BC11" s="18">
        <v>42.1</v>
      </c>
      <c r="BD11" s="18">
        <v>57.8</v>
      </c>
      <c r="BE11" s="18">
        <v>60.2</v>
      </c>
      <c r="BF11" s="18">
        <v>47.7</v>
      </c>
      <c r="BG11" s="18">
        <v>207.7</v>
      </c>
      <c r="BH11" s="18">
        <v>41.7</v>
      </c>
      <c r="BI11" s="18">
        <v>54.5</v>
      </c>
      <c r="BJ11" s="18">
        <v>55.9</v>
      </c>
      <c r="BK11" s="18">
        <v>46.6</v>
      </c>
      <c r="BL11" s="18">
        <v>198.8</v>
      </c>
      <c r="BM11" s="18">
        <v>36.6</v>
      </c>
      <c r="BN11" s="18">
        <v>53</v>
      </c>
      <c r="BO11" s="18">
        <v>53.7</v>
      </c>
      <c r="BP11" s="18">
        <v>47.9</v>
      </c>
      <c r="BQ11" s="18">
        <v>191.1</v>
      </c>
      <c r="BR11" s="18">
        <v>39</v>
      </c>
      <c r="BS11" s="18">
        <v>52.7</v>
      </c>
      <c r="BT11" s="18">
        <v>57.9</v>
      </c>
      <c r="BU11" s="18">
        <v>48.9</v>
      </c>
      <c r="BV11" s="18">
        <v>198.5</v>
      </c>
      <c r="BW11" s="18">
        <v>43.9</v>
      </c>
      <c r="BX11" s="18">
        <v>61.6</v>
      </c>
      <c r="BY11" s="19">
        <f>BT11*(1+BY12)</f>
        <v>70.412778454768301</v>
      </c>
      <c r="BZ11" s="19">
        <f>BU11*(1+BZ12)</f>
        <v>59.467786985115197</v>
      </c>
      <c r="CA11" s="19">
        <f>SUM(BW11,BX11,BY11,BZ11)</f>
        <v>235.3805654398835</v>
      </c>
      <c r="CB11" s="19">
        <f>CA11*(1+CB12)</f>
        <v>242.44198240308</v>
      </c>
      <c r="CC11" s="19">
        <f>CB11*(1+CC12)</f>
        <v>249.71524187517241</v>
      </c>
      <c r="CD11" s="19">
        <f>CC11*(1+CD12)</f>
        <v>255.9581229220517</v>
      </c>
      <c r="CE11" s="19">
        <f>CD11*(1+CE12)</f>
        <v>262.35707599510295</v>
      </c>
      <c r="CF11" s="20" t="s">
        <v>86</v>
      </c>
      <c r="CH11" s="21">
        <f>IFERROR((CE11/BV11)^(1/5)-1,"n/m")</f>
        <v>5.7368709275207319E-2</v>
      </c>
      <c r="CI11" s="21">
        <f>IFERROR((BV11/AW11)^(1/5)-1,"n/m")</f>
        <v>1.2549666580862207E-2</v>
      </c>
      <c r="CJ11" s="21">
        <f>IFERROR((BV11/X11)^(1/10)-1,"n/m")</f>
        <v>2.4109200141398501E-2</v>
      </c>
      <c r="CK11" s="21">
        <f>IFERROR((BV11/C11)^(1/19)-1,"n/m")</f>
        <v>2.6515352393730041E-6</v>
      </c>
      <c r="CN11" s="16" t="s">
        <v>87</v>
      </c>
      <c r="CO11" s="22" t="s">
        <v>88</v>
      </c>
      <c r="CP11" s="22" t="s">
        <v>89</v>
      </c>
      <c r="CQ11" s="22" t="s">
        <v>90</v>
      </c>
      <c r="CR11" s="14" t="s">
        <v>91</v>
      </c>
    </row>
    <row r="12" spans="2:96" ht="15" customHeight="1" x14ac:dyDescent="0.25">
      <c r="B12" s="23" t="s">
        <v>92</v>
      </c>
      <c r="D12" s="24">
        <f t="shared" ref="D12:I12" si="0">IF(AND(ISNUMBER(D11),ISNUMBER(C11)),IFERROR(D11/C11-1,""),"")</f>
        <v>-8.1434832989067507E-2</v>
      </c>
      <c r="E12" s="24">
        <f t="shared" si="0"/>
        <v>-0.12598861380165205</v>
      </c>
      <c r="F12" s="24">
        <f t="shared" si="0"/>
        <v>-0.22562203884409027</v>
      </c>
      <c r="G12" s="24">
        <f t="shared" si="0"/>
        <v>5.353279146846468E-2</v>
      </c>
      <c r="H12" s="24">
        <f t="shared" si="0"/>
        <v>-3.7944110701731537E-2</v>
      </c>
      <c r="I12" s="24">
        <f t="shared" si="0"/>
        <v>2.6040583974287212E-2</v>
      </c>
      <c r="N12" s="24">
        <f t="shared" ref="N12:AS12" si="1">IF(AND(ISNUMBER(N11),ISNUMBER(I11)),IFERROR(N11/I11-1,""),"")</f>
        <v>7.9481964607142075E-4</v>
      </c>
      <c r="O12" s="24">
        <f t="shared" si="1"/>
        <v>8.0776153474691581E-2</v>
      </c>
      <c r="P12" s="24">
        <f t="shared" si="1"/>
        <v>0.12726326141030819</v>
      </c>
      <c r="Q12" s="24">
        <f t="shared" si="1"/>
        <v>0.13817466125003142</v>
      </c>
      <c r="R12" s="24">
        <f t="shared" si="1"/>
        <v>0.18767489188501663</v>
      </c>
      <c r="S12" s="24">
        <f t="shared" si="1"/>
        <v>0.13716879618166677</v>
      </c>
      <c r="T12" s="24">
        <f t="shared" si="1"/>
        <v>0.17129046671270154</v>
      </c>
      <c r="U12" s="24">
        <f t="shared" si="1"/>
        <v>7.7718478985990824E-2</v>
      </c>
      <c r="V12" s="24">
        <f t="shared" si="1"/>
        <v>5.3517192453499396E-2</v>
      </c>
      <c r="W12" s="24">
        <f t="shared" si="1"/>
        <v>1.7429718875501932E-2</v>
      </c>
      <c r="X12" s="24">
        <f t="shared" si="1"/>
        <v>7.1016775077028305E-2</v>
      </c>
      <c r="Y12" s="24">
        <f t="shared" si="1"/>
        <v>0.13278540712997655</v>
      </c>
      <c r="Z12" s="24">
        <f t="shared" si="1"/>
        <v>1.3118110611146871E-2</v>
      </c>
      <c r="AA12" s="24">
        <f t="shared" si="1"/>
        <v>-4.8020874981587136E-2</v>
      </c>
      <c r="AB12" s="24">
        <f t="shared" si="1"/>
        <v>4.3946211941792157E-3</v>
      </c>
      <c r="AC12" s="24">
        <f t="shared" si="1"/>
        <v>1.4090089629336111E-2</v>
      </c>
      <c r="AD12" s="24">
        <f t="shared" si="1"/>
        <v>-1.6531455686514818E-3</v>
      </c>
      <c r="AE12" s="24">
        <f t="shared" si="1"/>
        <v>2.0421111998871977E-2</v>
      </c>
      <c r="AF12" s="24">
        <f t="shared" si="1"/>
        <v>-3.1698313402153011E-2</v>
      </c>
      <c r="AG12" s="24">
        <f t="shared" si="1"/>
        <v>-8.1219870048208076E-3</v>
      </c>
      <c r="AH12" s="24">
        <f t="shared" si="1"/>
        <v>-5.8502389267837129E-3</v>
      </c>
      <c r="AI12" s="24">
        <f t="shared" si="1"/>
        <v>-7.9451718745208622E-2</v>
      </c>
      <c r="AJ12" s="24">
        <f t="shared" si="1"/>
        <v>0.11275130691108393</v>
      </c>
      <c r="AK12" s="24">
        <f t="shared" si="1"/>
        <v>0.14881862801050105</v>
      </c>
      <c r="AL12" s="24">
        <f t="shared" si="1"/>
        <v>0.11397855142902436</v>
      </c>
      <c r="AM12" s="24">
        <f t="shared" si="1"/>
        <v>8.3311139012542945E-2</v>
      </c>
      <c r="AN12" s="24">
        <f t="shared" si="1"/>
        <v>0.24203864090606264</v>
      </c>
      <c r="AO12" s="24">
        <f t="shared" si="1"/>
        <v>0.10004346116434526</v>
      </c>
      <c r="AP12" s="24">
        <f t="shared" si="1"/>
        <v>0.12608298227485881</v>
      </c>
      <c r="AQ12" s="24">
        <f t="shared" si="1"/>
        <v>4.1495743722286704E-2</v>
      </c>
      <c r="AR12" s="24">
        <f t="shared" si="1"/>
        <v>0.11876887775410339</v>
      </c>
      <c r="AS12" s="24">
        <f t="shared" si="1"/>
        <v>2.719519390656E-2</v>
      </c>
      <c r="AT12" s="24">
        <f t="shared" ref="AT12:BX12" si="2">IF(AND(ISNUMBER(AT11),ISNUMBER(AO11)),IFERROR(AT11/AO11-1,""),"")</f>
        <v>-3.6742987225556356E-2</v>
      </c>
      <c r="AU12" s="24">
        <f t="shared" si="2"/>
        <v>-8.5919991529760487E-2</v>
      </c>
      <c r="AV12" s="24">
        <f t="shared" si="2"/>
        <v>2.9073606083373171E-2</v>
      </c>
      <c r="AW12" s="24">
        <f t="shared" si="2"/>
        <v>-2.420392829860929E-2</v>
      </c>
      <c r="AX12" s="24">
        <f t="shared" si="2"/>
        <v>-3.1331592689294974E-2</v>
      </c>
      <c r="AY12" s="24">
        <f t="shared" si="2"/>
        <v>3.3203125E-2</v>
      </c>
      <c r="AZ12" s="24">
        <f t="shared" si="2"/>
        <v>0.10038610038610041</v>
      </c>
      <c r="BA12" s="24">
        <f t="shared" si="2"/>
        <v>0.19911504424778759</v>
      </c>
      <c r="BB12" s="24">
        <f t="shared" si="2"/>
        <v>7.8820375335120652E-2</v>
      </c>
      <c r="BC12" s="24">
        <f t="shared" si="2"/>
        <v>0.13477088948787053</v>
      </c>
      <c r="BD12" s="24">
        <f t="shared" si="2"/>
        <v>9.2627599243856329E-2</v>
      </c>
      <c r="BE12" s="24">
        <f t="shared" si="2"/>
        <v>5.6140350877192935E-2</v>
      </c>
      <c r="BF12" s="24">
        <f t="shared" si="2"/>
        <v>-0.11992619926199266</v>
      </c>
      <c r="BG12" s="24">
        <f t="shared" si="2"/>
        <v>3.2306163021868839E-2</v>
      </c>
      <c r="BH12" s="24">
        <f t="shared" si="2"/>
        <v>-9.5011876484559776E-3</v>
      </c>
      <c r="BI12" s="24">
        <f t="shared" si="2"/>
        <v>-5.7093425605536319E-2</v>
      </c>
      <c r="BJ12" s="24">
        <f t="shared" si="2"/>
        <v>-7.1428571428571508E-2</v>
      </c>
      <c r="BK12" s="24">
        <f t="shared" si="2"/>
        <v>-2.3060796645702375E-2</v>
      </c>
      <c r="BL12" s="24">
        <f t="shared" si="2"/>
        <v>-4.2850264805007088E-2</v>
      </c>
      <c r="BM12" s="24">
        <f t="shared" si="2"/>
        <v>-0.12230215827338131</v>
      </c>
      <c r="BN12" s="24">
        <f t="shared" si="2"/>
        <v>-2.752293577981646E-2</v>
      </c>
      <c r="BO12" s="24">
        <f t="shared" si="2"/>
        <v>-3.9355992844364862E-2</v>
      </c>
      <c r="BP12" s="24">
        <f t="shared" si="2"/>
        <v>2.7896995708154515E-2</v>
      </c>
      <c r="BQ12" s="24">
        <f t="shared" si="2"/>
        <v>-3.8732394366197243E-2</v>
      </c>
      <c r="BR12" s="24">
        <f t="shared" si="2"/>
        <v>6.5573770491803129E-2</v>
      </c>
      <c r="BS12" s="24">
        <f t="shared" si="2"/>
        <v>-5.6603773584905648E-3</v>
      </c>
      <c r="BT12" s="24">
        <f t="shared" si="2"/>
        <v>7.8212290502793103E-2</v>
      </c>
      <c r="BU12" s="24">
        <f t="shared" si="2"/>
        <v>2.087682672233826E-2</v>
      </c>
      <c r="BV12" s="24">
        <f t="shared" si="2"/>
        <v>3.8723181580324395E-2</v>
      </c>
      <c r="BW12" s="24">
        <f t="shared" si="2"/>
        <v>0.12564102564102564</v>
      </c>
      <c r="BX12" s="24">
        <f t="shared" si="2"/>
        <v>0.1688804554079697</v>
      </c>
      <c r="BY12" s="25">
        <f>$BX$12+BY124</f>
        <v>0.21611016329478938</v>
      </c>
      <c r="BZ12" s="25">
        <f>$BX$12+BZ124</f>
        <v>0.21611016329478938</v>
      </c>
      <c r="CA12" s="25">
        <f>IFERROR(CA11/BV11-1,"")</f>
        <v>0.18579629944525689</v>
      </c>
      <c r="CB12" s="25">
        <f>CHOOSE(MATCH($CF$2,{"Bull","Base","Bear"},0),$CO$31,$CP$31,$CQ$31)</f>
        <v>0.03</v>
      </c>
      <c r="CC12" s="25">
        <f>CHOOSE(MATCH($CF$2,{"Bull","Base","Bear"},0),$CO$32,$CP$32,$CQ$32)</f>
        <v>0.03</v>
      </c>
      <c r="CD12" s="25">
        <f>CHOOSE(MATCH($CF$2,{"Bull","Base","Bear"},0),$CO$33,$CP$33,$CQ$33)</f>
        <v>2.5000000000000001E-2</v>
      </c>
      <c r="CE12" s="25">
        <f>CHOOSE(MATCH($CF$2,{"Bull","Base","Bear"},0),$CO$34,$CP$34,$CQ$34)</f>
        <v>2.5000000000000001E-2</v>
      </c>
      <c r="CF12" s="20" t="s">
        <v>93</v>
      </c>
      <c r="CN12" s="26" t="s">
        <v>94</v>
      </c>
      <c r="CO12" s="27">
        <v>7400</v>
      </c>
      <c r="CP12" s="27">
        <v>7300</v>
      </c>
      <c r="CQ12" s="27">
        <v>7200</v>
      </c>
      <c r="CR12" s="14" t="s">
        <v>95</v>
      </c>
    </row>
    <row r="13" spans="2:96" ht="15" customHeight="1" x14ac:dyDescent="0.25">
      <c r="B13" s="26" t="s">
        <v>96</v>
      </c>
      <c r="I13" s="28">
        <v>10.33</v>
      </c>
      <c r="J13" s="28">
        <v>10.97</v>
      </c>
      <c r="K13" s="28">
        <v>10.48</v>
      </c>
      <c r="L13" s="28">
        <v>10.55</v>
      </c>
      <c r="M13" s="28">
        <v>10.67</v>
      </c>
      <c r="N13" s="28">
        <v>10.63</v>
      </c>
      <c r="O13" s="28">
        <v>10.82</v>
      </c>
      <c r="P13" s="28">
        <v>11</v>
      </c>
      <c r="Y13" s="28">
        <v>13.04</v>
      </c>
      <c r="Z13" s="28">
        <v>12.78</v>
      </c>
      <c r="AA13" s="28">
        <v>12.77</v>
      </c>
      <c r="AB13" s="28">
        <v>13.03</v>
      </c>
      <c r="AC13" s="28">
        <v>12.88</v>
      </c>
      <c r="AD13" s="28">
        <v>13.73</v>
      </c>
      <c r="AE13" s="28">
        <v>13.24</v>
      </c>
      <c r="AF13" s="28">
        <v>13.4</v>
      </c>
      <c r="AG13" s="28">
        <v>13.55</v>
      </c>
      <c r="AH13" s="28">
        <v>13.46</v>
      </c>
      <c r="AI13" s="28">
        <v>14.04</v>
      </c>
      <c r="AJ13" s="28">
        <v>13.7</v>
      </c>
      <c r="AK13" s="28">
        <v>13.6</v>
      </c>
      <c r="AL13" s="28">
        <v>13.61</v>
      </c>
      <c r="AM13" s="28">
        <v>13.71</v>
      </c>
      <c r="AN13" s="28">
        <v>14.36</v>
      </c>
      <c r="AO13" s="28">
        <v>14.18</v>
      </c>
      <c r="AP13" s="28">
        <v>14.37</v>
      </c>
      <c r="AQ13" s="28">
        <v>14.38</v>
      </c>
      <c r="AR13" s="28">
        <v>14.33</v>
      </c>
      <c r="AS13" s="28">
        <v>14.8</v>
      </c>
      <c r="AT13" s="28">
        <v>14.66</v>
      </c>
      <c r="AU13" s="28">
        <v>14.75</v>
      </c>
      <c r="AV13" s="28">
        <v>14.88</v>
      </c>
      <c r="AW13" s="28">
        <v>14.77</v>
      </c>
      <c r="AX13" s="28">
        <v>15.31</v>
      </c>
      <c r="AY13" s="28">
        <v>15.07</v>
      </c>
      <c r="AZ13" s="28">
        <v>14.93</v>
      </c>
      <c r="BA13" s="28">
        <v>15.09</v>
      </c>
      <c r="BB13" s="28">
        <v>15.08</v>
      </c>
      <c r="BC13" s="28">
        <v>16.170000000000002</v>
      </c>
      <c r="BD13" s="28">
        <v>16.34</v>
      </c>
      <c r="BE13" s="28">
        <v>16.649999999999999</v>
      </c>
      <c r="BF13" s="28">
        <v>17.579999999999998</v>
      </c>
      <c r="BG13" s="28">
        <v>16.68</v>
      </c>
      <c r="BH13" s="28">
        <v>19.829999999999998</v>
      </c>
      <c r="BI13" s="28">
        <v>19.37</v>
      </c>
      <c r="BJ13" s="28">
        <v>19.98</v>
      </c>
      <c r="BK13" s="28">
        <v>20.22</v>
      </c>
      <c r="BL13" s="28">
        <v>19.84</v>
      </c>
      <c r="BM13" s="28">
        <v>22.26</v>
      </c>
      <c r="BN13" s="28">
        <v>21.61</v>
      </c>
      <c r="BO13" s="28">
        <v>21.52</v>
      </c>
      <c r="BP13" s="28">
        <v>21.95</v>
      </c>
      <c r="BQ13" s="28">
        <v>21.8</v>
      </c>
      <c r="BR13" s="28">
        <v>23.77</v>
      </c>
      <c r="BS13" s="28">
        <v>23.21</v>
      </c>
      <c r="BT13" s="28">
        <v>23.24</v>
      </c>
      <c r="BU13" s="28">
        <v>23.11</v>
      </c>
      <c r="BV13" s="28">
        <v>23.3</v>
      </c>
      <c r="BW13" s="28">
        <v>23.7</v>
      </c>
      <c r="BX13" s="28">
        <v>22.74</v>
      </c>
      <c r="BY13" s="29">
        <f>BT13*(1+BY14)</f>
        <v>22.769392503231362</v>
      </c>
      <c r="BZ13" s="29">
        <f>BU13*(1+BZ14)</f>
        <v>22.64202498922878</v>
      </c>
      <c r="CA13" s="29">
        <f>IFERROR((BW11*BW13+BX11*BX13+BY11*BY13+BZ11*BZ13)/CA11,"")</f>
        <v>22.903085897410921</v>
      </c>
      <c r="CB13" s="29">
        <f>CA13*(1+CB14)</f>
        <v>24.277271051255578</v>
      </c>
      <c r="CC13" s="29">
        <f>CB13*(1+CC14)</f>
        <v>25.612520959074633</v>
      </c>
      <c r="CD13" s="29">
        <f>CC13*(1+CD14)</f>
        <v>26.893147007028364</v>
      </c>
      <c r="CE13" s="29">
        <f>CD13*(1+CE14)</f>
        <v>28.237804357379783</v>
      </c>
      <c r="CF13" s="20" t="s">
        <v>97</v>
      </c>
      <c r="CH13" s="21">
        <f>IFERROR((CE13/BV13)^(1/5)-1,"n/m")</f>
        <v>3.9190100165493291E-2</v>
      </c>
      <c r="CI13" s="21">
        <f>IFERROR((BV13/AW13)^(1/5)-1,"n/m")</f>
        <v>9.5456370118967682E-2</v>
      </c>
      <c r="CJ13" s="21" t="str">
        <f>IFERROR((BV13/X13)^(1/10)-1,"n/m")</f>
        <v>n/m</v>
      </c>
      <c r="CK13" s="21" t="str">
        <f>IFERROR((BV13/C13)^(1/19)-1,"n/m")</f>
        <v>n/m</v>
      </c>
      <c r="CN13" s="26" t="s">
        <v>98</v>
      </c>
      <c r="CO13" s="27">
        <v>2500</v>
      </c>
      <c r="CP13" s="27">
        <v>2430</v>
      </c>
      <c r="CQ13" s="27">
        <v>2360</v>
      </c>
      <c r="CR13" s="14" t="s">
        <v>99</v>
      </c>
    </row>
    <row r="14" spans="2:96" ht="15" customHeight="1" x14ac:dyDescent="0.25">
      <c r="B14" s="23" t="s">
        <v>100</v>
      </c>
      <c r="D14" s="24" t="str">
        <f t="shared" ref="D14:I14" si="3">IF(AND(ISNUMBER(D13),ISNUMBER(C13)),IFERROR(D13/C13-1,""),"")</f>
        <v/>
      </c>
      <c r="E14" s="24" t="str">
        <f t="shared" si="3"/>
        <v/>
      </c>
      <c r="F14" s="24" t="str">
        <f t="shared" si="3"/>
        <v/>
      </c>
      <c r="G14" s="24" t="str">
        <f t="shared" si="3"/>
        <v/>
      </c>
      <c r="H14" s="24" t="str">
        <f t="shared" si="3"/>
        <v/>
      </c>
      <c r="I14" s="24" t="str">
        <f t="shared" si="3"/>
        <v/>
      </c>
      <c r="N14" s="24">
        <f t="shared" ref="N14:AS14" si="4">IF(AND(ISNUMBER(N13),ISNUMBER(I13)),IFERROR(N13/I13-1,""),"")</f>
        <v>2.9041626331074655E-2</v>
      </c>
      <c r="O14" s="24">
        <f t="shared" si="4"/>
        <v>-1.3673655423883324E-2</v>
      </c>
      <c r="P14" s="24">
        <f t="shared" si="4"/>
        <v>4.961832061068705E-2</v>
      </c>
      <c r="Q14" s="24" t="str">
        <f t="shared" si="4"/>
        <v/>
      </c>
      <c r="R14" s="24" t="str">
        <f t="shared" si="4"/>
        <v/>
      </c>
      <c r="S14" s="24" t="str">
        <f t="shared" si="4"/>
        <v/>
      </c>
      <c r="T14" s="24" t="str">
        <f t="shared" si="4"/>
        <v/>
      </c>
      <c r="U14" s="24" t="str">
        <f t="shared" si="4"/>
        <v/>
      </c>
      <c r="V14" s="24" t="str">
        <f t="shared" si="4"/>
        <v/>
      </c>
      <c r="W14" s="24" t="str">
        <f t="shared" si="4"/>
        <v/>
      </c>
      <c r="X14" s="24" t="str">
        <f t="shared" si="4"/>
        <v/>
      </c>
      <c r="Y14" s="24" t="str">
        <f t="shared" si="4"/>
        <v/>
      </c>
      <c r="Z14" s="24" t="str">
        <f t="shared" si="4"/>
        <v/>
      </c>
      <c r="AA14" s="24" t="str">
        <f t="shared" si="4"/>
        <v/>
      </c>
      <c r="AB14" s="24" t="str">
        <f t="shared" si="4"/>
        <v/>
      </c>
      <c r="AC14" s="24" t="str">
        <f t="shared" si="4"/>
        <v/>
      </c>
      <c r="AD14" s="24">
        <f t="shared" si="4"/>
        <v>5.2914110429447936E-2</v>
      </c>
      <c r="AE14" s="24">
        <f t="shared" si="4"/>
        <v>3.5993740219092407E-2</v>
      </c>
      <c r="AF14" s="24">
        <f t="shared" si="4"/>
        <v>4.9334377447141753E-2</v>
      </c>
      <c r="AG14" s="24">
        <f t="shared" si="4"/>
        <v>3.9907904834996177E-2</v>
      </c>
      <c r="AH14" s="24">
        <f t="shared" si="4"/>
        <v>4.5031055900621064E-2</v>
      </c>
      <c r="AI14" s="24">
        <f t="shared" si="4"/>
        <v>2.2578295702840423E-2</v>
      </c>
      <c r="AJ14" s="24">
        <f t="shared" si="4"/>
        <v>3.4743202416918306E-2</v>
      </c>
      <c r="AK14" s="24">
        <f t="shared" si="4"/>
        <v>1.4925373134328401E-2</v>
      </c>
      <c r="AL14" s="24">
        <f t="shared" si="4"/>
        <v>4.4280442804427445E-3</v>
      </c>
      <c r="AM14" s="24">
        <f t="shared" si="4"/>
        <v>1.857355126300142E-2</v>
      </c>
      <c r="AN14" s="24">
        <f t="shared" si="4"/>
        <v>2.2792022792022859E-2</v>
      </c>
      <c r="AO14" s="24">
        <f t="shared" si="4"/>
        <v>3.5036496350365098E-2</v>
      </c>
      <c r="AP14" s="24">
        <f t="shared" si="4"/>
        <v>5.661764705882355E-2</v>
      </c>
      <c r="AQ14" s="24">
        <f t="shared" si="4"/>
        <v>5.65760470242469E-2</v>
      </c>
      <c r="AR14" s="24">
        <f t="shared" si="4"/>
        <v>4.5222465353756292E-2</v>
      </c>
      <c r="AS14" s="24">
        <f t="shared" si="4"/>
        <v>3.0640668523676862E-2</v>
      </c>
      <c r="AT14" s="24">
        <f t="shared" ref="AT14:BX14" si="5">IF(AND(ISNUMBER(AT13),ISNUMBER(AO13)),IFERROR(AT13/AO13-1,""),"")</f>
        <v>3.3850493653032387E-2</v>
      </c>
      <c r="AU14" s="24">
        <f t="shared" si="5"/>
        <v>2.6443980514961885E-2</v>
      </c>
      <c r="AV14" s="24">
        <f t="shared" si="5"/>
        <v>3.4770514603616132E-2</v>
      </c>
      <c r="AW14" s="24">
        <f t="shared" si="5"/>
        <v>3.0704815073272718E-2</v>
      </c>
      <c r="AX14" s="24">
        <f t="shared" si="5"/>
        <v>3.4459459459459385E-2</v>
      </c>
      <c r="AY14" s="24">
        <f t="shared" si="5"/>
        <v>2.7967257844474736E-2</v>
      </c>
      <c r="AZ14" s="24">
        <f t="shared" si="5"/>
        <v>1.2203389830508504E-2</v>
      </c>
      <c r="BA14" s="24">
        <f t="shared" si="5"/>
        <v>1.4112903225806495E-2</v>
      </c>
      <c r="BB14" s="24">
        <f t="shared" si="5"/>
        <v>2.0988490182803021E-2</v>
      </c>
      <c r="BC14" s="24">
        <f t="shared" si="5"/>
        <v>5.6172436316133334E-2</v>
      </c>
      <c r="BD14" s="24">
        <f t="shared" si="5"/>
        <v>8.4273390842733775E-2</v>
      </c>
      <c r="BE14" s="24">
        <f t="shared" si="5"/>
        <v>0.11520428667113181</v>
      </c>
      <c r="BF14" s="24">
        <f t="shared" si="5"/>
        <v>0.16500994035785288</v>
      </c>
      <c r="BG14" s="24">
        <f t="shared" si="5"/>
        <v>0.10610079575596809</v>
      </c>
      <c r="BH14" s="24">
        <f t="shared" si="5"/>
        <v>0.22634508348794036</v>
      </c>
      <c r="BI14" s="24">
        <f t="shared" si="5"/>
        <v>0.18543451652386778</v>
      </c>
      <c r="BJ14" s="24">
        <f t="shared" si="5"/>
        <v>0.20000000000000018</v>
      </c>
      <c r="BK14" s="24">
        <f t="shared" si="5"/>
        <v>0.15017064846416384</v>
      </c>
      <c r="BL14" s="24">
        <f t="shared" si="5"/>
        <v>0.18944844124700233</v>
      </c>
      <c r="BM14" s="24">
        <f t="shared" si="5"/>
        <v>0.12254160363086242</v>
      </c>
      <c r="BN14" s="24">
        <f t="shared" si="5"/>
        <v>0.11564274651522966</v>
      </c>
      <c r="BO14" s="24">
        <f t="shared" si="5"/>
        <v>7.7077077077077005E-2</v>
      </c>
      <c r="BP14" s="24">
        <f t="shared" si="5"/>
        <v>8.5558852621167247E-2</v>
      </c>
      <c r="BQ14" s="24">
        <f t="shared" si="5"/>
        <v>9.879032258064524E-2</v>
      </c>
      <c r="BR14" s="24">
        <f t="shared" si="5"/>
        <v>6.7834681042228118E-2</v>
      </c>
      <c r="BS14" s="24">
        <f t="shared" si="5"/>
        <v>7.4039796390559909E-2</v>
      </c>
      <c r="BT14" s="24">
        <f t="shared" si="5"/>
        <v>7.9925650557620687E-2</v>
      </c>
      <c r="BU14" s="24">
        <f t="shared" si="5"/>
        <v>5.2847380410022682E-2</v>
      </c>
      <c r="BV14" s="24">
        <f t="shared" si="5"/>
        <v>6.8807339449541205E-2</v>
      </c>
      <c r="BW14" s="24">
        <f t="shared" si="5"/>
        <v>-2.9448885149347959E-3</v>
      </c>
      <c r="BX14" s="24">
        <f t="shared" si="5"/>
        <v>-2.0249892287807048E-2</v>
      </c>
      <c r="BY14" s="25">
        <f>$BX$14</f>
        <v>-2.0249892287807048E-2</v>
      </c>
      <c r="BZ14" s="25">
        <f>$BX$14</f>
        <v>-2.0249892287807048E-2</v>
      </c>
      <c r="CA14" s="25">
        <f>IFERROR(CA13/BV13-1,"")</f>
        <v>-1.7034940025282386E-2</v>
      </c>
      <c r="CB14" s="25">
        <f>CHOOSE(MATCH($CF$2,{"Bull","Base","Bear"},0),$CO$36,$CP$36,$CQ$36)</f>
        <v>0.06</v>
      </c>
      <c r="CC14" s="25">
        <f>CHOOSE(MATCH($CF$2,{"Bull","Base","Bear"},0),$CO$37,$CP$37,$CQ$37)</f>
        <v>5.5E-2</v>
      </c>
      <c r="CD14" s="25">
        <f>CHOOSE(MATCH($CF$2,{"Bull","Base","Bear"},0),$CO$38,$CP$38,$CQ$38)</f>
        <v>0.05</v>
      </c>
      <c r="CE14" s="25">
        <f>CHOOSE(MATCH($CF$2,{"Bull","Base","Bear"},0),$CO$39,$CP$39,$CQ$39)</f>
        <v>0.05</v>
      </c>
      <c r="CF14" s="6"/>
      <c r="CN14" s="26" t="s">
        <v>101</v>
      </c>
      <c r="CO14" s="27">
        <v>1043</v>
      </c>
      <c r="CP14" s="27">
        <v>1043</v>
      </c>
      <c r="CQ14" s="27">
        <v>1043</v>
      </c>
      <c r="CR14" s="14" t="s">
        <v>102</v>
      </c>
    </row>
    <row r="15" spans="2:96" ht="15" customHeight="1" x14ac:dyDescent="0.25">
      <c r="B15" s="26" t="s">
        <v>103</v>
      </c>
      <c r="C15" s="30" t="str">
        <f t="shared" ref="C15:AH15" si="6">IFERROR(C16/(C11*C13),"")</f>
        <v/>
      </c>
      <c r="D15" s="30" t="str">
        <f t="shared" si="6"/>
        <v/>
      </c>
      <c r="E15" s="30" t="str">
        <f t="shared" si="6"/>
        <v/>
      </c>
      <c r="F15" s="30" t="str">
        <f t="shared" si="6"/>
        <v/>
      </c>
      <c r="G15" s="30" t="str">
        <f t="shared" si="6"/>
        <v/>
      </c>
      <c r="H15" s="30" t="str">
        <f t="shared" si="6"/>
        <v/>
      </c>
      <c r="I15" s="30">
        <f t="shared" si="6"/>
        <v>0.98366154022855479</v>
      </c>
      <c r="J15" s="30">
        <f t="shared" si="6"/>
        <v>0.99165366171716229</v>
      </c>
      <c r="K15" s="30">
        <f t="shared" si="6"/>
        <v>0.98582661727450849</v>
      </c>
      <c r="L15" s="30">
        <f t="shared" si="6"/>
        <v>0.98348018766964096</v>
      </c>
      <c r="M15" s="30">
        <f t="shared" si="6"/>
        <v>0.98703573856141202</v>
      </c>
      <c r="N15" s="30">
        <f t="shared" si="6"/>
        <v>0.98700393063419878</v>
      </c>
      <c r="O15" s="30">
        <f t="shared" si="6"/>
        <v>0.99069899200976286</v>
      </c>
      <c r="P15" s="30">
        <f t="shared" si="6"/>
        <v>0.98433920982286571</v>
      </c>
      <c r="Q15" s="30" t="str">
        <f t="shared" si="6"/>
        <v/>
      </c>
      <c r="R15" s="30" t="str">
        <f t="shared" si="6"/>
        <v/>
      </c>
      <c r="S15" s="30" t="str">
        <f t="shared" si="6"/>
        <v/>
      </c>
      <c r="T15" s="30" t="str">
        <f t="shared" si="6"/>
        <v/>
      </c>
      <c r="U15" s="30" t="str">
        <f t="shared" si="6"/>
        <v/>
      </c>
      <c r="V15" s="30" t="str">
        <f t="shared" si="6"/>
        <v/>
      </c>
      <c r="W15" s="30" t="str">
        <f t="shared" si="6"/>
        <v/>
      </c>
      <c r="X15" s="30" t="str">
        <f t="shared" si="6"/>
        <v/>
      </c>
      <c r="Y15" s="30">
        <f t="shared" si="6"/>
        <v>0.95433377876735292</v>
      </c>
      <c r="Z15" s="30">
        <f t="shared" si="6"/>
        <v>0.94935989643426821</v>
      </c>
      <c r="AA15" s="30">
        <f t="shared" si="6"/>
        <v>0.93941162020843183</v>
      </c>
      <c r="AB15" s="30">
        <f t="shared" si="6"/>
        <v>1.0077834988280596</v>
      </c>
      <c r="AC15" s="30">
        <f t="shared" si="6"/>
        <v>1.0087108290895268</v>
      </c>
      <c r="AD15" s="30">
        <f t="shared" si="6"/>
        <v>1.008154054515763</v>
      </c>
      <c r="AE15" s="30">
        <f t="shared" si="6"/>
        <v>1.0060521061241647</v>
      </c>
      <c r="AF15" s="30">
        <f t="shared" si="6"/>
        <v>1.0071773310141452</v>
      </c>
      <c r="AG15" s="30">
        <f t="shared" si="6"/>
        <v>1.0064800315180498</v>
      </c>
      <c r="AH15" s="30">
        <f t="shared" si="6"/>
        <v>1.0068712034213947</v>
      </c>
      <c r="AI15" s="30">
        <f t="shared" ref="AI15:BN15" si="7">IFERROR(AI16/(AI11*AI13),"")</f>
        <v>1.0083496092823208</v>
      </c>
      <c r="AJ15" s="30">
        <f t="shared" si="7"/>
        <v>1.0050420691079343</v>
      </c>
      <c r="AK15" s="30">
        <f t="shared" si="7"/>
        <v>1.0049584574311403</v>
      </c>
      <c r="AL15" s="30">
        <f t="shared" si="7"/>
        <v>1.0062275759866905</v>
      </c>
      <c r="AM15" s="30">
        <f t="shared" si="7"/>
        <v>1.0057687907746207</v>
      </c>
      <c r="AN15" s="30">
        <f t="shared" si="7"/>
        <v>1.0112919976984349</v>
      </c>
      <c r="AO15" s="30">
        <f t="shared" si="7"/>
        <v>1.0054297574633326</v>
      </c>
      <c r="AP15" s="30">
        <f t="shared" si="7"/>
        <v>1.005353420729219</v>
      </c>
      <c r="AQ15" s="30">
        <f t="shared" si="7"/>
        <v>1.0058299330694309</v>
      </c>
      <c r="AR15" s="30">
        <f t="shared" si="7"/>
        <v>1.0065365077519548</v>
      </c>
      <c r="AS15" s="30">
        <f t="shared" si="7"/>
        <v>1.0061040152423963</v>
      </c>
      <c r="AT15" s="30">
        <f t="shared" si="7"/>
        <v>1.0057394696452933</v>
      </c>
      <c r="AU15" s="30">
        <f t="shared" si="7"/>
        <v>1.0037301223741901</v>
      </c>
      <c r="AV15" s="30">
        <f t="shared" si="7"/>
        <v>1.0068750594728328</v>
      </c>
      <c r="AW15" s="30">
        <f t="shared" si="7"/>
        <v>1.0053347031607074</v>
      </c>
      <c r="AX15" s="30">
        <f t="shared" si="7"/>
        <v>1.0080968167309563</v>
      </c>
      <c r="AY15" s="30">
        <f t="shared" si="7"/>
        <v>1.0057664108138078</v>
      </c>
      <c r="AZ15" s="30">
        <f t="shared" si="7"/>
        <v>1.0071562026298164</v>
      </c>
      <c r="BA15" s="30">
        <f t="shared" si="7"/>
        <v>1.0111532526856084</v>
      </c>
      <c r="BB15" s="30">
        <f t="shared" si="7"/>
        <v>1.0080432524218086</v>
      </c>
      <c r="BC15" s="30">
        <f t="shared" si="7"/>
        <v>1.0075548249962907</v>
      </c>
      <c r="BD15" s="30">
        <f t="shared" si="7"/>
        <v>1.0113801442529637</v>
      </c>
      <c r="BE15" s="30">
        <f t="shared" si="7"/>
        <v>1.0133389203156646</v>
      </c>
      <c r="BF15" s="30">
        <f t="shared" si="7"/>
        <v>1.0126811723823768</v>
      </c>
      <c r="BG15" s="30">
        <f t="shared" si="7"/>
        <v>1.0119973352083862</v>
      </c>
      <c r="BH15" s="30">
        <f t="shared" si="7"/>
        <v>1.1027788963987661</v>
      </c>
      <c r="BI15" s="30">
        <f t="shared" si="7"/>
        <v>1.0906869129884955</v>
      </c>
      <c r="BJ15" s="30">
        <f t="shared" si="7"/>
        <v>1.0890138797115541</v>
      </c>
      <c r="BK15" s="30">
        <f t="shared" si="7"/>
        <v>1.084529404023552</v>
      </c>
      <c r="BL15" s="30">
        <f t="shared" si="7"/>
        <v>1.0906162783150517</v>
      </c>
      <c r="BM15" s="30">
        <f t="shared" si="7"/>
        <v>1.0862680983311974</v>
      </c>
      <c r="BN15" s="30">
        <f t="shared" si="7"/>
        <v>1.0844036216636255</v>
      </c>
      <c r="BO15" s="30">
        <f t="shared" ref="BO15:BX15" si="8">IFERROR(BO16/(BO11*BO13),"")</f>
        <v>1.081666701280001</v>
      </c>
      <c r="BP15" s="30">
        <f t="shared" si="8"/>
        <v>1.0814101131343299</v>
      </c>
      <c r="BQ15" s="30">
        <f t="shared" si="8"/>
        <v>1.0835385671558675</v>
      </c>
      <c r="BR15" s="30">
        <f t="shared" si="8"/>
        <v>1.0808711692178248</v>
      </c>
      <c r="BS15" s="30">
        <f t="shared" si="8"/>
        <v>1.0791658048328641</v>
      </c>
      <c r="BT15" s="30">
        <f t="shared" si="8"/>
        <v>1.0835347310782732</v>
      </c>
      <c r="BU15" s="30">
        <f t="shared" si="8"/>
        <v>1.0839950127380475</v>
      </c>
      <c r="BV15" s="30">
        <f t="shared" si="8"/>
        <v>1.0819342493594664</v>
      </c>
      <c r="BW15" s="30">
        <f t="shared" si="8"/>
        <v>1.0976230981421145</v>
      </c>
      <c r="BX15" s="30">
        <f t="shared" si="8"/>
        <v>1.0943871431998082</v>
      </c>
      <c r="BY15" s="31">
        <f>BT15</f>
        <v>1.0835347310782732</v>
      </c>
      <c r="BZ15" s="31">
        <f>BU15</f>
        <v>1.0839950127380475</v>
      </c>
      <c r="CA15" s="31">
        <f>IFERROR(CA16/(CA11*CA13),"")</f>
        <v>1.0891885861697619</v>
      </c>
      <c r="CB15" s="31">
        <f>CA15</f>
        <v>1.0891885861697619</v>
      </c>
      <c r="CC15" s="31">
        <f>CB15</f>
        <v>1.0891885861697619</v>
      </c>
      <c r="CD15" s="31">
        <f>CC15</f>
        <v>1.0891885861697619</v>
      </c>
      <c r="CE15" s="31">
        <f>CD15</f>
        <v>1.0891885861697619</v>
      </c>
      <c r="CF15" s="20" t="s">
        <v>104</v>
      </c>
      <c r="CN15" s="16" t="s">
        <v>105</v>
      </c>
      <c r="CO15" s="22"/>
      <c r="CP15" s="22"/>
      <c r="CQ15" s="22"/>
    </row>
    <row r="16" spans="2:96" ht="15" customHeight="1" x14ac:dyDescent="0.25">
      <c r="B16" s="17" t="s">
        <v>106</v>
      </c>
      <c r="C16" s="32"/>
      <c r="D16" s="32"/>
      <c r="E16" s="32"/>
      <c r="F16" s="32"/>
      <c r="G16" s="32"/>
      <c r="H16" s="33">
        <v>1213.2</v>
      </c>
      <c r="I16" s="33">
        <v>1304</v>
      </c>
      <c r="J16" s="33">
        <v>247.8</v>
      </c>
      <c r="K16" s="33">
        <v>357.2</v>
      </c>
      <c r="L16" s="33">
        <v>411.2</v>
      </c>
      <c r="M16" s="33">
        <v>331.2</v>
      </c>
      <c r="N16" s="33">
        <v>1347.5</v>
      </c>
      <c r="O16" s="33">
        <v>263.89999999999998</v>
      </c>
      <c r="P16" s="33">
        <v>422</v>
      </c>
      <c r="Q16" s="33">
        <v>478.8</v>
      </c>
      <c r="R16" s="33">
        <v>405.4</v>
      </c>
      <c r="S16" s="33">
        <v>1570</v>
      </c>
      <c r="T16" s="33">
        <v>332.2</v>
      </c>
      <c r="U16" s="33">
        <v>481.5</v>
      </c>
      <c r="V16" s="33">
        <v>530</v>
      </c>
      <c r="W16" s="33">
        <v>449.9</v>
      </c>
      <c r="X16" s="33">
        <v>1793.7</v>
      </c>
      <c r="Y16" s="33">
        <v>406.5</v>
      </c>
      <c r="Z16" s="33">
        <v>516.29999999999995</v>
      </c>
      <c r="AA16" s="33">
        <v>542.70000000000005</v>
      </c>
      <c r="AB16" s="33">
        <v>501.2</v>
      </c>
      <c r="AC16" s="33">
        <v>2060.9</v>
      </c>
      <c r="AD16" s="33">
        <v>451.4</v>
      </c>
      <c r="AE16" s="33">
        <v>578.4</v>
      </c>
      <c r="AF16" s="33">
        <v>591.20000000000005</v>
      </c>
      <c r="AG16" s="33">
        <v>516.29999999999995</v>
      </c>
      <c r="AH16" s="33">
        <v>2137.1999999999998</v>
      </c>
      <c r="AI16" s="33">
        <v>425</v>
      </c>
      <c r="AJ16" s="33">
        <v>665.30799999999999</v>
      </c>
      <c r="AK16" s="33">
        <v>687.8</v>
      </c>
      <c r="AL16" s="33">
        <v>577.54899999999998</v>
      </c>
      <c r="AM16" s="33">
        <v>2355.6729999999998</v>
      </c>
      <c r="AN16" s="33">
        <v>541.47299999999996</v>
      </c>
      <c r="AO16" s="33">
        <v>757.80200000000002</v>
      </c>
      <c r="AP16" s="33">
        <v>818.69299999999998</v>
      </c>
      <c r="AQ16" s="33">
        <v>635.29499999999996</v>
      </c>
      <c r="AR16" s="33">
        <v>2756.7379999999998</v>
      </c>
      <c r="AS16" s="33">
        <v>570.29999999999995</v>
      </c>
      <c r="AT16" s="33">
        <v>754.9</v>
      </c>
      <c r="AU16" s="33">
        <v>766.9</v>
      </c>
      <c r="AV16" s="33">
        <v>677.2</v>
      </c>
      <c r="AW16" s="33">
        <v>2769.3</v>
      </c>
      <c r="AX16" s="33">
        <v>572.6</v>
      </c>
      <c r="AY16" s="33">
        <v>801.8</v>
      </c>
      <c r="AZ16" s="33">
        <v>857.1</v>
      </c>
      <c r="BA16" s="33">
        <v>827</v>
      </c>
      <c r="BB16" s="33">
        <v>3058.5</v>
      </c>
      <c r="BC16" s="33">
        <v>685.9</v>
      </c>
      <c r="BD16" s="33">
        <v>955.2</v>
      </c>
      <c r="BE16" s="33">
        <v>1015.7</v>
      </c>
      <c r="BF16" s="33">
        <v>849.2</v>
      </c>
      <c r="BG16" s="33">
        <v>3506</v>
      </c>
      <c r="BH16" s="33">
        <v>911.9</v>
      </c>
      <c r="BI16" s="33">
        <v>1151.4000000000001</v>
      </c>
      <c r="BJ16" s="33">
        <v>1216.3</v>
      </c>
      <c r="BK16" s="33">
        <v>1021.9</v>
      </c>
      <c r="BL16" s="33">
        <v>4301.6000000000004</v>
      </c>
      <c r="BM16" s="33">
        <v>885</v>
      </c>
      <c r="BN16" s="33">
        <v>1242</v>
      </c>
      <c r="BO16" s="33">
        <v>1250</v>
      </c>
      <c r="BP16" s="33">
        <v>1137</v>
      </c>
      <c r="BQ16" s="33">
        <v>4514</v>
      </c>
      <c r="BR16" s="33">
        <v>1002</v>
      </c>
      <c r="BS16" s="33">
        <v>1320</v>
      </c>
      <c r="BT16" s="33">
        <v>1458</v>
      </c>
      <c r="BU16" s="33">
        <v>1225</v>
      </c>
      <c r="BV16" s="33">
        <v>5004</v>
      </c>
      <c r="BW16" s="33">
        <v>1142</v>
      </c>
      <c r="BX16" s="33">
        <v>1533</v>
      </c>
      <c r="BY16" s="34">
        <f>BY11*BY13*BY15</f>
        <v>1737.1837645508692</v>
      </c>
      <c r="BZ16" s="34">
        <f>BZ11*BZ13*BZ15</f>
        <v>1459.5679777605039</v>
      </c>
      <c r="CA16" s="34">
        <f>SUM(BW16,BX16,BY16,BZ16)</f>
        <v>5871.7517423113732</v>
      </c>
      <c r="CB16" s="34">
        <f>CB11*CB13*CB15</f>
        <v>6410.7785522555578</v>
      </c>
      <c r="CC16" s="34">
        <f>CC11*CC13*CC15</f>
        <v>6966.2725138085007</v>
      </c>
      <c r="CD16" s="34">
        <f>CD11*CD13*CD15</f>
        <v>7497.4507929863994</v>
      </c>
      <c r="CE16" s="34">
        <f>CE11*CE13*CE15</f>
        <v>8069.1314159516105</v>
      </c>
      <c r="CF16" s="6"/>
      <c r="CH16" s="21">
        <f>IFERROR((CE16/BV16)^(1/5)-1,"n/m")</f>
        <v>0.10027665258218788</v>
      </c>
      <c r="CI16" s="21">
        <f>IFERROR((BV16/AW16)^(1/5)-1,"n/m")</f>
        <v>0.12561393002382015</v>
      </c>
      <c r="CJ16" s="21">
        <f>IFERROR((BV16/X16)^(1/10)-1,"n/m")</f>
        <v>0.10804334401069338</v>
      </c>
      <c r="CK16" s="21" t="str">
        <f>IFERROR((BV16/C16)^(1/19)-1,"n/m")</f>
        <v>n/m</v>
      </c>
      <c r="CN16" s="26" t="s">
        <v>107</v>
      </c>
      <c r="CP16" s="27">
        <v>223</v>
      </c>
      <c r="CR16" s="14" t="s">
        <v>108</v>
      </c>
    </row>
    <row r="17" spans="2:96" ht="15" customHeight="1" x14ac:dyDescent="0.25">
      <c r="B17" s="23" t="s">
        <v>109</v>
      </c>
      <c r="D17" s="24" t="str">
        <f t="shared" ref="D17:I17" si="9">IF(AND(ISNUMBER(D16),ISNUMBER(C16)),IFERROR(D16/C16-1,""),"")</f>
        <v/>
      </c>
      <c r="E17" s="24" t="str">
        <f t="shared" si="9"/>
        <v/>
      </c>
      <c r="F17" s="24" t="str">
        <f t="shared" si="9"/>
        <v/>
      </c>
      <c r="G17" s="24" t="str">
        <f t="shared" si="9"/>
        <v/>
      </c>
      <c r="H17" s="24" t="str">
        <f t="shared" si="9"/>
        <v/>
      </c>
      <c r="I17" s="24">
        <f t="shared" si="9"/>
        <v>7.4843389383448589E-2</v>
      </c>
      <c r="N17" s="24">
        <f t="shared" ref="N17:AS17" si="10">IF(AND(ISNUMBER(N16),ISNUMBER(I16)),IFERROR(N16/I16-1,""),"")</f>
        <v>3.335889570552153E-2</v>
      </c>
      <c r="O17" s="24">
        <f t="shared" si="10"/>
        <v>6.4971751412429279E-2</v>
      </c>
      <c r="P17" s="24">
        <f t="shared" si="10"/>
        <v>0.181410974244121</v>
      </c>
      <c r="Q17" s="24">
        <f t="shared" si="10"/>
        <v>0.16439688715953316</v>
      </c>
      <c r="R17" s="24">
        <f t="shared" si="10"/>
        <v>0.22403381642512077</v>
      </c>
      <c r="S17" s="24">
        <f t="shared" si="10"/>
        <v>0.16512059369202237</v>
      </c>
      <c r="T17" s="24">
        <f t="shared" si="10"/>
        <v>0.25881015536187957</v>
      </c>
      <c r="U17" s="24">
        <f t="shared" si="10"/>
        <v>0.1409952606635072</v>
      </c>
      <c r="V17" s="24">
        <f t="shared" si="10"/>
        <v>0.10693400167084377</v>
      </c>
      <c r="W17" s="24">
        <f t="shared" si="10"/>
        <v>0.10976813024173659</v>
      </c>
      <c r="X17" s="24">
        <f t="shared" si="10"/>
        <v>0.142484076433121</v>
      </c>
      <c r="Y17" s="24">
        <f t="shared" si="10"/>
        <v>0.22366044551475017</v>
      </c>
      <c r="Z17" s="24">
        <f t="shared" si="10"/>
        <v>7.2274143302180516E-2</v>
      </c>
      <c r="AA17" s="24">
        <f t="shared" si="10"/>
        <v>2.396226415094338E-2</v>
      </c>
      <c r="AB17" s="24">
        <f t="shared" si="10"/>
        <v>0.1140253389642143</v>
      </c>
      <c r="AC17" s="24">
        <f t="shared" si="10"/>
        <v>0.14896582483135412</v>
      </c>
      <c r="AD17" s="24">
        <f t="shared" si="10"/>
        <v>0.11045510455104535</v>
      </c>
      <c r="AE17" s="24">
        <f t="shared" si="10"/>
        <v>0.12027890761185356</v>
      </c>
      <c r="AF17" s="24">
        <f t="shared" si="10"/>
        <v>8.936797494011417E-2</v>
      </c>
      <c r="AG17" s="24">
        <f t="shared" si="10"/>
        <v>3.0127693535514588E-2</v>
      </c>
      <c r="AH17" s="24">
        <f t="shared" si="10"/>
        <v>3.7022660002911323E-2</v>
      </c>
      <c r="AI17" s="24">
        <f t="shared" si="10"/>
        <v>-5.8484714222419076E-2</v>
      </c>
      <c r="AJ17" s="24">
        <f t="shared" si="10"/>
        <v>0.15025587828492393</v>
      </c>
      <c r="AK17" s="24">
        <f t="shared" si="10"/>
        <v>0.16339648173207011</v>
      </c>
      <c r="AL17" s="24">
        <f t="shared" si="10"/>
        <v>0.11863064110013566</v>
      </c>
      <c r="AM17" s="24">
        <f t="shared" si="10"/>
        <v>0.10222393786262396</v>
      </c>
      <c r="AN17" s="24">
        <f t="shared" si="10"/>
        <v>0.27405411764705878</v>
      </c>
      <c r="AO17" s="24">
        <f t="shared" si="10"/>
        <v>0.13902433158777594</v>
      </c>
      <c r="AP17" s="24">
        <f t="shared" si="10"/>
        <v>0.19030677522535622</v>
      </c>
      <c r="AQ17" s="24">
        <f t="shared" si="10"/>
        <v>9.9984590052099476E-2</v>
      </c>
      <c r="AR17" s="24">
        <f t="shared" si="10"/>
        <v>0.17025495474117158</v>
      </c>
      <c r="AS17" s="24">
        <f t="shared" si="10"/>
        <v>5.3238111595591997E-2</v>
      </c>
      <c r="AT17" s="24">
        <f t="shared" ref="AT17:BX17" si="11">IF(AND(ISNUMBER(AT16),ISNUMBER(AO16)),IFERROR(AT16/AO16-1,""),"")</f>
        <v>-3.8294963592073739E-3</v>
      </c>
      <c r="AU17" s="24">
        <f t="shared" si="11"/>
        <v>-6.3263030220119143E-2</v>
      </c>
      <c r="AV17" s="24">
        <f t="shared" si="11"/>
        <v>6.5961482460904053E-2</v>
      </c>
      <c r="AW17" s="24">
        <f t="shared" si="11"/>
        <v>4.5568349259161867E-3</v>
      </c>
      <c r="AX17" s="24">
        <f t="shared" si="11"/>
        <v>4.0329651060846405E-3</v>
      </c>
      <c r="AY17" s="24">
        <f t="shared" si="11"/>
        <v>6.2127434097231315E-2</v>
      </c>
      <c r="AZ17" s="24">
        <f t="shared" si="11"/>
        <v>0.11761637762420141</v>
      </c>
      <c r="BA17" s="24">
        <f t="shared" si="11"/>
        <v>0.2212049616066154</v>
      </c>
      <c r="BB17" s="24">
        <f t="shared" si="11"/>
        <v>0.1044307225652692</v>
      </c>
      <c r="BC17" s="24">
        <f t="shared" si="11"/>
        <v>0.19786936779601816</v>
      </c>
      <c r="BD17" s="24">
        <f t="shared" si="11"/>
        <v>0.19131953105512611</v>
      </c>
      <c r="BE17" s="24">
        <f t="shared" si="11"/>
        <v>0.18504258546260655</v>
      </c>
      <c r="BF17" s="24">
        <f t="shared" si="11"/>
        <v>2.684401451027818E-2</v>
      </c>
      <c r="BG17" s="24">
        <f t="shared" si="11"/>
        <v>0.1463135523949648</v>
      </c>
      <c r="BH17" s="24">
        <f t="shared" si="11"/>
        <v>0.32949409534917629</v>
      </c>
      <c r="BI17" s="24">
        <f t="shared" si="11"/>
        <v>0.20540201005025138</v>
      </c>
      <c r="BJ17" s="24">
        <f t="shared" si="11"/>
        <v>0.19749926159299003</v>
      </c>
      <c r="BK17" s="24">
        <f t="shared" si="11"/>
        <v>0.20336787564766823</v>
      </c>
      <c r="BL17" s="24">
        <f t="shared" si="11"/>
        <v>0.22692527096406168</v>
      </c>
      <c r="BM17" s="24">
        <f t="shared" si="11"/>
        <v>-2.9498848557955926E-2</v>
      </c>
      <c r="BN17" s="24">
        <f t="shared" si="11"/>
        <v>7.8686816050026032E-2</v>
      </c>
      <c r="BO17" s="24">
        <f t="shared" si="11"/>
        <v>2.7706980185809416E-2</v>
      </c>
      <c r="BP17" s="24">
        <f t="shared" si="11"/>
        <v>0.1126333300714355</v>
      </c>
      <c r="BQ17" s="24">
        <f t="shared" si="11"/>
        <v>4.9376976008926876E-2</v>
      </c>
      <c r="BR17" s="24">
        <f t="shared" si="11"/>
        <v>0.13220338983050839</v>
      </c>
      <c r="BS17" s="24">
        <f t="shared" si="11"/>
        <v>6.2801932367149815E-2</v>
      </c>
      <c r="BT17" s="24">
        <f t="shared" si="11"/>
        <v>0.1664000000000001</v>
      </c>
      <c r="BU17" s="24">
        <f t="shared" si="11"/>
        <v>7.739665787159189E-2</v>
      </c>
      <c r="BV17" s="24">
        <f t="shared" si="11"/>
        <v>0.10855117412494453</v>
      </c>
      <c r="BW17" s="24">
        <f t="shared" si="11"/>
        <v>0.13972055888223545</v>
      </c>
      <c r="BX17" s="24">
        <f t="shared" si="11"/>
        <v>0.16136363636363638</v>
      </c>
      <c r="BY17" s="25">
        <f>IFERROR(BY16/BT16-1,"")</f>
        <v>0.19148406347796243</v>
      </c>
      <c r="BZ17" s="25">
        <f>IFERROR(BZ16/BU16-1,"")</f>
        <v>0.19148406347796243</v>
      </c>
      <c r="CA17" s="25">
        <f>IFERROR(CA16/BV16-1,"")</f>
        <v>0.17341161916694103</v>
      </c>
      <c r="CB17" s="25">
        <f>IFERROR(CB16/CA16-1,"")</f>
        <v>9.1800000000000104E-2</v>
      </c>
      <c r="CC17" s="25">
        <f>IFERROR(CC16/CB16-1,"")</f>
        <v>8.6649999999999894E-2</v>
      </c>
      <c r="CD17" s="25">
        <f>IFERROR(CD16/CC16-1,"")</f>
        <v>7.6250000000000151E-2</v>
      </c>
      <c r="CE17" s="25">
        <f>IFERROR(CE16/CD16-1,"")</f>
        <v>7.6249999999999707E-2</v>
      </c>
      <c r="CF17" s="6"/>
      <c r="CN17" s="26" t="s">
        <v>110</v>
      </c>
      <c r="CP17" s="35">
        <f>279/(1043+279)</f>
        <v>0.21104387291981846</v>
      </c>
      <c r="CR17" s="14" t="s">
        <v>111</v>
      </c>
    </row>
    <row r="18" spans="2:96" ht="15" customHeight="1" x14ac:dyDescent="0.25">
      <c r="B18" s="26" t="s">
        <v>112</v>
      </c>
      <c r="I18" s="36">
        <v>240.6</v>
      </c>
      <c r="J18" s="36">
        <v>2.1</v>
      </c>
      <c r="K18" s="36">
        <v>78.900000000000006</v>
      </c>
      <c r="L18" s="36">
        <v>108.2</v>
      </c>
      <c r="M18" s="36">
        <v>69.900000000000006</v>
      </c>
      <c r="N18" s="36">
        <v>259.10000000000002</v>
      </c>
      <c r="O18" s="36">
        <v>10.1</v>
      </c>
      <c r="P18" s="36">
        <v>100.1</v>
      </c>
      <c r="Q18" s="36">
        <v>119.3</v>
      </c>
      <c r="R18" s="36">
        <v>94.6</v>
      </c>
      <c r="S18" s="36">
        <v>324.10000000000002</v>
      </c>
      <c r="T18" s="36">
        <v>41.4</v>
      </c>
      <c r="U18" s="36">
        <v>137.19999999999999</v>
      </c>
      <c r="V18" s="36">
        <v>166.1</v>
      </c>
      <c r="W18" s="36">
        <v>122.2</v>
      </c>
      <c r="X18" s="36">
        <v>467</v>
      </c>
      <c r="Y18" s="36">
        <v>81.099999999999994</v>
      </c>
      <c r="Z18" s="36">
        <v>164.4</v>
      </c>
      <c r="AA18" s="36">
        <v>173</v>
      </c>
      <c r="AB18" s="36">
        <v>136.30000000000001</v>
      </c>
      <c r="AC18" s="36">
        <v>554.79999999999995</v>
      </c>
      <c r="AD18" s="36">
        <v>79.3</v>
      </c>
      <c r="AE18" s="36">
        <v>173.5</v>
      </c>
      <c r="AF18" s="36">
        <v>188</v>
      </c>
      <c r="AG18" s="36">
        <v>161.30000000000001</v>
      </c>
      <c r="AH18" s="36">
        <v>601.9</v>
      </c>
      <c r="AI18" s="36">
        <v>53</v>
      </c>
      <c r="AJ18" s="36">
        <v>198.54</v>
      </c>
      <c r="AK18" s="36">
        <v>209.08199999999999</v>
      </c>
      <c r="AL18" s="36">
        <v>146.13300000000001</v>
      </c>
      <c r="AM18" s="36">
        <v>606.75900000000001</v>
      </c>
      <c r="AN18" s="36">
        <v>97.561999999999998</v>
      </c>
      <c r="AO18" s="36">
        <v>251.422</v>
      </c>
      <c r="AP18" s="36">
        <v>287.024</v>
      </c>
      <c r="AQ18" s="36">
        <v>171.37700000000001</v>
      </c>
      <c r="AR18" s="36">
        <v>807.88400000000001</v>
      </c>
      <c r="AS18" s="36">
        <v>93.4</v>
      </c>
      <c r="AT18" s="36">
        <v>268</v>
      </c>
      <c r="AU18" s="36">
        <v>279.10000000000002</v>
      </c>
      <c r="AV18" s="36">
        <v>208.2</v>
      </c>
      <c r="AW18" s="36">
        <v>848.5</v>
      </c>
      <c r="AX18" s="36">
        <v>121.8</v>
      </c>
      <c r="AY18" s="36">
        <v>273</v>
      </c>
      <c r="AZ18" s="36">
        <v>292.89999999999998</v>
      </c>
      <c r="BA18" s="36">
        <v>217.1</v>
      </c>
      <c r="BB18" s="36">
        <v>904.8</v>
      </c>
      <c r="BC18" s="36">
        <v>101.9</v>
      </c>
      <c r="BD18" s="36">
        <v>309</v>
      </c>
      <c r="BE18" s="36">
        <v>330.3</v>
      </c>
      <c r="BF18" s="36">
        <v>239</v>
      </c>
      <c r="BG18" s="36">
        <v>980.3</v>
      </c>
      <c r="BH18" s="36">
        <v>238.1</v>
      </c>
      <c r="BI18" s="36">
        <v>370.9</v>
      </c>
      <c r="BJ18" s="36">
        <v>440.6</v>
      </c>
      <c r="BK18" s="36">
        <v>328.6</v>
      </c>
      <c r="BL18" s="36">
        <v>1378.1</v>
      </c>
      <c r="BM18" s="36">
        <v>239</v>
      </c>
      <c r="BN18" s="36">
        <v>392</v>
      </c>
      <c r="BO18" s="36">
        <v>438</v>
      </c>
      <c r="BP18" s="36">
        <v>379</v>
      </c>
      <c r="BQ18" s="36">
        <v>1449</v>
      </c>
      <c r="BR18" s="36">
        <v>297</v>
      </c>
      <c r="BS18" s="36">
        <v>430</v>
      </c>
      <c r="BT18" s="36">
        <v>531</v>
      </c>
      <c r="BU18" s="36">
        <v>420</v>
      </c>
      <c r="BV18" s="36">
        <v>1677</v>
      </c>
      <c r="BW18" s="36">
        <v>288</v>
      </c>
      <c r="BX18" s="36">
        <v>418</v>
      </c>
      <c r="BY18" s="37">
        <f>BY16*BY20</f>
        <v>588.09944343876271</v>
      </c>
      <c r="BZ18" s="37">
        <f>BZ16*BZ20</f>
        <v>462.96872642868431</v>
      </c>
      <c r="CA18" s="37">
        <f>SUM(BW18,BX18,BY18,BZ18)</f>
        <v>1757.0681698674468</v>
      </c>
      <c r="CB18" s="168">
        <f>CA18+CB27</f>
        <v>2118.3570545718658</v>
      </c>
      <c r="CC18" s="168">
        <f>CB18+CC27</f>
        <v>2484.7490757796504</v>
      </c>
      <c r="CD18" s="168">
        <f>CC18+CD27</f>
        <v>2840.4643660159977</v>
      </c>
      <c r="CE18" s="168">
        <f>CD18+CE27</f>
        <v>3223.3029471328646</v>
      </c>
      <c r="CF18" s="20" t="s">
        <v>820</v>
      </c>
      <c r="CH18" s="21">
        <f>IFERROR((CE18/BV18)^(1/5)-1,"n/m")</f>
        <v>0.1396030752726487</v>
      </c>
      <c r="CI18" s="21">
        <f>IFERROR((BV18/AW18)^(1/5)-1,"n/m")</f>
        <v>0.14597790205233108</v>
      </c>
      <c r="CJ18" s="21">
        <f>IFERROR((BV18/X18)^(1/10)-1,"n/m")</f>
        <v>0.13637486244811692</v>
      </c>
      <c r="CK18" s="21" t="str">
        <f>IFERROR((BV18/C18)^(1/19)-1,"n/m")</f>
        <v>n/m</v>
      </c>
      <c r="CN18" s="26" t="s">
        <v>113</v>
      </c>
      <c r="CP18" s="27">
        <v>800</v>
      </c>
      <c r="CR18" s="14" t="s">
        <v>114</v>
      </c>
    </row>
    <row r="19" spans="2:96" ht="15" customHeight="1" x14ac:dyDescent="0.25">
      <c r="B19" s="26" t="s">
        <v>115</v>
      </c>
      <c r="BY19" s="25">
        <f>BT20+(BW18+BX18)/(BW16+BX16)-(BR18+BS18)/(BR16+BS16)</f>
        <v>0.31503060257968613</v>
      </c>
      <c r="BZ19" s="25">
        <f>BU20+(BW18+BX18)/(BW16+BX16)-(BR18+BS18)/(BR16+BS16)</f>
        <v>0.29369021457263139</v>
      </c>
      <c r="CA19" s="6"/>
      <c r="CB19" s="6"/>
      <c r="CC19" s="6"/>
      <c r="CD19" s="6"/>
      <c r="CE19" s="6"/>
      <c r="CF19" s="20" t="s">
        <v>116</v>
      </c>
      <c r="CN19" s="26" t="s">
        <v>117</v>
      </c>
      <c r="CO19" s="27">
        <v>600</v>
      </c>
      <c r="CP19" s="27">
        <v>575</v>
      </c>
      <c r="CQ19" s="27">
        <v>550</v>
      </c>
      <c r="CR19" s="14" t="s">
        <v>118</v>
      </c>
    </row>
    <row r="20" spans="2:96" ht="15" customHeight="1" x14ac:dyDescent="0.25">
      <c r="B20" s="26" t="s">
        <v>119</v>
      </c>
      <c r="C20" s="38" t="str">
        <f t="shared" ref="C20:AH20" si="12">IF(AND(ISNUMBER(C18),ISNUMBER(C16)),IFERROR(C18/C16,""),"")</f>
        <v/>
      </c>
      <c r="D20" s="38" t="str">
        <f t="shared" si="12"/>
        <v/>
      </c>
      <c r="E20" s="38" t="str">
        <f t="shared" si="12"/>
        <v/>
      </c>
      <c r="F20" s="38" t="str">
        <f t="shared" si="12"/>
        <v/>
      </c>
      <c r="G20" s="38" t="str">
        <f t="shared" si="12"/>
        <v/>
      </c>
      <c r="H20" s="38" t="str">
        <f t="shared" si="12"/>
        <v/>
      </c>
      <c r="I20" s="38">
        <f t="shared" si="12"/>
        <v>0.18450920245398772</v>
      </c>
      <c r="J20" s="38">
        <f t="shared" si="12"/>
        <v>8.4745762711864406E-3</v>
      </c>
      <c r="K20" s="38">
        <f t="shared" si="12"/>
        <v>0.22088465845464728</v>
      </c>
      <c r="L20" s="38">
        <f t="shared" si="12"/>
        <v>0.26313229571984437</v>
      </c>
      <c r="M20" s="38">
        <f t="shared" si="12"/>
        <v>0.21105072463768118</v>
      </c>
      <c r="N20" s="38">
        <f t="shared" si="12"/>
        <v>0.19228200371057516</v>
      </c>
      <c r="O20" s="38">
        <f t="shared" si="12"/>
        <v>3.8272072754831375E-2</v>
      </c>
      <c r="P20" s="38">
        <f t="shared" si="12"/>
        <v>0.23720379146919429</v>
      </c>
      <c r="Q20" s="38">
        <f t="shared" si="12"/>
        <v>0.24916457811194653</v>
      </c>
      <c r="R20" s="38">
        <f t="shared" si="12"/>
        <v>0.23334977799703996</v>
      </c>
      <c r="S20" s="38">
        <f t="shared" si="12"/>
        <v>0.2064331210191083</v>
      </c>
      <c r="T20" s="38">
        <f t="shared" si="12"/>
        <v>0.12462372065021071</v>
      </c>
      <c r="U20" s="38">
        <f t="shared" si="12"/>
        <v>0.28494288681204566</v>
      </c>
      <c r="V20" s="38">
        <f t="shared" si="12"/>
        <v>0.31339622641509435</v>
      </c>
      <c r="W20" s="38">
        <f t="shared" si="12"/>
        <v>0.27161591464769952</v>
      </c>
      <c r="X20" s="38">
        <f t="shared" si="12"/>
        <v>0.26035568935719461</v>
      </c>
      <c r="Y20" s="38">
        <f t="shared" si="12"/>
        <v>0.19950799507995079</v>
      </c>
      <c r="Z20" s="38">
        <f t="shared" si="12"/>
        <v>0.31841952353282976</v>
      </c>
      <c r="AA20" s="38">
        <f t="shared" si="12"/>
        <v>0.31877648793071678</v>
      </c>
      <c r="AB20" s="38">
        <f t="shared" si="12"/>
        <v>0.27194732641660019</v>
      </c>
      <c r="AC20" s="38">
        <f t="shared" si="12"/>
        <v>0.26920277548643795</v>
      </c>
      <c r="AD20" s="38">
        <f t="shared" si="12"/>
        <v>0.17567567567567569</v>
      </c>
      <c r="AE20" s="38">
        <f t="shared" si="12"/>
        <v>0.29996542185338865</v>
      </c>
      <c r="AF20" s="38">
        <f t="shared" si="12"/>
        <v>0.31799729364005408</v>
      </c>
      <c r="AG20" s="38">
        <f t="shared" si="12"/>
        <v>0.31241526244431539</v>
      </c>
      <c r="AH20" s="38">
        <f t="shared" si="12"/>
        <v>0.28163017031630172</v>
      </c>
      <c r="AI20" s="38">
        <f t="shared" ref="AI20:BN20" si="13">IF(AND(ISNUMBER(AI18),ISNUMBER(AI16)),IFERROR(AI18/AI16,""),"")</f>
        <v>0.12470588235294118</v>
      </c>
      <c r="AJ20" s="38">
        <f t="shared" si="13"/>
        <v>0.29841817624318362</v>
      </c>
      <c r="AK20" s="38">
        <f t="shared" si="13"/>
        <v>0.3039866240186101</v>
      </c>
      <c r="AL20" s="38">
        <f t="shared" si="13"/>
        <v>0.2530226872525102</v>
      </c>
      <c r="AM20" s="38">
        <f t="shared" si="13"/>
        <v>0.25757352569732728</v>
      </c>
      <c r="AN20" s="38">
        <f t="shared" si="13"/>
        <v>0.18017888241888333</v>
      </c>
      <c r="AO20" s="38">
        <f t="shared" si="13"/>
        <v>0.33177795783067343</v>
      </c>
      <c r="AP20" s="38">
        <f t="shared" si="13"/>
        <v>0.35058807147489962</v>
      </c>
      <c r="AQ20" s="38">
        <f t="shared" si="13"/>
        <v>0.26975971792631775</v>
      </c>
      <c r="AR20" s="38">
        <f t="shared" si="13"/>
        <v>0.29305795472765278</v>
      </c>
      <c r="AS20" s="38">
        <f t="shared" si="13"/>
        <v>0.16377345256882345</v>
      </c>
      <c r="AT20" s="38">
        <f t="shared" si="13"/>
        <v>0.35501390912703673</v>
      </c>
      <c r="AU20" s="38">
        <f t="shared" si="13"/>
        <v>0.36393271612987355</v>
      </c>
      <c r="AV20" s="38">
        <f t="shared" si="13"/>
        <v>0.3074424099232132</v>
      </c>
      <c r="AW20" s="38">
        <f t="shared" si="13"/>
        <v>0.30639511789983026</v>
      </c>
      <c r="AX20" s="38">
        <f t="shared" si="13"/>
        <v>0.21271393643031783</v>
      </c>
      <c r="AY20" s="38">
        <f t="shared" si="13"/>
        <v>0.34048391119980048</v>
      </c>
      <c r="AZ20" s="38">
        <f t="shared" si="13"/>
        <v>0.34173375335433437</v>
      </c>
      <c r="BA20" s="38">
        <f t="shared" si="13"/>
        <v>0.26251511487303508</v>
      </c>
      <c r="BB20" s="38">
        <f t="shared" si="13"/>
        <v>0.2958312898479647</v>
      </c>
      <c r="BC20" s="38">
        <f t="shared" si="13"/>
        <v>0.14856393060212861</v>
      </c>
      <c r="BD20" s="38">
        <f t="shared" si="13"/>
        <v>0.32349246231155776</v>
      </c>
      <c r="BE20" s="38">
        <f t="shared" si="13"/>
        <v>0.3251944471792852</v>
      </c>
      <c r="BF20" s="38">
        <f t="shared" si="13"/>
        <v>0.28144135657089026</v>
      </c>
      <c r="BG20" s="38">
        <f t="shared" si="13"/>
        <v>0.27960638904734741</v>
      </c>
      <c r="BH20" s="38">
        <f t="shared" si="13"/>
        <v>0.2611031911393793</v>
      </c>
      <c r="BI20" s="38">
        <f t="shared" si="13"/>
        <v>0.32212958137919051</v>
      </c>
      <c r="BJ20" s="38">
        <f t="shared" si="13"/>
        <v>0.36224615637589413</v>
      </c>
      <c r="BK20" s="38">
        <f t="shared" si="13"/>
        <v>0.32155788237596639</v>
      </c>
      <c r="BL20" s="38">
        <f t="shared" si="13"/>
        <v>0.32036916496187462</v>
      </c>
      <c r="BM20" s="38">
        <f t="shared" si="13"/>
        <v>0.27005649717514124</v>
      </c>
      <c r="BN20" s="38">
        <f t="shared" si="13"/>
        <v>0.31561996779388085</v>
      </c>
      <c r="BO20" s="38">
        <f t="shared" ref="BO20:BX20" si="14">IF(AND(ISNUMBER(BO18),ISNUMBER(BO16)),IFERROR(BO18/BO16,""),"")</f>
        <v>0.35039999999999999</v>
      </c>
      <c r="BP20" s="38">
        <f t="shared" si="14"/>
        <v>0.33333333333333331</v>
      </c>
      <c r="BQ20" s="38">
        <f>IF(AND(ISNUMBER(BQ18),ISNUMBER(BQ16)),IFERROR(BQ18/BQ16,""),"")</f>
        <v>0.32100132919805052</v>
      </c>
      <c r="BR20" s="38">
        <f t="shared" si="14"/>
        <v>0.29640718562874252</v>
      </c>
      <c r="BS20" s="38">
        <f t="shared" si="14"/>
        <v>0.32575757575757575</v>
      </c>
      <c r="BT20" s="38">
        <f t="shared" si="14"/>
        <v>0.36419753086419754</v>
      </c>
      <c r="BU20" s="38">
        <f t="shared" si="14"/>
        <v>0.34285714285714286</v>
      </c>
      <c r="BV20" s="38">
        <f t="shared" si="14"/>
        <v>0.3351318944844125</v>
      </c>
      <c r="BW20" s="38">
        <f t="shared" si="14"/>
        <v>0.2521891418563923</v>
      </c>
      <c r="BX20" s="38">
        <f t="shared" si="14"/>
        <v>0.27266797129810827</v>
      </c>
      <c r="BY20" s="25">
        <f>BY19+BY127</f>
        <v>0.33853611542979722</v>
      </c>
      <c r="BZ20" s="25">
        <f>BZ19+BZ127</f>
        <v>0.31719572742274249</v>
      </c>
      <c r="CA20" s="25">
        <f>IFERROR(CA18/CA16,"")</f>
        <v>0.29924088193411758</v>
      </c>
      <c r="CB20" s="169">
        <f>IFERROR(CB18/CB16,"")</f>
        <v>0.33043678506513791</v>
      </c>
      <c r="CC20" s="169">
        <f>IFERROR(CC18/CC16,"")</f>
        <v>0.35668272678888124</v>
      </c>
      <c r="CD20" s="169">
        <f>IFERROR(CD18/CD16,"")</f>
        <v>0.37885735357851924</v>
      </c>
      <c r="CE20" s="169">
        <f>IFERROR(CE18/CE16,"")</f>
        <v>0.39946095570594115</v>
      </c>
      <c r="CF20" s="20" t="s">
        <v>821</v>
      </c>
      <c r="CH20" s="39">
        <f>IFERROR(AVERAGE(CA20,CB20,CC20,CD20,CE20),"n/m")</f>
        <v>0.35293574061451943</v>
      </c>
      <c r="CI20" s="39">
        <f>IFERROR(AVERAGE(BB20,BG20,BL20,BQ20,BV20),"n/m")</f>
        <v>0.31038801350792999</v>
      </c>
      <c r="CJ20" s="39">
        <f>IFERROR(AVERAGE(AC20,AH20,AM20,AR20,AW20,BB20,BG20,BL20,BQ20,BV20),"n/m")</f>
        <v>0.29597996116671998</v>
      </c>
      <c r="CK20" s="39">
        <f>IFERROR(AVERAGE(C20,D20,E20,F20,G20,H20,I20,N20,S20,X20,AC20,AH20,AM20,AR20,AW20,BB20,BG20,BL20,BQ20,BV20),"n/m")</f>
        <v>0.27166997344343324</v>
      </c>
      <c r="CN20" s="26" t="s">
        <v>120</v>
      </c>
      <c r="CP20" s="27">
        <v>85</v>
      </c>
      <c r="CR20" s="14" t="s">
        <v>121</v>
      </c>
    </row>
    <row r="21" spans="2:96" ht="15" customHeight="1" x14ac:dyDescent="0.25">
      <c r="B21" s="164" t="s">
        <v>122</v>
      </c>
      <c r="C21" s="165" t="str">
        <f t="shared" ref="C21:AH21" si="15">IF(AND(ISNUMBER(C18),ISNUMBER(C11)),IFERROR(C18/C11,""),"")</f>
        <v/>
      </c>
      <c r="D21" s="165" t="str">
        <f t="shared" si="15"/>
        <v/>
      </c>
      <c r="E21" s="165" t="str">
        <f t="shared" si="15"/>
        <v/>
      </c>
      <c r="F21" s="165" t="str">
        <f t="shared" si="15"/>
        <v/>
      </c>
      <c r="G21" s="165" t="str">
        <f t="shared" si="15"/>
        <v/>
      </c>
      <c r="H21" s="165" t="str">
        <f t="shared" si="15"/>
        <v/>
      </c>
      <c r="I21" s="165">
        <f t="shared" si="15"/>
        <v>1.8748392827921547</v>
      </c>
      <c r="J21" s="165">
        <f t="shared" si="15"/>
        <v>9.2190175161332807E-2</v>
      </c>
      <c r="K21" s="165">
        <f t="shared" si="15"/>
        <v>2.2820616648348473</v>
      </c>
      <c r="L21" s="165">
        <f t="shared" si="15"/>
        <v>2.7301859655320331</v>
      </c>
      <c r="M21" s="165">
        <f t="shared" si="15"/>
        <v>2.2227168659374206</v>
      </c>
      <c r="N21" s="165">
        <f t="shared" si="15"/>
        <v>2.0173942834006837</v>
      </c>
      <c r="O21" s="165">
        <f t="shared" si="15"/>
        <v>0.41025224420163287</v>
      </c>
      <c r="P21" s="165">
        <f t="shared" si="15"/>
        <v>2.5683789192795197</v>
      </c>
      <c r="Q21" s="165">
        <f t="shared" si="15"/>
        <v>2.6448223113929101</v>
      </c>
      <c r="R21" s="165">
        <f t="shared" si="15"/>
        <v>2.5327978580990629</v>
      </c>
      <c r="S21" s="165">
        <f t="shared" si="15"/>
        <v>2.2191030469017461</v>
      </c>
      <c r="T21" s="165">
        <f t="shared" si="15"/>
        <v>1.4357053682896379</v>
      </c>
      <c r="U21" s="165">
        <f t="shared" si="15"/>
        <v>3.2664333499988092</v>
      </c>
      <c r="V21" s="165">
        <f t="shared" si="15"/>
        <v>3.4952968161444411</v>
      </c>
      <c r="W21" s="165">
        <f t="shared" si="15"/>
        <v>3.2157048498723722</v>
      </c>
      <c r="X21" s="165">
        <f t="shared" si="15"/>
        <v>2.9855135466878062</v>
      </c>
      <c r="Y21" s="165">
        <f t="shared" si="15"/>
        <v>2.4827797336598807</v>
      </c>
      <c r="Z21" s="165">
        <f t="shared" si="15"/>
        <v>3.8633265967946611</v>
      </c>
      <c r="AA21" s="165">
        <f t="shared" si="15"/>
        <v>3.8241340436349169</v>
      </c>
      <c r="AB21" s="165">
        <f t="shared" si="15"/>
        <v>3.5710542863131423</v>
      </c>
      <c r="AC21" s="165">
        <f t="shared" si="15"/>
        <v>3.49753508252115</v>
      </c>
      <c r="AD21" s="165">
        <f t="shared" si="15"/>
        <v>2.4316948268988994</v>
      </c>
      <c r="AE21" s="165">
        <f t="shared" si="15"/>
        <v>3.9955783801211338</v>
      </c>
      <c r="AF21" s="165">
        <f t="shared" si="15"/>
        <v>4.291747517406689</v>
      </c>
      <c r="AG21" s="165">
        <f t="shared" si="15"/>
        <v>4.2606582492471876</v>
      </c>
      <c r="AH21" s="165">
        <f t="shared" si="15"/>
        <v>3.816789052492739</v>
      </c>
      <c r="AI21" s="165">
        <f t="shared" ref="AI21:BN21" si="16">IF(AND(ISNUMBER(AI18),ISNUMBER(AI11)),IFERROR(AI18/AI11,""),"")</f>
        <v>1.765489673550966</v>
      </c>
      <c r="AJ21" s="165">
        <f t="shared" si="16"/>
        <v>4.1089426519588566</v>
      </c>
      <c r="AK21" s="165">
        <f t="shared" si="16"/>
        <v>4.1547174310468167</v>
      </c>
      <c r="AL21" s="165">
        <f t="shared" si="16"/>
        <v>3.4650842956393904</v>
      </c>
      <c r="AM21" s="165">
        <f t="shared" si="16"/>
        <v>3.5517045587581069</v>
      </c>
      <c r="AN21" s="165">
        <f t="shared" si="16"/>
        <v>2.6165853135225015</v>
      </c>
      <c r="AO21" s="165">
        <f t="shared" si="16"/>
        <v>4.7301563411284402</v>
      </c>
      <c r="AP21" s="165">
        <f t="shared" si="16"/>
        <v>5.0649208562000387</v>
      </c>
      <c r="AQ21" s="165">
        <f t="shared" si="16"/>
        <v>3.9017598980033239</v>
      </c>
      <c r="AR21" s="165">
        <f t="shared" si="16"/>
        <v>4.226970689492795</v>
      </c>
      <c r="AS21" s="165">
        <f t="shared" si="16"/>
        <v>2.438642297650131</v>
      </c>
      <c r="AT21" s="165">
        <f t="shared" si="16"/>
        <v>5.234375</v>
      </c>
      <c r="AU21" s="165">
        <f t="shared" si="16"/>
        <v>5.3880308880308885</v>
      </c>
      <c r="AV21" s="165">
        <f t="shared" si="16"/>
        <v>4.606194690265486</v>
      </c>
      <c r="AW21" s="165">
        <f t="shared" si="16"/>
        <v>4.5495978552278817</v>
      </c>
      <c r="AX21" s="165">
        <f t="shared" si="16"/>
        <v>3.283018867924528</v>
      </c>
      <c r="AY21" s="165">
        <f t="shared" si="16"/>
        <v>5.1606805293005671</v>
      </c>
      <c r="AZ21" s="165">
        <f t="shared" si="16"/>
        <v>5.1385964912280695</v>
      </c>
      <c r="BA21" s="165">
        <f t="shared" si="16"/>
        <v>4.0055350553505535</v>
      </c>
      <c r="BB21" s="165">
        <f t="shared" si="16"/>
        <v>4.4970178926441351</v>
      </c>
      <c r="BC21" s="165">
        <f t="shared" si="16"/>
        <v>2.4204275534441804</v>
      </c>
      <c r="BD21" s="165">
        <f t="shared" si="16"/>
        <v>5.3460207612456747</v>
      </c>
      <c r="BE21" s="165">
        <f t="shared" si="16"/>
        <v>5.4867109634551499</v>
      </c>
      <c r="BF21" s="165">
        <f t="shared" si="16"/>
        <v>5.0104821802935007</v>
      </c>
      <c r="BG21" s="165">
        <f t="shared" si="16"/>
        <v>4.7197881559942223</v>
      </c>
      <c r="BH21" s="165">
        <f t="shared" si="16"/>
        <v>5.7098321342925651</v>
      </c>
      <c r="BI21" s="165">
        <f t="shared" si="16"/>
        <v>6.805504587155963</v>
      </c>
      <c r="BJ21" s="165">
        <f t="shared" si="16"/>
        <v>7.8819320214669055</v>
      </c>
      <c r="BK21" s="165">
        <f t="shared" si="16"/>
        <v>7.0515021459227469</v>
      </c>
      <c r="BL21" s="165">
        <f t="shared" si="16"/>
        <v>6.932092555331991</v>
      </c>
      <c r="BM21" s="165">
        <f t="shared" si="16"/>
        <v>6.5300546448087431</v>
      </c>
      <c r="BN21" s="165">
        <f t="shared" si="16"/>
        <v>7.3962264150943398</v>
      </c>
      <c r="BO21" s="165">
        <f t="shared" ref="BO21:BX21" si="17">IF(AND(ISNUMBER(BO18),ISNUMBER(BO11)),IFERROR(BO18/BO11,""),"")</f>
        <v>8.1564245810055862</v>
      </c>
      <c r="BP21" s="165">
        <f t="shared" si="17"/>
        <v>7.9123173277661794</v>
      </c>
      <c r="BQ21" s="165">
        <f t="shared" si="17"/>
        <v>7.582417582417583</v>
      </c>
      <c r="BR21" s="165">
        <f t="shared" si="17"/>
        <v>7.615384615384615</v>
      </c>
      <c r="BS21" s="165">
        <f t="shared" si="17"/>
        <v>8.159392789373813</v>
      </c>
      <c r="BT21" s="165">
        <f t="shared" si="17"/>
        <v>9.1709844559585498</v>
      </c>
      <c r="BU21" s="165">
        <f t="shared" si="17"/>
        <v>8.5889570552147241</v>
      </c>
      <c r="BV21" s="165">
        <f t="shared" si="17"/>
        <v>8.4483627204030221</v>
      </c>
      <c r="BW21" s="165">
        <f t="shared" si="17"/>
        <v>6.5603644646924835</v>
      </c>
      <c r="BX21" s="165">
        <f t="shared" si="17"/>
        <v>6.7857142857142856</v>
      </c>
      <c r="BY21" s="166">
        <f t="shared" ref="BY21:CE21" si="18">IFERROR(BY18/BY11,"")</f>
        <v>8.3521692559901677</v>
      </c>
      <c r="BZ21" s="166">
        <f t="shared" si="18"/>
        <v>7.7852018697881844</v>
      </c>
      <c r="CA21" s="166">
        <f>IFERROR(CA18/CA11,"")</f>
        <v>7.464797132183814</v>
      </c>
      <c r="CB21" s="166">
        <f>IFERROR(CB18/CB11,"")</f>
        <v>8.7375834563583155</v>
      </c>
      <c r="CC21" s="166">
        <f t="shared" si="18"/>
        <v>9.95033005242718</v>
      </c>
      <c r="CD21" s="166">
        <f t="shared" si="18"/>
        <v>11.097379264970698</v>
      </c>
      <c r="CE21" s="166">
        <f t="shared" si="18"/>
        <v>12.285938676923772</v>
      </c>
      <c r="CF21" s="6"/>
      <c r="CH21" s="21">
        <f>IFERROR((CE21/BV21)^(1/5)-1,"n/m")</f>
        <v>7.7772649479868283E-2</v>
      </c>
      <c r="CI21" s="21">
        <f>IFERROR((BV21/AW21)^(1/5)-1,"n/m")</f>
        <v>0.13177450931570012</v>
      </c>
      <c r="CJ21" s="21">
        <f>IFERROR((BV21/X21)^(1/10)-1,"n/m")</f>
        <v>0.1096227455931631</v>
      </c>
      <c r="CK21" s="21" t="str">
        <f>IFERROR((BV21/C21)^(1/19)-1,"n/m")</f>
        <v>n/m</v>
      </c>
      <c r="CN21" s="26" t="s">
        <v>123</v>
      </c>
      <c r="CO21" s="27">
        <v>100</v>
      </c>
      <c r="CP21" s="27">
        <v>0</v>
      </c>
      <c r="CQ21" s="27">
        <v>0</v>
      </c>
      <c r="CR21" s="14" t="s">
        <v>124</v>
      </c>
    </row>
    <row r="22" spans="2:96" ht="15" customHeight="1" x14ac:dyDescent="0.25">
      <c r="B22" s="23" t="s">
        <v>814</v>
      </c>
      <c r="D22" s="24" t="str">
        <f t="shared" ref="D22" si="19">IF(AND(ISNUMBER(D21),ISNUMBER(C21)),IFERROR(D21/C21-1,""),"")</f>
        <v/>
      </c>
      <c r="E22" s="24" t="str">
        <f t="shared" ref="E22" si="20">IF(AND(ISNUMBER(E21),ISNUMBER(D21)),IFERROR(E21/D21-1,""),"")</f>
        <v/>
      </c>
      <c r="F22" s="24" t="str">
        <f t="shared" ref="F22" si="21">IF(AND(ISNUMBER(F21),ISNUMBER(E21)),IFERROR(F21/E21-1,""),"")</f>
        <v/>
      </c>
      <c r="G22" s="24" t="str">
        <f t="shared" ref="G22" si="22">IF(AND(ISNUMBER(G21),ISNUMBER(F21)),IFERROR(G21/F21-1,""),"")</f>
        <v/>
      </c>
      <c r="H22" s="24" t="str">
        <f t="shared" ref="H22" si="23">IF(AND(ISNUMBER(H21),ISNUMBER(G21)),IFERROR(H21/G21-1,""),"")</f>
        <v/>
      </c>
      <c r="I22" s="24" t="str">
        <f t="shared" ref="I22" si="24">IF(AND(ISNUMBER(I21),ISNUMBER(H21)),IFERROR(I21/H21-1,""),"")</f>
        <v/>
      </c>
      <c r="N22" s="24">
        <f t="shared" ref="N22" si="25">IF(AND(ISNUMBER(N21),ISNUMBER(I21)),IFERROR(N21/I21-1,""),"")</f>
        <v>7.6035851135050514E-2</v>
      </c>
      <c r="O22" s="24">
        <f t="shared" ref="O22" si="26">IF(AND(ISNUMBER(O21),ISNUMBER(J21)),IFERROR(O21/J21-1,""),"")</f>
        <v>3.4500647003185687</v>
      </c>
      <c r="P22" s="24">
        <f t="shared" ref="P22" si="27">IF(AND(ISNUMBER(P21),ISNUMBER(K21)),IFERROR(P21/K21-1,""),"")</f>
        <v>0.12546429347490617</v>
      </c>
      <c r="Q22" s="24">
        <f t="shared" ref="Q22" si="28">IF(AND(ISNUMBER(Q21),ISNUMBER(L21)),IFERROR(Q21/L21-1,""),"")</f>
        <v>-3.1266607922251222E-2</v>
      </c>
      <c r="R22" s="24">
        <f t="shared" ref="R22" si="29">IF(AND(ISNUMBER(R21),ISNUMBER(M21)),IFERROR(R21/M21-1,""),"")</f>
        <v>0.13950539401286588</v>
      </c>
      <c r="S22" s="24">
        <f t="shared" ref="S22" si="30">IF(AND(ISNUMBER(S21),ISNUMBER(N21)),IFERROR(S21/N21-1,""),"")</f>
        <v>9.9984799778973121E-2</v>
      </c>
      <c r="T22" s="24">
        <f t="shared" ref="T22" si="31">IF(AND(ISNUMBER(T21),ISNUMBER(O21)),IFERROR(T21/O21-1,""),"")</f>
        <v>2.4995673724675838</v>
      </c>
      <c r="U22" s="24">
        <f t="shared" ref="U22" si="32">IF(AND(ISNUMBER(U21),ISNUMBER(P21)),IFERROR(U21/P21-1,""),"")</f>
        <v>0.27178794588265331</v>
      </c>
      <c r="V22" s="24">
        <f t="shared" ref="V22" si="33">IF(AND(ISNUMBER(V21),ISNUMBER(Q21)),IFERROR(V21/Q21-1,""),"")</f>
        <v>0.32156205771858604</v>
      </c>
      <c r="W22" s="24">
        <f t="shared" ref="W22" si="34">IF(AND(ISNUMBER(W21),ISNUMBER(R21)),IFERROR(W21/R21-1,""),"")</f>
        <v>0.26962554062085742</v>
      </c>
      <c r="X22" s="24">
        <f t="shared" ref="X22" si="35">IF(AND(ISNUMBER(X21),ISNUMBER(S21)),IFERROR(X21/S21-1,""),"")</f>
        <v>0.34536949550680052</v>
      </c>
      <c r="Y22" s="24">
        <f t="shared" ref="Y22" si="36">IF(AND(ISNUMBER(Y21),ISNUMBER(T21)),IFERROR(Y21/T21-1,""),"")</f>
        <v>0.72931005796657788</v>
      </c>
      <c r="Z22" s="24">
        <f t="shared" ref="Z22" si="37">IF(AND(ISNUMBER(Z21),ISNUMBER(U21)),IFERROR(Z21/U21-1,""),"")</f>
        <v>0.18273547409013235</v>
      </c>
      <c r="AA22" s="24">
        <f t="shared" ref="AA22" si="38">IF(AND(ISNUMBER(AA21),ISNUMBER(V21)),IFERROR(AA21/V21-1,""),"")</f>
        <v>9.4079915036573869E-2</v>
      </c>
      <c r="AB22" s="24">
        <f t="shared" ref="AB22" si="39">IF(AND(ISNUMBER(AB21),ISNUMBER(W21)),IFERROR(AB21/W21-1,""),"")</f>
        <v>0.11050436934685526</v>
      </c>
      <c r="AC22" s="24">
        <f t="shared" ref="AC22" si="40">IF(AND(ISNUMBER(AC21),ISNUMBER(X21)),IFERROR(AC21/X21-1,""),"")</f>
        <v>0.17150199716942893</v>
      </c>
      <c r="AD22" s="24">
        <f t="shared" ref="AD22" si="41">IF(AND(ISNUMBER(AD21),ISNUMBER(Y21)),IFERROR(AD21/Y21-1,""),"")</f>
        <v>-2.0575690250893452E-2</v>
      </c>
      <c r="AE22" s="24">
        <f t="shared" ref="AE22" si="42">IF(AND(ISNUMBER(AE21),ISNUMBER(Z21)),IFERROR(AE21/Z21-1,""),"")</f>
        <v>3.4232617929894849E-2</v>
      </c>
      <c r="AF22" s="24">
        <f t="shared" ref="AF22" si="43">IF(AND(ISNUMBER(AF21),ISNUMBER(AA21)),IFERROR(AF21/AA21-1,""),"")</f>
        <v>0.12227957190729022</v>
      </c>
      <c r="AG22" s="24">
        <f t="shared" ref="AG22" si="44">IF(AND(ISNUMBER(AG21),ISNUMBER(AB21)),IFERROR(AG21/AB21-1,""),"")</f>
        <v>0.19310934744876485</v>
      </c>
      <c r="AH22" s="24">
        <f t="shared" ref="AH22" si="45">IF(AND(ISNUMBER(AH21),ISNUMBER(AC21)),IFERROR(AH21/AC21-1,""),"")</f>
        <v>9.1279704831855213E-2</v>
      </c>
      <c r="AI22" s="24">
        <f t="shared" ref="AI22" si="46">IF(AND(ISNUMBER(AI21),ISNUMBER(AD21)),IFERROR(AI21/AD21-1,""),"")</f>
        <v>-0.27396741810629832</v>
      </c>
      <c r="AJ22" s="24">
        <f t="shared" ref="AJ22" si="47">IF(AND(ISNUMBER(AJ21),ISNUMBER(AE21)),IFERROR(AJ21/AE21-1,""),"")</f>
        <v>2.8372430985645236E-2</v>
      </c>
      <c r="AK22" s="24">
        <f t="shared" ref="AK22" si="48">IF(AND(ISNUMBER(AK21),ISNUMBER(AF21)),IFERROR(AK21/AF21-1,""),"")</f>
        <v>-3.1928739005288365E-2</v>
      </c>
      <c r="AL22" s="24">
        <f t="shared" ref="AL22" si="49">IF(AND(ISNUMBER(AL21),ISNUMBER(AG21)),IFERROR(AL21/AG21-1,""),"")</f>
        <v>-0.18672559662544319</v>
      </c>
      <c r="AM22" s="24">
        <f t="shared" ref="AM22" si="50">IF(AND(ISNUMBER(AM21),ISNUMBER(AH21)),IFERROR(AM21/AH21-1,""),"")</f>
        <v>-6.9452225441043458E-2</v>
      </c>
      <c r="AN22" s="24">
        <f t="shared" ref="AN22" si="51">IF(AND(ISNUMBER(AN21),ISNUMBER(AI21)),IFERROR(AN21/AI21-1,""),"")</f>
        <v>0.48207341720651886</v>
      </c>
      <c r="AO22" s="24">
        <f t="shared" ref="AO22" si="52">IF(AND(ISNUMBER(AO21),ISNUMBER(AJ21)),IFERROR(AO21/AJ21-1,""),"")</f>
        <v>0.15118577741001871</v>
      </c>
      <c r="AP22" s="24">
        <f t="shared" ref="AP22" si="53">IF(AND(ISNUMBER(AP21),ISNUMBER(AK21)),IFERROR(AP21/AK21-1,""),"")</f>
        <v>0.21907709495514083</v>
      </c>
      <c r="AQ22" s="24">
        <f t="shared" ref="AQ22" si="54">IF(AND(ISNUMBER(AQ21),ISNUMBER(AL21)),IFERROR(AQ21/AL21-1,""),"")</f>
        <v>0.12602163904452901</v>
      </c>
      <c r="AR22" s="24">
        <f t="shared" ref="AR22" si="55">IF(AND(ISNUMBER(AR21),ISNUMBER(AM21)),IFERROR(AR21/AM21-1,""),"")</f>
        <v>0.19012452177914319</v>
      </c>
      <c r="AS22" s="24">
        <f t="shared" ref="AS22" si="56">IF(AND(ISNUMBER(AS21),ISNUMBER(AN21)),IFERROR(AS21/AN21-1,""),"")</f>
        <v>-6.800581465957245E-2</v>
      </c>
      <c r="AT22" s="24">
        <f t="shared" ref="AT22" si="57">IF(AND(ISNUMBER(AT21),ISNUMBER(AO21)),IFERROR(AT21/AO21-1,""),"")</f>
        <v>0.10659661594848502</v>
      </c>
      <c r="AU22" s="24">
        <f t="shared" ref="AU22" si="58">IF(AND(ISNUMBER(AU21),ISNUMBER(AP21)),IFERROR(AU21/AP21-1,""),"")</f>
        <v>6.3793698066441973E-2</v>
      </c>
      <c r="AV22" s="24">
        <f t="shared" ref="AV22" si="59">IF(AND(ISNUMBER(AV21),ISNUMBER(AQ21)),IFERROR(AV21/AQ21-1,""),"")</f>
        <v>0.18054283468919952</v>
      </c>
      <c r="AW22" s="24">
        <f t="shared" ref="AW22" si="60">IF(AND(ISNUMBER(AW21),ISNUMBER(AR21)),IFERROR(AW21/AR21-1,""),"")</f>
        <v>7.6325858264657098E-2</v>
      </c>
      <c r="AX22" s="24">
        <f t="shared" ref="AX22" si="61">IF(AND(ISNUMBER(AX21),ISNUMBER(AS21)),IFERROR(AX21/AS21-1,""),"")</f>
        <v>0.34624863641873027</v>
      </c>
      <c r="AY22" s="24">
        <f t="shared" ref="AY22" si="62">IF(AND(ISNUMBER(AY21),ISNUMBER(AT21)),IFERROR(AY21/AT21-1,""),"")</f>
        <v>-1.4078943656011034E-2</v>
      </c>
      <c r="AZ22" s="24">
        <f t="shared" ref="AZ22" si="63">IF(AND(ISNUMBER(AZ21),ISNUMBER(AU21)),IFERROR(AZ21/AU21-1,""),"")</f>
        <v>-4.6294166085223964E-2</v>
      </c>
      <c r="BA22" s="24">
        <f t="shared" ref="BA22" si="64">IF(AND(ISNUMBER(BA21),ISNUMBER(AV21)),IFERROR(BA21/AV21-1,""),"")</f>
        <v>-0.13040257203724759</v>
      </c>
      <c r="BB22" s="24">
        <f t="shared" ref="BB22" si="65">IF(AND(ISNUMBER(BB21),ISNUMBER(AW21)),IFERROR(BB21/AW21-1,""),"")</f>
        <v>-1.1557057185466957E-2</v>
      </c>
      <c r="BC22" s="24">
        <f t="shared" ref="BC22" si="66">IF(AND(ISNUMBER(BC21),ISNUMBER(AX21)),IFERROR(BC21/AX21-1,""),"")</f>
        <v>-0.26274333142217488</v>
      </c>
      <c r="BD22" s="24">
        <f t="shared" ref="BD22" si="67">IF(AND(ISNUMBER(BD21),ISNUMBER(AY21)),IFERROR(BD21/AY21-1,""),"")</f>
        <v>3.5913913076542903E-2</v>
      </c>
      <c r="BE22" s="24">
        <f t="shared" ref="BE22" si="68">IF(AND(ISNUMBER(BE21),ISNUMBER(AZ21)),IFERROR(BE21/AZ21-1,""),"")</f>
        <v>6.774504922138469E-2</v>
      </c>
      <c r="BF22" s="24">
        <f t="shared" ref="BF22" si="69">IF(AND(ISNUMBER(BF21),ISNUMBER(BA21)),IFERROR(BF21/BA21-1,""),"")</f>
        <v>0.25088960926719373</v>
      </c>
      <c r="BG22" s="24">
        <f t="shared" ref="BG22" si="70">IF(AND(ISNUMBER(BG21),ISNUMBER(BB21)),IFERROR(BG21/BB21-1,""),"")</f>
        <v>4.9537330886425313E-2</v>
      </c>
      <c r="BH22" s="24">
        <f t="shared" ref="BH22" si="71">IF(AND(ISNUMBER(BH21),ISNUMBER(BC21)),IFERROR(BH21/BC21-1,""),"")</f>
        <v>1.3590179867881944</v>
      </c>
      <c r="BI22" s="24">
        <f t="shared" ref="BI22" si="72">IF(AND(ISNUMBER(BI21),ISNUMBER(BD21)),IFERROR(BI21/BD21-1,""),"")</f>
        <v>0.27300377067189219</v>
      </c>
      <c r="BJ22" s="24">
        <f t="shared" ref="BJ22" si="73">IF(AND(ISNUMBER(BJ21),ISNUMBER(BE21)),IFERROR(BJ21/BE21-1,""),"")</f>
        <v>0.43654952374298417</v>
      </c>
      <c r="BK22" s="24">
        <f t="shared" ref="BK22" si="74">IF(AND(ISNUMBER(BK21),ISNUMBER(BF21)),IFERROR(BK21/BF21-1,""),"")</f>
        <v>0.40735000987663206</v>
      </c>
      <c r="BL22" s="24">
        <f t="shared" ref="BL22" si="75">IF(AND(ISNUMBER(BL21),ISNUMBER(BG21)),IFERROR(BL21/BG21-1,""),"")</f>
        <v>0.46872959679940274</v>
      </c>
      <c r="BM22" s="24">
        <f t="shared" ref="BM22" si="76">IF(AND(ISNUMBER(BM21),ISNUMBER(BH21)),IFERROR(BM21/BH21-1,""),"")</f>
        <v>0.14365089747385396</v>
      </c>
      <c r="BN22" s="24">
        <f t="shared" ref="BN22" si="77">IF(AND(ISNUMBER(BN21),ISNUMBER(BI21)),IFERROR(BN21/BI21-1,""),"")</f>
        <v>8.6800592134379961E-2</v>
      </c>
      <c r="BO22" s="24">
        <f t="shared" ref="BO22" si="78">IF(AND(ISNUMBER(BO21),ISNUMBER(BJ21)),IFERROR(BO21/BJ21-1,""),"")</f>
        <v>3.4825542619637329E-2</v>
      </c>
      <c r="BP22" s="24">
        <f t="shared" ref="BP22" si="79">IF(AND(ISNUMBER(BP21),ISNUMBER(BK21)),IFERROR(BP21/BK21-1,""),"")</f>
        <v>0.12207543357852702</v>
      </c>
      <c r="BQ22" s="24">
        <f t="shared" ref="BQ22" si="80">IF(AND(ISNUMBER(BQ21),ISNUMBER(BL21)),IFERROR(BQ21/BL21-1,""),"")</f>
        <v>9.3813667647206778E-2</v>
      </c>
      <c r="BR22" s="24">
        <f t="shared" ref="BR22" si="81">IF(AND(ISNUMBER(BR21),ISNUMBER(BM21)),IFERROR(BR21/BM21-1,""),"")</f>
        <v>0.16620534277438037</v>
      </c>
      <c r="BS22" s="24">
        <f t="shared" ref="BS22" si="82">IF(AND(ISNUMBER(BS21),ISNUMBER(BN21)),IFERROR(BS21/BN21-1,""),"")</f>
        <v>0.10318320876737785</v>
      </c>
      <c r="BT22" s="24">
        <f t="shared" ref="BT22" si="83">IF(AND(ISNUMBER(BT21),ISNUMBER(BO21)),IFERROR(BT21/BO21-1,""),"")</f>
        <v>0.12438782028532902</v>
      </c>
      <c r="BU22" s="24">
        <f t="shared" ref="BU22" si="84">IF(AND(ISNUMBER(BU21),ISNUMBER(BP21)),IFERROR(BU21/BP21-1,""),"")</f>
        <v>8.5517263706557545E-2</v>
      </c>
      <c r="BV22" s="24">
        <f t="shared" ref="BV22" si="85">IF(AND(ISNUMBER(BV21),ISNUMBER(BQ21)),IFERROR(BV21/BQ21-1,""),"")</f>
        <v>0.11420435877778967</v>
      </c>
      <c r="BW22" s="24">
        <f t="shared" ref="BW22" si="86">IF(AND(ISNUMBER(BW21),ISNUMBER(BR21)),IFERROR(BW21/BR21-1,""),"")</f>
        <v>-0.13853799958583546</v>
      </c>
      <c r="BX22" s="24">
        <f t="shared" ref="BX22" si="87">IF(AND(ISNUMBER(BX21),ISNUMBER(BS21)),IFERROR(BX21/BS21-1,""),"")</f>
        <v>-0.16835548172757464</v>
      </c>
      <c r="BY22" s="25">
        <f>IFERROR(BY21/BT21-1,"")</f>
        <v>-8.9283239318586283E-2</v>
      </c>
      <c r="BZ22" s="25">
        <f>IFERROR(BZ21/BU21-1,"")</f>
        <v>-9.3580068017518503E-2</v>
      </c>
      <c r="CA22" s="25">
        <f>IFERROR(CA21/BV21-1,"")</f>
        <v>-0.11642085227281618</v>
      </c>
      <c r="CB22" s="25">
        <f>IFERROR(CB21/CA21-1,"")</f>
        <v>0.17050514590503685</v>
      </c>
      <c r="CC22" s="25">
        <f>IFERROR(CC21/CB21-1,"")</f>
        <v>0.13879656796712503</v>
      </c>
      <c r="CD22" s="25">
        <f>IFERROR(CD21/CC21-1,"")</f>
        <v>0.1152775040124141</v>
      </c>
      <c r="CE22" s="25">
        <f>IFERROR(CE21/CD21-1,"")</f>
        <v>0.10710271169201246</v>
      </c>
      <c r="CF22" s="6"/>
      <c r="CH22" s="21"/>
      <c r="CI22" s="21"/>
      <c r="CJ22" s="21"/>
      <c r="CK22" s="21"/>
      <c r="CN22" s="26"/>
      <c r="CO22" s="27"/>
      <c r="CP22" s="27"/>
      <c r="CQ22" s="27"/>
      <c r="CR22" s="14"/>
    </row>
    <row r="23" spans="2:96" ht="15" hidden="1" customHeight="1" outlineLevel="2" x14ac:dyDescent="0.25">
      <c r="B23" s="23" t="s">
        <v>815</v>
      </c>
      <c r="D23" s="24"/>
      <c r="E23" s="24"/>
      <c r="F23" s="24"/>
      <c r="G23" s="24"/>
      <c r="H23" s="24"/>
      <c r="I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5"/>
      <c r="BZ23" s="25"/>
      <c r="CA23" s="25"/>
      <c r="CB23" s="168">
        <f>CA16*(CB11/CA11-1)</f>
        <v>176.15255226934136</v>
      </c>
      <c r="CC23" s="168">
        <f>CB16*(CC11/CB11-1)</f>
        <v>192.32335656766691</v>
      </c>
      <c r="CD23" s="168">
        <f>CC16*(CD11/CC11-1)</f>
        <v>174.1568128452119</v>
      </c>
      <c r="CE23" s="168">
        <f>CD16*(CE11/CD11-1)</f>
        <v>187.43626982465932</v>
      </c>
      <c r="CF23" s="163" t="s">
        <v>822</v>
      </c>
      <c r="CH23" s="21"/>
      <c r="CI23" s="21"/>
      <c r="CJ23" s="21"/>
      <c r="CK23" s="21"/>
      <c r="CN23" s="26"/>
      <c r="CO23" s="27"/>
      <c r="CP23" s="27"/>
      <c r="CQ23" s="27"/>
      <c r="CR23" s="14"/>
    </row>
    <row r="24" spans="2:96" ht="15" hidden="1" customHeight="1" outlineLevel="2" x14ac:dyDescent="0.25">
      <c r="B24" s="23" t="s">
        <v>816</v>
      </c>
      <c r="D24" s="24"/>
      <c r="E24" s="24"/>
      <c r="F24" s="24"/>
      <c r="G24" s="24"/>
      <c r="H24" s="24"/>
      <c r="I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5"/>
      <c r="BZ24" s="25"/>
      <c r="CA24" s="25"/>
      <c r="CB24" s="168">
        <f>CB16-CA16-CB23</f>
        <v>362.87425767484325</v>
      </c>
      <c r="CC24" s="168">
        <f>CC16-CB16-CC23</f>
        <v>363.17060498527599</v>
      </c>
      <c r="CD24" s="168">
        <f>CD16-CC16-CD23</f>
        <v>357.02146633268683</v>
      </c>
      <c r="CE24" s="168">
        <f>CE16-CD16-CE23</f>
        <v>384.24435314055177</v>
      </c>
      <c r="CF24" s="163"/>
      <c r="CH24" s="21"/>
      <c r="CI24" s="21"/>
      <c r="CJ24" s="21"/>
      <c r="CK24" s="21"/>
      <c r="CN24" s="26"/>
      <c r="CO24" s="27"/>
      <c r="CP24" s="27"/>
      <c r="CQ24" s="27"/>
      <c r="CR24" s="14"/>
    </row>
    <row r="25" spans="2:96" ht="15" hidden="1" customHeight="1" outlineLevel="2" x14ac:dyDescent="0.25">
      <c r="B25" s="23" t="s">
        <v>817</v>
      </c>
      <c r="D25" s="24"/>
      <c r="E25" s="24"/>
      <c r="F25" s="24"/>
      <c r="G25" s="24"/>
      <c r="H25" s="24"/>
      <c r="I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5"/>
      <c r="BZ25" s="25"/>
      <c r="CA25" s="25"/>
      <c r="CB25" s="167">
        <v>0.85</v>
      </c>
      <c r="CC25" s="167">
        <v>0.85</v>
      </c>
      <c r="CD25" s="167">
        <v>0.85</v>
      </c>
      <c r="CE25" s="167">
        <v>0.85</v>
      </c>
      <c r="CF25" s="163" t="s">
        <v>823</v>
      </c>
      <c r="CH25" s="21"/>
      <c r="CI25" s="21"/>
      <c r="CJ25" s="21"/>
      <c r="CK25" s="21"/>
      <c r="CN25" s="26"/>
      <c r="CO25" s="27"/>
      <c r="CP25" s="27"/>
      <c r="CQ25" s="27"/>
      <c r="CR25" s="14"/>
    </row>
    <row r="26" spans="2:96" ht="15" hidden="1" customHeight="1" outlineLevel="2" x14ac:dyDescent="0.25">
      <c r="B26" s="23" t="s">
        <v>818</v>
      </c>
      <c r="D26" s="24"/>
      <c r="E26" s="24"/>
      <c r="F26" s="24"/>
      <c r="G26" s="24"/>
      <c r="H26" s="24"/>
      <c r="I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5"/>
      <c r="BZ26" s="25"/>
      <c r="CA26" s="25"/>
      <c r="CB26" s="167">
        <v>0.3</v>
      </c>
      <c r="CC26" s="167">
        <v>0.3</v>
      </c>
      <c r="CD26" s="167">
        <v>0.3</v>
      </c>
      <c r="CE26" s="167">
        <v>0.3</v>
      </c>
      <c r="CF26" s="163" t="s">
        <v>824</v>
      </c>
      <c r="CH26" s="21"/>
      <c r="CI26" s="21"/>
      <c r="CJ26" s="21"/>
      <c r="CK26" s="21"/>
      <c r="CN26" s="26"/>
      <c r="CO26" s="27"/>
      <c r="CP26" s="27"/>
      <c r="CQ26" s="27"/>
      <c r="CR26" s="14"/>
    </row>
    <row r="27" spans="2:96" ht="15" hidden="1" customHeight="1" outlineLevel="2" x14ac:dyDescent="0.25">
      <c r="B27" s="23" t="s">
        <v>819</v>
      </c>
      <c r="D27" s="24"/>
      <c r="E27" s="24"/>
      <c r="F27" s="24"/>
      <c r="G27" s="24"/>
      <c r="H27" s="24"/>
      <c r="I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5"/>
      <c r="BZ27" s="25"/>
      <c r="CA27" s="25"/>
      <c r="CB27" s="168">
        <f>CB24*CB25+CB23*CB26</f>
        <v>361.28888470441916</v>
      </c>
      <c r="CC27" s="168">
        <f>CC24*CC25+CC23*CC26</f>
        <v>366.39202120778464</v>
      </c>
      <c r="CD27" s="168">
        <f>CD24*CD25+CD23*CD26</f>
        <v>355.71529023634736</v>
      </c>
      <c r="CE27" s="168">
        <f>CE24*CE25+CE23*CE26</f>
        <v>382.83858111686681</v>
      </c>
      <c r="CF27" s="163"/>
      <c r="CH27" s="21"/>
      <c r="CI27" s="21"/>
      <c r="CJ27" s="21"/>
      <c r="CK27" s="21"/>
      <c r="CN27" s="26"/>
      <c r="CO27" s="27"/>
      <c r="CP27" s="27"/>
      <c r="CQ27" s="27"/>
      <c r="CR27" s="14"/>
    </row>
    <row r="28" spans="2:96" ht="15" hidden="1" customHeight="1" outlineLevel="2" x14ac:dyDescent="0.25">
      <c r="B28" s="26" t="s">
        <v>125</v>
      </c>
      <c r="BR28" s="36">
        <v>113</v>
      </c>
      <c r="BS28" s="36">
        <v>125</v>
      </c>
      <c r="BW28" s="36">
        <v>131</v>
      </c>
      <c r="BX28" s="36">
        <v>166</v>
      </c>
      <c r="BY28" s="6"/>
      <c r="BZ28" s="6"/>
      <c r="CA28" s="6"/>
      <c r="CB28" s="6"/>
      <c r="CC28" s="6"/>
      <c r="CD28" s="6"/>
      <c r="CE28" s="6"/>
      <c r="CF28" s="6"/>
      <c r="CN28" s="26" t="s">
        <v>126</v>
      </c>
      <c r="CO28" s="41">
        <v>2.5</v>
      </c>
      <c r="CP28" s="41">
        <v>2.25</v>
      </c>
      <c r="CQ28" s="41">
        <v>2</v>
      </c>
      <c r="CR28" s="14" t="s">
        <v>127</v>
      </c>
    </row>
    <row r="29" spans="2:96" ht="15" hidden="1" customHeight="1" outlineLevel="2" x14ac:dyDescent="0.25">
      <c r="B29" s="26" t="s">
        <v>128</v>
      </c>
      <c r="C29" s="40" t="str">
        <f t="shared" ref="C29:AH29" si="88">IFERROR(IF(ISNUMBER(C28),(C18+C28)/C11,""),"")</f>
        <v/>
      </c>
      <c r="D29" s="40" t="str">
        <f t="shared" si="88"/>
        <v/>
      </c>
      <c r="E29" s="40" t="str">
        <f t="shared" si="88"/>
        <v/>
      </c>
      <c r="F29" s="40" t="str">
        <f t="shared" si="88"/>
        <v/>
      </c>
      <c r="G29" s="40" t="str">
        <f t="shared" si="88"/>
        <v/>
      </c>
      <c r="H29" s="40" t="str">
        <f t="shared" si="88"/>
        <v/>
      </c>
      <c r="I29" s="40" t="str">
        <f t="shared" si="88"/>
        <v/>
      </c>
      <c r="J29" s="40" t="str">
        <f t="shared" si="88"/>
        <v/>
      </c>
      <c r="K29" s="40" t="str">
        <f t="shared" si="88"/>
        <v/>
      </c>
      <c r="L29" s="40" t="str">
        <f t="shared" si="88"/>
        <v/>
      </c>
      <c r="M29" s="40" t="str">
        <f t="shared" si="88"/>
        <v/>
      </c>
      <c r="N29" s="40" t="str">
        <f t="shared" si="88"/>
        <v/>
      </c>
      <c r="O29" s="40" t="str">
        <f t="shared" si="88"/>
        <v/>
      </c>
      <c r="P29" s="40" t="str">
        <f t="shared" si="88"/>
        <v/>
      </c>
      <c r="Q29" s="40" t="str">
        <f t="shared" si="88"/>
        <v/>
      </c>
      <c r="R29" s="40" t="str">
        <f t="shared" si="88"/>
        <v/>
      </c>
      <c r="S29" s="40" t="str">
        <f t="shared" si="88"/>
        <v/>
      </c>
      <c r="T29" s="40" t="str">
        <f t="shared" si="88"/>
        <v/>
      </c>
      <c r="U29" s="40" t="str">
        <f t="shared" si="88"/>
        <v/>
      </c>
      <c r="V29" s="40" t="str">
        <f t="shared" si="88"/>
        <v/>
      </c>
      <c r="W29" s="40" t="str">
        <f t="shared" si="88"/>
        <v/>
      </c>
      <c r="X29" s="40" t="str">
        <f t="shared" si="88"/>
        <v/>
      </c>
      <c r="Y29" s="40" t="str">
        <f t="shared" si="88"/>
        <v/>
      </c>
      <c r="Z29" s="40" t="str">
        <f t="shared" si="88"/>
        <v/>
      </c>
      <c r="AA29" s="40" t="str">
        <f t="shared" si="88"/>
        <v/>
      </c>
      <c r="AB29" s="40" t="str">
        <f t="shared" si="88"/>
        <v/>
      </c>
      <c r="AC29" s="40" t="str">
        <f t="shared" si="88"/>
        <v/>
      </c>
      <c r="AD29" s="40" t="str">
        <f t="shared" si="88"/>
        <v/>
      </c>
      <c r="AE29" s="40" t="str">
        <f t="shared" si="88"/>
        <v/>
      </c>
      <c r="AF29" s="40" t="str">
        <f t="shared" si="88"/>
        <v/>
      </c>
      <c r="AG29" s="40" t="str">
        <f t="shared" si="88"/>
        <v/>
      </c>
      <c r="AH29" s="40" t="str">
        <f t="shared" si="88"/>
        <v/>
      </c>
      <c r="AI29" s="40" t="str">
        <f t="shared" ref="AI29:BN29" si="89">IFERROR(IF(ISNUMBER(AI28),(AI18+AI28)/AI11,""),"")</f>
        <v/>
      </c>
      <c r="AJ29" s="40" t="str">
        <f t="shared" si="89"/>
        <v/>
      </c>
      <c r="AK29" s="40" t="str">
        <f t="shared" si="89"/>
        <v/>
      </c>
      <c r="AL29" s="40" t="str">
        <f t="shared" si="89"/>
        <v/>
      </c>
      <c r="AM29" s="40" t="str">
        <f t="shared" si="89"/>
        <v/>
      </c>
      <c r="AN29" s="40" t="str">
        <f t="shared" si="89"/>
        <v/>
      </c>
      <c r="AO29" s="40" t="str">
        <f t="shared" si="89"/>
        <v/>
      </c>
      <c r="AP29" s="40" t="str">
        <f t="shared" si="89"/>
        <v/>
      </c>
      <c r="AQ29" s="40" t="str">
        <f t="shared" si="89"/>
        <v/>
      </c>
      <c r="AR29" s="40" t="str">
        <f t="shared" si="89"/>
        <v/>
      </c>
      <c r="AS29" s="40" t="str">
        <f t="shared" si="89"/>
        <v/>
      </c>
      <c r="AT29" s="40" t="str">
        <f t="shared" si="89"/>
        <v/>
      </c>
      <c r="AU29" s="40" t="str">
        <f t="shared" si="89"/>
        <v/>
      </c>
      <c r="AV29" s="40" t="str">
        <f t="shared" si="89"/>
        <v/>
      </c>
      <c r="AW29" s="40" t="str">
        <f t="shared" si="89"/>
        <v/>
      </c>
      <c r="AX29" s="40" t="str">
        <f t="shared" si="89"/>
        <v/>
      </c>
      <c r="AY29" s="40" t="str">
        <f t="shared" si="89"/>
        <v/>
      </c>
      <c r="AZ29" s="40" t="str">
        <f t="shared" si="89"/>
        <v/>
      </c>
      <c r="BA29" s="40" t="str">
        <f t="shared" si="89"/>
        <v/>
      </c>
      <c r="BB29" s="40" t="str">
        <f t="shared" si="89"/>
        <v/>
      </c>
      <c r="BC29" s="40" t="str">
        <f t="shared" si="89"/>
        <v/>
      </c>
      <c r="BD29" s="40" t="str">
        <f t="shared" si="89"/>
        <v/>
      </c>
      <c r="BE29" s="40" t="str">
        <f t="shared" si="89"/>
        <v/>
      </c>
      <c r="BF29" s="40" t="str">
        <f t="shared" si="89"/>
        <v/>
      </c>
      <c r="BG29" s="40" t="str">
        <f t="shared" si="89"/>
        <v/>
      </c>
      <c r="BH29" s="40" t="str">
        <f t="shared" si="89"/>
        <v/>
      </c>
      <c r="BI29" s="40" t="str">
        <f t="shared" si="89"/>
        <v/>
      </c>
      <c r="BJ29" s="40" t="str">
        <f t="shared" si="89"/>
        <v/>
      </c>
      <c r="BK29" s="40" t="str">
        <f t="shared" si="89"/>
        <v/>
      </c>
      <c r="BL29" s="40" t="str">
        <f t="shared" si="89"/>
        <v/>
      </c>
      <c r="BM29" s="40" t="str">
        <f t="shared" si="89"/>
        <v/>
      </c>
      <c r="BN29" s="40" t="str">
        <f t="shared" si="89"/>
        <v/>
      </c>
      <c r="BO29" s="40" t="str">
        <f t="shared" ref="BO29:BX29" si="90">IFERROR(IF(ISNUMBER(BO28),(BO18+BO28)/BO11,""),"")</f>
        <v/>
      </c>
      <c r="BP29" s="40" t="str">
        <f t="shared" si="90"/>
        <v/>
      </c>
      <c r="BQ29" s="40" t="str">
        <f t="shared" si="90"/>
        <v/>
      </c>
      <c r="BR29" s="40">
        <f t="shared" si="90"/>
        <v>10.512820512820513</v>
      </c>
      <c r="BS29" s="40">
        <f t="shared" si="90"/>
        <v>10.531309297912713</v>
      </c>
      <c r="BT29" s="40" t="str">
        <f t="shared" si="90"/>
        <v/>
      </c>
      <c r="BU29" s="40" t="str">
        <f t="shared" si="90"/>
        <v/>
      </c>
      <c r="BV29" s="40" t="str">
        <f t="shared" si="90"/>
        <v/>
      </c>
      <c r="BW29" s="40">
        <f t="shared" si="90"/>
        <v>9.5444191343963549</v>
      </c>
      <c r="BX29" s="40">
        <f t="shared" si="90"/>
        <v>9.4805194805194795</v>
      </c>
      <c r="BY29" s="6"/>
      <c r="BZ29" s="6"/>
      <c r="CA29" s="6"/>
      <c r="CB29" s="6"/>
      <c r="CC29" s="6"/>
      <c r="CD29" s="6"/>
      <c r="CE29" s="6"/>
      <c r="CF29" s="6"/>
    </row>
    <row r="30" spans="2:96" ht="15" hidden="1" customHeight="1" outlineLevel="2" x14ac:dyDescent="0.25">
      <c r="B30" s="42" t="s">
        <v>129</v>
      </c>
      <c r="C30" s="43">
        <v>-2.3E-2</v>
      </c>
      <c r="D30" s="43">
        <v>-8.1000000000000003E-2</v>
      </c>
      <c r="E30" s="43">
        <v>-0.126</v>
      </c>
      <c r="F30" s="43">
        <v>-0.22600000000000001</v>
      </c>
      <c r="G30" s="43">
        <v>5.3999999999999999E-2</v>
      </c>
      <c r="H30" s="43">
        <v>-3.7999999999999999E-2</v>
      </c>
      <c r="I30" s="43">
        <v>2.5999999999999999E-2</v>
      </c>
      <c r="J30" s="43">
        <v>-8.7999999999999995E-2</v>
      </c>
      <c r="K30" s="43">
        <v>-1.6E-2</v>
      </c>
      <c r="L30" s="43">
        <v>8.1000000000000003E-2</v>
      </c>
      <c r="M30" s="43">
        <v>-4.0000000000000001E-3</v>
      </c>
      <c r="N30" s="43">
        <v>1E-3</v>
      </c>
      <c r="O30" s="43">
        <v>8.1000000000000003E-2</v>
      </c>
      <c r="P30" s="43">
        <v>0.127</v>
      </c>
      <c r="Q30" s="43">
        <v>0.13800000000000001</v>
      </c>
      <c r="R30" s="43">
        <v>0.188</v>
      </c>
      <c r="S30" s="43">
        <v>0.13700000000000001</v>
      </c>
      <c r="T30" s="43">
        <v>0.17299999999999999</v>
      </c>
      <c r="U30" s="43">
        <v>7.8E-2</v>
      </c>
      <c r="V30" s="43">
        <v>5.3999999999999999E-2</v>
      </c>
      <c r="W30" s="43">
        <v>1.7000000000000001E-2</v>
      </c>
      <c r="X30" s="43">
        <v>7.0999999999999994E-2</v>
      </c>
      <c r="Y30" s="43">
        <v>0.13300000000000001</v>
      </c>
      <c r="Z30" s="43">
        <v>1.2999999999999999E-2</v>
      </c>
      <c r="AA30" s="43">
        <v>-4.7E-2</v>
      </c>
      <c r="AB30" s="43">
        <v>4.0000000000000001E-3</v>
      </c>
      <c r="AC30" s="43">
        <v>1.4E-2</v>
      </c>
      <c r="AD30" s="43">
        <v>-2E-3</v>
      </c>
      <c r="AE30" s="43">
        <v>0.02</v>
      </c>
      <c r="AF30" s="43">
        <v>-3.2000000000000001E-2</v>
      </c>
      <c r="AG30" s="43">
        <v>-8.9999999999999993E-3</v>
      </c>
      <c r="AH30" s="43">
        <v>-6.0000000000000001E-3</v>
      </c>
      <c r="AI30" s="43">
        <v>-7.9000000000000001E-2</v>
      </c>
      <c r="AJ30" s="43">
        <v>0.113</v>
      </c>
      <c r="AK30" s="43">
        <v>0.14899999999999999</v>
      </c>
      <c r="AL30" s="43">
        <v>0.114</v>
      </c>
      <c r="AM30" s="43">
        <v>8.3000000000000004E-2</v>
      </c>
      <c r="AN30" s="43">
        <v>0.24199999999999999</v>
      </c>
      <c r="AO30" s="43">
        <v>9.9000000000000005E-2</v>
      </c>
      <c r="AP30" s="43">
        <v>0.124</v>
      </c>
      <c r="AQ30" s="43">
        <v>0.04</v>
      </c>
      <c r="AR30" s="43">
        <v>0.11700000000000001</v>
      </c>
      <c r="AS30" s="43">
        <v>2.3E-2</v>
      </c>
      <c r="AT30" s="43">
        <v>-3.6999999999999998E-2</v>
      </c>
      <c r="AU30" s="43">
        <v>-8.6999999999999994E-2</v>
      </c>
      <c r="AV30" s="43">
        <v>0.03</v>
      </c>
      <c r="AW30" s="43">
        <v>-2.4E-2</v>
      </c>
      <c r="AX30" s="43">
        <v>-0.03</v>
      </c>
      <c r="AY30" s="43">
        <v>3.3000000000000002E-2</v>
      </c>
      <c r="AZ30" s="43">
        <v>0.10199999999999999</v>
      </c>
      <c r="BA30" s="43">
        <v>0.19700000000000001</v>
      </c>
      <c r="BB30" s="43">
        <v>7.9000000000000001E-2</v>
      </c>
      <c r="BC30" s="43">
        <v>0.13400000000000001</v>
      </c>
      <c r="BD30" s="43">
        <v>9.2999999999999999E-2</v>
      </c>
      <c r="BE30" s="43">
        <v>5.6000000000000001E-2</v>
      </c>
      <c r="BF30" s="43">
        <v>-0.12</v>
      </c>
      <c r="BG30" s="43">
        <v>3.3000000000000002E-2</v>
      </c>
      <c r="BH30" s="43">
        <v>-8.0000000000000002E-3</v>
      </c>
      <c r="BI30" s="43">
        <v>-5.7000000000000002E-2</v>
      </c>
      <c r="BJ30" s="43">
        <v>-7.2999999999999995E-2</v>
      </c>
      <c r="BK30" s="43">
        <v>-2.1000000000000001E-2</v>
      </c>
      <c r="BM30" s="43">
        <v>-0.123</v>
      </c>
      <c r="BN30" s="43">
        <v>-2.8000000000000001E-2</v>
      </c>
      <c r="BO30" s="43">
        <v>-3.9E-2</v>
      </c>
      <c r="BP30" s="43">
        <v>2.7E-2</v>
      </c>
      <c r="BQ30" s="43">
        <v>-0.04</v>
      </c>
      <c r="BT30" s="43">
        <v>0.08</v>
      </c>
      <c r="BU30" s="43">
        <v>0.02</v>
      </c>
      <c r="BV30" s="43">
        <v>0.04</v>
      </c>
      <c r="BW30" s="43">
        <v>0.124</v>
      </c>
      <c r="BX30" s="43">
        <v>0.17</v>
      </c>
      <c r="BY30" s="6"/>
      <c r="BZ30" s="6"/>
      <c r="CA30" s="6"/>
      <c r="CB30" s="6"/>
      <c r="CC30" s="6"/>
      <c r="CD30" s="6"/>
      <c r="CE30" s="6"/>
      <c r="CF30" s="6"/>
      <c r="CN30" s="16" t="s">
        <v>130</v>
      </c>
      <c r="CO30" s="44">
        <v>0.02</v>
      </c>
      <c r="CP30" s="22" t="s">
        <v>131</v>
      </c>
      <c r="CQ30" s="44">
        <v>-0.02</v>
      </c>
      <c r="CR30" s="14" t="s">
        <v>132</v>
      </c>
    </row>
    <row r="31" spans="2:96" ht="15" hidden="1" customHeight="1" outlineLevel="2" x14ac:dyDescent="0.25">
      <c r="B31" s="42" t="s">
        <v>133</v>
      </c>
      <c r="C31" s="43">
        <v>0.13500000000000001</v>
      </c>
      <c r="D31" s="43">
        <v>0.104</v>
      </c>
      <c r="E31" s="43">
        <v>6.9000000000000006E-2</v>
      </c>
      <c r="F31" s="43">
        <v>2.1000000000000001E-2</v>
      </c>
      <c r="G31" s="43">
        <v>-3.4000000000000002E-2</v>
      </c>
      <c r="H31" s="43">
        <v>2.7E-2</v>
      </c>
      <c r="I31" s="43">
        <v>8.0000000000000002E-3</v>
      </c>
      <c r="J31" s="43">
        <v>5.7000000000000002E-2</v>
      </c>
      <c r="K31" s="43">
        <v>1.7000000000000001E-2</v>
      </c>
      <c r="L31" s="43">
        <v>2.3E-2</v>
      </c>
      <c r="M31" s="43">
        <v>3.4000000000000002E-2</v>
      </c>
      <c r="N31" s="43">
        <v>0.03</v>
      </c>
      <c r="O31" s="43">
        <v>-1.2999999999999999E-2</v>
      </c>
      <c r="P31" s="43">
        <v>0.05</v>
      </c>
      <c r="Q31" s="43">
        <v>5.8000000000000003E-2</v>
      </c>
      <c r="R31" s="43">
        <v>6.7000000000000004E-2</v>
      </c>
      <c r="S31" s="43">
        <v>4.4999999999999998E-2</v>
      </c>
      <c r="T31" s="43">
        <v>0.114</v>
      </c>
      <c r="U31" s="43">
        <v>8.5000000000000006E-2</v>
      </c>
      <c r="V31" s="43">
        <v>5.3999999999999999E-2</v>
      </c>
      <c r="W31" s="43">
        <v>8.4000000000000005E-2</v>
      </c>
      <c r="X31" s="43">
        <v>0.08</v>
      </c>
      <c r="Y31" s="43">
        <v>8.1000000000000003E-2</v>
      </c>
      <c r="Z31" s="43">
        <v>6.8000000000000005E-2</v>
      </c>
      <c r="AA31" s="43">
        <v>8.5000000000000006E-2</v>
      </c>
      <c r="AB31" s="43">
        <v>5.6000000000000001E-2</v>
      </c>
      <c r="AC31" s="43">
        <v>7.2999999999999995E-2</v>
      </c>
      <c r="AD31" s="43">
        <v>5.2999999999999999E-2</v>
      </c>
      <c r="AE31" s="43">
        <v>3.7999999999999999E-2</v>
      </c>
      <c r="AF31" s="43">
        <v>5.0999999999999997E-2</v>
      </c>
      <c r="AG31" s="43">
        <v>0.04</v>
      </c>
      <c r="AH31" s="43">
        <v>4.4999999999999998E-2</v>
      </c>
      <c r="AI31" s="43">
        <v>2.3E-2</v>
      </c>
      <c r="AJ31" s="43">
        <v>3.5000000000000003E-2</v>
      </c>
      <c r="AK31" s="43">
        <v>1.4999999999999999E-2</v>
      </c>
      <c r="AL31" s="43">
        <v>5.0000000000000001E-3</v>
      </c>
      <c r="AM31" s="43">
        <v>1.9E-2</v>
      </c>
      <c r="AN31" s="43">
        <v>2.3E-2</v>
      </c>
      <c r="AO31" s="43">
        <v>3.4000000000000002E-2</v>
      </c>
      <c r="AP31" s="43">
        <v>5.2999999999999999E-2</v>
      </c>
      <c r="AQ31" s="43">
        <v>5.2999999999999999E-2</v>
      </c>
      <c r="AR31" s="43">
        <v>4.2000000000000003E-2</v>
      </c>
      <c r="AS31" s="43">
        <v>2.7E-2</v>
      </c>
      <c r="AT31" s="43">
        <v>3.3000000000000002E-2</v>
      </c>
      <c r="AU31" s="43">
        <v>2.7E-2</v>
      </c>
      <c r="AV31" s="43">
        <v>3.5000000000000003E-2</v>
      </c>
      <c r="AW31" s="43">
        <v>3.1E-2</v>
      </c>
      <c r="AX31" s="43">
        <v>3.4000000000000002E-2</v>
      </c>
      <c r="AY31" s="43">
        <v>2.9000000000000001E-2</v>
      </c>
      <c r="AZ31" s="43">
        <v>1.2E-2</v>
      </c>
      <c r="BA31" s="43">
        <v>1.4E-2</v>
      </c>
      <c r="BB31" s="43">
        <v>2.1000000000000001E-2</v>
      </c>
      <c r="BC31" s="43">
        <v>5.6000000000000001E-2</v>
      </c>
      <c r="BD31" s="43">
        <v>8.4000000000000005E-2</v>
      </c>
      <c r="BE31" s="43">
        <v>0.11600000000000001</v>
      </c>
      <c r="BF31" s="43">
        <v>0.16500000000000001</v>
      </c>
      <c r="BG31" s="43">
        <v>0.106</v>
      </c>
      <c r="BH31" s="43">
        <v>0.22600000000000001</v>
      </c>
      <c r="BI31" s="43">
        <v>0.186</v>
      </c>
      <c r="BJ31" s="43">
        <v>0.2</v>
      </c>
      <c r="BK31" s="43">
        <v>0.15</v>
      </c>
      <c r="BM31" s="43">
        <v>0.122</v>
      </c>
      <c r="BN31" s="43">
        <v>0.11600000000000001</v>
      </c>
      <c r="BO31" s="43">
        <v>7.6999999999999999E-2</v>
      </c>
      <c r="BP31" s="43">
        <v>8.5999999999999993E-2</v>
      </c>
      <c r="BQ31" s="43">
        <v>9.9000000000000005E-2</v>
      </c>
      <c r="BT31" s="43">
        <v>0.08</v>
      </c>
      <c r="BU31" s="43">
        <v>5.2999999999999999E-2</v>
      </c>
      <c r="BV31" s="43">
        <v>7.0000000000000007E-2</v>
      </c>
      <c r="BW31" s="43">
        <v>0</v>
      </c>
      <c r="BX31" s="43">
        <v>-0.02</v>
      </c>
      <c r="BY31" s="6"/>
      <c r="BZ31" s="6"/>
      <c r="CA31" s="6"/>
      <c r="CB31" s="6"/>
      <c r="CC31" s="6"/>
      <c r="CD31" s="6"/>
      <c r="CE31" s="6"/>
      <c r="CF31" s="6"/>
      <c r="CN31" s="26" t="s">
        <v>134</v>
      </c>
      <c r="CO31" s="35">
        <f>CP31+$CO$30</f>
        <v>0.05</v>
      </c>
      <c r="CP31" s="45">
        <v>0.03</v>
      </c>
      <c r="CQ31" s="35">
        <f>CP31+$CQ$30</f>
        <v>9.9999999999999985E-3</v>
      </c>
    </row>
    <row r="32" spans="2:96" ht="15" hidden="1" customHeight="1" outlineLevel="1" x14ac:dyDescent="0.25">
      <c r="CN32" s="26" t="s">
        <v>135</v>
      </c>
      <c r="CO32" s="35">
        <f>CP32+$CO$30</f>
        <v>0.05</v>
      </c>
      <c r="CP32" s="45">
        <v>0.03</v>
      </c>
      <c r="CQ32" s="35">
        <f>CP32+$CQ$30</f>
        <v>9.9999999999999985E-3</v>
      </c>
    </row>
    <row r="33" spans="2:96" ht="15" hidden="1" customHeight="1" outlineLevel="1" x14ac:dyDescent="0.25">
      <c r="B33" s="15" t="s">
        <v>136</v>
      </c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6" t="s">
        <v>137</v>
      </c>
      <c r="CN33" s="26" t="s">
        <v>138</v>
      </c>
      <c r="CO33" s="35">
        <f>CP33+$CO$30</f>
        <v>4.4999999999999998E-2</v>
      </c>
      <c r="CP33" s="45">
        <v>2.5000000000000001E-2</v>
      </c>
      <c r="CQ33" s="35">
        <f>CP33+$CQ$30</f>
        <v>5.000000000000001E-3</v>
      </c>
    </row>
    <row r="34" spans="2:96" ht="15" hidden="1" customHeight="1" outlineLevel="1" x14ac:dyDescent="0.25">
      <c r="B34" s="17" t="s">
        <v>106</v>
      </c>
      <c r="C34" s="32"/>
      <c r="D34" s="32"/>
      <c r="E34" s="32"/>
      <c r="F34" s="32"/>
      <c r="G34" s="32"/>
      <c r="H34" s="46">
        <f t="shared" ref="H34:AM34" si="91">N(H39)+N(H42)+N(H45)+N(H48)+N(H50)+N(H52)</f>
        <v>106.19999999999999</v>
      </c>
      <c r="I34" s="46">
        <f t="shared" si="91"/>
        <v>332.5</v>
      </c>
      <c r="J34" s="46">
        <f t="shared" si="91"/>
        <v>42.2</v>
      </c>
      <c r="K34" s="46">
        <f t="shared" si="91"/>
        <v>94.9</v>
      </c>
      <c r="L34" s="46">
        <f t="shared" si="91"/>
        <v>133.5</v>
      </c>
      <c r="M34" s="46">
        <f t="shared" si="91"/>
        <v>102.1</v>
      </c>
      <c r="N34" s="46">
        <f t="shared" si="91"/>
        <v>370.1</v>
      </c>
      <c r="O34" s="46">
        <f t="shared" si="91"/>
        <v>58.4</v>
      </c>
      <c r="P34" s="46">
        <f t="shared" si="91"/>
        <v>118</v>
      </c>
      <c r="Q34" s="46">
        <f t="shared" si="91"/>
        <v>380.4</v>
      </c>
      <c r="R34" s="46">
        <f t="shared" si="91"/>
        <v>315.90000000000003</v>
      </c>
      <c r="S34" s="46">
        <f t="shared" si="91"/>
        <v>873</v>
      </c>
      <c r="T34" s="46">
        <f t="shared" si="91"/>
        <v>240.89999999999998</v>
      </c>
      <c r="U34" s="46">
        <f t="shared" si="91"/>
        <v>308.20000000000005</v>
      </c>
      <c r="V34" s="46">
        <f t="shared" si="91"/>
        <v>417.90000000000003</v>
      </c>
      <c r="W34" s="46">
        <f t="shared" si="91"/>
        <v>279.89999999999998</v>
      </c>
      <c r="X34" s="46">
        <f t="shared" si="91"/>
        <v>1246.9000000000001</v>
      </c>
      <c r="Y34" s="46">
        <f t="shared" si="91"/>
        <v>268.00000000000006</v>
      </c>
      <c r="Z34" s="46">
        <f t="shared" si="91"/>
        <v>340.29999999999995</v>
      </c>
      <c r="AA34" s="46">
        <f t="shared" si="91"/>
        <v>435.4</v>
      </c>
      <c r="AB34" s="46">
        <f t="shared" si="91"/>
        <v>412.2</v>
      </c>
      <c r="AC34" s="46">
        <f t="shared" si="91"/>
        <v>1608.4</v>
      </c>
      <c r="AD34" s="46">
        <f t="shared" si="91"/>
        <v>342.70000000000005</v>
      </c>
      <c r="AE34" s="46">
        <f t="shared" si="91"/>
        <v>452.9</v>
      </c>
      <c r="AF34" s="46">
        <f t="shared" si="91"/>
        <v>478.4</v>
      </c>
      <c r="AG34" s="46">
        <f t="shared" si="91"/>
        <v>398.70000000000005</v>
      </c>
      <c r="AH34" s="46">
        <f t="shared" si="91"/>
        <v>1600.1</v>
      </c>
      <c r="AI34" s="46">
        <f t="shared" si="91"/>
        <v>324.09999999999997</v>
      </c>
      <c r="AJ34" s="46">
        <f t="shared" si="91"/>
        <v>473.49</v>
      </c>
      <c r="AK34" s="46">
        <f t="shared" si="91"/>
        <v>452.892</v>
      </c>
      <c r="AL34" s="46">
        <f t="shared" si="91"/>
        <v>369.81299999999999</v>
      </c>
      <c r="AM34" s="46">
        <f t="shared" si="91"/>
        <v>1620.279</v>
      </c>
      <c r="AN34" s="46">
        <f t="shared" ref="AN34:BX34" si="92">N(AN39)+N(AN42)+N(AN45)+N(AN48)+N(AN50)+N(AN52)</f>
        <v>326.01900000000001</v>
      </c>
      <c r="AO34" s="46">
        <f t="shared" si="92"/>
        <v>435.726</v>
      </c>
      <c r="AP34" s="46">
        <f t="shared" si="92"/>
        <v>522.55199999999991</v>
      </c>
      <c r="AQ34" s="46">
        <f t="shared" si="92"/>
        <v>400.375</v>
      </c>
      <c r="AR34" s="46">
        <f t="shared" si="92"/>
        <v>1681.2</v>
      </c>
      <c r="AS34" s="46">
        <f t="shared" si="92"/>
        <v>314.39999999999998</v>
      </c>
      <c r="AT34" s="46">
        <f t="shared" si="92"/>
        <v>461.6</v>
      </c>
      <c r="AU34" s="46">
        <f t="shared" si="92"/>
        <v>500</v>
      </c>
      <c r="AV34" s="46">
        <f t="shared" si="92"/>
        <v>460.3</v>
      </c>
      <c r="AW34" s="46">
        <f t="shared" si="92"/>
        <v>1736.3</v>
      </c>
      <c r="AX34" s="46">
        <f t="shared" si="92"/>
        <v>357.09999999999997</v>
      </c>
      <c r="AY34" s="46">
        <f t="shared" si="92"/>
        <v>520.20000000000005</v>
      </c>
      <c r="AZ34" s="46">
        <f t="shared" si="92"/>
        <v>649</v>
      </c>
      <c r="BA34" s="46">
        <f t="shared" si="92"/>
        <v>628.09999999999991</v>
      </c>
      <c r="BB34" s="46">
        <f t="shared" si="92"/>
        <v>2154.5</v>
      </c>
      <c r="BC34" s="46">
        <f t="shared" si="92"/>
        <v>479.20000000000005</v>
      </c>
      <c r="BD34" s="46">
        <f t="shared" si="92"/>
        <v>596.29999999999995</v>
      </c>
      <c r="BE34" s="46">
        <f t="shared" si="92"/>
        <v>700.40000000000009</v>
      </c>
      <c r="BF34" s="46">
        <f t="shared" si="92"/>
        <v>553.20000000000005</v>
      </c>
      <c r="BG34" s="46">
        <f t="shared" si="92"/>
        <v>2329</v>
      </c>
      <c r="BH34" s="46">
        <f t="shared" si="92"/>
        <v>446.6</v>
      </c>
      <c r="BI34" s="46">
        <f t="shared" si="92"/>
        <v>710</v>
      </c>
      <c r="BJ34" s="46">
        <f t="shared" si="92"/>
        <v>844.19999999999993</v>
      </c>
      <c r="BK34" s="46">
        <f t="shared" si="92"/>
        <v>621.4</v>
      </c>
      <c r="BL34" s="46">
        <f t="shared" si="92"/>
        <v>2621.9</v>
      </c>
      <c r="BM34" s="46">
        <f t="shared" si="92"/>
        <v>324</v>
      </c>
      <c r="BN34" s="46">
        <f t="shared" si="92"/>
        <v>506</v>
      </c>
      <c r="BO34" s="46">
        <f t="shared" si="92"/>
        <v>639</v>
      </c>
      <c r="BP34" s="46">
        <f t="shared" si="92"/>
        <v>484</v>
      </c>
      <c r="BQ34" s="46">
        <f t="shared" si="92"/>
        <v>1952</v>
      </c>
      <c r="BR34" s="46">
        <f t="shared" si="92"/>
        <v>122</v>
      </c>
      <c r="BS34" s="46">
        <f t="shared" si="92"/>
        <v>271</v>
      </c>
      <c r="BT34" s="46">
        <f t="shared" si="92"/>
        <v>351</v>
      </c>
      <c r="BU34" s="46">
        <f t="shared" si="92"/>
        <v>248</v>
      </c>
      <c r="BV34" s="46">
        <f t="shared" si="92"/>
        <v>992</v>
      </c>
      <c r="BW34" s="46">
        <f t="shared" si="92"/>
        <v>116</v>
      </c>
      <c r="BX34" s="46">
        <f t="shared" si="92"/>
        <v>303</v>
      </c>
      <c r="BY34" s="34">
        <f>BT34*(1+BY35)</f>
        <v>409.0241219332184</v>
      </c>
      <c r="BZ34" s="34">
        <f>BU34*(1+BZ35)</f>
        <v>288.99710039725971</v>
      </c>
      <c r="CA34" s="34">
        <f>SUM(BW34,BX34,BY34,BZ34)</f>
        <v>1117.0212223304779</v>
      </c>
      <c r="CB34" s="34">
        <f>CA34*(1+CB35)</f>
        <v>1150.5318590003924</v>
      </c>
      <c r="CC34" s="34">
        <f>CB34*(1+CC35)</f>
        <v>1185.0478147704041</v>
      </c>
      <c r="CD34" s="34">
        <f>CC34*(1+CD35)</f>
        <v>1220.5992492135163</v>
      </c>
      <c r="CE34" s="34">
        <f>CD34*(1+CE35)</f>
        <v>1257.2172266899217</v>
      </c>
      <c r="CF34" s="20" t="s">
        <v>139</v>
      </c>
      <c r="CH34" s="21">
        <f>IFERROR((CE34/BV34)^(1/5)-1,"n/m")</f>
        <v>4.8527270407682011E-2</v>
      </c>
      <c r="CI34" s="21">
        <f>IFERROR((BV34/AW34)^(1/5)-1,"n/m")</f>
        <v>-0.10591793865992805</v>
      </c>
      <c r="CJ34" s="21">
        <f>IFERROR((BV34/X34)^(1/10)-1,"n/m")</f>
        <v>-2.2609744752265404E-2</v>
      </c>
      <c r="CK34" s="21" t="str">
        <f>IFERROR((BV34/C34)^(1/19)-1,"n/m")</f>
        <v>n/m</v>
      </c>
      <c r="CN34" s="26" t="s">
        <v>140</v>
      </c>
      <c r="CO34" s="35">
        <f>CP34+$CO$30</f>
        <v>4.4999999999999998E-2</v>
      </c>
      <c r="CP34" s="45">
        <v>2.5000000000000001E-2</v>
      </c>
      <c r="CQ34" s="35">
        <f>CP34+$CQ$30</f>
        <v>5.000000000000001E-3</v>
      </c>
    </row>
    <row r="35" spans="2:96" ht="15" hidden="1" customHeight="1" outlineLevel="1" x14ac:dyDescent="0.25">
      <c r="B35" s="23" t="s">
        <v>109</v>
      </c>
      <c r="D35" s="24" t="str">
        <f t="shared" ref="D35:I35" si="93">IF(AND(ISNUMBER(D34),ISNUMBER(C34)),IFERROR(D34/C34-1,""),"")</f>
        <v/>
      </c>
      <c r="E35" s="24" t="str">
        <f t="shared" si="93"/>
        <v/>
      </c>
      <c r="F35" s="24" t="str">
        <f t="shared" si="93"/>
        <v/>
      </c>
      <c r="G35" s="24" t="str">
        <f t="shared" si="93"/>
        <v/>
      </c>
      <c r="H35" s="24" t="str">
        <f t="shared" si="93"/>
        <v/>
      </c>
      <c r="I35" s="24">
        <f t="shared" si="93"/>
        <v>2.1308851224105463</v>
      </c>
      <c r="N35" s="24">
        <f t="shared" ref="N35:AS35" si="94">IF(AND(ISNUMBER(N34),ISNUMBER(I34)),IFERROR(N34/I34-1,""),"")</f>
        <v>0.11308270676691734</v>
      </c>
      <c r="O35" s="24">
        <f t="shared" si="94"/>
        <v>0.38388625592417047</v>
      </c>
      <c r="P35" s="24">
        <f t="shared" si="94"/>
        <v>0.24341412012644881</v>
      </c>
      <c r="Q35" s="24">
        <f t="shared" si="94"/>
        <v>1.8494382022471907</v>
      </c>
      <c r="R35" s="24">
        <f t="shared" si="94"/>
        <v>2.0940254652301671</v>
      </c>
      <c r="S35" s="24">
        <f t="shared" si="94"/>
        <v>1.3588219400162118</v>
      </c>
      <c r="T35" s="24">
        <f t="shared" si="94"/>
        <v>3.125</v>
      </c>
      <c r="U35" s="24">
        <f t="shared" si="94"/>
        <v>1.6118644067796613</v>
      </c>
      <c r="V35" s="24">
        <f t="shared" si="94"/>
        <v>9.8580441640378602E-2</v>
      </c>
      <c r="W35" s="24">
        <f t="shared" si="94"/>
        <v>-0.11396011396011407</v>
      </c>
      <c r="X35" s="24">
        <f t="shared" si="94"/>
        <v>0.42829324169530358</v>
      </c>
      <c r="Y35" s="24">
        <f t="shared" si="94"/>
        <v>0.11249481112494841</v>
      </c>
      <c r="Z35" s="24">
        <f t="shared" si="94"/>
        <v>0.10415314730694325</v>
      </c>
      <c r="AA35" s="24">
        <f t="shared" si="94"/>
        <v>4.1876046901172304E-2</v>
      </c>
      <c r="AB35" s="24">
        <f t="shared" si="94"/>
        <v>0.47266881028938923</v>
      </c>
      <c r="AC35" s="24">
        <f t="shared" si="94"/>
        <v>0.28991899911781216</v>
      </c>
      <c r="AD35" s="24">
        <f t="shared" si="94"/>
        <v>0.27873134328358207</v>
      </c>
      <c r="AE35" s="24">
        <f t="shared" si="94"/>
        <v>0.33088451366441385</v>
      </c>
      <c r="AF35" s="24">
        <f t="shared" si="94"/>
        <v>9.8759761139182389E-2</v>
      </c>
      <c r="AG35" s="24">
        <f t="shared" si="94"/>
        <v>-3.2751091703056678E-2</v>
      </c>
      <c r="AH35" s="24">
        <f t="shared" si="94"/>
        <v>-5.1604078587417224E-3</v>
      </c>
      <c r="AI35" s="24">
        <f t="shared" si="94"/>
        <v>-5.4274875984826609E-2</v>
      </c>
      <c r="AJ35" s="24">
        <f t="shared" si="94"/>
        <v>4.5462574519761656E-2</v>
      </c>
      <c r="AK35" s="24">
        <f t="shared" si="94"/>
        <v>-5.331939799331098E-2</v>
      </c>
      <c r="AL35" s="24">
        <f t="shared" si="94"/>
        <v>-7.2452972159518625E-2</v>
      </c>
      <c r="AM35" s="24">
        <f t="shared" si="94"/>
        <v>1.2611086807074567E-2</v>
      </c>
      <c r="AN35" s="24">
        <f t="shared" si="94"/>
        <v>5.9210120333230698E-3</v>
      </c>
      <c r="AO35" s="24">
        <f t="shared" si="94"/>
        <v>-7.9756700247101353E-2</v>
      </c>
      <c r="AP35" s="24">
        <f t="shared" si="94"/>
        <v>0.15381150472960425</v>
      </c>
      <c r="AQ35" s="24">
        <f t="shared" si="94"/>
        <v>8.2641767596055349E-2</v>
      </c>
      <c r="AR35" s="24">
        <f t="shared" si="94"/>
        <v>3.7599080158417175E-2</v>
      </c>
      <c r="AS35" s="24">
        <f t="shared" si="94"/>
        <v>-3.5639027173262949E-2</v>
      </c>
      <c r="AT35" s="24">
        <f t="shared" ref="AT35:BX35" si="95">IF(AND(ISNUMBER(AT34),ISNUMBER(AO34)),IFERROR(AT34/AO34-1,""),"")</f>
        <v>5.9381354337358916E-2</v>
      </c>
      <c r="AU35" s="24">
        <f t="shared" si="95"/>
        <v>-4.3157427394785453E-2</v>
      </c>
      <c r="AV35" s="24">
        <f t="shared" si="95"/>
        <v>0.14967218232906654</v>
      </c>
      <c r="AW35" s="24">
        <f t="shared" si="95"/>
        <v>3.2774208898405766E-2</v>
      </c>
      <c r="AX35" s="24">
        <f t="shared" si="95"/>
        <v>0.13581424936386766</v>
      </c>
      <c r="AY35" s="24">
        <f t="shared" si="95"/>
        <v>0.1269497400346622</v>
      </c>
      <c r="AZ35" s="24">
        <f t="shared" si="95"/>
        <v>0.29800000000000004</v>
      </c>
      <c r="BA35" s="24">
        <f t="shared" si="95"/>
        <v>0.36454486204649128</v>
      </c>
      <c r="BB35" s="24">
        <f t="shared" si="95"/>
        <v>0.24085699475897027</v>
      </c>
      <c r="BC35" s="24">
        <f t="shared" si="95"/>
        <v>0.34192103052366307</v>
      </c>
      <c r="BD35" s="24">
        <f t="shared" si="95"/>
        <v>0.14628988850442126</v>
      </c>
      <c r="BE35" s="24">
        <f t="shared" si="95"/>
        <v>7.9198767334360598E-2</v>
      </c>
      <c r="BF35" s="24">
        <f t="shared" si="95"/>
        <v>-0.11924852730456914</v>
      </c>
      <c r="BG35" s="24">
        <f t="shared" si="95"/>
        <v>8.0993269900208942E-2</v>
      </c>
      <c r="BH35" s="24">
        <f t="shared" si="95"/>
        <v>-6.8030050083472515E-2</v>
      </c>
      <c r="BI35" s="24">
        <f t="shared" si="95"/>
        <v>0.19067583431158819</v>
      </c>
      <c r="BJ35" s="24">
        <f t="shared" si="95"/>
        <v>0.20531125071387746</v>
      </c>
      <c r="BK35" s="24">
        <f t="shared" si="95"/>
        <v>0.12328271872740415</v>
      </c>
      <c r="BL35" s="24">
        <f t="shared" si="95"/>
        <v>0.12576212966938605</v>
      </c>
      <c r="BM35" s="24">
        <f t="shared" si="95"/>
        <v>-0.27451858486341252</v>
      </c>
      <c r="BN35" s="24">
        <f t="shared" si="95"/>
        <v>-0.28732394366197178</v>
      </c>
      <c r="BO35" s="24">
        <f t="shared" si="95"/>
        <v>-0.24307036247334746</v>
      </c>
      <c r="BP35" s="24">
        <f t="shared" si="95"/>
        <v>-0.22111361441905375</v>
      </c>
      <c r="BQ35" s="24">
        <f t="shared" si="95"/>
        <v>-0.25550173538273768</v>
      </c>
      <c r="BR35" s="24">
        <f t="shared" si="95"/>
        <v>-0.62345679012345678</v>
      </c>
      <c r="BS35" s="24">
        <f t="shared" si="95"/>
        <v>-0.46442687747035571</v>
      </c>
      <c r="BT35" s="24">
        <f t="shared" si="95"/>
        <v>-0.45070422535211263</v>
      </c>
      <c r="BU35" s="24">
        <f t="shared" si="95"/>
        <v>-0.48760330578512401</v>
      </c>
      <c r="BV35" s="24">
        <f t="shared" si="95"/>
        <v>-0.49180327868852458</v>
      </c>
      <c r="BW35" s="24">
        <f t="shared" si="95"/>
        <v>-4.9180327868852514E-2</v>
      </c>
      <c r="BX35" s="24">
        <f t="shared" si="95"/>
        <v>0.11808118081180807</v>
      </c>
      <c r="BY35" s="25">
        <f>$BX$35+BY124</f>
        <v>0.16531088869862776</v>
      </c>
      <c r="BZ35" s="25">
        <f>$BX$35+BZ124</f>
        <v>0.16531088869862776</v>
      </c>
      <c r="CA35" s="25">
        <f>IFERROR(CA34/BV34-1,"")</f>
        <v>0.12602945799443344</v>
      </c>
      <c r="CB35" s="25">
        <f>CHOOSE(MATCH($CF$2,{"Bull","Base","Bear"},0),$CO$46,$CP$46,$CQ$46)</f>
        <v>0.03</v>
      </c>
      <c r="CC35" s="25">
        <f>CHOOSE(MATCH($CF$2,{"Bull","Base","Bear"},0),$CO$47,$CP$47,$CQ$47)</f>
        <v>0.03</v>
      </c>
      <c r="CD35" s="25">
        <f>CHOOSE(MATCH($CF$2,{"Bull","Base","Bear"},0),$CO$48,$CP$48,$CQ$48)</f>
        <v>0.03</v>
      </c>
      <c r="CE35" s="25">
        <f>CHOOSE(MATCH($CF$2,{"Bull","Base","Bear"},0),$CO$49,$CP$49,$CQ$49)</f>
        <v>0.03</v>
      </c>
      <c r="CF35" s="20" t="s">
        <v>141</v>
      </c>
      <c r="CN35" s="16" t="s">
        <v>142</v>
      </c>
      <c r="CO35" s="44">
        <v>1.4999999999999999E-2</v>
      </c>
      <c r="CP35" s="22" t="s">
        <v>131</v>
      </c>
      <c r="CQ35" s="44">
        <v>-1.4999999999999999E-2</v>
      </c>
      <c r="CR35" s="14" t="s">
        <v>143</v>
      </c>
    </row>
    <row r="36" spans="2:96" ht="15" hidden="1" customHeight="1" outlineLevel="1" x14ac:dyDescent="0.25">
      <c r="B36" s="26" t="s">
        <v>112</v>
      </c>
      <c r="I36" s="47">
        <f t="shared" ref="I36:AN36" si="96">N(I40)+N(I43)+N(I46)+N(I49)+N(I51)+N(I53)</f>
        <v>13.5</v>
      </c>
      <c r="J36" s="47">
        <f t="shared" si="96"/>
        <v>-7.1</v>
      </c>
      <c r="K36" s="47">
        <f t="shared" si="96"/>
        <v>6.3000000000000007</v>
      </c>
      <c r="L36" s="47">
        <f t="shared" si="96"/>
        <v>14.7</v>
      </c>
      <c r="M36" s="47">
        <f t="shared" si="96"/>
        <v>8.3000000000000007</v>
      </c>
      <c r="N36" s="47">
        <f t="shared" si="96"/>
        <v>22.6</v>
      </c>
      <c r="O36" s="47">
        <f t="shared" si="96"/>
        <v>-2.5000000000000004</v>
      </c>
      <c r="P36" s="47">
        <f t="shared" si="96"/>
        <v>11.6</v>
      </c>
      <c r="Q36" s="47">
        <f t="shared" si="96"/>
        <v>57.099999999999994</v>
      </c>
      <c r="R36" s="47">
        <f t="shared" si="96"/>
        <v>45.4</v>
      </c>
      <c r="S36" s="47">
        <f t="shared" si="96"/>
        <v>111.6</v>
      </c>
      <c r="T36" s="47">
        <f t="shared" si="96"/>
        <v>16.3</v>
      </c>
      <c r="U36" s="47">
        <f t="shared" si="96"/>
        <v>47.699999999999996</v>
      </c>
      <c r="V36" s="47">
        <f t="shared" si="96"/>
        <v>83.9</v>
      </c>
      <c r="W36" s="47">
        <f t="shared" si="96"/>
        <v>34.299999999999997</v>
      </c>
      <c r="X36" s="47">
        <f t="shared" si="96"/>
        <v>182.3</v>
      </c>
      <c r="Y36" s="47">
        <f t="shared" si="96"/>
        <v>44.5</v>
      </c>
      <c r="Z36" s="47">
        <f t="shared" si="96"/>
        <v>62.099999999999994</v>
      </c>
      <c r="AA36" s="47">
        <f t="shared" si="96"/>
        <v>100</v>
      </c>
      <c r="AB36" s="47">
        <f t="shared" si="96"/>
        <v>66.3</v>
      </c>
      <c r="AC36" s="47">
        <f t="shared" si="96"/>
        <v>272.8</v>
      </c>
      <c r="AD36" s="47">
        <f t="shared" si="96"/>
        <v>45.900000000000006</v>
      </c>
      <c r="AE36" s="47">
        <f t="shared" si="96"/>
        <v>76.699999999999989</v>
      </c>
      <c r="AF36" s="47">
        <f t="shared" si="96"/>
        <v>80.3</v>
      </c>
      <c r="AG36" s="47">
        <f t="shared" si="96"/>
        <v>70.7</v>
      </c>
      <c r="AH36" s="47">
        <f t="shared" si="96"/>
        <v>273.7</v>
      </c>
      <c r="AI36" s="47">
        <f t="shared" si="96"/>
        <v>31.699999999999996</v>
      </c>
      <c r="AJ36" s="47">
        <f t="shared" si="96"/>
        <v>89.769000000000005</v>
      </c>
      <c r="AK36" s="47">
        <f t="shared" si="96"/>
        <v>78.781000000000006</v>
      </c>
      <c r="AL36" s="47">
        <f t="shared" si="96"/>
        <v>53.019000000000005</v>
      </c>
      <c r="AM36" s="47">
        <f t="shared" si="96"/>
        <v>253.30499999999998</v>
      </c>
      <c r="AN36" s="47">
        <f t="shared" si="96"/>
        <v>20.442</v>
      </c>
      <c r="AO36" s="47">
        <f t="shared" ref="AO36:BX36" si="97">N(AO40)+N(AO43)+N(AO46)+N(AO49)+N(AO51)+N(AO53)</f>
        <v>76.984999999999999</v>
      </c>
      <c r="AP36" s="47">
        <f t="shared" si="97"/>
        <v>108.569</v>
      </c>
      <c r="AQ36" s="47">
        <f t="shared" si="97"/>
        <v>67.387</v>
      </c>
      <c r="AR36" s="47">
        <f t="shared" si="97"/>
        <v>272.88600000000002</v>
      </c>
      <c r="AS36" s="47">
        <f t="shared" si="97"/>
        <v>25.1</v>
      </c>
      <c r="AT36" s="47">
        <f t="shared" si="97"/>
        <v>91.4</v>
      </c>
      <c r="AU36" s="47">
        <f t="shared" si="97"/>
        <v>103.80000000000001</v>
      </c>
      <c r="AV36" s="47">
        <f t="shared" si="97"/>
        <v>90.5</v>
      </c>
      <c r="AW36" s="47">
        <f t="shared" si="97"/>
        <v>310.89999999999998</v>
      </c>
      <c r="AX36" s="47">
        <f t="shared" si="97"/>
        <v>26.500000000000004</v>
      </c>
      <c r="AY36" s="47">
        <f t="shared" si="97"/>
        <v>83.9</v>
      </c>
      <c r="AZ36" s="47">
        <f t="shared" si="97"/>
        <v>120.19999999999999</v>
      </c>
      <c r="BA36" s="47">
        <f t="shared" si="97"/>
        <v>101.3</v>
      </c>
      <c r="BB36" s="47">
        <f t="shared" si="97"/>
        <v>331.8</v>
      </c>
      <c r="BC36" s="47">
        <f t="shared" si="97"/>
        <v>35.100000000000009</v>
      </c>
      <c r="BD36" s="47">
        <f t="shared" si="97"/>
        <v>91.800000000000011</v>
      </c>
      <c r="BE36" s="47">
        <f t="shared" si="97"/>
        <v>136.9</v>
      </c>
      <c r="BF36" s="47">
        <f t="shared" si="97"/>
        <v>92.1</v>
      </c>
      <c r="BG36" s="47">
        <f t="shared" si="97"/>
        <v>355.9</v>
      </c>
      <c r="BH36" s="47">
        <f t="shared" si="97"/>
        <v>37.799999999999997</v>
      </c>
      <c r="BI36" s="47">
        <f t="shared" si="97"/>
        <v>165.2</v>
      </c>
      <c r="BJ36" s="47">
        <f t="shared" si="97"/>
        <v>208.9</v>
      </c>
      <c r="BK36" s="47">
        <f t="shared" si="97"/>
        <v>132.69999999999999</v>
      </c>
      <c r="BL36" s="47">
        <f t="shared" si="97"/>
        <v>544.6</v>
      </c>
      <c r="BM36" s="47">
        <f t="shared" si="97"/>
        <v>9</v>
      </c>
      <c r="BN36" s="47">
        <f t="shared" si="97"/>
        <v>109</v>
      </c>
      <c r="BO36" s="47">
        <f t="shared" si="97"/>
        <v>150</v>
      </c>
      <c r="BP36" s="47">
        <f t="shared" si="97"/>
        <v>93</v>
      </c>
      <c r="BQ36" s="47">
        <f t="shared" si="97"/>
        <v>361</v>
      </c>
      <c r="BR36" s="47">
        <f t="shared" si="97"/>
        <v>-19</v>
      </c>
      <c r="BS36" s="47">
        <f t="shared" si="97"/>
        <v>39</v>
      </c>
      <c r="BT36" s="47">
        <f t="shared" si="97"/>
        <v>54</v>
      </c>
      <c r="BU36" s="47">
        <f t="shared" si="97"/>
        <v>23</v>
      </c>
      <c r="BV36" s="47">
        <f t="shared" si="97"/>
        <v>98</v>
      </c>
      <c r="BW36" s="47">
        <f t="shared" si="97"/>
        <v>-16</v>
      </c>
      <c r="BX36" s="47">
        <f t="shared" si="97"/>
        <v>34</v>
      </c>
      <c r="BY36" s="37">
        <f>BY34*BY38</f>
        <v>69.297074793024066</v>
      </c>
      <c r="BZ36" s="37">
        <f>BZ34*BZ38</f>
        <v>31.303093822455754</v>
      </c>
      <c r="CA36" s="37">
        <f>SUM(BW36,BX36,BY36,BZ36)</f>
        <v>118.60016861547982</v>
      </c>
      <c r="CB36" s="37">
        <f>CB34*CB38</f>
        <v>115.05318590003924</v>
      </c>
      <c r="CC36" s="37">
        <f>CC34*CC38</f>
        <v>124.43002055089242</v>
      </c>
      <c r="CD36" s="37">
        <f>CD34*CD38</f>
        <v>134.26591741348679</v>
      </c>
      <c r="CE36" s="37">
        <f>CE34*CE38</f>
        <v>138.29389493589139</v>
      </c>
      <c r="CF36" s="6"/>
      <c r="CH36" s="21">
        <f>IFERROR((CE36/BV36)^(1/5)-1,"n/m")</f>
        <v>7.1310561776646075E-2</v>
      </c>
      <c r="CI36" s="21">
        <f>IFERROR((BV36/AW36)^(1/5)-1,"n/m")</f>
        <v>-0.20618176544700939</v>
      </c>
      <c r="CJ36" s="21">
        <f>IFERROR((BV36/X36)^(1/10)-1,"n/m")</f>
        <v>-6.0181606043103519E-2</v>
      </c>
      <c r="CK36" s="21" t="str">
        <f>IFERROR((BV36/C36)^(1/19)-1,"n/m")</f>
        <v>n/m</v>
      </c>
      <c r="CN36" s="26" t="s">
        <v>134</v>
      </c>
      <c r="CO36" s="35">
        <f>CP36+$CO$35</f>
        <v>7.4999999999999997E-2</v>
      </c>
      <c r="CP36" s="45">
        <v>0.06</v>
      </c>
      <c r="CQ36" s="35">
        <f>CP36+$CQ$35</f>
        <v>4.4999999999999998E-2</v>
      </c>
    </row>
    <row r="37" spans="2:96" ht="15" hidden="1" customHeight="1" outlineLevel="1" x14ac:dyDescent="0.25">
      <c r="B37" s="26" t="s">
        <v>115</v>
      </c>
      <c r="BY37" s="25">
        <f>BT38+(BW36+BX36)/(BW34+BX34)-(BR36+BS36)/(BR34+BS34)</f>
        <v>0.1459149958120608</v>
      </c>
      <c r="BZ37" s="25">
        <f>BU38+(BW36+BX36)/(BW34+BX34)-(BR36+BS36)/(BR34+BS34)</f>
        <v>8.4810777449777927E-2</v>
      </c>
      <c r="CA37" s="6"/>
      <c r="CB37" s="6"/>
      <c r="CC37" s="6"/>
      <c r="CD37" s="6"/>
      <c r="CE37" s="6"/>
      <c r="CF37" s="6"/>
      <c r="CN37" s="26" t="s">
        <v>135</v>
      </c>
      <c r="CO37" s="35">
        <f>CP37+$CO$35</f>
        <v>7.0000000000000007E-2</v>
      </c>
      <c r="CP37" s="45">
        <v>5.5E-2</v>
      </c>
      <c r="CQ37" s="35">
        <f>CP37+$CQ$35</f>
        <v>0.04</v>
      </c>
    </row>
    <row r="38" spans="2:96" ht="15" hidden="1" customHeight="1" outlineLevel="1" x14ac:dyDescent="0.25">
      <c r="B38" s="26" t="s">
        <v>119</v>
      </c>
      <c r="C38" s="38" t="str">
        <f t="shared" ref="C38:AH38" si="98">IF(AND(ISNUMBER(C36),ISNUMBER(C34)),IFERROR(C36/C34,""),"")</f>
        <v/>
      </c>
      <c r="D38" s="38" t="str">
        <f t="shared" si="98"/>
        <v/>
      </c>
      <c r="E38" s="38" t="str">
        <f t="shared" si="98"/>
        <v/>
      </c>
      <c r="F38" s="38" t="str">
        <f t="shared" si="98"/>
        <v/>
      </c>
      <c r="G38" s="38" t="str">
        <f t="shared" si="98"/>
        <v/>
      </c>
      <c r="H38" s="38" t="str">
        <f t="shared" si="98"/>
        <v/>
      </c>
      <c r="I38" s="38">
        <f t="shared" si="98"/>
        <v>4.06015037593985E-2</v>
      </c>
      <c r="J38" s="38">
        <f t="shared" si="98"/>
        <v>-0.16824644549763032</v>
      </c>
      <c r="K38" s="38">
        <f t="shared" si="98"/>
        <v>6.6385669125395161E-2</v>
      </c>
      <c r="L38" s="38">
        <f t="shared" si="98"/>
        <v>0.1101123595505618</v>
      </c>
      <c r="M38" s="38">
        <f t="shared" si="98"/>
        <v>8.12928501469148E-2</v>
      </c>
      <c r="N38" s="38">
        <f t="shared" si="98"/>
        <v>6.1064577141313157E-2</v>
      </c>
      <c r="O38" s="38">
        <f t="shared" si="98"/>
        <v>-4.2808219178082203E-2</v>
      </c>
      <c r="P38" s="38">
        <f t="shared" si="98"/>
        <v>9.8305084745762703E-2</v>
      </c>
      <c r="Q38" s="38">
        <f t="shared" si="98"/>
        <v>0.15010515247108305</v>
      </c>
      <c r="R38" s="38">
        <f t="shared" si="98"/>
        <v>0.14371636593858814</v>
      </c>
      <c r="S38" s="38">
        <f t="shared" si="98"/>
        <v>0.12783505154639174</v>
      </c>
      <c r="T38" s="38">
        <f t="shared" si="98"/>
        <v>6.7662930676629318E-2</v>
      </c>
      <c r="U38" s="38">
        <f t="shared" si="98"/>
        <v>0.15476963011031794</v>
      </c>
      <c r="V38" s="38">
        <f t="shared" si="98"/>
        <v>0.20076573342905002</v>
      </c>
      <c r="W38" s="38">
        <f t="shared" si="98"/>
        <v>0.12254376563058235</v>
      </c>
      <c r="X38" s="38">
        <f t="shared" si="98"/>
        <v>0.14620258240436282</v>
      </c>
      <c r="Y38" s="38">
        <f t="shared" si="98"/>
        <v>0.16604477611940294</v>
      </c>
      <c r="Z38" s="38">
        <f t="shared" si="98"/>
        <v>0.18248604172788715</v>
      </c>
      <c r="AA38" s="38">
        <f t="shared" si="98"/>
        <v>0.2296738631143776</v>
      </c>
      <c r="AB38" s="38">
        <f t="shared" si="98"/>
        <v>0.16084425036390101</v>
      </c>
      <c r="AC38" s="38">
        <f t="shared" si="98"/>
        <v>0.16960954986321811</v>
      </c>
      <c r="AD38" s="38">
        <f t="shared" si="98"/>
        <v>0.1339363875109425</v>
      </c>
      <c r="AE38" s="38">
        <f t="shared" si="98"/>
        <v>0.16935305807021417</v>
      </c>
      <c r="AF38" s="38">
        <f t="shared" si="98"/>
        <v>0.16785117056856189</v>
      </c>
      <c r="AG38" s="38">
        <f t="shared" si="98"/>
        <v>0.17732631050915473</v>
      </c>
      <c r="AH38" s="38">
        <f t="shared" si="98"/>
        <v>0.17105180926192112</v>
      </c>
      <c r="AI38" s="38">
        <f t="shared" ref="AI38:BN38" si="99">IF(AND(ISNUMBER(AI36),ISNUMBER(AI34)),IFERROR(AI36/AI34,""),"")</f>
        <v>9.7809318111693924E-2</v>
      </c>
      <c r="AJ38" s="38">
        <f t="shared" si="99"/>
        <v>0.18959006526008998</v>
      </c>
      <c r="AK38" s="38">
        <f t="shared" si="99"/>
        <v>0.1739509640267437</v>
      </c>
      <c r="AL38" s="38">
        <f t="shared" si="99"/>
        <v>0.14336705307817738</v>
      </c>
      <c r="AM38" s="38">
        <f t="shared" si="99"/>
        <v>0.15633418689003559</v>
      </c>
      <c r="AN38" s="38">
        <f t="shared" si="99"/>
        <v>6.2701867069097195E-2</v>
      </c>
      <c r="AO38" s="38">
        <f t="shared" si="99"/>
        <v>0.17668213510325295</v>
      </c>
      <c r="AP38" s="38">
        <f t="shared" si="99"/>
        <v>0.20776688253035108</v>
      </c>
      <c r="AQ38" s="38">
        <f t="shared" si="99"/>
        <v>0.16830970964720574</v>
      </c>
      <c r="AR38" s="38">
        <f t="shared" si="99"/>
        <v>0.16231620271234834</v>
      </c>
      <c r="AS38" s="38">
        <f t="shared" si="99"/>
        <v>7.9834605597964389E-2</v>
      </c>
      <c r="AT38" s="38">
        <f t="shared" si="99"/>
        <v>0.19800693240901213</v>
      </c>
      <c r="AU38" s="38">
        <f t="shared" si="99"/>
        <v>0.20760000000000003</v>
      </c>
      <c r="AV38" s="38">
        <f t="shared" si="99"/>
        <v>0.19661090593091463</v>
      </c>
      <c r="AW38" s="38">
        <f t="shared" si="99"/>
        <v>0.17905891838967919</v>
      </c>
      <c r="AX38" s="38">
        <f t="shared" si="99"/>
        <v>7.420890506860825E-2</v>
      </c>
      <c r="AY38" s="38">
        <f t="shared" si="99"/>
        <v>0.16128412149173393</v>
      </c>
      <c r="AZ38" s="38">
        <f t="shared" si="99"/>
        <v>0.18520801232665637</v>
      </c>
      <c r="BA38" s="38">
        <f t="shared" si="99"/>
        <v>0.16128005094730141</v>
      </c>
      <c r="BB38" s="38">
        <f t="shared" si="99"/>
        <v>0.15400324901369228</v>
      </c>
      <c r="BC38" s="38">
        <f t="shared" si="99"/>
        <v>7.3247078464106857E-2</v>
      </c>
      <c r="BD38" s="38">
        <f t="shared" si="99"/>
        <v>0.15394935435183635</v>
      </c>
      <c r="BE38" s="38">
        <f t="shared" si="99"/>
        <v>0.19545973729297542</v>
      </c>
      <c r="BF38" s="38">
        <f t="shared" si="99"/>
        <v>0.16648590021691972</v>
      </c>
      <c r="BG38" s="38">
        <f t="shared" si="99"/>
        <v>0.15281236582224131</v>
      </c>
      <c r="BH38" s="38">
        <f t="shared" si="99"/>
        <v>8.4639498432601865E-2</v>
      </c>
      <c r="BI38" s="38">
        <f t="shared" si="99"/>
        <v>0.23267605633802815</v>
      </c>
      <c r="BJ38" s="38">
        <f t="shared" si="99"/>
        <v>0.24745321013977734</v>
      </c>
      <c r="BK38" s="38">
        <f t="shared" si="99"/>
        <v>0.21355004827808174</v>
      </c>
      <c r="BL38" s="38">
        <f t="shared" si="99"/>
        <v>0.2077119646058202</v>
      </c>
      <c r="BM38" s="38">
        <f t="shared" si="99"/>
        <v>2.7777777777777776E-2</v>
      </c>
      <c r="BN38" s="38">
        <f t="shared" si="99"/>
        <v>0.21541501976284586</v>
      </c>
      <c r="BO38" s="38">
        <f t="shared" ref="BO38:BX38" si="100">IF(AND(ISNUMBER(BO36),ISNUMBER(BO34)),IFERROR(BO36/BO34,""),"")</f>
        <v>0.23474178403755869</v>
      </c>
      <c r="BP38" s="38">
        <f t="shared" si="100"/>
        <v>0.19214876033057851</v>
      </c>
      <c r="BQ38" s="38">
        <f t="shared" si="100"/>
        <v>0.18493852459016394</v>
      </c>
      <c r="BR38" s="38">
        <f t="shared" si="100"/>
        <v>-0.15573770491803279</v>
      </c>
      <c r="BS38" s="38">
        <f t="shared" si="100"/>
        <v>0.14391143911439114</v>
      </c>
      <c r="BT38" s="38">
        <f t="shared" si="100"/>
        <v>0.15384615384615385</v>
      </c>
      <c r="BU38" s="38">
        <f t="shared" si="100"/>
        <v>9.2741935483870969E-2</v>
      </c>
      <c r="BV38" s="38">
        <f t="shared" si="100"/>
        <v>9.8790322580645157E-2</v>
      </c>
      <c r="BW38" s="38">
        <f t="shared" si="100"/>
        <v>-0.13793103448275862</v>
      </c>
      <c r="BX38" s="38">
        <f t="shared" si="100"/>
        <v>0.11221122112211221</v>
      </c>
      <c r="BY38" s="25">
        <f>BY37+BY127</f>
        <v>0.16942050866217187</v>
      </c>
      <c r="BZ38" s="25">
        <f>BZ37+BZ127</f>
        <v>0.10831629029988901</v>
      </c>
      <c r="CA38" s="25">
        <f>IFERROR(CA36/CA34,"")</f>
        <v>0.10617539420427519</v>
      </c>
      <c r="CB38" s="25">
        <f>CHOOSE(MATCH($CF$2,{"Bull","Base","Bear"},0),$CO$51,$CP$51,$CQ$51)</f>
        <v>0.1</v>
      </c>
      <c r="CC38" s="25">
        <f>CHOOSE(MATCH($CF$2,{"Bull","Base","Bear"},0),$CO$52,$CP$52,$CQ$52)</f>
        <v>0.105</v>
      </c>
      <c r="CD38" s="25">
        <f>CHOOSE(MATCH($CF$2,{"Bull","Base","Bear"},0),$CO$53,$CP$53,$CQ$53)</f>
        <v>0.11</v>
      </c>
      <c r="CE38" s="25">
        <f>CHOOSE(MATCH($CF$2,{"Bull","Base","Bear"},0),$CO$54,$CP$54,$CQ$54)</f>
        <v>0.11</v>
      </c>
      <c r="CF38" s="6"/>
      <c r="CH38" s="39">
        <f>IFERROR(AVERAGE(CA38,CB38,CC38,CD38,CE38),"n/m")</f>
        <v>0.10623507884085504</v>
      </c>
      <c r="CI38" s="39">
        <f>IFERROR(AVERAGE(BB38,BG38,BL38,BQ38,BV38),"n/m")</f>
        <v>0.15965128532251255</v>
      </c>
      <c r="CJ38" s="39">
        <f>IFERROR(AVERAGE(AC38,AH38,AM38,AR38,AW38,BB38,BG38,BL38,BQ38,BV38),"n/m")</f>
        <v>0.16366270937297653</v>
      </c>
      <c r="CK38" s="39">
        <f>IFERROR(AVERAGE(C38,D38,E38,F38,G38,H38,I38,N38,S38,X38,AC38,AH38,AM38,AR38,AW38,BB38,BG38,BL38,BQ38,BV38),"n/m")</f>
        <v>0.14373791489865936</v>
      </c>
      <c r="CN38" s="26" t="s">
        <v>138</v>
      </c>
      <c r="CO38" s="35">
        <f>CP38+$CO$35</f>
        <v>6.5000000000000002E-2</v>
      </c>
      <c r="CP38" s="45">
        <v>0.05</v>
      </c>
      <c r="CQ38" s="35">
        <f>CP38+$CQ$35</f>
        <v>3.5000000000000003E-2</v>
      </c>
    </row>
    <row r="39" spans="2:96" ht="15" hidden="1" customHeight="1" outlineLevel="2" x14ac:dyDescent="0.25">
      <c r="B39" s="42" t="s">
        <v>144</v>
      </c>
      <c r="Q39" s="36">
        <v>109.5</v>
      </c>
      <c r="R39" s="36">
        <v>100</v>
      </c>
      <c r="S39" s="36">
        <v>209.6</v>
      </c>
      <c r="T39" s="36">
        <v>96.6</v>
      </c>
      <c r="U39" s="36">
        <v>100.4</v>
      </c>
      <c r="V39" s="36">
        <v>110.5</v>
      </c>
      <c r="W39" s="36">
        <v>60.1</v>
      </c>
      <c r="X39" s="36">
        <v>367.6</v>
      </c>
      <c r="Y39" s="36">
        <v>69.900000000000006</v>
      </c>
      <c r="Z39" s="36">
        <v>59.8</v>
      </c>
      <c r="AA39" s="36">
        <v>60.1</v>
      </c>
      <c r="AB39" s="36">
        <v>85.4</v>
      </c>
      <c r="AC39" s="36">
        <v>364.4</v>
      </c>
      <c r="AD39" s="36">
        <v>93.7</v>
      </c>
      <c r="AE39" s="36">
        <v>99</v>
      </c>
      <c r="AF39" s="36">
        <v>88.6</v>
      </c>
      <c r="AG39" s="36">
        <v>90.2</v>
      </c>
      <c r="AH39" s="36">
        <v>371.5</v>
      </c>
      <c r="AI39" s="36">
        <v>89.2</v>
      </c>
      <c r="AJ39" s="36">
        <v>113.148</v>
      </c>
      <c r="AK39" s="36">
        <v>98.222999999999999</v>
      </c>
      <c r="AL39" s="36">
        <v>87.277000000000001</v>
      </c>
      <c r="AM39" s="36">
        <v>387.83</v>
      </c>
      <c r="AN39" s="36">
        <v>99.016999999999996</v>
      </c>
      <c r="AO39" s="36">
        <v>112.35</v>
      </c>
      <c r="AP39" s="36">
        <v>119.60899999999999</v>
      </c>
      <c r="AQ39" s="36">
        <v>108.136</v>
      </c>
      <c r="AR39" s="36">
        <v>439.11200000000002</v>
      </c>
      <c r="AS39" s="36">
        <v>106.6</v>
      </c>
      <c r="AT39" s="36">
        <v>109.5</v>
      </c>
      <c r="AU39" s="36">
        <v>115.6</v>
      </c>
      <c r="AV39" s="36">
        <v>120.8</v>
      </c>
      <c r="AW39" s="36">
        <v>452.5</v>
      </c>
      <c r="AX39" s="36">
        <v>109.6</v>
      </c>
      <c r="AY39" s="36">
        <v>116.5</v>
      </c>
      <c r="AZ39" s="36">
        <v>132.30000000000001</v>
      </c>
      <c r="BA39" s="36">
        <v>136.1</v>
      </c>
      <c r="BB39" s="36">
        <v>494.5</v>
      </c>
      <c r="BC39" s="36">
        <v>134.30000000000001</v>
      </c>
      <c r="BD39" s="36">
        <v>157.9</v>
      </c>
      <c r="BE39" s="36">
        <v>163.19999999999999</v>
      </c>
      <c r="BF39" s="36">
        <v>146.9</v>
      </c>
      <c r="BG39" s="36">
        <v>602.29999999999995</v>
      </c>
      <c r="BH39" s="36">
        <v>168.6</v>
      </c>
      <c r="BI39" s="36">
        <v>197.7</v>
      </c>
      <c r="BJ39" s="36">
        <v>199.1</v>
      </c>
      <c r="BK39" s="36">
        <v>160.19999999999999</v>
      </c>
      <c r="BL39" s="36">
        <v>725.5</v>
      </c>
      <c r="BY39" s="6"/>
      <c r="BZ39" s="6"/>
      <c r="CA39" s="6"/>
      <c r="CB39" s="6"/>
      <c r="CC39" s="6"/>
      <c r="CD39" s="6"/>
      <c r="CE39" s="6"/>
      <c r="CF39" s="6"/>
      <c r="CN39" s="26" t="s">
        <v>140</v>
      </c>
      <c r="CO39" s="35">
        <f>CP39+$CO$35</f>
        <v>6.5000000000000002E-2</v>
      </c>
      <c r="CP39" s="45">
        <v>0.05</v>
      </c>
      <c r="CQ39" s="35">
        <f>CP39+$CQ$35</f>
        <v>3.5000000000000003E-2</v>
      </c>
    </row>
    <row r="40" spans="2:96" ht="15" hidden="1" customHeight="1" outlineLevel="2" x14ac:dyDescent="0.25">
      <c r="B40" s="42" t="s">
        <v>145</v>
      </c>
      <c r="Q40" s="36">
        <v>24.2</v>
      </c>
      <c r="R40" s="36">
        <v>28.3</v>
      </c>
      <c r="S40" s="36">
        <v>52.5</v>
      </c>
      <c r="T40" s="36">
        <v>19</v>
      </c>
      <c r="U40" s="36">
        <v>30.4</v>
      </c>
      <c r="V40" s="36">
        <v>38.200000000000003</v>
      </c>
      <c r="W40" s="36">
        <v>15.8</v>
      </c>
      <c r="X40" s="36">
        <v>103.5</v>
      </c>
      <c r="Y40" s="36">
        <v>32.6</v>
      </c>
      <c r="Z40" s="36">
        <v>24</v>
      </c>
      <c r="AA40" s="36">
        <v>29.7</v>
      </c>
      <c r="AB40" s="36">
        <v>26.7</v>
      </c>
      <c r="AC40" s="36">
        <v>120.1</v>
      </c>
      <c r="AD40" s="36">
        <v>30.9</v>
      </c>
      <c r="AE40" s="36">
        <v>29.4</v>
      </c>
      <c r="AF40" s="36">
        <v>27.6</v>
      </c>
      <c r="AG40" s="36">
        <v>29.4</v>
      </c>
      <c r="AH40" s="36">
        <v>117.3</v>
      </c>
      <c r="AI40" s="36">
        <v>23.7</v>
      </c>
      <c r="AJ40" s="36">
        <v>41.305</v>
      </c>
      <c r="AK40" s="36">
        <v>32.542999999999999</v>
      </c>
      <c r="AL40" s="36">
        <v>28.631</v>
      </c>
      <c r="AM40" s="36">
        <v>126.21299999999999</v>
      </c>
      <c r="AN40" s="36">
        <v>13.779</v>
      </c>
      <c r="AO40" s="36">
        <v>42.228999999999999</v>
      </c>
      <c r="AP40" s="36">
        <v>48.518999999999998</v>
      </c>
      <c r="AQ40" s="36">
        <v>38.895000000000003</v>
      </c>
      <c r="AR40" s="36">
        <v>143.42099999999999</v>
      </c>
      <c r="AS40" s="36">
        <v>27.3</v>
      </c>
      <c r="AT40" s="36">
        <v>43.4</v>
      </c>
      <c r="AU40" s="36">
        <v>46.5</v>
      </c>
      <c r="AV40" s="36">
        <v>53.7</v>
      </c>
      <c r="AW40" s="36">
        <v>170.9</v>
      </c>
      <c r="AX40" s="36">
        <v>15.3</v>
      </c>
      <c r="AY40" s="36">
        <v>36.1</v>
      </c>
      <c r="AZ40" s="36">
        <v>49.9</v>
      </c>
      <c r="BA40" s="36">
        <v>55.8</v>
      </c>
      <c r="BB40" s="36">
        <v>157</v>
      </c>
      <c r="BC40" s="36">
        <v>27.3</v>
      </c>
      <c r="BD40" s="36">
        <v>51.1</v>
      </c>
      <c r="BE40" s="36">
        <v>67.7</v>
      </c>
      <c r="BF40" s="36">
        <v>58.2</v>
      </c>
      <c r="BG40" s="36">
        <v>204.4</v>
      </c>
      <c r="BH40" s="36">
        <v>47.1</v>
      </c>
      <c r="BI40" s="36">
        <v>93.3</v>
      </c>
      <c r="BJ40" s="36">
        <v>108.7</v>
      </c>
      <c r="BK40" s="36">
        <v>84.5</v>
      </c>
      <c r="BL40" s="36">
        <v>333.6</v>
      </c>
      <c r="BY40" s="6"/>
      <c r="BZ40" s="6"/>
      <c r="CA40" s="6"/>
      <c r="CB40" s="6"/>
      <c r="CC40" s="6"/>
      <c r="CD40" s="6"/>
      <c r="CE40" s="6"/>
      <c r="CF40" s="6"/>
      <c r="CN40" s="16" t="s">
        <v>146</v>
      </c>
      <c r="CO40" s="44">
        <v>0.02</v>
      </c>
      <c r="CP40" s="22" t="s">
        <v>131</v>
      </c>
      <c r="CQ40" s="44">
        <v>-0.02</v>
      </c>
      <c r="CR40" s="14" t="s">
        <v>147</v>
      </c>
    </row>
    <row r="41" spans="2:96" ht="15" hidden="1" customHeight="1" outlineLevel="2" x14ac:dyDescent="0.25">
      <c r="B41" s="42" t="s">
        <v>148</v>
      </c>
      <c r="Q41" s="48">
        <v>1.5249999999999999</v>
      </c>
      <c r="R41" s="48">
        <v>1.3</v>
      </c>
      <c r="S41" s="48">
        <v>2.8239999999999998</v>
      </c>
      <c r="T41" s="48">
        <v>1.2170000000000001</v>
      </c>
      <c r="U41" s="48">
        <v>1.2030000000000001</v>
      </c>
      <c r="V41" s="48">
        <v>1.337</v>
      </c>
      <c r="W41" s="48">
        <v>0.80200000000000005</v>
      </c>
      <c r="X41" s="48">
        <v>4.5579999999999998</v>
      </c>
      <c r="Y41" s="48">
        <v>0.95699999999999996</v>
      </c>
      <c r="Z41" s="48">
        <v>0.85399999999999998</v>
      </c>
      <c r="AA41" s="48">
        <v>0.90500000000000003</v>
      </c>
      <c r="AB41" s="48">
        <v>0.81</v>
      </c>
      <c r="AC41" s="48">
        <v>3.5249999999999999</v>
      </c>
      <c r="AD41" s="48">
        <v>0.90500000000000003</v>
      </c>
      <c r="AE41" s="48">
        <v>0.92200000000000004</v>
      </c>
      <c r="AF41" s="48">
        <v>0.81699999999999995</v>
      </c>
      <c r="AG41" s="48">
        <v>0.82399999999999995</v>
      </c>
      <c r="AH41" s="48">
        <v>3.4670000000000001</v>
      </c>
      <c r="AI41" s="48">
        <v>0.82499999999999996</v>
      </c>
      <c r="AJ41" s="48">
        <v>1.028</v>
      </c>
      <c r="AK41" s="48">
        <v>0.879</v>
      </c>
      <c r="AL41" s="48">
        <v>0.77500000000000002</v>
      </c>
      <c r="AM41" s="48">
        <v>3.508</v>
      </c>
      <c r="AN41" s="48">
        <v>0.88500000000000001</v>
      </c>
      <c r="AO41" s="48">
        <v>0.97799999999999998</v>
      </c>
      <c r="AP41" s="48">
        <v>1.06</v>
      </c>
      <c r="AQ41" s="48">
        <v>0.94799999999999995</v>
      </c>
      <c r="AR41" s="48">
        <v>3.871</v>
      </c>
      <c r="AS41" s="48">
        <v>0.9</v>
      </c>
      <c r="AT41" s="48">
        <v>1</v>
      </c>
      <c r="AU41" s="48">
        <v>1</v>
      </c>
      <c r="AV41" s="48">
        <v>1.1000000000000001</v>
      </c>
      <c r="AW41" s="48">
        <v>4</v>
      </c>
      <c r="AX41" s="48">
        <v>0.9</v>
      </c>
      <c r="AY41" s="48">
        <v>0.9</v>
      </c>
      <c r="AZ41" s="48">
        <v>1.1000000000000001</v>
      </c>
      <c r="BA41" s="48">
        <v>1.1000000000000001</v>
      </c>
      <c r="BB41" s="48">
        <v>4</v>
      </c>
      <c r="BC41" s="48">
        <v>1</v>
      </c>
      <c r="BD41" s="48">
        <v>1.1000000000000001</v>
      </c>
      <c r="BE41" s="48">
        <v>1.1000000000000001</v>
      </c>
      <c r="BF41" s="48">
        <v>0.9</v>
      </c>
      <c r="BG41" s="48">
        <v>4.2</v>
      </c>
      <c r="BH41" s="48">
        <v>1</v>
      </c>
      <c r="BI41" s="48">
        <v>1.1000000000000001</v>
      </c>
      <c r="BJ41" s="48">
        <v>1.1000000000000001</v>
      </c>
      <c r="BK41" s="48">
        <v>0.9</v>
      </c>
      <c r="BL41" s="48">
        <v>4</v>
      </c>
      <c r="BM41" s="48">
        <v>0.6</v>
      </c>
      <c r="BN41" s="48">
        <v>0.5</v>
      </c>
      <c r="BO41" s="48">
        <v>0.6</v>
      </c>
      <c r="BP41" s="48">
        <v>0.5</v>
      </c>
      <c r="BQ41" s="48">
        <v>2.2999999999999998</v>
      </c>
      <c r="BY41" s="6"/>
      <c r="BZ41" s="6"/>
      <c r="CA41" s="6"/>
      <c r="CB41" s="6"/>
      <c r="CC41" s="6"/>
      <c r="CD41" s="6"/>
      <c r="CE41" s="6"/>
      <c r="CF41" s="6"/>
      <c r="CN41" s="26" t="s">
        <v>134</v>
      </c>
      <c r="CO41" s="35">
        <f>CP41+$CO$40</f>
        <v>0.35000000000000003</v>
      </c>
      <c r="CP41" s="45">
        <v>0.33</v>
      </c>
      <c r="CQ41" s="35">
        <f>CP41+$CQ$40</f>
        <v>0.31</v>
      </c>
    </row>
    <row r="42" spans="2:96" ht="15" hidden="1" customHeight="1" outlineLevel="2" x14ac:dyDescent="0.25">
      <c r="B42" s="42" t="s">
        <v>149</v>
      </c>
      <c r="H42" s="36">
        <v>33</v>
      </c>
      <c r="I42" s="36">
        <v>116.3</v>
      </c>
      <c r="J42" s="36">
        <v>27.4</v>
      </c>
      <c r="K42" s="36">
        <v>36.700000000000003</v>
      </c>
      <c r="L42" s="36">
        <v>41.8</v>
      </c>
      <c r="M42" s="36">
        <v>42.7</v>
      </c>
      <c r="N42" s="36">
        <v>146.1</v>
      </c>
      <c r="O42" s="36">
        <v>38</v>
      </c>
      <c r="P42" s="36">
        <v>52.4</v>
      </c>
      <c r="Q42" s="36">
        <v>183.7</v>
      </c>
      <c r="R42" s="36">
        <v>156.30000000000001</v>
      </c>
      <c r="S42" s="36">
        <v>430.5</v>
      </c>
      <c r="T42" s="36">
        <v>127.6</v>
      </c>
      <c r="U42" s="36">
        <v>149.80000000000001</v>
      </c>
      <c r="V42" s="36">
        <v>209.6</v>
      </c>
      <c r="W42" s="36">
        <v>168.9</v>
      </c>
      <c r="X42" s="36">
        <v>655.8</v>
      </c>
      <c r="Y42" s="36">
        <v>186.8</v>
      </c>
      <c r="Z42" s="36">
        <v>214.9</v>
      </c>
      <c r="AA42" s="36">
        <v>263.7</v>
      </c>
      <c r="AB42" s="36">
        <v>237.1</v>
      </c>
      <c r="AC42" s="36">
        <v>902.6</v>
      </c>
      <c r="AD42" s="36">
        <v>222.4</v>
      </c>
      <c r="AE42" s="36">
        <v>241.9</v>
      </c>
      <c r="AF42" s="36">
        <v>240.2</v>
      </c>
      <c r="AG42" s="36">
        <v>231.6</v>
      </c>
      <c r="AH42" s="36">
        <v>936.1</v>
      </c>
      <c r="AI42" s="36">
        <v>218.5</v>
      </c>
      <c r="AJ42" s="36">
        <v>277.202</v>
      </c>
      <c r="AK42" s="36">
        <v>254.68600000000001</v>
      </c>
      <c r="AL42" s="36">
        <v>213.346</v>
      </c>
      <c r="AM42" s="36">
        <v>963.77</v>
      </c>
      <c r="AN42" s="36">
        <v>211.15600000000001</v>
      </c>
      <c r="AO42" s="36">
        <v>241.178</v>
      </c>
      <c r="AP42" s="36">
        <v>271.84399999999999</v>
      </c>
      <c r="AQ42" s="36">
        <v>223.87299999999999</v>
      </c>
      <c r="AR42" s="36">
        <v>948.05200000000002</v>
      </c>
      <c r="AS42" s="36">
        <v>189.7</v>
      </c>
      <c r="AT42" s="36">
        <v>245.1</v>
      </c>
      <c r="AU42" s="36">
        <v>254.6</v>
      </c>
      <c r="AV42" s="36">
        <v>262.7</v>
      </c>
      <c r="AW42" s="36">
        <v>952.1</v>
      </c>
      <c r="AX42" s="36">
        <v>235.3</v>
      </c>
      <c r="AY42" s="36">
        <v>268.39999999999998</v>
      </c>
      <c r="AZ42" s="36">
        <v>320.8</v>
      </c>
      <c r="BA42" s="36">
        <v>321.3</v>
      </c>
      <c r="BB42" s="36">
        <v>1145.8</v>
      </c>
      <c r="BC42" s="36">
        <v>290.10000000000002</v>
      </c>
      <c r="BD42" s="36">
        <v>226.1</v>
      </c>
      <c r="BE42" s="36">
        <v>227.4</v>
      </c>
      <c r="BF42" s="36">
        <v>207.7</v>
      </c>
      <c r="BG42" s="36">
        <v>951.3</v>
      </c>
      <c r="BH42" s="36">
        <v>220</v>
      </c>
      <c r="BI42" s="36">
        <v>271.39999999999998</v>
      </c>
      <c r="BJ42" s="36">
        <v>285.2</v>
      </c>
      <c r="BK42" s="36">
        <v>232.8</v>
      </c>
      <c r="BL42" s="36">
        <v>1009.3</v>
      </c>
      <c r="BY42" s="6"/>
      <c r="BZ42" s="6"/>
      <c r="CA42" s="6"/>
      <c r="CB42" s="6"/>
      <c r="CC42" s="6"/>
      <c r="CD42" s="6"/>
      <c r="CE42" s="6"/>
      <c r="CF42" s="6"/>
      <c r="CN42" s="26" t="s">
        <v>135</v>
      </c>
      <c r="CO42" s="35">
        <f>CP42+$CO$40</f>
        <v>0.36000000000000004</v>
      </c>
      <c r="CP42" s="45">
        <v>0.34</v>
      </c>
      <c r="CQ42" s="35">
        <f>CP42+$CQ$40</f>
        <v>0.32</v>
      </c>
    </row>
    <row r="43" spans="2:96" ht="15" hidden="1" customHeight="1" outlineLevel="2" x14ac:dyDescent="0.25">
      <c r="B43" s="42" t="s">
        <v>150</v>
      </c>
      <c r="I43" s="36">
        <v>-1.2</v>
      </c>
      <c r="J43" s="36">
        <v>-0.3</v>
      </c>
      <c r="K43" s="36">
        <v>1.6</v>
      </c>
      <c r="L43" s="36">
        <v>3.1</v>
      </c>
      <c r="M43" s="36">
        <v>3.4</v>
      </c>
      <c r="N43" s="36">
        <v>8.3000000000000007</v>
      </c>
      <c r="O43" s="36">
        <v>2.9</v>
      </c>
      <c r="P43" s="36">
        <v>7</v>
      </c>
      <c r="Q43" s="36">
        <v>18.600000000000001</v>
      </c>
      <c r="R43" s="36">
        <v>10.5</v>
      </c>
      <c r="S43" s="36">
        <v>39.1</v>
      </c>
      <c r="T43" s="36">
        <v>2.1</v>
      </c>
      <c r="U43" s="36">
        <v>9.4</v>
      </c>
      <c r="V43" s="36">
        <v>23.6</v>
      </c>
      <c r="W43" s="36">
        <v>8</v>
      </c>
      <c r="X43" s="36">
        <v>43</v>
      </c>
      <c r="Y43" s="36">
        <v>18.100000000000001</v>
      </c>
      <c r="Z43" s="36">
        <v>25.3</v>
      </c>
      <c r="AA43" s="36">
        <v>39.9</v>
      </c>
      <c r="AB43" s="36">
        <v>23.1</v>
      </c>
      <c r="AC43" s="36">
        <v>99.1</v>
      </c>
      <c r="AD43" s="36">
        <v>19.8</v>
      </c>
      <c r="AE43" s="36">
        <v>26.9</v>
      </c>
      <c r="AF43" s="36">
        <v>23.9</v>
      </c>
      <c r="AG43" s="36">
        <v>21.1</v>
      </c>
      <c r="AH43" s="36">
        <v>91.7</v>
      </c>
      <c r="AI43" s="36">
        <v>15.6</v>
      </c>
      <c r="AJ43" s="36">
        <v>29.952000000000002</v>
      </c>
      <c r="AK43" s="36">
        <v>20.632000000000001</v>
      </c>
      <c r="AL43" s="36">
        <v>7.95</v>
      </c>
      <c r="AM43" s="36">
        <v>74.174999999999997</v>
      </c>
      <c r="AN43" s="36">
        <v>14.492000000000001</v>
      </c>
      <c r="AO43" s="36">
        <v>19.013999999999999</v>
      </c>
      <c r="AP43" s="36">
        <v>28.948</v>
      </c>
      <c r="AQ43" s="36">
        <v>16.324000000000002</v>
      </c>
      <c r="AR43" s="36">
        <v>78.778000000000006</v>
      </c>
      <c r="AS43" s="36">
        <v>5.9</v>
      </c>
      <c r="AT43" s="36">
        <v>26.1</v>
      </c>
      <c r="AU43" s="36">
        <v>24.7</v>
      </c>
      <c r="AV43" s="36">
        <v>22.9</v>
      </c>
      <c r="AW43" s="36">
        <v>79.599999999999994</v>
      </c>
      <c r="AX43" s="36">
        <v>19.399999999999999</v>
      </c>
      <c r="AY43" s="36">
        <v>19.100000000000001</v>
      </c>
      <c r="AZ43" s="36">
        <v>31.4</v>
      </c>
      <c r="BA43" s="36">
        <v>25.7</v>
      </c>
      <c r="BB43" s="36">
        <v>95.6</v>
      </c>
      <c r="BC43" s="36">
        <v>21.1</v>
      </c>
      <c r="BD43" s="36">
        <v>14.3</v>
      </c>
      <c r="BE43" s="36">
        <v>18.7</v>
      </c>
      <c r="BF43" s="36">
        <v>15.5</v>
      </c>
      <c r="BG43" s="36">
        <v>69.599999999999994</v>
      </c>
      <c r="BH43" s="36">
        <v>11.2</v>
      </c>
      <c r="BI43" s="36">
        <v>35.4</v>
      </c>
      <c r="BJ43" s="36">
        <v>34.1</v>
      </c>
      <c r="BK43" s="36">
        <v>21.3</v>
      </c>
      <c r="BL43" s="36">
        <v>102</v>
      </c>
      <c r="BY43" s="6"/>
      <c r="BZ43" s="6"/>
      <c r="CA43" s="6"/>
      <c r="CB43" s="6"/>
      <c r="CC43" s="6"/>
      <c r="CD43" s="6"/>
      <c r="CE43" s="6"/>
      <c r="CF43" s="6"/>
      <c r="CN43" s="26" t="s">
        <v>138</v>
      </c>
      <c r="CO43" s="35">
        <f>CP43+$CO$40</f>
        <v>0.37</v>
      </c>
      <c r="CP43" s="45">
        <v>0.35</v>
      </c>
      <c r="CQ43" s="35">
        <f>CP43+$CQ$40</f>
        <v>0.32999999999999996</v>
      </c>
    </row>
    <row r="44" spans="2:96" ht="15" hidden="1" customHeight="1" outlineLevel="2" x14ac:dyDescent="0.25">
      <c r="B44" s="42" t="s">
        <v>151</v>
      </c>
      <c r="I44" s="48">
        <v>1.4810000000000001</v>
      </c>
      <c r="J44" s="48">
        <v>0.32900000000000001</v>
      </c>
      <c r="K44" s="48">
        <v>0.436</v>
      </c>
      <c r="L44" s="48">
        <v>0.496</v>
      </c>
      <c r="M44" s="48">
        <v>0.48099999999999998</v>
      </c>
      <c r="N44" s="48">
        <v>1.742</v>
      </c>
      <c r="O44" s="48">
        <v>0.40699999999999997</v>
      </c>
      <c r="P44" s="48">
        <v>0.55200000000000005</v>
      </c>
      <c r="Q44" s="48">
        <v>2.0459999999999998</v>
      </c>
      <c r="R44" s="48">
        <v>1.7729999999999999</v>
      </c>
      <c r="S44" s="48">
        <v>4.7789999999999999</v>
      </c>
      <c r="T44" s="48">
        <v>1.363</v>
      </c>
      <c r="U44" s="48">
        <v>1.613</v>
      </c>
      <c r="V44" s="48">
        <v>2.1110000000000002</v>
      </c>
      <c r="W44" s="48">
        <v>1.6180000000000001</v>
      </c>
      <c r="X44" s="48">
        <v>6.7069999999999999</v>
      </c>
      <c r="Y44" s="48">
        <v>1.786</v>
      </c>
      <c r="Z44" s="48">
        <v>1.9970000000000001</v>
      </c>
      <c r="AA44" s="48">
        <v>2.4860000000000002</v>
      </c>
      <c r="AB44" s="48">
        <v>2.2200000000000002</v>
      </c>
      <c r="AC44" s="48">
        <v>8.49</v>
      </c>
      <c r="AD44" s="48">
        <v>2.056</v>
      </c>
      <c r="AE44" s="48">
        <v>2.226</v>
      </c>
      <c r="AF44" s="48">
        <v>2.16</v>
      </c>
      <c r="AG44" s="48">
        <v>2.1160000000000001</v>
      </c>
      <c r="AH44" s="48">
        <v>8.5589999999999993</v>
      </c>
      <c r="AI44" s="48">
        <v>2.0089999999999999</v>
      </c>
      <c r="AJ44" s="48">
        <v>2.5590000000000002</v>
      </c>
      <c r="AK44" s="48">
        <v>2.2320000000000002</v>
      </c>
      <c r="AL44" s="48">
        <v>1.8859999999999999</v>
      </c>
      <c r="AM44" s="48">
        <v>8.6850000000000005</v>
      </c>
      <c r="AN44" s="48">
        <v>1.9319999999999999</v>
      </c>
      <c r="AO44" s="48">
        <v>2.1619999999999999</v>
      </c>
      <c r="AP44" s="48">
        <v>2.4329999999999998</v>
      </c>
      <c r="AQ44" s="48">
        <v>1.986</v>
      </c>
      <c r="AR44" s="48">
        <v>8.516</v>
      </c>
      <c r="AS44" s="48">
        <v>1.7</v>
      </c>
      <c r="AT44" s="48">
        <v>2.2000000000000002</v>
      </c>
      <c r="AU44" s="48">
        <v>2.2000000000000002</v>
      </c>
      <c r="AV44" s="48">
        <v>2.2999999999999998</v>
      </c>
      <c r="AW44" s="48">
        <v>8.4</v>
      </c>
      <c r="AX44" s="48">
        <v>2.1</v>
      </c>
      <c r="AY44" s="48">
        <v>2.2999999999999998</v>
      </c>
      <c r="AZ44" s="48">
        <v>2.7</v>
      </c>
      <c r="BA44" s="48">
        <v>2.8</v>
      </c>
      <c r="BB44" s="48">
        <v>10</v>
      </c>
      <c r="BC44" s="48">
        <v>2.4</v>
      </c>
      <c r="BD44" s="48">
        <v>1.8</v>
      </c>
      <c r="BE44" s="48">
        <v>1.7</v>
      </c>
      <c r="BF44" s="48">
        <v>1.5</v>
      </c>
      <c r="BG44" s="48">
        <v>7.4</v>
      </c>
      <c r="BH44" s="48">
        <v>1.5</v>
      </c>
      <c r="BI44" s="48">
        <v>1.8</v>
      </c>
      <c r="BJ44" s="48">
        <v>1.8</v>
      </c>
      <c r="BK44" s="48">
        <v>1.5</v>
      </c>
      <c r="BL44" s="48">
        <v>6.5</v>
      </c>
      <c r="BM44" s="48">
        <v>1.2</v>
      </c>
      <c r="BN44" s="48">
        <v>1.2</v>
      </c>
      <c r="BO44" s="48">
        <v>1.3</v>
      </c>
      <c r="BP44" s="48">
        <v>1.2</v>
      </c>
      <c r="BQ44" s="48">
        <v>5</v>
      </c>
      <c r="BY44" s="6"/>
      <c r="BZ44" s="6"/>
      <c r="CA44" s="6"/>
      <c r="CB44" s="6"/>
      <c r="CC44" s="6"/>
      <c r="CD44" s="6"/>
      <c r="CE44" s="6"/>
      <c r="CF44" s="6"/>
      <c r="CN44" s="26" t="s">
        <v>140</v>
      </c>
      <c r="CO44" s="35">
        <f>CP44+$CO$40</f>
        <v>0.375</v>
      </c>
      <c r="CP44" s="45">
        <v>0.35499999999999998</v>
      </c>
      <c r="CQ44" s="35">
        <f>CP44+$CQ$40</f>
        <v>0.33499999999999996</v>
      </c>
    </row>
    <row r="45" spans="2:96" ht="15" hidden="1" customHeight="1" outlineLevel="2" x14ac:dyDescent="0.25">
      <c r="B45" s="42" t="s">
        <v>152</v>
      </c>
      <c r="H45" s="36">
        <v>72.599999999999994</v>
      </c>
      <c r="I45" s="36">
        <v>216.2</v>
      </c>
      <c r="J45" s="36">
        <v>14.8</v>
      </c>
      <c r="K45" s="36">
        <v>58.2</v>
      </c>
      <c r="L45" s="36">
        <v>91.7</v>
      </c>
      <c r="M45" s="36">
        <v>59.4</v>
      </c>
      <c r="N45" s="36">
        <v>224</v>
      </c>
      <c r="O45" s="36">
        <v>20.399999999999999</v>
      </c>
      <c r="P45" s="36">
        <v>65.599999999999994</v>
      </c>
      <c r="Q45" s="36">
        <v>87.2</v>
      </c>
      <c r="R45" s="36">
        <v>59.6</v>
      </c>
      <c r="S45" s="36">
        <v>232.9</v>
      </c>
      <c r="T45" s="36">
        <v>16.7</v>
      </c>
      <c r="U45" s="36">
        <v>58</v>
      </c>
      <c r="V45" s="36">
        <v>97.8</v>
      </c>
      <c r="W45" s="36">
        <v>50.9</v>
      </c>
      <c r="X45" s="36">
        <v>223.5</v>
      </c>
      <c r="Y45" s="36">
        <v>11.3</v>
      </c>
      <c r="Z45" s="36">
        <v>65.599999999999994</v>
      </c>
      <c r="AA45" s="36">
        <v>111.6</v>
      </c>
      <c r="AB45" s="36">
        <v>89.7</v>
      </c>
      <c r="AC45" s="36">
        <v>341.4</v>
      </c>
      <c r="AD45" s="36">
        <v>26.6</v>
      </c>
      <c r="AE45" s="36">
        <v>112</v>
      </c>
      <c r="AF45" s="36">
        <v>149.6</v>
      </c>
      <c r="AG45" s="36">
        <v>76.900000000000006</v>
      </c>
      <c r="AH45" s="36">
        <v>292.5</v>
      </c>
      <c r="AI45" s="36">
        <v>16.399999999999999</v>
      </c>
      <c r="AJ45" s="36">
        <v>83.14</v>
      </c>
      <c r="AK45" s="36">
        <v>99.983000000000004</v>
      </c>
      <c r="AL45" s="36">
        <v>69.19</v>
      </c>
      <c r="AM45" s="36">
        <v>268.67899999999997</v>
      </c>
      <c r="AN45" s="36">
        <v>15.846</v>
      </c>
      <c r="AO45" s="36">
        <v>82.197999999999993</v>
      </c>
      <c r="AP45" s="36">
        <v>131.09899999999999</v>
      </c>
      <c r="AQ45" s="36">
        <v>68.366</v>
      </c>
      <c r="AR45" s="36">
        <v>294.036</v>
      </c>
      <c r="AS45" s="36">
        <v>18.100000000000001</v>
      </c>
      <c r="AT45" s="36">
        <v>107</v>
      </c>
      <c r="AU45" s="36">
        <v>129.80000000000001</v>
      </c>
      <c r="AV45" s="36">
        <v>76.8</v>
      </c>
      <c r="AW45" s="36">
        <v>331.7</v>
      </c>
      <c r="AX45" s="36">
        <v>12.2</v>
      </c>
      <c r="AY45" s="36">
        <v>135.30000000000001</v>
      </c>
      <c r="AZ45" s="36">
        <v>195.9</v>
      </c>
      <c r="BA45" s="36">
        <v>170.7</v>
      </c>
      <c r="BB45" s="36">
        <v>514.20000000000005</v>
      </c>
      <c r="BC45" s="36">
        <v>54.8</v>
      </c>
      <c r="BD45" s="36">
        <v>212.3</v>
      </c>
      <c r="BE45" s="36">
        <v>309.8</v>
      </c>
      <c r="BF45" s="36">
        <v>198.6</v>
      </c>
      <c r="BG45" s="36">
        <v>775.4</v>
      </c>
      <c r="BH45" s="36">
        <v>58</v>
      </c>
      <c r="BI45" s="36">
        <v>240.9</v>
      </c>
      <c r="BJ45" s="36">
        <v>359.9</v>
      </c>
      <c r="BK45" s="36">
        <v>228.4</v>
      </c>
      <c r="BL45" s="36">
        <v>887.1</v>
      </c>
      <c r="BM45" s="36">
        <v>59</v>
      </c>
      <c r="BN45" s="36">
        <v>245</v>
      </c>
      <c r="BO45" s="36">
        <v>343</v>
      </c>
      <c r="BP45" s="36">
        <v>223</v>
      </c>
      <c r="BQ45" s="36">
        <v>869</v>
      </c>
      <c r="BY45" s="6"/>
      <c r="BZ45" s="6"/>
      <c r="CA45" s="6"/>
      <c r="CB45" s="6"/>
      <c r="CC45" s="6"/>
      <c r="CD45" s="6"/>
      <c r="CE45" s="6"/>
      <c r="CF45" s="6"/>
      <c r="CN45" s="16" t="s">
        <v>153</v>
      </c>
      <c r="CO45" s="44">
        <v>0.03</v>
      </c>
      <c r="CP45" s="22" t="s">
        <v>131</v>
      </c>
      <c r="CQ45" s="44">
        <v>-0.03</v>
      </c>
      <c r="CR45" s="14" t="s">
        <v>154</v>
      </c>
    </row>
    <row r="46" spans="2:96" ht="15" hidden="1" customHeight="1" outlineLevel="2" x14ac:dyDescent="0.25">
      <c r="B46" s="42" t="s">
        <v>155</v>
      </c>
      <c r="I46" s="36">
        <v>14.7</v>
      </c>
      <c r="J46" s="36">
        <v>-6.8</v>
      </c>
      <c r="K46" s="36">
        <v>4.7</v>
      </c>
      <c r="L46" s="36">
        <v>11.6</v>
      </c>
      <c r="M46" s="36">
        <v>4.9000000000000004</v>
      </c>
      <c r="N46" s="36">
        <v>14.3</v>
      </c>
      <c r="O46" s="36">
        <v>-5.4</v>
      </c>
      <c r="P46" s="36">
        <v>4.5999999999999996</v>
      </c>
      <c r="Q46" s="36">
        <v>14.3</v>
      </c>
      <c r="R46" s="36">
        <v>6.6</v>
      </c>
      <c r="S46" s="36">
        <v>20</v>
      </c>
      <c r="T46" s="36">
        <v>-4.8</v>
      </c>
      <c r="U46" s="36">
        <v>7.9</v>
      </c>
      <c r="V46" s="36">
        <v>22.1</v>
      </c>
      <c r="W46" s="36">
        <v>10.5</v>
      </c>
      <c r="X46" s="36">
        <v>35.799999999999997</v>
      </c>
      <c r="Y46" s="36">
        <v>-6.2</v>
      </c>
      <c r="Z46" s="36">
        <v>12.8</v>
      </c>
      <c r="AA46" s="36">
        <v>30.4</v>
      </c>
      <c r="AB46" s="36">
        <v>16.5</v>
      </c>
      <c r="AC46" s="36">
        <v>53.6</v>
      </c>
      <c r="AD46" s="36">
        <v>-4.8</v>
      </c>
      <c r="AE46" s="36">
        <v>20.399999999999999</v>
      </c>
      <c r="AF46" s="36">
        <v>28.8</v>
      </c>
      <c r="AG46" s="36">
        <v>20.2</v>
      </c>
      <c r="AH46" s="36">
        <v>64.7</v>
      </c>
      <c r="AI46" s="36">
        <v>-7.6</v>
      </c>
      <c r="AJ46" s="36">
        <v>18.512</v>
      </c>
      <c r="AK46" s="36">
        <v>25.606000000000002</v>
      </c>
      <c r="AL46" s="36">
        <v>16.437999999999999</v>
      </c>
      <c r="AM46" s="36">
        <v>52.917000000000002</v>
      </c>
      <c r="AN46" s="36">
        <v>-7.8289999999999997</v>
      </c>
      <c r="AO46" s="36">
        <v>15.742000000000001</v>
      </c>
      <c r="AP46" s="36">
        <v>31.102</v>
      </c>
      <c r="AQ46" s="36">
        <v>12.167999999999999</v>
      </c>
      <c r="AR46" s="36">
        <v>50.686999999999998</v>
      </c>
      <c r="AS46" s="36">
        <v>-8.1</v>
      </c>
      <c r="AT46" s="36">
        <v>21.9</v>
      </c>
      <c r="AU46" s="36">
        <v>32.6</v>
      </c>
      <c r="AV46" s="36">
        <v>13.9</v>
      </c>
      <c r="AW46" s="36">
        <v>60.4</v>
      </c>
      <c r="AX46" s="36">
        <v>-8.1999999999999993</v>
      </c>
      <c r="AY46" s="36">
        <v>28.7</v>
      </c>
      <c r="AZ46" s="36">
        <v>38.9</v>
      </c>
      <c r="BA46" s="36">
        <v>19.8</v>
      </c>
      <c r="BB46" s="36">
        <v>79.2</v>
      </c>
      <c r="BC46" s="36">
        <v>-13.3</v>
      </c>
      <c r="BD46" s="36">
        <v>26.4</v>
      </c>
      <c r="BE46" s="36">
        <v>50.5</v>
      </c>
      <c r="BF46" s="36">
        <v>18.399999999999999</v>
      </c>
      <c r="BG46" s="36">
        <v>81.900000000000006</v>
      </c>
      <c r="BH46" s="36">
        <v>-20.5</v>
      </c>
      <c r="BI46" s="36">
        <v>36.5</v>
      </c>
      <c r="BJ46" s="36">
        <v>66.099999999999994</v>
      </c>
      <c r="BK46" s="36">
        <v>26.9</v>
      </c>
      <c r="BL46" s="36">
        <v>109</v>
      </c>
      <c r="BM46" s="36">
        <v>-22</v>
      </c>
      <c r="BN46" s="36">
        <v>37</v>
      </c>
      <c r="BO46" s="36">
        <v>61</v>
      </c>
      <c r="BP46" s="36">
        <v>25</v>
      </c>
      <c r="BQ46" s="36">
        <v>101</v>
      </c>
      <c r="BY46" s="6"/>
      <c r="BZ46" s="6"/>
      <c r="CA46" s="6"/>
      <c r="CB46" s="6"/>
      <c r="CC46" s="6"/>
      <c r="CD46" s="6"/>
      <c r="CE46" s="6"/>
      <c r="CF46" s="6"/>
      <c r="CN46" s="26" t="s">
        <v>134</v>
      </c>
      <c r="CO46" s="35">
        <f>CP46+$CO$45</f>
        <v>0.06</v>
      </c>
      <c r="CP46" s="45">
        <v>0.03</v>
      </c>
      <c r="CQ46" s="35">
        <f>CP46+$CQ$45</f>
        <v>0</v>
      </c>
    </row>
    <row r="47" spans="2:96" ht="15" hidden="1" customHeight="1" outlineLevel="2" x14ac:dyDescent="0.25">
      <c r="B47" s="42" t="s">
        <v>156</v>
      </c>
      <c r="I47" s="48">
        <v>3.26</v>
      </c>
      <c r="J47" s="48">
        <v>0.26100000000000001</v>
      </c>
      <c r="K47" s="48">
        <v>0.84299999999999997</v>
      </c>
      <c r="L47" s="48">
        <v>1.2250000000000001</v>
      </c>
      <c r="M47" s="48">
        <v>0.75900000000000001</v>
      </c>
      <c r="N47" s="48">
        <v>3.089</v>
      </c>
      <c r="O47" s="48">
        <v>0.32600000000000001</v>
      </c>
      <c r="P47" s="48">
        <v>0.95</v>
      </c>
      <c r="Q47" s="48">
        <v>1.2529999999999999</v>
      </c>
      <c r="R47" s="48">
        <v>0.78600000000000003</v>
      </c>
      <c r="S47" s="48">
        <v>3.3149999999999999</v>
      </c>
      <c r="T47" s="48">
        <v>0.27</v>
      </c>
      <c r="U47" s="48">
        <v>0.81200000000000006</v>
      </c>
      <c r="V47" s="48">
        <v>1.256</v>
      </c>
      <c r="W47" s="48">
        <v>0.57899999999999996</v>
      </c>
      <c r="X47" s="48">
        <v>2.9169999999999998</v>
      </c>
      <c r="Y47" s="48">
        <v>0.14499999999999999</v>
      </c>
      <c r="Z47" s="48">
        <v>0.84699999999999998</v>
      </c>
      <c r="AA47" s="48">
        <v>1.36</v>
      </c>
      <c r="AB47" s="48">
        <v>0.80200000000000005</v>
      </c>
      <c r="AC47" s="48">
        <v>3.1539999999999999</v>
      </c>
      <c r="AD47" s="48">
        <v>0.28999999999999998</v>
      </c>
      <c r="AE47" s="48">
        <v>0.98699999999999999</v>
      </c>
      <c r="AF47" s="48">
        <v>1.214</v>
      </c>
      <c r="AG47" s="48">
        <v>0.81200000000000006</v>
      </c>
      <c r="AH47" s="48">
        <v>3.29</v>
      </c>
      <c r="AI47" s="48">
        <v>0.192</v>
      </c>
      <c r="AJ47" s="48">
        <v>0.92800000000000005</v>
      </c>
      <c r="AK47" s="48">
        <v>1.103</v>
      </c>
      <c r="AL47" s="48">
        <v>0.70899999999999996</v>
      </c>
      <c r="AM47" s="48">
        <v>2.9329999999999998</v>
      </c>
      <c r="AN47" s="48">
        <v>0.193</v>
      </c>
      <c r="AO47" s="48">
        <v>0.81399999999999995</v>
      </c>
      <c r="AP47" s="48">
        <v>1.3360000000000001</v>
      </c>
      <c r="AQ47" s="48">
        <v>0.628</v>
      </c>
      <c r="AR47" s="48">
        <v>2.8759999999999999</v>
      </c>
      <c r="AS47" s="48">
        <v>0.2</v>
      </c>
      <c r="AT47" s="48">
        <v>1.1000000000000001</v>
      </c>
      <c r="AU47" s="48">
        <v>1.3</v>
      </c>
      <c r="AV47" s="48">
        <v>0.7</v>
      </c>
      <c r="AW47" s="48">
        <v>3.3</v>
      </c>
      <c r="AX47" s="48">
        <v>0.1</v>
      </c>
      <c r="AY47" s="48">
        <v>1.8</v>
      </c>
      <c r="AZ47" s="48">
        <v>2.8</v>
      </c>
      <c r="BA47" s="48">
        <v>2.2999999999999998</v>
      </c>
      <c r="BB47" s="48">
        <v>7.1</v>
      </c>
      <c r="BC47" s="48">
        <v>0.7</v>
      </c>
      <c r="BD47" s="48">
        <v>2.6</v>
      </c>
      <c r="BE47" s="48">
        <v>3.7</v>
      </c>
      <c r="BF47" s="48">
        <v>2.1</v>
      </c>
      <c r="BG47" s="48">
        <v>9.1</v>
      </c>
      <c r="BH47" s="48">
        <v>0.5</v>
      </c>
      <c r="BI47" s="48">
        <v>2.6</v>
      </c>
      <c r="BJ47" s="48">
        <v>3.9</v>
      </c>
      <c r="BK47" s="48">
        <v>2.4</v>
      </c>
      <c r="BL47" s="48">
        <v>9.4</v>
      </c>
      <c r="BM47" s="48">
        <v>0.5</v>
      </c>
      <c r="BN47" s="48">
        <v>2.5</v>
      </c>
      <c r="BO47" s="48">
        <v>3.6</v>
      </c>
      <c r="BP47" s="48">
        <v>2.2000000000000002</v>
      </c>
      <c r="BQ47" s="48">
        <v>8.8000000000000007</v>
      </c>
      <c r="BY47" s="6"/>
      <c r="BZ47" s="6"/>
      <c r="CA47" s="6"/>
      <c r="CB47" s="6"/>
      <c r="CC47" s="6"/>
      <c r="CD47" s="6"/>
      <c r="CE47" s="6"/>
      <c r="CF47" s="6"/>
      <c r="CN47" s="26" t="s">
        <v>135</v>
      </c>
      <c r="CO47" s="35">
        <f>CP47+$CO$45</f>
        <v>0.06</v>
      </c>
      <c r="CP47" s="45">
        <v>0.03</v>
      </c>
      <c r="CQ47" s="35">
        <f>CP47+$CQ$45</f>
        <v>0</v>
      </c>
    </row>
    <row r="48" spans="2:96" ht="15" hidden="1" customHeight="1" outlineLevel="2" x14ac:dyDescent="0.25">
      <c r="B48" s="42" t="s">
        <v>157</v>
      </c>
      <c r="BM48" s="36">
        <v>265</v>
      </c>
      <c r="BN48" s="36">
        <v>261</v>
      </c>
      <c r="BO48" s="36">
        <v>296</v>
      </c>
      <c r="BP48" s="36">
        <v>261</v>
      </c>
      <c r="BQ48" s="36">
        <v>1083</v>
      </c>
      <c r="BY48" s="6"/>
      <c r="BZ48" s="6"/>
      <c r="CA48" s="6"/>
      <c r="CB48" s="6"/>
      <c r="CC48" s="6"/>
      <c r="CD48" s="6"/>
      <c r="CE48" s="6"/>
      <c r="CF48" s="6"/>
      <c r="CN48" s="26" t="s">
        <v>138</v>
      </c>
      <c r="CO48" s="35">
        <f>CP48+$CO$45</f>
        <v>0.06</v>
      </c>
      <c r="CP48" s="45">
        <v>0.03</v>
      </c>
      <c r="CQ48" s="35">
        <f>CP48+$CQ$45</f>
        <v>0</v>
      </c>
    </row>
    <row r="49" spans="2:96" ht="15" hidden="1" customHeight="1" outlineLevel="2" x14ac:dyDescent="0.25">
      <c r="B49" s="42" t="s">
        <v>158</v>
      </c>
      <c r="BM49" s="36">
        <v>31</v>
      </c>
      <c r="BN49" s="36">
        <v>72</v>
      </c>
      <c r="BO49" s="36">
        <v>89</v>
      </c>
      <c r="BP49" s="36">
        <v>68</v>
      </c>
      <c r="BQ49" s="36">
        <v>260</v>
      </c>
      <c r="BY49" s="6"/>
      <c r="BZ49" s="6"/>
      <c r="CA49" s="6"/>
      <c r="CB49" s="6"/>
      <c r="CC49" s="6"/>
      <c r="CD49" s="6"/>
      <c r="CE49" s="6"/>
      <c r="CF49" s="6"/>
      <c r="CN49" s="26" t="s">
        <v>140</v>
      </c>
      <c r="CO49" s="35">
        <f>CP49+$CO$45</f>
        <v>0.06</v>
      </c>
      <c r="CP49" s="45">
        <v>0.03</v>
      </c>
      <c r="CQ49" s="35">
        <f>CP49+$CQ$45</f>
        <v>0</v>
      </c>
    </row>
    <row r="50" spans="2:96" ht="15" hidden="1" customHeight="1" outlineLevel="2" x14ac:dyDescent="0.25">
      <c r="B50" s="42" t="s">
        <v>159</v>
      </c>
      <c r="BY50" s="6"/>
      <c r="BZ50" s="6"/>
      <c r="CA50" s="6"/>
      <c r="CB50" s="6"/>
      <c r="CC50" s="6"/>
      <c r="CD50" s="6"/>
      <c r="CE50" s="6"/>
      <c r="CF50" s="6"/>
      <c r="CN50" s="16" t="s">
        <v>160</v>
      </c>
      <c r="CO50" s="44">
        <v>0.02</v>
      </c>
      <c r="CP50" s="22" t="s">
        <v>131</v>
      </c>
      <c r="CQ50" s="44">
        <v>-0.02</v>
      </c>
      <c r="CR50" s="14" t="s">
        <v>161</v>
      </c>
    </row>
    <row r="51" spans="2:96" ht="15" hidden="1" customHeight="1" outlineLevel="2" x14ac:dyDescent="0.25">
      <c r="B51" s="42" t="s">
        <v>162</v>
      </c>
      <c r="BY51" s="6"/>
      <c r="BZ51" s="6"/>
      <c r="CA51" s="6"/>
      <c r="CB51" s="6"/>
      <c r="CC51" s="6"/>
      <c r="CD51" s="6"/>
      <c r="CE51" s="6"/>
      <c r="CF51" s="6"/>
      <c r="CN51" s="26" t="s">
        <v>134</v>
      </c>
      <c r="CO51" s="35">
        <f>CP51+$CO$50</f>
        <v>0.12000000000000001</v>
      </c>
      <c r="CP51" s="45">
        <v>0.1</v>
      </c>
      <c r="CQ51" s="35">
        <f>CP51+$CQ$50</f>
        <v>0.08</v>
      </c>
    </row>
    <row r="52" spans="2:96" ht="15" hidden="1" customHeight="1" outlineLevel="2" x14ac:dyDescent="0.25">
      <c r="B52" s="42" t="s">
        <v>163</v>
      </c>
      <c r="H52" s="36">
        <v>0.6</v>
      </c>
      <c r="BR52" s="36">
        <v>122</v>
      </c>
      <c r="BS52" s="36">
        <v>271</v>
      </c>
      <c r="BT52" s="36">
        <v>351</v>
      </c>
      <c r="BU52" s="36">
        <v>248</v>
      </c>
      <c r="BV52" s="36">
        <v>992</v>
      </c>
      <c r="BW52" s="36">
        <v>116</v>
      </c>
      <c r="BX52" s="36">
        <v>303</v>
      </c>
      <c r="BY52" s="6"/>
      <c r="BZ52" s="6"/>
      <c r="CA52" s="6"/>
      <c r="CB52" s="6"/>
      <c r="CC52" s="6"/>
      <c r="CD52" s="6"/>
      <c r="CE52" s="6"/>
      <c r="CF52" s="6"/>
      <c r="CN52" s="26" t="s">
        <v>135</v>
      </c>
      <c r="CO52" s="35">
        <f>CP52+$CO$50</f>
        <v>0.125</v>
      </c>
      <c r="CP52" s="45">
        <v>0.105</v>
      </c>
      <c r="CQ52" s="35">
        <f>CP52+$CQ$50</f>
        <v>8.4999999999999992E-2</v>
      </c>
    </row>
    <row r="53" spans="2:96" ht="15" hidden="1" customHeight="1" outlineLevel="2" x14ac:dyDescent="0.25">
      <c r="B53" s="42" t="s">
        <v>164</v>
      </c>
      <c r="BR53" s="36">
        <v>-19</v>
      </c>
      <c r="BS53" s="36">
        <v>39</v>
      </c>
      <c r="BT53" s="36">
        <v>54</v>
      </c>
      <c r="BU53" s="36">
        <v>23</v>
      </c>
      <c r="BV53" s="36">
        <v>98</v>
      </c>
      <c r="BW53" s="36">
        <v>-16</v>
      </c>
      <c r="BX53" s="36">
        <v>34</v>
      </c>
      <c r="BY53" s="6"/>
      <c r="BZ53" s="6"/>
      <c r="CA53" s="6"/>
      <c r="CB53" s="6"/>
      <c r="CC53" s="6"/>
      <c r="CD53" s="6"/>
      <c r="CE53" s="6"/>
      <c r="CF53" s="6"/>
      <c r="CN53" s="26" t="s">
        <v>138</v>
      </c>
      <c r="CO53" s="35">
        <f>CP53+$CO$50</f>
        <v>0.13</v>
      </c>
      <c r="CP53" s="45">
        <v>0.11</v>
      </c>
      <c r="CQ53" s="35">
        <f>CP53+$CQ$50</f>
        <v>0.09</v>
      </c>
    </row>
    <row r="54" spans="2:96" ht="15" hidden="1" customHeight="1" outlineLevel="1" collapsed="1" x14ac:dyDescent="0.25">
      <c r="CN54" s="26" t="s">
        <v>140</v>
      </c>
      <c r="CO54" s="35">
        <f>CP54+$CO$50</f>
        <v>0.13</v>
      </c>
      <c r="CP54" s="45">
        <v>0.11</v>
      </c>
      <c r="CQ54" s="35">
        <f>CP54+$CQ$50</f>
        <v>0.09</v>
      </c>
    </row>
    <row r="55" spans="2:96" ht="15" hidden="1" customHeight="1" outlineLevel="1" x14ac:dyDescent="0.25">
      <c r="B55" s="26" t="s">
        <v>165</v>
      </c>
      <c r="H55" s="36">
        <v>0</v>
      </c>
      <c r="I55" s="36">
        <v>0</v>
      </c>
      <c r="J55" s="36">
        <v>0</v>
      </c>
      <c r="K55" s="36">
        <v>0</v>
      </c>
      <c r="L55" s="36">
        <v>0</v>
      </c>
      <c r="M55" s="36">
        <v>0</v>
      </c>
      <c r="N55" s="36">
        <v>0</v>
      </c>
      <c r="O55" s="36">
        <v>0</v>
      </c>
      <c r="P55" s="36">
        <v>0</v>
      </c>
      <c r="Q55" s="36">
        <v>0</v>
      </c>
      <c r="R55" s="36">
        <v>0</v>
      </c>
      <c r="S55" s="36">
        <v>0</v>
      </c>
      <c r="T55" s="36">
        <v>0</v>
      </c>
      <c r="U55" s="36">
        <v>0</v>
      </c>
      <c r="V55" s="36">
        <v>0</v>
      </c>
      <c r="W55" s="36">
        <v>0</v>
      </c>
      <c r="X55" s="36">
        <v>0</v>
      </c>
      <c r="Y55" s="36">
        <v>0</v>
      </c>
      <c r="Z55" s="36">
        <v>0</v>
      </c>
      <c r="AA55" s="36">
        <v>0</v>
      </c>
      <c r="AB55" s="36">
        <v>-83.8</v>
      </c>
      <c r="AC55" s="36">
        <v>-330.5</v>
      </c>
      <c r="AD55" s="36">
        <v>-65.7</v>
      </c>
      <c r="AE55" s="36">
        <v>-99.6</v>
      </c>
      <c r="AF55" s="36">
        <v>-106</v>
      </c>
      <c r="AG55" s="36">
        <v>-65.400000000000006</v>
      </c>
      <c r="AH55" s="36">
        <v>-264</v>
      </c>
      <c r="AI55" s="36">
        <v>-60.7</v>
      </c>
      <c r="AJ55" s="36">
        <v>-78.177999999999997</v>
      </c>
      <c r="AK55" s="36">
        <v>-66.838999999999999</v>
      </c>
      <c r="AL55" s="36">
        <v>-58.557000000000002</v>
      </c>
      <c r="AM55" s="36">
        <v>-264.23700000000002</v>
      </c>
      <c r="AN55" s="36">
        <v>-58.360999999999997</v>
      </c>
      <c r="AO55" s="36">
        <v>-67.772000000000006</v>
      </c>
      <c r="AP55" s="36">
        <v>-77.418999999999997</v>
      </c>
      <c r="AQ55" s="36">
        <v>-61.959000000000003</v>
      </c>
      <c r="AR55" s="36">
        <v>-265.51400000000001</v>
      </c>
      <c r="AS55" s="36">
        <v>-53.6</v>
      </c>
      <c r="AT55" s="36">
        <v>-75.900000000000006</v>
      </c>
      <c r="AU55" s="36">
        <v>-81.400000000000006</v>
      </c>
      <c r="AV55" s="36">
        <v>-83.4</v>
      </c>
      <c r="AW55" s="36">
        <v>-294.39999999999998</v>
      </c>
      <c r="AX55" s="36">
        <v>-73.099999999999994</v>
      </c>
      <c r="AY55" s="36">
        <v>-96.7</v>
      </c>
      <c r="AZ55" s="36">
        <v>-115.3</v>
      </c>
      <c r="BA55" s="36">
        <v>-117.8</v>
      </c>
      <c r="BB55" s="36">
        <v>-403</v>
      </c>
      <c r="BC55" s="36">
        <v>-88.1</v>
      </c>
      <c r="BD55" s="36">
        <v>-102.3</v>
      </c>
      <c r="BE55" s="36">
        <v>-104.6</v>
      </c>
      <c r="BF55" s="36">
        <v>-87.5</v>
      </c>
      <c r="BG55" s="36">
        <v>-382.5</v>
      </c>
      <c r="BH55" s="36">
        <v>-87.8</v>
      </c>
      <c r="BI55" s="36">
        <v>-121.1</v>
      </c>
      <c r="BJ55" s="36">
        <v>-141.9</v>
      </c>
      <c r="BK55" s="36">
        <v>-111.1</v>
      </c>
      <c r="BL55" s="36">
        <v>-461.7</v>
      </c>
      <c r="BM55" s="36">
        <v>-39</v>
      </c>
      <c r="BN55" s="36">
        <v>-65</v>
      </c>
      <c r="BO55" s="36">
        <v>-82</v>
      </c>
      <c r="BP55" s="36">
        <v>-66</v>
      </c>
      <c r="BQ55" s="36">
        <v>-250</v>
      </c>
      <c r="BR55" s="36">
        <v>-49</v>
      </c>
      <c r="BS55" s="36">
        <v>-72</v>
      </c>
      <c r="BT55" s="36">
        <v>-94</v>
      </c>
      <c r="BU55" s="36">
        <v>-72</v>
      </c>
      <c r="BV55" s="36">
        <v>-287</v>
      </c>
      <c r="BW55" s="36">
        <v>-39</v>
      </c>
      <c r="BX55" s="36">
        <v>-41</v>
      </c>
      <c r="BY55" s="37">
        <f>-BY34*BY56</f>
        <v>-109.53922353767103</v>
      </c>
      <c r="BZ55" s="37">
        <f>-BZ34*BZ56</f>
        <v>-83.902383986301217</v>
      </c>
      <c r="CA55" s="37">
        <f>SUM(BW55,BX55,BY55,BZ55)</f>
        <v>-273.44160752397227</v>
      </c>
      <c r="CB55" s="37">
        <f>-CB34*CB56</f>
        <v>-281.64485574969149</v>
      </c>
      <c r="CC55" s="37">
        <f>-CC34*CC56</f>
        <v>-290.09420142218221</v>
      </c>
      <c r="CD55" s="37">
        <f>-CD34*CD56</f>
        <v>-298.7970274648477</v>
      </c>
      <c r="CE55" s="37">
        <f>-CE34*CE56</f>
        <v>-307.76093828879311</v>
      </c>
      <c r="CF55" s="6"/>
      <c r="CN55" s="16" t="s">
        <v>166</v>
      </c>
      <c r="CO55" s="44">
        <v>0.03</v>
      </c>
      <c r="CP55" s="22" t="s">
        <v>131</v>
      </c>
      <c r="CQ55" s="44">
        <v>-0.03</v>
      </c>
      <c r="CR55" s="14" t="s">
        <v>167</v>
      </c>
    </row>
    <row r="56" spans="2:96" ht="15" hidden="1" customHeight="1" outlineLevel="1" x14ac:dyDescent="0.25">
      <c r="B56" s="26" t="s">
        <v>168</v>
      </c>
      <c r="C56" s="38" t="str">
        <f t="shared" ref="C56:AH56" si="101">IFERROR(-C55/C34,"")</f>
        <v/>
      </c>
      <c r="D56" s="38" t="str">
        <f t="shared" si="101"/>
        <v/>
      </c>
      <c r="E56" s="38" t="str">
        <f t="shared" si="101"/>
        <v/>
      </c>
      <c r="F56" s="38" t="str">
        <f t="shared" si="101"/>
        <v/>
      </c>
      <c r="G56" s="38" t="str">
        <f t="shared" si="101"/>
        <v/>
      </c>
      <c r="H56" s="38">
        <f t="shared" si="101"/>
        <v>0</v>
      </c>
      <c r="I56" s="38">
        <f t="shared" si="101"/>
        <v>0</v>
      </c>
      <c r="J56" s="38">
        <f t="shared" si="101"/>
        <v>0</v>
      </c>
      <c r="K56" s="38">
        <f t="shared" si="101"/>
        <v>0</v>
      </c>
      <c r="L56" s="38">
        <f t="shared" si="101"/>
        <v>0</v>
      </c>
      <c r="M56" s="38">
        <f t="shared" si="101"/>
        <v>0</v>
      </c>
      <c r="N56" s="38">
        <f t="shared" si="101"/>
        <v>0</v>
      </c>
      <c r="O56" s="38">
        <f t="shared" si="101"/>
        <v>0</v>
      </c>
      <c r="P56" s="38">
        <f t="shared" si="101"/>
        <v>0</v>
      </c>
      <c r="Q56" s="38">
        <f t="shared" si="101"/>
        <v>0</v>
      </c>
      <c r="R56" s="38">
        <f t="shared" si="101"/>
        <v>0</v>
      </c>
      <c r="S56" s="38">
        <f t="shared" si="101"/>
        <v>0</v>
      </c>
      <c r="T56" s="38">
        <f t="shared" si="101"/>
        <v>0</v>
      </c>
      <c r="U56" s="38">
        <f t="shared" si="101"/>
        <v>0</v>
      </c>
      <c r="V56" s="38">
        <f t="shared" si="101"/>
        <v>0</v>
      </c>
      <c r="W56" s="38">
        <f t="shared" si="101"/>
        <v>0</v>
      </c>
      <c r="X56" s="38">
        <f t="shared" si="101"/>
        <v>0</v>
      </c>
      <c r="Y56" s="38">
        <f t="shared" si="101"/>
        <v>0</v>
      </c>
      <c r="Z56" s="38">
        <f t="shared" si="101"/>
        <v>0</v>
      </c>
      <c r="AA56" s="38">
        <f t="shared" si="101"/>
        <v>0</v>
      </c>
      <c r="AB56" s="38">
        <f t="shared" si="101"/>
        <v>0.20329936923823386</v>
      </c>
      <c r="AC56" s="38">
        <f t="shared" si="101"/>
        <v>0.20548371051977118</v>
      </c>
      <c r="AD56" s="38">
        <f t="shared" si="101"/>
        <v>0.19171286839801574</v>
      </c>
      <c r="AE56" s="38">
        <f t="shared" si="101"/>
        <v>0.21991609626849193</v>
      </c>
      <c r="AF56" s="38">
        <f t="shared" si="101"/>
        <v>0.22157190635451507</v>
      </c>
      <c r="AG56" s="38">
        <f t="shared" si="101"/>
        <v>0.16403310759969902</v>
      </c>
      <c r="AH56" s="38">
        <f t="shared" si="101"/>
        <v>0.16498968814449097</v>
      </c>
      <c r="AI56" s="38">
        <f t="shared" ref="AI56:BN56" si="102">IFERROR(-AI55/AI34,"")</f>
        <v>0.18728787411292813</v>
      </c>
      <c r="AJ56" s="38">
        <f t="shared" si="102"/>
        <v>0.16511013960168114</v>
      </c>
      <c r="AK56" s="38">
        <f t="shared" si="102"/>
        <v>0.14758264663540094</v>
      </c>
      <c r="AL56" s="38">
        <f t="shared" si="102"/>
        <v>0.15834218916046761</v>
      </c>
      <c r="AM56" s="38">
        <f t="shared" si="102"/>
        <v>0.16308117305723274</v>
      </c>
      <c r="AN56" s="38">
        <f t="shared" si="102"/>
        <v>0.17901103923390968</v>
      </c>
      <c r="AO56" s="38">
        <f t="shared" si="102"/>
        <v>0.15553811340154136</v>
      </c>
      <c r="AP56" s="38">
        <f t="shared" si="102"/>
        <v>0.14815559025704622</v>
      </c>
      <c r="AQ56" s="38">
        <f t="shared" si="102"/>
        <v>0.15475241960661881</v>
      </c>
      <c r="AR56" s="38">
        <f t="shared" si="102"/>
        <v>0.15793123959076849</v>
      </c>
      <c r="AS56" s="38">
        <f t="shared" si="102"/>
        <v>0.17048346055979646</v>
      </c>
      <c r="AT56" s="38">
        <f t="shared" si="102"/>
        <v>0.16442807625649913</v>
      </c>
      <c r="AU56" s="38">
        <f t="shared" si="102"/>
        <v>0.1628</v>
      </c>
      <c r="AV56" s="38">
        <f t="shared" si="102"/>
        <v>0.1811861829241799</v>
      </c>
      <c r="AW56" s="38">
        <f t="shared" si="102"/>
        <v>0.1695559523123884</v>
      </c>
      <c r="AX56" s="38">
        <f t="shared" si="102"/>
        <v>0.20470456454774574</v>
      </c>
      <c r="AY56" s="38">
        <f t="shared" si="102"/>
        <v>0.18589004229142636</v>
      </c>
      <c r="AZ56" s="38">
        <f t="shared" si="102"/>
        <v>0.17765793528505391</v>
      </c>
      <c r="BA56" s="38">
        <f t="shared" si="102"/>
        <v>0.18754975322400894</v>
      </c>
      <c r="BB56" s="38">
        <f t="shared" si="102"/>
        <v>0.18705035971223022</v>
      </c>
      <c r="BC56" s="38">
        <f t="shared" si="102"/>
        <v>0.18384808013355589</v>
      </c>
      <c r="BD56" s="38">
        <f t="shared" si="102"/>
        <v>0.17155794063390911</v>
      </c>
      <c r="BE56" s="38">
        <f t="shared" si="102"/>
        <v>0.14934323243860648</v>
      </c>
      <c r="BF56" s="38">
        <f t="shared" si="102"/>
        <v>0.15817064352856108</v>
      </c>
      <c r="BG56" s="38">
        <f t="shared" si="102"/>
        <v>0.16423357664233576</v>
      </c>
      <c r="BH56" s="38">
        <f t="shared" si="102"/>
        <v>0.19659650694133451</v>
      </c>
      <c r="BI56" s="38">
        <f t="shared" si="102"/>
        <v>0.17056338028169013</v>
      </c>
      <c r="BJ56" s="38">
        <f t="shared" si="102"/>
        <v>0.16808813077469795</v>
      </c>
      <c r="BK56" s="38">
        <f t="shared" si="102"/>
        <v>0.17878982941744448</v>
      </c>
      <c r="BL56" s="38">
        <f t="shared" si="102"/>
        <v>0.17609367252755634</v>
      </c>
      <c r="BM56" s="38">
        <f t="shared" si="102"/>
        <v>0.12037037037037036</v>
      </c>
      <c r="BN56" s="38">
        <f t="shared" si="102"/>
        <v>0.12845849802371542</v>
      </c>
      <c r="BO56" s="38">
        <f t="shared" ref="BO56:BX56" si="103">IFERROR(-BO55/BO34,"")</f>
        <v>0.12832550860719874</v>
      </c>
      <c r="BP56" s="38">
        <f t="shared" si="103"/>
        <v>0.13636363636363635</v>
      </c>
      <c r="BQ56" s="38">
        <f t="shared" si="103"/>
        <v>0.12807377049180327</v>
      </c>
      <c r="BR56" s="38">
        <f t="shared" si="103"/>
        <v>0.40163934426229508</v>
      </c>
      <c r="BS56" s="38">
        <f t="shared" si="103"/>
        <v>0.26568265682656828</v>
      </c>
      <c r="BT56" s="38">
        <f t="shared" si="103"/>
        <v>0.26780626780626782</v>
      </c>
      <c r="BU56" s="38">
        <f t="shared" si="103"/>
        <v>0.29032258064516131</v>
      </c>
      <c r="BV56" s="38">
        <f t="shared" si="103"/>
        <v>0.28931451612903225</v>
      </c>
      <c r="BW56" s="38">
        <f t="shared" si="103"/>
        <v>0.33620689655172414</v>
      </c>
      <c r="BX56" s="38">
        <f t="shared" si="103"/>
        <v>0.13531353135313531</v>
      </c>
      <c r="BY56" s="25">
        <f>BT56</f>
        <v>0.26780626780626782</v>
      </c>
      <c r="BZ56" s="25">
        <f>BU56</f>
        <v>0.29032258064516131</v>
      </c>
      <c r="CA56" s="25">
        <f>IFERROR(-CA55/CA34,"")</f>
        <v>0.24479535577084391</v>
      </c>
      <c r="CB56" s="25">
        <f>$CA$56</f>
        <v>0.24479535577084391</v>
      </c>
      <c r="CC56" s="25">
        <f>$CA$56</f>
        <v>0.24479535577084391</v>
      </c>
      <c r="CD56" s="25">
        <f>$CA$56</f>
        <v>0.24479535577084391</v>
      </c>
      <c r="CE56" s="25">
        <f>$CA$56</f>
        <v>0.24479535577084391</v>
      </c>
      <c r="CF56" s="20" t="s">
        <v>169</v>
      </c>
      <c r="CN56" s="26" t="s">
        <v>134</v>
      </c>
      <c r="CO56" s="35">
        <f>CP56+$CO$55</f>
        <v>7.0000000000000007E-2</v>
      </c>
      <c r="CP56" s="45">
        <v>0.04</v>
      </c>
      <c r="CQ56" s="35">
        <f>CP56+$CQ$55</f>
        <v>1.0000000000000002E-2</v>
      </c>
    </row>
    <row r="57" spans="2:96" ht="15" hidden="1" customHeight="1" outlineLevel="1" x14ac:dyDescent="0.25">
      <c r="CN57" s="26" t="s">
        <v>135</v>
      </c>
      <c r="CO57" s="35">
        <f>CP57+$CO$55</f>
        <v>7.0000000000000007E-2</v>
      </c>
      <c r="CP57" s="45">
        <v>0.04</v>
      </c>
      <c r="CQ57" s="35">
        <f>CP57+$CQ$55</f>
        <v>1.0000000000000002E-2</v>
      </c>
    </row>
    <row r="58" spans="2:96" ht="15" hidden="1" customHeight="1" outlineLevel="1" x14ac:dyDescent="0.25">
      <c r="B58" s="15" t="s">
        <v>170</v>
      </c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6" t="s">
        <v>171</v>
      </c>
      <c r="CN58" s="26" t="s">
        <v>138</v>
      </c>
      <c r="CO58" s="35">
        <f>CP58+$CO$55</f>
        <v>7.0000000000000007E-2</v>
      </c>
      <c r="CP58" s="45">
        <v>0.04</v>
      </c>
      <c r="CQ58" s="35">
        <f>CP58+$CQ$55</f>
        <v>1.0000000000000002E-2</v>
      </c>
    </row>
    <row r="59" spans="2:96" ht="15" hidden="1" customHeight="1" outlineLevel="1" x14ac:dyDescent="0.25">
      <c r="B59" s="17" t="s">
        <v>106</v>
      </c>
      <c r="C59" s="33">
        <v>150.69999999999999</v>
      </c>
      <c r="D59" s="33">
        <v>154.4</v>
      </c>
      <c r="E59" s="33">
        <v>167.2</v>
      </c>
      <c r="F59" s="33">
        <v>143.69999999999999</v>
      </c>
      <c r="G59" s="33">
        <v>176.4</v>
      </c>
      <c r="H59" s="33">
        <v>200.6</v>
      </c>
      <c r="I59" s="33">
        <v>202.2</v>
      </c>
      <c r="J59" s="33">
        <v>55.2</v>
      </c>
      <c r="K59" s="33">
        <v>56.6</v>
      </c>
      <c r="L59" s="33">
        <v>55.8</v>
      </c>
      <c r="M59" s="33">
        <v>58.1</v>
      </c>
      <c r="N59" s="33">
        <v>225.6</v>
      </c>
      <c r="O59" s="33">
        <v>57.4</v>
      </c>
      <c r="P59" s="33">
        <v>61.9</v>
      </c>
      <c r="Q59" s="33">
        <v>58.7</v>
      </c>
      <c r="R59" s="33">
        <v>58.2</v>
      </c>
      <c r="S59" s="33">
        <v>236.1</v>
      </c>
      <c r="T59" s="33">
        <v>58.8</v>
      </c>
      <c r="U59" s="33">
        <v>60.5</v>
      </c>
      <c r="V59" s="33">
        <v>57.3</v>
      </c>
      <c r="W59" s="33">
        <v>51</v>
      </c>
      <c r="X59" s="33">
        <v>227.5</v>
      </c>
      <c r="Y59" s="33">
        <v>59.5</v>
      </c>
      <c r="Z59" s="33">
        <v>58.8</v>
      </c>
      <c r="AA59" s="33">
        <v>60.2</v>
      </c>
      <c r="AB59" s="33">
        <v>59.4</v>
      </c>
      <c r="AC59" s="33">
        <v>238</v>
      </c>
      <c r="AD59" s="33">
        <v>63.3</v>
      </c>
      <c r="AE59" s="33">
        <v>64.599999999999994</v>
      </c>
      <c r="AF59" s="33">
        <v>58.5</v>
      </c>
      <c r="AG59" s="33">
        <v>61.7</v>
      </c>
      <c r="AH59" s="33">
        <v>248.1</v>
      </c>
      <c r="AI59" s="33">
        <v>64.900000000000006</v>
      </c>
      <c r="AJ59" s="33">
        <v>68.156999999999996</v>
      </c>
      <c r="AK59" s="33">
        <v>68.364999999999995</v>
      </c>
      <c r="AL59" s="33">
        <v>67.245999999999995</v>
      </c>
      <c r="AM59" s="33">
        <v>268.63600000000002</v>
      </c>
      <c r="AN59" s="33">
        <v>69.174000000000007</v>
      </c>
      <c r="AO59" s="33">
        <v>70.379000000000005</v>
      </c>
      <c r="AP59" s="33">
        <v>59.334000000000003</v>
      </c>
      <c r="AQ59" s="33">
        <v>51.008000000000003</v>
      </c>
      <c r="AR59" s="33">
        <v>249.89400000000001</v>
      </c>
      <c r="AS59" s="33">
        <v>59.9</v>
      </c>
      <c r="AT59" s="33">
        <v>48.9</v>
      </c>
      <c r="AU59" s="33">
        <v>55.2</v>
      </c>
      <c r="AV59" s="33">
        <v>56.8</v>
      </c>
      <c r="AW59" s="33">
        <v>220.9</v>
      </c>
      <c r="AX59" s="33">
        <v>65.3</v>
      </c>
      <c r="AY59" s="33">
        <v>70</v>
      </c>
      <c r="AZ59" s="33">
        <v>71.900000000000006</v>
      </c>
      <c r="BA59" s="33">
        <v>67.599999999999994</v>
      </c>
      <c r="BB59" s="33">
        <v>274.7</v>
      </c>
      <c r="BC59" s="33">
        <v>70.8</v>
      </c>
      <c r="BD59" s="33">
        <v>74.599999999999994</v>
      </c>
      <c r="BE59" s="33">
        <v>69</v>
      </c>
      <c r="BF59" s="33">
        <v>63.5</v>
      </c>
      <c r="BG59" s="33">
        <v>278</v>
      </c>
      <c r="BH59" s="33">
        <v>83.4</v>
      </c>
      <c r="BI59" s="33">
        <v>80.5</v>
      </c>
      <c r="BJ59" s="33">
        <v>75.5</v>
      </c>
      <c r="BK59" s="33">
        <v>76</v>
      </c>
      <c r="BL59" s="33">
        <v>315.39999999999998</v>
      </c>
      <c r="BM59" s="33">
        <v>81</v>
      </c>
      <c r="BN59" s="33">
        <v>81</v>
      </c>
      <c r="BO59" s="33">
        <v>82</v>
      </c>
      <c r="BP59" s="33">
        <v>77</v>
      </c>
      <c r="BQ59" s="33">
        <v>320</v>
      </c>
      <c r="BR59" s="33">
        <v>87</v>
      </c>
      <c r="BS59" s="33">
        <v>90</v>
      </c>
      <c r="BT59" s="33">
        <v>131</v>
      </c>
      <c r="BU59" s="33">
        <v>133</v>
      </c>
      <c r="BV59" s="33">
        <v>441</v>
      </c>
      <c r="BW59" s="33">
        <v>143</v>
      </c>
      <c r="BX59" s="33">
        <v>152</v>
      </c>
      <c r="BY59" s="34">
        <f>BT59*(1+BY60)</f>
        <v>143.73709173317337</v>
      </c>
      <c r="BZ59" s="34">
        <f>BU59*(1+BZ60)</f>
        <v>145.93155114894702</v>
      </c>
      <c r="CA59" s="34">
        <f>SUM(BW59,BX59,BY59,BZ59)</f>
        <v>584.66864288212037</v>
      </c>
      <c r="CB59" s="34">
        <f>CA59*(1+CB60)</f>
        <v>608.05538859740523</v>
      </c>
      <c r="CC59" s="34">
        <f>CB59*(1+CC60)</f>
        <v>632.3776041413015</v>
      </c>
      <c r="CD59" s="34">
        <f>CC59*(1+CD60)</f>
        <v>657.67270830695361</v>
      </c>
      <c r="CE59" s="34">
        <f>CD59*(1+CE60)</f>
        <v>683.97961663923172</v>
      </c>
      <c r="CF59" s="6"/>
      <c r="CH59" s="21">
        <f>IFERROR((CE59/BV59)^(1/5)-1,"n/m")</f>
        <v>9.1744251859448456E-2</v>
      </c>
      <c r="CI59" s="21">
        <f>IFERROR((BV59/AW59)^(1/5)-1,"n/m")</f>
        <v>0.14828204670427203</v>
      </c>
      <c r="CJ59" s="21">
        <f>IFERROR((BV59/X59)^(1/10)-1,"n/m")</f>
        <v>6.8429126532240314E-2</v>
      </c>
      <c r="CK59" s="21">
        <f>IFERROR((BV59/C59)^(1/19)-1,"n/m")</f>
        <v>5.8140747557482664E-2</v>
      </c>
      <c r="CN59" s="26" t="s">
        <v>140</v>
      </c>
      <c r="CO59" s="35">
        <f>CP59+$CO$55</f>
        <v>7.0000000000000007E-2</v>
      </c>
      <c r="CP59" s="45">
        <v>0.04</v>
      </c>
      <c r="CQ59" s="35">
        <f>CP59+$CQ$55</f>
        <v>1.0000000000000002E-2</v>
      </c>
    </row>
    <row r="60" spans="2:96" ht="15" hidden="1" customHeight="1" outlineLevel="1" x14ac:dyDescent="0.25">
      <c r="B60" s="23" t="s">
        <v>109</v>
      </c>
      <c r="D60" s="24">
        <f t="shared" ref="D60:I60" si="104">IF(AND(ISNUMBER(D59),ISNUMBER(C59)),IFERROR(D59/C59-1,""),"")</f>
        <v>2.4552090245520963E-2</v>
      </c>
      <c r="E60" s="24">
        <f t="shared" si="104"/>
        <v>8.2901554404144928E-2</v>
      </c>
      <c r="F60" s="24">
        <f t="shared" si="104"/>
        <v>-0.14055023923444976</v>
      </c>
      <c r="G60" s="24">
        <f t="shared" si="104"/>
        <v>0.22755741127348661</v>
      </c>
      <c r="H60" s="24">
        <f t="shared" si="104"/>
        <v>0.13718820861677994</v>
      </c>
      <c r="I60" s="24">
        <f t="shared" si="104"/>
        <v>7.9760717846459883E-3</v>
      </c>
      <c r="N60" s="24">
        <f t="shared" ref="N60:AS60" si="105">IF(AND(ISNUMBER(N59),ISNUMBER(I59)),IFERROR(N59/I59-1,""),"")</f>
        <v>0.11572700296735916</v>
      </c>
      <c r="O60" s="24">
        <f t="shared" si="105"/>
        <v>3.9855072463768071E-2</v>
      </c>
      <c r="P60" s="24">
        <f t="shared" si="105"/>
        <v>9.3639575971731448E-2</v>
      </c>
      <c r="Q60" s="24">
        <f t="shared" si="105"/>
        <v>5.1971326164874654E-2</v>
      </c>
      <c r="R60" s="24">
        <f t="shared" si="105"/>
        <v>1.7211703958692759E-3</v>
      </c>
      <c r="S60" s="24">
        <f t="shared" si="105"/>
        <v>4.6542553191489366E-2</v>
      </c>
      <c r="T60" s="24">
        <f t="shared" si="105"/>
        <v>2.4390243902439046E-2</v>
      </c>
      <c r="U60" s="24">
        <f t="shared" si="105"/>
        <v>-2.2617124394184174E-2</v>
      </c>
      <c r="V60" s="24">
        <f t="shared" si="105"/>
        <v>-2.3850085178875768E-2</v>
      </c>
      <c r="W60" s="24">
        <f t="shared" si="105"/>
        <v>-0.12371134020618557</v>
      </c>
      <c r="X60" s="24">
        <f t="shared" si="105"/>
        <v>-3.6425243540872509E-2</v>
      </c>
      <c r="Y60" s="24">
        <f t="shared" si="105"/>
        <v>1.1904761904761862E-2</v>
      </c>
      <c r="Z60" s="24">
        <f t="shared" si="105"/>
        <v>-2.8099173553719048E-2</v>
      </c>
      <c r="AA60" s="24">
        <f t="shared" si="105"/>
        <v>5.0610820244328281E-2</v>
      </c>
      <c r="AB60" s="24">
        <f t="shared" si="105"/>
        <v>0.16470588235294126</v>
      </c>
      <c r="AC60" s="24">
        <f t="shared" si="105"/>
        <v>4.6153846153846212E-2</v>
      </c>
      <c r="AD60" s="24">
        <f t="shared" si="105"/>
        <v>6.386554621848739E-2</v>
      </c>
      <c r="AE60" s="24">
        <f t="shared" si="105"/>
        <v>9.8639455782312924E-2</v>
      </c>
      <c r="AF60" s="24">
        <f t="shared" si="105"/>
        <v>-2.8239202657807327E-2</v>
      </c>
      <c r="AG60" s="24">
        <f t="shared" si="105"/>
        <v>3.8720538720538711E-2</v>
      </c>
      <c r="AH60" s="24">
        <f t="shared" si="105"/>
        <v>4.2436974789916038E-2</v>
      </c>
      <c r="AI60" s="24">
        <f t="shared" si="105"/>
        <v>2.5276461295418828E-2</v>
      </c>
      <c r="AJ60" s="24">
        <f t="shared" si="105"/>
        <v>5.5061919504644008E-2</v>
      </c>
      <c r="AK60" s="24">
        <f t="shared" si="105"/>
        <v>0.16863247863247866</v>
      </c>
      <c r="AL60" s="24">
        <f t="shared" si="105"/>
        <v>8.9886547811993456E-2</v>
      </c>
      <c r="AM60" s="24">
        <f t="shared" si="105"/>
        <v>8.2773075372833738E-2</v>
      </c>
      <c r="AN60" s="24">
        <f t="shared" si="105"/>
        <v>6.5855161787365279E-2</v>
      </c>
      <c r="AO60" s="24">
        <f t="shared" si="105"/>
        <v>3.260120017019541E-2</v>
      </c>
      <c r="AP60" s="24">
        <f t="shared" si="105"/>
        <v>-0.13209975864843115</v>
      </c>
      <c r="AQ60" s="24">
        <f t="shared" si="105"/>
        <v>-0.24147161169437581</v>
      </c>
      <c r="AR60" s="24">
        <f t="shared" si="105"/>
        <v>-6.9767268720499209E-2</v>
      </c>
      <c r="AS60" s="24">
        <f t="shared" si="105"/>
        <v>-0.13406771330268608</v>
      </c>
      <c r="AT60" s="24">
        <f t="shared" ref="AT60:BX60" si="106">IF(AND(ISNUMBER(AT59),ISNUMBER(AO59)),IFERROR(AT59/AO59-1,""),"")</f>
        <v>-0.30519046874778</v>
      </c>
      <c r="AU60" s="24">
        <f t="shared" si="106"/>
        <v>-6.9673374456466819E-2</v>
      </c>
      <c r="AV60" s="24">
        <f t="shared" si="106"/>
        <v>0.11355081555834357</v>
      </c>
      <c r="AW60" s="24">
        <f t="shared" si="106"/>
        <v>-0.11602519468254535</v>
      </c>
      <c r="AX60" s="24">
        <f t="shared" si="106"/>
        <v>9.0150250417362354E-2</v>
      </c>
      <c r="AY60" s="24">
        <f t="shared" si="106"/>
        <v>0.43149284253578735</v>
      </c>
      <c r="AZ60" s="24">
        <f t="shared" si="106"/>
        <v>0.30253623188405809</v>
      </c>
      <c r="BA60" s="24">
        <f t="shared" si="106"/>
        <v>0.1901408450704225</v>
      </c>
      <c r="BB60" s="24">
        <f t="shared" si="106"/>
        <v>0.24354911724762318</v>
      </c>
      <c r="BC60" s="24">
        <f t="shared" si="106"/>
        <v>8.4226646248085846E-2</v>
      </c>
      <c r="BD60" s="24">
        <f t="shared" si="106"/>
        <v>6.5714285714285614E-2</v>
      </c>
      <c r="BE60" s="24">
        <f t="shared" si="106"/>
        <v>-4.0333796940194788E-2</v>
      </c>
      <c r="BF60" s="24">
        <f t="shared" si="106"/>
        <v>-6.0650887573964418E-2</v>
      </c>
      <c r="BG60" s="24">
        <f t="shared" si="106"/>
        <v>1.2013105205678887E-2</v>
      </c>
      <c r="BH60" s="24">
        <f t="shared" si="106"/>
        <v>0.17796610169491545</v>
      </c>
      <c r="BI60" s="24">
        <f t="shared" si="106"/>
        <v>7.9088471849866115E-2</v>
      </c>
      <c r="BJ60" s="24">
        <f t="shared" si="106"/>
        <v>9.4202898550724612E-2</v>
      </c>
      <c r="BK60" s="24">
        <f t="shared" si="106"/>
        <v>0.1968503937007875</v>
      </c>
      <c r="BL60" s="24">
        <f t="shared" si="106"/>
        <v>0.13453237410071939</v>
      </c>
      <c r="BM60" s="24">
        <f t="shared" si="106"/>
        <v>-2.877697841726623E-2</v>
      </c>
      <c r="BN60" s="24">
        <f t="shared" si="106"/>
        <v>6.2111801242235032E-3</v>
      </c>
      <c r="BO60" s="24">
        <f t="shared" si="106"/>
        <v>8.6092715231788075E-2</v>
      </c>
      <c r="BP60" s="24">
        <f t="shared" si="106"/>
        <v>1.3157894736842035E-2</v>
      </c>
      <c r="BQ60" s="24">
        <f t="shared" si="106"/>
        <v>1.4584654407102216E-2</v>
      </c>
      <c r="BR60" s="24">
        <f t="shared" si="106"/>
        <v>7.4074074074074181E-2</v>
      </c>
      <c r="BS60" s="24">
        <f t="shared" si="106"/>
        <v>0.11111111111111116</v>
      </c>
      <c r="BT60" s="24">
        <f t="shared" si="106"/>
        <v>0.59756097560975618</v>
      </c>
      <c r="BU60" s="24">
        <f t="shared" si="106"/>
        <v>0.72727272727272729</v>
      </c>
      <c r="BV60" s="24">
        <f t="shared" si="106"/>
        <v>0.37812500000000004</v>
      </c>
      <c r="BW60" s="24">
        <f t="shared" si="106"/>
        <v>0.64367816091954033</v>
      </c>
      <c r="BX60" s="24">
        <f t="shared" si="106"/>
        <v>0.68888888888888888</v>
      </c>
      <c r="BY60" s="25">
        <f>BY61+BY124</f>
        <v>9.72297078868197E-2</v>
      </c>
      <c r="BZ60" s="25">
        <f>BZ61+BZ124</f>
        <v>9.72297078868197E-2</v>
      </c>
      <c r="CA60" s="25">
        <f>IFERROR(CA59/BV59-1,"")</f>
        <v>0.3257792355603637</v>
      </c>
      <c r="CB60" s="25">
        <f>CHOOSE(MATCH($CF$2,{"Bull","Base","Bear"},0),$CO$56,$CP$56,$CQ$56)</f>
        <v>0.04</v>
      </c>
      <c r="CC60" s="25">
        <f>CHOOSE(MATCH($CF$2,{"Bull","Base","Bear"},0),$CO$57,$CP$57,$CQ$57)</f>
        <v>0.04</v>
      </c>
      <c r="CD60" s="25">
        <f>CHOOSE(MATCH($CF$2,{"Bull","Base","Bear"},0),$CO$58,$CP$58,$CQ$58)</f>
        <v>0.04</v>
      </c>
      <c r="CE60" s="25">
        <f>CHOOSE(MATCH($CF$2,{"Bull","Base","Bear"},0),$CO$59,$CP$59,$CQ$59)</f>
        <v>0.04</v>
      </c>
      <c r="CF60" s="20" t="s">
        <v>172</v>
      </c>
      <c r="CN60" s="16" t="s">
        <v>173</v>
      </c>
      <c r="CO60" s="44">
        <v>0.02</v>
      </c>
      <c r="CP60" s="22" t="s">
        <v>131</v>
      </c>
      <c r="CQ60" s="44">
        <v>-0.02</v>
      </c>
      <c r="CR60" s="14" t="s">
        <v>174</v>
      </c>
    </row>
    <row r="61" spans="2:96" ht="15" hidden="1" customHeight="1" outlineLevel="1" x14ac:dyDescent="0.25">
      <c r="B61" s="26" t="s">
        <v>175</v>
      </c>
      <c r="BY61" s="49">
        <v>0.05</v>
      </c>
      <c r="BZ61" s="49">
        <v>0.05</v>
      </c>
      <c r="CA61" s="6"/>
      <c r="CB61" s="6"/>
      <c r="CC61" s="6"/>
      <c r="CD61" s="6"/>
      <c r="CE61" s="6"/>
      <c r="CF61" s="20" t="s">
        <v>176</v>
      </c>
      <c r="CN61" s="26" t="s">
        <v>134</v>
      </c>
      <c r="CO61" s="35">
        <f>CP61+$CO$60</f>
        <v>0.33</v>
      </c>
      <c r="CP61" s="45">
        <v>0.31</v>
      </c>
      <c r="CQ61" s="35">
        <f>CP61+$CQ$60</f>
        <v>0.28999999999999998</v>
      </c>
    </row>
    <row r="62" spans="2:96" ht="15" hidden="1" customHeight="1" outlineLevel="1" x14ac:dyDescent="0.25">
      <c r="B62" s="26" t="s">
        <v>112</v>
      </c>
      <c r="C62" s="36">
        <v>33.5</v>
      </c>
      <c r="D62" s="36">
        <v>43.4</v>
      </c>
      <c r="E62" s="36">
        <v>41.8</v>
      </c>
      <c r="F62" s="36">
        <v>45.6</v>
      </c>
      <c r="G62" s="36">
        <v>61.7</v>
      </c>
      <c r="H62" s="36">
        <v>75.400000000000006</v>
      </c>
      <c r="I62" s="36">
        <v>77.2</v>
      </c>
      <c r="J62" s="36">
        <v>19.600000000000001</v>
      </c>
      <c r="K62" s="36">
        <v>21.3</v>
      </c>
      <c r="L62" s="36">
        <v>19.899999999999999</v>
      </c>
      <c r="M62" s="36">
        <v>22.9</v>
      </c>
      <c r="N62" s="36">
        <v>83.7</v>
      </c>
      <c r="O62" s="36">
        <v>18.8</v>
      </c>
      <c r="P62" s="36">
        <v>23.4</v>
      </c>
      <c r="Q62" s="36">
        <v>20</v>
      </c>
      <c r="R62" s="36">
        <v>22.4</v>
      </c>
      <c r="S62" s="36">
        <v>84.6</v>
      </c>
      <c r="T62" s="36">
        <v>20.2</v>
      </c>
      <c r="U62" s="36">
        <v>21.2</v>
      </c>
      <c r="V62" s="36">
        <v>19.399999999999999</v>
      </c>
      <c r="W62" s="36">
        <v>17.899999999999999</v>
      </c>
      <c r="X62" s="36">
        <v>78.7</v>
      </c>
      <c r="Y62" s="36">
        <v>23</v>
      </c>
      <c r="Z62" s="36">
        <v>21.7</v>
      </c>
      <c r="AA62" s="36">
        <v>22.8</v>
      </c>
      <c r="AB62" s="36">
        <v>22</v>
      </c>
      <c r="AC62" s="36">
        <v>89.5</v>
      </c>
      <c r="AD62" s="36">
        <v>22.3</v>
      </c>
      <c r="AE62" s="36">
        <v>23.6</v>
      </c>
      <c r="AF62" s="36">
        <v>19.899999999999999</v>
      </c>
      <c r="AG62" s="36">
        <v>23.6</v>
      </c>
      <c r="AH62" s="36">
        <v>89.4</v>
      </c>
      <c r="AI62" s="36">
        <v>25.1</v>
      </c>
      <c r="AJ62" s="36">
        <v>24.87</v>
      </c>
      <c r="AK62" s="36">
        <v>26.823</v>
      </c>
      <c r="AL62" s="36">
        <v>26.151</v>
      </c>
      <c r="AM62" s="36">
        <v>102.905</v>
      </c>
      <c r="AN62" s="36">
        <v>26.606999999999999</v>
      </c>
      <c r="AO62" s="36">
        <v>29.212</v>
      </c>
      <c r="AP62" s="36">
        <v>23.997</v>
      </c>
      <c r="AQ62" s="36">
        <v>19.643999999999998</v>
      </c>
      <c r="AR62" s="36">
        <v>99.459000000000003</v>
      </c>
      <c r="AS62" s="36">
        <v>26.1</v>
      </c>
      <c r="AT62" s="36">
        <v>18.2</v>
      </c>
      <c r="AU62" s="36">
        <v>21</v>
      </c>
      <c r="AV62" s="36">
        <v>24.3</v>
      </c>
      <c r="AW62" s="36">
        <v>89.6</v>
      </c>
      <c r="AX62" s="36">
        <v>28.4</v>
      </c>
      <c r="AY62" s="36">
        <v>27.9</v>
      </c>
      <c r="AZ62" s="36">
        <v>28.1</v>
      </c>
      <c r="BA62" s="36">
        <v>25.9</v>
      </c>
      <c r="BB62" s="36">
        <v>110.4</v>
      </c>
      <c r="BC62" s="36">
        <v>26.8</v>
      </c>
      <c r="BD62" s="36">
        <v>25.8</v>
      </c>
      <c r="BE62" s="36">
        <v>21.6</v>
      </c>
      <c r="BF62" s="36">
        <v>21.3</v>
      </c>
      <c r="BG62" s="36">
        <v>95.5</v>
      </c>
      <c r="BH62" s="36">
        <v>25</v>
      </c>
      <c r="BI62" s="36">
        <v>27.7</v>
      </c>
      <c r="BJ62" s="36">
        <v>21.4</v>
      </c>
      <c r="BK62" s="36">
        <v>23</v>
      </c>
      <c r="BL62" s="36">
        <v>97.1</v>
      </c>
      <c r="BM62" s="36">
        <v>29</v>
      </c>
      <c r="BN62" s="36">
        <v>27</v>
      </c>
      <c r="BO62" s="36">
        <v>29</v>
      </c>
      <c r="BP62" s="36">
        <v>22</v>
      </c>
      <c r="BQ62" s="36">
        <v>107</v>
      </c>
      <c r="BR62" s="36">
        <v>38</v>
      </c>
      <c r="BS62" s="36">
        <v>36</v>
      </c>
      <c r="BT62" s="36">
        <v>34</v>
      </c>
      <c r="BU62" s="36">
        <v>29</v>
      </c>
      <c r="BV62" s="36">
        <v>137</v>
      </c>
      <c r="BW62" s="36">
        <v>45</v>
      </c>
      <c r="BX62" s="36">
        <v>50</v>
      </c>
      <c r="BY62" s="37">
        <f>BY59*BY64</f>
        <v>40.684424124923574</v>
      </c>
      <c r="BZ62" s="37">
        <f>BZ59*BZ64</f>
        <v>35.249857479485982</v>
      </c>
      <c r="CA62" s="37">
        <f>SUM(BW62,BX62,BY62,BZ62)</f>
        <v>170.93428160440953</v>
      </c>
      <c r="CB62" s="37">
        <f>CB59*CB64</f>
        <v>188.49717046519561</v>
      </c>
      <c r="CC62" s="37">
        <f>CC59*CC64</f>
        <v>199.19894530450998</v>
      </c>
      <c r="CD62" s="37">
        <f>CD59*CD64</f>
        <v>210.45526665822516</v>
      </c>
      <c r="CE62" s="37">
        <f>CE59*CE64</f>
        <v>218.87347732455416</v>
      </c>
      <c r="CF62" s="6"/>
      <c r="CH62" s="21">
        <f>IFERROR((CE62/BV62)^(1/5)-1,"n/m")</f>
        <v>9.823306260242104E-2</v>
      </c>
      <c r="CI62" s="21">
        <f>IFERROR((BV62/AW62)^(1/5)-1,"n/m")</f>
        <v>8.8635547889696964E-2</v>
      </c>
      <c r="CJ62" s="21">
        <f>IFERROR((BV62/X62)^(1/10)-1,"n/m")</f>
        <v>5.699901715151845E-2</v>
      </c>
      <c r="CK62" s="21">
        <f>IFERROR((BV62/C62)^(1/19)-1,"n/m")</f>
        <v>7.6944843236438132E-2</v>
      </c>
      <c r="CN62" s="26" t="s">
        <v>135</v>
      </c>
      <c r="CO62" s="35">
        <f>CP62+$CO$60</f>
        <v>0.33500000000000002</v>
      </c>
      <c r="CP62" s="45">
        <v>0.315</v>
      </c>
      <c r="CQ62" s="35">
        <f>CP62+$CQ$60</f>
        <v>0.29499999999999998</v>
      </c>
    </row>
    <row r="63" spans="2:96" ht="15" hidden="1" customHeight="1" outlineLevel="1" x14ac:dyDescent="0.25">
      <c r="B63" s="26" t="s">
        <v>115</v>
      </c>
      <c r="BY63" s="25">
        <f>BT64</f>
        <v>0.25954198473282442</v>
      </c>
      <c r="BZ63" s="25">
        <f>BU64</f>
        <v>0.21804511278195488</v>
      </c>
      <c r="CA63" s="6"/>
      <c r="CB63" s="6"/>
      <c r="CC63" s="6"/>
      <c r="CD63" s="6"/>
      <c r="CE63" s="6"/>
      <c r="CF63" s="20" t="s">
        <v>177</v>
      </c>
      <c r="CN63" s="26" t="s">
        <v>138</v>
      </c>
      <c r="CO63" s="35">
        <f>CP63+$CO$60</f>
        <v>0.34</v>
      </c>
      <c r="CP63" s="45">
        <v>0.32</v>
      </c>
      <c r="CQ63" s="35">
        <f>CP63+$CQ$60</f>
        <v>0.3</v>
      </c>
    </row>
    <row r="64" spans="2:96" ht="15" hidden="1" customHeight="1" outlineLevel="1" x14ac:dyDescent="0.25">
      <c r="B64" s="26" t="s">
        <v>119</v>
      </c>
      <c r="C64" s="38">
        <f t="shared" ref="C64:AH64" si="107">IF(AND(ISNUMBER(C62),ISNUMBER(C59)),IFERROR(C62/C59,""),"")</f>
        <v>0.22229595222295953</v>
      </c>
      <c r="D64" s="38">
        <f t="shared" si="107"/>
        <v>0.2810880829015544</v>
      </c>
      <c r="E64" s="38">
        <f t="shared" si="107"/>
        <v>0.25</v>
      </c>
      <c r="F64" s="38">
        <f t="shared" si="107"/>
        <v>0.31732776617954073</v>
      </c>
      <c r="G64" s="38">
        <f t="shared" si="107"/>
        <v>0.34977324263038551</v>
      </c>
      <c r="H64" s="38">
        <f t="shared" si="107"/>
        <v>0.3758723828514457</v>
      </c>
      <c r="I64" s="38">
        <f t="shared" si="107"/>
        <v>0.3818001978239367</v>
      </c>
      <c r="J64" s="38">
        <f t="shared" si="107"/>
        <v>0.35507246376811596</v>
      </c>
      <c r="K64" s="38">
        <f t="shared" si="107"/>
        <v>0.37632508833922262</v>
      </c>
      <c r="L64" s="38">
        <f t="shared" si="107"/>
        <v>0.35663082437275984</v>
      </c>
      <c r="M64" s="38">
        <f t="shared" si="107"/>
        <v>0.3941480206540447</v>
      </c>
      <c r="N64" s="38">
        <f t="shared" si="107"/>
        <v>0.37101063829787234</v>
      </c>
      <c r="O64" s="38">
        <f t="shared" si="107"/>
        <v>0.32752613240418121</v>
      </c>
      <c r="P64" s="38">
        <f t="shared" si="107"/>
        <v>0.37802907915993539</v>
      </c>
      <c r="Q64" s="38">
        <f t="shared" si="107"/>
        <v>0.34071550255536626</v>
      </c>
      <c r="R64" s="38">
        <f t="shared" si="107"/>
        <v>0.38487972508591062</v>
      </c>
      <c r="S64" s="38">
        <f t="shared" si="107"/>
        <v>0.35832274459974583</v>
      </c>
      <c r="T64" s="38">
        <f t="shared" si="107"/>
        <v>0.34353741496598639</v>
      </c>
      <c r="U64" s="38">
        <f t="shared" si="107"/>
        <v>0.35041322314049583</v>
      </c>
      <c r="V64" s="38">
        <f t="shared" si="107"/>
        <v>0.33856893542757416</v>
      </c>
      <c r="W64" s="38">
        <f t="shared" si="107"/>
        <v>0.35098039215686272</v>
      </c>
      <c r="X64" s="38">
        <f t="shared" si="107"/>
        <v>0.34593406593406595</v>
      </c>
      <c r="Y64" s="38">
        <f t="shared" si="107"/>
        <v>0.38655462184873951</v>
      </c>
      <c r="Z64" s="38">
        <f t="shared" si="107"/>
        <v>0.36904761904761907</v>
      </c>
      <c r="AA64" s="38">
        <f t="shared" si="107"/>
        <v>0.37873754152823919</v>
      </c>
      <c r="AB64" s="38">
        <f t="shared" si="107"/>
        <v>0.37037037037037041</v>
      </c>
      <c r="AC64" s="38">
        <f t="shared" si="107"/>
        <v>0.37605042016806722</v>
      </c>
      <c r="AD64" s="38">
        <f t="shared" si="107"/>
        <v>0.35229067930489733</v>
      </c>
      <c r="AE64" s="38">
        <f t="shared" si="107"/>
        <v>0.36532507739938086</v>
      </c>
      <c r="AF64" s="38">
        <f t="shared" si="107"/>
        <v>0.34017094017094013</v>
      </c>
      <c r="AG64" s="38">
        <f t="shared" si="107"/>
        <v>0.38249594813614263</v>
      </c>
      <c r="AH64" s="38">
        <f t="shared" si="107"/>
        <v>0.3603385731559855</v>
      </c>
      <c r="AI64" s="38">
        <f t="shared" ref="AI64:BN64" si="108">IF(AND(ISNUMBER(AI62),ISNUMBER(AI59)),IFERROR(AI62/AI59,""),"")</f>
        <v>0.38674884437596302</v>
      </c>
      <c r="AJ64" s="38">
        <f t="shared" si="108"/>
        <v>0.36489282098683923</v>
      </c>
      <c r="AK64" s="38">
        <f t="shared" si="108"/>
        <v>0.39234988663789955</v>
      </c>
      <c r="AL64" s="38">
        <f t="shared" si="108"/>
        <v>0.3888855842726705</v>
      </c>
      <c r="AM64" s="38">
        <f t="shared" si="108"/>
        <v>0.38306481633139261</v>
      </c>
      <c r="AN64" s="38">
        <f t="shared" si="108"/>
        <v>0.38463873709775342</v>
      </c>
      <c r="AO64" s="38">
        <f t="shared" si="108"/>
        <v>0.41506699441594791</v>
      </c>
      <c r="AP64" s="38">
        <f t="shared" si="108"/>
        <v>0.4044392759631914</v>
      </c>
      <c r="AQ64" s="38">
        <f t="shared" si="108"/>
        <v>0.38511606022584688</v>
      </c>
      <c r="AR64" s="38">
        <f t="shared" si="108"/>
        <v>0.39800475401570268</v>
      </c>
      <c r="AS64" s="38">
        <f t="shared" si="108"/>
        <v>0.43572621035058434</v>
      </c>
      <c r="AT64" s="38">
        <f t="shared" si="108"/>
        <v>0.3721881390593047</v>
      </c>
      <c r="AU64" s="38">
        <f t="shared" si="108"/>
        <v>0.38043478260869562</v>
      </c>
      <c r="AV64" s="38">
        <f t="shared" si="108"/>
        <v>0.42781690140845074</v>
      </c>
      <c r="AW64" s="38">
        <f t="shared" si="108"/>
        <v>0.40561339972838384</v>
      </c>
      <c r="AX64" s="38">
        <f t="shared" si="108"/>
        <v>0.43491577335375192</v>
      </c>
      <c r="AY64" s="38">
        <f t="shared" si="108"/>
        <v>0.39857142857142858</v>
      </c>
      <c r="AZ64" s="38">
        <f t="shared" si="108"/>
        <v>0.39082058414464532</v>
      </c>
      <c r="BA64" s="38">
        <f t="shared" si="108"/>
        <v>0.38313609467455623</v>
      </c>
      <c r="BB64" s="38">
        <f t="shared" si="108"/>
        <v>0.40189297415362218</v>
      </c>
      <c r="BC64" s="38">
        <f t="shared" si="108"/>
        <v>0.37853107344632769</v>
      </c>
      <c r="BD64" s="38">
        <f t="shared" si="108"/>
        <v>0.34584450402144773</v>
      </c>
      <c r="BE64" s="38">
        <f t="shared" si="108"/>
        <v>0.31304347826086959</v>
      </c>
      <c r="BF64" s="38">
        <f t="shared" si="108"/>
        <v>0.33543307086614177</v>
      </c>
      <c r="BG64" s="38">
        <f t="shared" si="108"/>
        <v>0.34352517985611508</v>
      </c>
      <c r="BH64" s="38">
        <f t="shared" si="108"/>
        <v>0.29976019184652275</v>
      </c>
      <c r="BI64" s="38">
        <f t="shared" si="108"/>
        <v>0.34409937888198755</v>
      </c>
      <c r="BJ64" s="38">
        <f t="shared" si="108"/>
        <v>0.28344370860927148</v>
      </c>
      <c r="BK64" s="38">
        <f t="shared" si="108"/>
        <v>0.30263157894736842</v>
      </c>
      <c r="BL64" s="38">
        <f t="shared" si="108"/>
        <v>0.30786303107165502</v>
      </c>
      <c r="BM64" s="38">
        <f t="shared" si="108"/>
        <v>0.35802469135802467</v>
      </c>
      <c r="BN64" s="38">
        <f t="shared" si="108"/>
        <v>0.33333333333333331</v>
      </c>
      <c r="BO64" s="38">
        <f t="shared" ref="BO64:BX64" si="109">IF(AND(ISNUMBER(BO62),ISNUMBER(BO59)),IFERROR(BO62/BO59,""),"")</f>
        <v>0.35365853658536583</v>
      </c>
      <c r="BP64" s="38">
        <f t="shared" si="109"/>
        <v>0.2857142857142857</v>
      </c>
      <c r="BQ64" s="38">
        <f t="shared" si="109"/>
        <v>0.33437499999999998</v>
      </c>
      <c r="BR64" s="38">
        <f t="shared" si="109"/>
        <v>0.43678160919540232</v>
      </c>
      <c r="BS64" s="38">
        <f t="shared" si="109"/>
        <v>0.4</v>
      </c>
      <c r="BT64" s="38">
        <f t="shared" si="109"/>
        <v>0.25954198473282442</v>
      </c>
      <c r="BU64" s="38">
        <f t="shared" si="109"/>
        <v>0.21804511278195488</v>
      </c>
      <c r="BV64" s="38">
        <f t="shared" si="109"/>
        <v>0.31065759637188206</v>
      </c>
      <c r="BW64" s="38">
        <f t="shared" si="109"/>
        <v>0.31468531468531469</v>
      </c>
      <c r="BX64" s="38">
        <f t="shared" si="109"/>
        <v>0.32894736842105265</v>
      </c>
      <c r="BY64" s="25">
        <f>BY63+BY127</f>
        <v>0.28304749758293551</v>
      </c>
      <c r="BZ64" s="25">
        <f>BZ63+BZ127</f>
        <v>0.24155062563206595</v>
      </c>
      <c r="CA64" s="25">
        <f>IFERROR(CA62/CA59,"")</f>
        <v>0.29236095296951464</v>
      </c>
      <c r="CB64" s="25">
        <f>CHOOSE(MATCH($CF$2,{"Bull","Base","Bear"},0),$CO$61,$CP$61,$CQ$61)</f>
        <v>0.31</v>
      </c>
      <c r="CC64" s="25">
        <f>CHOOSE(MATCH($CF$2,{"Bull","Base","Bear"},0),$CO$62,$CP$62,$CQ$62)</f>
        <v>0.315</v>
      </c>
      <c r="CD64" s="25">
        <f>CHOOSE(MATCH($CF$2,{"Bull","Base","Bear"},0),$CO$63,$CP$63,$CQ$63)</f>
        <v>0.32</v>
      </c>
      <c r="CE64" s="25">
        <f>CHOOSE(MATCH($CF$2,{"Bull","Base","Bear"},0),$CO$64,$CP$64,$CQ$64)</f>
        <v>0.32</v>
      </c>
      <c r="CF64" s="6"/>
      <c r="CH64" s="39">
        <f>IFERROR(AVERAGE(CA64,CB64,CC64,CD64,CE64),"n/m")</f>
        <v>0.31147219059390296</v>
      </c>
      <c r="CI64" s="39">
        <f>IFERROR(AVERAGE(BB64,BG64,BL64,BQ64,BV64),"n/m")</f>
        <v>0.33966275629065484</v>
      </c>
      <c r="CJ64" s="39">
        <f>IFERROR(AVERAGE(AC64,AH64,AM64,AR64,AW64,BB64,BG64,BL64,BQ64,BV64),"n/m")</f>
        <v>0.36213857448528064</v>
      </c>
      <c r="CK64" s="39">
        <f>IFERROR(AVERAGE(C64,D64,E64,F64,G64,H64,I64,N64,S64,X64,AC64,AH64,AM64,AR64,AW64,BB64,BG64,BL64,BQ64,BV64),"n/m")</f>
        <v>0.34374054091471551</v>
      </c>
      <c r="CN64" s="26" t="s">
        <v>140</v>
      </c>
      <c r="CO64" s="35">
        <f>CP64+$CO$60</f>
        <v>0.34</v>
      </c>
      <c r="CP64" s="45">
        <v>0.32</v>
      </c>
      <c r="CQ64" s="35">
        <f>CP64+$CQ$60</f>
        <v>0.3</v>
      </c>
    </row>
    <row r="65" spans="2:96" ht="15" hidden="1" customHeight="1" outlineLevel="1" x14ac:dyDescent="0.25">
      <c r="CN65" s="16" t="s">
        <v>178</v>
      </c>
      <c r="CO65" s="44">
        <v>0.03</v>
      </c>
      <c r="CP65" s="22" t="s">
        <v>131</v>
      </c>
      <c r="CQ65" s="44">
        <v>-0.03</v>
      </c>
      <c r="CR65" s="14" t="s">
        <v>179</v>
      </c>
    </row>
    <row r="66" spans="2:96" ht="15" hidden="1" customHeight="1" outlineLevel="1" x14ac:dyDescent="0.25">
      <c r="B66" s="15" t="s">
        <v>180</v>
      </c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6" t="s">
        <v>181</v>
      </c>
      <c r="CN66" s="26" t="s">
        <v>134</v>
      </c>
      <c r="CO66" s="35">
        <f>CP66+$CO$65</f>
        <v>0.08</v>
      </c>
      <c r="CP66" s="45">
        <v>0.05</v>
      </c>
      <c r="CQ66" s="35">
        <f>CP66+$CQ$65</f>
        <v>2.0000000000000004E-2</v>
      </c>
    </row>
    <row r="67" spans="2:96" ht="15" hidden="1" customHeight="1" outlineLevel="2" x14ac:dyDescent="0.25">
      <c r="B67" s="42" t="s">
        <v>182</v>
      </c>
      <c r="BQ67" s="36">
        <v>1670.3140000000001</v>
      </c>
      <c r="BV67" s="36">
        <v>1753.66</v>
      </c>
      <c r="BY67" s="6"/>
      <c r="BZ67" s="6"/>
      <c r="CA67" s="6"/>
      <c r="CB67" s="6"/>
      <c r="CC67" s="6"/>
      <c r="CD67" s="6"/>
      <c r="CE67" s="6"/>
      <c r="CF67" s="6"/>
      <c r="CN67" s="26" t="s">
        <v>135</v>
      </c>
      <c r="CO67" s="35">
        <f>CP67+$CO$65</f>
        <v>0.08</v>
      </c>
      <c r="CP67" s="45">
        <v>0.05</v>
      </c>
      <c r="CQ67" s="35">
        <f>CP67+$CQ$65</f>
        <v>2.0000000000000004E-2</v>
      </c>
    </row>
    <row r="68" spans="2:96" ht="15" hidden="1" customHeight="1" outlineLevel="2" x14ac:dyDescent="0.25">
      <c r="B68" s="42" t="s">
        <v>183</v>
      </c>
      <c r="BQ68" s="36">
        <v>757.60799999999995</v>
      </c>
      <c r="BV68" s="36">
        <v>820.01800000000003</v>
      </c>
      <c r="BY68" s="6"/>
      <c r="BZ68" s="6"/>
      <c r="CA68" s="6"/>
      <c r="CB68" s="6"/>
      <c r="CC68" s="6"/>
      <c r="CD68" s="6"/>
      <c r="CE68" s="6"/>
      <c r="CF68" s="6"/>
      <c r="CN68" s="26" t="s">
        <v>138</v>
      </c>
      <c r="CO68" s="35">
        <f>CP68+$CO$65</f>
        <v>7.4999999999999997E-2</v>
      </c>
      <c r="CP68" s="45">
        <v>4.4999999999999998E-2</v>
      </c>
      <c r="CQ68" s="35">
        <f>CP68+$CQ$65</f>
        <v>1.4999999999999999E-2</v>
      </c>
    </row>
    <row r="69" spans="2:96" ht="15" hidden="1" customHeight="1" outlineLevel="2" x14ac:dyDescent="0.25">
      <c r="B69" s="42" t="s">
        <v>184</v>
      </c>
      <c r="BS69" s="36">
        <v>863.41899999999998</v>
      </c>
      <c r="BX69" s="36">
        <v>904.56799999999998</v>
      </c>
      <c r="BY69" s="6"/>
      <c r="BZ69" s="6"/>
      <c r="CA69" s="6"/>
      <c r="CB69" s="6"/>
      <c r="CC69" s="6"/>
      <c r="CD69" s="6"/>
      <c r="CE69" s="6"/>
      <c r="CF69" s="6"/>
      <c r="CN69" s="26" t="s">
        <v>140</v>
      </c>
      <c r="CO69" s="35">
        <f>CP69+$CO$65</f>
        <v>7.4999999999999997E-2</v>
      </c>
      <c r="CP69" s="45">
        <v>4.4999999999999998E-2</v>
      </c>
      <c r="CQ69" s="35">
        <f>CP69+$CQ$65</f>
        <v>1.4999999999999999E-2</v>
      </c>
    </row>
    <row r="70" spans="2:96" ht="15" hidden="1" customHeight="1" outlineLevel="2" x14ac:dyDescent="0.25">
      <c r="B70" s="42" t="s">
        <v>185</v>
      </c>
      <c r="BS70" s="36">
        <v>414.88900000000001</v>
      </c>
      <c r="BX70" s="36">
        <v>418.44900000000001</v>
      </c>
      <c r="BY70" s="6"/>
      <c r="BZ70" s="6"/>
      <c r="CA70" s="6"/>
      <c r="CB70" s="6"/>
      <c r="CC70" s="6"/>
      <c r="CD70" s="6"/>
      <c r="CE70" s="6"/>
      <c r="CF70" s="6"/>
      <c r="CN70" s="16" t="s">
        <v>186</v>
      </c>
      <c r="CO70" s="44">
        <v>1.4999999999999999E-2</v>
      </c>
      <c r="CP70" s="22" t="s">
        <v>131</v>
      </c>
      <c r="CQ70" s="44">
        <v>-1.4999999999999999E-2</v>
      </c>
      <c r="CR70" s="14" t="s">
        <v>187</v>
      </c>
    </row>
    <row r="71" spans="2:96" ht="15" hidden="1" customHeight="1" outlineLevel="2" x14ac:dyDescent="0.25">
      <c r="B71" s="26" t="s">
        <v>188</v>
      </c>
      <c r="BY71" s="50">
        <v>41</v>
      </c>
      <c r="BZ71" s="50">
        <v>92</v>
      </c>
      <c r="CA71" s="51">
        <f>SUM(BW71,BX71,BY71,BZ71)</f>
        <v>133</v>
      </c>
      <c r="CB71" s="50">
        <v>365</v>
      </c>
      <c r="CC71" s="50">
        <v>365</v>
      </c>
      <c r="CD71" s="50">
        <v>365</v>
      </c>
      <c r="CE71" s="50">
        <v>365</v>
      </c>
      <c r="CF71" s="20" t="s">
        <v>189</v>
      </c>
      <c r="CN71" s="26" t="s">
        <v>134</v>
      </c>
      <c r="CO71" s="35">
        <f>CP71+$CO$70</f>
        <v>0.48000000000000004</v>
      </c>
      <c r="CP71" s="45">
        <v>0.46500000000000002</v>
      </c>
      <c r="CQ71" s="35">
        <f>CP71+$CQ$70</f>
        <v>0.45</v>
      </c>
    </row>
    <row r="72" spans="2:96" ht="15" hidden="1" customHeight="1" outlineLevel="1" collapsed="1" x14ac:dyDescent="0.25">
      <c r="B72" s="26" t="s">
        <v>190</v>
      </c>
      <c r="BY72" s="37">
        <f>$CA$72</f>
        <v>1837.2362883837397</v>
      </c>
      <c r="BZ72" s="37">
        <f>$CA$72</f>
        <v>1837.2362883837397</v>
      </c>
      <c r="CA72" s="37">
        <f>BV67*(1+CA73)</f>
        <v>1837.2362883837397</v>
      </c>
      <c r="CB72" s="37">
        <f>CA72*(1+CB73)</f>
        <v>1929.0981028029269</v>
      </c>
      <c r="CC72" s="37">
        <f>CB72*(1+CC73)</f>
        <v>2025.5530079430732</v>
      </c>
      <c r="CD72" s="37">
        <f>CC72*(1+CD73)</f>
        <v>2116.7028933005113</v>
      </c>
      <c r="CE72" s="37">
        <f>CD72*(1+CE73)</f>
        <v>2211.9545234990342</v>
      </c>
      <c r="CF72" s="20" t="s">
        <v>191</v>
      </c>
      <c r="CN72" s="26" t="s">
        <v>135</v>
      </c>
      <c r="CO72" s="35">
        <f>CP72+$CO$70</f>
        <v>0.48499999999999999</v>
      </c>
      <c r="CP72" s="45">
        <v>0.47</v>
      </c>
      <c r="CQ72" s="35">
        <f>CP72+$CQ$70</f>
        <v>0.45499999999999996</v>
      </c>
    </row>
    <row r="73" spans="2:96" ht="15" hidden="1" customHeight="1" outlineLevel="1" x14ac:dyDescent="0.25">
      <c r="B73" s="23" t="s">
        <v>192</v>
      </c>
      <c r="BV73" s="24">
        <f>IF(AND(ISNUMBER(BV67),ISNUMBER(BQ67)),IFERROR(BV67/BQ67-1,""),"")</f>
        <v>4.9898402336327141E-2</v>
      </c>
      <c r="BY73" s="6"/>
      <c r="BZ73" s="6"/>
      <c r="CA73" s="25">
        <f>IFERROR(BX69/BS69-1,"")</f>
        <v>4.7658205344103033E-2</v>
      </c>
      <c r="CB73" s="25">
        <f>CHOOSE(MATCH($CF$2,{"Bull","Base","Bear"},0),$CO$66,$CP$66,$CQ$66)</f>
        <v>0.05</v>
      </c>
      <c r="CC73" s="25">
        <f>CHOOSE(MATCH($CF$2,{"Bull","Base","Bear"},0),$CO$67,$CP$67,$CQ$67)</f>
        <v>0.05</v>
      </c>
      <c r="CD73" s="25">
        <f>CHOOSE(MATCH($CF$2,{"Bull","Base","Bear"},0),$CO$68,$CP$68,$CQ$68)</f>
        <v>4.4999999999999998E-2</v>
      </c>
      <c r="CE73" s="25">
        <f>CHOOSE(MATCH($CF$2,{"Bull","Base","Bear"},0),$CO$69,$CP$69,$CQ$69)</f>
        <v>4.4999999999999998E-2</v>
      </c>
      <c r="CF73" s="6"/>
      <c r="CN73" s="26" t="s">
        <v>138</v>
      </c>
      <c r="CO73" s="35">
        <f>CP73+$CO$70</f>
        <v>0.48499999999999999</v>
      </c>
      <c r="CP73" s="45">
        <v>0.47</v>
      </c>
      <c r="CQ73" s="35">
        <f>CP73+$CQ$70</f>
        <v>0.45499999999999996</v>
      </c>
    </row>
    <row r="74" spans="2:96" ht="15" hidden="1" customHeight="1" outlineLevel="1" x14ac:dyDescent="0.25">
      <c r="B74" s="17" t="s">
        <v>193</v>
      </c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2"/>
      <c r="BP74" s="32"/>
      <c r="BQ74" s="32"/>
      <c r="BR74" s="32"/>
      <c r="BS74" s="32"/>
      <c r="BT74" s="32"/>
      <c r="BU74" s="32"/>
      <c r="BV74" s="32"/>
      <c r="BW74" s="32"/>
      <c r="BX74" s="32"/>
      <c r="BY74" s="34">
        <f>BY72*BY71/365</f>
        <v>206.3744871883105</v>
      </c>
      <c r="BZ74" s="34">
        <f>BZ72*BZ71/365</f>
        <v>463.08421515425772</v>
      </c>
      <c r="CA74" s="34">
        <f>SUM(BW74,BX74,BY74,BZ74)</f>
        <v>669.45870234256824</v>
      </c>
      <c r="CB74" s="34">
        <f>CB72*CB71/365</f>
        <v>1929.0981028029269</v>
      </c>
      <c r="CC74" s="34">
        <f>CC72*CC71/365</f>
        <v>2025.5530079430732</v>
      </c>
      <c r="CD74" s="34">
        <f>CD72*CD71/365</f>
        <v>2116.7028933005113</v>
      </c>
      <c r="CE74" s="34">
        <f>CE72*CE71/365</f>
        <v>2211.9545234990342</v>
      </c>
      <c r="CF74" s="6"/>
      <c r="CN74" s="26" t="s">
        <v>140</v>
      </c>
      <c r="CO74" s="35">
        <f>CP74+$CO$70</f>
        <v>0.48499999999999999</v>
      </c>
      <c r="CP74" s="45">
        <v>0.47</v>
      </c>
      <c r="CQ74" s="35">
        <f>CP74+$CQ$70</f>
        <v>0.45499999999999996</v>
      </c>
    </row>
    <row r="75" spans="2:96" ht="15" hidden="1" customHeight="1" outlineLevel="1" x14ac:dyDescent="0.25">
      <c r="B75" s="26" t="s">
        <v>194</v>
      </c>
      <c r="BQ75" s="38">
        <f>IF(AND(ISNUMBER(BQ68),ISNUMBER(BQ67)),IFERROR(BQ68/BQ67,""),"")</f>
        <v>0.45357220259184794</v>
      </c>
      <c r="BV75" s="38">
        <f>IF(AND(ISNUMBER(BV68),ISNUMBER(BV67)),IFERROR(BV68/BV67,""),"")</f>
        <v>0.4676037544335846</v>
      </c>
      <c r="BY75" s="25">
        <f>$CA$75</f>
        <v>0.4625954046572508</v>
      </c>
      <c r="BZ75" s="25">
        <f>$CA$75</f>
        <v>0.4625954046572508</v>
      </c>
      <c r="CA75" s="25">
        <f>IFERROR(BX70/BX69,"")</f>
        <v>0.4625954046572508</v>
      </c>
      <c r="CB75" s="25">
        <f>CHOOSE(MATCH($CF$2,{"Bull","Base","Bear"},0),$CO$71,$CP$71,$CQ$71)</f>
        <v>0.46500000000000002</v>
      </c>
      <c r="CC75" s="25">
        <f>CHOOSE(MATCH($CF$2,{"Bull","Base","Bear"},0),$CO$72,$CP$72,$CQ$72)</f>
        <v>0.47</v>
      </c>
      <c r="CD75" s="25">
        <f>CHOOSE(MATCH($CF$2,{"Bull","Base","Bear"},0),$CO$73,$CP$73,$CQ$73)</f>
        <v>0.47</v>
      </c>
      <c r="CE75" s="25">
        <f>CHOOSE(MATCH($CF$2,{"Bull","Base","Bear"},0),$CO$74,$CP$74,$CQ$74)</f>
        <v>0.47</v>
      </c>
      <c r="CF75" s="20" t="s">
        <v>195</v>
      </c>
      <c r="CN75" s="16" t="s">
        <v>196</v>
      </c>
      <c r="CO75" s="44">
        <v>0.25</v>
      </c>
      <c r="CP75" s="22" t="s">
        <v>131</v>
      </c>
      <c r="CQ75" s="44">
        <v>-0.25</v>
      </c>
      <c r="CR75" s="14" t="s">
        <v>197</v>
      </c>
    </row>
    <row r="76" spans="2:96" ht="15" hidden="1" customHeight="1" outlineLevel="2" x14ac:dyDescent="0.25">
      <c r="B76" s="26" t="s">
        <v>198</v>
      </c>
      <c r="BY76" s="52">
        <v>0</v>
      </c>
      <c r="BZ76" s="52">
        <v>0</v>
      </c>
      <c r="CA76" s="37">
        <f>SUM(BW76,BX76,BY76,BZ76)</f>
        <v>0</v>
      </c>
      <c r="CB76" s="37">
        <f>$CP$20*CHOOSE(MATCH($CF$2,{"Bull","Base","Bear"},0),$CO$76,$CP$76,$CQ$76)</f>
        <v>42.5</v>
      </c>
      <c r="CC76" s="37">
        <f>$CP$20*CHOOSE(MATCH($CF$2,{"Bull","Base","Bear"},0),$CO$77,$CP$77,$CQ$77)</f>
        <v>85</v>
      </c>
      <c r="CD76" s="37">
        <f>$CP$20*CHOOSE(MATCH($CF$2,{"Bull","Base","Bear"},0),$CO$78,$CP$78,$CQ$78)</f>
        <v>85</v>
      </c>
      <c r="CE76" s="37">
        <f>$CP$20*CHOOSE(MATCH($CF$2,{"Bull","Base","Bear"},0),$CO$79,$CP$79,$CQ$79)</f>
        <v>85</v>
      </c>
      <c r="CF76" s="20" t="s">
        <v>199</v>
      </c>
      <c r="CN76" s="26" t="s">
        <v>134</v>
      </c>
      <c r="CO76" s="35">
        <f>CP76+$CO$75</f>
        <v>0.75</v>
      </c>
      <c r="CP76" s="45">
        <v>0.5</v>
      </c>
      <c r="CQ76" s="35">
        <f>CP76+$CQ$75</f>
        <v>0.25</v>
      </c>
    </row>
    <row r="77" spans="2:96" ht="15" hidden="1" customHeight="1" outlineLevel="2" x14ac:dyDescent="0.25">
      <c r="B77" s="26" t="s">
        <v>200</v>
      </c>
      <c r="BY77" s="37">
        <f>$CB$77*BY71/365</f>
        <v>42.684931506849317</v>
      </c>
      <c r="BZ77" s="37">
        <f>$CB$77*BZ71/365</f>
        <v>95.780821917808225</v>
      </c>
      <c r="CA77" s="37">
        <f>SUM(BW77,BX77,BY77,BZ77)</f>
        <v>138.46575342465755</v>
      </c>
      <c r="CB77" s="52">
        <v>380</v>
      </c>
      <c r="CC77" s="52">
        <v>380</v>
      </c>
      <c r="CD77" s="52">
        <v>380</v>
      </c>
      <c r="CE77" s="52">
        <v>380</v>
      </c>
      <c r="CF77" s="20" t="s">
        <v>201</v>
      </c>
      <c r="CN77" s="26" t="s">
        <v>135</v>
      </c>
      <c r="CO77" s="35">
        <f>CP77+$CO$75</f>
        <v>1.25</v>
      </c>
      <c r="CP77" s="45">
        <v>1</v>
      </c>
      <c r="CQ77" s="35">
        <f>CP77+$CQ$75</f>
        <v>0.75</v>
      </c>
    </row>
    <row r="78" spans="2:96" ht="15" hidden="1" customHeight="1" outlineLevel="2" x14ac:dyDescent="0.25">
      <c r="B78" s="26" t="s">
        <v>202</v>
      </c>
      <c r="BY78" s="37">
        <f>$CB$78*BY71/365</f>
        <v>41</v>
      </c>
      <c r="BZ78" s="37">
        <f>$CB$78*BZ71/365</f>
        <v>92</v>
      </c>
      <c r="CA78" s="37">
        <f>SUM(BW78,BX78,BY78,BZ78)</f>
        <v>133</v>
      </c>
      <c r="CB78" s="37">
        <f>4000/16+1500/20+400/10</f>
        <v>365</v>
      </c>
      <c r="CC78" s="37">
        <f>4000/16+1500/20+400/10</f>
        <v>365</v>
      </c>
      <c r="CD78" s="37">
        <f>4000/16+1500/20+400/10</f>
        <v>365</v>
      </c>
      <c r="CE78" s="37">
        <f>4000/16+1500/20+400/10</f>
        <v>365</v>
      </c>
      <c r="CF78" s="20" t="s">
        <v>203</v>
      </c>
      <c r="CN78" s="26" t="s">
        <v>138</v>
      </c>
      <c r="CO78" s="35">
        <f>CP78+$CO$75</f>
        <v>1.25</v>
      </c>
      <c r="CP78" s="45">
        <v>1</v>
      </c>
      <c r="CQ78" s="35">
        <f>CP78+$CQ$75</f>
        <v>0.75</v>
      </c>
    </row>
    <row r="79" spans="2:96" ht="15" hidden="1" customHeight="1" outlineLevel="2" x14ac:dyDescent="0.25">
      <c r="B79" s="26" t="s">
        <v>204</v>
      </c>
      <c r="BY79" s="52">
        <v>30</v>
      </c>
      <c r="BZ79" s="52">
        <v>29</v>
      </c>
      <c r="CA79" s="37">
        <f>SUM(BW79,BX79,BY79,BZ79)</f>
        <v>59</v>
      </c>
      <c r="CB79" s="52">
        <v>0</v>
      </c>
      <c r="CC79" s="52">
        <v>0</v>
      </c>
      <c r="CD79" s="52">
        <v>0</v>
      </c>
      <c r="CE79" s="52">
        <v>0</v>
      </c>
      <c r="CF79" s="20" t="s">
        <v>205</v>
      </c>
      <c r="CN79" s="26" t="s">
        <v>140</v>
      </c>
      <c r="CO79" s="35">
        <f>CP79+$CO$75</f>
        <v>1.25</v>
      </c>
      <c r="CP79" s="45">
        <v>1</v>
      </c>
      <c r="CQ79" s="35">
        <f>CP79+$CQ$75</f>
        <v>0.75</v>
      </c>
    </row>
    <row r="80" spans="2:96" ht="15" hidden="1" customHeight="1" outlineLevel="1" collapsed="1" x14ac:dyDescent="0.25">
      <c r="B80" s="26" t="s">
        <v>112</v>
      </c>
      <c r="BY80" s="37">
        <f>BY74*BY75+BY76-BY77-BY79</f>
        <v>22.782957904959794</v>
      </c>
      <c r="BZ80" s="37">
        <f>BZ74*BZ75+BZ76-BZ77-BZ79</f>
        <v>89.439807981861009</v>
      </c>
      <c r="CA80" s="37">
        <f>SUM(BW80,BX80,BY80,BZ80)</f>
        <v>112.22276588682081</v>
      </c>
      <c r="CB80" s="37">
        <f>CB74*CB75+CB76-CB77-CB79</f>
        <v>559.530617803361</v>
      </c>
      <c r="CC80" s="37">
        <f>CC74*CC75+CC76-CC77-CC79</f>
        <v>657.0099137332445</v>
      </c>
      <c r="CD80" s="37">
        <f>CD74*CD75+CD76-CD77-CD79</f>
        <v>699.85035985124023</v>
      </c>
      <c r="CE80" s="37">
        <f>CE74*CE75+CE76-CE77-CE79</f>
        <v>744.61862604454609</v>
      </c>
      <c r="CF80" s="6"/>
      <c r="CN80" s="16" t="s">
        <v>206</v>
      </c>
      <c r="CO80" s="53">
        <v>500</v>
      </c>
      <c r="CP80" s="22" t="s">
        <v>131</v>
      </c>
      <c r="CQ80" s="53">
        <v>-500</v>
      </c>
      <c r="CR80" s="14" t="s">
        <v>207</v>
      </c>
    </row>
    <row r="81" spans="2:95" ht="15" hidden="1" customHeight="1" outlineLevel="1" x14ac:dyDescent="0.25">
      <c r="B81" s="26" t="s">
        <v>208</v>
      </c>
      <c r="BY81" s="25">
        <f t="shared" ref="BY81:CE81" si="110">IFERROR(BY80/BY74,"")</f>
        <v>0.11039619390632831</v>
      </c>
      <c r="BZ81" s="25">
        <f t="shared" si="110"/>
        <v>0.19313940111750033</v>
      </c>
      <c r="CA81" s="25">
        <f t="shared" si="110"/>
        <v>0.16763209663886836</v>
      </c>
      <c r="CB81" s="25">
        <f t="shared" si="110"/>
        <v>0.29004777776224977</v>
      </c>
      <c r="CC81" s="25">
        <f t="shared" si="110"/>
        <v>0.32436076032413036</v>
      </c>
      <c r="CD81" s="25">
        <f t="shared" si="110"/>
        <v>0.33063230653026821</v>
      </c>
      <c r="CE81" s="25">
        <f t="shared" si="110"/>
        <v>0.33663378615336675</v>
      </c>
      <c r="CF81" s="6"/>
      <c r="CN81" s="26" t="s">
        <v>134</v>
      </c>
      <c r="CO81" s="54">
        <f>CP81+$CO$80</f>
        <v>500</v>
      </c>
      <c r="CP81" s="27">
        <v>0</v>
      </c>
      <c r="CQ81" s="54">
        <f>CP81+$CQ$80</f>
        <v>-500</v>
      </c>
    </row>
    <row r="82" spans="2:95" ht="15" hidden="1" customHeight="1" outlineLevel="2" x14ac:dyDescent="0.25">
      <c r="B82" s="26" t="s">
        <v>209</v>
      </c>
      <c r="BY82" s="25">
        <f>$CA$82</f>
        <v>4.2999999999999997E-2</v>
      </c>
      <c r="BZ82" s="25">
        <f>$CA$82</f>
        <v>4.2999999999999997E-2</v>
      </c>
      <c r="CA82" s="49">
        <v>4.2999999999999997E-2</v>
      </c>
      <c r="CB82" s="25">
        <f>CA82</f>
        <v>4.2999999999999997E-2</v>
      </c>
      <c r="CC82" s="25">
        <f>CB82</f>
        <v>4.2999999999999997E-2</v>
      </c>
      <c r="CD82" s="25">
        <f>CC82</f>
        <v>4.2999999999999997E-2</v>
      </c>
      <c r="CE82" s="25">
        <f>CD82</f>
        <v>4.2999999999999997E-2</v>
      </c>
      <c r="CF82" s="20" t="s">
        <v>210</v>
      </c>
      <c r="CN82" s="26" t="s">
        <v>135</v>
      </c>
      <c r="CO82" s="54">
        <f>CP82+$CO$80</f>
        <v>1000</v>
      </c>
      <c r="CP82" s="27">
        <v>500</v>
      </c>
      <c r="CQ82" s="54">
        <f>CP82+$CQ$80</f>
        <v>0</v>
      </c>
    </row>
    <row r="83" spans="2:95" ht="15" hidden="1" customHeight="1" outlineLevel="2" x14ac:dyDescent="0.25">
      <c r="B83" s="26" t="s">
        <v>211</v>
      </c>
      <c r="BY83" s="37">
        <f>BY74*BY82</f>
        <v>8.8741029490973506</v>
      </c>
      <c r="BZ83" s="37">
        <f>BZ74*BZ82</f>
        <v>19.91262125163308</v>
      </c>
      <c r="CA83" s="37">
        <f>SUM(BW83,BX83,BY83,BZ83)</f>
        <v>28.786724200730433</v>
      </c>
      <c r="CB83" s="37">
        <f>CB74*CB82</f>
        <v>82.951218420525848</v>
      </c>
      <c r="CC83" s="37">
        <f>CC74*CC82</f>
        <v>87.098779341552145</v>
      </c>
      <c r="CD83" s="37">
        <f>CD74*CD82</f>
        <v>91.018224411921977</v>
      </c>
      <c r="CE83" s="37">
        <f>CE74*CE82</f>
        <v>95.114044510458456</v>
      </c>
      <c r="CF83" s="6"/>
      <c r="CN83" s="26" t="s">
        <v>138</v>
      </c>
      <c r="CO83" s="54">
        <f>CP83+$CO$80</f>
        <v>1250</v>
      </c>
      <c r="CP83" s="27">
        <v>750</v>
      </c>
      <c r="CQ83" s="54">
        <f>CP83+$CQ$80</f>
        <v>250</v>
      </c>
    </row>
    <row r="84" spans="2:95" ht="15" hidden="1" customHeight="1" outlineLevel="2" x14ac:dyDescent="0.25">
      <c r="B84" s="26" t="s">
        <v>212</v>
      </c>
      <c r="BY84" s="25">
        <f>$CA$84</f>
        <v>8.7999999999999995E-2</v>
      </c>
      <c r="BZ84" s="25">
        <f>$CA$84</f>
        <v>8.7999999999999995E-2</v>
      </c>
      <c r="CA84" s="49">
        <v>8.7999999999999995E-2</v>
      </c>
      <c r="CB84" s="25">
        <f>CA84</f>
        <v>8.7999999999999995E-2</v>
      </c>
      <c r="CC84" s="25">
        <f>CB84</f>
        <v>8.7999999999999995E-2</v>
      </c>
      <c r="CD84" s="25">
        <f>CC84</f>
        <v>8.7999999999999995E-2</v>
      </c>
      <c r="CE84" s="25">
        <f>CD84</f>
        <v>8.7999999999999995E-2</v>
      </c>
      <c r="CF84" s="20" t="s">
        <v>213</v>
      </c>
      <c r="CN84" s="26" t="s">
        <v>140</v>
      </c>
      <c r="CO84" s="54">
        <f>CP84+$CO$80</f>
        <v>1250</v>
      </c>
      <c r="CP84" s="27">
        <v>750</v>
      </c>
      <c r="CQ84" s="54">
        <f>CP84+$CQ$80</f>
        <v>250</v>
      </c>
    </row>
    <row r="85" spans="2:95" ht="15" hidden="1" customHeight="1" outlineLevel="2" x14ac:dyDescent="0.25">
      <c r="B85" s="26" t="s">
        <v>214</v>
      </c>
      <c r="BY85" s="37">
        <f>BY74*BY84</f>
        <v>18.160954872571324</v>
      </c>
      <c r="BZ85" s="37">
        <f>BZ74*BZ84</f>
        <v>40.751410933574675</v>
      </c>
      <c r="CA85" s="37">
        <f>SUM(BW85,BX85,BY85,BZ85)</f>
        <v>58.912365806145999</v>
      </c>
      <c r="CB85" s="37">
        <f>CB74*CB84</f>
        <v>169.76063304665755</v>
      </c>
      <c r="CC85" s="37">
        <f>CC74*CC84</f>
        <v>178.24866469899044</v>
      </c>
      <c r="CD85" s="37">
        <f>CD74*CD84</f>
        <v>186.26985461044498</v>
      </c>
      <c r="CE85" s="37">
        <f>CE74*CE84</f>
        <v>194.651998067915</v>
      </c>
      <c r="CF85" s="6"/>
    </row>
    <row r="86" spans="2:95" ht="15" hidden="1" customHeight="1" outlineLevel="2" x14ac:dyDescent="0.25">
      <c r="B86" s="42" t="s">
        <v>215</v>
      </c>
      <c r="BY86" s="37">
        <f t="shared" ref="BY86:CE86" si="111">BY80+BY77+BY79+BY83-BY85</f>
        <v>86.181037488335136</v>
      </c>
      <c r="BZ86" s="37">
        <f t="shared" si="111"/>
        <v>193.38184021772764</v>
      </c>
      <c r="CA86" s="37">
        <f t="shared" si="111"/>
        <v>279.56287770606275</v>
      </c>
      <c r="CB86" s="37">
        <f t="shared" si="111"/>
        <v>852.72120317722931</v>
      </c>
      <c r="CC86" s="37">
        <f t="shared" si="111"/>
        <v>945.86002837580634</v>
      </c>
      <c r="CD86" s="37">
        <f t="shared" si="111"/>
        <v>984.59872965271711</v>
      </c>
      <c r="CE86" s="37">
        <f t="shared" si="111"/>
        <v>1025.0806724870895</v>
      </c>
      <c r="CF86" s="20" t="s">
        <v>216</v>
      </c>
    </row>
    <row r="87" spans="2:95" ht="15" hidden="1" customHeight="1" outlineLevel="2" x14ac:dyDescent="0.25">
      <c r="B87" s="42" t="s">
        <v>217</v>
      </c>
      <c r="BY87" s="25">
        <f t="shared" ref="BY87:CE87" si="112">IFERROR(BY86/BY74,"")</f>
        <v>0.41759540465725076</v>
      </c>
      <c r="BZ87" s="25">
        <f t="shared" si="112"/>
        <v>0.41759540465725081</v>
      </c>
      <c r="CA87" s="25">
        <f t="shared" si="112"/>
        <v>0.4175954046572507</v>
      </c>
      <c r="CB87" s="25">
        <f t="shared" si="112"/>
        <v>0.44203102057808707</v>
      </c>
      <c r="CC87" s="25">
        <f t="shared" si="112"/>
        <v>0.46696384872016594</v>
      </c>
      <c r="CD87" s="25">
        <f t="shared" si="112"/>
        <v>0.46515679303365143</v>
      </c>
      <c r="CE87" s="25">
        <f t="shared" si="112"/>
        <v>0.46342755314225026</v>
      </c>
      <c r="CF87" s="6"/>
    </row>
    <row r="88" spans="2:95" ht="15" hidden="1" customHeight="1" outlineLevel="1" collapsed="1" x14ac:dyDescent="0.25"/>
    <row r="89" spans="2:95" ht="15" hidden="1" customHeight="1" outlineLevel="1" x14ac:dyDescent="0.25">
      <c r="B89" s="15" t="s">
        <v>218</v>
      </c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6" t="s">
        <v>219</v>
      </c>
    </row>
    <row r="90" spans="2:95" ht="15" hidden="1" customHeight="1" outlineLevel="1" x14ac:dyDescent="0.25">
      <c r="B90" s="26" t="s">
        <v>220</v>
      </c>
      <c r="C90" s="36">
        <v>-7.8</v>
      </c>
      <c r="D90" s="36">
        <v>-4.5999999999999996</v>
      </c>
      <c r="E90" s="36">
        <v>-4.0999999999999996</v>
      </c>
      <c r="F90" s="36">
        <v>-3.7</v>
      </c>
      <c r="G90" s="36">
        <v>-4.3</v>
      </c>
      <c r="H90" s="36">
        <v>-3.4</v>
      </c>
      <c r="I90" s="36">
        <v>-5.4</v>
      </c>
      <c r="J90" s="36">
        <v>-2</v>
      </c>
      <c r="K90" s="36">
        <v>0.3</v>
      </c>
      <c r="L90" s="36">
        <v>0.3</v>
      </c>
      <c r="M90" s="36">
        <v>-0.1</v>
      </c>
      <c r="N90" s="36">
        <v>-1.4</v>
      </c>
      <c r="O90" s="36">
        <v>-0.6</v>
      </c>
      <c r="P90" s="36">
        <v>0.5</v>
      </c>
      <c r="Q90" s="36">
        <v>-0.8</v>
      </c>
      <c r="R90" s="36">
        <v>2.9</v>
      </c>
      <c r="S90" s="36">
        <v>2.1</v>
      </c>
      <c r="T90" s="36">
        <v>-3.6</v>
      </c>
      <c r="U90" s="36">
        <v>-5.9</v>
      </c>
      <c r="V90" s="36">
        <v>-6.9</v>
      </c>
      <c r="W90" s="36">
        <v>10.4</v>
      </c>
      <c r="X90" s="36">
        <v>-6.2</v>
      </c>
      <c r="Y90" s="36">
        <v>-4</v>
      </c>
      <c r="Z90" s="36">
        <v>-1.5</v>
      </c>
      <c r="AA90" s="36">
        <v>-3.2</v>
      </c>
      <c r="AB90" s="36">
        <v>0.5</v>
      </c>
      <c r="AC90" s="36">
        <v>-8.1</v>
      </c>
      <c r="AD90" s="36">
        <v>-0.4</v>
      </c>
      <c r="AE90" s="36">
        <v>0.3</v>
      </c>
      <c r="AF90" s="36">
        <v>3.5</v>
      </c>
      <c r="AG90" s="36">
        <v>3.5</v>
      </c>
      <c r="AH90" s="36">
        <v>6.9</v>
      </c>
      <c r="AI90" s="36">
        <v>1.9</v>
      </c>
      <c r="AJ90" s="36">
        <v>3.1680000000000001</v>
      </c>
      <c r="AK90" s="36">
        <v>-0.57899999999999996</v>
      </c>
      <c r="AL90" s="36">
        <v>3.0979999999999999</v>
      </c>
      <c r="AM90" s="36">
        <v>7.5720000000000001</v>
      </c>
      <c r="AN90" s="36">
        <v>-0.47399999999999998</v>
      </c>
      <c r="AO90" s="36">
        <v>0.19500000000000001</v>
      </c>
      <c r="AP90" s="36">
        <v>1.7250000000000001</v>
      </c>
      <c r="AQ90" s="36">
        <v>1.579</v>
      </c>
      <c r="AR90" s="36">
        <v>3.024</v>
      </c>
      <c r="AS90" s="36">
        <v>-1</v>
      </c>
      <c r="AT90" s="36">
        <v>4.5</v>
      </c>
      <c r="AU90" s="36">
        <v>0.7</v>
      </c>
      <c r="AV90" s="36">
        <v>3.2</v>
      </c>
      <c r="AW90" s="36">
        <v>7.5</v>
      </c>
      <c r="AX90" s="36">
        <v>-0.8</v>
      </c>
      <c r="AY90" s="36">
        <v>0.5</v>
      </c>
      <c r="AZ90" s="36">
        <v>0.5</v>
      </c>
      <c r="BA90" s="36">
        <v>1.8</v>
      </c>
      <c r="BB90" s="36">
        <v>2</v>
      </c>
      <c r="BC90" s="36">
        <v>-7.9</v>
      </c>
      <c r="BD90" s="36">
        <v>1.6</v>
      </c>
      <c r="BE90" s="36">
        <v>-2.1</v>
      </c>
      <c r="BF90" s="36">
        <v>2.8</v>
      </c>
      <c r="BG90" s="36">
        <v>-5.8</v>
      </c>
      <c r="BH90" s="36">
        <v>1.9</v>
      </c>
      <c r="BI90" s="36">
        <v>-3.4</v>
      </c>
      <c r="BJ90" s="36">
        <v>5.0999999999999996</v>
      </c>
      <c r="BK90" s="36">
        <v>-0.8</v>
      </c>
      <c r="BL90" s="36">
        <v>2.8</v>
      </c>
      <c r="BM90" s="36">
        <v>-5</v>
      </c>
      <c r="BN90" s="36">
        <v>-11</v>
      </c>
      <c r="BO90" s="36">
        <v>-18</v>
      </c>
      <c r="BP90" s="36">
        <v>-5</v>
      </c>
      <c r="BQ90" s="36">
        <v>-39</v>
      </c>
      <c r="BR90" s="36">
        <v>-1</v>
      </c>
      <c r="BS90" s="36">
        <v>-9</v>
      </c>
      <c r="BT90" s="36">
        <v>-8</v>
      </c>
      <c r="BU90" s="36">
        <v>-4</v>
      </c>
      <c r="BV90" s="36">
        <v>-23</v>
      </c>
      <c r="BW90" s="36">
        <v>-7</v>
      </c>
      <c r="BX90" s="36">
        <v>-7</v>
      </c>
      <c r="BY90" s="37">
        <f>(BW90+BX90)/2</f>
        <v>-7</v>
      </c>
      <c r="BZ90" s="37">
        <f>(BW90+BX90)/2</f>
        <v>-7</v>
      </c>
      <c r="CA90" s="37">
        <f>SUM(BW90,BX90,BY90,BZ90)</f>
        <v>-28</v>
      </c>
      <c r="CB90" s="52">
        <v>-30</v>
      </c>
      <c r="CC90" s="52">
        <v>-30</v>
      </c>
      <c r="CD90" s="52">
        <v>-30</v>
      </c>
      <c r="CE90" s="52">
        <v>-30</v>
      </c>
      <c r="CF90" s="20" t="s">
        <v>221</v>
      </c>
    </row>
    <row r="91" spans="2:95" ht="15" hidden="1" customHeight="1" outlineLevel="1" x14ac:dyDescent="0.25">
      <c r="B91" s="26" t="s">
        <v>222</v>
      </c>
      <c r="C91" s="36">
        <v>263.5</v>
      </c>
      <c r="D91" s="36">
        <v>239.5</v>
      </c>
      <c r="E91" s="36">
        <v>256.8</v>
      </c>
      <c r="F91" s="36">
        <v>206</v>
      </c>
      <c r="G91" s="36">
        <v>232</v>
      </c>
      <c r="H91" s="36">
        <v>193.9</v>
      </c>
      <c r="I91" s="36">
        <v>198.9</v>
      </c>
      <c r="J91" s="36">
        <v>39.799999999999997</v>
      </c>
      <c r="K91" s="36">
        <v>54</v>
      </c>
      <c r="L91" s="36">
        <v>64.8</v>
      </c>
      <c r="M91" s="36">
        <v>53.6</v>
      </c>
      <c r="N91" s="36">
        <v>212.3</v>
      </c>
      <c r="O91" s="36">
        <v>49</v>
      </c>
      <c r="P91" s="36">
        <v>67.3</v>
      </c>
      <c r="Q91" s="36">
        <v>85.8</v>
      </c>
      <c r="R91" s="36">
        <v>76.8</v>
      </c>
      <c r="S91" s="36">
        <v>278.89999999999998</v>
      </c>
      <c r="T91" s="36">
        <v>59.5</v>
      </c>
      <c r="U91" s="36">
        <v>71.2</v>
      </c>
      <c r="V91" s="36">
        <v>77</v>
      </c>
      <c r="W91" s="36">
        <v>63.8</v>
      </c>
      <c r="X91" s="36">
        <v>271.5</v>
      </c>
      <c r="Y91" s="36">
        <v>54.8</v>
      </c>
      <c r="Z91" s="36">
        <v>61.9</v>
      </c>
      <c r="AA91" s="36">
        <v>65.599999999999994</v>
      </c>
      <c r="AB91" s="36">
        <v>59.8</v>
      </c>
      <c r="AC91" s="36">
        <v>242</v>
      </c>
      <c r="AD91" s="36">
        <v>52.2</v>
      </c>
      <c r="AE91" s="36">
        <v>67.2</v>
      </c>
      <c r="AF91" s="36">
        <v>65.599999999999994</v>
      </c>
      <c r="AG91" s="36">
        <v>59.2</v>
      </c>
      <c r="AH91" s="36">
        <v>244.2</v>
      </c>
      <c r="AI91" s="36">
        <v>48.7</v>
      </c>
      <c r="AJ91" s="36">
        <v>73.626000000000005</v>
      </c>
      <c r="AK91" s="36">
        <v>77.421999999999997</v>
      </c>
      <c r="AL91" s="36">
        <v>64.167000000000002</v>
      </c>
      <c r="AM91" s="36">
        <v>263.91399999999999</v>
      </c>
      <c r="AN91" s="36">
        <v>60.65</v>
      </c>
      <c r="AO91" s="36">
        <v>83.332999999999998</v>
      </c>
      <c r="AP91" s="36">
        <v>97.085999999999999</v>
      </c>
      <c r="AQ91" s="36">
        <v>75.710999999999999</v>
      </c>
      <c r="AR91" s="36">
        <v>316.77999999999997</v>
      </c>
      <c r="AS91" s="36">
        <v>67.2</v>
      </c>
      <c r="AT91" s="36">
        <v>81.099999999999994</v>
      </c>
      <c r="AU91" s="36">
        <v>80.7</v>
      </c>
      <c r="AV91" s="36">
        <v>68.7</v>
      </c>
      <c r="AW91" s="36">
        <v>297.8</v>
      </c>
      <c r="AX91" s="36">
        <v>60.5</v>
      </c>
      <c r="AY91" s="36">
        <v>82.6</v>
      </c>
      <c r="AZ91" s="36">
        <v>94.6</v>
      </c>
      <c r="BA91" s="36">
        <v>91.5</v>
      </c>
      <c r="BB91" s="36">
        <v>329.3</v>
      </c>
      <c r="BC91" s="36">
        <v>83</v>
      </c>
      <c r="BD91" s="36">
        <v>117.9</v>
      </c>
      <c r="BE91" s="36">
        <v>131.19999999999999</v>
      </c>
      <c r="BF91" s="36">
        <v>98.1</v>
      </c>
      <c r="BG91" s="36">
        <v>430.2</v>
      </c>
      <c r="BH91" s="36">
        <v>0</v>
      </c>
      <c r="BI91" s="36">
        <v>0</v>
      </c>
      <c r="BJ91" s="36">
        <v>0</v>
      </c>
      <c r="BK91" s="36">
        <v>0</v>
      </c>
      <c r="BL91" s="36">
        <v>0</v>
      </c>
      <c r="BM91" s="36">
        <v>0</v>
      </c>
      <c r="BN91" s="36">
        <v>0</v>
      </c>
      <c r="BO91" s="36">
        <v>0</v>
      </c>
      <c r="BP91" s="36">
        <v>0</v>
      </c>
      <c r="BQ91" s="36">
        <v>0</v>
      </c>
      <c r="BR91" s="36">
        <v>0</v>
      </c>
      <c r="BS91" s="36">
        <v>0</v>
      </c>
      <c r="BT91" s="36">
        <v>0</v>
      </c>
      <c r="BU91" s="36">
        <v>0</v>
      </c>
      <c r="BV91" s="36">
        <v>0</v>
      </c>
      <c r="BW91" s="36">
        <v>0</v>
      </c>
      <c r="BX91" s="36">
        <v>0</v>
      </c>
      <c r="BY91" s="6"/>
      <c r="BZ91" s="6"/>
      <c r="CA91" s="6"/>
      <c r="CB91" s="6"/>
      <c r="CC91" s="6"/>
      <c r="CD91" s="6"/>
      <c r="CE91" s="6"/>
      <c r="CF91" s="6"/>
    </row>
    <row r="92" spans="2:95" ht="15" hidden="1" customHeight="1" outlineLevel="1" x14ac:dyDescent="0.25">
      <c r="B92" s="26" t="s">
        <v>223</v>
      </c>
      <c r="C92" s="36">
        <v>0</v>
      </c>
      <c r="D92" s="36">
        <v>0</v>
      </c>
      <c r="E92" s="36">
        <v>0</v>
      </c>
      <c r="F92" s="36">
        <v>0</v>
      </c>
      <c r="G92" s="36">
        <v>0</v>
      </c>
      <c r="H92" s="36">
        <v>0</v>
      </c>
      <c r="I92" s="36">
        <v>0</v>
      </c>
      <c r="J92" s="36">
        <v>0</v>
      </c>
      <c r="K92" s="36">
        <v>0</v>
      </c>
      <c r="L92" s="36">
        <v>0</v>
      </c>
      <c r="M92" s="36">
        <v>0</v>
      </c>
      <c r="N92" s="36">
        <v>0</v>
      </c>
      <c r="O92" s="36">
        <v>0</v>
      </c>
      <c r="P92" s="36">
        <v>0</v>
      </c>
      <c r="Q92" s="36">
        <v>0</v>
      </c>
      <c r="R92" s="36">
        <v>0</v>
      </c>
      <c r="S92" s="36">
        <v>0</v>
      </c>
      <c r="T92" s="36">
        <v>0</v>
      </c>
      <c r="U92" s="36">
        <v>0</v>
      </c>
      <c r="V92" s="36">
        <v>0</v>
      </c>
      <c r="W92" s="36">
        <v>0</v>
      </c>
      <c r="X92" s="36">
        <v>0</v>
      </c>
      <c r="Y92" s="36">
        <v>0</v>
      </c>
      <c r="Z92" s="36">
        <v>0</v>
      </c>
      <c r="AA92" s="36">
        <v>0</v>
      </c>
      <c r="AB92" s="36">
        <v>0</v>
      </c>
      <c r="AC92" s="36">
        <v>0</v>
      </c>
      <c r="AD92" s="36">
        <v>0</v>
      </c>
      <c r="AE92" s="36">
        <v>0</v>
      </c>
      <c r="AF92" s="36">
        <v>0</v>
      </c>
      <c r="AG92" s="36">
        <v>0</v>
      </c>
      <c r="AH92" s="36">
        <v>0</v>
      </c>
      <c r="AI92" s="36">
        <v>-1.3</v>
      </c>
      <c r="AJ92" s="36">
        <v>-0.43</v>
      </c>
      <c r="AK92" s="36">
        <v>-1.123</v>
      </c>
      <c r="AL92" s="36">
        <v>-1.117</v>
      </c>
      <c r="AM92" s="36">
        <v>-3.964</v>
      </c>
      <c r="AN92" s="36">
        <v>-1.23</v>
      </c>
      <c r="AO92" s="36">
        <v>-0.94699999999999995</v>
      </c>
      <c r="AP92" s="36">
        <v>-0.67</v>
      </c>
      <c r="AQ92" s="36">
        <v>-1.3979999999999999</v>
      </c>
      <c r="AR92" s="36">
        <v>-4.2460000000000004</v>
      </c>
      <c r="AS92" s="36">
        <v>-1.2</v>
      </c>
      <c r="AT92" s="36">
        <v>-1.6</v>
      </c>
      <c r="AU92" s="36">
        <v>-0.1</v>
      </c>
      <c r="AV92" s="36">
        <v>-0.8</v>
      </c>
      <c r="AW92" s="36">
        <v>-3.7</v>
      </c>
      <c r="AX92" s="36">
        <v>-1.2</v>
      </c>
      <c r="AY92" s="36">
        <v>-0.2</v>
      </c>
      <c r="AZ92" s="36">
        <v>0.2</v>
      </c>
      <c r="BA92" s="36">
        <v>0.6</v>
      </c>
      <c r="BB92" s="36">
        <v>-0.6</v>
      </c>
      <c r="BC92" s="36">
        <v>0.2</v>
      </c>
      <c r="BD92" s="36">
        <v>-3</v>
      </c>
      <c r="BE92" s="36">
        <v>1.1000000000000001</v>
      </c>
      <c r="BF92" s="36">
        <v>-1</v>
      </c>
      <c r="BG92" s="36">
        <v>-2.6</v>
      </c>
      <c r="BH92" s="36">
        <v>0</v>
      </c>
      <c r="BI92" s="36">
        <v>0</v>
      </c>
      <c r="BJ92" s="36">
        <v>0</v>
      </c>
      <c r="BK92" s="36">
        <v>0</v>
      </c>
      <c r="BL92" s="36">
        <v>0</v>
      </c>
      <c r="BM92" s="36">
        <v>0</v>
      </c>
      <c r="BN92" s="36">
        <v>0</v>
      </c>
      <c r="BO92" s="36">
        <v>0</v>
      </c>
      <c r="BP92" s="36">
        <v>0</v>
      </c>
      <c r="BQ92" s="36">
        <v>0</v>
      </c>
      <c r="BR92" s="36">
        <v>0</v>
      </c>
      <c r="BS92" s="36">
        <v>0</v>
      </c>
      <c r="BT92" s="36">
        <v>0</v>
      </c>
      <c r="BU92" s="36">
        <v>0</v>
      </c>
      <c r="BV92" s="36">
        <v>0</v>
      </c>
      <c r="BW92" s="36">
        <v>0</v>
      </c>
      <c r="BX92" s="36">
        <v>0</v>
      </c>
      <c r="BY92" s="6"/>
      <c r="BZ92" s="6"/>
      <c r="CA92" s="6"/>
      <c r="CB92" s="6"/>
      <c r="CC92" s="6"/>
      <c r="CD92" s="6"/>
      <c r="CE92" s="6"/>
      <c r="CF92" s="6"/>
    </row>
    <row r="93" spans="2:95" ht="15" hidden="1" customHeight="1" outlineLevel="1" x14ac:dyDescent="0.25">
      <c r="B93" s="26" t="s">
        <v>224</v>
      </c>
      <c r="C93" s="36">
        <v>1792.2</v>
      </c>
      <c r="D93" s="36">
        <v>1813.2</v>
      </c>
      <c r="E93" s="36">
        <v>1696.1</v>
      </c>
      <c r="F93" s="36">
        <v>1352.9</v>
      </c>
      <c r="G93" s="36">
        <v>1374.5</v>
      </c>
      <c r="BY93" s="6"/>
      <c r="BZ93" s="6"/>
      <c r="CA93" s="6"/>
      <c r="CB93" s="6"/>
      <c r="CC93" s="6"/>
      <c r="CD93" s="6"/>
      <c r="CE93" s="6"/>
      <c r="CF93" s="6"/>
    </row>
    <row r="94" spans="2:95" ht="15" hidden="1" customHeight="1" outlineLevel="1" x14ac:dyDescent="0.25">
      <c r="B94" s="26" t="s">
        <v>225</v>
      </c>
      <c r="C94" s="36">
        <v>496.8</v>
      </c>
      <c r="D94" s="36">
        <v>532.20000000000005</v>
      </c>
      <c r="E94" s="36">
        <v>432.7</v>
      </c>
      <c r="F94" s="36">
        <v>295.8</v>
      </c>
      <c r="G94" s="36">
        <v>264.60000000000002</v>
      </c>
      <c r="H94" s="36">
        <v>230</v>
      </c>
      <c r="BY94" s="6"/>
      <c r="BZ94" s="6"/>
      <c r="CA94" s="6"/>
      <c r="CB94" s="6"/>
      <c r="CC94" s="6"/>
      <c r="CD94" s="6"/>
      <c r="CE94" s="6"/>
      <c r="CF94" s="6"/>
    </row>
    <row r="95" spans="2:95" ht="15" hidden="1" customHeight="1" outlineLevel="2" x14ac:dyDescent="0.25"/>
    <row r="96" spans="2:95" ht="15" hidden="1" customHeight="1" outlineLevel="2" x14ac:dyDescent="0.25">
      <c r="B96" s="15" t="s">
        <v>226</v>
      </c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6" t="s">
        <v>227</v>
      </c>
    </row>
    <row r="97" spans="2:84" ht="15" hidden="1" customHeight="1" outlineLevel="2" x14ac:dyDescent="0.25">
      <c r="B97" s="26" t="s">
        <v>228</v>
      </c>
      <c r="BY97" s="6"/>
      <c r="BZ97" s="6"/>
      <c r="CA97" s="52">
        <v>0</v>
      </c>
      <c r="CB97" s="37">
        <f>MAX(0,CHOOSE(MATCH($CF$2,{"Bull","Base","Bear"},0),$CO$81,$CP$81,$CQ$81))</f>
        <v>0</v>
      </c>
      <c r="CC97" s="37">
        <f>MAX(0,CHOOSE(MATCH($CF$2,{"Bull","Base","Bear"},0),$CO$82,$CP$82,$CQ$82))</f>
        <v>500</v>
      </c>
      <c r="CD97" s="37">
        <f>MAX(0,CHOOSE(MATCH($CF$2,{"Bull","Base","Bear"},0),$CO$83,$CP$83,$CQ$83))</f>
        <v>750</v>
      </c>
      <c r="CE97" s="37">
        <f>MAX(0,CHOOSE(MATCH($CF$2,{"Bull","Base","Bear"},0),$CO$84,$CP$84,$CQ$84))</f>
        <v>750</v>
      </c>
      <c r="CF97" s="20" t="s">
        <v>229</v>
      </c>
    </row>
    <row r="98" spans="2:84" ht="15" hidden="1" customHeight="1" outlineLevel="2" x14ac:dyDescent="0.25">
      <c r="B98" s="26" t="s">
        <v>230</v>
      </c>
      <c r="BY98" s="6"/>
      <c r="BZ98" s="6"/>
      <c r="CA98" s="55">
        <v>0</v>
      </c>
      <c r="CB98" s="55">
        <v>3</v>
      </c>
      <c r="CC98" s="56">
        <f>CB98</f>
        <v>3</v>
      </c>
      <c r="CD98" s="56">
        <f>CC98</f>
        <v>3</v>
      </c>
      <c r="CE98" s="56">
        <f>CD98</f>
        <v>3</v>
      </c>
      <c r="CF98" s="6"/>
    </row>
    <row r="99" spans="2:84" ht="15" hidden="1" customHeight="1" outlineLevel="2" x14ac:dyDescent="0.25">
      <c r="B99" s="26" t="s">
        <v>231</v>
      </c>
      <c r="BY99" s="6"/>
      <c r="BZ99" s="6"/>
      <c r="CA99" s="52">
        <v>0</v>
      </c>
      <c r="CB99" s="37">
        <f>IFERROR(CB97/CB98,0)</f>
        <v>0</v>
      </c>
      <c r="CC99" s="37">
        <f>IFERROR(CC97/CC98,0)</f>
        <v>166.66666666666666</v>
      </c>
      <c r="CD99" s="37">
        <f>IFERROR(CD97/CD98,0)</f>
        <v>250</v>
      </c>
      <c r="CE99" s="37">
        <f>IFERROR(CE97/CE98,0)</f>
        <v>250</v>
      </c>
      <c r="CF99" s="6"/>
    </row>
    <row r="100" spans="2:84" ht="15" hidden="1" customHeight="1" outlineLevel="2" x14ac:dyDescent="0.25">
      <c r="B100" s="26" t="s">
        <v>232</v>
      </c>
      <c r="BY100" s="6"/>
      <c r="BZ100" s="6"/>
      <c r="CA100" s="49">
        <v>0</v>
      </c>
      <c r="CB100" s="49">
        <v>0.05</v>
      </c>
      <c r="CC100" s="25">
        <f>CB100</f>
        <v>0.05</v>
      </c>
      <c r="CD100" s="25">
        <f>CC100</f>
        <v>0.05</v>
      </c>
      <c r="CE100" s="25">
        <f>CD100</f>
        <v>0.05</v>
      </c>
      <c r="CF100" s="6"/>
    </row>
    <row r="101" spans="2:84" ht="15" hidden="1" customHeight="1" outlineLevel="2" x14ac:dyDescent="0.25">
      <c r="B101" s="26" t="s">
        <v>233</v>
      </c>
      <c r="BY101" s="6"/>
      <c r="BZ101" s="6"/>
      <c r="CA101" s="52">
        <v>0</v>
      </c>
      <c r="CB101" s="37">
        <f>CA101*(1+CB100)+CB99</f>
        <v>0</v>
      </c>
      <c r="CC101" s="37">
        <f>CB101*(1+CC100)+CC99</f>
        <v>166.66666666666666</v>
      </c>
      <c r="CD101" s="37">
        <f>CC101*(1+CD100)+CD99</f>
        <v>425</v>
      </c>
      <c r="CE101" s="37">
        <f>CD101*(1+CE100)+CE99</f>
        <v>696.25</v>
      </c>
      <c r="CF101" s="6"/>
    </row>
    <row r="102" spans="2:84" ht="15" hidden="1" customHeight="1" outlineLevel="2" x14ac:dyDescent="0.25">
      <c r="B102" s="17" t="s">
        <v>234</v>
      </c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  <c r="AU102" s="32"/>
      <c r="AV102" s="32"/>
      <c r="AW102" s="32"/>
      <c r="AX102" s="32"/>
      <c r="AY102" s="32"/>
      <c r="AZ102" s="32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2"/>
      <c r="BP102" s="32"/>
      <c r="BQ102" s="32"/>
      <c r="BR102" s="32"/>
      <c r="BS102" s="32"/>
      <c r="BT102" s="32"/>
      <c r="BU102" s="32"/>
      <c r="BV102" s="32"/>
      <c r="BW102" s="32"/>
      <c r="BX102" s="32"/>
      <c r="BY102" s="57"/>
      <c r="BZ102" s="57"/>
      <c r="CA102" s="58">
        <v>0</v>
      </c>
      <c r="CB102" s="34">
        <f>CA101*(1+CB100)+0.5*CB99</f>
        <v>0</v>
      </c>
      <c r="CC102" s="34">
        <f>CB101*(1+CC100)+0.5*CC99</f>
        <v>83.333333333333329</v>
      </c>
      <c r="CD102" s="34">
        <f>CC101*(1+CD100)+0.5*CD99</f>
        <v>300</v>
      </c>
      <c r="CE102" s="34">
        <f>CD101*(1+CE100)+0.5*CE99</f>
        <v>571.25</v>
      </c>
      <c r="CF102" s="20" t="s">
        <v>235</v>
      </c>
    </row>
    <row r="103" spans="2:84" ht="15" hidden="1" customHeight="1" outlineLevel="2" x14ac:dyDescent="0.25">
      <c r="B103" s="26" t="s">
        <v>236</v>
      </c>
      <c r="BY103" s="6"/>
      <c r="BZ103" s="6"/>
      <c r="CA103" s="49">
        <v>0</v>
      </c>
      <c r="CB103" s="49">
        <v>0.25</v>
      </c>
      <c r="CC103" s="25">
        <f>CB103</f>
        <v>0.25</v>
      </c>
      <c r="CD103" s="25">
        <f>CC103</f>
        <v>0.25</v>
      </c>
      <c r="CE103" s="25">
        <f>CD103</f>
        <v>0.25</v>
      </c>
      <c r="CF103" s="6"/>
    </row>
    <row r="104" spans="2:84" ht="15" hidden="1" customHeight="1" outlineLevel="2" x14ac:dyDescent="0.25">
      <c r="B104" s="26" t="s">
        <v>237</v>
      </c>
      <c r="BY104" s="6"/>
      <c r="BZ104" s="6"/>
      <c r="CA104" s="52">
        <v>0</v>
      </c>
      <c r="CB104" s="37">
        <f>CB102*CB103</f>
        <v>0</v>
      </c>
      <c r="CC104" s="37">
        <f>CC102*CC103</f>
        <v>20.833333333333332</v>
      </c>
      <c r="CD104" s="37">
        <f>CD102*CD103</f>
        <v>75</v>
      </c>
      <c r="CE104" s="37">
        <f>CE102*CE103</f>
        <v>142.8125</v>
      </c>
      <c r="CF104" s="6"/>
    </row>
    <row r="105" spans="2:84" ht="15" hidden="1" customHeight="1" outlineLevel="2" x14ac:dyDescent="0.25">
      <c r="B105" s="26" t="s">
        <v>238</v>
      </c>
      <c r="BY105" s="6"/>
      <c r="BZ105" s="6"/>
      <c r="CA105" s="49">
        <v>0</v>
      </c>
      <c r="CB105" s="49">
        <v>0.12</v>
      </c>
      <c r="CC105" s="25">
        <f>CB105</f>
        <v>0.12</v>
      </c>
      <c r="CD105" s="25">
        <f>CC105</f>
        <v>0.12</v>
      </c>
      <c r="CE105" s="25">
        <f>CD105</f>
        <v>0.12</v>
      </c>
      <c r="CF105" s="6"/>
    </row>
    <row r="106" spans="2:84" ht="15" hidden="1" customHeight="1" outlineLevel="2" x14ac:dyDescent="0.25">
      <c r="B106" s="26" t="s">
        <v>239</v>
      </c>
      <c r="BY106" s="6"/>
      <c r="BZ106" s="6"/>
      <c r="CA106" s="52">
        <v>0</v>
      </c>
      <c r="CB106" s="37">
        <f>CB102*CB105</f>
        <v>0</v>
      </c>
      <c r="CC106" s="37">
        <f>CC102*CC105</f>
        <v>9.9999999999999982</v>
      </c>
      <c r="CD106" s="37">
        <f>CD102*CD105</f>
        <v>36</v>
      </c>
      <c r="CE106" s="37">
        <f>CE102*CE105</f>
        <v>68.55</v>
      </c>
      <c r="CF106" s="6"/>
    </row>
    <row r="107" spans="2:84" ht="15" hidden="1" customHeight="1" outlineLevel="2" x14ac:dyDescent="0.25">
      <c r="B107" s="26" t="s">
        <v>240</v>
      </c>
      <c r="BY107" s="6"/>
      <c r="BZ107" s="6"/>
      <c r="CA107" s="49">
        <v>0</v>
      </c>
      <c r="CB107" s="49">
        <v>0.55000000000000004</v>
      </c>
      <c r="CC107" s="25">
        <f t="shared" ref="CC107:CE109" si="113">CB107</f>
        <v>0.55000000000000004</v>
      </c>
      <c r="CD107" s="25">
        <f t="shared" si="113"/>
        <v>0.55000000000000004</v>
      </c>
      <c r="CE107" s="25">
        <f t="shared" si="113"/>
        <v>0.55000000000000004</v>
      </c>
      <c r="CF107" s="20" t="s">
        <v>241</v>
      </c>
    </row>
    <row r="108" spans="2:84" ht="15" hidden="1" customHeight="1" outlineLevel="2" x14ac:dyDescent="0.25">
      <c r="B108" s="26" t="s">
        <v>242</v>
      </c>
      <c r="BY108" s="6"/>
      <c r="BZ108" s="6"/>
      <c r="CA108" s="49">
        <v>0</v>
      </c>
      <c r="CB108" s="49">
        <v>0.1</v>
      </c>
      <c r="CC108" s="25">
        <f t="shared" si="113"/>
        <v>0.1</v>
      </c>
      <c r="CD108" s="25">
        <f t="shared" si="113"/>
        <v>0.1</v>
      </c>
      <c r="CE108" s="25">
        <f t="shared" si="113"/>
        <v>0.1</v>
      </c>
      <c r="CF108" s="6"/>
    </row>
    <row r="109" spans="2:84" ht="15" hidden="1" customHeight="1" outlineLevel="2" x14ac:dyDescent="0.25">
      <c r="B109" s="26" t="s">
        <v>243</v>
      </c>
      <c r="BY109" s="6"/>
      <c r="BZ109" s="6"/>
      <c r="CA109" s="50">
        <v>0</v>
      </c>
      <c r="CB109" s="50">
        <v>15</v>
      </c>
      <c r="CC109" s="51">
        <f t="shared" si="113"/>
        <v>15</v>
      </c>
      <c r="CD109" s="51">
        <f t="shared" si="113"/>
        <v>15</v>
      </c>
      <c r="CE109" s="51">
        <f t="shared" si="113"/>
        <v>15</v>
      </c>
      <c r="CF109" s="6"/>
    </row>
    <row r="110" spans="2:84" ht="15" hidden="1" customHeight="1" outlineLevel="2" x14ac:dyDescent="0.25">
      <c r="B110" s="26" t="s">
        <v>244</v>
      </c>
      <c r="BY110" s="6"/>
      <c r="BZ110" s="6"/>
      <c r="CA110" s="52">
        <v>0</v>
      </c>
      <c r="CB110" s="37">
        <f>CA110+CB97*CB108</f>
        <v>0</v>
      </c>
      <c r="CC110" s="37">
        <f>CB110+CC97*CC108</f>
        <v>50</v>
      </c>
      <c r="CD110" s="37">
        <f>CC110+CD97*CD108</f>
        <v>125</v>
      </c>
      <c r="CE110" s="37">
        <f>CD110+CE97*CE108</f>
        <v>200</v>
      </c>
      <c r="CF110" s="6"/>
    </row>
    <row r="111" spans="2:84" ht="15" hidden="1" customHeight="1" outlineLevel="2" x14ac:dyDescent="0.25">
      <c r="B111" s="26" t="s">
        <v>245</v>
      </c>
      <c r="BY111" s="6"/>
      <c r="BZ111" s="6"/>
      <c r="CA111" s="52">
        <v>0</v>
      </c>
      <c r="CB111" s="37">
        <f>(CA110+0.5*CB97*CB108)/CB109</f>
        <v>0</v>
      </c>
      <c r="CC111" s="37">
        <f>(CB110+0.5*CC97*CC108)/CC109</f>
        <v>1.6666666666666667</v>
      </c>
      <c r="CD111" s="37">
        <f>(CC110+0.5*CD97*CD108)/CD109</f>
        <v>5.833333333333333</v>
      </c>
      <c r="CE111" s="37">
        <f>(CD110+0.5*CE97*CE108)/CE109</f>
        <v>10.833333333333334</v>
      </c>
      <c r="CF111" s="6"/>
    </row>
    <row r="112" spans="2:84" ht="15" hidden="1" customHeight="1" outlineLevel="1" x14ac:dyDescent="0.25"/>
    <row r="113" spans="2:89" ht="15" hidden="1" customHeight="1" outlineLevel="2" x14ac:dyDescent="0.25">
      <c r="B113" s="15" t="s">
        <v>246</v>
      </c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5"/>
      <c r="BY113" s="15"/>
      <c r="BZ113" s="15"/>
      <c r="CA113" s="15"/>
      <c r="CB113" s="15"/>
      <c r="CC113" s="15"/>
      <c r="CD113" s="15"/>
      <c r="CE113" s="15"/>
      <c r="CF113" s="16" t="s">
        <v>247</v>
      </c>
    </row>
    <row r="114" spans="2:89" ht="15" hidden="1" customHeight="1" outlineLevel="2" x14ac:dyDescent="0.25">
      <c r="B114" s="59" t="s">
        <v>248</v>
      </c>
      <c r="C114" s="60">
        <f t="shared" ref="C114:AH114" si="114">N(C16)+N(C34)+N(C55)+N(C59)+N(C74)+N(C102)+N(C91)+N(C93)</f>
        <v>2206.4</v>
      </c>
      <c r="D114" s="60">
        <f t="shared" si="114"/>
        <v>2207.1</v>
      </c>
      <c r="E114" s="60">
        <f t="shared" si="114"/>
        <v>2120.1</v>
      </c>
      <c r="F114" s="60">
        <f t="shared" si="114"/>
        <v>1702.6000000000001</v>
      </c>
      <c r="G114" s="60">
        <f t="shared" si="114"/>
        <v>1782.9</v>
      </c>
      <c r="H114" s="60">
        <f t="shared" si="114"/>
        <v>1713.9</v>
      </c>
      <c r="I114" s="60">
        <f t="shared" si="114"/>
        <v>2037.6000000000001</v>
      </c>
      <c r="J114" s="60">
        <f t="shared" si="114"/>
        <v>385</v>
      </c>
      <c r="K114" s="60">
        <f t="shared" si="114"/>
        <v>562.70000000000005</v>
      </c>
      <c r="L114" s="60">
        <f t="shared" si="114"/>
        <v>665.3</v>
      </c>
      <c r="M114" s="60">
        <f t="shared" si="114"/>
        <v>545</v>
      </c>
      <c r="N114" s="60">
        <f t="shared" si="114"/>
        <v>2155.5</v>
      </c>
      <c r="O114" s="60">
        <f t="shared" si="114"/>
        <v>428.69999999999993</v>
      </c>
      <c r="P114" s="60">
        <f t="shared" si="114"/>
        <v>669.19999999999993</v>
      </c>
      <c r="Q114" s="60">
        <f t="shared" si="114"/>
        <v>1003.7</v>
      </c>
      <c r="R114" s="60">
        <f t="shared" si="114"/>
        <v>856.3</v>
      </c>
      <c r="S114" s="60">
        <f t="shared" si="114"/>
        <v>2958</v>
      </c>
      <c r="T114" s="60">
        <f t="shared" si="114"/>
        <v>691.39999999999986</v>
      </c>
      <c r="U114" s="60">
        <f t="shared" si="114"/>
        <v>921.40000000000009</v>
      </c>
      <c r="V114" s="60">
        <f t="shared" si="114"/>
        <v>1082.2</v>
      </c>
      <c r="W114" s="60">
        <f t="shared" si="114"/>
        <v>844.59999999999991</v>
      </c>
      <c r="X114" s="60">
        <f t="shared" si="114"/>
        <v>3539.6000000000004</v>
      </c>
      <c r="Y114" s="60">
        <f t="shared" si="114"/>
        <v>788.8</v>
      </c>
      <c r="Z114" s="60">
        <f t="shared" si="114"/>
        <v>977.29999999999984</v>
      </c>
      <c r="AA114" s="60">
        <f t="shared" si="114"/>
        <v>1103.8999999999999</v>
      </c>
      <c r="AB114" s="60">
        <f t="shared" si="114"/>
        <v>948.8</v>
      </c>
      <c r="AC114" s="60">
        <f t="shared" si="114"/>
        <v>3818.8</v>
      </c>
      <c r="AD114" s="60">
        <f t="shared" si="114"/>
        <v>843.9</v>
      </c>
      <c r="AE114" s="60">
        <f t="shared" si="114"/>
        <v>1063.5</v>
      </c>
      <c r="AF114" s="60">
        <f t="shared" si="114"/>
        <v>1087.6999999999998</v>
      </c>
      <c r="AG114" s="60">
        <f t="shared" si="114"/>
        <v>970.50000000000011</v>
      </c>
      <c r="AH114" s="60">
        <f t="shared" si="114"/>
        <v>3965.5999999999995</v>
      </c>
      <c r="AI114" s="60">
        <f t="shared" ref="AI114:BN114" si="115">N(AI16)+N(AI34)+N(AI55)+N(AI59)+N(AI74)+N(AI102)+N(AI91)+N(AI93)</f>
        <v>801.99999999999989</v>
      </c>
      <c r="AJ114" s="60">
        <f t="shared" si="115"/>
        <v>1202.4029999999998</v>
      </c>
      <c r="AK114" s="60">
        <f t="shared" si="115"/>
        <v>1219.6400000000001</v>
      </c>
      <c r="AL114" s="60">
        <f t="shared" si="115"/>
        <v>1020.218</v>
      </c>
      <c r="AM114" s="60">
        <f t="shared" si="115"/>
        <v>4244.2649999999994</v>
      </c>
      <c r="AN114" s="60">
        <f t="shared" si="115"/>
        <v>938.95499999999993</v>
      </c>
      <c r="AO114" s="60">
        <f t="shared" si="115"/>
        <v>1279.4680000000001</v>
      </c>
      <c r="AP114" s="60">
        <f t="shared" si="115"/>
        <v>1420.2459999999999</v>
      </c>
      <c r="AQ114" s="60">
        <f t="shared" si="115"/>
        <v>1100.43</v>
      </c>
      <c r="AR114" s="60">
        <f t="shared" si="115"/>
        <v>4739.098</v>
      </c>
      <c r="AS114" s="60">
        <f t="shared" si="115"/>
        <v>958.19999999999993</v>
      </c>
      <c r="AT114" s="60">
        <f t="shared" si="115"/>
        <v>1270.5999999999999</v>
      </c>
      <c r="AU114" s="60">
        <f t="shared" si="115"/>
        <v>1321.4</v>
      </c>
      <c r="AV114" s="60">
        <f t="shared" si="115"/>
        <v>1179.5999999999999</v>
      </c>
      <c r="AW114" s="60">
        <f t="shared" si="115"/>
        <v>4729.9000000000005</v>
      </c>
      <c r="AX114" s="60">
        <f t="shared" si="115"/>
        <v>982.4</v>
      </c>
      <c r="AY114" s="60">
        <f t="shared" si="115"/>
        <v>1377.8999999999999</v>
      </c>
      <c r="AZ114" s="60">
        <f t="shared" si="115"/>
        <v>1557.3</v>
      </c>
      <c r="BA114" s="60">
        <f t="shared" si="115"/>
        <v>1496.3999999999999</v>
      </c>
      <c r="BB114" s="60">
        <f t="shared" si="115"/>
        <v>5414</v>
      </c>
      <c r="BC114" s="60">
        <f t="shared" si="115"/>
        <v>1230.8</v>
      </c>
      <c r="BD114" s="60">
        <f t="shared" si="115"/>
        <v>1641.7</v>
      </c>
      <c r="BE114" s="60">
        <f t="shared" si="115"/>
        <v>1811.7000000000003</v>
      </c>
      <c r="BF114" s="60">
        <f t="shared" si="115"/>
        <v>1476.5</v>
      </c>
      <c r="BG114" s="60">
        <f t="shared" si="115"/>
        <v>6160.7</v>
      </c>
      <c r="BH114" s="60">
        <f t="shared" si="115"/>
        <v>1354.1000000000001</v>
      </c>
      <c r="BI114" s="60">
        <f t="shared" si="115"/>
        <v>1820.8000000000002</v>
      </c>
      <c r="BJ114" s="60">
        <f t="shared" si="115"/>
        <v>1994.1</v>
      </c>
      <c r="BK114" s="60">
        <f t="shared" si="115"/>
        <v>1608.2</v>
      </c>
      <c r="BL114" s="60">
        <f t="shared" si="115"/>
        <v>6777.2</v>
      </c>
      <c r="BM114" s="60">
        <f t="shared" si="115"/>
        <v>1251</v>
      </c>
      <c r="BN114" s="60">
        <f t="shared" si="115"/>
        <v>1764</v>
      </c>
      <c r="BO114" s="60">
        <f t="shared" ref="BO114:CE114" si="116">N(BO16)+N(BO34)+N(BO55)+N(BO59)+N(BO74)+N(BO102)+N(BO91)+N(BO93)</f>
        <v>1889</v>
      </c>
      <c r="BP114" s="60">
        <f t="shared" si="116"/>
        <v>1632</v>
      </c>
      <c r="BQ114" s="60">
        <f t="shared" si="116"/>
        <v>6536</v>
      </c>
      <c r="BR114" s="60">
        <f t="shared" si="116"/>
        <v>1162</v>
      </c>
      <c r="BS114" s="60">
        <f t="shared" si="116"/>
        <v>1609</v>
      </c>
      <c r="BT114" s="60">
        <f t="shared" si="116"/>
        <v>1846</v>
      </c>
      <c r="BU114" s="60">
        <f t="shared" si="116"/>
        <v>1534</v>
      </c>
      <c r="BV114" s="60">
        <f t="shared" si="116"/>
        <v>6150</v>
      </c>
      <c r="BW114" s="60">
        <f t="shared" si="116"/>
        <v>1362</v>
      </c>
      <c r="BX114" s="60">
        <f t="shared" si="116"/>
        <v>1947</v>
      </c>
      <c r="BY114" s="60">
        <f t="shared" si="116"/>
        <v>2386.7802418679007</v>
      </c>
      <c r="BZ114" s="60">
        <f t="shared" si="116"/>
        <v>2273.6784604746672</v>
      </c>
      <c r="CA114" s="60">
        <f t="shared" si="116"/>
        <v>7969.4587023425674</v>
      </c>
      <c r="CB114" s="60">
        <f t="shared" si="116"/>
        <v>9816.8190469065903</v>
      </c>
      <c r="CC114" s="60">
        <f t="shared" si="116"/>
        <v>10602.490072574432</v>
      </c>
      <c r="CD114" s="60">
        <f t="shared" si="116"/>
        <v>11493.628616342534</v>
      </c>
      <c r="CE114" s="60">
        <f t="shared" si="116"/>
        <v>12485.771844491006</v>
      </c>
      <c r="CF114" s="20" t="s">
        <v>249</v>
      </c>
      <c r="CH114" s="21">
        <f>IFERROR((CE114/BV114)^(1/5)-1,"n/m")</f>
        <v>0.15214743096056571</v>
      </c>
      <c r="CI114" s="21">
        <f>IFERROR((BV114/AW114)^(1/5)-1,"n/m")</f>
        <v>5.3912684057572546E-2</v>
      </c>
      <c r="CJ114" s="21">
        <f>IFERROR((BV114/X114)^(1/10)-1,"n/m")</f>
        <v>5.6798268238855476E-2</v>
      </c>
      <c r="CK114" s="21">
        <f>IFERROR((BV114/C114)^(1/19)-1,"n/m")</f>
        <v>5.5434043084966245E-2</v>
      </c>
    </row>
    <row r="115" spans="2:89" ht="15" hidden="1" customHeight="1" outlineLevel="2" x14ac:dyDescent="0.25">
      <c r="B115" s="59" t="s">
        <v>250</v>
      </c>
      <c r="C115" s="60">
        <f t="shared" ref="C115:AH115" si="117">N(C18)+N(C36)+N(C62)+N(C80)+N(C104)+N(C90)+N(C92)+N(C94)</f>
        <v>522.5</v>
      </c>
      <c r="D115" s="60">
        <f t="shared" si="117"/>
        <v>571</v>
      </c>
      <c r="E115" s="60">
        <f t="shared" si="117"/>
        <v>470.4</v>
      </c>
      <c r="F115" s="60">
        <f t="shared" si="117"/>
        <v>337.7</v>
      </c>
      <c r="G115" s="60">
        <f t="shared" si="117"/>
        <v>322</v>
      </c>
      <c r="H115" s="60">
        <f t="shared" si="117"/>
        <v>302</v>
      </c>
      <c r="I115" s="60">
        <f t="shared" si="117"/>
        <v>325.90000000000003</v>
      </c>
      <c r="J115" s="60">
        <f t="shared" si="117"/>
        <v>12.600000000000001</v>
      </c>
      <c r="K115" s="60">
        <f t="shared" si="117"/>
        <v>106.8</v>
      </c>
      <c r="L115" s="60">
        <f t="shared" si="117"/>
        <v>143.10000000000002</v>
      </c>
      <c r="M115" s="60">
        <f t="shared" si="117"/>
        <v>101</v>
      </c>
      <c r="N115" s="60">
        <f t="shared" si="117"/>
        <v>364.00000000000006</v>
      </c>
      <c r="O115" s="60">
        <f t="shared" si="117"/>
        <v>25.799999999999997</v>
      </c>
      <c r="P115" s="60">
        <f t="shared" si="117"/>
        <v>135.6</v>
      </c>
      <c r="Q115" s="60">
        <f t="shared" si="117"/>
        <v>195.59999999999997</v>
      </c>
      <c r="R115" s="60">
        <f t="shared" si="117"/>
        <v>165.3</v>
      </c>
      <c r="S115" s="60">
        <f t="shared" si="117"/>
        <v>522.40000000000009</v>
      </c>
      <c r="T115" s="60">
        <f t="shared" si="117"/>
        <v>74.300000000000011</v>
      </c>
      <c r="U115" s="60">
        <f t="shared" si="117"/>
        <v>200.19999999999996</v>
      </c>
      <c r="V115" s="60">
        <f t="shared" si="117"/>
        <v>262.5</v>
      </c>
      <c r="W115" s="60">
        <f t="shared" si="117"/>
        <v>184.8</v>
      </c>
      <c r="X115" s="60">
        <f t="shared" si="117"/>
        <v>721.8</v>
      </c>
      <c r="Y115" s="60">
        <f t="shared" si="117"/>
        <v>144.6</v>
      </c>
      <c r="Z115" s="60">
        <f t="shared" si="117"/>
        <v>246.7</v>
      </c>
      <c r="AA115" s="60">
        <f t="shared" si="117"/>
        <v>292.60000000000002</v>
      </c>
      <c r="AB115" s="60">
        <f t="shared" si="117"/>
        <v>225.10000000000002</v>
      </c>
      <c r="AC115" s="60">
        <f t="shared" si="117"/>
        <v>908.99999999999989</v>
      </c>
      <c r="AD115" s="60">
        <f t="shared" si="117"/>
        <v>147.1</v>
      </c>
      <c r="AE115" s="60">
        <f t="shared" si="117"/>
        <v>274.10000000000002</v>
      </c>
      <c r="AF115" s="60">
        <f t="shared" si="117"/>
        <v>291.7</v>
      </c>
      <c r="AG115" s="60">
        <f t="shared" si="117"/>
        <v>259.10000000000002</v>
      </c>
      <c r="AH115" s="60">
        <f t="shared" si="117"/>
        <v>971.89999999999986</v>
      </c>
      <c r="AI115" s="60">
        <f t="shared" ref="AI115:BN115" si="118">N(AI18)+N(AI36)+N(AI62)+N(AI80)+N(AI104)+N(AI90)+N(AI92)+N(AI94)</f>
        <v>110.39999999999999</v>
      </c>
      <c r="AJ115" s="60">
        <f t="shared" si="118"/>
        <v>315.91699999999997</v>
      </c>
      <c r="AK115" s="60">
        <f t="shared" si="118"/>
        <v>312.98399999999998</v>
      </c>
      <c r="AL115" s="60">
        <f t="shared" si="118"/>
        <v>227.28400000000005</v>
      </c>
      <c r="AM115" s="60">
        <f t="shared" si="118"/>
        <v>966.57699999999988</v>
      </c>
      <c r="AN115" s="60">
        <f t="shared" si="118"/>
        <v>142.90700000000001</v>
      </c>
      <c r="AO115" s="60">
        <f t="shared" si="118"/>
        <v>356.86699999999996</v>
      </c>
      <c r="AP115" s="60">
        <f t="shared" si="118"/>
        <v>420.64500000000004</v>
      </c>
      <c r="AQ115" s="60">
        <f t="shared" si="118"/>
        <v>258.589</v>
      </c>
      <c r="AR115" s="60">
        <f t="shared" si="118"/>
        <v>1179.0069999999998</v>
      </c>
      <c r="AS115" s="60">
        <f t="shared" si="118"/>
        <v>142.4</v>
      </c>
      <c r="AT115" s="60">
        <f t="shared" si="118"/>
        <v>380.49999999999994</v>
      </c>
      <c r="AU115" s="60">
        <f t="shared" si="118"/>
        <v>404.5</v>
      </c>
      <c r="AV115" s="60">
        <f t="shared" si="118"/>
        <v>325.39999999999998</v>
      </c>
      <c r="AW115" s="60">
        <f t="shared" si="118"/>
        <v>1252.8</v>
      </c>
      <c r="AX115" s="60">
        <f t="shared" si="118"/>
        <v>174.70000000000002</v>
      </c>
      <c r="AY115" s="60">
        <f t="shared" si="118"/>
        <v>385.09999999999997</v>
      </c>
      <c r="AZ115" s="60">
        <f t="shared" si="118"/>
        <v>441.9</v>
      </c>
      <c r="BA115" s="60">
        <f t="shared" si="118"/>
        <v>346.7</v>
      </c>
      <c r="BB115" s="60">
        <f t="shared" si="118"/>
        <v>1348.4</v>
      </c>
      <c r="BC115" s="60">
        <f t="shared" si="118"/>
        <v>156.1</v>
      </c>
      <c r="BD115" s="60">
        <f t="shared" si="118"/>
        <v>425.20000000000005</v>
      </c>
      <c r="BE115" s="60">
        <f t="shared" si="118"/>
        <v>487.80000000000007</v>
      </c>
      <c r="BF115" s="60">
        <f t="shared" si="118"/>
        <v>354.20000000000005</v>
      </c>
      <c r="BG115" s="60">
        <f t="shared" si="118"/>
        <v>1423.3</v>
      </c>
      <c r="BH115" s="60">
        <f t="shared" si="118"/>
        <v>302.79999999999995</v>
      </c>
      <c r="BI115" s="60">
        <f t="shared" si="118"/>
        <v>560.4</v>
      </c>
      <c r="BJ115" s="60">
        <f t="shared" si="118"/>
        <v>676</v>
      </c>
      <c r="BK115" s="60">
        <f t="shared" si="118"/>
        <v>483.5</v>
      </c>
      <c r="BL115" s="60">
        <f t="shared" si="118"/>
        <v>2022.5999999999997</v>
      </c>
      <c r="BM115" s="60">
        <f t="shared" si="118"/>
        <v>272</v>
      </c>
      <c r="BN115" s="60">
        <f t="shared" si="118"/>
        <v>517</v>
      </c>
      <c r="BO115" s="60">
        <f t="shared" ref="BO115:CE115" si="119">N(BO18)+N(BO36)+N(BO62)+N(BO80)+N(BO104)+N(BO90)+N(BO92)+N(BO94)</f>
        <v>599</v>
      </c>
      <c r="BP115" s="60">
        <f t="shared" si="119"/>
        <v>489</v>
      </c>
      <c r="BQ115" s="60">
        <f t="shared" si="119"/>
        <v>1878</v>
      </c>
      <c r="BR115" s="60">
        <f t="shared" si="119"/>
        <v>315</v>
      </c>
      <c r="BS115" s="60">
        <f t="shared" si="119"/>
        <v>496</v>
      </c>
      <c r="BT115" s="60">
        <f t="shared" si="119"/>
        <v>611</v>
      </c>
      <c r="BU115" s="60">
        <f t="shared" si="119"/>
        <v>468</v>
      </c>
      <c r="BV115" s="60">
        <f t="shared" si="119"/>
        <v>1889</v>
      </c>
      <c r="BW115" s="60">
        <f t="shared" si="119"/>
        <v>310</v>
      </c>
      <c r="BX115" s="60">
        <f t="shared" si="119"/>
        <v>495</v>
      </c>
      <c r="BY115" s="60">
        <f t="shared" si="119"/>
        <v>713.8639002616701</v>
      </c>
      <c r="BZ115" s="60">
        <f t="shared" si="119"/>
        <v>611.96148571248705</v>
      </c>
      <c r="CA115" s="60">
        <f t="shared" si="119"/>
        <v>2130.8253859741571</v>
      </c>
      <c r="CB115" s="60">
        <f t="shared" si="119"/>
        <v>2951.438028740462</v>
      </c>
      <c r="CC115" s="60">
        <f t="shared" si="119"/>
        <v>3456.2212887016308</v>
      </c>
      <c r="CD115" s="60">
        <f t="shared" si="119"/>
        <v>3930.0359099389502</v>
      </c>
      <c r="CE115" s="60">
        <f t="shared" si="119"/>
        <v>4437.9014454378557</v>
      </c>
      <c r="CF115" s="6"/>
      <c r="CH115" s="21">
        <f>IFERROR((CE115/BV115)^(1/5)-1,"n/m")</f>
        <v>0.18628527344464696</v>
      </c>
      <c r="CI115" s="21">
        <f>IFERROR((BV115/AW115)^(1/5)-1,"n/m")</f>
        <v>8.560051990967521E-2</v>
      </c>
      <c r="CJ115" s="21">
        <f>IFERROR((BV115/X115)^(1/10)-1,"n/m")</f>
        <v>0.10098526848595757</v>
      </c>
      <c r="CK115" s="21">
        <f>IFERROR((BV115/C115)^(1/19)-1,"n/m")</f>
        <v>6.9981053433339158E-2</v>
      </c>
    </row>
    <row r="116" spans="2:89" ht="15" hidden="1" customHeight="1" outlineLevel="2" x14ac:dyDescent="0.25">
      <c r="B116" s="26" t="s">
        <v>119</v>
      </c>
      <c r="C116" s="38">
        <f t="shared" ref="C116:AH116" si="120">IF(AND(ISNUMBER(C115),ISNUMBER(C114)),IFERROR(C115/C114,""),"")</f>
        <v>0.23681109499637418</v>
      </c>
      <c r="D116" s="38">
        <f t="shared" si="120"/>
        <v>0.25871052512346521</v>
      </c>
      <c r="E116" s="38">
        <f t="shared" si="120"/>
        <v>0.22187632658836848</v>
      </c>
      <c r="F116" s="38">
        <f t="shared" si="120"/>
        <v>0.19834370962058026</v>
      </c>
      <c r="G116" s="38">
        <f t="shared" si="120"/>
        <v>0.18060463290145268</v>
      </c>
      <c r="H116" s="38">
        <f t="shared" si="120"/>
        <v>0.17620631308711127</v>
      </c>
      <c r="I116" s="38">
        <f t="shared" si="120"/>
        <v>0.15994307027875934</v>
      </c>
      <c r="J116" s="38">
        <f t="shared" si="120"/>
        <v>3.272727272727273E-2</v>
      </c>
      <c r="K116" s="38">
        <f t="shared" si="120"/>
        <v>0.18979918251288427</v>
      </c>
      <c r="L116" s="38">
        <f t="shared" si="120"/>
        <v>0.21509093641966034</v>
      </c>
      <c r="M116" s="38">
        <f t="shared" si="120"/>
        <v>0.1853211009174312</v>
      </c>
      <c r="N116" s="38">
        <f t="shared" si="120"/>
        <v>0.16887033170958016</v>
      </c>
      <c r="O116" s="38">
        <f t="shared" si="120"/>
        <v>6.0181945416375088E-2</v>
      </c>
      <c r="P116" s="38">
        <f t="shared" si="120"/>
        <v>0.20263000597728634</v>
      </c>
      <c r="Q116" s="38">
        <f t="shared" si="120"/>
        <v>0.19487894789279661</v>
      </c>
      <c r="R116" s="38">
        <f t="shared" si="120"/>
        <v>0.19303982249211726</v>
      </c>
      <c r="S116" s="38">
        <f t="shared" si="120"/>
        <v>0.176605814739689</v>
      </c>
      <c r="T116" s="38">
        <f t="shared" si="120"/>
        <v>0.10746311831067404</v>
      </c>
      <c r="U116" s="38">
        <f t="shared" si="120"/>
        <v>0.21727805513349244</v>
      </c>
      <c r="V116" s="38">
        <f t="shared" si="120"/>
        <v>0.24256144890038808</v>
      </c>
      <c r="W116" s="38">
        <f t="shared" si="120"/>
        <v>0.21880179966848215</v>
      </c>
      <c r="X116" s="38">
        <f t="shared" si="120"/>
        <v>0.20392134704486378</v>
      </c>
      <c r="Y116" s="38">
        <f t="shared" si="120"/>
        <v>0.18331643002028397</v>
      </c>
      <c r="Z116" s="38">
        <f t="shared" si="120"/>
        <v>0.25243016473958868</v>
      </c>
      <c r="AA116" s="38">
        <f t="shared" si="120"/>
        <v>0.2650602409638555</v>
      </c>
      <c r="AB116" s="38">
        <f t="shared" si="120"/>
        <v>0.23724704890387863</v>
      </c>
      <c r="AC116" s="38">
        <f t="shared" si="120"/>
        <v>0.23803288991306165</v>
      </c>
      <c r="AD116" s="38">
        <f t="shared" si="120"/>
        <v>0.17430975234032467</v>
      </c>
      <c r="AE116" s="38">
        <f t="shared" si="120"/>
        <v>0.25773389750822756</v>
      </c>
      <c r="AF116" s="38">
        <f t="shared" si="120"/>
        <v>0.26818056449388622</v>
      </c>
      <c r="AG116" s="38">
        <f t="shared" si="120"/>
        <v>0.26697578567748581</v>
      </c>
      <c r="AH116" s="38">
        <f t="shared" si="120"/>
        <v>0.24508271131732903</v>
      </c>
      <c r="AI116" s="38">
        <f t="shared" ref="AI116:BN116" si="121">IF(AND(ISNUMBER(AI115),ISNUMBER(AI114)),IFERROR(AI115/AI114,""),"")</f>
        <v>0.13765586034912719</v>
      </c>
      <c r="AJ116" s="38">
        <f t="shared" si="121"/>
        <v>0.26273803375407417</v>
      </c>
      <c r="AK116" s="38">
        <f t="shared" si="121"/>
        <v>0.25661998622544352</v>
      </c>
      <c r="AL116" s="38">
        <f t="shared" si="121"/>
        <v>0.22277983725047004</v>
      </c>
      <c r="AM116" s="38">
        <f t="shared" si="121"/>
        <v>0.22773719360124781</v>
      </c>
      <c r="AN116" s="38">
        <f t="shared" si="121"/>
        <v>0.15219792215814393</v>
      </c>
      <c r="AO116" s="38">
        <f t="shared" si="121"/>
        <v>0.27891826915561774</v>
      </c>
      <c r="AP116" s="38">
        <f t="shared" si="121"/>
        <v>0.29617756360517833</v>
      </c>
      <c r="AQ116" s="38">
        <f t="shared" si="121"/>
        <v>0.23498904973510354</v>
      </c>
      <c r="AR116" s="38">
        <f t="shared" si="121"/>
        <v>0.24878299625793765</v>
      </c>
      <c r="AS116" s="38">
        <f t="shared" si="121"/>
        <v>0.14861198079732835</v>
      </c>
      <c r="AT116" s="38">
        <f t="shared" si="121"/>
        <v>0.2994648197701873</v>
      </c>
      <c r="AU116" s="38">
        <f t="shared" si="121"/>
        <v>0.30611472680490387</v>
      </c>
      <c r="AV116" s="38">
        <f t="shared" si="121"/>
        <v>0.27585622244828756</v>
      </c>
      <c r="AW116" s="38">
        <f t="shared" si="121"/>
        <v>0.26486817903126914</v>
      </c>
      <c r="AX116" s="38">
        <f t="shared" si="121"/>
        <v>0.1778298045602606</v>
      </c>
      <c r="AY116" s="38">
        <f t="shared" si="121"/>
        <v>0.27948327164525727</v>
      </c>
      <c r="AZ116" s="38">
        <f t="shared" si="121"/>
        <v>0.28376035445964171</v>
      </c>
      <c r="BA116" s="38">
        <f t="shared" si="121"/>
        <v>0.23168938786420745</v>
      </c>
      <c r="BB116" s="38">
        <f t="shared" si="121"/>
        <v>0.24905799778352422</v>
      </c>
      <c r="BC116" s="38">
        <f t="shared" si="121"/>
        <v>0.12682807929801754</v>
      </c>
      <c r="BD116" s="38">
        <f t="shared" si="121"/>
        <v>0.25899981726259369</v>
      </c>
      <c r="BE116" s="38">
        <f t="shared" si="121"/>
        <v>0.26924987580725285</v>
      </c>
      <c r="BF116" s="38">
        <f t="shared" si="121"/>
        <v>0.23989163562478838</v>
      </c>
      <c r="BG116" s="38">
        <f t="shared" si="121"/>
        <v>0.23102894151638612</v>
      </c>
      <c r="BH116" s="38">
        <f t="shared" si="121"/>
        <v>0.22361716269108628</v>
      </c>
      <c r="BI116" s="38">
        <f t="shared" si="121"/>
        <v>0.30777680140597535</v>
      </c>
      <c r="BJ116" s="38">
        <f t="shared" si="121"/>
        <v>0.33900005014793644</v>
      </c>
      <c r="BK116" s="38">
        <f t="shared" si="121"/>
        <v>0.30064668573560499</v>
      </c>
      <c r="BL116" s="38">
        <f t="shared" si="121"/>
        <v>0.29844183438588201</v>
      </c>
      <c r="BM116" s="38">
        <f t="shared" si="121"/>
        <v>0.21742605915267785</v>
      </c>
      <c r="BN116" s="38">
        <f t="shared" si="121"/>
        <v>0.29308390022675734</v>
      </c>
      <c r="BO116" s="38">
        <f t="shared" ref="BO116:BX116" si="122">IF(AND(ISNUMBER(BO115),ISNUMBER(BO114)),IFERROR(BO115/BO114,""),"")</f>
        <v>0.31709899417681314</v>
      </c>
      <c r="BP116" s="38">
        <f t="shared" si="122"/>
        <v>0.29963235294117646</v>
      </c>
      <c r="BQ116" s="38">
        <f t="shared" si="122"/>
        <v>0.28733170134638925</v>
      </c>
      <c r="BR116" s="38">
        <f t="shared" si="122"/>
        <v>0.27108433734939757</v>
      </c>
      <c r="BS116" s="38">
        <f t="shared" si="122"/>
        <v>0.30826600372902424</v>
      </c>
      <c r="BT116" s="38">
        <f t="shared" si="122"/>
        <v>0.33098591549295775</v>
      </c>
      <c r="BU116" s="38">
        <f t="shared" si="122"/>
        <v>0.30508474576271188</v>
      </c>
      <c r="BV116" s="38">
        <f t="shared" si="122"/>
        <v>0.30715447154471542</v>
      </c>
      <c r="BW116" s="38">
        <f t="shared" si="122"/>
        <v>0.22760646108663729</v>
      </c>
      <c r="BX116" s="38">
        <f t="shared" si="122"/>
        <v>0.25423728813559321</v>
      </c>
      <c r="BY116" s="25">
        <f t="shared" ref="BY116:CE116" si="123">IFERROR(BY115/BY114,"")</f>
        <v>0.29909075319938055</v>
      </c>
      <c r="BZ116" s="25">
        <f t="shared" si="123"/>
        <v>0.26915040818248775</v>
      </c>
      <c r="CA116" s="25">
        <f t="shared" si="123"/>
        <v>0.26737391654314185</v>
      </c>
      <c r="CB116" s="25">
        <f t="shared" si="123"/>
        <v>0.30065115946804571</v>
      </c>
      <c r="CC116" s="25">
        <f t="shared" si="123"/>
        <v>0.32598203488460442</v>
      </c>
      <c r="CD116" s="25">
        <f t="shared" si="123"/>
        <v>0.34193169460434103</v>
      </c>
      <c r="CE116" s="25">
        <f t="shared" si="123"/>
        <v>0.35543669231758024</v>
      </c>
      <c r="CF116" s="6"/>
      <c r="CH116" s="39">
        <f>IFERROR(AVERAGE(CA116,CB116,CC116,CD116,CE116),"n/m")</f>
        <v>0.31827509956354266</v>
      </c>
      <c r="CI116" s="39">
        <f>IFERROR(AVERAGE(BB116,BG116,BL116,BQ116,BV116),"n/m")</f>
        <v>0.27460298931537941</v>
      </c>
      <c r="CJ116" s="39">
        <f>IFERROR(AVERAGE(AC116,AH116,AM116,AR116,AW116,BB116,BG116,BL116,BQ116,BV116),"n/m")</f>
        <v>0.25975189166977425</v>
      </c>
      <c r="CK116" s="39">
        <f>IFERROR(AVERAGE(C116,D116,E116,F116,G116,H116,I116,N116,S116,X116,AC116,AH116,AM116,AR116,AW116,BB116,BG116,BL116,BQ116,BV116),"n/m")</f>
        <v>0.22897060413939929</v>
      </c>
    </row>
    <row r="117" spans="2:89" ht="15" hidden="1" customHeight="1" outlineLevel="2" x14ac:dyDescent="0.25">
      <c r="B117" s="23" t="s">
        <v>109</v>
      </c>
      <c r="D117" s="24">
        <f t="shared" ref="D117:I117" si="124">IF(AND(ISNUMBER(D114),ISNUMBER(C114)),IFERROR(D114/C114-1,""),"")</f>
        <v>3.1725888324873885E-4</v>
      </c>
      <c r="E117" s="24">
        <f t="shared" si="124"/>
        <v>-3.9418241130895759E-2</v>
      </c>
      <c r="F117" s="24">
        <f t="shared" si="124"/>
        <v>-0.19692467336446384</v>
      </c>
      <c r="G117" s="24">
        <f t="shared" si="124"/>
        <v>4.716316222248329E-2</v>
      </c>
      <c r="H117" s="24">
        <f t="shared" si="124"/>
        <v>-3.8700992764597042E-2</v>
      </c>
      <c r="I117" s="24">
        <f t="shared" si="124"/>
        <v>0.18886749518641688</v>
      </c>
      <c r="N117" s="24">
        <f t="shared" ref="N117:AS117" si="125">IF(AND(ISNUMBER(N114),ISNUMBER(I114)),IFERROR(N114/I114-1,""),"")</f>
        <v>5.7862190812720815E-2</v>
      </c>
      <c r="O117" s="24">
        <f t="shared" si="125"/>
        <v>0.11350649350649333</v>
      </c>
      <c r="P117" s="24">
        <f t="shared" si="125"/>
        <v>0.18926603874178038</v>
      </c>
      <c r="Q117" s="24">
        <f t="shared" si="125"/>
        <v>0.50864271757102086</v>
      </c>
      <c r="R117" s="24">
        <f t="shared" si="125"/>
        <v>0.5711926605504587</v>
      </c>
      <c r="S117" s="24">
        <f t="shared" si="125"/>
        <v>0.37230340988169797</v>
      </c>
      <c r="T117" s="24">
        <f t="shared" si="125"/>
        <v>0.61278283181712156</v>
      </c>
      <c r="U117" s="24">
        <f t="shared" si="125"/>
        <v>0.37686790197250475</v>
      </c>
      <c r="V117" s="24">
        <f t="shared" si="125"/>
        <v>7.821062070339746E-2</v>
      </c>
      <c r="W117" s="24">
        <f t="shared" si="125"/>
        <v>-1.3663435711783301E-2</v>
      </c>
      <c r="X117" s="24">
        <f t="shared" si="125"/>
        <v>0.1966193373901286</v>
      </c>
      <c r="Y117" s="24">
        <f t="shared" si="125"/>
        <v>0.14087358981776132</v>
      </c>
      <c r="Z117" s="24">
        <f t="shared" si="125"/>
        <v>6.0668547861948863E-2</v>
      </c>
      <c r="AA117" s="24">
        <f t="shared" si="125"/>
        <v>2.0051746442431906E-2</v>
      </c>
      <c r="AB117" s="24">
        <f t="shared" si="125"/>
        <v>0.12337201041913337</v>
      </c>
      <c r="AC117" s="24">
        <f t="shared" si="125"/>
        <v>7.8878969375070662E-2</v>
      </c>
      <c r="AD117" s="24">
        <f t="shared" si="125"/>
        <v>6.9852941176470562E-2</v>
      </c>
      <c r="AE117" s="24">
        <f t="shared" si="125"/>
        <v>8.8202189706333867E-2</v>
      </c>
      <c r="AF117" s="24">
        <f t="shared" si="125"/>
        <v>-1.4675242322674253E-2</v>
      </c>
      <c r="AG117" s="24">
        <f t="shared" si="125"/>
        <v>2.2870994940978218E-2</v>
      </c>
      <c r="AH117" s="24">
        <f t="shared" si="125"/>
        <v>3.8441395202681194E-2</v>
      </c>
      <c r="AI117" s="24">
        <f t="shared" si="125"/>
        <v>-4.9650432515701004E-2</v>
      </c>
      <c r="AJ117" s="24">
        <f t="shared" si="125"/>
        <v>0.13060930888575428</v>
      </c>
      <c r="AK117" s="24">
        <f t="shared" si="125"/>
        <v>0.12130182954858904</v>
      </c>
      <c r="AL117" s="24">
        <f t="shared" si="125"/>
        <v>5.122926326635735E-2</v>
      </c>
      <c r="AM117" s="24">
        <f t="shared" si="125"/>
        <v>7.0270576961872111E-2</v>
      </c>
      <c r="AN117" s="24">
        <f t="shared" si="125"/>
        <v>0.17076683291770589</v>
      </c>
      <c r="AO117" s="24">
        <f t="shared" si="125"/>
        <v>6.4092488125861546E-2</v>
      </c>
      <c r="AP117" s="24">
        <f t="shared" si="125"/>
        <v>0.1644796825292707</v>
      </c>
      <c r="AQ117" s="24">
        <f t="shared" si="125"/>
        <v>7.8622412072713921E-2</v>
      </c>
      <c r="AR117" s="24">
        <f t="shared" si="125"/>
        <v>0.11658862017333993</v>
      </c>
      <c r="AS117" s="24">
        <f t="shared" si="125"/>
        <v>2.0496189913254526E-2</v>
      </c>
      <c r="AT117" s="24">
        <f t="shared" ref="AT117:BX117" si="126">IF(AND(ISNUMBER(AT114),ISNUMBER(AO114)),IFERROR(AT114/AO114-1,""),"")</f>
        <v>-6.9310056992438751E-3</v>
      </c>
      <c r="AU117" s="24">
        <f t="shared" si="126"/>
        <v>-6.959780207090871E-2</v>
      </c>
      <c r="AV117" s="24">
        <f t="shared" si="126"/>
        <v>7.1944603473187652E-2</v>
      </c>
      <c r="AW117" s="24">
        <f t="shared" si="126"/>
        <v>-1.9408756687452344E-3</v>
      </c>
      <c r="AX117" s="24">
        <f t="shared" si="126"/>
        <v>2.5255687747860689E-2</v>
      </c>
      <c r="AY117" s="24">
        <f t="shared" si="126"/>
        <v>8.4448292145443027E-2</v>
      </c>
      <c r="AZ117" s="24">
        <f t="shared" si="126"/>
        <v>0.17852277887089429</v>
      </c>
      <c r="BA117" s="24">
        <f t="shared" si="126"/>
        <v>0.26856561546286883</v>
      </c>
      <c r="BB117" s="24">
        <f t="shared" si="126"/>
        <v>0.14463307892344424</v>
      </c>
      <c r="BC117" s="24">
        <f t="shared" si="126"/>
        <v>0.25285016286644946</v>
      </c>
      <c r="BD117" s="24">
        <f t="shared" si="126"/>
        <v>0.19145075840046455</v>
      </c>
      <c r="BE117" s="24">
        <f t="shared" si="126"/>
        <v>0.16335966095164722</v>
      </c>
      <c r="BF117" s="24">
        <f t="shared" si="126"/>
        <v>-1.3298583266506236E-2</v>
      </c>
      <c r="BG117" s="24">
        <f t="shared" si="126"/>
        <v>0.13792020687107498</v>
      </c>
      <c r="BH117" s="24">
        <f t="shared" si="126"/>
        <v>0.10017874553136186</v>
      </c>
      <c r="BI117" s="24">
        <f t="shared" si="126"/>
        <v>0.10909423158920628</v>
      </c>
      <c r="BJ117" s="24">
        <f t="shared" si="126"/>
        <v>0.10067892035105119</v>
      </c>
      <c r="BK117" s="24">
        <f t="shared" si="126"/>
        <v>8.9197426346088848E-2</v>
      </c>
      <c r="BL117" s="24">
        <f t="shared" si="126"/>
        <v>0.10006979726329801</v>
      </c>
      <c r="BM117" s="24">
        <f t="shared" si="126"/>
        <v>-7.6139133003471082E-2</v>
      </c>
      <c r="BN117" s="24">
        <f t="shared" si="126"/>
        <v>-3.1195079086116073E-2</v>
      </c>
      <c r="BO117" s="24">
        <f t="shared" si="126"/>
        <v>-5.2705481169449842E-2</v>
      </c>
      <c r="BP117" s="24">
        <f t="shared" si="126"/>
        <v>1.4799154334038001E-2</v>
      </c>
      <c r="BQ117" s="24">
        <f t="shared" si="126"/>
        <v>-3.5589919140648019E-2</v>
      </c>
      <c r="BR117" s="24">
        <f t="shared" si="126"/>
        <v>-7.1143085531574779E-2</v>
      </c>
      <c r="BS117" s="24">
        <f t="shared" si="126"/>
        <v>-8.7868480725623588E-2</v>
      </c>
      <c r="BT117" s="24">
        <f t="shared" si="126"/>
        <v>-2.2763366860772849E-2</v>
      </c>
      <c r="BU117" s="24">
        <f t="shared" si="126"/>
        <v>-6.0049019607843146E-2</v>
      </c>
      <c r="BV117" s="24">
        <f t="shared" si="126"/>
        <v>-5.9057527539779664E-2</v>
      </c>
      <c r="BW117" s="24">
        <f t="shared" si="126"/>
        <v>0.17211703958691915</v>
      </c>
      <c r="BX117" s="24">
        <f t="shared" si="126"/>
        <v>0.21006836544437535</v>
      </c>
      <c r="BY117" s="25">
        <f>IFERROR(BY114/BT114-1,"")</f>
        <v>0.2929470432653849</v>
      </c>
      <c r="BZ117" s="25">
        <f>IFERROR(BZ114/BU114-1,"")</f>
        <v>0.48218934841894856</v>
      </c>
      <c r="CA117" s="25">
        <f>IFERROR(CA114/BV114-1,"")</f>
        <v>0.29584694347033613</v>
      </c>
      <c r="CB117" s="25">
        <f>IFERROR(CB114/CA114-1,"")</f>
        <v>0.23180499624409934</v>
      </c>
      <c r="CC117" s="25">
        <f>IFERROR(CC114/CB114-1,"")</f>
        <v>8.0033157575153391E-2</v>
      </c>
      <c r="CD117" s="25">
        <f>IFERROR(CD114/CC114-1,"")</f>
        <v>8.4049929560718883E-2</v>
      </c>
      <c r="CE117" s="25">
        <f>IFERROR(CE114/CD114-1,"")</f>
        <v>8.6321148983165008E-2</v>
      </c>
      <c r="CF117" s="6"/>
    </row>
    <row r="118" spans="2:89" ht="15" hidden="1" customHeight="1" outlineLevel="2" x14ac:dyDescent="0.25">
      <c r="B118" s="61" t="s">
        <v>251</v>
      </c>
      <c r="C118" s="47">
        <f t="shared" ref="C118:AH118" si="127">ROUND(C114-C158,1)</f>
        <v>0</v>
      </c>
      <c r="D118" s="47">
        <f t="shared" si="127"/>
        <v>0</v>
      </c>
      <c r="E118" s="47">
        <f t="shared" si="127"/>
        <v>0</v>
      </c>
      <c r="F118" s="47">
        <f t="shared" si="127"/>
        <v>0</v>
      </c>
      <c r="G118" s="47">
        <f t="shared" si="127"/>
        <v>0</v>
      </c>
      <c r="H118" s="47">
        <f t="shared" si="127"/>
        <v>0</v>
      </c>
      <c r="I118" s="47">
        <f t="shared" si="127"/>
        <v>0</v>
      </c>
      <c r="J118" s="47">
        <f t="shared" si="127"/>
        <v>0</v>
      </c>
      <c r="K118" s="47">
        <f t="shared" si="127"/>
        <v>0</v>
      </c>
      <c r="L118" s="47">
        <f t="shared" si="127"/>
        <v>0</v>
      </c>
      <c r="M118" s="47">
        <f t="shared" si="127"/>
        <v>0</v>
      </c>
      <c r="N118" s="47">
        <f t="shared" si="127"/>
        <v>0</v>
      </c>
      <c r="O118" s="47">
        <f t="shared" si="127"/>
        <v>0</v>
      </c>
      <c r="P118" s="47">
        <f t="shared" si="127"/>
        <v>0</v>
      </c>
      <c r="Q118" s="47">
        <f t="shared" si="127"/>
        <v>0</v>
      </c>
      <c r="R118" s="47">
        <f t="shared" si="127"/>
        <v>0</v>
      </c>
      <c r="S118" s="47">
        <f t="shared" si="127"/>
        <v>0</v>
      </c>
      <c r="T118" s="47">
        <f t="shared" si="127"/>
        <v>0</v>
      </c>
      <c r="U118" s="47">
        <f t="shared" si="127"/>
        <v>0</v>
      </c>
      <c r="V118" s="47">
        <f t="shared" si="127"/>
        <v>0</v>
      </c>
      <c r="W118" s="47">
        <f t="shared" si="127"/>
        <v>0</v>
      </c>
      <c r="X118" s="47">
        <f t="shared" si="127"/>
        <v>0</v>
      </c>
      <c r="Y118" s="47">
        <f t="shared" si="127"/>
        <v>0</v>
      </c>
      <c r="Z118" s="47">
        <f t="shared" si="127"/>
        <v>0</v>
      </c>
      <c r="AA118" s="47">
        <f t="shared" si="127"/>
        <v>0</v>
      </c>
      <c r="AB118" s="47">
        <f t="shared" si="127"/>
        <v>0</v>
      </c>
      <c r="AC118" s="47">
        <f t="shared" si="127"/>
        <v>0</v>
      </c>
      <c r="AD118" s="47">
        <f t="shared" si="127"/>
        <v>0</v>
      </c>
      <c r="AE118" s="47">
        <f t="shared" si="127"/>
        <v>0</v>
      </c>
      <c r="AF118" s="47">
        <f t="shared" si="127"/>
        <v>0</v>
      </c>
      <c r="AG118" s="47">
        <f t="shared" si="127"/>
        <v>0</v>
      </c>
      <c r="AH118" s="47">
        <f t="shared" si="127"/>
        <v>0</v>
      </c>
      <c r="AI118" s="47">
        <f t="shared" ref="AI118:BN118" si="128">ROUND(AI114-AI158,1)</f>
        <v>0</v>
      </c>
      <c r="AJ118" s="47">
        <f t="shared" si="128"/>
        <v>0</v>
      </c>
      <c r="AK118" s="47">
        <f t="shared" si="128"/>
        <v>0</v>
      </c>
      <c r="AL118" s="47">
        <f t="shared" si="128"/>
        <v>0</v>
      </c>
      <c r="AM118" s="47">
        <f t="shared" si="128"/>
        <v>0</v>
      </c>
      <c r="AN118" s="47">
        <f t="shared" si="128"/>
        <v>0</v>
      </c>
      <c r="AO118" s="47">
        <f t="shared" si="128"/>
        <v>0</v>
      </c>
      <c r="AP118" s="47">
        <f t="shared" si="128"/>
        <v>0</v>
      </c>
      <c r="AQ118" s="47">
        <f t="shared" si="128"/>
        <v>0</v>
      </c>
      <c r="AR118" s="47">
        <f t="shared" si="128"/>
        <v>0</v>
      </c>
      <c r="AS118" s="47">
        <f t="shared" si="128"/>
        <v>0</v>
      </c>
      <c r="AT118" s="47">
        <f t="shared" si="128"/>
        <v>0</v>
      </c>
      <c r="AU118" s="47">
        <f t="shared" si="128"/>
        <v>0</v>
      </c>
      <c r="AV118" s="47">
        <f t="shared" si="128"/>
        <v>0</v>
      </c>
      <c r="AW118" s="47">
        <f t="shared" si="128"/>
        <v>0</v>
      </c>
      <c r="AX118" s="47">
        <f t="shared" si="128"/>
        <v>0</v>
      </c>
      <c r="AY118" s="47">
        <f t="shared" si="128"/>
        <v>0</v>
      </c>
      <c r="AZ118" s="47">
        <f t="shared" si="128"/>
        <v>0</v>
      </c>
      <c r="BA118" s="47">
        <f t="shared" si="128"/>
        <v>0</v>
      </c>
      <c r="BB118" s="47">
        <f t="shared" si="128"/>
        <v>0</v>
      </c>
      <c r="BC118" s="47">
        <f t="shared" si="128"/>
        <v>0</v>
      </c>
      <c r="BD118" s="47">
        <f t="shared" si="128"/>
        <v>0</v>
      </c>
      <c r="BE118" s="47">
        <f t="shared" si="128"/>
        <v>0</v>
      </c>
      <c r="BF118" s="47">
        <f t="shared" si="128"/>
        <v>0</v>
      </c>
      <c r="BG118" s="47">
        <f t="shared" si="128"/>
        <v>0</v>
      </c>
      <c r="BH118" s="47">
        <f t="shared" si="128"/>
        <v>0</v>
      </c>
      <c r="BI118" s="47">
        <f t="shared" si="128"/>
        <v>0</v>
      </c>
      <c r="BJ118" s="47">
        <f t="shared" si="128"/>
        <v>0</v>
      </c>
      <c r="BK118" s="47">
        <f t="shared" si="128"/>
        <v>0</v>
      </c>
      <c r="BL118" s="47">
        <f t="shared" si="128"/>
        <v>0</v>
      </c>
      <c r="BM118" s="47">
        <f t="shared" si="128"/>
        <v>0</v>
      </c>
      <c r="BN118" s="47">
        <f t="shared" si="128"/>
        <v>0</v>
      </c>
      <c r="BO118" s="47">
        <f t="shared" ref="BO118:CE118" si="129">ROUND(BO114-BO158,1)</f>
        <v>0</v>
      </c>
      <c r="BP118" s="47">
        <f t="shared" si="129"/>
        <v>0</v>
      </c>
      <c r="BQ118" s="47">
        <f t="shared" si="129"/>
        <v>0</v>
      </c>
      <c r="BR118" s="47">
        <f t="shared" si="129"/>
        <v>0</v>
      </c>
      <c r="BS118" s="47">
        <f t="shared" si="129"/>
        <v>0</v>
      </c>
      <c r="BT118" s="47">
        <f t="shared" si="129"/>
        <v>0</v>
      </c>
      <c r="BU118" s="47">
        <f t="shared" si="129"/>
        <v>0</v>
      </c>
      <c r="BV118" s="47">
        <f t="shared" si="129"/>
        <v>0</v>
      </c>
      <c r="BW118" s="47">
        <f t="shared" si="129"/>
        <v>0</v>
      </c>
      <c r="BX118" s="47">
        <f t="shared" si="129"/>
        <v>0</v>
      </c>
      <c r="BY118" s="37">
        <f t="shared" si="129"/>
        <v>0</v>
      </c>
      <c r="BZ118" s="37">
        <f t="shared" si="129"/>
        <v>0</v>
      </c>
      <c r="CA118" s="37">
        <f t="shared" si="129"/>
        <v>0</v>
      </c>
      <c r="CB118" s="37">
        <f t="shared" si="129"/>
        <v>0</v>
      </c>
      <c r="CC118" s="37">
        <f t="shared" si="129"/>
        <v>0</v>
      </c>
      <c r="CD118" s="37">
        <f t="shared" si="129"/>
        <v>0</v>
      </c>
      <c r="CE118" s="37">
        <f t="shared" si="129"/>
        <v>0</v>
      </c>
      <c r="CF118" s="6"/>
    </row>
    <row r="119" spans="2:89" ht="15" hidden="1" customHeight="1" outlineLevel="2" x14ac:dyDescent="0.25">
      <c r="B119" s="61" t="s">
        <v>252</v>
      </c>
      <c r="C119" s="47">
        <f t="shared" ref="C119:AH119" si="130">ROUND(C115-C162,1)</f>
        <v>0</v>
      </c>
      <c r="D119" s="47">
        <f t="shared" si="130"/>
        <v>0</v>
      </c>
      <c r="E119" s="47">
        <f t="shared" si="130"/>
        <v>0</v>
      </c>
      <c r="F119" s="47">
        <f t="shared" si="130"/>
        <v>0</v>
      </c>
      <c r="G119" s="47">
        <f t="shared" si="130"/>
        <v>0</v>
      </c>
      <c r="H119" s="47">
        <f t="shared" si="130"/>
        <v>0</v>
      </c>
      <c r="I119" s="47">
        <f t="shared" si="130"/>
        <v>0</v>
      </c>
      <c r="J119" s="47">
        <f t="shared" si="130"/>
        <v>0</v>
      </c>
      <c r="K119" s="47">
        <f t="shared" si="130"/>
        <v>0</v>
      </c>
      <c r="L119" s="47">
        <f t="shared" si="130"/>
        <v>0</v>
      </c>
      <c r="M119" s="47">
        <f t="shared" si="130"/>
        <v>0</v>
      </c>
      <c r="N119" s="47">
        <f t="shared" si="130"/>
        <v>0</v>
      </c>
      <c r="O119" s="47">
        <f t="shared" si="130"/>
        <v>0</v>
      </c>
      <c r="P119" s="47">
        <f t="shared" si="130"/>
        <v>0</v>
      </c>
      <c r="Q119" s="47">
        <f t="shared" si="130"/>
        <v>0</v>
      </c>
      <c r="R119" s="47">
        <f t="shared" si="130"/>
        <v>0</v>
      </c>
      <c r="S119" s="47">
        <f t="shared" si="130"/>
        <v>0</v>
      </c>
      <c r="T119" s="47">
        <f t="shared" si="130"/>
        <v>0</v>
      </c>
      <c r="U119" s="47">
        <f t="shared" si="130"/>
        <v>0</v>
      </c>
      <c r="V119" s="47">
        <f t="shared" si="130"/>
        <v>0</v>
      </c>
      <c r="W119" s="47">
        <f t="shared" si="130"/>
        <v>0</v>
      </c>
      <c r="X119" s="47">
        <f t="shared" si="130"/>
        <v>0</v>
      </c>
      <c r="Y119" s="47">
        <f t="shared" si="130"/>
        <v>0</v>
      </c>
      <c r="Z119" s="47">
        <f t="shared" si="130"/>
        <v>0</v>
      </c>
      <c r="AA119" s="47">
        <f t="shared" si="130"/>
        <v>0</v>
      </c>
      <c r="AB119" s="47">
        <f t="shared" si="130"/>
        <v>0</v>
      </c>
      <c r="AC119" s="47">
        <f t="shared" si="130"/>
        <v>0</v>
      </c>
      <c r="AD119" s="47">
        <f t="shared" si="130"/>
        <v>0</v>
      </c>
      <c r="AE119" s="47">
        <f t="shared" si="130"/>
        <v>0</v>
      </c>
      <c r="AF119" s="47">
        <f t="shared" si="130"/>
        <v>0</v>
      </c>
      <c r="AG119" s="47">
        <f t="shared" si="130"/>
        <v>0</v>
      </c>
      <c r="AH119" s="47">
        <f t="shared" si="130"/>
        <v>0</v>
      </c>
      <c r="AI119" s="47">
        <f t="shared" ref="AI119:BN119" si="131">ROUND(AI115-AI162,1)</f>
        <v>0</v>
      </c>
      <c r="AJ119" s="47">
        <f t="shared" si="131"/>
        <v>0</v>
      </c>
      <c r="AK119" s="47">
        <f t="shared" si="131"/>
        <v>0</v>
      </c>
      <c r="AL119" s="47">
        <f t="shared" si="131"/>
        <v>0</v>
      </c>
      <c r="AM119" s="47">
        <f t="shared" si="131"/>
        <v>0</v>
      </c>
      <c r="AN119" s="47">
        <f t="shared" si="131"/>
        <v>0</v>
      </c>
      <c r="AO119" s="47">
        <f t="shared" si="131"/>
        <v>0</v>
      </c>
      <c r="AP119" s="47">
        <f t="shared" si="131"/>
        <v>0</v>
      </c>
      <c r="AQ119" s="47">
        <f t="shared" si="131"/>
        <v>0</v>
      </c>
      <c r="AR119" s="47">
        <f t="shared" si="131"/>
        <v>0</v>
      </c>
      <c r="AS119" s="47">
        <f t="shared" si="131"/>
        <v>0</v>
      </c>
      <c r="AT119" s="47">
        <f t="shared" si="131"/>
        <v>0</v>
      </c>
      <c r="AU119" s="47">
        <f t="shared" si="131"/>
        <v>0</v>
      </c>
      <c r="AV119" s="47">
        <f t="shared" si="131"/>
        <v>0</v>
      </c>
      <c r="AW119" s="47">
        <f t="shared" si="131"/>
        <v>0</v>
      </c>
      <c r="AX119" s="47">
        <f t="shared" si="131"/>
        <v>0</v>
      </c>
      <c r="AY119" s="47">
        <f t="shared" si="131"/>
        <v>0</v>
      </c>
      <c r="AZ119" s="47">
        <f t="shared" si="131"/>
        <v>0</v>
      </c>
      <c r="BA119" s="47">
        <f t="shared" si="131"/>
        <v>0</v>
      </c>
      <c r="BB119" s="47">
        <f t="shared" si="131"/>
        <v>0</v>
      </c>
      <c r="BC119" s="47">
        <f t="shared" si="131"/>
        <v>0</v>
      </c>
      <c r="BD119" s="47">
        <f t="shared" si="131"/>
        <v>0</v>
      </c>
      <c r="BE119" s="47">
        <f t="shared" si="131"/>
        <v>0</v>
      </c>
      <c r="BF119" s="47">
        <f t="shared" si="131"/>
        <v>0</v>
      </c>
      <c r="BG119" s="47">
        <f t="shared" si="131"/>
        <v>0</v>
      </c>
      <c r="BH119" s="47">
        <f t="shared" si="131"/>
        <v>0</v>
      </c>
      <c r="BI119" s="47">
        <f t="shared" si="131"/>
        <v>0</v>
      </c>
      <c r="BJ119" s="47">
        <f t="shared" si="131"/>
        <v>0</v>
      </c>
      <c r="BK119" s="47">
        <f t="shared" si="131"/>
        <v>0</v>
      </c>
      <c r="BL119" s="47">
        <f t="shared" si="131"/>
        <v>0</v>
      </c>
      <c r="BM119" s="47">
        <f t="shared" si="131"/>
        <v>0</v>
      </c>
      <c r="BN119" s="47">
        <f t="shared" si="131"/>
        <v>0</v>
      </c>
      <c r="BO119" s="47">
        <f t="shared" ref="BO119:CE119" si="132">ROUND(BO115-BO162,1)</f>
        <v>0</v>
      </c>
      <c r="BP119" s="47">
        <f t="shared" si="132"/>
        <v>0</v>
      </c>
      <c r="BQ119" s="47">
        <f t="shared" si="132"/>
        <v>0</v>
      </c>
      <c r="BR119" s="47">
        <f t="shared" si="132"/>
        <v>0</v>
      </c>
      <c r="BS119" s="47">
        <f t="shared" si="132"/>
        <v>0</v>
      </c>
      <c r="BT119" s="47">
        <f t="shared" si="132"/>
        <v>0</v>
      </c>
      <c r="BU119" s="47">
        <f t="shared" si="132"/>
        <v>0</v>
      </c>
      <c r="BV119" s="47">
        <f t="shared" si="132"/>
        <v>0</v>
      </c>
      <c r="BW119" s="47">
        <f t="shared" si="132"/>
        <v>0</v>
      </c>
      <c r="BX119" s="47">
        <f t="shared" si="132"/>
        <v>0</v>
      </c>
      <c r="BY119" s="37">
        <f t="shared" si="132"/>
        <v>0</v>
      </c>
      <c r="BZ119" s="37">
        <f t="shared" si="132"/>
        <v>0</v>
      </c>
      <c r="CA119" s="37">
        <f t="shared" si="132"/>
        <v>0</v>
      </c>
      <c r="CB119" s="37">
        <f t="shared" si="132"/>
        <v>0</v>
      </c>
      <c r="CC119" s="37">
        <f t="shared" si="132"/>
        <v>0</v>
      </c>
      <c r="CD119" s="37">
        <f t="shared" si="132"/>
        <v>0</v>
      </c>
      <c r="CE119" s="37">
        <f t="shared" si="132"/>
        <v>0</v>
      </c>
      <c r="CF119" s="6"/>
    </row>
    <row r="120" spans="2:89" ht="15" hidden="1" customHeight="1" outlineLevel="2" x14ac:dyDescent="0.25">
      <c r="B120" s="42" t="s">
        <v>253</v>
      </c>
      <c r="BR120" s="47">
        <f t="shared" ref="BR120:CE120" si="133">BR114-N(BR74)-N(BR102)</f>
        <v>1162</v>
      </c>
      <c r="BS120" s="47">
        <f t="shared" si="133"/>
        <v>1609</v>
      </c>
      <c r="BT120" s="47">
        <f t="shared" si="133"/>
        <v>1846</v>
      </c>
      <c r="BU120" s="47">
        <f t="shared" si="133"/>
        <v>1534</v>
      </c>
      <c r="BV120" s="47">
        <f t="shared" si="133"/>
        <v>6150</v>
      </c>
      <c r="BW120" s="47">
        <f t="shared" si="133"/>
        <v>1362</v>
      </c>
      <c r="BX120" s="47">
        <f t="shared" si="133"/>
        <v>1947</v>
      </c>
      <c r="BY120" s="37">
        <f t="shared" si="133"/>
        <v>2180.4057546795902</v>
      </c>
      <c r="BZ120" s="37">
        <f t="shared" si="133"/>
        <v>1810.5942453204095</v>
      </c>
      <c r="CA120" s="37">
        <f t="shared" si="133"/>
        <v>7299.9999999999991</v>
      </c>
      <c r="CB120" s="37">
        <f t="shared" si="133"/>
        <v>7887.720944103663</v>
      </c>
      <c r="CC120" s="37">
        <f t="shared" si="133"/>
        <v>8493.6037312980243</v>
      </c>
      <c r="CD120" s="37">
        <f t="shared" si="133"/>
        <v>9076.9257230420226</v>
      </c>
      <c r="CE120" s="37">
        <f t="shared" si="133"/>
        <v>9702.5673209919714</v>
      </c>
      <c r="CF120" s="6"/>
    </row>
    <row r="121" spans="2:89" ht="15" hidden="1" customHeight="1" outlineLevel="2" x14ac:dyDescent="0.25">
      <c r="B121" s="42" t="s">
        <v>254</v>
      </c>
      <c r="BY121" s="6"/>
      <c r="BZ121" s="6"/>
      <c r="CA121" s="37">
        <f>CHOOSE(MATCH($CF$2,{"Bull","Base","Bear"},0),$CO$12,$CP$12,$CQ$12)</f>
        <v>7300</v>
      </c>
      <c r="CB121" s="6"/>
      <c r="CC121" s="6"/>
      <c r="CD121" s="6"/>
      <c r="CE121" s="6"/>
      <c r="CF121" s="20" t="s">
        <v>255</v>
      </c>
    </row>
    <row r="122" spans="2:89" ht="15" hidden="1" customHeight="1" outlineLevel="2" x14ac:dyDescent="0.25">
      <c r="B122" s="26" t="s">
        <v>256</v>
      </c>
      <c r="BY122" s="37">
        <f>BT11*(1+$BX$12)*BY13*BY15+BT34*(1+$BX$35)*(1-BY56)+BT59*(1+BY61)</f>
        <v>2094.6141400138654</v>
      </c>
      <c r="BZ122" s="37">
        <f>BU11*(1+$BX$12)*BZ13*BZ15+BU34*(1+$BX$35)*(1-BZ56)+BU59*(1+BZ61)</f>
        <v>1739.3154591314569</v>
      </c>
      <c r="CA122" s="6"/>
      <c r="CB122" s="6"/>
      <c r="CC122" s="6"/>
      <c r="CD122" s="6"/>
      <c r="CE122" s="6"/>
      <c r="CF122" s="20" t="s">
        <v>257</v>
      </c>
    </row>
    <row r="123" spans="2:89" ht="15" hidden="1" customHeight="1" outlineLevel="2" x14ac:dyDescent="0.25">
      <c r="B123" s="26" t="s">
        <v>258</v>
      </c>
      <c r="BY123" s="37">
        <f>BT11*BY13*BY15+BT34*(1-BY56)+BT59</f>
        <v>1816.4756570443774</v>
      </c>
      <c r="BZ123" s="37">
        <f>BU11*BZ13*BZ15+BU34*(1-BZ56)+BU59</f>
        <v>1509.1938819474365</v>
      </c>
      <c r="CA123" s="6"/>
      <c r="CB123" s="6"/>
      <c r="CC123" s="6"/>
      <c r="CD123" s="6"/>
      <c r="CE123" s="6"/>
      <c r="CF123" s="6"/>
    </row>
    <row r="124" spans="2:89" ht="15" hidden="1" customHeight="1" outlineLevel="2" x14ac:dyDescent="0.25">
      <c r="B124" s="26" t="s">
        <v>259</v>
      </c>
      <c r="BY124" s="25">
        <f>(CA121-BW158-BX158-BY122-BZ122)/(BY123+BZ123)</f>
        <v>4.7229707886819697E-2</v>
      </c>
      <c r="BZ124" s="25">
        <f>BY124</f>
        <v>4.7229707886819697E-2</v>
      </c>
      <c r="CA124" s="6"/>
      <c r="CB124" s="6"/>
      <c r="CC124" s="6"/>
      <c r="CD124" s="6"/>
      <c r="CE124" s="6"/>
      <c r="CF124" s="20" t="s">
        <v>260</v>
      </c>
    </row>
    <row r="125" spans="2:89" ht="15" hidden="1" customHeight="1" outlineLevel="2" x14ac:dyDescent="0.25">
      <c r="B125" s="61" t="s">
        <v>261</v>
      </c>
      <c r="BY125" s="6"/>
      <c r="BZ125" s="6"/>
      <c r="CA125" s="37">
        <f>ROUND(CA120-CA121,1)</f>
        <v>0</v>
      </c>
      <c r="CB125" s="6"/>
      <c r="CC125" s="6"/>
      <c r="CD125" s="6"/>
      <c r="CE125" s="6"/>
      <c r="CF125" s="6"/>
    </row>
    <row r="126" spans="2:89" ht="15" hidden="1" customHeight="1" outlineLevel="2" x14ac:dyDescent="0.25">
      <c r="B126" s="26" t="s">
        <v>262</v>
      </c>
      <c r="BY126" s="37">
        <f>BY16*BY19+BY34*BY37+BY59*BY63+BY90-(BY163-BY85)-BY165-BY169+BY152</f>
        <v>740.64762434561385</v>
      </c>
      <c r="BZ126" s="37">
        <f>BZ16*BZ19+BZ34*BZ37+BZ59*BZ63+BZ90-(BZ163-BZ85)-BZ165-BZ169+BZ152</f>
        <v>588.99492967819197</v>
      </c>
      <c r="CA126" s="6"/>
      <c r="CB126" s="6"/>
      <c r="CC126" s="6"/>
      <c r="CD126" s="6"/>
      <c r="CE126" s="6"/>
      <c r="CF126" s="20" t="s">
        <v>263</v>
      </c>
    </row>
    <row r="127" spans="2:89" ht="15" hidden="1" customHeight="1" outlineLevel="2" x14ac:dyDescent="0.25">
      <c r="B127" s="26" t="s">
        <v>264</v>
      </c>
      <c r="BY127" s="25">
        <f>(CA128-BW211-BX211-BY126-BZ126)/(BY16+BZ16+BY34+BZ34+BY59+BZ59)</f>
        <v>2.3505512850111081E-2</v>
      </c>
      <c r="BZ127" s="25">
        <f>BY127</f>
        <v>2.3505512850111081E-2</v>
      </c>
      <c r="CA127" s="6"/>
      <c r="CB127" s="6"/>
      <c r="CC127" s="6"/>
      <c r="CD127" s="6"/>
      <c r="CE127" s="6"/>
      <c r="CF127" s="20" t="s">
        <v>265</v>
      </c>
    </row>
    <row r="128" spans="2:89" ht="15" hidden="1" customHeight="1" outlineLevel="2" x14ac:dyDescent="0.25">
      <c r="B128" s="42" t="s">
        <v>266</v>
      </c>
      <c r="BY128" s="6"/>
      <c r="BZ128" s="6"/>
      <c r="CA128" s="37">
        <f>CHOOSE(MATCH($CF$2,{"Bull","Base","Bear"},0),$CO$13,$CP$13,$CQ$13)</f>
        <v>2430</v>
      </c>
      <c r="CB128" s="6"/>
      <c r="CC128" s="6"/>
      <c r="CD128" s="6"/>
      <c r="CE128" s="6"/>
      <c r="CF128" s="20" t="s">
        <v>267</v>
      </c>
    </row>
    <row r="129" spans="2:84" ht="15" hidden="1" customHeight="1" outlineLevel="2" x14ac:dyDescent="0.25">
      <c r="B129" s="42" t="s">
        <v>268</v>
      </c>
      <c r="BW129" s="47">
        <f t="shared" ref="BW129:CE129" si="134">BW211-N(BW86)</f>
        <v>364</v>
      </c>
      <c r="BX129" s="47">
        <f t="shared" si="134"/>
        <v>638</v>
      </c>
      <c r="BY129" s="37">
        <f t="shared" si="134"/>
        <v>794.47395545714687</v>
      </c>
      <c r="BZ129" s="37">
        <f t="shared" si="134"/>
        <v>633.52604454285324</v>
      </c>
      <c r="CA129" s="37">
        <f t="shared" si="134"/>
        <v>2429.9999999999991</v>
      </c>
      <c r="CB129" s="37">
        <f t="shared" si="134"/>
        <v>2742.4162487012477</v>
      </c>
      <c r="CC129" s="37">
        <f t="shared" si="134"/>
        <v>3178.1221908869734</v>
      </c>
      <c r="CD129" s="37">
        <f t="shared" si="134"/>
        <v>3643.2625790093898</v>
      </c>
      <c r="CE129" s="37">
        <f t="shared" si="134"/>
        <v>4144.9480122329896</v>
      </c>
      <c r="CF129" s="6"/>
    </row>
    <row r="130" spans="2:84" ht="15" hidden="1" customHeight="1" outlineLevel="2" x14ac:dyDescent="0.25">
      <c r="B130" s="61" t="s">
        <v>269</v>
      </c>
      <c r="BY130" s="6"/>
      <c r="BZ130" s="6"/>
      <c r="CA130" s="37">
        <f>ROUND(CA129-CA128,1)</f>
        <v>0</v>
      </c>
      <c r="CB130" s="6"/>
      <c r="CC130" s="6"/>
      <c r="CD130" s="6"/>
      <c r="CE130" s="6"/>
      <c r="CF130" s="6"/>
    </row>
    <row r="131" spans="2:84" ht="15" hidden="1" customHeight="1" outlineLevel="2" x14ac:dyDescent="0.25"/>
    <row r="132" spans="2:84" ht="15" hidden="1" customHeight="1" outlineLevel="2" x14ac:dyDescent="0.25">
      <c r="B132" s="15" t="s">
        <v>270</v>
      </c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5"/>
      <c r="BP132" s="15"/>
      <c r="BQ132" s="15"/>
      <c r="BR132" s="15"/>
      <c r="BS132" s="15"/>
      <c r="BT132" s="15"/>
      <c r="BU132" s="15"/>
      <c r="BV132" s="15"/>
      <c r="BW132" s="15"/>
      <c r="BX132" s="15"/>
      <c r="BY132" s="15"/>
      <c r="BZ132" s="15"/>
      <c r="CA132" s="15"/>
      <c r="CB132" s="15"/>
      <c r="CC132" s="15"/>
      <c r="CD132" s="15"/>
      <c r="CE132" s="15"/>
      <c r="CF132" s="16" t="s">
        <v>271</v>
      </c>
    </row>
    <row r="133" spans="2:84" ht="15" hidden="1" customHeight="1" outlineLevel="2" x14ac:dyDescent="0.25">
      <c r="B133" s="26" t="s">
        <v>272</v>
      </c>
      <c r="AU133" s="36">
        <v>549.29999999999995</v>
      </c>
      <c r="AV133" s="36">
        <v>483.3</v>
      </c>
      <c r="AW133" s="36">
        <v>1949.1</v>
      </c>
      <c r="AX133" s="36">
        <v>394.9</v>
      </c>
      <c r="AY133" s="36">
        <v>635.29999999999995</v>
      </c>
      <c r="AZ133" s="36">
        <v>684.1</v>
      </c>
      <c r="BA133" s="36">
        <v>588.70000000000005</v>
      </c>
      <c r="BB133" s="36">
        <v>2303</v>
      </c>
      <c r="BC133" s="36">
        <v>418.8</v>
      </c>
      <c r="BD133" s="36">
        <v>674.5</v>
      </c>
      <c r="BE133" s="36">
        <v>773.6</v>
      </c>
      <c r="BF133" s="36">
        <v>601.1</v>
      </c>
      <c r="BG133" s="36">
        <v>2468.1</v>
      </c>
      <c r="BH133" s="36">
        <v>529.6</v>
      </c>
      <c r="BI133" s="36">
        <v>735.1</v>
      </c>
      <c r="BJ133" s="36">
        <v>814.3</v>
      </c>
      <c r="BK133" s="36">
        <v>684.3</v>
      </c>
      <c r="BL133" s="36">
        <v>2763.4</v>
      </c>
      <c r="BM133" s="36">
        <v>526</v>
      </c>
      <c r="BN133" s="36">
        <v>823</v>
      </c>
      <c r="BO133" s="36">
        <v>849</v>
      </c>
      <c r="BP133" s="36">
        <v>743</v>
      </c>
      <c r="BQ133" s="36">
        <v>2941</v>
      </c>
      <c r="BR133" s="36">
        <v>758</v>
      </c>
      <c r="BS133" s="36">
        <v>878</v>
      </c>
      <c r="BT133" s="36">
        <v>953</v>
      </c>
      <c r="BU133" s="36">
        <v>775</v>
      </c>
      <c r="BV133" s="36">
        <v>3194</v>
      </c>
      <c r="BW133" s="36">
        <v>835</v>
      </c>
      <c r="BX133" s="36">
        <v>972</v>
      </c>
      <c r="BY133" s="6"/>
      <c r="BZ133" s="6"/>
      <c r="CA133" s="6"/>
      <c r="CB133" s="6"/>
      <c r="CC133" s="6"/>
      <c r="CD133" s="6"/>
      <c r="CE133" s="6"/>
      <c r="CF133" s="6"/>
    </row>
    <row r="134" spans="2:84" ht="15" hidden="1" customHeight="1" outlineLevel="2" x14ac:dyDescent="0.25">
      <c r="B134" s="26" t="s">
        <v>273</v>
      </c>
      <c r="AU134" s="36">
        <v>711.2</v>
      </c>
      <c r="AV134" s="36">
        <v>633.9</v>
      </c>
      <c r="AW134" s="36">
        <v>2538.1</v>
      </c>
      <c r="AX134" s="36">
        <v>516.6</v>
      </c>
      <c r="AY134" s="36">
        <v>666.8</v>
      </c>
      <c r="AZ134" s="36">
        <v>794.8</v>
      </c>
      <c r="BA134" s="36">
        <v>834.1</v>
      </c>
      <c r="BB134" s="36">
        <v>2812.3</v>
      </c>
      <c r="BC134" s="36">
        <v>735</v>
      </c>
      <c r="BD134" s="36">
        <v>885.5</v>
      </c>
      <c r="BE134" s="36">
        <v>962.4</v>
      </c>
      <c r="BF134" s="36">
        <v>805.8</v>
      </c>
      <c r="BG134" s="36">
        <v>3388.6</v>
      </c>
      <c r="BH134" s="36">
        <v>741.1</v>
      </c>
      <c r="BI134" s="36">
        <v>1005.2</v>
      </c>
      <c r="BJ134" s="36">
        <v>1104.3</v>
      </c>
      <c r="BK134" s="36">
        <v>847.9</v>
      </c>
      <c r="BL134" s="36">
        <v>3698.4</v>
      </c>
      <c r="BM134" s="36">
        <v>644</v>
      </c>
      <c r="BN134" s="36">
        <v>860</v>
      </c>
      <c r="BO134" s="36">
        <v>958</v>
      </c>
      <c r="BP134" s="36">
        <v>812</v>
      </c>
      <c r="BQ134" s="36">
        <v>3275</v>
      </c>
      <c r="BR134" s="36">
        <v>317</v>
      </c>
      <c r="BS134" s="36">
        <v>641</v>
      </c>
      <c r="BT134" s="36">
        <v>762</v>
      </c>
      <c r="BU134" s="36">
        <v>626</v>
      </c>
      <c r="BV134" s="36">
        <v>2515</v>
      </c>
      <c r="BW134" s="36">
        <v>384</v>
      </c>
      <c r="BX134" s="36">
        <v>823</v>
      </c>
      <c r="BY134" s="6"/>
      <c r="BZ134" s="6"/>
      <c r="CA134" s="6"/>
      <c r="CB134" s="6"/>
      <c r="CC134" s="6"/>
      <c r="CD134" s="6"/>
      <c r="CE134" s="6"/>
      <c r="CF134" s="6"/>
    </row>
    <row r="135" spans="2:84" ht="15" hidden="1" customHeight="1" outlineLevel="2" x14ac:dyDescent="0.25">
      <c r="B135" s="26" t="s">
        <v>274</v>
      </c>
      <c r="AU135" s="36">
        <v>181.4</v>
      </c>
      <c r="AV135" s="36">
        <v>136</v>
      </c>
      <c r="AW135" s="36">
        <v>522.1</v>
      </c>
      <c r="AX135" s="36">
        <v>61.7</v>
      </c>
      <c r="AY135" s="36">
        <v>197.8</v>
      </c>
      <c r="AZ135" s="36">
        <v>205.8</v>
      </c>
      <c r="BA135" s="36">
        <v>156.30000000000001</v>
      </c>
      <c r="BB135" s="36">
        <v>621.70000000000005</v>
      </c>
      <c r="BC135" s="36">
        <v>28</v>
      </c>
      <c r="BD135" s="36">
        <v>210.6</v>
      </c>
      <c r="BE135" s="36">
        <v>239.4</v>
      </c>
      <c r="BF135" s="36">
        <v>162.19999999999999</v>
      </c>
      <c r="BG135" s="36">
        <v>640.20000000000005</v>
      </c>
      <c r="BH135" s="36">
        <v>108.9</v>
      </c>
      <c r="BI135" s="36">
        <v>227.5</v>
      </c>
      <c r="BJ135" s="36">
        <v>295.2</v>
      </c>
      <c r="BK135" s="36">
        <v>225.5</v>
      </c>
      <c r="BL135" s="36">
        <v>857.1</v>
      </c>
      <c r="BM135" s="36">
        <v>128</v>
      </c>
      <c r="BN135" s="36">
        <v>249</v>
      </c>
      <c r="BO135" s="36">
        <v>272</v>
      </c>
      <c r="BP135" s="36">
        <v>241</v>
      </c>
      <c r="BQ135" s="36">
        <v>891</v>
      </c>
      <c r="BR135" s="36">
        <v>237</v>
      </c>
      <c r="BS135" s="36">
        <v>302</v>
      </c>
      <c r="BT135" s="36">
        <v>331</v>
      </c>
      <c r="BU135" s="36">
        <v>243</v>
      </c>
      <c r="BV135" s="36">
        <v>992</v>
      </c>
      <c r="BW135" s="36">
        <v>230</v>
      </c>
      <c r="BX135" s="36">
        <v>295</v>
      </c>
      <c r="BY135" s="6"/>
      <c r="BZ135" s="6"/>
      <c r="CA135" s="6"/>
      <c r="CB135" s="6"/>
      <c r="CC135" s="6"/>
      <c r="CD135" s="6"/>
      <c r="CE135" s="6"/>
      <c r="CF135" s="6"/>
    </row>
    <row r="136" spans="2:84" ht="15" hidden="1" customHeight="1" outlineLevel="2" x14ac:dyDescent="0.25">
      <c r="B136" s="26" t="s">
        <v>275</v>
      </c>
      <c r="AU136" s="36">
        <v>212.3</v>
      </c>
      <c r="AV136" s="36">
        <v>103.1</v>
      </c>
      <c r="AW136" s="36">
        <v>471.3</v>
      </c>
      <c r="AX136" s="36">
        <v>31.9</v>
      </c>
      <c r="AY136" s="36">
        <v>101.8</v>
      </c>
      <c r="AZ136" s="36">
        <v>150.6</v>
      </c>
      <c r="BA136" s="36">
        <v>101.1</v>
      </c>
      <c r="BB136" s="36">
        <v>385.2</v>
      </c>
      <c r="BC136" s="36">
        <v>43</v>
      </c>
      <c r="BD136" s="36">
        <v>274.5</v>
      </c>
      <c r="BE136" s="36">
        <v>159.69999999999999</v>
      </c>
      <c r="BF136" s="36">
        <v>110.8</v>
      </c>
      <c r="BG136" s="36">
        <v>588.1</v>
      </c>
      <c r="BH136" s="36">
        <v>94.7</v>
      </c>
      <c r="BI136" s="36">
        <v>239.6</v>
      </c>
      <c r="BJ136" s="36">
        <v>283</v>
      </c>
      <c r="BK136" s="36">
        <v>159.9</v>
      </c>
      <c r="BL136" s="36">
        <v>777.1</v>
      </c>
      <c r="BM136" s="36">
        <v>1299</v>
      </c>
      <c r="BN136" s="36">
        <v>171</v>
      </c>
      <c r="BO136" s="36">
        <v>233</v>
      </c>
      <c r="BP136" s="36">
        <v>174</v>
      </c>
      <c r="BQ136" s="36">
        <v>1877</v>
      </c>
      <c r="BR136" s="36">
        <v>-42</v>
      </c>
      <c r="BS136" s="36">
        <v>92</v>
      </c>
      <c r="BT136" s="36">
        <v>180</v>
      </c>
      <c r="BU136" s="36">
        <v>104</v>
      </c>
      <c r="BV136" s="36">
        <v>455</v>
      </c>
      <c r="BW136" s="36">
        <v>-43</v>
      </c>
      <c r="BX136" s="36">
        <v>81</v>
      </c>
      <c r="BY136" s="6"/>
      <c r="BZ136" s="6"/>
      <c r="CA136" s="6"/>
      <c r="CB136" s="6"/>
      <c r="CC136" s="6"/>
      <c r="CD136" s="6"/>
      <c r="CE136" s="6"/>
      <c r="CF136" s="6"/>
    </row>
    <row r="137" spans="2:84" ht="15" hidden="1" customHeight="1" outlineLevel="2" x14ac:dyDescent="0.25">
      <c r="B137" s="26" t="s">
        <v>276</v>
      </c>
      <c r="C137" s="36">
        <v>150.69999999999999</v>
      </c>
      <c r="D137" s="36">
        <v>154.4</v>
      </c>
      <c r="E137" s="36">
        <v>167.2</v>
      </c>
      <c r="F137" s="36">
        <v>143.69999999999999</v>
      </c>
      <c r="G137" s="36">
        <v>176.4</v>
      </c>
      <c r="H137" s="36">
        <v>200.6</v>
      </c>
      <c r="I137" s="36">
        <v>202.2</v>
      </c>
      <c r="J137" s="36">
        <v>55.2</v>
      </c>
      <c r="K137" s="36">
        <v>56.6</v>
      </c>
      <c r="L137" s="36">
        <v>55.8</v>
      </c>
      <c r="M137" s="36">
        <v>58.1</v>
      </c>
      <c r="N137" s="36">
        <v>225.6</v>
      </c>
      <c r="O137" s="36">
        <v>57.4</v>
      </c>
      <c r="P137" s="36">
        <v>61.9</v>
      </c>
      <c r="Q137" s="36">
        <v>58.7</v>
      </c>
      <c r="R137" s="36">
        <v>58.2</v>
      </c>
      <c r="S137" s="36">
        <v>236.1</v>
      </c>
      <c r="T137" s="36">
        <v>58.8</v>
      </c>
      <c r="U137" s="36">
        <v>60.5</v>
      </c>
      <c r="V137" s="36">
        <v>57.3</v>
      </c>
      <c r="W137" s="36">
        <v>51</v>
      </c>
      <c r="X137" s="36">
        <v>227.5</v>
      </c>
      <c r="Y137" s="36">
        <v>59.5</v>
      </c>
      <c r="Z137" s="36">
        <v>58.8</v>
      </c>
      <c r="AA137" s="36">
        <v>60.2</v>
      </c>
      <c r="AB137" s="36">
        <v>59.4</v>
      </c>
      <c r="AC137" s="36">
        <v>238</v>
      </c>
      <c r="AD137" s="36">
        <v>63.3</v>
      </c>
      <c r="AE137" s="36">
        <v>64.599999999999994</v>
      </c>
      <c r="AF137" s="36">
        <v>63.9</v>
      </c>
      <c r="AG137" s="36">
        <v>67.5</v>
      </c>
      <c r="AH137" s="36">
        <v>270</v>
      </c>
      <c r="AI137" s="36">
        <v>69.3</v>
      </c>
      <c r="AJ137" s="36">
        <v>72.962000000000003</v>
      </c>
      <c r="AK137" s="36">
        <v>73.522999999999996</v>
      </c>
      <c r="AL137" s="36">
        <v>71.974999999999994</v>
      </c>
      <c r="AM137" s="36">
        <v>287.72300000000001</v>
      </c>
      <c r="AN137" s="36">
        <v>74.073999999999998</v>
      </c>
      <c r="AO137" s="36">
        <v>76.239000000000004</v>
      </c>
      <c r="AP137" s="36">
        <v>64.876999999999995</v>
      </c>
      <c r="AQ137" s="36">
        <v>56.125999999999998</v>
      </c>
      <c r="AR137" s="36">
        <v>271.31599999999997</v>
      </c>
      <c r="AS137" s="36">
        <v>65.7</v>
      </c>
      <c r="AT137" s="36">
        <v>53.6</v>
      </c>
      <c r="AU137" s="36">
        <v>60.9</v>
      </c>
      <c r="AV137" s="36">
        <v>62.4</v>
      </c>
      <c r="AW137" s="36">
        <v>242.7</v>
      </c>
      <c r="AX137" s="36">
        <v>70.900000000000006</v>
      </c>
      <c r="AY137" s="36">
        <v>75.8</v>
      </c>
      <c r="AZ137" s="36">
        <v>78.400000000000006</v>
      </c>
      <c r="BA137" s="36">
        <v>73.599999999999994</v>
      </c>
      <c r="BB137" s="36">
        <v>298.7</v>
      </c>
      <c r="BC137" s="36">
        <v>77</v>
      </c>
      <c r="BD137" s="36">
        <v>81.7</v>
      </c>
      <c r="BE137" s="36">
        <v>75.7</v>
      </c>
      <c r="BF137" s="36">
        <v>69.599999999999994</v>
      </c>
      <c r="BG137" s="36">
        <v>304</v>
      </c>
      <c r="BH137" s="36">
        <v>83.4</v>
      </c>
      <c r="BI137" s="36">
        <v>80.5</v>
      </c>
      <c r="BJ137" s="36">
        <v>75.5</v>
      </c>
      <c r="BK137" s="36">
        <v>76</v>
      </c>
      <c r="BL137" s="36">
        <v>315.39999999999998</v>
      </c>
      <c r="BM137" s="36">
        <v>81</v>
      </c>
      <c r="BN137" s="36">
        <v>81</v>
      </c>
      <c r="BO137" s="36">
        <v>82</v>
      </c>
      <c r="BP137" s="36">
        <v>77</v>
      </c>
      <c r="BQ137" s="36">
        <v>320</v>
      </c>
      <c r="BR137" s="36">
        <v>87</v>
      </c>
      <c r="BS137" s="36">
        <v>90</v>
      </c>
      <c r="BT137" s="36">
        <v>131</v>
      </c>
      <c r="BU137" s="36">
        <v>133</v>
      </c>
      <c r="BV137" s="36">
        <v>441</v>
      </c>
      <c r="BW137" s="36">
        <v>143</v>
      </c>
      <c r="BX137" s="36">
        <v>152</v>
      </c>
      <c r="BY137" s="6"/>
      <c r="BZ137" s="6"/>
      <c r="CA137" s="6"/>
      <c r="CB137" s="6"/>
      <c r="CC137" s="6"/>
      <c r="CD137" s="6"/>
      <c r="CE137" s="6"/>
      <c r="CF137" s="6"/>
    </row>
    <row r="138" spans="2:84" ht="15" hidden="1" customHeight="1" outlineLevel="2" x14ac:dyDescent="0.25">
      <c r="B138" s="26" t="s">
        <v>277</v>
      </c>
      <c r="C138" s="36">
        <v>22.5</v>
      </c>
      <c r="D138" s="36">
        <v>32.9</v>
      </c>
      <c r="E138" s="36">
        <v>28.1</v>
      </c>
      <c r="F138" s="36">
        <v>35.700000000000003</v>
      </c>
      <c r="G138" s="36">
        <v>50.6</v>
      </c>
      <c r="H138" s="36">
        <v>66.3</v>
      </c>
      <c r="I138" s="36">
        <v>68.5</v>
      </c>
      <c r="J138" s="36">
        <v>17.100000000000001</v>
      </c>
      <c r="K138" s="36">
        <v>18.7</v>
      </c>
      <c r="L138" s="36">
        <v>17.3</v>
      </c>
      <c r="M138" s="36">
        <v>20.399999999999999</v>
      </c>
      <c r="N138" s="36">
        <v>73.5</v>
      </c>
      <c r="O138" s="36">
        <v>16.3</v>
      </c>
      <c r="P138" s="36">
        <v>21</v>
      </c>
      <c r="Q138" s="36">
        <v>17.7</v>
      </c>
      <c r="R138" s="36">
        <v>19.8</v>
      </c>
      <c r="S138" s="36">
        <v>74.8</v>
      </c>
      <c r="T138" s="36">
        <v>17.8</v>
      </c>
      <c r="U138" s="36">
        <v>18.8</v>
      </c>
      <c r="V138" s="36">
        <v>17</v>
      </c>
      <c r="W138" s="36">
        <v>15.3</v>
      </c>
      <c r="X138" s="36">
        <v>68.900000000000006</v>
      </c>
      <c r="Y138" s="36">
        <v>20.6</v>
      </c>
      <c r="Z138" s="36">
        <v>19.2</v>
      </c>
      <c r="AA138" s="36">
        <v>20.399999999999999</v>
      </c>
      <c r="AB138" s="36">
        <v>18.899999999999999</v>
      </c>
      <c r="AC138" s="36">
        <v>79.099999999999994</v>
      </c>
      <c r="AD138" s="36">
        <v>19.899999999999999</v>
      </c>
      <c r="AE138" s="36">
        <v>21.1</v>
      </c>
      <c r="AF138" s="36">
        <v>17.600000000000001</v>
      </c>
      <c r="AG138" s="36">
        <v>20.8</v>
      </c>
      <c r="AH138" s="36">
        <v>79.400000000000006</v>
      </c>
      <c r="AI138" s="36">
        <v>21.2</v>
      </c>
      <c r="AJ138" s="36">
        <v>21.329000000000001</v>
      </c>
      <c r="AK138" s="36">
        <v>23.300999999999998</v>
      </c>
      <c r="AL138" s="36">
        <v>22.196000000000002</v>
      </c>
      <c r="AM138" s="36">
        <v>88.063000000000002</v>
      </c>
      <c r="AN138" s="36">
        <v>22.641999999999999</v>
      </c>
      <c r="AO138" s="36">
        <v>25.219000000000001</v>
      </c>
      <c r="AP138" s="36">
        <v>20.097000000000001</v>
      </c>
      <c r="AQ138" s="36">
        <v>15.598000000000001</v>
      </c>
      <c r="AR138" s="36">
        <v>83.557000000000002</v>
      </c>
      <c r="AS138" s="36">
        <v>21.7</v>
      </c>
      <c r="AT138" s="36">
        <v>13.2</v>
      </c>
      <c r="AU138" s="36">
        <v>16.399999999999999</v>
      </c>
      <c r="AV138" s="36">
        <v>19.5</v>
      </c>
      <c r="AW138" s="36">
        <v>70.7</v>
      </c>
      <c r="AX138" s="36">
        <v>23.5</v>
      </c>
      <c r="AY138" s="36">
        <v>23.1</v>
      </c>
      <c r="AZ138" s="36">
        <v>23.1</v>
      </c>
      <c r="BA138" s="36">
        <v>20.9</v>
      </c>
      <c r="BB138" s="36">
        <v>90.8</v>
      </c>
      <c r="BC138" s="36">
        <v>21.5</v>
      </c>
      <c r="BD138" s="36">
        <v>20.3</v>
      </c>
      <c r="BE138" s="36">
        <v>16.5</v>
      </c>
      <c r="BF138" s="36">
        <v>16.8</v>
      </c>
      <c r="BG138" s="36">
        <v>75.2</v>
      </c>
      <c r="BH138" s="36">
        <v>20.6</v>
      </c>
      <c r="BI138" s="36">
        <v>23.3</v>
      </c>
      <c r="BJ138" s="36">
        <v>16.899999999999999</v>
      </c>
      <c r="BK138" s="36">
        <v>15.2</v>
      </c>
      <c r="BL138" s="36">
        <v>76</v>
      </c>
      <c r="BM138" s="36">
        <v>24</v>
      </c>
      <c r="BN138" s="36">
        <v>25</v>
      </c>
      <c r="BO138" s="36">
        <v>26</v>
      </c>
      <c r="BP138" s="36">
        <v>16</v>
      </c>
      <c r="BQ138" s="36">
        <v>90</v>
      </c>
      <c r="BR138" s="36">
        <v>33</v>
      </c>
      <c r="BS138" s="36">
        <v>31</v>
      </c>
      <c r="BT138" s="36">
        <v>26</v>
      </c>
      <c r="BU138" s="36">
        <v>20</v>
      </c>
      <c r="BV138" s="36">
        <v>110</v>
      </c>
      <c r="BW138" s="36">
        <v>35</v>
      </c>
      <c r="BX138" s="36">
        <v>42</v>
      </c>
      <c r="BY138" s="6"/>
      <c r="BZ138" s="6"/>
      <c r="CA138" s="6"/>
      <c r="CB138" s="6"/>
      <c r="CC138" s="6"/>
      <c r="CD138" s="6"/>
      <c r="CE138" s="6"/>
      <c r="CF138" s="6"/>
    </row>
    <row r="139" spans="2:84" ht="15" hidden="1" customHeight="1" outlineLevel="2" x14ac:dyDescent="0.25">
      <c r="B139" s="26" t="s">
        <v>278</v>
      </c>
      <c r="C139" s="36">
        <v>-34.799999999999997</v>
      </c>
      <c r="D139" s="36">
        <v>-31.7</v>
      </c>
      <c r="E139" s="36">
        <v>-35.799999999999997</v>
      </c>
      <c r="F139" s="36">
        <v>-25.1</v>
      </c>
      <c r="G139" s="36">
        <v>-20.8</v>
      </c>
      <c r="H139" s="36">
        <v>-32.799999999999997</v>
      </c>
      <c r="I139" s="36">
        <v>-57</v>
      </c>
      <c r="J139" s="36">
        <v>-10</v>
      </c>
      <c r="K139" s="36">
        <v>-8</v>
      </c>
      <c r="L139" s="36">
        <v>-5.8</v>
      </c>
      <c r="M139" s="36">
        <v>-9.4</v>
      </c>
      <c r="N139" s="36">
        <v>-33.1</v>
      </c>
      <c r="O139" s="36">
        <v>-16.399999999999999</v>
      </c>
      <c r="P139" s="36">
        <v>-11.7</v>
      </c>
      <c r="Q139" s="36">
        <v>-83.6</v>
      </c>
      <c r="R139" s="36">
        <v>-9.1</v>
      </c>
      <c r="S139" s="36">
        <v>-120.8</v>
      </c>
      <c r="T139" s="36">
        <v>-13.2</v>
      </c>
      <c r="U139" s="36">
        <v>-25.2</v>
      </c>
      <c r="V139" s="36">
        <v>-21.1</v>
      </c>
      <c r="W139" s="36">
        <v>-6.9</v>
      </c>
      <c r="X139" s="36">
        <v>-66.2</v>
      </c>
      <c r="Y139" s="36">
        <v>-26.9</v>
      </c>
      <c r="Z139" s="36">
        <v>-22.3</v>
      </c>
      <c r="AA139" s="36">
        <v>-17.600000000000001</v>
      </c>
      <c r="AB139" s="36">
        <v>-23.9</v>
      </c>
      <c r="AC139" s="36">
        <v>-87.2</v>
      </c>
      <c r="AD139" s="36">
        <v>-27.4</v>
      </c>
      <c r="AE139" s="36">
        <v>-20.399999999999999</v>
      </c>
      <c r="AF139" s="36">
        <v>-11.2</v>
      </c>
      <c r="AG139" s="36">
        <v>-26.5</v>
      </c>
      <c r="AH139" s="36">
        <v>-85.6</v>
      </c>
      <c r="AI139" s="36">
        <v>-25.3</v>
      </c>
      <c r="AJ139" s="36">
        <v>-20.981000000000002</v>
      </c>
      <c r="AK139" s="36">
        <v>-21.445</v>
      </c>
      <c r="AL139" s="36">
        <v>-20.364999999999998</v>
      </c>
      <c r="AM139" s="36">
        <v>-88.105999999999995</v>
      </c>
      <c r="AN139" s="36">
        <v>-25.446000000000002</v>
      </c>
      <c r="AO139" s="36">
        <v>-23.925999999999998</v>
      </c>
      <c r="AP139" s="36">
        <v>-22.39</v>
      </c>
      <c r="AQ139" s="36">
        <v>-21.077999999999999</v>
      </c>
      <c r="AR139" s="36">
        <v>-92.840999999999994</v>
      </c>
      <c r="AS139" s="36">
        <v>-21.4</v>
      </c>
      <c r="AT139" s="36">
        <v>-9.9</v>
      </c>
      <c r="AU139" s="36">
        <v>-9.5</v>
      </c>
      <c r="AV139" s="36">
        <v>-18</v>
      </c>
      <c r="AW139" s="36">
        <v>-58.7</v>
      </c>
      <c r="AX139" s="36">
        <v>-17.8</v>
      </c>
      <c r="AY139" s="36">
        <v>-15.2</v>
      </c>
      <c r="AZ139" s="36">
        <v>-22.6</v>
      </c>
      <c r="BA139" s="36">
        <v>-68.3</v>
      </c>
      <c r="BB139" s="36">
        <v>-123.9</v>
      </c>
      <c r="BC139" s="36">
        <v>-32.6</v>
      </c>
      <c r="BD139" s="36">
        <v>-26.8</v>
      </c>
      <c r="BE139" s="36">
        <v>-9.6999999999999993</v>
      </c>
      <c r="BF139" s="36">
        <v>-27.5</v>
      </c>
      <c r="BG139" s="36">
        <v>-96.8</v>
      </c>
      <c r="BH139" s="36">
        <v>-28.1</v>
      </c>
      <c r="BI139" s="36">
        <v>-27.1</v>
      </c>
      <c r="BJ139" s="36">
        <v>-28.5</v>
      </c>
      <c r="BK139" s="36">
        <v>-30.4</v>
      </c>
      <c r="BL139" s="36">
        <v>-114.2</v>
      </c>
      <c r="BM139" s="36">
        <v>-30</v>
      </c>
      <c r="BN139" s="36">
        <v>-47</v>
      </c>
      <c r="BO139" s="36">
        <v>-42</v>
      </c>
      <c r="BP139" s="36">
        <v>-32</v>
      </c>
      <c r="BQ139" s="36">
        <v>-151</v>
      </c>
      <c r="BR139" s="36">
        <v>-49</v>
      </c>
      <c r="BS139" s="36">
        <v>-12</v>
      </c>
      <c r="BT139" s="36">
        <v>-32</v>
      </c>
      <c r="BU139" s="36">
        <v>-26</v>
      </c>
      <c r="BV139" s="36">
        <v>-120</v>
      </c>
      <c r="BW139" s="36">
        <v>-60</v>
      </c>
      <c r="BX139" s="36">
        <v>-46</v>
      </c>
      <c r="BY139" s="6"/>
      <c r="BZ139" s="6"/>
      <c r="CA139" s="6"/>
      <c r="CB139" s="6"/>
      <c r="CC139" s="6"/>
      <c r="CD139" s="6"/>
      <c r="CE139" s="6"/>
      <c r="CF139" s="6"/>
    </row>
    <row r="140" spans="2:84" ht="15" hidden="1" customHeight="1" outlineLevel="2" x14ac:dyDescent="0.25">
      <c r="B140" s="42" t="s">
        <v>279</v>
      </c>
      <c r="CF140" s="6"/>
    </row>
    <row r="141" spans="2:84" ht="15" hidden="1" customHeight="1" outlineLevel="2" x14ac:dyDescent="0.25">
      <c r="B141" s="26" t="s">
        <v>280</v>
      </c>
      <c r="C141" s="36">
        <v>580.5</v>
      </c>
      <c r="D141" s="36">
        <v>682.5</v>
      </c>
      <c r="E141" s="36">
        <v>580.4</v>
      </c>
      <c r="F141" s="36">
        <v>438.5</v>
      </c>
      <c r="G141" s="36">
        <v>450</v>
      </c>
      <c r="H141" s="36">
        <v>454</v>
      </c>
      <c r="I141" s="36">
        <v>406.6</v>
      </c>
      <c r="J141" s="36">
        <v>106.3</v>
      </c>
      <c r="K141" s="36">
        <v>186.4</v>
      </c>
      <c r="L141" s="36">
        <v>216.4</v>
      </c>
      <c r="M141" s="36">
        <v>169.5</v>
      </c>
      <c r="N141" s="36">
        <v>678.5</v>
      </c>
      <c r="O141" s="36">
        <v>106.5</v>
      </c>
      <c r="P141" s="36">
        <v>218.7</v>
      </c>
      <c r="Q141" s="36">
        <v>244.3</v>
      </c>
      <c r="R141" s="36">
        <v>201</v>
      </c>
      <c r="S141" s="36">
        <v>770.5</v>
      </c>
      <c r="T141" s="36">
        <v>129.69999999999999</v>
      </c>
      <c r="U141" s="36">
        <v>237.4</v>
      </c>
      <c r="V141" s="36">
        <v>265.60000000000002</v>
      </c>
      <c r="W141" s="36">
        <v>219.1</v>
      </c>
      <c r="X141" s="36">
        <v>851.9</v>
      </c>
      <c r="Y141" s="36">
        <v>173.4</v>
      </c>
      <c r="Z141" s="36">
        <v>259</v>
      </c>
      <c r="AA141" s="36">
        <v>275.8</v>
      </c>
      <c r="AB141" s="36">
        <v>237</v>
      </c>
      <c r="AC141" s="36">
        <v>945.1</v>
      </c>
      <c r="AD141" s="36">
        <v>177.3</v>
      </c>
      <c r="AE141" s="36">
        <v>269.8</v>
      </c>
      <c r="AF141" s="36">
        <v>308.5</v>
      </c>
      <c r="AG141" s="36">
        <v>264.89999999999998</v>
      </c>
      <c r="AH141" s="36">
        <v>1053.3</v>
      </c>
      <c r="AI141" s="36">
        <v>178.8</v>
      </c>
      <c r="AJ141" s="36">
        <v>350.59199999999998</v>
      </c>
      <c r="AK141" s="36">
        <v>377.005</v>
      </c>
      <c r="AL141" s="36">
        <v>316.85700000000003</v>
      </c>
      <c r="AM141" s="36">
        <v>1223.2360000000001</v>
      </c>
      <c r="AN141" s="36">
        <v>248.81299999999999</v>
      </c>
      <c r="AO141" s="36">
        <v>415.327</v>
      </c>
      <c r="AP141" s="36">
        <v>448.75799999999998</v>
      </c>
      <c r="AQ141" s="36">
        <v>333.13200000000001</v>
      </c>
      <c r="AR141" s="36">
        <v>1446.029</v>
      </c>
      <c r="AS141" s="36">
        <v>260.8</v>
      </c>
      <c r="AT141" s="36">
        <v>392.3</v>
      </c>
      <c r="BY141" s="6"/>
      <c r="BZ141" s="6"/>
      <c r="CA141" s="6"/>
      <c r="CB141" s="6"/>
      <c r="CC141" s="6"/>
      <c r="CD141" s="6"/>
      <c r="CE141" s="6"/>
      <c r="CF141" s="6"/>
    </row>
    <row r="142" spans="2:84" ht="15" hidden="1" customHeight="1" outlineLevel="2" x14ac:dyDescent="0.25">
      <c r="B142" s="26" t="s">
        <v>281</v>
      </c>
      <c r="C142" s="36">
        <v>546.79999999999995</v>
      </c>
      <c r="D142" s="36">
        <v>457.9</v>
      </c>
      <c r="E142" s="36">
        <v>449.5</v>
      </c>
      <c r="F142" s="36">
        <v>350.1</v>
      </c>
      <c r="G142" s="36">
        <v>329.3</v>
      </c>
      <c r="H142" s="36">
        <v>224.7</v>
      </c>
      <c r="I142" s="36">
        <v>282.2</v>
      </c>
      <c r="J142" s="36">
        <v>51.3</v>
      </c>
      <c r="K142" s="36">
        <v>55.3</v>
      </c>
      <c r="L142" s="36">
        <v>64.900000000000006</v>
      </c>
      <c r="M142" s="36">
        <v>55</v>
      </c>
      <c r="N142" s="36">
        <v>226.4</v>
      </c>
      <c r="O142" s="36">
        <v>55.4</v>
      </c>
      <c r="P142" s="36">
        <v>70.7</v>
      </c>
      <c r="Q142" s="36">
        <v>68</v>
      </c>
      <c r="R142" s="36">
        <v>60.8</v>
      </c>
      <c r="S142" s="36">
        <v>255</v>
      </c>
      <c r="T142" s="36">
        <v>59.7</v>
      </c>
      <c r="U142" s="36">
        <v>76.400000000000006</v>
      </c>
      <c r="V142" s="36">
        <v>78.3</v>
      </c>
      <c r="W142" s="36">
        <v>70.8</v>
      </c>
      <c r="X142" s="36">
        <v>285.3</v>
      </c>
      <c r="Y142" s="36">
        <v>67.3</v>
      </c>
      <c r="Z142" s="36">
        <v>82.7</v>
      </c>
      <c r="AA142" s="36">
        <v>80</v>
      </c>
      <c r="AB142" s="36">
        <v>74.400000000000006</v>
      </c>
      <c r="AC142" s="36">
        <v>304.5</v>
      </c>
      <c r="AD142" s="36">
        <v>86.7</v>
      </c>
      <c r="AE142" s="36">
        <v>88.5</v>
      </c>
      <c r="AF142" s="36">
        <v>94.8</v>
      </c>
      <c r="AG142" s="36">
        <v>85.1</v>
      </c>
      <c r="AH142" s="36">
        <v>362.6</v>
      </c>
      <c r="AI142" s="36">
        <v>80.2</v>
      </c>
      <c r="AJ142" s="36">
        <v>112.96299999999999</v>
      </c>
      <c r="AK142" s="36">
        <v>125.547</v>
      </c>
      <c r="AL142" s="36">
        <v>104.633</v>
      </c>
      <c r="AM142" s="36">
        <v>423.38200000000001</v>
      </c>
      <c r="AN142" s="36">
        <v>119.23699999999999</v>
      </c>
      <c r="AO142" s="36">
        <v>137.024</v>
      </c>
      <c r="AP142" s="36">
        <v>134.13800000000001</v>
      </c>
      <c r="AQ142" s="36">
        <v>116.018</v>
      </c>
      <c r="AR142" s="36">
        <v>506.41699999999997</v>
      </c>
      <c r="AS142" s="36">
        <v>121.1</v>
      </c>
      <c r="AT142" s="36">
        <v>142.19999999999999</v>
      </c>
      <c r="BY142" s="6"/>
      <c r="BZ142" s="6"/>
      <c r="CA142" s="6"/>
      <c r="CB142" s="6"/>
      <c r="CC142" s="6"/>
      <c r="CD142" s="6"/>
      <c r="CE142" s="6"/>
      <c r="CF142" s="6"/>
    </row>
    <row r="143" spans="2:84" ht="15" hidden="1" customHeight="1" outlineLevel="2" x14ac:dyDescent="0.25">
      <c r="B143" s="26" t="s">
        <v>282</v>
      </c>
      <c r="C143" s="36">
        <v>664.9</v>
      </c>
      <c r="D143" s="36">
        <v>672.8</v>
      </c>
      <c r="E143" s="36">
        <v>666.2</v>
      </c>
      <c r="F143" s="36">
        <v>564.29999999999995</v>
      </c>
      <c r="G143" s="36">
        <v>595.20000000000005</v>
      </c>
      <c r="H143" s="36">
        <v>640.70000000000005</v>
      </c>
      <c r="I143" s="36">
        <v>947.7</v>
      </c>
      <c r="J143" s="36">
        <v>132.4</v>
      </c>
      <c r="K143" s="36">
        <v>210.4</v>
      </c>
      <c r="L143" s="36">
        <v>263.39999999999998</v>
      </c>
      <c r="M143" s="36">
        <v>208.8</v>
      </c>
      <c r="N143" s="36">
        <v>812.7</v>
      </c>
      <c r="O143" s="36">
        <v>160.4</v>
      </c>
      <c r="P143" s="36">
        <v>250.6</v>
      </c>
      <c r="Q143" s="36">
        <v>437.4</v>
      </c>
      <c r="R143" s="36">
        <v>359.5</v>
      </c>
      <c r="S143" s="36">
        <v>1207.9000000000001</v>
      </c>
      <c r="T143" s="36">
        <v>287.10000000000002</v>
      </c>
      <c r="U143" s="36">
        <v>375.5</v>
      </c>
      <c r="V143" s="36">
        <v>493.5</v>
      </c>
      <c r="W143" s="36">
        <v>379.8</v>
      </c>
      <c r="X143" s="36">
        <v>1535.8</v>
      </c>
      <c r="Y143" s="36">
        <v>363.9</v>
      </c>
      <c r="Z143" s="36">
        <v>455.1</v>
      </c>
      <c r="AA143" s="36">
        <v>562.20000000000005</v>
      </c>
      <c r="AB143" s="36">
        <v>466</v>
      </c>
      <c r="AC143" s="36">
        <v>1847.2</v>
      </c>
      <c r="AD143" s="36">
        <v>464.4</v>
      </c>
      <c r="AE143" s="36">
        <v>573.4</v>
      </c>
      <c r="AF143" s="36">
        <v>620.5</v>
      </c>
      <c r="AG143" s="36">
        <v>553</v>
      </c>
      <c r="AH143" s="36">
        <v>2279.6999999999998</v>
      </c>
      <c r="AI143" s="36">
        <v>473.7</v>
      </c>
      <c r="AJ143" s="36">
        <v>665.88599999999997</v>
      </c>
      <c r="AK143" s="36">
        <v>643.56500000000005</v>
      </c>
      <c r="AL143" s="36">
        <v>526.75300000000004</v>
      </c>
      <c r="AM143" s="36">
        <v>2309.924</v>
      </c>
      <c r="AN143" s="36">
        <v>496.83100000000002</v>
      </c>
      <c r="AO143" s="36">
        <v>650.87800000000004</v>
      </c>
      <c r="AP143" s="36">
        <v>772.47299999999996</v>
      </c>
      <c r="AQ143" s="36">
        <v>595.154</v>
      </c>
      <c r="AR143" s="36">
        <v>2515.3359999999998</v>
      </c>
      <c r="AS143" s="36">
        <v>510.6</v>
      </c>
      <c r="AT143" s="36">
        <v>682.5</v>
      </c>
      <c r="BY143" s="6"/>
      <c r="BZ143" s="6"/>
      <c r="CA143" s="6"/>
      <c r="CB143" s="6"/>
      <c r="CC143" s="6"/>
      <c r="CD143" s="6"/>
      <c r="CE143" s="6"/>
      <c r="CF143" s="6"/>
    </row>
    <row r="144" spans="2:84" ht="15" hidden="1" customHeight="1" outlineLevel="2" x14ac:dyDescent="0.25">
      <c r="B144" s="26" t="s">
        <v>283</v>
      </c>
      <c r="Q144" s="36">
        <v>109.5</v>
      </c>
      <c r="R144" s="36">
        <v>100</v>
      </c>
      <c r="S144" s="36">
        <v>209.6</v>
      </c>
      <c r="T144" s="36">
        <v>96.6</v>
      </c>
      <c r="U144" s="36">
        <v>100.4</v>
      </c>
      <c r="V144" s="36">
        <v>110.5</v>
      </c>
      <c r="W144" s="36">
        <v>60.1</v>
      </c>
      <c r="X144" s="36">
        <v>367.6</v>
      </c>
      <c r="Y144" s="36">
        <v>69.900000000000006</v>
      </c>
      <c r="Z144" s="36">
        <v>59.8</v>
      </c>
      <c r="AA144" s="36">
        <v>60.1</v>
      </c>
      <c r="AB144" s="36">
        <v>85.4</v>
      </c>
      <c r="AC144" s="36">
        <v>364.4</v>
      </c>
      <c r="BY144" s="6"/>
      <c r="BZ144" s="6"/>
      <c r="CA144" s="6"/>
      <c r="CB144" s="6"/>
      <c r="CC144" s="6"/>
      <c r="CD144" s="6"/>
      <c r="CE144" s="6"/>
      <c r="CF144" s="6"/>
    </row>
    <row r="145" spans="2:89" ht="15" hidden="1" customHeight="1" outlineLevel="2" x14ac:dyDescent="0.25">
      <c r="B145" s="26" t="s">
        <v>284</v>
      </c>
      <c r="C145" s="36">
        <v>199.4</v>
      </c>
      <c r="D145" s="36">
        <v>246.6</v>
      </c>
      <c r="E145" s="36">
        <v>187.2</v>
      </c>
      <c r="F145" s="36">
        <v>95.1</v>
      </c>
      <c r="G145" s="36">
        <v>93.9</v>
      </c>
      <c r="H145" s="36">
        <v>85.1</v>
      </c>
      <c r="I145" s="36">
        <v>75</v>
      </c>
      <c r="J145" s="36">
        <v>-11</v>
      </c>
      <c r="K145" s="36">
        <v>47</v>
      </c>
      <c r="L145" s="36">
        <v>66.400000000000006</v>
      </c>
      <c r="M145" s="36">
        <v>44.6</v>
      </c>
      <c r="N145" s="36">
        <v>146.9</v>
      </c>
      <c r="O145" s="36">
        <v>-11.8</v>
      </c>
      <c r="P145" s="36">
        <v>57.3</v>
      </c>
      <c r="Q145" s="36">
        <v>71.2</v>
      </c>
      <c r="R145" s="36">
        <v>55.5</v>
      </c>
      <c r="S145" s="36">
        <v>172.2</v>
      </c>
      <c r="T145" s="36">
        <v>-4.2</v>
      </c>
      <c r="U145" s="36">
        <v>66.900000000000006</v>
      </c>
      <c r="V145" s="36">
        <v>85.7</v>
      </c>
      <c r="W145" s="36">
        <v>58.5</v>
      </c>
      <c r="X145" s="36">
        <v>206.8</v>
      </c>
      <c r="Y145" s="36">
        <v>15.7</v>
      </c>
      <c r="Z145" s="36">
        <v>80.599999999999994</v>
      </c>
      <c r="AA145" s="36">
        <v>91.9</v>
      </c>
      <c r="AB145" s="36">
        <v>70.5</v>
      </c>
      <c r="AC145" s="36">
        <v>257.3</v>
      </c>
      <c r="AD145" s="36">
        <v>13.4</v>
      </c>
      <c r="AE145" s="36">
        <v>85.4</v>
      </c>
      <c r="AF145" s="36">
        <v>106.2</v>
      </c>
      <c r="AG145" s="36">
        <v>79.900000000000006</v>
      </c>
      <c r="AH145" s="36">
        <v>284.8</v>
      </c>
      <c r="AI145" s="36">
        <v>6.2</v>
      </c>
      <c r="AJ145" s="36">
        <v>108.709</v>
      </c>
      <c r="AK145" s="36">
        <v>120.34399999999999</v>
      </c>
      <c r="AL145" s="36">
        <v>83.918000000000006</v>
      </c>
      <c r="AM145" s="36">
        <v>319.13900000000001</v>
      </c>
      <c r="AN145" s="36">
        <v>30.954999999999998</v>
      </c>
      <c r="AO145" s="36">
        <v>141.678</v>
      </c>
      <c r="AP145" s="36">
        <v>159.71100000000001</v>
      </c>
      <c r="AQ145" s="36">
        <v>93.566999999999993</v>
      </c>
      <c r="AR145" s="36">
        <v>425.911</v>
      </c>
      <c r="AS145" s="36">
        <v>20.8</v>
      </c>
      <c r="AT145" s="36">
        <v>136.19999999999999</v>
      </c>
      <c r="BY145" s="6"/>
      <c r="BZ145" s="6"/>
      <c r="CA145" s="6"/>
      <c r="CB145" s="6"/>
      <c r="CC145" s="6"/>
      <c r="CD145" s="6"/>
      <c r="CE145" s="6"/>
      <c r="CF145" s="6"/>
    </row>
    <row r="146" spans="2:89" ht="15" hidden="1" customHeight="1" outlineLevel="2" x14ac:dyDescent="0.25">
      <c r="B146" s="26" t="s">
        <v>285</v>
      </c>
      <c r="C146" s="36">
        <v>97.1</v>
      </c>
      <c r="D146" s="36">
        <v>84.2</v>
      </c>
      <c r="E146" s="36">
        <v>48</v>
      </c>
      <c r="F146" s="36">
        <v>20.5</v>
      </c>
      <c r="G146" s="36">
        <v>-3.1</v>
      </c>
      <c r="H146" s="36">
        <v>-21.2</v>
      </c>
      <c r="I146" s="36">
        <v>-13.5</v>
      </c>
      <c r="J146" s="36">
        <v>-8.4</v>
      </c>
      <c r="K146" s="36">
        <v>-5.2</v>
      </c>
      <c r="L146" s="36">
        <v>-1.4</v>
      </c>
      <c r="M146" s="36">
        <v>-4.9000000000000004</v>
      </c>
      <c r="N146" s="36">
        <v>-19.8</v>
      </c>
      <c r="O146" s="36">
        <v>-6.1</v>
      </c>
      <c r="P146" s="36">
        <v>-1.3</v>
      </c>
      <c r="Q146" s="36">
        <v>0.3</v>
      </c>
      <c r="R146" s="36">
        <v>1.8</v>
      </c>
      <c r="S146" s="36">
        <v>-5.3</v>
      </c>
      <c r="T146" s="36">
        <v>-1.5</v>
      </c>
      <c r="U146" s="36">
        <v>4.8</v>
      </c>
      <c r="V146" s="36">
        <v>7.6</v>
      </c>
      <c r="W146" s="36">
        <v>5.6</v>
      </c>
      <c r="X146" s="36">
        <v>16.399999999999999</v>
      </c>
      <c r="Y146" s="36">
        <v>8</v>
      </c>
      <c r="Z146" s="36">
        <v>11.5</v>
      </c>
      <c r="AA146" s="36">
        <v>11.9</v>
      </c>
      <c r="AB146" s="36">
        <v>11</v>
      </c>
      <c r="AC146" s="36">
        <v>41.4</v>
      </c>
      <c r="AD146" s="36">
        <v>10.1</v>
      </c>
      <c r="AE146" s="36">
        <v>14.3</v>
      </c>
      <c r="AF146" s="36">
        <v>17.899999999999999</v>
      </c>
      <c r="AG146" s="36">
        <v>18.899999999999999</v>
      </c>
      <c r="AH146" s="36">
        <v>61.2</v>
      </c>
      <c r="AI146" s="36">
        <v>2</v>
      </c>
      <c r="AJ146" s="36">
        <v>32.052</v>
      </c>
      <c r="AK146" s="36">
        <v>26.372</v>
      </c>
      <c r="AL146" s="36">
        <v>15.377000000000001</v>
      </c>
      <c r="AM146" s="36">
        <v>75.84</v>
      </c>
      <c r="AN146" s="36">
        <v>21.134</v>
      </c>
      <c r="AO146" s="36">
        <v>32.688000000000002</v>
      </c>
      <c r="AP146" s="36">
        <v>31.463000000000001</v>
      </c>
      <c r="AQ146" s="36">
        <v>17.777999999999999</v>
      </c>
      <c r="AR146" s="36">
        <v>103.063</v>
      </c>
      <c r="AS146" s="36">
        <v>14</v>
      </c>
      <c r="AT146" s="36">
        <v>33.700000000000003</v>
      </c>
      <c r="BY146" s="6"/>
      <c r="BZ146" s="6"/>
      <c r="CA146" s="6"/>
      <c r="CB146" s="6"/>
      <c r="CC146" s="6"/>
      <c r="CD146" s="6"/>
      <c r="CE146" s="6"/>
      <c r="CF146" s="6"/>
    </row>
    <row r="147" spans="2:89" ht="15" hidden="1" customHeight="1" outlineLevel="2" x14ac:dyDescent="0.25">
      <c r="B147" s="26" t="s">
        <v>286</v>
      </c>
      <c r="C147" s="36">
        <v>103.8</v>
      </c>
      <c r="D147" s="36">
        <v>101</v>
      </c>
      <c r="E147" s="36">
        <v>95.8</v>
      </c>
      <c r="F147" s="36">
        <v>61.4</v>
      </c>
      <c r="G147" s="36">
        <v>75.8</v>
      </c>
      <c r="H147" s="36">
        <v>63.6</v>
      </c>
      <c r="I147" s="36">
        <v>82</v>
      </c>
      <c r="J147" s="36">
        <v>-11.3</v>
      </c>
      <c r="K147" s="36">
        <v>16.899999999999999</v>
      </c>
      <c r="L147" s="36">
        <v>32.299999999999997</v>
      </c>
      <c r="M147" s="36">
        <v>12.1</v>
      </c>
      <c r="N147" s="36">
        <v>50.5</v>
      </c>
      <c r="O147" s="36">
        <v>2.1</v>
      </c>
      <c r="P147" s="36">
        <v>30.9</v>
      </c>
      <c r="Q147" s="36">
        <v>92.1</v>
      </c>
      <c r="R147" s="36">
        <v>28.1</v>
      </c>
      <c r="S147" s="36">
        <v>153.19999999999999</v>
      </c>
      <c r="T147" s="36">
        <v>14.5</v>
      </c>
      <c r="U147" s="36">
        <v>49.2</v>
      </c>
      <c r="V147" s="36">
        <v>87.5</v>
      </c>
      <c r="W147" s="36">
        <v>54.5</v>
      </c>
      <c r="X147" s="36">
        <v>205.7</v>
      </c>
      <c r="Y147" s="36">
        <v>40.1</v>
      </c>
      <c r="Z147" s="36">
        <v>77.400000000000006</v>
      </c>
      <c r="AA147" s="36">
        <v>110.8</v>
      </c>
      <c r="AB147" s="36">
        <v>57.4</v>
      </c>
      <c r="AC147" s="36">
        <v>277.3</v>
      </c>
      <c r="AD147" s="36">
        <v>61.2</v>
      </c>
      <c r="AE147" s="36">
        <v>112.5</v>
      </c>
      <c r="AF147" s="36">
        <v>96.5</v>
      </c>
      <c r="AG147" s="36">
        <v>90.3</v>
      </c>
      <c r="AH147" s="36">
        <v>360.6</v>
      </c>
      <c r="AI147" s="36">
        <v>35</v>
      </c>
      <c r="AJ147" s="36">
        <v>122.84399999999999</v>
      </c>
      <c r="AK147" s="36">
        <v>92.09</v>
      </c>
      <c r="AL147" s="36">
        <v>45.914999999999999</v>
      </c>
      <c r="AM147" s="36">
        <v>295.80099999999999</v>
      </c>
      <c r="AN147" s="36">
        <v>19.936</v>
      </c>
      <c r="AO147" s="36">
        <v>110.223</v>
      </c>
      <c r="AP147" s="36">
        <v>156.38200000000001</v>
      </c>
      <c r="AQ147" s="36">
        <v>78.703999999999994</v>
      </c>
      <c r="AR147" s="36">
        <v>365.24400000000003</v>
      </c>
      <c r="AS147" s="36">
        <v>22.7</v>
      </c>
      <c r="AT147" s="36">
        <v>133.19999999999999</v>
      </c>
      <c r="BY147" s="6"/>
      <c r="BZ147" s="6"/>
      <c r="CA147" s="6"/>
      <c r="CB147" s="6"/>
      <c r="CC147" s="6"/>
      <c r="CD147" s="6"/>
      <c r="CE147" s="6"/>
      <c r="CF147" s="6"/>
    </row>
    <row r="148" spans="2:89" ht="15" hidden="1" customHeight="1" outlineLevel="2" x14ac:dyDescent="0.25">
      <c r="B148" s="26" t="s">
        <v>287</v>
      </c>
      <c r="Q148" s="36">
        <v>18.3</v>
      </c>
      <c r="R148" s="36">
        <v>22.5</v>
      </c>
      <c r="S148" s="36">
        <v>40.799999999999997</v>
      </c>
      <c r="T148" s="36">
        <v>12.2</v>
      </c>
      <c r="U148" s="36">
        <v>22.5</v>
      </c>
      <c r="V148" s="36">
        <v>2.8</v>
      </c>
      <c r="W148" s="36">
        <v>10.4</v>
      </c>
      <c r="X148" s="36">
        <v>47.8</v>
      </c>
      <c r="Y148" s="36">
        <v>26.3</v>
      </c>
      <c r="Z148" s="36">
        <v>21.3</v>
      </c>
      <c r="AA148" s="36">
        <v>23</v>
      </c>
      <c r="AB148" s="36">
        <v>21.6</v>
      </c>
      <c r="AC148" s="36">
        <v>99.4</v>
      </c>
      <c r="BY148" s="6"/>
      <c r="BZ148" s="6"/>
      <c r="CA148" s="6"/>
      <c r="CB148" s="6"/>
      <c r="CC148" s="6"/>
      <c r="CD148" s="6"/>
      <c r="CE148" s="6"/>
      <c r="CF148" s="6"/>
    </row>
    <row r="149" spans="2:89" ht="15" hidden="1" customHeight="1" outlineLevel="2" collapsed="1" x14ac:dyDescent="0.25">
      <c r="B149" s="61" t="s">
        <v>288</v>
      </c>
      <c r="C149" s="47">
        <f t="shared" ref="C149:AH149" si="135">ROUND(N(C135)+N(C136)+N(C138)+N(C139)+N(C145)+N(C146)+N(C147)+N(C148)-C166,1)</f>
        <v>0</v>
      </c>
      <c r="D149" s="47">
        <f t="shared" si="135"/>
        <v>0</v>
      </c>
      <c r="E149" s="47">
        <f t="shared" si="135"/>
        <v>0</v>
      </c>
      <c r="F149" s="47">
        <f t="shared" si="135"/>
        <v>0</v>
      </c>
      <c r="G149" s="47">
        <f t="shared" si="135"/>
        <v>0</v>
      </c>
      <c r="H149" s="47">
        <f t="shared" si="135"/>
        <v>0</v>
      </c>
      <c r="I149" s="47">
        <f t="shared" si="135"/>
        <v>0</v>
      </c>
      <c r="J149" s="47">
        <f t="shared" si="135"/>
        <v>0</v>
      </c>
      <c r="K149" s="47">
        <f t="shared" si="135"/>
        <v>0</v>
      </c>
      <c r="L149" s="47">
        <f t="shared" si="135"/>
        <v>0</v>
      </c>
      <c r="M149" s="47">
        <f t="shared" si="135"/>
        <v>0</v>
      </c>
      <c r="N149" s="47">
        <f t="shared" si="135"/>
        <v>0</v>
      </c>
      <c r="O149" s="47">
        <f t="shared" si="135"/>
        <v>0</v>
      </c>
      <c r="P149" s="47">
        <f t="shared" si="135"/>
        <v>0</v>
      </c>
      <c r="Q149" s="47">
        <f t="shared" si="135"/>
        <v>0</v>
      </c>
      <c r="R149" s="47">
        <f t="shared" si="135"/>
        <v>0</v>
      </c>
      <c r="S149" s="47">
        <f t="shared" si="135"/>
        <v>0</v>
      </c>
      <c r="T149" s="47">
        <f t="shared" si="135"/>
        <v>0</v>
      </c>
      <c r="U149" s="47">
        <f t="shared" si="135"/>
        <v>0</v>
      </c>
      <c r="V149" s="47">
        <f t="shared" si="135"/>
        <v>0</v>
      </c>
      <c r="W149" s="47">
        <f t="shared" si="135"/>
        <v>0</v>
      </c>
      <c r="X149" s="47">
        <f t="shared" si="135"/>
        <v>0</v>
      </c>
      <c r="Y149" s="47">
        <f t="shared" si="135"/>
        <v>0</v>
      </c>
      <c r="Z149" s="47">
        <f t="shared" si="135"/>
        <v>0</v>
      </c>
      <c r="AA149" s="47">
        <f t="shared" si="135"/>
        <v>0</v>
      </c>
      <c r="AB149" s="47">
        <f t="shared" si="135"/>
        <v>0</v>
      </c>
      <c r="AC149" s="47">
        <f t="shared" si="135"/>
        <v>0</v>
      </c>
      <c r="AD149" s="47">
        <f t="shared" si="135"/>
        <v>0</v>
      </c>
      <c r="AE149" s="47">
        <f t="shared" si="135"/>
        <v>0</v>
      </c>
      <c r="AF149" s="47">
        <f t="shared" si="135"/>
        <v>0</v>
      </c>
      <c r="AG149" s="47">
        <f t="shared" si="135"/>
        <v>0</v>
      </c>
      <c r="AH149" s="47">
        <f t="shared" si="135"/>
        <v>0</v>
      </c>
      <c r="AI149" s="47">
        <f t="shared" ref="AI149:BN149" si="136">ROUND(N(AI135)+N(AI136)+N(AI138)+N(AI139)+N(AI145)+N(AI146)+N(AI147)+N(AI148)-AI166,1)</f>
        <v>0</v>
      </c>
      <c r="AJ149" s="47">
        <f t="shared" si="136"/>
        <v>0</v>
      </c>
      <c r="AK149" s="47">
        <f t="shared" si="136"/>
        <v>0</v>
      </c>
      <c r="AL149" s="47">
        <f t="shared" si="136"/>
        <v>0</v>
      </c>
      <c r="AM149" s="47">
        <f t="shared" si="136"/>
        <v>0</v>
      </c>
      <c r="AN149" s="47">
        <f t="shared" si="136"/>
        <v>0</v>
      </c>
      <c r="AO149" s="47">
        <f t="shared" si="136"/>
        <v>0</v>
      </c>
      <c r="AP149" s="47">
        <f t="shared" si="136"/>
        <v>0</v>
      </c>
      <c r="AQ149" s="47">
        <f t="shared" si="136"/>
        <v>0</v>
      </c>
      <c r="AR149" s="47">
        <f t="shared" si="136"/>
        <v>0</v>
      </c>
      <c r="AS149" s="47">
        <f t="shared" si="136"/>
        <v>0</v>
      </c>
      <c r="AT149" s="47">
        <f t="shared" si="136"/>
        <v>0</v>
      </c>
      <c r="AU149" s="47">
        <f t="shared" si="136"/>
        <v>0</v>
      </c>
      <c r="AV149" s="47">
        <f t="shared" si="136"/>
        <v>0</v>
      </c>
      <c r="AW149" s="47">
        <f t="shared" si="136"/>
        <v>0</v>
      </c>
      <c r="AX149" s="47">
        <f t="shared" si="136"/>
        <v>0</v>
      </c>
      <c r="AY149" s="47">
        <f t="shared" si="136"/>
        <v>0</v>
      </c>
      <c r="AZ149" s="47">
        <f t="shared" si="136"/>
        <v>0</v>
      </c>
      <c r="BA149" s="47">
        <f t="shared" si="136"/>
        <v>0</v>
      </c>
      <c r="BB149" s="47">
        <f t="shared" si="136"/>
        <v>0</v>
      </c>
      <c r="BC149" s="47">
        <f t="shared" si="136"/>
        <v>0</v>
      </c>
      <c r="BD149" s="47">
        <f t="shared" si="136"/>
        <v>0</v>
      </c>
      <c r="BE149" s="47">
        <f t="shared" si="136"/>
        <v>0</v>
      </c>
      <c r="BF149" s="47">
        <f t="shared" si="136"/>
        <v>0</v>
      </c>
      <c r="BG149" s="47">
        <f t="shared" si="136"/>
        <v>0</v>
      </c>
      <c r="BH149" s="47">
        <f t="shared" si="136"/>
        <v>0</v>
      </c>
      <c r="BI149" s="47">
        <f t="shared" si="136"/>
        <v>0</v>
      </c>
      <c r="BJ149" s="47">
        <f t="shared" si="136"/>
        <v>0</v>
      </c>
      <c r="BK149" s="47">
        <f t="shared" si="136"/>
        <v>0</v>
      </c>
      <c r="BL149" s="47">
        <f t="shared" si="136"/>
        <v>0</v>
      </c>
      <c r="BM149" s="47">
        <f t="shared" si="136"/>
        <v>0</v>
      </c>
      <c r="BN149" s="47">
        <f t="shared" si="136"/>
        <v>0</v>
      </c>
      <c r="BO149" s="47">
        <f t="shared" ref="BO149:BX149" si="137">ROUND(N(BO135)+N(BO136)+N(BO138)+N(BO139)+N(BO145)+N(BO146)+N(BO147)+N(BO148)-BO166,1)</f>
        <v>0</v>
      </c>
      <c r="BP149" s="47">
        <f t="shared" si="137"/>
        <v>0</v>
      </c>
      <c r="BQ149" s="47">
        <f t="shared" si="137"/>
        <v>0</v>
      </c>
      <c r="BR149" s="47">
        <f t="shared" si="137"/>
        <v>0</v>
      </c>
      <c r="BS149" s="47">
        <f t="shared" si="137"/>
        <v>0</v>
      </c>
      <c r="BT149" s="47">
        <f t="shared" si="137"/>
        <v>0</v>
      </c>
      <c r="BU149" s="47">
        <f t="shared" si="137"/>
        <v>0</v>
      </c>
      <c r="BV149" s="47">
        <f t="shared" si="137"/>
        <v>0</v>
      </c>
      <c r="BW149" s="47">
        <f t="shared" si="137"/>
        <v>0</v>
      </c>
      <c r="BX149" s="47">
        <f t="shared" si="137"/>
        <v>0</v>
      </c>
      <c r="BY149" s="6"/>
      <c r="BZ149" s="6"/>
      <c r="CA149" s="6"/>
      <c r="CB149" s="6"/>
      <c r="CC149" s="6"/>
      <c r="CD149" s="6"/>
      <c r="CE149" s="6"/>
      <c r="CF149" s="6"/>
    </row>
    <row r="150" spans="2:89" ht="15" hidden="1" customHeight="1" outlineLevel="2" x14ac:dyDescent="0.25"/>
    <row r="151" spans="2:89" ht="15" hidden="1" customHeight="1" outlineLevel="2" x14ac:dyDescent="0.25">
      <c r="B151" s="15" t="s">
        <v>289</v>
      </c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5"/>
      <c r="BX151" s="15"/>
      <c r="BY151" s="15"/>
      <c r="BZ151" s="15"/>
      <c r="CA151" s="15"/>
      <c r="CB151" s="15"/>
      <c r="CC151" s="15"/>
      <c r="CD151" s="15"/>
      <c r="CE151" s="15"/>
      <c r="CF151" s="16" t="s">
        <v>290</v>
      </c>
    </row>
    <row r="152" spans="2:89" ht="15" hidden="1" customHeight="1" outlineLevel="2" x14ac:dyDescent="0.25">
      <c r="B152" s="26" t="s">
        <v>291</v>
      </c>
      <c r="C152" s="47">
        <f t="shared" ref="C152:AH152" si="138">C182</f>
        <v>141.429</v>
      </c>
      <c r="D152" s="47">
        <f t="shared" si="138"/>
        <v>150.33799999999999</v>
      </c>
      <c r="E152" s="47">
        <f t="shared" si="138"/>
        <v>171.12899999999999</v>
      </c>
      <c r="F152" s="47">
        <f t="shared" si="138"/>
        <v>179.39099999999999</v>
      </c>
      <c r="G152" s="47">
        <f t="shared" si="138"/>
        <v>181.53700000000001</v>
      </c>
      <c r="H152" s="47">
        <f t="shared" si="138"/>
        <v>173.40700000000001</v>
      </c>
      <c r="I152" s="47">
        <f t="shared" si="138"/>
        <v>177.21100000000001</v>
      </c>
      <c r="J152" s="47">
        <f t="shared" si="138"/>
        <v>43.042999999999999</v>
      </c>
      <c r="K152" s="47">
        <f t="shared" si="138"/>
        <v>42.948999999999998</v>
      </c>
      <c r="L152" s="47">
        <f t="shared" si="138"/>
        <v>44.104999999999997</v>
      </c>
      <c r="M152" s="47">
        <f t="shared" si="138"/>
        <v>43.664000000000001</v>
      </c>
      <c r="N152" s="47">
        <f t="shared" si="138"/>
        <v>173.761</v>
      </c>
      <c r="O152" s="47">
        <f t="shared" si="138"/>
        <v>42.466000000000001</v>
      </c>
      <c r="P152" s="47">
        <f t="shared" si="138"/>
        <v>43.680999999999997</v>
      </c>
      <c r="Q152" s="47">
        <f t="shared" si="138"/>
        <v>67.932000000000002</v>
      </c>
      <c r="R152" s="47">
        <f t="shared" si="138"/>
        <v>68.667000000000002</v>
      </c>
      <c r="S152" s="47">
        <f t="shared" si="138"/>
        <v>222.74600000000001</v>
      </c>
      <c r="T152" s="47">
        <f t="shared" si="138"/>
        <v>67.268000000000001</v>
      </c>
      <c r="U152" s="47">
        <f t="shared" si="138"/>
        <v>67.69</v>
      </c>
      <c r="V152" s="47">
        <f t="shared" si="138"/>
        <v>64.977000000000004</v>
      </c>
      <c r="W152" s="47">
        <f t="shared" si="138"/>
        <v>63.652000000000001</v>
      </c>
      <c r="X152" s="47">
        <f t="shared" si="138"/>
        <v>263.58699999999999</v>
      </c>
      <c r="Y152" s="47">
        <f t="shared" si="138"/>
        <v>68.41</v>
      </c>
      <c r="Z152" s="47">
        <f t="shared" si="138"/>
        <v>71.206999999999994</v>
      </c>
      <c r="AA152" s="47">
        <f t="shared" si="138"/>
        <v>72.38</v>
      </c>
      <c r="AB152" s="47">
        <f t="shared" si="138"/>
        <v>73.256</v>
      </c>
      <c r="AC152" s="47">
        <f t="shared" si="138"/>
        <v>285.25299999999999</v>
      </c>
      <c r="AD152" s="47">
        <f t="shared" si="138"/>
        <v>70.376000000000005</v>
      </c>
      <c r="AE152" s="47">
        <f t="shared" si="138"/>
        <v>75.725999999999999</v>
      </c>
      <c r="AF152" s="47">
        <f t="shared" si="138"/>
        <v>75.316000000000003</v>
      </c>
      <c r="AG152" s="47">
        <f t="shared" si="138"/>
        <v>75.744</v>
      </c>
      <c r="AH152" s="47">
        <f t="shared" si="138"/>
        <v>297.16199999999998</v>
      </c>
      <c r="AI152" s="47">
        <f t="shared" ref="AI152:BN152" si="139">AI182</f>
        <v>76.820999999999998</v>
      </c>
      <c r="AJ152" s="47">
        <f t="shared" si="139"/>
        <v>86.724000000000004</v>
      </c>
      <c r="AK152" s="47">
        <f t="shared" si="139"/>
        <v>89.655000000000001</v>
      </c>
      <c r="AL152" s="47">
        <f t="shared" si="139"/>
        <v>90.832999999999998</v>
      </c>
      <c r="AM152" s="47">
        <f t="shared" si="139"/>
        <v>344.03300000000002</v>
      </c>
      <c r="AN152" s="47">
        <f t="shared" si="139"/>
        <v>89.210999999999999</v>
      </c>
      <c r="AO152" s="47">
        <f t="shared" si="139"/>
        <v>92.775000000000006</v>
      </c>
      <c r="AP152" s="47">
        <f t="shared" si="139"/>
        <v>94.988</v>
      </c>
      <c r="AQ152" s="47">
        <f t="shared" si="139"/>
        <v>94.525999999999996</v>
      </c>
      <c r="AR152" s="47">
        <f t="shared" si="139"/>
        <v>371.5</v>
      </c>
      <c r="AS152" s="47">
        <f t="shared" si="139"/>
        <v>95</v>
      </c>
      <c r="AT152" s="47">
        <f t="shared" si="139"/>
        <v>98.4</v>
      </c>
      <c r="AU152" s="47">
        <f t="shared" si="139"/>
        <v>98.8</v>
      </c>
      <c r="AV152" s="47">
        <f t="shared" si="139"/>
        <v>101.3</v>
      </c>
      <c r="AW152" s="47">
        <f t="shared" si="139"/>
        <v>393.5</v>
      </c>
      <c r="AX152" s="47">
        <f t="shared" si="139"/>
        <v>98.6</v>
      </c>
      <c r="AY152" s="47">
        <f t="shared" si="139"/>
        <v>107.9</v>
      </c>
      <c r="AZ152" s="47">
        <f t="shared" si="139"/>
        <v>113.5</v>
      </c>
      <c r="BA152" s="47">
        <f t="shared" si="139"/>
        <v>131.69999999999999</v>
      </c>
      <c r="BB152" s="47">
        <f t="shared" si="139"/>
        <v>451.7</v>
      </c>
      <c r="BC152" s="47">
        <f t="shared" si="139"/>
        <v>128.19999999999999</v>
      </c>
      <c r="BD152" s="47">
        <f t="shared" si="139"/>
        <v>128.4</v>
      </c>
      <c r="BE152" s="47">
        <f t="shared" si="139"/>
        <v>123.7</v>
      </c>
      <c r="BF152" s="47">
        <f t="shared" si="139"/>
        <v>125.7</v>
      </c>
      <c r="BG152" s="47">
        <f t="shared" si="139"/>
        <v>506</v>
      </c>
      <c r="BH152" s="47">
        <f t="shared" si="139"/>
        <v>123.6</v>
      </c>
      <c r="BI152" s="47">
        <f t="shared" si="139"/>
        <v>129.5</v>
      </c>
      <c r="BJ152" s="47">
        <f t="shared" si="139"/>
        <v>131.5</v>
      </c>
      <c r="BK152" s="47">
        <f t="shared" si="139"/>
        <v>128.6</v>
      </c>
      <c r="BL152" s="47">
        <f t="shared" si="139"/>
        <v>513.20000000000005</v>
      </c>
      <c r="BM152" s="47">
        <f t="shared" si="139"/>
        <v>130</v>
      </c>
      <c r="BN152" s="47">
        <f t="shared" si="139"/>
        <v>142</v>
      </c>
      <c r="BO152" s="47">
        <f t="shared" ref="BO152:BX152" si="140">BO182</f>
        <v>152</v>
      </c>
      <c r="BP152" s="47">
        <f t="shared" si="140"/>
        <v>149</v>
      </c>
      <c r="BQ152" s="47">
        <f t="shared" si="140"/>
        <v>573</v>
      </c>
      <c r="BR152" s="47">
        <f t="shared" si="140"/>
        <v>154</v>
      </c>
      <c r="BS152" s="47">
        <f t="shared" si="140"/>
        <v>167</v>
      </c>
      <c r="BT152" s="47">
        <f t="shared" si="140"/>
        <v>159</v>
      </c>
      <c r="BU152" s="47">
        <f t="shared" si="140"/>
        <v>157</v>
      </c>
      <c r="BV152" s="47">
        <f t="shared" si="140"/>
        <v>637</v>
      </c>
      <c r="BW152" s="47">
        <f t="shared" si="140"/>
        <v>167</v>
      </c>
      <c r="BX152" s="47">
        <f t="shared" si="140"/>
        <v>204</v>
      </c>
      <c r="BY152" s="37">
        <f>($CP$18-$BW$203-$BX$203)/2</f>
        <v>216.5</v>
      </c>
      <c r="BZ152" s="37">
        <f>($CP$18-$BW$203-$BX$203)/2</f>
        <v>216.5</v>
      </c>
      <c r="CA152" s="37">
        <f>SUM(BW152,BX152,BY152,BZ152)</f>
        <v>804</v>
      </c>
      <c r="CB152" s="37">
        <f>(CB158-N(CB74)-N(CB102))*CB153</f>
        <v>867.64930385140292</v>
      </c>
      <c r="CC152" s="37">
        <f>(CC158-N(CC74)-N(CC102))*CC153</f>
        <v>934.29641044278264</v>
      </c>
      <c r="CD152" s="37">
        <f>(CD158-N(CD74)-N(CD102))*CD153</f>
        <v>998.46182953462244</v>
      </c>
      <c r="CE152" s="37">
        <f>(CE158-N(CE74)-N(CE102))*CE153</f>
        <v>1067.2824053091169</v>
      </c>
      <c r="CF152" s="20" t="s">
        <v>292</v>
      </c>
    </row>
    <row r="153" spans="2:89" ht="15" hidden="1" customHeight="1" outlineLevel="2" x14ac:dyDescent="0.25">
      <c r="B153" s="26" t="s">
        <v>293</v>
      </c>
      <c r="C153" s="38">
        <f t="shared" ref="C153:AH153" si="141">IF(AND(ISNUMBER(C182),ISNUMBER(C158)),IFERROR(C182/C158,""),"")</f>
        <v>6.4099437998549669E-2</v>
      </c>
      <c r="D153" s="38">
        <f t="shared" si="141"/>
        <v>6.8115626840650631E-2</v>
      </c>
      <c r="E153" s="38">
        <f t="shared" si="141"/>
        <v>8.0717418989670303E-2</v>
      </c>
      <c r="F153" s="38">
        <f t="shared" si="141"/>
        <v>0.10536297427463878</v>
      </c>
      <c r="G153" s="38">
        <f t="shared" si="141"/>
        <v>0.10182119019574849</v>
      </c>
      <c r="H153" s="38">
        <f t="shared" si="141"/>
        <v>0.10117684812416126</v>
      </c>
      <c r="I153" s="38">
        <f t="shared" si="141"/>
        <v>8.6970455437769933E-2</v>
      </c>
      <c r="J153" s="38">
        <f t="shared" si="141"/>
        <v>0.1118</v>
      </c>
      <c r="K153" s="38">
        <f t="shared" si="141"/>
        <v>7.6326639417096137E-2</v>
      </c>
      <c r="L153" s="38">
        <f t="shared" si="141"/>
        <v>6.6293401473019695E-2</v>
      </c>
      <c r="M153" s="38">
        <f t="shared" si="141"/>
        <v>8.0117431192660557E-2</v>
      </c>
      <c r="N153" s="38">
        <f t="shared" si="141"/>
        <v>8.0612850846671302E-2</v>
      </c>
      <c r="O153" s="38">
        <f t="shared" si="141"/>
        <v>9.9057616048518787E-2</v>
      </c>
      <c r="P153" s="38">
        <f t="shared" si="141"/>
        <v>6.5273460848774653E-2</v>
      </c>
      <c r="Q153" s="38">
        <f t="shared" si="141"/>
        <v>6.7681578160805014E-2</v>
      </c>
      <c r="R153" s="38">
        <f t="shared" si="141"/>
        <v>8.0190353847950493E-2</v>
      </c>
      <c r="S153" s="38">
        <f t="shared" si="141"/>
        <v>7.5302907369844491E-2</v>
      </c>
      <c r="T153" s="38">
        <f t="shared" si="141"/>
        <v>9.7292450101243863E-2</v>
      </c>
      <c r="U153" s="38">
        <f t="shared" si="141"/>
        <v>7.3464293466464076E-2</v>
      </c>
      <c r="V153" s="38">
        <f t="shared" si="141"/>
        <v>6.0041581962668636E-2</v>
      </c>
      <c r="W153" s="38">
        <f t="shared" si="141"/>
        <v>7.5363485673691694E-2</v>
      </c>
      <c r="X153" s="38">
        <f t="shared" si="141"/>
        <v>7.4468018985196061E-2</v>
      </c>
      <c r="Y153" s="38">
        <f t="shared" si="141"/>
        <v>8.6726673427991882E-2</v>
      </c>
      <c r="Z153" s="38">
        <f t="shared" si="141"/>
        <v>7.2860943415532592E-2</v>
      </c>
      <c r="AA153" s="38">
        <f t="shared" si="141"/>
        <v>6.5567533291058966E-2</v>
      </c>
      <c r="AB153" s="38">
        <f t="shared" si="141"/>
        <v>7.7209106239460382E-2</v>
      </c>
      <c r="AC153" s="38">
        <f t="shared" si="141"/>
        <v>7.4697025243531986E-2</v>
      </c>
      <c r="AD153" s="38">
        <f t="shared" si="141"/>
        <v>8.3393767034008776E-2</v>
      </c>
      <c r="AE153" s="38">
        <f t="shared" si="141"/>
        <v>7.1204513399153735E-2</v>
      </c>
      <c r="AF153" s="38">
        <f t="shared" si="141"/>
        <v>6.9243357543440284E-2</v>
      </c>
      <c r="AG153" s="38">
        <f t="shared" si="141"/>
        <v>7.8046367851622875E-2</v>
      </c>
      <c r="AH153" s="38">
        <f t="shared" si="141"/>
        <v>7.4934940488198501E-2</v>
      </c>
      <c r="AI153" s="38">
        <f t="shared" ref="AI153:BN153" si="142">IF(AND(ISNUMBER(AI182),ISNUMBER(AI158)),IFERROR(AI182/AI158,""),"")</f>
        <v>9.5786783042394019E-2</v>
      </c>
      <c r="AJ153" s="38">
        <f t="shared" si="142"/>
        <v>7.2125568548980667E-2</v>
      </c>
      <c r="AK153" s="38">
        <f t="shared" si="142"/>
        <v>7.3509396215276634E-2</v>
      </c>
      <c r="AL153" s="38">
        <f t="shared" si="142"/>
        <v>8.9032932177240551E-2</v>
      </c>
      <c r="AM153" s="38">
        <f t="shared" si="142"/>
        <v>8.1058322230115221E-2</v>
      </c>
      <c r="AN153" s="38">
        <f t="shared" si="142"/>
        <v>9.5010943016438476E-2</v>
      </c>
      <c r="AO153" s="38">
        <f t="shared" si="142"/>
        <v>7.2510605970606531E-2</v>
      </c>
      <c r="AP153" s="38">
        <f t="shared" si="142"/>
        <v>6.6881371255402222E-2</v>
      </c>
      <c r="AQ153" s="38">
        <f t="shared" si="142"/>
        <v>8.5899148514671522E-2</v>
      </c>
      <c r="AR153" s="38">
        <f t="shared" si="142"/>
        <v>7.8390444763961412E-2</v>
      </c>
      <c r="AS153" s="38">
        <f t="shared" si="142"/>
        <v>9.9144228762262573E-2</v>
      </c>
      <c r="AT153" s="38">
        <f t="shared" si="142"/>
        <v>7.7443727372894705E-2</v>
      </c>
      <c r="AU153" s="38">
        <f t="shared" si="142"/>
        <v>7.4769184198577254E-2</v>
      </c>
      <c r="AV153" s="38">
        <f t="shared" si="142"/>
        <v>8.5876568328246874E-2</v>
      </c>
      <c r="AW153" s="38">
        <f t="shared" si="142"/>
        <v>8.3194147867819618E-2</v>
      </c>
      <c r="AX153" s="38">
        <f t="shared" si="142"/>
        <v>0.10036644951140065</v>
      </c>
      <c r="AY153" s="38">
        <f t="shared" si="142"/>
        <v>7.8307569489803316E-2</v>
      </c>
      <c r="AZ153" s="38">
        <f t="shared" si="142"/>
        <v>7.2882553136839404E-2</v>
      </c>
      <c r="BA153" s="38">
        <f t="shared" si="142"/>
        <v>8.801122694466719E-2</v>
      </c>
      <c r="BB153" s="38">
        <f t="shared" si="142"/>
        <v>8.3431843369043218E-2</v>
      </c>
      <c r="BC153" s="38">
        <f t="shared" si="142"/>
        <v>0.10415989600259994</v>
      </c>
      <c r="BD153" s="38">
        <f t="shared" si="142"/>
        <v>7.8211609916549921E-2</v>
      </c>
      <c r="BE153" s="38">
        <f t="shared" si="142"/>
        <v>6.8278412540707628E-2</v>
      </c>
      <c r="BF153" s="38">
        <f t="shared" si="142"/>
        <v>8.5133762275651878E-2</v>
      </c>
      <c r="BG153" s="38">
        <f t="shared" si="142"/>
        <v>8.2133523787881246E-2</v>
      </c>
      <c r="BH153" s="38">
        <f t="shared" si="142"/>
        <v>9.1278339856731408E-2</v>
      </c>
      <c r="BI153" s="38">
        <f t="shared" si="142"/>
        <v>7.11225834797891E-2</v>
      </c>
      <c r="BJ153" s="38">
        <f t="shared" si="142"/>
        <v>6.5944536382327876E-2</v>
      </c>
      <c r="BK153" s="38">
        <f t="shared" si="142"/>
        <v>7.9965178460390487E-2</v>
      </c>
      <c r="BL153" s="38">
        <f t="shared" si="142"/>
        <v>7.5724487989140069E-2</v>
      </c>
      <c r="BM153" s="38">
        <f t="shared" si="142"/>
        <v>0.10391686650679456</v>
      </c>
      <c r="BN153" s="38">
        <f t="shared" si="142"/>
        <v>8.0498866213151929E-2</v>
      </c>
      <c r="BO153" s="38">
        <f t="shared" ref="BO153:BX153" si="143">IF(AND(ISNUMBER(BO182),ISNUMBER(BO158)),IFERROR(BO182/BO158,""),"")</f>
        <v>8.0465854949708843E-2</v>
      </c>
      <c r="BP153" s="38">
        <f t="shared" si="143"/>
        <v>9.1299019607843132E-2</v>
      </c>
      <c r="BQ153" s="38">
        <f t="shared" si="143"/>
        <v>8.7668298653610768E-2</v>
      </c>
      <c r="BR153" s="38">
        <f t="shared" si="143"/>
        <v>0.13253012048192772</v>
      </c>
      <c r="BS153" s="38">
        <f t="shared" si="143"/>
        <v>0.10379117464263518</v>
      </c>
      <c r="BT153" s="38">
        <f t="shared" si="143"/>
        <v>8.6132177681473451E-2</v>
      </c>
      <c r="BU153" s="38">
        <f t="shared" si="143"/>
        <v>0.10234680573663625</v>
      </c>
      <c r="BV153" s="38">
        <f t="shared" si="143"/>
        <v>0.10357723577235772</v>
      </c>
      <c r="BW153" s="38">
        <f t="shared" si="143"/>
        <v>0.12261380323054331</v>
      </c>
      <c r="BX153" s="38">
        <f t="shared" si="143"/>
        <v>0.10477657935285054</v>
      </c>
      <c r="BY153" s="25">
        <f>IFERROR(BY152/(BY158-N(BY74)),"")</f>
        <v>9.9293445513683576E-2</v>
      </c>
      <c r="BZ153" s="25">
        <f>IFERROR(BZ152/(BZ158-N(BZ74)),"")</f>
        <v>0.11957400204908271</v>
      </c>
      <c r="CA153" s="25">
        <f>IFERROR(CA152/(CA158-N(CA74)),"")</f>
        <v>0.11013698630136988</v>
      </c>
      <c r="CB153" s="49">
        <v>0.11</v>
      </c>
      <c r="CC153" s="49">
        <v>0.11</v>
      </c>
      <c r="CD153" s="49">
        <v>0.11</v>
      </c>
      <c r="CE153" s="49">
        <v>0.11</v>
      </c>
      <c r="CF153" s="20" t="s">
        <v>294</v>
      </c>
      <c r="CH153" s="39">
        <f>IFERROR(AVERAGE(CA153,CB153,CC153,CD153,CE153),"n/m")</f>
        <v>0.11002739726027397</v>
      </c>
      <c r="CI153" s="39">
        <f>IFERROR(AVERAGE(BB153,BG153,BL153,BQ153,BV153),"n/m")</f>
        <v>8.6507077914406608E-2</v>
      </c>
      <c r="CJ153" s="39">
        <f>IFERROR(AVERAGE(AC153,AH153,AM153,AR153,AW153,BB153,BG153,BL153,BQ153,BV153),"n/m")</f>
        <v>8.2481027016565969E-2</v>
      </c>
      <c r="CK153" s="39">
        <f>IFERROR(AVERAGE(C153,D153,E153,F153,G153,H153,I153,N153,S153,X153,AC153,AH153,AM153,AR153,AW153,BB153,BG153,BL153,BQ153,BV153),"n/m")</f>
        <v>8.3172899961428043E-2</v>
      </c>
    </row>
    <row r="154" spans="2:89" ht="15" hidden="1" customHeight="1" outlineLevel="2" x14ac:dyDescent="0.25">
      <c r="B154" s="26" t="s">
        <v>295</v>
      </c>
      <c r="C154" s="38">
        <f t="shared" ref="C154:AH154" si="144">IF(AND(ISNUMBER(C163),ISNUMBER(C158)),IFERROR(C163/C158,""),"")</f>
        <v>6.6805656272661343E-2</v>
      </c>
      <c r="D154" s="38">
        <f t="shared" si="144"/>
        <v>7.0726292419917541E-2</v>
      </c>
      <c r="E154" s="38">
        <f t="shared" si="144"/>
        <v>7.1647563794160665E-2</v>
      </c>
      <c r="F154" s="38">
        <f t="shared" si="144"/>
        <v>8.2109714554211219E-2</v>
      </c>
      <c r="G154" s="38">
        <f t="shared" si="144"/>
        <v>7.4821919344887536E-2</v>
      </c>
      <c r="H154" s="38">
        <f t="shared" si="144"/>
        <v>7.2407958457319552E-2</v>
      </c>
      <c r="I154" s="38">
        <f t="shared" si="144"/>
        <v>6.7923046721633296E-2</v>
      </c>
      <c r="J154" s="38">
        <f t="shared" si="144"/>
        <v>9.7662337662337673E-2</v>
      </c>
      <c r="K154" s="38">
        <f t="shared" si="144"/>
        <v>6.7176115159054542E-2</v>
      </c>
      <c r="L154" s="38">
        <f t="shared" si="144"/>
        <v>5.5764316849541563E-2</v>
      </c>
      <c r="M154" s="38">
        <f t="shared" si="144"/>
        <v>6.8807339449541288E-2</v>
      </c>
      <c r="N154" s="38">
        <f t="shared" si="144"/>
        <v>6.9635815356065875E-2</v>
      </c>
      <c r="O154" s="38">
        <f t="shared" si="144"/>
        <v>7.9776067179846061E-2</v>
      </c>
      <c r="P154" s="38">
        <f t="shared" si="144"/>
        <v>5.4692169754931262E-2</v>
      </c>
      <c r="Q154" s="38">
        <f t="shared" si="144"/>
        <v>4.8221580153432295E-2</v>
      </c>
      <c r="R154" s="38">
        <f t="shared" si="144"/>
        <v>5.8390750905056639E-2</v>
      </c>
      <c r="S154" s="38">
        <f t="shared" si="144"/>
        <v>5.7200811359026368E-2</v>
      </c>
      <c r="T154" s="38">
        <f t="shared" si="144"/>
        <v>7.1593867515186579E-2</v>
      </c>
      <c r="U154" s="38">
        <f t="shared" si="144"/>
        <v>6.1645322335576298E-2</v>
      </c>
      <c r="V154" s="38">
        <f t="shared" si="144"/>
        <v>5.0729994455738309E-2</v>
      </c>
      <c r="W154" s="38">
        <f t="shared" si="144"/>
        <v>6.7605967321809138E-2</v>
      </c>
      <c r="X154" s="38">
        <f t="shared" si="144"/>
        <v>6.1645383659170529E-2</v>
      </c>
      <c r="Y154" s="38">
        <f t="shared" si="144"/>
        <v>7.5938133874239352E-2</v>
      </c>
      <c r="Z154" s="38">
        <f t="shared" si="144"/>
        <v>6.2928476414611689E-2</v>
      </c>
      <c r="AA154" s="38">
        <f t="shared" si="144"/>
        <v>5.1000996467071284E-2</v>
      </c>
      <c r="AB154" s="38">
        <f t="shared" si="144"/>
        <v>7.4093591905564929E-2</v>
      </c>
      <c r="AC154" s="38">
        <f t="shared" si="144"/>
        <v>6.4941866554938721E-2</v>
      </c>
      <c r="AD154" s="38">
        <f t="shared" si="144"/>
        <v>8.2355729351818938E-2</v>
      </c>
      <c r="AE154" s="38">
        <f t="shared" si="144"/>
        <v>6.4315937940761639E-2</v>
      </c>
      <c r="AF154" s="38">
        <f t="shared" si="144"/>
        <v>5.2588029787625265E-2</v>
      </c>
      <c r="AG154" s="38">
        <f t="shared" si="144"/>
        <v>6.9036579082946928E-2</v>
      </c>
      <c r="AH154" s="38">
        <f t="shared" si="144"/>
        <v>6.6093403268105713E-2</v>
      </c>
      <c r="AI154" s="38">
        <f t="shared" ref="AI154:BN154" si="145">IF(AND(ISNUMBER(AI163),ISNUMBER(AI158)),IFERROR(AI163/AI158,""),"")</f>
        <v>8.7406483790523681E-2</v>
      </c>
      <c r="AJ154" s="38">
        <f t="shared" si="145"/>
        <v>5.9106638955491619E-2</v>
      </c>
      <c r="AK154" s="38">
        <f t="shared" si="145"/>
        <v>5.6115739070545408E-2</v>
      </c>
      <c r="AL154" s="38">
        <f t="shared" si="145"/>
        <v>6.9516515097753612E-2</v>
      </c>
      <c r="AM154" s="38">
        <f t="shared" si="145"/>
        <v>6.6101904570049219E-2</v>
      </c>
      <c r="AN154" s="38">
        <f t="shared" si="145"/>
        <v>8.3382057713095939E-2</v>
      </c>
      <c r="AO154" s="38">
        <f t="shared" si="145"/>
        <v>5.6571950216808858E-2</v>
      </c>
      <c r="AP154" s="38">
        <f t="shared" si="145"/>
        <v>5.511791619198364E-2</v>
      </c>
      <c r="AQ154" s="38">
        <f t="shared" si="145"/>
        <v>6.697563679652499E-2</v>
      </c>
      <c r="AR154" s="38">
        <f t="shared" si="145"/>
        <v>6.3863840756194529E-2</v>
      </c>
      <c r="AS154" s="38">
        <f t="shared" si="145"/>
        <v>8.2133166353579631E-2</v>
      </c>
      <c r="AT154" s="38">
        <f t="shared" si="145"/>
        <v>5.6036518180387226E-2</v>
      </c>
      <c r="AU154" s="38">
        <f t="shared" si="145"/>
        <v>5.3806568790676544E-2</v>
      </c>
      <c r="AV154" s="38">
        <f t="shared" si="145"/>
        <v>7.1973550356052907E-2</v>
      </c>
      <c r="AW154" s="38">
        <f t="shared" si="145"/>
        <v>6.4673671747817074E-2</v>
      </c>
      <c r="AX154" s="38">
        <f t="shared" si="145"/>
        <v>8.1229641693811069E-2</v>
      </c>
      <c r="AY154" s="38">
        <f t="shared" si="145"/>
        <v>5.9801146672472605E-2</v>
      </c>
      <c r="AZ154" s="38">
        <f t="shared" si="145"/>
        <v>5.522378475566686E-2</v>
      </c>
      <c r="BA154" s="38">
        <f t="shared" si="145"/>
        <v>6.8765036086607861E-2</v>
      </c>
      <c r="BB154" s="38">
        <f t="shared" si="145"/>
        <v>6.4831917251570004E-2</v>
      </c>
      <c r="BC154" s="38">
        <f t="shared" si="145"/>
        <v>7.8891777705557359E-2</v>
      </c>
      <c r="BD154" s="38">
        <f t="shared" si="145"/>
        <v>6.3409880002436497E-2</v>
      </c>
      <c r="BE154" s="38">
        <f t="shared" si="145"/>
        <v>5.2381740906331069E-2</v>
      </c>
      <c r="BF154" s="38">
        <f t="shared" si="145"/>
        <v>6.8201828648831703E-2</v>
      </c>
      <c r="BG154" s="38">
        <f t="shared" si="145"/>
        <v>6.4392033372831003E-2</v>
      </c>
      <c r="BH154" s="38">
        <f t="shared" si="145"/>
        <v>7.7025330477808143E-2</v>
      </c>
      <c r="BI154" s="38">
        <f t="shared" si="145"/>
        <v>6.1291739894551847E-2</v>
      </c>
      <c r="BJ154" s="38">
        <f t="shared" si="145"/>
        <v>5.4209919261822379E-2</v>
      </c>
      <c r="BK154" s="38">
        <f t="shared" si="145"/>
        <v>7.3809227707996514E-2</v>
      </c>
      <c r="BL154" s="38">
        <f t="shared" si="145"/>
        <v>6.5336717228353894E-2</v>
      </c>
      <c r="BM154" s="38">
        <f t="shared" si="145"/>
        <v>9.4324540367705836E-2</v>
      </c>
      <c r="BN154" s="38">
        <f t="shared" si="145"/>
        <v>6.6326530612244902E-2</v>
      </c>
      <c r="BO154" s="38">
        <f t="shared" ref="BO154:BX154" si="146">IF(AND(ISNUMBER(BO163),ISNUMBER(BO158)),IFERROR(BO163/BO158,""),"")</f>
        <v>5.5584965590259397E-2</v>
      </c>
      <c r="BP154" s="38">
        <f t="shared" si="146"/>
        <v>6.4338235294117641E-2</v>
      </c>
      <c r="BQ154" s="38">
        <f t="shared" si="146"/>
        <v>6.8390452876376989E-2</v>
      </c>
      <c r="BR154" s="38">
        <f t="shared" si="146"/>
        <v>0.10757314974182444</v>
      </c>
      <c r="BS154" s="38">
        <f t="shared" si="146"/>
        <v>6.463642013673089E-2</v>
      </c>
      <c r="BT154" s="38">
        <f t="shared" si="146"/>
        <v>5.9588299024918745E-2</v>
      </c>
      <c r="BU154" s="38">
        <f t="shared" si="146"/>
        <v>6.7144719687092569E-2</v>
      </c>
      <c r="BV154" s="38">
        <f t="shared" si="146"/>
        <v>7.2032520325203256E-2</v>
      </c>
      <c r="BW154" s="38">
        <f t="shared" si="146"/>
        <v>9.7650513950073417E-2</v>
      </c>
      <c r="BX154" s="38">
        <f t="shared" si="146"/>
        <v>5.9578839239856192E-2</v>
      </c>
      <c r="BY154" s="25">
        <f>IFERROR((BY163-BY85)/(BY158-N(BY74)),"")</f>
        <v>5.4855380308395631E-2</v>
      </c>
      <c r="BZ154" s="25">
        <f>IFERROR((BZ163-BZ85)/(BZ158-N(BZ74)),"")</f>
        <v>6.1855732435487636E-2</v>
      </c>
      <c r="CA154" s="25">
        <f>IFERROR((CA163-CA85)/(CA158-N(CA74)),"")</f>
        <v>6.5835975354429616E-2</v>
      </c>
      <c r="CB154" s="49">
        <v>7.0000000000000007E-2</v>
      </c>
      <c r="CC154" s="49">
        <v>7.0000000000000007E-2</v>
      </c>
      <c r="CD154" s="49">
        <v>7.0000000000000007E-2</v>
      </c>
      <c r="CE154" s="49">
        <v>7.0000000000000007E-2</v>
      </c>
      <c r="CF154" s="20" t="s">
        <v>296</v>
      </c>
      <c r="CH154" s="39">
        <f>IFERROR(AVERAGE(CA154,CB154,CC154,CD154,CE154),"n/m")</f>
        <v>6.9167195070885923E-2</v>
      </c>
      <c r="CI154" s="39">
        <f>IFERROR(AVERAGE(BB154,BG154,BL154,BQ154,BV154),"n/m")</f>
        <v>6.6996728210867024E-2</v>
      </c>
      <c r="CJ154" s="39">
        <f>IFERROR(AVERAGE(AC154,AH154,AM154,AR154,AW154,BB154,BG154,BL154,BQ154,BV154),"n/m")</f>
        <v>6.6065832795144039E-2</v>
      </c>
      <c r="CK154" s="39">
        <f>IFERROR(AVERAGE(C154,D154,E154,F154,G154,H154,I154,N154,S154,X154,AC154,AH154,AM154,AR154,AW154,BB154,BG154,BL154,BQ154,BV154),"n/m")</f>
        <v>6.7779124494524723E-2</v>
      </c>
    </row>
    <row r="155" spans="2:89" ht="15" hidden="1" customHeight="1" outlineLevel="2" x14ac:dyDescent="0.25">
      <c r="B155" s="26" t="s">
        <v>297</v>
      </c>
      <c r="C155" s="38">
        <f t="shared" ref="C155:AH155" si="147">IF(AND(ISNUMBER(C183),ISNUMBER(C158)),IFERROR(C183/C158,""),"")</f>
        <v>6.0904641044234953E-3</v>
      </c>
      <c r="D155" s="38">
        <f t="shared" si="147"/>
        <v>8.9198495763671802E-3</v>
      </c>
      <c r="E155" s="38">
        <f t="shared" si="147"/>
        <v>1.0313192773925757E-2</v>
      </c>
      <c r="F155" s="38">
        <f t="shared" si="147"/>
        <v>1.2070950311288619E-2</v>
      </c>
      <c r="G155" s="38">
        <f t="shared" si="147"/>
        <v>8.2309720118907397E-3</v>
      </c>
      <c r="H155" s="38">
        <f t="shared" si="147"/>
        <v>6.7226792695023047E-3</v>
      </c>
      <c r="I155" s="38">
        <f t="shared" si="147"/>
        <v>3.8187082842559873E-3</v>
      </c>
      <c r="J155" s="38">
        <f t="shared" si="147"/>
        <v>3.2337662337662341E-3</v>
      </c>
      <c r="K155" s="38">
        <f t="shared" si="147"/>
        <v>4.8622711924649013E-3</v>
      </c>
      <c r="L155" s="38">
        <f t="shared" si="147"/>
        <v>2.1448970389298062E-3</v>
      </c>
      <c r="M155" s="38">
        <f t="shared" si="147"/>
        <v>2.9357798165137615E-3</v>
      </c>
      <c r="N155" s="38">
        <f t="shared" si="147"/>
        <v>3.2512178148921362E-3</v>
      </c>
      <c r="O155" s="38">
        <f t="shared" si="147"/>
        <v>3.2866806624679266E-3</v>
      </c>
      <c r="P155" s="38">
        <f t="shared" si="147"/>
        <v>4.4246861924686189E-3</v>
      </c>
      <c r="Q155" s="38">
        <f t="shared" si="147"/>
        <v>2.0035867291023214E-3</v>
      </c>
      <c r="R155" s="38">
        <f t="shared" si="147"/>
        <v>3.0503328272801591E-3</v>
      </c>
      <c r="S155" s="38">
        <f t="shared" si="147"/>
        <v>3.0402298850574715E-3</v>
      </c>
      <c r="T155" s="38">
        <f t="shared" si="147"/>
        <v>4.2045125831645935E-3</v>
      </c>
      <c r="U155" s="38">
        <f t="shared" si="147"/>
        <v>5.0108530497069677E-3</v>
      </c>
      <c r="V155" s="38">
        <f t="shared" si="147"/>
        <v>2.9550914803178709E-3</v>
      </c>
      <c r="W155" s="38">
        <f t="shared" si="147"/>
        <v>3.3945062751598387E-3</v>
      </c>
      <c r="X155" s="38">
        <f t="shared" si="147"/>
        <v>3.8391343654650247E-3</v>
      </c>
      <c r="Y155" s="38">
        <f t="shared" si="147"/>
        <v>9.1632860040567962E-3</v>
      </c>
      <c r="Z155" s="38">
        <f t="shared" si="147"/>
        <v>5.7024455131484712E-3</v>
      </c>
      <c r="AA155" s="38">
        <f t="shared" si="147"/>
        <v>3.9550683938762562E-3</v>
      </c>
      <c r="AB155" s="38">
        <f t="shared" si="147"/>
        <v>3.4928330522765601E-3</v>
      </c>
      <c r="AC155" s="38">
        <f t="shared" si="147"/>
        <v>5.3632031004504036E-3</v>
      </c>
      <c r="AD155" s="38">
        <f t="shared" si="147"/>
        <v>1.2175613224315677E-2</v>
      </c>
      <c r="AE155" s="38">
        <f t="shared" si="147"/>
        <v>7.0070521861777153E-3</v>
      </c>
      <c r="AF155" s="38">
        <f t="shared" si="147"/>
        <v>5.489565137445987E-3</v>
      </c>
      <c r="AG155" s="38">
        <f t="shared" si="147"/>
        <v>6.9675425038639872E-3</v>
      </c>
      <c r="AH155" s="38">
        <f t="shared" si="147"/>
        <v>7.6810570909824497E-3</v>
      </c>
      <c r="AI155" s="38">
        <f t="shared" ref="AI155:BN155" si="148">IF(AND(ISNUMBER(AI183),ISNUMBER(AI158)),IFERROR(AI183/AI158,""),"")</f>
        <v>1.2169576059850374E-2</v>
      </c>
      <c r="AJ155" s="38">
        <f t="shared" si="148"/>
        <v>6.1027791846826728E-3</v>
      </c>
      <c r="AK155" s="38">
        <f t="shared" si="148"/>
        <v>4.9080056410088215E-3</v>
      </c>
      <c r="AL155" s="38">
        <f t="shared" si="148"/>
        <v>6.0467468717470187E-3</v>
      </c>
      <c r="AM155" s="38">
        <f t="shared" si="148"/>
        <v>6.8923594544638466E-3</v>
      </c>
      <c r="AN155" s="38">
        <f t="shared" si="148"/>
        <v>1.4433066547385125E-2</v>
      </c>
      <c r="AO155" s="38">
        <f t="shared" si="148"/>
        <v>6.798137976096315E-3</v>
      </c>
      <c r="AP155" s="38">
        <f t="shared" si="148"/>
        <v>4.3400931951225342E-3</v>
      </c>
      <c r="AQ155" s="38">
        <f t="shared" si="148"/>
        <v>5.1670710540425106E-3</v>
      </c>
      <c r="AR155" s="38">
        <f t="shared" si="148"/>
        <v>7.1954620900432954E-3</v>
      </c>
      <c r="AS155" s="38">
        <f t="shared" si="148"/>
        <v>1.3045293258192444E-2</v>
      </c>
      <c r="AT155" s="38">
        <f t="shared" si="148"/>
        <v>5.6666141980166859E-3</v>
      </c>
      <c r="AU155" s="38">
        <f t="shared" si="148"/>
        <v>2.0432874224307553E-3</v>
      </c>
      <c r="AV155" s="38">
        <f t="shared" si="148"/>
        <v>6.442861987114276E-3</v>
      </c>
      <c r="AW155" s="38">
        <f t="shared" si="148"/>
        <v>6.3426288082200476E-3</v>
      </c>
      <c r="AX155" s="38">
        <f t="shared" si="148"/>
        <v>1.1095276872964171E-2</v>
      </c>
      <c r="AY155" s="38">
        <f t="shared" si="148"/>
        <v>7.1848465055519267E-3</v>
      </c>
      <c r="AZ155" s="38">
        <f t="shared" si="148"/>
        <v>7.8340717909201815E-3</v>
      </c>
      <c r="BA155" s="38">
        <f t="shared" si="148"/>
        <v>6.6827051590483827E-3</v>
      </c>
      <c r="BB155" s="38">
        <f t="shared" si="148"/>
        <v>7.9423716291097159E-3</v>
      </c>
      <c r="BC155" s="38">
        <f t="shared" si="148"/>
        <v>9.7497562560935978E-3</v>
      </c>
      <c r="BD155" s="38">
        <f t="shared" si="148"/>
        <v>7.6140585977949688E-3</v>
      </c>
      <c r="BE155" s="38">
        <f t="shared" si="148"/>
        <v>5.4092840978086885E-3</v>
      </c>
      <c r="BF155" s="38">
        <f t="shared" si="148"/>
        <v>5.6891296986115881E-3</v>
      </c>
      <c r="BG155" s="38">
        <f t="shared" si="148"/>
        <v>6.9310305647085563E-3</v>
      </c>
      <c r="BH155" s="38">
        <f t="shared" si="148"/>
        <v>1.0117421165349678E-2</v>
      </c>
      <c r="BI155" s="38">
        <f t="shared" si="148"/>
        <v>7.6889279437609842E-3</v>
      </c>
      <c r="BJ155" s="38">
        <f t="shared" si="148"/>
        <v>5.6667168146030799E-3</v>
      </c>
      <c r="BK155" s="38">
        <f t="shared" si="148"/>
        <v>6.8399452804377564E-3</v>
      </c>
      <c r="BL155" s="38">
        <f t="shared" si="148"/>
        <v>7.3776780971492656E-3</v>
      </c>
      <c r="BM155" s="38">
        <f t="shared" si="148"/>
        <v>1.1990407673860911E-2</v>
      </c>
      <c r="BN155" s="38">
        <f t="shared" si="148"/>
        <v>1.020408163265306E-2</v>
      </c>
      <c r="BO155" s="38">
        <f t="shared" ref="BO155:BX155" si="149">IF(AND(ISNUMBER(BO183),ISNUMBER(BO158)),IFERROR(BO183/BO158,""),"")</f>
        <v>7.9407093700370572E-3</v>
      </c>
      <c r="BP155" s="38">
        <f t="shared" si="149"/>
        <v>6.1274509803921568E-3</v>
      </c>
      <c r="BQ155" s="38">
        <f t="shared" si="149"/>
        <v>8.873929008567932E-3</v>
      </c>
      <c r="BR155" s="38">
        <f t="shared" si="149"/>
        <v>2.6678141135972461E-2</v>
      </c>
      <c r="BS155" s="38">
        <f t="shared" si="149"/>
        <v>3.7290242386575512E-3</v>
      </c>
      <c r="BT155" s="38">
        <f t="shared" si="149"/>
        <v>2.7085590465872156E-3</v>
      </c>
      <c r="BU155" s="38">
        <f t="shared" si="149"/>
        <v>2.6075619295958278E-3</v>
      </c>
      <c r="BV155" s="38">
        <f t="shared" si="149"/>
        <v>7.4796747967479675E-3</v>
      </c>
      <c r="BW155" s="38">
        <f t="shared" si="149"/>
        <v>2.276064610866373E-2</v>
      </c>
      <c r="BX155" s="38">
        <f t="shared" si="149"/>
        <v>5.136106831022085E-3</v>
      </c>
      <c r="BY155" s="25">
        <f>(BW183+BX183)/(BW158+BX158)</f>
        <v>1.2390450287095799E-2</v>
      </c>
      <c r="BZ155" s="25">
        <f>(BW183+BX183)/(BW158+BX158)</f>
        <v>1.2390450287095799E-2</v>
      </c>
      <c r="CA155" s="25">
        <f>IFERROR(CA183/CA158,"")</f>
        <v>1.2390450287095801E-2</v>
      </c>
      <c r="CB155" s="49">
        <v>7.0000000000000001E-3</v>
      </c>
      <c r="CC155" s="49">
        <v>7.0000000000000001E-3</v>
      </c>
      <c r="CD155" s="49">
        <v>7.0000000000000001E-3</v>
      </c>
      <c r="CE155" s="49">
        <v>7.0000000000000001E-3</v>
      </c>
      <c r="CF155" s="6"/>
    </row>
    <row r="156" spans="2:89" ht="15" customHeight="1" collapsed="1" x14ac:dyDescent="0.25"/>
    <row r="157" spans="2:89" ht="15" customHeight="1" x14ac:dyDescent="0.25">
      <c r="B157" s="11" t="s">
        <v>298</v>
      </c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11"/>
      <c r="BH157" s="11"/>
      <c r="BI157" s="11"/>
      <c r="BJ157" s="11"/>
      <c r="BK157" s="11"/>
      <c r="BL157" s="11"/>
      <c r="BM157" s="11"/>
      <c r="BN157" s="11"/>
      <c r="BO157" s="11"/>
      <c r="BP157" s="11"/>
      <c r="BQ157" s="11"/>
      <c r="BR157" s="11"/>
      <c r="BS157" s="11"/>
      <c r="BT157" s="11"/>
      <c r="BU157" s="11"/>
      <c r="BV157" s="11"/>
      <c r="BW157" s="11"/>
      <c r="BX157" s="11"/>
      <c r="BY157" s="11"/>
      <c r="BZ157" s="11"/>
      <c r="CA157" s="11"/>
      <c r="CB157" s="11"/>
      <c r="CC157" s="11"/>
      <c r="CD157" s="11"/>
      <c r="CE157" s="11"/>
      <c r="CF157" s="11" t="s">
        <v>299</v>
      </c>
    </row>
    <row r="158" spans="2:89" ht="15" customHeight="1" x14ac:dyDescent="0.25">
      <c r="B158" s="59" t="s">
        <v>300</v>
      </c>
      <c r="C158" s="62">
        <v>2206.4</v>
      </c>
      <c r="D158" s="62">
        <v>2207.1</v>
      </c>
      <c r="E158" s="62">
        <v>2120.1</v>
      </c>
      <c r="F158" s="62">
        <v>1702.6</v>
      </c>
      <c r="G158" s="62">
        <v>1782.9</v>
      </c>
      <c r="H158" s="62">
        <v>1713.9</v>
      </c>
      <c r="I158" s="62">
        <v>2037.6</v>
      </c>
      <c r="J158" s="62">
        <v>385</v>
      </c>
      <c r="K158" s="62">
        <v>562.70000000000005</v>
      </c>
      <c r="L158" s="62">
        <v>665.3</v>
      </c>
      <c r="M158" s="62">
        <v>545</v>
      </c>
      <c r="N158" s="62">
        <v>2155.5</v>
      </c>
      <c r="O158" s="62">
        <v>428.7</v>
      </c>
      <c r="P158" s="62">
        <v>669.2</v>
      </c>
      <c r="Q158" s="62">
        <v>1003.7</v>
      </c>
      <c r="R158" s="62">
        <v>856.3</v>
      </c>
      <c r="S158" s="62">
        <v>2958</v>
      </c>
      <c r="T158" s="62">
        <v>691.4</v>
      </c>
      <c r="U158" s="62">
        <v>921.4</v>
      </c>
      <c r="V158" s="62">
        <v>1082.2</v>
      </c>
      <c r="W158" s="62">
        <v>844.6</v>
      </c>
      <c r="X158" s="62">
        <v>3539.6</v>
      </c>
      <c r="Y158" s="62">
        <v>788.8</v>
      </c>
      <c r="Z158" s="62">
        <v>977.3</v>
      </c>
      <c r="AA158" s="62">
        <v>1103.9000000000001</v>
      </c>
      <c r="AB158" s="62">
        <v>948.8</v>
      </c>
      <c r="AC158" s="62">
        <v>3818.8</v>
      </c>
      <c r="AD158" s="62">
        <v>843.9</v>
      </c>
      <c r="AE158" s="62">
        <v>1063.5</v>
      </c>
      <c r="AF158" s="62">
        <v>1087.7</v>
      </c>
      <c r="AG158" s="62">
        <v>970.5</v>
      </c>
      <c r="AH158" s="62">
        <v>3965.6</v>
      </c>
      <c r="AI158" s="62">
        <v>802</v>
      </c>
      <c r="AJ158" s="62">
        <v>1202.403</v>
      </c>
      <c r="AK158" s="62">
        <v>1219.6400000000001</v>
      </c>
      <c r="AL158" s="62">
        <v>1020.218</v>
      </c>
      <c r="AM158" s="62">
        <v>4244.2650000000003</v>
      </c>
      <c r="AN158" s="62">
        <v>938.95500000000004</v>
      </c>
      <c r="AO158" s="62">
        <v>1279.4680000000001</v>
      </c>
      <c r="AP158" s="62">
        <v>1420.2460000000001</v>
      </c>
      <c r="AQ158" s="62">
        <v>1100.43</v>
      </c>
      <c r="AR158" s="62">
        <v>4739.098</v>
      </c>
      <c r="AS158" s="62">
        <v>958.2</v>
      </c>
      <c r="AT158" s="62">
        <v>1270.5999999999999</v>
      </c>
      <c r="AU158" s="62">
        <v>1321.4</v>
      </c>
      <c r="AV158" s="62">
        <v>1179.5999999999999</v>
      </c>
      <c r="AW158" s="62">
        <v>4729.8999999999996</v>
      </c>
      <c r="AX158" s="62">
        <v>982.4</v>
      </c>
      <c r="AY158" s="62">
        <v>1377.9</v>
      </c>
      <c r="AZ158" s="62">
        <v>1557.3</v>
      </c>
      <c r="BA158" s="62">
        <v>1496.4</v>
      </c>
      <c r="BB158" s="62">
        <v>5414</v>
      </c>
      <c r="BC158" s="62">
        <v>1230.8</v>
      </c>
      <c r="BD158" s="62">
        <v>1641.7</v>
      </c>
      <c r="BE158" s="62">
        <v>1811.7</v>
      </c>
      <c r="BF158" s="62">
        <v>1476.5</v>
      </c>
      <c r="BG158" s="62">
        <v>6160.7</v>
      </c>
      <c r="BH158" s="62">
        <v>1354.1</v>
      </c>
      <c r="BI158" s="62">
        <v>1820.8</v>
      </c>
      <c r="BJ158" s="62">
        <v>1994.1</v>
      </c>
      <c r="BK158" s="62">
        <v>1608.2</v>
      </c>
      <c r="BL158" s="62">
        <v>6777.2</v>
      </c>
      <c r="BM158" s="62">
        <v>1251</v>
      </c>
      <c r="BN158" s="62">
        <v>1764</v>
      </c>
      <c r="BO158" s="62">
        <v>1889</v>
      </c>
      <c r="BP158" s="62">
        <v>1632</v>
      </c>
      <c r="BQ158" s="62">
        <v>6536</v>
      </c>
      <c r="BR158" s="62">
        <v>1162</v>
      </c>
      <c r="BS158" s="62">
        <v>1609</v>
      </c>
      <c r="BT158" s="62">
        <v>1846</v>
      </c>
      <c r="BU158" s="62">
        <v>1534</v>
      </c>
      <c r="BV158" s="62">
        <v>6150</v>
      </c>
      <c r="BW158" s="62">
        <v>1362</v>
      </c>
      <c r="BX158" s="62">
        <v>1947</v>
      </c>
      <c r="BY158" s="60">
        <f t="shared" ref="BY158:CE158" si="150">BY114</f>
        <v>2386.7802418679007</v>
      </c>
      <c r="BZ158" s="60">
        <f t="shared" si="150"/>
        <v>2273.6784604746672</v>
      </c>
      <c r="CA158" s="60">
        <f t="shared" si="150"/>
        <v>7969.4587023425674</v>
      </c>
      <c r="CB158" s="60">
        <f t="shared" si="150"/>
        <v>9816.8190469065903</v>
      </c>
      <c r="CC158" s="60">
        <f t="shared" si="150"/>
        <v>10602.490072574432</v>
      </c>
      <c r="CD158" s="60">
        <f t="shared" si="150"/>
        <v>11493.628616342534</v>
      </c>
      <c r="CE158" s="60">
        <f t="shared" si="150"/>
        <v>12485.771844491006</v>
      </c>
      <c r="CF158" s="20" t="s">
        <v>301</v>
      </c>
      <c r="CH158" s="21">
        <f>IFERROR((CE158/BV158)^(1/5)-1,"n/m")</f>
        <v>0.15214743096056571</v>
      </c>
      <c r="CI158" s="21">
        <f>IFERROR((BV158/AW158)^(1/5)-1,"n/m")</f>
        <v>5.3912684057572546E-2</v>
      </c>
      <c r="CJ158" s="21">
        <f>IFERROR((BV158/X158)^(1/10)-1,"n/m")</f>
        <v>5.6798268238855476E-2</v>
      </c>
      <c r="CK158" s="21">
        <f>IFERROR((BV158/C158)^(1/19)-1,"n/m")</f>
        <v>5.5434043084966245E-2</v>
      </c>
    </row>
    <row r="159" spans="2:89" ht="15" customHeight="1" x14ac:dyDescent="0.25">
      <c r="B159" s="42" t="s">
        <v>302</v>
      </c>
      <c r="C159" s="36">
        <v>1942.9</v>
      </c>
      <c r="D159" s="36">
        <v>1967.6</v>
      </c>
      <c r="E159" s="36">
        <v>1863.3</v>
      </c>
      <c r="F159" s="36">
        <v>1496.6</v>
      </c>
      <c r="G159" s="36">
        <v>1550.9</v>
      </c>
      <c r="H159" s="36">
        <v>1520</v>
      </c>
      <c r="I159" s="36">
        <v>1838.7</v>
      </c>
      <c r="J159" s="36">
        <v>345.2</v>
      </c>
      <c r="K159" s="36">
        <v>508.7</v>
      </c>
      <c r="L159" s="36">
        <v>600.5</v>
      </c>
      <c r="M159" s="36">
        <v>491.4</v>
      </c>
      <c r="N159" s="36">
        <v>1943.2</v>
      </c>
      <c r="O159" s="36">
        <v>379.7</v>
      </c>
      <c r="P159" s="36">
        <v>601.9</v>
      </c>
      <c r="Q159" s="36">
        <v>917.9</v>
      </c>
      <c r="R159" s="36">
        <v>779.5</v>
      </c>
      <c r="S159" s="36">
        <v>2679.1</v>
      </c>
      <c r="T159" s="36">
        <v>631.9</v>
      </c>
      <c r="U159" s="36">
        <v>850.2</v>
      </c>
      <c r="V159" s="36">
        <v>1005.2</v>
      </c>
      <c r="W159" s="36">
        <v>780.8</v>
      </c>
      <c r="X159" s="36">
        <v>3268.1</v>
      </c>
      <c r="Y159" s="36">
        <v>734</v>
      </c>
      <c r="Z159" s="36">
        <v>915.4</v>
      </c>
      <c r="AA159" s="36">
        <v>1038.3</v>
      </c>
      <c r="AB159" s="36">
        <v>889</v>
      </c>
      <c r="AC159" s="36">
        <v>3576.8</v>
      </c>
      <c r="AD159" s="36">
        <v>791.7</v>
      </c>
      <c r="AE159" s="36">
        <v>996.3</v>
      </c>
      <c r="AF159" s="36">
        <v>1022.1</v>
      </c>
      <c r="AG159" s="36">
        <v>911.3</v>
      </c>
      <c r="AH159" s="36">
        <v>3721.4</v>
      </c>
      <c r="AI159" s="36">
        <v>753.3</v>
      </c>
      <c r="AJ159" s="36">
        <v>1128.777</v>
      </c>
      <c r="AK159" s="36">
        <v>1142.2180000000001</v>
      </c>
      <c r="AL159" s="36">
        <v>956.05100000000004</v>
      </c>
      <c r="AM159" s="36">
        <v>3980.3510000000001</v>
      </c>
      <c r="AN159" s="36">
        <v>878.30499999999995</v>
      </c>
      <c r="AO159" s="36">
        <v>1196.135</v>
      </c>
      <c r="AP159" s="36">
        <v>1323.16</v>
      </c>
      <c r="AQ159" s="36">
        <v>1024.7190000000001</v>
      </c>
      <c r="AR159" s="36">
        <v>4422.3180000000002</v>
      </c>
      <c r="AS159" s="36">
        <v>891</v>
      </c>
      <c r="AT159" s="36">
        <v>1189.5</v>
      </c>
      <c r="AU159" s="36">
        <v>1240.7</v>
      </c>
      <c r="AV159" s="36">
        <v>1110.9000000000001</v>
      </c>
      <c r="AW159" s="36">
        <v>4432.1000000000004</v>
      </c>
      <c r="AX159" s="36">
        <v>921.9</v>
      </c>
      <c r="AY159" s="36">
        <v>1295.3</v>
      </c>
      <c r="AZ159" s="36">
        <v>1462.7</v>
      </c>
      <c r="BA159" s="36">
        <v>1404.9</v>
      </c>
      <c r="BB159" s="36">
        <v>5084.7</v>
      </c>
      <c r="BC159" s="36">
        <v>1147.8</v>
      </c>
      <c r="BD159" s="36">
        <v>1523.8</v>
      </c>
      <c r="BE159" s="36">
        <v>1680.5</v>
      </c>
      <c r="BF159" s="36">
        <v>1378.4</v>
      </c>
      <c r="BG159" s="36">
        <v>5730.5</v>
      </c>
      <c r="BY159" s="6"/>
      <c r="BZ159" s="6"/>
      <c r="CA159" s="6"/>
      <c r="CB159" s="6"/>
      <c r="CC159" s="6"/>
      <c r="CD159" s="6"/>
      <c r="CE159" s="6"/>
      <c r="CF159" s="6"/>
    </row>
    <row r="160" spans="2:89" ht="15" customHeight="1" x14ac:dyDescent="0.25">
      <c r="B160" s="42" t="s">
        <v>303</v>
      </c>
      <c r="C160" s="36">
        <v>263.5</v>
      </c>
      <c r="D160" s="36">
        <v>239.5</v>
      </c>
      <c r="E160" s="36">
        <v>256.8</v>
      </c>
      <c r="F160" s="36">
        <v>206</v>
      </c>
      <c r="G160" s="36">
        <v>232</v>
      </c>
      <c r="H160" s="36">
        <v>193.9</v>
      </c>
      <c r="I160" s="36">
        <v>198.9</v>
      </c>
      <c r="J160" s="36">
        <v>39.799999999999997</v>
      </c>
      <c r="K160" s="36">
        <v>54</v>
      </c>
      <c r="L160" s="36">
        <v>64.8</v>
      </c>
      <c r="M160" s="36">
        <v>53.6</v>
      </c>
      <c r="N160" s="36">
        <v>212.3</v>
      </c>
      <c r="O160" s="36">
        <v>49</v>
      </c>
      <c r="P160" s="36">
        <v>67.3</v>
      </c>
      <c r="Q160" s="36">
        <v>85.8</v>
      </c>
      <c r="R160" s="36">
        <v>76.8</v>
      </c>
      <c r="S160" s="36">
        <v>278.89999999999998</v>
      </c>
      <c r="T160" s="36">
        <v>59.5</v>
      </c>
      <c r="U160" s="36">
        <v>71.2</v>
      </c>
      <c r="V160" s="36">
        <v>77</v>
      </c>
      <c r="W160" s="36">
        <v>63.8</v>
      </c>
      <c r="X160" s="36">
        <v>271.5</v>
      </c>
      <c r="Y160" s="36">
        <v>54.8</v>
      </c>
      <c r="Z160" s="36">
        <v>61.9</v>
      </c>
      <c r="AA160" s="36">
        <v>65.599999999999994</v>
      </c>
      <c r="AB160" s="36">
        <v>59.8</v>
      </c>
      <c r="AC160" s="36">
        <v>242</v>
      </c>
      <c r="AD160" s="36">
        <v>52.2</v>
      </c>
      <c r="AE160" s="36">
        <v>67.2</v>
      </c>
      <c r="AF160" s="36">
        <v>65.599999999999994</v>
      </c>
      <c r="AG160" s="36">
        <v>59.2</v>
      </c>
      <c r="AH160" s="36">
        <v>244.2</v>
      </c>
      <c r="AI160" s="36">
        <v>48.7</v>
      </c>
      <c r="AJ160" s="36">
        <v>73.626000000000005</v>
      </c>
      <c r="AK160" s="36">
        <v>77.421999999999997</v>
      </c>
      <c r="AL160" s="36">
        <v>64.167000000000002</v>
      </c>
      <c r="AM160" s="36">
        <v>263.91399999999999</v>
      </c>
      <c r="AN160" s="36">
        <v>60.65</v>
      </c>
      <c r="AO160" s="36">
        <v>83.332999999999998</v>
      </c>
      <c r="AP160" s="36">
        <v>97.085999999999999</v>
      </c>
      <c r="AQ160" s="36">
        <v>75.710999999999999</v>
      </c>
      <c r="AR160" s="36">
        <v>316.77999999999997</v>
      </c>
      <c r="AS160" s="36">
        <v>67.2</v>
      </c>
      <c r="AT160" s="36">
        <v>81.099999999999994</v>
      </c>
      <c r="AU160" s="36">
        <v>80.7</v>
      </c>
      <c r="AV160" s="36">
        <v>68.7</v>
      </c>
      <c r="AW160" s="36">
        <v>297.8</v>
      </c>
      <c r="AX160" s="36">
        <v>60.5</v>
      </c>
      <c r="AY160" s="36">
        <v>82.6</v>
      </c>
      <c r="AZ160" s="36">
        <v>94.6</v>
      </c>
      <c r="BA160" s="36">
        <v>91.5</v>
      </c>
      <c r="BB160" s="36">
        <v>329.3</v>
      </c>
      <c r="BC160" s="36">
        <v>83</v>
      </c>
      <c r="BD160" s="36">
        <v>117.9</v>
      </c>
      <c r="BE160" s="36">
        <v>131.19999999999999</v>
      </c>
      <c r="BF160" s="36">
        <v>98.1</v>
      </c>
      <c r="BG160" s="36">
        <v>430.2</v>
      </c>
      <c r="BY160" s="6"/>
      <c r="BZ160" s="6"/>
      <c r="CA160" s="6"/>
      <c r="CB160" s="6"/>
      <c r="CC160" s="6"/>
      <c r="CD160" s="6"/>
      <c r="CE160" s="6"/>
      <c r="CF160" s="6"/>
    </row>
    <row r="161" spans="2:89" ht="15" customHeight="1" x14ac:dyDescent="0.25">
      <c r="B161" s="26" t="s">
        <v>304</v>
      </c>
      <c r="C161" s="36">
        <v>1683.9</v>
      </c>
      <c r="D161" s="36">
        <v>1636.1</v>
      </c>
      <c r="E161" s="36">
        <v>1649.7</v>
      </c>
      <c r="F161" s="36">
        <v>1364.9</v>
      </c>
      <c r="G161" s="36">
        <v>1460.9</v>
      </c>
      <c r="H161" s="36">
        <v>1411.9</v>
      </c>
      <c r="I161" s="36">
        <v>1711.7</v>
      </c>
      <c r="J161" s="36">
        <v>372.4</v>
      </c>
      <c r="K161" s="36">
        <v>455.9</v>
      </c>
      <c r="L161" s="36">
        <v>522.20000000000005</v>
      </c>
      <c r="M161" s="36">
        <v>444</v>
      </c>
      <c r="N161" s="36">
        <v>1791.5</v>
      </c>
      <c r="O161" s="36">
        <v>402.9</v>
      </c>
      <c r="P161" s="36">
        <v>533.6</v>
      </c>
      <c r="Q161" s="36">
        <v>808.1</v>
      </c>
      <c r="R161" s="36">
        <v>691</v>
      </c>
      <c r="S161" s="36">
        <v>2435.6</v>
      </c>
      <c r="T161" s="36">
        <v>617.1</v>
      </c>
      <c r="U161" s="36">
        <v>721.2</v>
      </c>
      <c r="V161" s="36">
        <v>819.7</v>
      </c>
      <c r="W161" s="36">
        <v>659.8</v>
      </c>
      <c r="X161" s="36">
        <v>2817.8</v>
      </c>
      <c r="Y161" s="36">
        <v>644.20000000000005</v>
      </c>
      <c r="Z161" s="36">
        <v>730.6</v>
      </c>
      <c r="AA161" s="36">
        <v>811.3</v>
      </c>
      <c r="AB161" s="36">
        <v>723.7</v>
      </c>
      <c r="AC161" s="36">
        <v>2909.8</v>
      </c>
      <c r="AD161" s="36">
        <v>696.8</v>
      </c>
      <c r="AE161" s="36">
        <v>789.4</v>
      </c>
      <c r="AF161" s="36">
        <v>796</v>
      </c>
      <c r="AG161" s="36">
        <v>711.4</v>
      </c>
      <c r="AH161" s="36">
        <v>2993.7</v>
      </c>
      <c r="AI161" s="36">
        <v>691.6</v>
      </c>
      <c r="AJ161" s="36">
        <v>886.48599999999999</v>
      </c>
      <c r="AK161" s="36">
        <v>906.65599999999995</v>
      </c>
      <c r="AL161" s="36">
        <v>792.93399999999997</v>
      </c>
      <c r="AM161" s="36">
        <v>3277.6880000000001</v>
      </c>
      <c r="AN161" s="36">
        <v>796.048</v>
      </c>
      <c r="AO161" s="36">
        <v>922.601</v>
      </c>
      <c r="AP161" s="36">
        <v>999.601</v>
      </c>
      <c r="AQ161" s="36">
        <v>841.84100000000001</v>
      </c>
      <c r="AR161" s="36">
        <v>3560.0909999999999</v>
      </c>
      <c r="AS161" s="36">
        <v>815.8</v>
      </c>
      <c r="AT161" s="36">
        <v>890.1</v>
      </c>
      <c r="AU161" s="36">
        <v>916.9</v>
      </c>
      <c r="AV161" s="36">
        <v>854.2</v>
      </c>
      <c r="AW161" s="36">
        <v>3477.1</v>
      </c>
      <c r="AX161" s="36">
        <v>807.7</v>
      </c>
      <c r="AY161" s="36">
        <v>992.8</v>
      </c>
      <c r="AZ161" s="36">
        <v>1115.4000000000001</v>
      </c>
      <c r="BA161" s="36">
        <v>1149.7</v>
      </c>
      <c r="BB161" s="36">
        <v>4065.6</v>
      </c>
      <c r="BC161" s="36">
        <v>1074.7</v>
      </c>
      <c r="BD161" s="36">
        <v>1216.5</v>
      </c>
      <c r="BE161" s="36">
        <v>1323.9</v>
      </c>
      <c r="BF161" s="36">
        <v>1122.3</v>
      </c>
      <c r="BG161" s="36">
        <v>4737.3999999999996</v>
      </c>
      <c r="BH161" s="36">
        <v>1051.3</v>
      </c>
      <c r="BI161" s="36">
        <v>1260.4000000000001</v>
      </c>
      <c r="BJ161" s="36">
        <v>1318.1</v>
      </c>
      <c r="BK161" s="36">
        <v>1124.7</v>
      </c>
      <c r="BL161" s="36">
        <v>4754.6000000000004</v>
      </c>
      <c r="BM161" s="36">
        <v>979</v>
      </c>
      <c r="BN161" s="36">
        <v>1247</v>
      </c>
      <c r="BO161" s="36">
        <v>1290</v>
      </c>
      <c r="BP161" s="36">
        <v>1143</v>
      </c>
      <c r="BQ161" s="36">
        <v>4658</v>
      </c>
      <c r="BR161" s="36">
        <v>847</v>
      </c>
      <c r="BS161" s="36">
        <v>1113</v>
      </c>
      <c r="BT161" s="36">
        <v>1235</v>
      </c>
      <c r="BU161" s="36">
        <v>1066</v>
      </c>
      <c r="BV161" s="36">
        <v>4261</v>
      </c>
      <c r="BW161" s="36">
        <v>1052</v>
      </c>
      <c r="BX161" s="36">
        <v>1452</v>
      </c>
      <c r="BY161" s="37">
        <f>BY158-BY115</f>
        <v>1672.9163416062306</v>
      </c>
      <c r="BZ161" s="37">
        <f>BZ158-BZ115</f>
        <v>1661.7169747621801</v>
      </c>
      <c r="CA161" s="37">
        <f>SUM(BW161,BX161,BY161,BZ161)</f>
        <v>5838.6333163684112</v>
      </c>
      <c r="CB161" s="37">
        <f>CB158-CB115</f>
        <v>6865.3810181661283</v>
      </c>
      <c r="CC161" s="37">
        <f>CC158-CC115</f>
        <v>7146.2687838728016</v>
      </c>
      <c r="CD161" s="37">
        <f>CD158-CD115</f>
        <v>7563.5927064035841</v>
      </c>
      <c r="CE161" s="37">
        <f>CE158-CE115</f>
        <v>8047.8703990531503</v>
      </c>
      <c r="CF161" s="20" t="s">
        <v>305</v>
      </c>
    </row>
    <row r="162" spans="2:89" ht="15" customHeight="1" x14ac:dyDescent="0.25">
      <c r="B162" s="17" t="s">
        <v>306</v>
      </c>
      <c r="C162" s="46">
        <f t="shared" ref="C162:AH162" si="151">C158-C161</f>
        <v>522.5</v>
      </c>
      <c r="D162" s="46">
        <f t="shared" si="151"/>
        <v>571</v>
      </c>
      <c r="E162" s="46">
        <f t="shared" si="151"/>
        <v>470.39999999999986</v>
      </c>
      <c r="F162" s="46">
        <f t="shared" si="151"/>
        <v>337.69999999999982</v>
      </c>
      <c r="G162" s="46">
        <f t="shared" si="151"/>
        <v>322</v>
      </c>
      <c r="H162" s="46">
        <f t="shared" si="151"/>
        <v>302</v>
      </c>
      <c r="I162" s="46">
        <f t="shared" si="151"/>
        <v>325.89999999999986</v>
      </c>
      <c r="J162" s="46">
        <f t="shared" si="151"/>
        <v>12.600000000000023</v>
      </c>
      <c r="K162" s="46">
        <f t="shared" si="151"/>
        <v>106.80000000000007</v>
      </c>
      <c r="L162" s="46">
        <f t="shared" si="151"/>
        <v>143.09999999999991</v>
      </c>
      <c r="M162" s="46">
        <f t="shared" si="151"/>
        <v>101</v>
      </c>
      <c r="N162" s="46">
        <f t="shared" si="151"/>
        <v>364</v>
      </c>
      <c r="O162" s="46">
        <f t="shared" si="151"/>
        <v>25.800000000000011</v>
      </c>
      <c r="P162" s="46">
        <f t="shared" si="151"/>
        <v>135.60000000000002</v>
      </c>
      <c r="Q162" s="46">
        <f t="shared" si="151"/>
        <v>195.60000000000002</v>
      </c>
      <c r="R162" s="46">
        <f t="shared" si="151"/>
        <v>165.29999999999995</v>
      </c>
      <c r="S162" s="46">
        <f t="shared" si="151"/>
        <v>522.40000000000009</v>
      </c>
      <c r="T162" s="46">
        <f t="shared" si="151"/>
        <v>74.299999999999955</v>
      </c>
      <c r="U162" s="46">
        <f t="shared" si="151"/>
        <v>200.19999999999993</v>
      </c>
      <c r="V162" s="46">
        <f t="shared" si="151"/>
        <v>262.5</v>
      </c>
      <c r="W162" s="46">
        <f t="shared" si="151"/>
        <v>184.80000000000007</v>
      </c>
      <c r="X162" s="46">
        <f t="shared" si="151"/>
        <v>721.79999999999973</v>
      </c>
      <c r="Y162" s="46">
        <f t="shared" si="151"/>
        <v>144.59999999999991</v>
      </c>
      <c r="Z162" s="46">
        <f t="shared" si="151"/>
        <v>246.69999999999993</v>
      </c>
      <c r="AA162" s="46">
        <f t="shared" si="151"/>
        <v>292.60000000000014</v>
      </c>
      <c r="AB162" s="46">
        <f t="shared" si="151"/>
        <v>225.09999999999991</v>
      </c>
      <c r="AC162" s="46">
        <f t="shared" si="151"/>
        <v>909</v>
      </c>
      <c r="AD162" s="46">
        <f t="shared" si="151"/>
        <v>147.10000000000002</v>
      </c>
      <c r="AE162" s="46">
        <f t="shared" si="151"/>
        <v>274.10000000000002</v>
      </c>
      <c r="AF162" s="46">
        <f t="shared" si="151"/>
        <v>291.70000000000005</v>
      </c>
      <c r="AG162" s="46">
        <f t="shared" si="151"/>
        <v>259.10000000000002</v>
      </c>
      <c r="AH162" s="46">
        <f t="shared" si="151"/>
        <v>971.90000000000009</v>
      </c>
      <c r="AI162" s="46">
        <f t="shared" ref="AI162:BN162" si="152">AI158-AI161</f>
        <v>110.39999999999998</v>
      </c>
      <c r="AJ162" s="46">
        <f t="shared" si="152"/>
        <v>315.91700000000003</v>
      </c>
      <c r="AK162" s="46">
        <f t="shared" si="152"/>
        <v>312.98400000000015</v>
      </c>
      <c r="AL162" s="46">
        <f t="shared" si="152"/>
        <v>227.28399999999999</v>
      </c>
      <c r="AM162" s="46">
        <f t="shared" si="152"/>
        <v>966.57700000000023</v>
      </c>
      <c r="AN162" s="46">
        <f t="shared" si="152"/>
        <v>142.90700000000004</v>
      </c>
      <c r="AO162" s="46">
        <f t="shared" si="152"/>
        <v>356.86700000000008</v>
      </c>
      <c r="AP162" s="46">
        <f t="shared" si="152"/>
        <v>420.6450000000001</v>
      </c>
      <c r="AQ162" s="46">
        <f t="shared" si="152"/>
        <v>258.58900000000006</v>
      </c>
      <c r="AR162" s="46">
        <f t="shared" si="152"/>
        <v>1179.0070000000001</v>
      </c>
      <c r="AS162" s="46">
        <f t="shared" si="152"/>
        <v>142.40000000000009</v>
      </c>
      <c r="AT162" s="46">
        <f t="shared" si="152"/>
        <v>380.49999999999989</v>
      </c>
      <c r="AU162" s="46">
        <f t="shared" si="152"/>
        <v>404.50000000000011</v>
      </c>
      <c r="AV162" s="46">
        <f t="shared" si="152"/>
        <v>325.39999999999986</v>
      </c>
      <c r="AW162" s="46">
        <f t="shared" si="152"/>
        <v>1252.7999999999997</v>
      </c>
      <c r="AX162" s="46">
        <f t="shared" si="152"/>
        <v>174.69999999999993</v>
      </c>
      <c r="AY162" s="46">
        <f t="shared" si="152"/>
        <v>385.10000000000014</v>
      </c>
      <c r="AZ162" s="46">
        <f t="shared" si="152"/>
        <v>441.89999999999986</v>
      </c>
      <c r="BA162" s="46">
        <f t="shared" si="152"/>
        <v>346.70000000000005</v>
      </c>
      <c r="BB162" s="46">
        <f t="shared" si="152"/>
        <v>1348.4</v>
      </c>
      <c r="BC162" s="46">
        <f t="shared" si="152"/>
        <v>156.09999999999991</v>
      </c>
      <c r="BD162" s="46">
        <f t="shared" si="152"/>
        <v>425.20000000000005</v>
      </c>
      <c r="BE162" s="46">
        <f t="shared" si="152"/>
        <v>487.79999999999995</v>
      </c>
      <c r="BF162" s="46">
        <f t="shared" si="152"/>
        <v>354.20000000000005</v>
      </c>
      <c r="BG162" s="46">
        <f t="shared" si="152"/>
        <v>1423.3000000000002</v>
      </c>
      <c r="BH162" s="46">
        <f t="shared" si="152"/>
        <v>302.79999999999995</v>
      </c>
      <c r="BI162" s="46">
        <f t="shared" si="152"/>
        <v>560.39999999999986</v>
      </c>
      <c r="BJ162" s="46">
        <f t="shared" si="152"/>
        <v>676</v>
      </c>
      <c r="BK162" s="46">
        <f t="shared" si="152"/>
        <v>483.5</v>
      </c>
      <c r="BL162" s="46">
        <f t="shared" si="152"/>
        <v>2022.5999999999995</v>
      </c>
      <c r="BM162" s="46">
        <f t="shared" si="152"/>
        <v>272</v>
      </c>
      <c r="BN162" s="46">
        <f t="shared" si="152"/>
        <v>517</v>
      </c>
      <c r="BO162" s="46">
        <f t="shared" ref="BO162:CE162" si="153">BO158-BO161</f>
        <v>599</v>
      </c>
      <c r="BP162" s="46">
        <f t="shared" si="153"/>
        <v>489</v>
      </c>
      <c r="BQ162" s="46">
        <f t="shared" si="153"/>
        <v>1878</v>
      </c>
      <c r="BR162" s="46">
        <f t="shared" si="153"/>
        <v>315</v>
      </c>
      <c r="BS162" s="46">
        <f t="shared" si="153"/>
        <v>496</v>
      </c>
      <c r="BT162" s="46">
        <f t="shared" si="153"/>
        <v>611</v>
      </c>
      <c r="BU162" s="46">
        <f t="shared" si="153"/>
        <v>468</v>
      </c>
      <c r="BV162" s="46">
        <f t="shared" si="153"/>
        <v>1889</v>
      </c>
      <c r="BW162" s="46">
        <f t="shared" si="153"/>
        <v>310</v>
      </c>
      <c r="BX162" s="46">
        <f t="shared" si="153"/>
        <v>495</v>
      </c>
      <c r="BY162" s="34">
        <f t="shared" si="153"/>
        <v>713.8639002616701</v>
      </c>
      <c r="BZ162" s="34">
        <f t="shared" si="153"/>
        <v>611.96148571248705</v>
      </c>
      <c r="CA162" s="34">
        <f t="shared" si="153"/>
        <v>2130.8253859741562</v>
      </c>
      <c r="CB162" s="34">
        <f t="shared" si="153"/>
        <v>2951.438028740462</v>
      </c>
      <c r="CC162" s="34">
        <f t="shared" si="153"/>
        <v>3456.2212887016303</v>
      </c>
      <c r="CD162" s="34">
        <f t="shared" si="153"/>
        <v>3930.0359099389498</v>
      </c>
      <c r="CE162" s="34">
        <f t="shared" si="153"/>
        <v>4437.9014454378557</v>
      </c>
      <c r="CF162" s="6"/>
      <c r="CH162" s="21">
        <f>IFERROR((CE162/BV162)^(1/5)-1,"n/m")</f>
        <v>0.18628527344464696</v>
      </c>
      <c r="CI162" s="21">
        <f>IFERROR((BV162/AW162)^(1/5)-1,"n/m")</f>
        <v>8.560051990967521E-2</v>
      </c>
      <c r="CJ162" s="21">
        <f>IFERROR((BV162/X162)^(1/10)-1,"n/m")</f>
        <v>0.10098526848595757</v>
      </c>
      <c r="CK162" s="21">
        <f>IFERROR((BV162/C162)^(1/19)-1,"n/m")</f>
        <v>6.9981053433339158E-2</v>
      </c>
    </row>
    <row r="163" spans="2:89" ht="15" customHeight="1" x14ac:dyDescent="0.25">
      <c r="B163" s="26" t="s">
        <v>307</v>
      </c>
      <c r="C163" s="36">
        <v>147.4</v>
      </c>
      <c r="D163" s="36">
        <v>156.1</v>
      </c>
      <c r="E163" s="36">
        <v>151.9</v>
      </c>
      <c r="F163" s="36">
        <v>139.80000000000001</v>
      </c>
      <c r="G163" s="36">
        <v>133.4</v>
      </c>
      <c r="H163" s="36">
        <v>124.1</v>
      </c>
      <c r="I163" s="36">
        <v>138.4</v>
      </c>
      <c r="J163" s="36">
        <v>37.6</v>
      </c>
      <c r="K163" s="36">
        <v>37.799999999999997</v>
      </c>
      <c r="L163" s="36">
        <v>37.1</v>
      </c>
      <c r="M163" s="36">
        <v>37.5</v>
      </c>
      <c r="N163" s="36">
        <v>150.1</v>
      </c>
      <c r="O163" s="36">
        <v>34.200000000000003</v>
      </c>
      <c r="P163" s="36">
        <v>36.6</v>
      </c>
      <c r="Q163" s="36">
        <v>48.4</v>
      </c>
      <c r="R163" s="36">
        <v>50</v>
      </c>
      <c r="S163" s="36">
        <v>169.2</v>
      </c>
      <c r="T163" s="36">
        <v>49.5</v>
      </c>
      <c r="U163" s="36">
        <v>56.8</v>
      </c>
      <c r="V163" s="36">
        <v>54.9</v>
      </c>
      <c r="W163" s="36">
        <v>57.1</v>
      </c>
      <c r="X163" s="36">
        <v>218.2</v>
      </c>
      <c r="Y163" s="36">
        <v>59.9</v>
      </c>
      <c r="Z163" s="36">
        <v>61.5</v>
      </c>
      <c r="AA163" s="36">
        <v>56.3</v>
      </c>
      <c r="AB163" s="36">
        <v>70.3</v>
      </c>
      <c r="AC163" s="36">
        <v>248</v>
      </c>
      <c r="AD163" s="36">
        <v>69.5</v>
      </c>
      <c r="AE163" s="36">
        <v>68.400000000000006</v>
      </c>
      <c r="AF163" s="36">
        <v>57.2</v>
      </c>
      <c r="AG163" s="36">
        <v>67</v>
      </c>
      <c r="AH163" s="36">
        <v>262.10000000000002</v>
      </c>
      <c r="AI163" s="36">
        <v>70.099999999999994</v>
      </c>
      <c r="AJ163" s="36">
        <v>71.069999999999993</v>
      </c>
      <c r="AK163" s="36">
        <v>68.441000000000003</v>
      </c>
      <c r="AL163" s="36">
        <v>70.921999999999997</v>
      </c>
      <c r="AM163" s="36">
        <v>280.55399999999997</v>
      </c>
      <c r="AN163" s="36">
        <v>78.292000000000002</v>
      </c>
      <c r="AO163" s="36">
        <v>72.382000000000005</v>
      </c>
      <c r="AP163" s="36">
        <v>78.281000000000006</v>
      </c>
      <c r="AQ163" s="36">
        <v>73.701999999999998</v>
      </c>
      <c r="AR163" s="36">
        <v>302.65699999999998</v>
      </c>
      <c r="AS163" s="36">
        <v>78.7</v>
      </c>
      <c r="AT163" s="36">
        <v>71.2</v>
      </c>
      <c r="AU163" s="36">
        <v>71.099999999999994</v>
      </c>
      <c r="AV163" s="36">
        <v>84.9</v>
      </c>
      <c r="AW163" s="36">
        <v>305.89999999999998</v>
      </c>
      <c r="AX163" s="36">
        <v>79.8</v>
      </c>
      <c r="AY163" s="36">
        <v>82.4</v>
      </c>
      <c r="AZ163" s="36">
        <v>86</v>
      </c>
      <c r="BA163" s="36">
        <v>102.9</v>
      </c>
      <c r="BB163" s="36">
        <v>351</v>
      </c>
      <c r="BC163" s="36">
        <v>97.1</v>
      </c>
      <c r="BD163" s="36">
        <v>104.1</v>
      </c>
      <c r="BE163" s="36">
        <v>94.9</v>
      </c>
      <c r="BF163" s="36">
        <v>100.7</v>
      </c>
      <c r="BG163" s="36">
        <v>396.7</v>
      </c>
      <c r="BH163" s="36">
        <v>104.3</v>
      </c>
      <c r="BI163" s="36">
        <v>111.6</v>
      </c>
      <c r="BJ163" s="36">
        <v>108.1</v>
      </c>
      <c r="BK163" s="36">
        <v>118.7</v>
      </c>
      <c r="BL163" s="36">
        <v>442.8</v>
      </c>
      <c r="BM163" s="36">
        <v>118</v>
      </c>
      <c r="BN163" s="36">
        <v>117</v>
      </c>
      <c r="BO163" s="36">
        <v>105</v>
      </c>
      <c r="BP163" s="36">
        <v>105</v>
      </c>
      <c r="BQ163" s="36">
        <v>447</v>
      </c>
      <c r="BR163" s="36">
        <v>125</v>
      </c>
      <c r="BS163" s="36">
        <v>104</v>
      </c>
      <c r="BT163" s="36">
        <v>110</v>
      </c>
      <c r="BU163" s="36">
        <v>103</v>
      </c>
      <c r="BV163" s="36">
        <v>443</v>
      </c>
      <c r="BW163" s="36">
        <v>133</v>
      </c>
      <c r="BX163" s="36">
        <v>116</v>
      </c>
      <c r="BY163" s="37">
        <f>BT163*(BW163+BX163)/(BR163+BS163)+BY85</f>
        <v>137.76794177213463</v>
      </c>
      <c r="BZ163" s="37">
        <f>BU163*(BW163+BX163)/(BR163+BS163)+BZ85</f>
        <v>152.74704412134759</v>
      </c>
      <c r="CA163" s="37">
        <f>SUM(BW163,BX163,BY163,BZ163)</f>
        <v>539.51498589348216</v>
      </c>
      <c r="CB163" s="37">
        <f>(CB158-N(CB74))*CB154+CB85</f>
        <v>721.90109913391393</v>
      </c>
      <c r="CC163" s="37">
        <f>(CC158-N(CC74))*CC154+CC85</f>
        <v>778.6342592231855</v>
      </c>
      <c r="CD163" s="37">
        <f>(CD158-N(CD74))*CD154+CD85</f>
        <v>842.65465522338661</v>
      </c>
      <c r="CE163" s="37">
        <f>(CE158-N(CE74))*CE154+CE85</f>
        <v>913.819210537353</v>
      </c>
      <c r="CF163" s="20" t="s">
        <v>308</v>
      </c>
    </row>
    <row r="164" spans="2:89" ht="15" customHeight="1" x14ac:dyDescent="0.25">
      <c r="B164" s="26" t="s">
        <v>309</v>
      </c>
      <c r="C164" s="36">
        <v>0</v>
      </c>
      <c r="D164" s="36">
        <v>0</v>
      </c>
      <c r="E164" s="36">
        <v>0</v>
      </c>
      <c r="F164" s="36">
        <v>0</v>
      </c>
      <c r="G164" s="36">
        <v>0</v>
      </c>
      <c r="H164" s="36">
        <v>18.600000000000001</v>
      </c>
      <c r="I164" s="36">
        <v>35.1</v>
      </c>
      <c r="J164" s="36">
        <v>0.3</v>
      </c>
      <c r="K164" s="36">
        <v>0.3</v>
      </c>
      <c r="L164" s="36">
        <v>0.1</v>
      </c>
      <c r="M164" s="36">
        <v>0</v>
      </c>
      <c r="N164" s="36">
        <v>0.7</v>
      </c>
      <c r="O164" s="36">
        <v>9.5</v>
      </c>
      <c r="P164" s="36">
        <v>5.3</v>
      </c>
      <c r="Q164" s="36">
        <v>26.1</v>
      </c>
      <c r="R164" s="36">
        <v>1.7</v>
      </c>
      <c r="S164" s="36">
        <v>42.9</v>
      </c>
      <c r="T164" s="36">
        <v>1.6</v>
      </c>
      <c r="U164" s="36">
        <v>2.1</v>
      </c>
      <c r="V164" s="36">
        <v>2.1</v>
      </c>
      <c r="W164" s="36">
        <v>2.7</v>
      </c>
      <c r="X164" s="36">
        <v>8.5</v>
      </c>
      <c r="Y164" s="36">
        <v>0.4</v>
      </c>
      <c r="Z164" s="36">
        <v>0.9</v>
      </c>
      <c r="AA164" s="36">
        <v>0.3</v>
      </c>
      <c r="AB164" s="36">
        <v>0</v>
      </c>
      <c r="AC164" s="36">
        <v>1.7</v>
      </c>
      <c r="AD164" s="36">
        <v>0</v>
      </c>
      <c r="AE164" s="36">
        <v>2</v>
      </c>
      <c r="AF164" s="36">
        <v>1.3</v>
      </c>
      <c r="AG164" s="36">
        <v>5.3</v>
      </c>
      <c r="AH164" s="36">
        <v>8.6</v>
      </c>
      <c r="AI164" s="36">
        <v>0.7</v>
      </c>
      <c r="AJ164" s="36">
        <v>12.125999999999999</v>
      </c>
      <c r="AK164" s="36">
        <v>8.8999999999999996E-2</v>
      </c>
      <c r="AL164" s="36">
        <v>0.55400000000000005</v>
      </c>
      <c r="AM164" s="36">
        <v>13.478999999999999</v>
      </c>
      <c r="AN164" s="36">
        <v>0.14399999999999999</v>
      </c>
      <c r="AO164" s="36">
        <v>4.7E-2</v>
      </c>
      <c r="AP164" s="36">
        <v>0</v>
      </c>
      <c r="AQ164" s="36">
        <v>0.27700000000000002</v>
      </c>
      <c r="AR164" s="36">
        <v>0.46700000000000003</v>
      </c>
      <c r="AS164" s="36">
        <v>0.3</v>
      </c>
      <c r="AT164" s="36">
        <v>0.5</v>
      </c>
      <c r="AU164" s="36">
        <v>0.4</v>
      </c>
      <c r="AV164" s="36">
        <v>0.2</v>
      </c>
      <c r="AW164" s="36">
        <v>1.3</v>
      </c>
      <c r="AX164" s="36">
        <v>1.2</v>
      </c>
      <c r="AY164" s="36">
        <v>9.3000000000000007</v>
      </c>
      <c r="AZ164" s="36">
        <v>7.4</v>
      </c>
      <c r="BA164" s="36">
        <v>39.799999999999997</v>
      </c>
      <c r="BB164" s="36">
        <v>57.9</v>
      </c>
      <c r="BC164" s="36">
        <v>1.4</v>
      </c>
      <c r="BD164" s="36">
        <v>2.9</v>
      </c>
      <c r="BE164" s="36">
        <v>1.8</v>
      </c>
      <c r="BF164" s="36">
        <v>3</v>
      </c>
      <c r="BG164" s="36">
        <v>9.1</v>
      </c>
      <c r="BH164" s="36">
        <v>0.8</v>
      </c>
      <c r="BI164" s="36">
        <v>0.4</v>
      </c>
      <c r="BJ164" s="36">
        <v>3.3</v>
      </c>
      <c r="BK164" s="36">
        <v>7.6</v>
      </c>
      <c r="BL164" s="36">
        <v>12.2</v>
      </c>
      <c r="BM164" s="36">
        <v>20</v>
      </c>
      <c r="BN164" s="36">
        <v>21</v>
      </c>
      <c r="BO164" s="36">
        <v>4</v>
      </c>
      <c r="BP164" s="36">
        <v>5</v>
      </c>
      <c r="BQ164" s="36">
        <v>50</v>
      </c>
      <c r="BR164" s="36">
        <v>2</v>
      </c>
      <c r="BS164" s="36">
        <v>2</v>
      </c>
      <c r="BT164" s="36">
        <v>5</v>
      </c>
      <c r="BU164" s="36">
        <v>6</v>
      </c>
      <c r="BV164" s="36">
        <v>15</v>
      </c>
      <c r="BW164" s="36">
        <v>5</v>
      </c>
      <c r="BX164" s="36">
        <v>18</v>
      </c>
      <c r="BY164" s="52">
        <v>60</v>
      </c>
      <c r="BZ164" s="52">
        <v>23</v>
      </c>
      <c r="CA164" s="37">
        <f>SUM(BW164,BX164,BY164,BZ164)</f>
        <v>106</v>
      </c>
      <c r="CB164" s="52">
        <v>25</v>
      </c>
      <c r="CC164" s="52">
        <v>10</v>
      </c>
      <c r="CD164" s="52">
        <v>10</v>
      </c>
      <c r="CE164" s="52">
        <v>10</v>
      </c>
      <c r="CF164" s="20" t="s">
        <v>310</v>
      </c>
    </row>
    <row r="165" spans="2:89" ht="15" customHeight="1" x14ac:dyDescent="0.25">
      <c r="B165" s="26" t="s">
        <v>311</v>
      </c>
      <c r="C165" s="36">
        <v>-12.9</v>
      </c>
      <c r="D165" s="36">
        <v>-18.100000000000001</v>
      </c>
      <c r="E165" s="36">
        <v>-4.8</v>
      </c>
      <c r="F165" s="36">
        <v>10.3</v>
      </c>
      <c r="G165" s="36">
        <v>-7.8</v>
      </c>
      <c r="H165" s="36">
        <v>-1.7</v>
      </c>
      <c r="I165" s="36">
        <v>-2.6</v>
      </c>
      <c r="J165" s="36">
        <v>-1.7</v>
      </c>
      <c r="K165" s="36">
        <v>-0.7</v>
      </c>
      <c r="L165" s="36">
        <v>-2.9</v>
      </c>
      <c r="M165" s="36">
        <v>0.7</v>
      </c>
      <c r="N165" s="36">
        <v>-4.8</v>
      </c>
      <c r="O165" s="36">
        <v>-2</v>
      </c>
      <c r="P165" s="36">
        <v>-2.5</v>
      </c>
      <c r="Q165" s="36">
        <v>5.0999999999999996</v>
      </c>
      <c r="R165" s="36">
        <v>-5</v>
      </c>
      <c r="S165" s="36">
        <v>-4.5999999999999996</v>
      </c>
      <c r="T165" s="36">
        <v>-2.4</v>
      </c>
      <c r="U165" s="36">
        <v>4.3</v>
      </c>
      <c r="V165" s="36">
        <v>26</v>
      </c>
      <c r="W165" s="36">
        <v>-12.4</v>
      </c>
      <c r="X165" s="36">
        <v>15.7</v>
      </c>
      <c r="Y165" s="36">
        <v>0.5</v>
      </c>
      <c r="Z165" s="36">
        <v>-3.4</v>
      </c>
      <c r="AA165" s="36">
        <v>-4.4000000000000004</v>
      </c>
      <c r="AB165" s="36">
        <v>-0.7</v>
      </c>
      <c r="AC165" s="36">
        <v>-8</v>
      </c>
      <c r="AD165" s="36">
        <v>0.4</v>
      </c>
      <c r="AE165" s="36">
        <v>-9.1999999999999993</v>
      </c>
      <c r="AF165" s="36">
        <v>6.2</v>
      </c>
      <c r="AG165" s="36">
        <v>3.4</v>
      </c>
      <c r="AH165" s="36">
        <v>0.8</v>
      </c>
      <c r="AI165" s="36">
        <v>0.5</v>
      </c>
      <c r="AJ165" s="36">
        <v>-31.231999999999999</v>
      </c>
      <c r="AK165" s="36">
        <v>3.7919999999999998</v>
      </c>
      <c r="AL165" s="36">
        <v>8.7669999999999995</v>
      </c>
      <c r="AM165" s="36">
        <v>-18.193000000000001</v>
      </c>
      <c r="AN165" s="36">
        <v>-4.75</v>
      </c>
      <c r="AO165" s="36">
        <v>-1.444</v>
      </c>
      <c r="AP165" s="36">
        <v>-2.899</v>
      </c>
      <c r="AQ165" s="36">
        <v>4.1000000000000002E-2</v>
      </c>
      <c r="AR165" s="36">
        <v>-9.0510000000000002</v>
      </c>
      <c r="AS165" s="36">
        <v>5.6</v>
      </c>
      <c r="AT165" s="36">
        <v>2.4</v>
      </c>
      <c r="AU165" s="36">
        <v>-67.599999999999994</v>
      </c>
      <c r="AV165" s="36">
        <v>-0.3</v>
      </c>
      <c r="AW165" s="36">
        <v>-59.8</v>
      </c>
      <c r="AX165" s="36">
        <v>-5.6</v>
      </c>
      <c r="AY165" s="36">
        <v>-14.1</v>
      </c>
      <c r="AZ165" s="36">
        <v>-8.4</v>
      </c>
      <c r="BA165" s="36">
        <v>-6</v>
      </c>
      <c r="BB165" s="36">
        <v>-34.299999999999997</v>
      </c>
      <c r="BC165" s="36">
        <v>-2.2999999999999998</v>
      </c>
      <c r="BD165" s="36">
        <v>-160.4</v>
      </c>
      <c r="BE165" s="36">
        <v>-14.8</v>
      </c>
      <c r="BF165" s="36">
        <v>-11.8</v>
      </c>
      <c r="BG165" s="36">
        <v>-189.2</v>
      </c>
      <c r="BH165" s="36">
        <v>1.6</v>
      </c>
      <c r="BI165" s="36">
        <v>-14.9</v>
      </c>
      <c r="BJ165" s="36">
        <v>-2</v>
      </c>
      <c r="BK165" s="36">
        <v>-13</v>
      </c>
      <c r="BL165" s="36">
        <v>-28.4</v>
      </c>
      <c r="BM165" s="36">
        <v>-1287</v>
      </c>
      <c r="BN165" s="36">
        <v>-19</v>
      </c>
      <c r="BO165" s="36">
        <v>1</v>
      </c>
      <c r="BP165" s="36">
        <v>-20</v>
      </c>
      <c r="BQ165" s="36">
        <v>-1326</v>
      </c>
      <c r="BR165" s="36">
        <v>9</v>
      </c>
      <c r="BS165" s="36">
        <v>-23</v>
      </c>
      <c r="BT165" s="36">
        <v>-9</v>
      </c>
      <c r="BU165" s="36">
        <v>18</v>
      </c>
      <c r="BV165" s="36">
        <v>-6</v>
      </c>
      <c r="BW165" s="36">
        <v>10</v>
      </c>
      <c r="BX165" s="36">
        <v>-11</v>
      </c>
      <c r="BY165" s="37">
        <f>(BW165+BX165)/2</f>
        <v>-0.5</v>
      </c>
      <c r="BZ165" s="37">
        <f>(BW165+BX165)/2</f>
        <v>-0.5</v>
      </c>
      <c r="CA165" s="37">
        <f>SUM(BW165,BX165,BY165,BZ165)</f>
        <v>-2</v>
      </c>
      <c r="CB165" s="52">
        <v>-20</v>
      </c>
      <c r="CC165" s="52">
        <v>-20</v>
      </c>
      <c r="CD165" s="52">
        <v>-20</v>
      </c>
      <c r="CE165" s="52">
        <v>-20</v>
      </c>
      <c r="CF165" s="20" t="s">
        <v>312</v>
      </c>
    </row>
    <row r="166" spans="2:89" ht="15" customHeight="1" x14ac:dyDescent="0.25">
      <c r="B166" s="59" t="s">
        <v>313</v>
      </c>
      <c r="C166" s="60">
        <f t="shared" ref="C166:AH166" si="154">C162-C163-C164-C165</f>
        <v>388</v>
      </c>
      <c r="D166" s="60">
        <f t="shared" si="154"/>
        <v>433</v>
      </c>
      <c r="E166" s="60">
        <f t="shared" si="154"/>
        <v>323.2999999999999</v>
      </c>
      <c r="F166" s="60">
        <f t="shared" si="154"/>
        <v>187.5999999999998</v>
      </c>
      <c r="G166" s="60">
        <f t="shared" si="154"/>
        <v>196.4</v>
      </c>
      <c r="H166" s="60">
        <f t="shared" si="154"/>
        <v>161</v>
      </c>
      <c r="I166" s="60">
        <f t="shared" si="154"/>
        <v>154.99999999999986</v>
      </c>
      <c r="J166" s="60">
        <f t="shared" si="154"/>
        <v>-23.59999999999998</v>
      </c>
      <c r="K166" s="60">
        <f t="shared" si="154"/>
        <v>69.400000000000077</v>
      </c>
      <c r="L166" s="60">
        <f t="shared" si="154"/>
        <v>108.79999999999993</v>
      </c>
      <c r="M166" s="60">
        <f t="shared" si="154"/>
        <v>62.8</v>
      </c>
      <c r="N166" s="60">
        <f t="shared" si="154"/>
        <v>218.00000000000003</v>
      </c>
      <c r="O166" s="60">
        <f t="shared" si="154"/>
        <v>-15.899999999999991</v>
      </c>
      <c r="P166" s="60">
        <f t="shared" si="154"/>
        <v>96.200000000000031</v>
      </c>
      <c r="Q166" s="60">
        <f t="shared" si="154"/>
        <v>116.00000000000003</v>
      </c>
      <c r="R166" s="60">
        <f t="shared" si="154"/>
        <v>118.59999999999995</v>
      </c>
      <c r="S166" s="60">
        <f t="shared" si="154"/>
        <v>314.90000000000015</v>
      </c>
      <c r="T166" s="60">
        <f t="shared" si="154"/>
        <v>25.599999999999952</v>
      </c>
      <c r="U166" s="60">
        <f t="shared" si="154"/>
        <v>136.99999999999991</v>
      </c>
      <c r="V166" s="60">
        <f t="shared" si="154"/>
        <v>179.5</v>
      </c>
      <c r="W166" s="60">
        <f t="shared" si="154"/>
        <v>137.40000000000006</v>
      </c>
      <c r="X166" s="60">
        <f t="shared" si="154"/>
        <v>479.39999999999975</v>
      </c>
      <c r="Y166" s="60">
        <f t="shared" si="154"/>
        <v>83.799999999999898</v>
      </c>
      <c r="Z166" s="60">
        <f t="shared" si="154"/>
        <v>187.69999999999993</v>
      </c>
      <c r="AA166" s="60">
        <f t="shared" si="154"/>
        <v>240.40000000000012</v>
      </c>
      <c r="AB166" s="60">
        <f t="shared" si="154"/>
        <v>155.49999999999989</v>
      </c>
      <c r="AC166" s="60">
        <f t="shared" si="154"/>
        <v>667.3</v>
      </c>
      <c r="AD166" s="60">
        <f t="shared" si="154"/>
        <v>77.200000000000017</v>
      </c>
      <c r="AE166" s="60">
        <f t="shared" si="154"/>
        <v>212.9</v>
      </c>
      <c r="AF166" s="60">
        <f t="shared" si="154"/>
        <v>227.00000000000006</v>
      </c>
      <c r="AG166" s="60">
        <f t="shared" si="154"/>
        <v>183.4</v>
      </c>
      <c r="AH166" s="60">
        <f t="shared" si="154"/>
        <v>700.40000000000009</v>
      </c>
      <c r="AI166" s="60">
        <f t="shared" ref="AI166:BN166" si="155">AI162-AI163-AI164-AI165</f>
        <v>39.09999999999998</v>
      </c>
      <c r="AJ166" s="60">
        <f t="shared" si="155"/>
        <v>263.95300000000003</v>
      </c>
      <c r="AK166" s="60">
        <f t="shared" si="155"/>
        <v>240.66200000000015</v>
      </c>
      <c r="AL166" s="60">
        <f t="shared" si="155"/>
        <v>147.041</v>
      </c>
      <c r="AM166" s="60">
        <f t="shared" si="155"/>
        <v>690.73700000000019</v>
      </c>
      <c r="AN166" s="60">
        <f t="shared" si="155"/>
        <v>69.221000000000032</v>
      </c>
      <c r="AO166" s="60">
        <f t="shared" si="155"/>
        <v>285.88200000000006</v>
      </c>
      <c r="AP166" s="60">
        <f t="shared" si="155"/>
        <v>345.26300000000009</v>
      </c>
      <c r="AQ166" s="60">
        <f t="shared" si="155"/>
        <v>184.56900000000007</v>
      </c>
      <c r="AR166" s="60">
        <f t="shared" si="155"/>
        <v>884.9340000000002</v>
      </c>
      <c r="AS166" s="60">
        <f t="shared" si="155"/>
        <v>57.80000000000009</v>
      </c>
      <c r="AT166" s="60">
        <f t="shared" si="155"/>
        <v>306.39999999999992</v>
      </c>
      <c r="AU166" s="60">
        <f t="shared" si="155"/>
        <v>400.60000000000014</v>
      </c>
      <c r="AV166" s="60">
        <f t="shared" si="155"/>
        <v>240.59999999999988</v>
      </c>
      <c r="AW166" s="60">
        <f t="shared" si="155"/>
        <v>1005.3999999999997</v>
      </c>
      <c r="AX166" s="60">
        <f t="shared" si="155"/>
        <v>99.299999999999926</v>
      </c>
      <c r="AY166" s="60">
        <f t="shared" si="155"/>
        <v>307.50000000000017</v>
      </c>
      <c r="AZ166" s="60">
        <f t="shared" si="155"/>
        <v>356.89999999999986</v>
      </c>
      <c r="BA166" s="60">
        <f t="shared" si="155"/>
        <v>210.00000000000006</v>
      </c>
      <c r="BB166" s="60">
        <f t="shared" si="155"/>
        <v>973.80000000000007</v>
      </c>
      <c r="BC166" s="60">
        <f t="shared" si="155"/>
        <v>59.899999999999913</v>
      </c>
      <c r="BD166" s="60">
        <f t="shared" si="155"/>
        <v>478.6</v>
      </c>
      <c r="BE166" s="60">
        <f t="shared" si="155"/>
        <v>405.9</v>
      </c>
      <c r="BF166" s="60">
        <f t="shared" si="155"/>
        <v>262.30000000000007</v>
      </c>
      <c r="BG166" s="60">
        <f t="shared" si="155"/>
        <v>1206.7</v>
      </c>
      <c r="BH166" s="60">
        <f t="shared" si="155"/>
        <v>196.09999999999994</v>
      </c>
      <c r="BI166" s="60">
        <f t="shared" si="155"/>
        <v>463.29999999999984</v>
      </c>
      <c r="BJ166" s="60">
        <f t="shared" si="155"/>
        <v>566.6</v>
      </c>
      <c r="BK166" s="60">
        <f t="shared" si="155"/>
        <v>370.2</v>
      </c>
      <c r="BL166" s="60">
        <f t="shared" si="155"/>
        <v>1595.9999999999995</v>
      </c>
      <c r="BM166" s="60">
        <f t="shared" si="155"/>
        <v>1421</v>
      </c>
      <c r="BN166" s="60">
        <f t="shared" si="155"/>
        <v>398</v>
      </c>
      <c r="BO166" s="60">
        <f t="shared" ref="BO166:CE166" si="156">BO162-BO163-BO164-BO165</f>
        <v>489</v>
      </c>
      <c r="BP166" s="60">
        <f t="shared" si="156"/>
        <v>399</v>
      </c>
      <c r="BQ166" s="60">
        <f t="shared" si="156"/>
        <v>2707</v>
      </c>
      <c r="BR166" s="60">
        <f t="shared" si="156"/>
        <v>179</v>
      </c>
      <c r="BS166" s="60">
        <f t="shared" si="156"/>
        <v>413</v>
      </c>
      <c r="BT166" s="60">
        <f t="shared" si="156"/>
        <v>505</v>
      </c>
      <c r="BU166" s="60">
        <f t="shared" si="156"/>
        <v>341</v>
      </c>
      <c r="BV166" s="60">
        <f t="shared" si="156"/>
        <v>1437</v>
      </c>
      <c r="BW166" s="60">
        <f t="shared" si="156"/>
        <v>162</v>
      </c>
      <c r="BX166" s="60">
        <f t="shared" si="156"/>
        <v>372</v>
      </c>
      <c r="BY166" s="60">
        <f t="shared" si="156"/>
        <v>516.59595848953541</v>
      </c>
      <c r="BZ166" s="60">
        <f t="shared" si="156"/>
        <v>436.71444159113946</v>
      </c>
      <c r="CA166" s="60">
        <f t="shared" si="156"/>
        <v>1487.3104000806741</v>
      </c>
      <c r="CB166" s="60">
        <f t="shared" si="156"/>
        <v>2224.5369296065483</v>
      </c>
      <c r="CC166" s="60">
        <f t="shared" si="156"/>
        <v>2687.5870294784449</v>
      </c>
      <c r="CD166" s="60">
        <f t="shared" si="156"/>
        <v>3097.381254715563</v>
      </c>
      <c r="CE166" s="60">
        <f t="shared" si="156"/>
        <v>3534.082234900503</v>
      </c>
      <c r="CF166" s="6"/>
      <c r="CH166" s="21">
        <f>IFERROR((CE166/BV166)^(1/5)-1,"n/m")</f>
        <v>0.19719246991960815</v>
      </c>
      <c r="CI166" s="21">
        <f>IFERROR((BV166/AW166)^(1/5)-1,"n/m")</f>
        <v>7.4047719822476488E-2</v>
      </c>
      <c r="CJ166" s="21">
        <f>IFERROR((BV166/X166)^(1/10)-1,"n/m")</f>
        <v>0.11603001237636179</v>
      </c>
      <c r="CK166" s="21">
        <f>IFERROR((BV166/C166)^(1/19)-1,"n/m")</f>
        <v>7.134077360896196E-2</v>
      </c>
    </row>
    <row r="167" spans="2:89" ht="15" customHeight="1" x14ac:dyDescent="0.25">
      <c r="B167" s="26" t="s">
        <v>314</v>
      </c>
      <c r="C167" s="36">
        <v>40.4</v>
      </c>
      <c r="D167" s="36">
        <v>60.9</v>
      </c>
      <c r="E167" s="36">
        <v>74.3</v>
      </c>
      <c r="F167" s="36">
        <v>73.5</v>
      </c>
      <c r="G167" s="36">
        <v>68.5</v>
      </c>
      <c r="H167" s="36">
        <v>58.6</v>
      </c>
      <c r="I167" s="36">
        <v>53.3</v>
      </c>
      <c r="J167" s="36">
        <v>13.5</v>
      </c>
      <c r="K167" s="36">
        <v>13.6</v>
      </c>
      <c r="L167" s="36">
        <v>13.5</v>
      </c>
      <c r="M167" s="36">
        <v>12.8</v>
      </c>
      <c r="N167" s="36">
        <v>53.5</v>
      </c>
      <c r="O167" s="36">
        <v>12.2</v>
      </c>
      <c r="P167" s="36">
        <v>12.9</v>
      </c>
      <c r="Q167" s="36">
        <v>19.8</v>
      </c>
      <c r="R167" s="36">
        <v>21.1</v>
      </c>
      <c r="S167" s="36">
        <v>66.099999999999994</v>
      </c>
      <c r="T167" s="36">
        <v>19.3</v>
      </c>
      <c r="U167" s="36">
        <v>19.100000000000001</v>
      </c>
      <c r="V167" s="36">
        <v>18.899999999999999</v>
      </c>
      <c r="W167" s="36">
        <v>18.899999999999999</v>
      </c>
      <c r="X167" s="36">
        <v>76.3</v>
      </c>
      <c r="Y167" s="36">
        <v>20</v>
      </c>
      <c r="Z167" s="36">
        <v>20.3</v>
      </c>
      <c r="AA167" s="36">
        <v>20.6</v>
      </c>
      <c r="AB167" s="36">
        <v>20.8</v>
      </c>
      <c r="AC167" s="36">
        <v>81.7</v>
      </c>
      <c r="AD167" s="36">
        <v>20.9</v>
      </c>
      <c r="AE167" s="36">
        <v>24</v>
      </c>
      <c r="AF167" s="36">
        <v>23.1</v>
      </c>
      <c r="AG167" s="36">
        <v>23.4</v>
      </c>
      <c r="AH167" s="36">
        <v>91.5</v>
      </c>
      <c r="AI167" s="36">
        <v>35.1</v>
      </c>
      <c r="AJ167" s="36">
        <v>32.970999999999997</v>
      </c>
      <c r="AK167" s="36">
        <v>35.468000000000004</v>
      </c>
      <c r="AL167" s="36">
        <v>33.542000000000002</v>
      </c>
      <c r="AM167" s="36">
        <v>137.06899999999999</v>
      </c>
      <c r="AN167" s="36">
        <v>32.948</v>
      </c>
      <c r="AO167" s="36">
        <v>33.296999999999997</v>
      </c>
      <c r="AP167" s="36">
        <v>32.436</v>
      </c>
      <c r="AQ167" s="36">
        <v>30.664999999999999</v>
      </c>
      <c r="AR167" s="36">
        <v>129.345</v>
      </c>
      <c r="AS167" s="36">
        <v>29.8</v>
      </c>
      <c r="AT167" s="36">
        <v>31.2</v>
      </c>
      <c r="AU167" s="36">
        <v>28.7</v>
      </c>
      <c r="AV167" s="36">
        <v>28.4</v>
      </c>
      <c r="AW167" s="36">
        <v>118.1</v>
      </c>
      <c r="AX167" s="36">
        <v>27.4</v>
      </c>
      <c r="AY167" s="36">
        <v>28.1</v>
      </c>
      <c r="AZ167" s="36">
        <v>44.3</v>
      </c>
      <c r="BA167" s="36">
        <v>42.8</v>
      </c>
      <c r="BB167" s="36">
        <v>142.69999999999999</v>
      </c>
      <c r="BC167" s="36">
        <v>40.5</v>
      </c>
      <c r="BD167" s="36">
        <v>43.1</v>
      </c>
      <c r="BE167" s="36">
        <v>42.8</v>
      </c>
      <c r="BF167" s="36">
        <v>42.6</v>
      </c>
      <c r="BG167" s="36">
        <v>169</v>
      </c>
      <c r="BH167" s="36">
        <v>42.2</v>
      </c>
      <c r="BI167" s="36">
        <v>42.2</v>
      </c>
      <c r="BJ167" s="36">
        <v>40.799999999999997</v>
      </c>
      <c r="BK167" s="36">
        <v>40.200000000000003</v>
      </c>
      <c r="BL167" s="36">
        <v>165.3</v>
      </c>
      <c r="BM167" s="36">
        <v>40</v>
      </c>
      <c r="BN167" s="36">
        <v>40</v>
      </c>
      <c r="BO167" s="36">
        <v>38</v>
      </c>
      <c r="BP167" s="36">
        <v>50</v>
      </c>
      <c r="BQ167" s="36">
        <v>169</v>
      </c>
      <c r="BR167" s="36">
        <v>56</v>
      </c>
      <c r="BS167" s="36">
        <v>57</v>
      </c>
      <c r="BT167" s="36">
        <v>59</v>
      </c>
      <c r="BU167" s="36">
        <v>57</v>
      </c>
      <c r="BV167" s="36">
        <v>230</v>
      </c>
      <c r="BW167" s="36">
        <v>56</v>
      </c>
      <c r="BX167" s="36">
        <v>59</v>
      </c>
      <c r="BY167" s="37">
        <f>$BX$167+($CA$383*$CA$384+$CA$385*$CA$386)*BY71/365</f>
        <v>101.51643835616439</v>
      </c>
      <c r="BZ167" s="37">
        <f>$BX$167+($CA$383*$CA$384+$CA$385*$CA$386)*BZ71/365</f>
        <v>154.40273972602739</v>
      </c>
      <c r="CA167" s="37">
        <f>SUM(BW167,BX167,BY167,BZ167)</f>
        <v>370.91917808219176</v>
      </c>
      <c r="CB167" s="37">
        <f>CA382*CB391+CA389*CB392</f>
        <v>588.90059892310001</v>
      </c>
      <c r="CC167" s="37">
        <f>CB382*CC391+CB389*CC392</f>
        <v>533.61229741434875</v>
      </c>
      <c r="CD167" s="37">
        <f>CC382*CD391+CC389*CD392</f>
        <v>518.20799999999997</v>
      </c>
      <c r="CE167" s="37">
        <f>CD382*CE391+CD389*CE392</f>
        <v>523.60599999999999</v>
      </c>
      <c r="CF167" s="20" t="s">
        <v>315</v>
      </c>
    </row>
    <row r="168" spans="2:89" ht="15" customHeight="1" x14ac:dyDescent="0.25">
      <c r="B168" s="42" t="s">
        <v>316</v>
      </c>
      <c r="AS168" s="47">
        <f t="shared" ref="AS168:BX168" si="157">AS167-AS201</f>
        <v>0.19999999999999929</v>
      </c>
      <c r="AT168" s="47">
        <f t="shared" si="157"/>
        <v>0.19999999999999929</v>
      </c>
      <c r="AU168" s="47">
        <f t="shared" si="157"/>
        <v>9.9999999999997868E-2</v>
      </c>
      <c r="AV168" s="47">
        <f t="shared" si="157"/>
        <v>0</v>
      </c>
      <c r="AW168" s="47">
        <f t="shared" si="157"/>
        <v>0.5</v>
      </c>
      <c r="AX168" s="47">
        <f t="shared" si="157"/>
        <v>9.9999999999997868E-2</v>
      </c>
      <c r="AY168" s="47">
        <f t="shared" si="157"/>
        <v>-9.9999999999997868E-2</v>
      </c>
      <c r="AZ168" s="47">
        <f t="shared" si="157"/>
        <v>9.9999999999994316E-2</v>
      </c>
      <c r="BA168" s="47">
        <f t="shared" si="157"/>
        <v>0</v>
      </c>
      <c r="BB168" s="47">
        <f t="shared" si="157"/>
        <v>0.29999999999998295</v>
      </c>
      <c r="BC168" s="47">
        <f t="shared" si="157"/>
        <v>0</v>
      </c>
      <c r="BD168" s="47">
        <f t="shared" si="157"/>
        <v>0.89999999999999858</v>
      </c>
      <c r="BE168" s="47">
        <f t="shared" si="157"/>
        <v>4</v>
      </c>
      <c r="BF168" s="47">
        <f t="shared" si="157"/>
        <v>8.7000000000000028</v>
      </c>
      <c r="BG168" s="47">
        <f t="shared" si="157"/>
        <v>13.599999999999994</v>
      </c>
      <c r="BH168" s="47">
        <f t="shared" si="157"/>
        <v>10.600000000000001</v>
      </c>
      <c r="BI168" s="47">
        <f t="shared" si="157"/>
        <v>12.600000000000001</v>
      </c>
      <c r="BJ168" s="47">
        <f t="shared" si="157"/>
        <v>8.8999999999999986</v>
      </c>
      <c r="BK168" s="47">
        <f t="shared" si="157"/>
        <v>14.500000000000004</v>
      </c>
      <c r="BL168" s="47">
        <f t="shared" si="157"/>
        <v>46.700000000000017</v>
      </c>
      <c r="BM168" s="47">
        <f t="shared" si="157"/>
        <v>26</v>
      </c>
      <c r="BN168" s="47">
        <f t="shared" si="157"/>
        <v>7</v>
      </c>
      <c r="BO168" s="47">
        <f t="shared" si="157"/>
        <v>0</v>
      </c>
      <c r="BP168" s="47">
        <f t="shared" si="157"/>
        <v>7</v>
      </c>
      <c r="BQ168" s="47">
        <f t="shared" si="157"/>
        <v>41</v>
      </c>
      <c r="BR168" s="47">
        <f t="shared" si="157"/>
        <v>5</v>
      </c>
      <c r="BS168" s="47">
        <f t="shared" si="157"/>
        <v>1</v>
      </c>
      <c r="BT168" s="47">
        <f t="shared" si="157"/>
        <v>3</v>
      </c>
      <c r="BU168" s="47">
        <f t="shared" si="157"/>
        <v>0</v>
      </c>
      <c r="BV168" s="47">
        <f t="shared" si="157"/>
        <v>10</v>
      </c>
      <c r="BW168" s="47">
        <f t="shared" si="157"/>
        <v>2</v>
      </c>
      <c r="BX168" s="47">
        <f t="shared" si="157"/>
        <v>1</v>
      </c>
      <c r="BY168" s="37">
        <f>$BX$168</f>
        <v>1</v>
      </c>
      <c r="BZ168" s="37">
        <f>$BX$168</f>
        <v>1</v>
      </c>
      <c r="CA168" s="37">
        <f>SUM(BW168,BX168,BY168,BZ168)</f>
        <v>5</v>
      </c>
      <c r="CB168" s="37">
        <f>CA301*CB393</f>
        <v>4.26</v>
      </c>
      <c r="CC168" s="37">
        <f>CB301*CC393</f>
        <v>4.26</v>
      </c>
      <c r="CD168" s="37">
        <f>CC301*CD393</f>
        <v>26.807583327407208</v>
      </c>
      <c r="CE168" s="37">
        <f>CD301*CE393</f>
        <v>11.499361665307839</v>
      </c>
      <c r="CF168" s="6"/>
    </row>
    <row r="169" spans="2:89" ht="15" customHeight="1" x14ac:dyDescent="0.25">
      <c r="B169" s="42" t="s">
        <v>317</v>
      </c>
      <c r="C169" s="47">
        <f t="shared" ref="C169:AH169" si="158">C170+N(C168)</f>
        <v>-2.8</v>
      </c>
      <c r="D169" s="47">
        <f t="shared" si="158"/>
        <v>-6.5</v>
      </c>
      <c r="E169" s="47">
        <f t="shared" si="158"/>
        <v>5.7</v>
      </c>
      <c r="F169" s="47">
        <f t="shared" si="158"/>
        <v>-1.2</v>
      </c>
      <c r="G169" s="47">
        <f t="shared" si="158"/>
        <v>0.2</v>
      </c>
      <c r="H169" s="47">
        <f t="shared" si="158"/>
        <v>1.8</v>
      </c>
      <c r="I169" s="47">
        <f t="shared" si="158"/>
        <v>-1.2</v>
      </c>
      <c r="J169" s="47">
        <f t="shared" si="158"/>
        <v>0.6</v>
      </c>
      <c r="K169" s="47">
        <f t="shared" si="158"/>
        <v>-0.5</v>
      </c>
      <c r="L169" s="47">
        <f t="shared" si="158"/>
        <v>0.1</v>
      </c>
      <c r="M169" s="47">
        <f t="shared" si="158"/>
        <v>0.1</v>
      </c>
      <c r="N169" s="47">
        <f t="shared" si="158"/>
        <v>0.3</v>
      </c>
      <c r="O169" s="47">
        <f t="shared" si="158"/>
        <v>3.5</v>
      </c>
      <c r="P169" s="47">
        <f t="shared" si="158"/>
        <v>-0.3</v>
      </c>
      <c r="Q169" s="47">
        <f t="shared" si="158"/>
        <v>-1.8</v>
      </c>
      <c r="R169" s="47">
        <f t="shared" si="158"/>
        <v>-1.7</v>
      </c>
      <c r="S169" s="47">
        <f t="shared" si="158"/>
        <v>-0.4</v>
      </c>
      <c r="T169" s="47">
        <f t="shared" si="158"/>
        <v>0.9</v>
      </c>
      <c r="U169" s="47">
        <f t="shared" si="158"/>
        <v>-3</v>
      </c>
      <c r="V169" s="47">
        <f t="shared" si="158"/>
        <v>-4.5</v>
      </c>
      <c r="W169" s="47">
        <f t="shared" si="158"/>
        <v>-4</v>
      </c>
      <c r="X169" s="47">
        <f t="shared" si="158"/>
        <v>-10.7</v>
      </c>
      <c r="Y169" s="47">
        <f t="shared" si="158"/>
        <v>-1</v>
      </c>
      <c r="Z169" s="47">
        <f t="shared" si="158"/>
        <v>-8.1</v>
      </c>
      <c r="AA169" s="47">
        <f t="shared" si="158"/>
        <v>-10.6</v>
      </c>
      <c r="AB169" s="47">
        <f t="shared" si="158"/>
        <v>-1.7</v>
      </c>
      <c r="AC169" s="47">
        <f t="shared" si="158"/>
        <v>-21.4</v>
      </c>
      <c r="AD169" s="47">
        <f t="shared" si="158"/>
        <v>-0.5</v>
      </c>
      <c r="AE169" s="47">
        <f t="shared" si="158"/>
        <v>-5.4</v>
      </c>
      <c r="AF169" s="47">
        <f t="shared" si="158"/>
        <v>-0.4</v>
      </c>
      <c r="AG169" s="47">
        <f t="shared" si="158"/>
        <v>-3.6</v>
      </c>
      <c r="AH169" s="47">
        <f t="shared" si="158"/>
        <v>-10</v>
      </c>
      <c r="AI169" s="47">
        <f t="shared" ref="AI169:BN169" si="159">AI170+N(AI168)</f>
        <v>-8.5</v>
      </c>
      <c r="AJ169" s="47">
        <f t="shared" si="159"/>
        <v>-7.1219999999999999</v>
      </c>
      <c r="AK169" s="47">
        <f t="shared" si="159"/>
        <v>-4.2480000000000002</v>
      </c>
      <c r="AL169" s="47">
        <f t="shared" si="159"/>
        <v>-2.5390000000000001</v>
      </c>
      <c r="AM169" s="47">
        <f t="shared" si="159"/>
        <v>-22.413</v>
      </c>
      <c r="AN169" s="47">
        <f t="shared" si="159"/>
        <v>-1.5620000000000001</v>
      </c>
      <c r="AO169" s="47">
        <f t="shared" si="159"/>
        <v>13.226000000000001</v>
      </c>
      <c r="AP169" s="47">
        <f t="shared" si="159"/>
        <v>-1.9730000000000001</v>
      </c>
      <c r="AQ169" s="47">
        <f t="shared" si="159"/>
        <v>-2.4369999999999998</v>
      </c>
      <c r="AR169" s="47">
        <f t="shared" si="159"/>
        <v>7.2530000000000001</v>
      </c>
      <c r="AS169" s="47">
        <f t="shared" si="159"/>
        <v>2.1999999999999993</v>
      </c>
      <c r="AT169" s="47">
        <f t="shared" si="159"/>
        <v>-3.6000000000000005</v>
      </c>
      <c r="AU169" s="47">
        <f t="shared" si="159"/>
        <v>-3.9000000000000021</v>
      </c>
      <c r="AV169" s="47">
        <f t="shared" si="159"/>
        <v>3.9</v>
      </c>
      <c r="AW169" s="47">
        <f t="shared" si="159"/>
        <v>-1.5</v>
      </c>
      <c r="AX169" s="47">
        <f t="shared" si="159"/>
        <v>-9.4000000000000021</v>
      </c>
      <c r="AY169" s="47">
        <f t="shared" si="159"/>
        <v>-8.7999999999999972</v>
      </c>
      <c r="AZ169" s="47">
        <f t="shared" si="159"/>
        <v>-5.5000000000000053</v>
      </c>
      <c r="BA169" s="47">
        <f t="shared" si="159"/>
        <v>-0.7</v>
      </c>
      <c r="BB169" s="47">
        <f t="shared" si="159"/>
        <v>-24.100000000000016</v>
      </c>
      <c r="BC169" s="47">
        <f t="shared" si="159"/>
        <v>-10.8</v>
      </c>
      <c r="BD169" s="47">
        <f t="shared" si="159"/>
        <v>-21.1</v>
      </c>
      <c r="BE169" s="47">
        <f t="shared" si="159"/>
        <v>-3.3</v>
      </c>
      <c r="BF169" s="47">
        <f t="shared" si="159"/>
        <v>-4.5999999999999979</v>
      </c>
      <c r="BG169" s="47">
        <f t="shared" si="159"/>
        <v>-39.800000000000004</v>
      </c>
      <c r="BH169" s="47">
        <f t="shared" si="159"/>
        <v>-5.5</v>
      </c>
      <c r="BI169" s="47">
        <f t="shared" si="159"/>
        <v>-6.0999999999999979</v>
      </c>
      <c r="BJ169" s="47">
        <f t="shared" si="159"/>
        <v>-5.4000000000000021</v>
      </c>
      <c r="BK169" s="47">
        <f t="shared" si="159"/>
        <v>1.6000000000000032</v>
      </c>
      <c r="BL169" s="47">
        <f t="shared" si="159"/>
        <v>-15.399999999999984</v>
      </c>
      <c r="BM169" s="47">
        <f t="shared" si="159"/>
        <v>-7</v>
      </c>
      <c r="BN169" s="47">
        <f t="shared" si="159"/>
        <v>-7</v>
      </c>
      <c r="BO169" s="47">
        <f t="shared" ref="BO169:BX169" si="160">BO170+N(BO168)</f>
        <v>-7</v>
      </c>
      <c r="BP169" s="47">
        <f t="shared" si="160"/>
        <v>3</v>
      </c>
      <c r="BQ169" s="47">
        <f t="shared" si="160"/>
        <v>-17</v>
      </c>
      <c r="BR169" s="47">
        <f t="shared" si="160"/>
        <v>-4</v>
      </c>
      <c r="BS169" s="47">
        <f t="shared" si="160"/>
        <v>-8</v>
      </c>
      <c r="BT169" s="47">
        <f t="shared" si="160"/>
        <v>-1</v>
      </c>
      <c r="BU169" s="47">
        <f t="shared" si="160"/>
        <v>5</v>
      </c>
      <c r="BV169" s="47">
        <f t="shared" si="160"/>
        <v>-9</v>
      </c>
      <c r="BW169" s="47">
        <f t="shared" si="160"/>
        <v>-9</v>
      </c>
      <c r="BX169" s="47">
        <f t="shared" si="160"/>
        <v>-6</v>
      </c>
      <c r="BY169" s="37">
        <f>$BX$169</f>
        <v>-6</v>
      </c>
      <c r="BZ169" s="37">
        <f>$BX$169</f>
        <v>-6</v>
      </c>
      <c r="CA169" s="37">
        <f>SUM(BW169,BX169,BY169,BZ169)</f>
        <v>-27</v>
      </c>
      <c r="CB169" s="52">
        <v>-15</v>
      </c>
      <c r="CC169" s="52">
        <v>-15</v>
      </c>
      <c r="CD169" s="52">
        <v>-15</v>
      </c>
      <c r="CE169" s="52">
        <v>-15</v>
      </c>
      <c r="CF169" s="20" t="s">
        <v>318</v>
      </c>
    </row>
    <row r="170" spans="2:89" ht="15" customHeight="1" x14ac:dyDescent="0.25">
      <c r="B170" s="26" t="s">
        <v>319</v>
      </c>
      <c r="C170" s="36">
        <v>-2.8</v>
      </c>
      <c r="D170" s="36">
        <v>-6.5</v>
      </c>
      <c r="E170" s="36">
        <v>5.7</v>
      </c>
      <c r="F170" s="36">
        <v>-1.2</v>
      </c>
      <c r="G170" s="36">
        <v>0.2</v>
      </c>
      <c r="H170" s="36">
        <v>1.8</v>
      </c>
      <c r="I170" s="36">
        <v>-1.2</v>
      </c>
      <c r="J170" s="36">
        <v>0.6</v>
      </c>
      <c r="K170" s="36">
        <v>-0.5</v>
      </c>
      <c r="L170" s="36">
        <v>0.1</v>
      </c>
      <c r="M170" s="36">
        <v>0.1</v>
      </c>
      <c r="N170" s="36">
        <v>0.3</v>
      </c>
      <c r="O170" s="36">
        <v>3.5</v>
      </c>
      <c r="P170" s="36">
        <v>-0.3</v>
      </c>
      <c r="Q170" s="36">
        <v>-1.8</v>
      </c>
      <c r="R170" s="36">
        <v>-1.7</v>
      </c>
      <c r="S170" s="36">
        <v>-0.4</v>
      </c>
      <c r="T170" s="36">
        <v>0.9</v>
      </c>
      <c r="U170" s="36">
        <v>-3</v>
      </c>
      <c r="V170" s="36">
        <v>-4.5</v>
      </c>
      <c r="W170" s="36">
        <v>-4</v>
      </c>
      <c r="X170" s="36">
        <v>-10.7</v>
      </c>
      <c r="Y170" s="36">
        <v>-1</v>
      </c>
      <c r="Z170" s="36">
        <v>-8.1</v>
      </c>
      <c r="AA170" s="36">
        <v>-10.6</v>
      </c>
      <c r="AB170" s="36">
        <v>-1.7</v>
      </c>
      <c r="AC170" s="36">
        <v>-21.4</v>
      </c>
      <c r="AD170" s="36">
        <v>-0.5</v>
      </c>
      <c r="AE170" s="36">
        <v>-5.4</v>
      </c>
      <c r="AF170" s="36">
        <v>-0.4</v>
      </c>
      <c r="AG170" s="36">
        <v>-3.6</v>
      </c>
      <c r="AH170" s="36">
        <v>-10</v>
      </c>
      <c r="AI170" s="36">
        <v>-8.5</v>
      </c>
      <c r="AJ170" s="36">
        <v>-7.1219999999999999</v>
      </c>
      <c r="AK170" s="36">
        <v>-4.2480000000000002</v>
      </c>
      <c r="AL170" s="36">
        <v>-2.5390000000000001</v>
      </c>
      <c r="AM170" s="36">
        <v>-22.413</v>
      </c>
      <c r="AN170" s="36">
        <v>-1.5620000000000001</v>
      </c>
      <c r="AO170" s="36">
        <v>13.226000000000001</v>
      </c>
      <c r="AP170" s="36">
        <v>-1.9730000000000001</v>
      </c>
      <c r="AQ170" s="36">
        <v>-2.4369999999999998</v>
      </c>
      <c r="AR170" s="36">
        <v>7.2530000000000001</v>
      </c>
      <c r="AS170" s="36">
        <v>2</v>
      </c>
      <c r="AT170" s="36">
        <v>-3.8</v>
      </c>
      <c r="AU170" s="36">
        <v>-4</v>
      </c>
      <c r="AV170" s="36">
        <v>3.9</v>
      </c>
      <c r="AW170" s="36">
        <v>-2</v>
      </c>
      <c r="AX170" s="36">
        <v>-9.5</v>
      </c>
      <c r="AY170" s="36">
        <v>-8.6999999999999993</v>
      </c>
      <c r="AZ170" s="36">
        <v>-5.6</v>
      </c>
      <c r="BA170" s="36">
        <v>-0.7</v>
      </c>
      <c r="BB170" s="36">
        <v>-24.4</v>
      </c>
      <c r="BC170" s="36">
        <v>-10.8</v>
      </c>
      <c r="BD170" s="36">
        <v>-22</v>
      </c>
      <c r="BE170" s="36">
        <v>-7.3</v>
      </c>
      <c r="BF170" s="36">
        <v>-13.3</v>
      </c>
      <c r="BG170" s="36">
        <v>-53.4</v>
      </c>
      <c r="BH170" s="36">
        <v>-16.100000000000001</v>
      </c>
      <c r="BI170" s="36">
        <v>-18.7</v>
      </c>
      <c r="BJ170" s="36">
        <v>-14.3</v>
      </c>
      <c r="BK170" s="36">
        <v>-12.9</v>
      </c>
      <c r="BL170" s="36">
        <v>-62.1</v>
      </c>
      <c r="BM170" s="36">
        <v>-33</v>
      </c>
      <c r="BN170" s="36">
        <v>-14</v>
      </c>
      <c r="BO170" s="36">
        <v>-7</v>
      </c>
      <c r="BP170" s="36">
        <v>-4</v>
      </c>
      <c r="BQ170" s="36">
        <v>-58</v>
      </c>
      <c r="BR170" s="36">
        <v>-9</v>
      </c>
      <c r="BS170" s="36">
        <v>-9</v>
      </c>
      <c r="BT170" s="36">
        <v>-4</v>
      </c>
      <c r="BU170" s="36">
        <v>5</v>
      </c>
      <c r="BV170" s="36">
        <v>-19</v>
      </c>
      <c r="BW170" s="36">
        <v>-11</v>
      </c>
      <c r="BX170" s="36">
        <v>-7</v>
      </c>
      <c r="BY170" s="37">
        <f>BY169-BY168</f>
        <v>-7</v>
      </c>
      <c r="BZ170" s="37">
        <f>BZ169-BZ168</f>
        <v>-7</v>
      </c>
      <c r="CA170" s="37">
        <f>SUM(BW170,BX170,BY170,BZ170)</f>
        <v>-32</v>
      </c>
      <c r="CB170" s="37">
        <f>CB169-CB168</f>
        <v>-19.259999999999998</v>
      </c>
      <c r="CC170" s="37">
        <f>CC169-CC168</f>
        <v>-19.259999999999998</v>
      </c>
      <c r="CD170" s="37">
        <f>CD169-CD168</f>
        <v>-41.807583327407208</v>
      </c>
      <c r="CE170" s="37">
        <f>CE169-CE168</f>
        <v>-26.499361665307838</v>
      </c>
      <c r="CF170" s="6"/>
    </row>
    <row r="171" spans="2:89" ht="15" customHeight="1" x14ac:dyDescent="0.25">
      <c r="B171" s="17" t="s">
        <v>320</v>
      </c>
      <c r="C171" s="46">
        <f t="shared" ref="C171:AH171" si="161">C166-C167-C170</f>
        <v>350.40000000000003</v>
      </c>
      <c r="D171" s="46">
        <f t="shared" si="161"/>
        <v>378.6</v>
      </c>
      <c r="E171" s="46">
        <f t="shared" si="161"/>
        <v>243.2999999999999</v>
      </c>
      <c r="F171" s="46">
        <f t="shared" si="161"/>
        <v>115.2999999999998</v>
      </c>
      <c r="G171" s="46">
        <f t="shared" si="161"/>
        <v>127.7</v>
      </c>
      <c r="H171" s="46">
        <f t="shared" si="161"/>
        <v>100.60000000000001</v>
      </c>
      <c r="I171" s="46">
        <f t="shared" si="161"/>
        <v>102.89999999999986</v>
      </c>
      <c r="J171" s="46">
        <f t="shared" si="161"/>
        <v>-37.699999999999982</v>
      </c>
      <c r="K171" s="46">
        <f t="shared" si="161"/>
        <v>56.300000000000075</v>
      </c>
      <c r="L171" s="46">
        <f t="shared" si="161"/>
        <v>95.199999999999932</v>
      </c>
      <c r="M171" s="46">
        <f t="shared" si="161"/>
        <v>49.9</v>
      </c>
      <c r="N171" s="46">
        <f t="shared" si="161"/>
        <v>164.20000000000002</v>
      </c>
      <c r="O171" s="46">
        <f t="shared" si="161"/>
        <v>-31.599999999999991</v>
      </c>
      <c r="P171" s="46">
        <f t="shared" si="161"/>
        <v>83.600000000000023</v>
      </c>
      <c r="Q171" s="46">
        <f t="shared" si="161"/>
        <v>98.000000000000028</v>
      </c>
      <c r="R171" s="46">
        <f t="shared" si="161"/>
        <v>99.199999999999946</v>
      </c>
      <c r="S171" s="46">
        <f t="shared" si="161"/>
        <v>249.20000000000016</v>
      </c>
      <c r="T171" s="46">
        <f t="shared" si="161"/>
        <v>5.3999999999999506</v>
      </c>
      <c r="U171" s="46">
        <f t="shared" si="161"/>
        <v>120.89999999999992</v>
      </c>
      <c r="V171" s="46">
        <f t="shared" si="161"/>
        <v>165.1</v>
      </c>
      <c r="W171" s="46">
        <f t="shared" si="161"/>
        <v>122.50000000000006</v>
      </c>
      <c r="X171" s="46">
        <f t="shared" si="161"/>
        <v>413.79999999999973</v>
      </c>
      <c r="Y171" s="46">
        <f t="shared" si="161"/>
        <v>64.799999999999898</v>
      </c>
      <c r="Z171" s="46">
        <f t="shared" si="161"/>
        <v>175.49999999999991</v>
      </c>
      <c r="AA171" s="46">
        <f t="shared" si="161"/>
        <v>230.40000000000012</v>
      </c>
      <c r="AB171" s="46">
        <f t="shared" si="161"/>
        <v>136.39999999999986</v>
      </c>
      <c r="AC171" s="46">
        <f t="shared" si="161"/>
        <v>606.99999999999989</v>
      </c>
      <c r="AD171" s="46">
        <f t="shared" si="161"/>
        <v>56.800000000000018</v>
      </c>
      <c r="AE171" s="46">
        <f t="shared" si="161"/>
        <v>194.3</v>
      </c>
      <c r="AF171" s="46">
        <f t="shared" si="161"/>
        <v>204.30000000000007</v>
      </c>
      <c r="AG171" s="46">
        <f t="shared" si="161"/>
        <v>163.6</v>
      </c>
      <c r="AH171" s="46">
        <f t="shared" si="161"/>
        <v>618.90000000000009</v>
      </c>
      <c r="AI171" s="46">
        <f t="shared" ref="AI171:BN171" si="162">AI166-AI167-AI170</f>
        <v>12.499999999999979</v>
      </c>
      <c r="AJ171" s="46">
        <f t="shared" si="162"/>
        <v>238.10400000000004</v>
      </c>
      <c r="AK171" s="46">
        <f t="shared" si="162"/>
        <v>209.44200000000012</v>
      </c>
      <c r="AL171" s="46">
        <f t="shared" si="162"/>
        <v>116.038</v>
      </c>
      <c r="AM171" s="46">
        <f t="shared" si="162"/>
        <v>576.08100000000024</v>
      </c>
      <c r="AN171" s="46">
        <f t="shared" si="162"/>
        <v>37.835000000000029</v>
      </c>
      <c r="AO171" s="46">
        <f t="shared" si="162"/>
        <v>239.35900000000007</v>
      </c>
      <c r="AP171" s="46">
        <f t="shared" si="162"/>
        <v>314.80000000000013</v>
      </c>
      <c r="AQ171" s="46">
        <f t="shared" si="162"/>
        <v>156.34100000000009</v>
      </c>
      <c r="AR171" s="46">
        <f t="shared" si="162"/>
        <v>748.33600000000013</v>
      </c>
      <c r="AS171" s="46">
        <f t="shared" si="162"/>
        <v>26.000000000000089</v>
      </c>
      <c r="AT171" s="46">
        <f t="shared" si="162"/>
        <v>278.99999999999994</v>
      </c>
      <c r="AU171" s="46">
        <f t="shared" si="162"/>
        <v>375.90000000000015</v>
      </c>
      <c r="AV171" s="46">
        <f t="shared" si="162"/>
        <v>208.29999999999987</v>
      </c>
      <c r="AW171" s="46">
        <f t="shared" si="162"/>
        <v>889.29999999999973</v>
      </c>
      <c r="AX171" s="46">
        <f t="shared" si="162"/>
        <v>81.39999999999992</v>
      </c>
      <c r="AY171" s="46">
        <f t="shared" si="162"/>
        <v>288.10000000000014</v>
      </c>
      <c r="AZ171" s="46">
        <f t="shared" si="162"/>
        <v>318.19999999999987</v>
      </c>
      <c r="BA171" s="46">
        <f t="shared" si="162"/>
        <v>167.90000000000003</v>
      </c>
      <c r="BB171" s="46">
        <f t="shared" si="162"/>
        <v>855.50000000000011</v>
      </c>
      <c r="BC171" s="46">
        <f t="shared" si="162"/>
        <v>30.199999999999914</v>
      </c>
      <c r="BD171" s="46">
        <f t="shared" si="162"/>
        <v>457.5</v>
      </c>
      <c r="BE171" s="46">
        <f t="shared" si="162"/>
        <v>370.4</v>
      </c>
      <c r="BF171" s="46">
        <f t="shared" si="162"/>
        <v>233.00000000000009</v>
      </c>
      <c r="BG171" s="46">
        <f t="shared" si="162"/>
        <v>1091.1000000000001</v>
      </c>
      <c r="BH171" s="46">
        <f t="shared" si="162"/>
        <v>169.99999999999991</v>
      </c>
      <c r="BI171" s="46">
        <f t="shared" si="162"/>
        <v>439.79999999999984</v>
      </c>
      <c r="BJ171" s="46">
        <f t="shared" si="162"/>
        <v>540.1</v>
      </c>
      <c r="BK171" s="46">
        <f t="shared" si="162"/>
        <v>342.9</v>
      </c>
      <c r="BL171" s="46">
        <f t="shared" si="162"/>
        <v>1492.7999999999995</v>
      </c>
      <c r="BM171" s="46">
        <f t="shared" si="162"/>
        <v>1414</v>
      </c>
      <c r="BN171" s="46">
        <f t="shared" si="162"/>
        <v>372</v>
      </c>
      <c r="BO171" s="46">
        <f t="shared" ref="BO171:CE171" si="163">BO166-BO167-BO170</f>
        <v>458</v>
      </c>
      <c r="BP171" s="46">
        <f t="shared" si="163"/>
        <v>353</v>
      </c>
      <c r="BQ171" s="46">
        <f t="shared" si="163"/>
        <v>2596</v>
      </c>
      <c r="BR171" s="46">
        <f t="shared" si="163"/>
        <v>132</v>
      </c>
      <c r="BS171" s="46">
        <f t="shared" si="163"/>
        <v>365</v>
      </c>
      <c r="BT171" s="46">
        <f t="shared" si="163"/>
        <v>450</v>
      </c>
      <c r="BU171" s="46">
        <f t="shared" si="163"/>
        <v>279</v>
      </c>
      <c r="BV171" s="46">
        <f t="shared" si="163"/>
        <v>1226</v>
      </c>
      <c r="BW171" s="46">
        <f t="shared" si="163"/>
        <v>117</v>
      </c>
      <c r="BX171" s="46">
        <f t="shared" si="163"/>
        <v>320</v>
      </c>
      <c r="BY171" s="34">
        <f t="shared" si="163"/>
        <v>422.07952013337103</v>
      </c>
      <c r="BZ171" s="34">
        <f t="shared" si="163"/>
        <v>289.31170186511207</v>
      </c>
      <c r="CA171" s="34">
        <f t="shared" si="163"/>
        <v>1148.3912219984823</v>
      </c>
      <c r="CB171" s="34">
        <f t="shared" si="163"/>
        <v>1654.8963306834482</v>
      </c>
      <c r="CC171" s="34">
        <f t="shared" si="163"/>
        <v>2173.2347320640965</v>
      </c>
      <c r="CD171" s="34">
        <f t="shared" si="163"/>
        <v>2620.9808380429704</v>
      </c>
      <c r="CE171" s="34">
        <f t="shared" si="163"/>
        <v>3036.975596565811</v>
      </c>
      <c r="CF171" s="6"/>
      <c r="CH171" s="21">
        <f>IFERROR((CE171/BV171)^(1/5)-1,"n/m")</f>
        <v>0.19891989338922156</v>
      </c>
      <c r="CI171" s="21">
        <f>IFERROR((BV171/AW171)^(1/5)-1,"n/m")</f>
        <v>6.6322162184040634E-2</v>
      </c>
      <c r="CJ171" s="21">
        <f>IFERROR((BV171/X171)^(1/10)-1,"n/m")</f>
        <v>0.11473079368402894</v>
      </c>
      <c r="CK171" s="21">
        <f>IFERROR((BV171/C171)^(1/19)-1,"n/m")</f>
        <v>6.8138831440719416E-2</v>
      </c>
    </row>
    <row r="172" spans="2:89" ht="15" customHeight="1" x14ac:dyDescent="0.25">
      <c r="B172" s="26" t="s">
        <v>321</v>
      </c>
      <c r="C172" s="36">
        <v>106.6</v>
      </c>
      <c r="D172" s="36">
        <v>116.1</v>
      </c>
      <c r="E172" s="36">
        <v>71.8</v>
      </c>
      <c r="F172" s="36">
        <v>27.4</v>
      </c>
      <c r="G172" s="36">
        <v>29.2</v>
      </c>
      <c r="H172" s="36">
        <v>21</v>
      </c>
      <c r="I172" s="36">
        <v>16.899999999999999</v>
      </c>
      <c r="J172" s="36">
        <v>-8.5</v>
      </c>
      <c r="K172" s="36">
        <v>15</v>
      </c>
      <c r="L172" s="36">
        <v>22.9</v>
      </c>
      <c r="M172" s="36">
        <v>14.4</v>
      </c>
      <c r="N172" s="36">
        <v>44</v>
      </c>
      <c r="O172" s="36">
        <v>-8.5</v>
      </c>
      <c r="P172" s="36">
        <v>23.9</v>
      </c>
      <c r="Q172" s="36">
        <v>44.1</v>
      </c>
      <c r="R172" s="36">
        <v>35.299999999999997</v>
      </c>
      <c r="S172" s="36">
        <v>94.9</v>
      </c>
      <c r="T172" s="36">
        <v>-0.8</v>
      </c>
      <c r="U172" s="36">
        <v>38.9</v>
      </c>
      <c r="V172" s="36">
        <v>47.5</v>
      </c>
      <c r="W172" s="36">
        <v>39.299999999999997</v>
      </c>
      <c r="X172" s="36">
        <v>124.9</v>
      </c>
      <c r="Y172" s="36">
        <v>19.7</v>
      </c>
      <c r="Z172" s="36">
        <v>53.4</v>
      </c>
      <c r="AA172" s="36">
        <v>70.900000000000006</v>
      </c>
      <c r="AB172" s="36">
        <v>37.6</v>
      </c>
      <c r="AC172" s="36">
        <v>181.6</v>
      </c>
      <c r="AD172" s="36">
        <v>14.5</v>
      </c>
      <c r="AE172" s="36">
        <v>52</v>
      </c>
      <c r="AF172" s="36">
        <v>52.8</v>
      </c>
      <c r="AG172" s="36">
        <v>-213.7</v>
      </c>
      <c r="AH172" s="36">
        <v>-94.5</v>
      </c>
      <c r="AI172" s="36">
        <v>2.5</v>
      </c>
      <c r="AJ172" s="36">
        <v>52.600999999999999</v>
      </c>
      <c r="AK172" s="36">
        <v>29.088999999999999</v>
      </c>
      <c r="AL172" s="36">
        <v>21.556999999999999</v>
      </c>
      <c r="AM172" s="36">
        <v>105.705</v>
      </c>
      <c r="AN172" s="36">
        <v>-4.9909999999999997</v>
      </c>
      <c r="AO172" s="36">
        <v>49.89</v>
      </c>
      <c r="AP172" s="36">
        <v>66.177999999999997</v>
      </c>
      <c r="AQ172" s="36">
        <v>25.271999999999998</v>
      </c>
      <c r="AR172" s="36">
        <v>136.34899999999999</v>
      </c>
      <c r="AS172" s="36">
        <v>0.1</v>
      </c>
      <c r="AT172" s="36">
        <v>61.4</v>
      </c>
      <c r="AU172" s="36">
        <v>81.5</v>
      </c>
      <c r="AV172" s="36">
        <v>25.3</v>
      </c>
      <c r="AW172" s="36">
        <v>168.2</v>
      </c>
      <c r="AX172" s="36">
        <v>15.9</v>
      </c>
      <c r="AY172" s="36">
        <v>62.3</v>
      </c>
      <c r="AZ172" s="36">
        <v>63.6</v>
      </c>
      <c r="BA172" s="36">
        <v>11.6</v>
      </c>
      <c r="BB172" s="36">
        <v>153.19999999999999</v>
      </c>
      <c r="BC172" s="36">
        <v>5.8</v>
      </c>
      <c r="BD172" s="36">
        <v>104.4</v>
      </c>
      <c r="BE172" s="36">
        <v>79.2</v>
      </c>
      <c r="BF172" s="36">
        <v>45.4</v>
      </c>
      <c r="BG172" s="36">
        <v>234.8</v>
      </c>
      <c r="BH172" s="36">
        <v>35.5</v>
      </c>
      <c r="BI172" s="36">
        <v>91.9</v>
      </c>
      <c r="BJ172" s="36">
        <v>109.9</v>
      </c>
      <c r="BK172" s="36">
        <v>55.1</v>
      </c>
      <c r="BL172" s="36">
        <v>292.5</v>
      </c>
      <c r="BM172" s="36">
        <v>368</v>
      </c>
      <c r="BN172" s="36">
        <v>78</v>
      </c>
      <c r="BO172" s="36">
        <v>95</v>
      </c>
      <c r="BP172" s="36">
        <v>59</v>
      </c>
      <c r="BQ172" s="36">
        <v>600</v>
      </c>
      <c r="BR172" s="36">
        <v>28</v>
      </c>
      <c r="BS172" s="36">
        <v>73</v>
      </c>
      <c r="BT172" s="36">
        <v>89</v>
      </c>
      <c r="BU172" s="36">
        <v>46</v>
      </c>
      <c r="BV172" s="36">
        <v>236</v>
      </c>
      <c r="BW172" s="36">
        <v>38</v>
      </c>
      <c r="BX172" s="36">
        <v>64</v>
      </c>
      <c r="BY172" s="37">
        <f>BY171*BY173</f>
        <v>89.07729660908511</v>
      </c>
      <c r="BZ172" s="37">
        <f>BZ171*BZ173</f>
        <v>61.05746204263712</v>
      </c>
      <c r="CA172" s="37">
        <f>SUM(BW172,BX172,BY172,BZ172)</f>
        <v>252.13475865172225</v>
      </c>
      <c r="CB172" s="37">
        <f>CB171*CB173</f>
        <v>364.07719275035862</v>
      </c>
      <c r="CC172" s="37">
        <f>CC171*CC173</f>
        <v>478.11164105410126</v>
      </c>
      <c r="CD172" s="37">
        <f>CD171*CD173</f>
        <v>576.61578436945354</v>
      </c>
      <c r="CE172" s="37">
        <f>CE171*CE173</f>
        <v>668.13463124447844</v>
      </c>
      <c r="CF172" s="20" t="s">
        <v>322</v>
      </c>
    </row>
    <row r="173" spans="2:89" ht="15" customHeight="1" x14ac:dyDescent="0.25">
      <c r="B173" s="26" t="s">
        <v>323</v>
      </c>
      <c r="C173" s="38">
        <f t="shared" ref="C173:AH173" si="164">IF(AND(ISNUMBER(C172),ISNUMBER(C171)),IFERROR(C172/C171,""),"")</f>
        <v>0.30422374429223742</v>
      </c>
      <c r="D173" s="38">
        <f t="shared" si="164"/>
        <v>0.30665610142630739</v>
      </c>
      <c r="E173" s="38">
        <f t="shared" si="164"/>
        <v>0.29510891903000425</v>
      </c>
      <c r="F173" s="38">
        <f t="shared" si="164"/>
        <v>0.23764093668690414</v>
      </c>
      <c r="G173" s="38">
        <f t="shared" si="164"/>
        <v>0.22866092404072041</v>
      </c>
      <c r="H173" s="38">
        <f t="shared" si="164"/>
        <v>0.20874751491053675</v>
      </c>
      <c r="I173" s="38">
        <f t="shared" si="164"/>
        <v>0.1642371234207971</v>
      </c>
      <c r="J173" s="38">
        <f t="shared" si="164"/>
        <v>0.22546419098143247</v>
      </c>
      <c r="K173" s="38">
        <f t="shared" si="164"/>
        <v>0.26642984014209553</v>
      </c>
      <c r="L173" s="38">
        <f t="shared" si="164"/>
        <v>0.2405462184873951</v>
      </c>
      <c r="M173" s="38">
        <f t="shared" si="164"/>
        <v>0.28857715430861725</v>
      </c>
      <c r="N173" s="38">
        <f t="shared" si="164"/>
        <v>0.26796589524969544</v>
      </c>
      <c r="O173" s="38">
        <f t="shared" si="164"/>
        <v>0.268987341772152</v>
      </c>
      <c r="P173" s="38">
        <f t="shared" si="164"/>
        <v>0.28588516746411474</v>
      </c>
      <c r="Q173" s="38">
        <f t="shared" si="164"/>
        <v>0.4499999999999999</v>
      </c>
      <c r="R173" s="38">
        <f t="shared" si="164"/>
        <v>0.35584677419354854</v>
      </c>
      <c r="S173" s="38">
        <f t="shared" si="164"/>
        <v>0.38081861958266433</v>
      </c>
      <c r="T173" s="38">
        <f t="shared" si="164"/>
        <v>-0.1481481481481495</v>
      </c>
      <c r="U173" s="38">
        <f t="shared" si="164"/>
        <v>0.3217535153019026</v>
      </c>
      <c r="V173" s="38">
        <f t="shared" si="164"/>
        <v>0.28770442156268927</v>
      </c>
      <c r="W173" s="38">
        <f t="shared" si="164"/>
        <v>0.32081632653061209</v>
      </c>
      <c r="X173" s="38">
        <f t="shared" si="164"/>
        <v>0.30183663605606592</v>
      </c>
      <c r="Y173" s="38">
        <f t="shared" si="164"/>
        <v>0.30401234567901281</v>
      </c>
      <c r="Z173" s="38">
        <f t="shared" si="164"/>
        <v>0.30427350427350441</v>
      </c>
      <c r="AA173" s="38">
        <f t="shared" si="164"/>
        <v>0.30772569444444431</v>
      </c>
      <c r="AB173" s="38">
        <f t="shared" si="164"/>
        <v>0.27565982404692113</v>
      </c>
      <c r="AC173" s="38">
        <f t="shared" si="164"/>
        <v>0.299176276771005</v>
      </c>
      <c r="AD173" s="38">
        <f t="shared" si="164"/>
        <v>0.25528169014084501</v>
      </c>
      <c r="AE173" s="38">
        <f t="shared" si="164"/>
        <v>0.26762738033968086</v>
      </c>
      <c r="AF173" s="38">
        <f t="shared" si="164"/>
        <v>0.25844346549192354</v>
      </c>
      <c r="AG173" s="38">
        <f t="shared" si="164"/>
        <v>-1.3062347188264058</v>
      </c>
      <c r="AH173" s="38">
        <f t="shared" si="164"/>
        <v>-0.15269025690741636</v>
      </c>
      <c r="AI173" s="38">
        <f t="shared" ref="AI173:BN173" si="165">IF(AND(ISNUMBER(AI172),ISNUMBER(AI171)),IFERROR(AI172/AI171,""),"")</f>
        <v>0.20000000000000034</v>
      </c>
      <c r="AJ173" s="38">
        <f t="shared" si="165"/>
        <v>0.22091607028861335</v>
      </c>
      <c r="AK173" s="38">
        <f t="shared" si="165"/>
        <v>0.13888809312363318</v>
      </c>
      <c r="AL173" s="38">
        <f t="shared" si="165"/>
        <v>0.18577534945448904</v>
      </c>
      <c r="AM173" s="38">
        <f t="shared" si="165"/>
        <v>0.1834898217438172</v>
      </c>
      <c r="AN173" s="38">
        <f t="shared" si="165"/>
        <v>-0.13191489361702116</v>
      </c>
      <c r="AO173" s="38">
        <f t="shared" si="165"/>
        <v>0.20843168629548078</v>
      </c>
      <c r="AP173" s="38">
        <f t="shared" si="165"/>
        <v>0.21022236340533662</v>
      </c>
      <c r="AQ173" s="38">
        <f t="shared" si="165"/>
        <v>0.16164665698697067</v>
      </c>
      <c r="AR173" s="38">
        <f t="shared" si="165"/>
        <v>0.18220291419896939</v>
      </c>
      <c r="AS173" s="38">
        <f t="shared" si="165"/>
        <v>3.8461538461538334E-3</v>
      </c>
      <c r="AT173" s="38">
        <f t="shared" si="165"/>
        <v>0.22007168458781365</v>
      </c>
      <c r="AU173" s="38">
        <f t="shared" si="165"/>
        <v>0.21681298217611059</v>
      </c>
      <c r="AV173" s="38">
        <f t="shared" si="165"/>
        <v>0.12145943350936157</v>
      </c>
      <c r="AW173" s="38">
        <f t="shared" si="165"/>
        <v>0.18913752389519853</v>
      </c>
      <c r="AX173" s="38">
        <f t="shared" si="165"/>
        <v>0.19533169533169553</v>
      </c>
      <c r="AY173" s="38">
        <f t="shared" si="165"/>
        <v>0.21624435959736191</v>
      </c>
      <c r="AZ173" s="38">
        <f t="shared" si="165"/>
        <v>0.19987429289754879</v>
      </c>
      <c r="BA173" s="38">
        <f t="shared" si="165"/>
        <v>6.9088743299583075E-2</v>
      </c>
      <c r="BB173" s="38">
        <f t="shared" si="165"/>
        <v>0.1790765634132086</v>
      </c>
      <c r="BC173" s="38">
        <f t="shared" si="165"/>
        <v>0.19205298013245087</v>
      </c>
      <c r="BD173" s="38">
        <f t="shared" si="165"/>
        <v>0.22819672131147542</v>
      </c>
      <c r="BE173" s="38">
        <f t="shared" si="165"/>
        <v>0.21382289416846653</v>
      </c>
      <c r="BF173" s="38">
        <f t="shared" si="165"/>
        <v>0.19484978540772524</v>
      </c>
      <c r="BG173" s="38">
        <f t="shared" si="165"/>
        <v>0.21519567409036749</v>
      </c>
      <c r="BH173" s="38">
        <f t="shared" si="165"/>
        <v>0.20882352941176482</v>
      </c>
      <c r="BI173" s="38">
        <f t="shared" si="165"/>
        <v>0.20895861755343348</v>
      </c>
      <c r="BJ173" s="38">
        <f t="shared" si="165"/>
        <v>0.20348083688205887</v>
      </c>
      <c r="BK173" s="38">
        <f t="shared" si="165"/>
        <v>0.16068824730242054</v>
      </c>
      <c r="BL173" s="38">
        <f t="shared" si="165"/>
        <v>0.19594051446945343</v>
      </c>
      <c r="BM173" s="38">
        <f t="shared" si="165"/>
        <v>0.26025459688826025</v>
      </c>
      <c r="BN173" s="38">
        <f t="shared" si="165"/>
        <v>0.20967741935483872</v>
      </c>
      <c r="BO173" s="38">
        <f t="shared" ref="BO173:BX173" si="166">IF(AND(ISNUMBER(BO172),ISNUMBER(BO171)),IFERROR(BO172/BO171,""),"")</f>
        <v>0.20742358078602621</v>
      </c>
      <c r="BP173" s="38">
        <f t="shared" si="166"/>
        <v>0.16713881019830029</v>
      </c>
      <c r="BQ173" s="38">
        <f t="shared" si="166"/>
        <v>0.23112480739599384</v>
      </c>
      <c r="BR173" s="38">
        <f t="shared" si="166"/>
        <v>0.21212121212121213</v>
      </c>
      <c r="BS173" s="38">
        <f t="shared" si="166"/>
        <v>0.2</v>
      </c>
      <c r="BT173" s="38">
        <f t="shared" si="166"/>
        <v>0.19777777777777777</v>
      </c>
      <c r="BU173" s="38">
        <f t="shared" si="166"/>
        <v>0.16487455197132617</v>
      </c>
      <c r="BV173" s="38">
        <f t="shared" si="166"/>
        <v>0.19249592169657423</v>
      </c>
      <c r="BW173" s="38">
        <f t="shared" si="166"/>
        <v>0.3247863247863248</v>
      </c>
      <c r="BX173" s="38">
        <f t="shared" si="166"/>
        <v>0.2</v>
      </c>
      <c r="BY173" s="25">
        <f>$CP$17</f>
        <v>0.21104387291981846</v>
      </c>
      <c r="BZ173" s="25">
        <f>$CP$17</f>
        <v>0.21104387291981846</v>
      </c>
      <c r="CA173" s="25">
        <f>IFERROR(CA172/CA171,"")</f>
        <v>0.21955475958179649</v>
      </c>
      <c r="CB173" s="49">
        <v>0.22</v>
      </c>
      <c r="CC173" s="49">
        <v>0.22</v>
      </c>
      <c r="CD173" s="49">
        <v>0.22</v>
      </c>
      <c r="CE173" s="49">
        <v>0.22</v>
      </c>
      <c r="CF173" s="20" t="s">
        <v>324</v>
      </c>
      <c r="CH173" s="39">
        <f>IFERROR(AVERAGE(CA173,CB173,CC173,CD173,CE173),"n/m")</f>
        <v>0.21991095191635929</v>
      </c>
      <c r="CI173" s="39">
        <f>IFERROR(AVERAGE(BB173,BG173,BL173,BQ173,BV173),"n/m")</f>
        <v>0.20276669621311952</v>
      </c>
      <c r="CJ173" s="39">
        <f>IFERROR(AVERAGE(AC173,AH173,AM173,AR173,AW173,BB173,BG173,BL173,BQ173,BV173),"n/m")</f>
        <v>0.17151497607671717</v>
      </c>
      <c r="CK173" s="39">
        <f>IFERROR(AVERAGE(C173,D173,E173,F173,G173,H173,I173,N173,S173,X173,AC173,AH173,AM173,AR173,AW173,BB173,BG173,BL173,BQ173,BV173),"n/m")</f>
        <v>0.22055230877315521</v>
      </c>
    </row>
    <row r="174" spans="2:89" ht="15" customHeight="1" x14ac:dyDescent="0.25">
      <c r="B174" s="17" t="s">
        <v>325</v>
      </c>
      <c r="C174" s="46">
        <f t="shared" ref="C174:AH174" si="167">C171-C172</f>
        <v>243.80000000000004</v>
      </c>
      <c r="D174" s="46">
        <f t="shared" si="167"/>
        <v>262.5</v>
      </c>
      <c r="E174" s="46">
        <f t="shared" si="167"/>
        <v>171.49999999999989</v>
      </c>
      <c r="F174" s="46">
        <f t="shared" si="167"/>
        <v>87.899999999999807</v>
      </c>
      <c r="G174" s="46">
        <f t="shared" si="167"/>
        <v>98.5</v>
      </c>
      <c r="H174" s="46">
        <f t="shared" si="167"/>
        <v>79.600000000000009</v>
      </c>
      <c r="I174" s="46">
        <f t="shared" si="167"/>
        <v>85.999999999999858</v>
      </c>
      <c r="J174" s="46">
        <f t="shared" si="167"/>
        <v>-29.199999999999982</v>
      </c>
      <c r="K174" s="46">
        <f t="shared" si="167"/>
        <v>41.300000000000075</v>
      </c>
      <c r="L174" s="46">
        <f t="shared" si="167"/>
        <v>72.299999999999926</v>
      </c>
      <c r="M174" s="46">
        <f t="shared" si="167"/>
        <v>35.5</v>
      </c>
      <c r="N174" s="46">
        <f t="shared" si="167"/>
        <v>120.20000000000002</v>
      </c>
      <c r="O174" s="46">
        <f t="shared" si="167"/>
        <v>-23.099999999999991</v>
      </c>
      <c r="P174" s="46">
        <f t="shared" si="167"/>
        <v>59.700000000000024</v>
      </c>
      <c r="Q174" s="46">
        <f t="shared" si="167"/>
        <v>53.900000000000027</v>
      </c>
      <c r="R174" s="46">
        <f t="shared" si="167"/>
        <v>63.899999999999949</v>
      </c>
      <c r="S174" s="46">
        <f t="shared" si="167"/>
        <v>154.30000000000015</v>
      </c>
      <c r="T174" s="46">
        <f t="shared" si="167"/>
        <v>6.1999999999999504</v>
      </c>
      <c r="U174" s="46">
        <f t="shared" si="167"/>
        <v>81.999999999999915</v>
      </c>
      <c r="V174" s="46">
        <f t="shared" si="167"/>
        <v>117.6</v>
      </c>
      <c r="W174" s="46">
        <f t="shared" si="167"/>
        <v>83.20000000000006</v>
      </c>
      <c r="X174" s="46">
        <f t="shared" si="167"/>
        <v>288.89999999999975</v>
      </c>
      <c r="Y174" s="46">
        <f t="shared" si="167"/>
        <v>45.099999999999895</v>
      </c>
      <c r="Z174" s="46">
        <f t="shared" si="167"/>
        <v>122.09999999999991</v>
      </c>
      <c r="AA174" s="46">
        <f t="shared" si="167"/>
        <v>159.50000000000011</v>
      </c>
      <c r="AB174" s="46">
        <f t="shared" si="167"/>
        <v>98.799999999999869</v>
      </c>
      <c r="AC174" s="46">
        <f t="shared" si="167"/>
        <v>425.39999999999986</v>
      </c>
      <c r="AD174" s="46">
        <f t="shared" si="167"/>
        <v>42.300000000000018</v>
      </c>
      <c r="AE174" s="46">
        <f t="shared" si="167"/>
        <v>142.30000000000001</v>
      </c>
      <c r="AF174" s="46">
        <f t="shared" si="167"/>
        <v>151.50000000000006</v>
      </c>
      <c r="AG174" s="46">
        <f t="shared" si="167"/>
        <v>377.29999999999995</v>
      </c>
      <c r="AH174" s="46">
        <f t="shared" si="167"/>
        <v>713.40000000000009</v>
      </c>
      <c r="AI174" s="46">
        <f t="shared" ref="AI174:BN174" si="168">AI171-AI172</f>
        <v>9.9999999999999787</v>
      </c>
      <c r="AJ174" s="46">
        <f t="shared" si="168"/>
        <v>185.50300000000004</v>
      </c>
      <c r="AK174" s="46">
        <f t="shared" si="168"/>
        <v>180.35300000000012</v>
      </c>
      <c r="AL174" s="46">
        <f t="shared" si="168"/>
        <v>94.480999999999995</v>
      </c>
      <c r="AM174" s="46">
        <f t="shared" si="168"/>
        <v>470.37600000000026</v>
      </c>
      <c r="AN174" s="46">
        <f t="shared" si="168"/>
        <v>42.826000000000029</v>
      </c>
      <c r="AO174" s="46">
        <f t="shared" si="168"/>
        <v>189.46900000000005</v>
      </c>
      <c r="AP174" s="46">
        <f t="shared" si="168"/>
        <v>248.62200000000013</v>
      </c>
      <c r="AQ174" s="46">
        <f t="shared" si="168"/>
        <v>131.0690000000001</v>
      </c>
      <c r="AR174" s="46">
        <f t="shared" si="168"/>
        <v>611.98700000000008</v>
      </c>
      <c r="AS174" s="46">
        <f t="shared" si="168"/>
        <v>25.900000000000087</v>
      </c>
      <c r="AT174" s="46">
        <f t="shared" si="168"/>
        <v>217.59999999999994</v>
      </c>
      <c r="AU174" s="46">
        <f t="shared" si="168"/>
        <v>294.40000000000015</v>
      </c>
      <c r="AV174" s="46">
        <f t="shared" si="168"/>
        <v>182.99999999999986</v>
      </c>
      <c r="AW174" s="46">
        <f t="shared" si="168"/>
        <v>721.09999999999968</v>
      </c>
      <c r="AX174" s="46">
        <f t="shared" si="168"/>
        <v>65.499999999999915</v>
      </c>
      <c r="AY174" s="46">
        <f t="shared" si="168"/>
        <v>225.80000000000013</v>
      </c>
      <c r="AZ174" s="46">
        <f t="shared" si="168"/>
        <v>254.59999999999988</v>
      </c>
      <c r="BA174" s="46">
        <f t="shared" si="168"/>
        <v>156.30000000000004</v>
      </c>
      <c r="BB174" s="46">
        <f t="shared" si="168"/>
        <v>702.30000000000018</v>
      </c>
      <c r="BC174" s="46">
        <f t="shared" si="168"/>
        <v>24.399999999999913</v>
      </c>
      <c r="BD174" s="46">
        <f t="shared" si="168"/>
        <v>353.1</v>
      </c>
      <c r="BE174" s="46">
        <f t="shared" si="168"/>
        <v>291.2</v>
      </c>
      <c r="BF174" s="46">
        <f t="shared" si="168"/>
        <v>187.60000000000008</v>
      </c>
      <c r="BG174" s="46">
        <f t="shared" si="168"/>
        <v>856.30000000000018</v>
      </c>
      <c r="BH174" s="46">
        <f t="shared" si="168"/>
        <v>134.49999999999991</v>
      </c>
      <c r="BI174" s="46">
        <f t="shared" si="168"/>
        <v>347.89999999999986</v>
      </c>
      <c r="BJ174" s="46">
        <f t="shared" si="168"/>
        <v>430.20000000000005</v>
      </c>
      <c r="BK174" s="46">
        <f t="shared" si="168"/>
        <v>287.79999999999995</v>
      </c>
      <c r="BL174" s="46">
        <f t="shared" si="168"/>
        <v>1200.2999999999995</v>
      </c>
      <c r="BM174" s="46">
        <f t="shared" si="168"/>
        <v>1046</v>
      </c>
      <c r="BN174" s="46">
        <f t="shared" si="168"/>
        <v>294</v>
      </c>
      <c r="BO174" s="46">
        <f t="shared" ref="BO174:CE174" si="169">BO171-BO172</f>
        <v>363</v>
      </c>
      <c r="BP174" s="46">
        <f t="shared" si="169"/>
        <v>294</v>
      </c>
      <c r="BQ174" s="46">
        <f t="shared" si="169"/>
        <v>1996</v>
      </c>
      <c r="BR174" s="46">
        <f t="shared" si="169"/>
        <v>104</v>
      </c>
      <c r="BS174" s="46">
        <f t="shared" si="169"/>
        <v>292</v>
      </c>
      <c r="BT174" s="46">
        <f t="shared" si="169"/>
        <v>361</v>
      </c>
      <c r="BU174" s="46">
        <f t="shared" si="169"/>
        <v>233</v>
      </c>
      <c r="BV174" s="46">
        <f t="shared" si="169"/>
        <v>990</v>
      </c>
      <c r="BW174" s="46">
        <f t="shared" si="169"/>
        <v>79</v>
      </c>
      <c r="BX174" s="46">
        <f t="shared" si="169"/>
        <v>256</v>
      </c>
      <c r="BY174" s="34">
        <f t="shared" si="169"/>
        <v>333.00222352428591</v>
      </c>
      <c r="BZ174" s="34">
        <f t="shared" si="169"/>
        <v>228.25423982247494</v>
      </c>
      <c r="CA174" s="34">
        <f t="shared" si="169"/>
        <v>896.25646334676003</v>
      </c>
      <c r="CB174" s="34">
        <f t="shared" si="169"/>
        <v>1290.8191379330897</v>
      </c>
      <c r="CC174" s="34">
        <f t="shared" si="169"/>
        <v>1695.1230910099953</v>
      </c>
      <c r="CD174" s="34">
        <f t="shared" si="169"/>
        <v>2044.3650536735167</v>
      </c>
      <c r="CE174" s="34">
        <f t="shared" si="169"/>
        <v>2368.8409653213325</v>
      </c>
      <c r="CF174" s="6"/>
      <c r="CH174" s="21">
        <f>IFERROR((CE174/BV174)^(1/5)-1,"n/m")</f>
        <v>0.1906391043574458</v>
      </c>
      <c r="CI174" s="21">
        <f>IFERROR((BV174/AW174)^(1/5)-1,"n/m")</f>
        <v>6.5437405082497735E-2</v>
      </c>
      <c r="CJ174" s="21">
        <f>IFERROR((BV174/X174)^(1/10)-1,"n/m")</f>
        <v>0.131068129456126</v>
      </c>
      <c r="CK174" s="21">
        <f>IFERROR((BV174/C174)^(1/19)-1,"n/m")</f>
        <v>7.6543684545743229E-2</v>
      </c>
    </row>
    <row r="175" spans="2:89" ht="15" customHeight="1" x14ac:dyDescent="0.25">
      <c r="B175" s="26" t="s">
        <v>326</v>
      </c>
      <c r="C175" s="36">
        <v>1.6</v>
      </c>
      <c r="D175" s="36">
        <v>0.2</v>
      </c>
      <c r="E175" s="36">
        <v>4.8</v>
      </c>
      <c r="F175" s="36">
        <v>0.3</v>
      </c>
      <c r="G175" s="36">
        <v>0.2</v>
      </c>
      <c r="H175" s="36">
        <v>4</v>
      </c>
      <c r="I175" s="36">
        <v>-0.5</v>
      </c>
      <c r="J175" s="36">
        <v>-0.1</v>
      </c>
      <c r="K175" s="36">
        <v>0.3</v>
      </c>
      <c r="L175" s="36">
        <v>-0.3</v>
      </c>
      <c r="M175" s="36">
        <v>-0.3</v>
      </c>
      <c r="N175" s="36">
        <v>-0.8</v>
      </c>
      <c r="O175" s="36">
        <v>0</v>
      </c>
      <c r="P175" s="36">
        <v>-0.1</v>
      </c>
      <c r="Q175" s="36">
        <v>-0.1</v>
      </c>
      <c r="R175" s="36">
        <v>0.1</v>
      </c>
      <c r="S175" s="36">
        <v>0</v>
      </c>
      <c r="T175" s="36">
        <v>0</v>
      </c>
      <c r="U175" s="36">
        <v>0</v>
      </c>
      <c r="V175" s="36">
        <v>0</v>
      </c>
      <c r="W175" s="36">
        <v>0</v>
      </c>
      <c r="X175" s="36">
        <v>0</v>
      </c>
      <c r="Y175" s="36">
        <v>0</v>
      </c>
      <c r="Z175" s="36">
        <v>0</v>
      </c>
      <c r="AA175" s="36">
        <v>0</v>
      </c>
      <c r="AB175" s="36">
        <v>0</v>
      </c>
      <c r="AC175" s="36">
        <v>0</v>
      </c>
      <c r="AD175" s="36">
        <v>0</v>
      </c>
      <c r="AE175" s="36">
        <v>0</v>
      </c>
      <c r="AF175" s="36">
        <v>0</v>
      </c>
      <c r="AG175" s="36">
        <v>0</v>
      </c>
      <c r="AH175" s="36">
        <v>0</v>
      </c>
      <c r="AI175" s="36">
        <v>0</v>
      </c>
      <c r="AJ175" s="36">
        <v>0</v>
      </c>
      <c r="AK175" s="36">
        <v>0</v>
      </c>
      <c r="AL175" s="36">
        <v>0</v>
      </c>
      <c r="AM175" s="36">
        <v>0</v>
      </c>
      <c r="AN175" s="36">
        <v>0</v>
      </c>
      <c r="AO175" s="36">
        <v>0</v>
      </c>
      <c r="AP175" s="36">
        <v>0</v>
      </c>
      <c r="AQ175" s="36">
        <v>0</v>
      </c>
      <c r="AR175" s="36">
        <v>0</v>
      </c>
      <c r="AS175" s="36">
        <v>0</v>
      </c>
      <c r="AT175" s="36">
        <v>0</v>
      </c>
      <c r="AU175" s="36">
        <v>0</v>
      </c>
      <c r="AV175" s="36">
        <v>0</v>
      </c>
      <c r="AW175" s="36">
        <v>0</v>
      </c>
      <c r="AX175" s="36">
        <v>0</v>
      </c>
      <c r="AY175" s="36">
        <v>0</v>
      </c>
      <c r="AZ175" s="36">
        <v>0</v>
      </c>
      <c r="BA175" s="36">
        <v>0.5</v>
      </c>
      <c r="BB175" s="36">
        <v>0.5</v>
      </c>
      <c r="BC175" s="36">
        <v>-3.1</v>
      </c>
      <c r="BD175" s="36">
        <v>13.3</v>
      </c>
      <c r="BE175" s="36">
        <v>4.0999999999999996</v>
      </c>
      <c r="BF175" s="36">
        <v>-3.8</v>
      </c>
      <c r="BG175" s="36">
        <v>10.5</v>
      </c>
      <c r="BH175" s="36">
        <v>-12.9</v>
      </c>
      <c r="BI175" s="36">
        <v>0.7</v>
      </c>
      <c r="BJ175" s="36">
        <v>-13.6</v>
      </c>
      <c r="BK175" s="36">
        <v>-5.2</v>
      </c>
      <c r="BL175" s="36">
        <v>-30.9</v>
      </c>
      <c r="BM175" s="36">
        <v>0</v>
      </c>
      <c r="BN175" s="36">
        <v>0</v>
      </c>
      <c r="BO175" s="36">
        <v>0</v>
      </c>
      <c r="BP175" s="36">
        <v>0</v>
      </c>
      <c r="BQ175" s="36">
        <v>0</v>
      </c>
      <c r="BR175" s="36">
        <v>12</v>
      </c>
      <c r="BS175" s="36">
        <v>36</v>
      </c>
      <c r="BT175" s="36">
        <v>53</v>
      </c>
      <c r="BU175" s="36">
        <v>46</v>
      </c>
      <c r="BV175" s="36">
        <v>147</v>
      </c>
      <c r="BW175" s="36">
        <v>1434</v>
      </c>
      <c r="BX175" s="36">
        <v>-5</v>
      </c>
      <c r="BY175" s="52">
        <v>0</v>
      </c>
      <c r="BZ175" s="52">
        <v>0</v>
      </c>
      <c r="CA175" s="37">
        <f>SUM(BW175,BX175,BY175,BZ175)</f>
        <v>1429</v>
      </c>
      <c r="CB175" s="52">
        <v>0</v>
      </c>
      <c r="CC175" s="52">
        <v>0</v>
      </c>
      <c r="CD175" s="52">
        <v>0</v>
      </c>
      <c r="CE175" s="52">
        <v>0</v>
      </c>
      <c r="CF175" s="20" t="s">
        <v>327</v>
      </c>
    </row>
    <row r="176" spans="2:89" ht="15" customHeight="1" x14ac:dyDescent="0.25">
      <c r="B176" s="26" t="s">
        <v>328</v>
      </c>
      <c r="C176" s="47">
        <f t="shared" ref="C176:AH176" si="170">C174+C175</f>
        <v>245.40000000000003</v>
      </c>
      <c r="D176" s="47">
        <f t="shared" si="170"/>
        <v>262.7</v>
      </c>
      <c r="E176" s="47">
        <f t="shared" si="170"/>
        <v>176.2999999999999</v>
      </c>
      <c r="F176" s="47">
        <f t="shared" si="170"/>
        <v>88.199999999999804</v>
      </c>
      <c r="G176" s="47">
        <f t="shared" si="170"/>
        <v>98.7</v>
      </c>
      <c r="H176" s="47">
        <f t="shared" si="170"/>
        <v>83.600000000000009</v>
      </c>
      <c r="I176" s="47">
        <f t="shared" si="170"/>
        <v>85.499999999999858</v>
      </c>
      <c r="J176" s="47">
        <f t="shared" si="170"/>
        <v>-29.299999999999983</v>
      </c>
      <c r="K176" s="47">
        <f t="shared" si="170"/>
        <v>41.600000000000072</v>
      </c>
      <c r="L176" s="47">
        <f t="shared" si="170"/>
        <v>71.999999999999929</v>
      </c>
      <c r="M176" s="47">
        <f t="shared" si="170"/>
        <v>35.200000000000003</v>
      </c>
      <c r="N176" s="47">
        <f t="shared" si="170"/>
        <v>119.40000000000002</v>
      </c>
      <c r="O176" s="47">
        <f t="shared" si="170"/>
        <v>-23.099999999999991</v>
      </c>
      <c r="P176" s="47">
        <f t="shared" si="170"/>
        <v>59.600000000000023</v>
      </c>
      <c r="Q176" s="47">
        <f t="shared" si="170"/>
        <v>53.800000000000026</v>
      </c>
      <c r="R176" s="47">
        <f t="shared" si="170"/>
        <v>63.99999999999995</v>
      </c>
      <c r="S176" s="47">
        <f t="shared" si="170"/>
        <v>154.30000000000015</v>
      </c>
      <c r="T176" s="47">
        <f t="shared" si="170"/>
        <v>6.1999999999999504</v>
      </c>
      <c r="U176" s="47">
        <f t="shared" si="170"/>
        <v>81.999999999999915</v>
      </c>
      <c r="V176" s="47">
        <f t="shared" si="170"/>
        <v>117.6</v>
      </c>
      <c r="W176" s="47">
        <f t="shared" si="170"/>
        <v>83.20000000000006</v>
      </c>
      <c r="X176" s="47">
        <f t="shared" si="170"/>
        <v>288.89999999999975</v>
      </c>
      <c r="Y176" s="47">
        <f t="shared" si="170"/>
        <v>45.099999999999895</v>
      </c>
      <c r="Z176" s="47">
        <f t="shared" si="170"/>
        <v>122.09999999999991</v>
      </c>
      <c r="AA176" s="47">
        <f t="shared" si="170"/>
        <v>159.50000000000011</v>
      </c>
      <c r="AB176" s="47">
        <f t="shared" si="170"/>
        <v>98.799999999999869</v>
      </c>
      <c r="AC176" s="47">
        <f t="shared" si="170"/>
        <v>425.39999999999986</v>
      </c>
      <c r="AD176" s="47">
        <f t="shared" si="170"/>
        <v>42.300000000000018</v>
      </c>
      <c r="AE176" s="47">
        <f t="shared" si="170"/>
        <v>142.30000000000001</v>
      </c>
      <c r="AF176" s="47">
        <f t="shared" si="170"/>
        <v>151.50000000000006</v>
      </c>
      <c r="AG176" s="47">
        <f t="shared" si="170"/>
        <v>377.29999999999995</v>
      </c>
      <c r="AH176" s="47">
        <f t="shared" si="170"/>
        <v>713.40000000000009</v>
      </c>
      <c r="AI176" s="47">
        <f t="shared" ref="AI176:BN176" si="171">AI174+AI175</f>
        <v>9.9999999999999787</v>
      </c>
      <c r="AJ176" s="47">
        <f t="shared" si="171"/>
        <v>185.50300000000004</v>
      </c>
      <c r="AK176" s="47">
        <f t="shared" si="171"/>
        <v>180.35300000000012</v>
      </c>
      <c r="AL176" s="47">
        <f t="shared" si="171"/>
        <v>94.480999999999995</v>
      </c>
      <c r="AM176" s="47">
        <f t="shared" si="171"/>
        <v>470.37600000000026</v>
      </c>
      <c r="AN176" s="47">
        <f t="shared" si="171"/>
        <v>42.826000000000029</v>
      </c>
      <c r="AO176" s="47">
        <f t="shared" si="171"/>
        <v>189.46900000000005</v>
      </c>
      <c r="AP176" s="47">
        <f t="shared" si="171"/>
        <v>248.62200000000013</v>
      </c>
      <c r="AQ176" s="47">
        <f t="shared" si="171"/>
        <v>131.0690000000001</v>
      </c>
      <c r="AR176" s="47">
        <f t="shared" si="171"/>
        <v>611.98700000000008</v>
      </c>
      <c r="AS176" s="47">
        <f t="shared" si="171"/>
        <v>25.900000000000087</v>
      </c>
      <c r="AT176" s="47">
        <f t="shared" si="171"/>
        <v>217.59999999999994</v>
      </c>
      <c r="AU176" s="47">
        <f t="shared" si="171"/>
        <v>294.40000000000015</v>
      </c>
      <c r="AV176" s="47">
        <f t="shared" si="171"/>
        <v>182.99999999999986</v>
      </c>
      <c r="AW176" s="47">
        <f t="shared" si="171"/>
        <v>721.09999999999968</v>
      </c>
      <c r="AX176" s="47">
        <f t="shared" si="171"/>
        <v>65.499999999999915</v>
      </c>
      <c r="AY176" s="47">
        <f t="shared" si="171"/>
        <v>225.80000000000013</v>
      </c>
      <c r="AZ176" s="47">
        <f t="shared" si="171"/>
        <v>254.59999999999988</v>
      </c>
      <c r="BA176" s="47">
        <f t="shared" si="171"/>
        <v>156.80000000000004</v>
      </c>
      <c r="BB176" s="47">
        <f t="shared" si="171"/>
        <v>702.80000000000018</v>
      </c>
      <c r="BC176" s="47">
        <f t="shared" si="171"/>
        <v>21.299999999999912</v>
      </c>
      <c r="BD176" s="47">
        <f t="shared" si="171"/>
        <v>366.40000000000003</v>
      </c>
      <c r="BE176" s="47">
        <f t="shared" si="171"/>
        <v>295.3</v>
      </c>
      <c r="BF176" s="47">
        <f t="shared" si="171"/>
        <v>183.80000000000007</v>
      </c>
      <c r="BG176" s="47">
        <f t="shared" si="171"/>
        <v>866.80000000000018</v>
      </c>
      <c r="BH176" s="47">
        <f t="shared" si="171"/>
        <v>121.59999999999991</v>
      </c>
      <c r="BI176" s="47">
        <f t="shared" si="171"/>
        <v>348.59999999999985</v>
      </c>
      <c r="BJ176" s="47">
        <f t="shared" si="171"/>
        <v>416.6</v>
      </c>
      <c r="BK176" s="47">
        <f t="shared" si="171"/>
        <v>282.59999999999997</v>
      </c>
      <c r="BL176" s="47">
        <f t="shared" si="171"/>
        <v>1169.3999999999994</v>
      </c>
      <c r="BM176" s="47">
        <f t="shared" si="171"/>
        <v>1046</v>
      </c>
      <c r="BN176" s="47">
        <f t="shared" si="171"/>
        <v>294</v>
      </c>
      <c r="BO176" s="47">
        <f t="shared" ref="BO176:CE176" si="172">BO174+BO175</f>
        <v>363</v>
      </c>
      <c r="BP176" s="47">
        <f t="shared" si="172"/>
        <v>294</v>
      </c>
      <c r="BQ176" s="47">
        <f t="shared" si="172"/>
        <v>1996</v>
      </c>
      <c r="BR176" s="47">
        <f t="shared" si="172"/>
        <v>116</v>
      </c>
      <c r="BS176" s="47">
        <f t="shared" si="172"/>
        <v>328</v>
      </c>
      <c r="BT176" s="47">
        <f t="shared" si="172"/>
        <v>414</v>
      </c>
      <c r="BU176" s="47">
        <f t="shared" si="172"/>
        <v>279</v>
      </c>
      <c r="BV176" s="47">
        <f t="shared" si="172"/>
        <v>1137</v>
      </c>
      <c r="BW176" s="47">
        <f t="shared" si="172"/>
        <v>1513</v>
      </c>
      <c r="BX176" s="47">
        <f t="shared" si="172"/>
        <v>251</v>
      </c>
      <c r="BY176" s="37">
        <f t="shared" si="172"/>
        <v>333.00222352428591</v>
      </c>
      <c r="BZ176" s="37">
        <f t="shared" si="172"/>
        <v>228.25423982247494</v>
      </c>
      <c r="CA176" s="37">
        <f t="shared" si="172"/>
        <v>2325.25646334676</v>
      </c>
      <c r="CB176" s="37">
        <f t="shared" si="172"/>
        <v>1290.8191379330897</v>
      </c>
      <c r="CC176" s="37">
        <f t="shared" si="172"/>
        <v>1695.1230910099953</v>
      </c>
      <c r="CD176" s="37">
        <f t="shared" si="172"/>
        <v>2044.3650536735167</v>
      </c>
      <c r="CE176" s="37">
        <f t="shared" si="172"/>
        <v>2368.8409653213325</v>
      </c>
      <c r="CF176" s="6"/>
    </row>
    <row r="177" spans="2:89" ht="15" customHeight="1" x14ac:dyDescent="0.25">
      <c r="B177" s="26" t="s">
        <v>329</v>
      </c>
      <c r="C177" s="36">
        <v>0</v>
      </c>
      <c r="D177" s="36">
        <v>0</v>
      </c>
      <c r="E177" s="36">
        <v>0</v>
      </c>
      <c r="F177" s="36">
        <v>2.7</v>
      </c>
      <c r="G177" s="36">
        <v>1.7</v>
      </c>
      <c r="H177" s="36">
        <v>1.2</v>
      </c>
      <c r="I177" s="36">
        <v>1</v>
      </c>
      <c r="J177" s="36">
        <v>-1.5</v>
      </c>
      <c r="K177" s="36">
        <v>0.3</v>
      </c>
      <c r="L177" s="36">
        <v>0.2</v>
      </c>
      <c r="M177" s="36">
        <v>-0.8</v>
      </c>
      <c r="N177" s="36">
        <v>-1.9</v>
      </c>
      <c r="O177" s="36">
        <v>-1.5</v>
      </c>
      <c r="P177" s="36">
        <v>0.1</v>
      </c>
      <c r="Q177" s="36">
        <v>0.1</v>
      </c>
      <c r="R177" s="36">
        <v>0</v>
      </c>
      <c r="S177" s="36">
        <v>-1.3</v>
      </c>
      <c r="T177" s="36">
        <v>0.1</v>
      </c>
      <c r="U177" s="36">
        <v>0.1</v>
      </c>
      <c r="V177" s="36">
        <v>0.1</v>
      </c>
      <c r="W177" s="36">
        <v>0</v>
      </c>
      <c r="X177" s="36">
        <v>0.1</v>
      </c>
      <c r="Y177" s="36">
        <v>0.1</v>
      </c>
      <c r="Z177" s="36">
        <v>0</v>
      </c>
      <c r="AA177" s="36">
        <v>0</v>
      </c>
      <c r="AB177" s="36">
        <v>-0.1</v>
      </c>
      <c r="AC177" s="36">
        <v>0</v>
      </c>
      <c r="AD177" s="36">
        <v>0</v>
      </c>
      <c r="AE177" s="36">
        <v>0</v>
      </c>
      <c r="AF177" s="36">
        <v>0</v>
      </c>
      <c r="AG177" s="36">
        <v>0.1</v>
      </c>
      <c r="AH177" s="36">
        <v>0.1</v>
      </c>
      <c r="AI177" s="36">
        <v>0</v>
      </c>
      <c r="AJ177" s="36">
        <v>0.126</v>
      </c>
      <c r="AK177" s="36">
        <v>0.13200000000000001</v>
      </c>
      <c r="AL177" s="36">
        <v>0.10299999999999999</v>
      </c>
      <c r="AM177" s="36">
        <v>0.378</v>
      </c>
      <c r="AN177" s="36">
        <v>0</v>
      </c>
      <c r="AO177" s="36">
        <v>0</v>
      </c>
      <c r="AP177" s="36">
        <v>0</v>
      </c>
      <c r="AQ177" s="36">
        <v>5.5E-2</v>
      </c>
      <c r="AR177" s="36">
        <v>7.1999999999999995E-2</v>
      </c>
      <c r="AS177" s="36">
        <v>0</v>
      </c>
      <c r="AT177" s="36">
        <v>0</v>
      </c>
      <c r="AU177" s="36">
        <v>0</v>
      </c>
      <c r="AV177" s="36">
        <v>0</v>
      </c>
      <c r="AW177" s="36">
        <v>0.1</v>
      </c>
      <c r="AX177" s="36">
        <v>0.2</v>
      </c>
      <c r="AY177" s="36">
        <v>0</v>
      </c>
      <c r="AZ177" s="36">
        <v>0</v>
      </c>
      <c r="BA177" s="36">
        <v>0</v>
      </c>
      <c r="BB177" s="36">
        <v>0.3</v>
      </c>
      <c r="BC177" s="36">
        <v>-0.1</v>
      </c>
      <c r="BD177" s="36">
        <v>-0.1</v>
      </c>
      <c r="BE177" s="36">
        <v>0</v>
      </c>
      <c r="BF177" s="36">
        <v>0.2</v>
      </c>
      <c r="BG177" s="36">
        <v>0</v>
      </c>
      <c r="BH177" s="36">
        <v>0.2</v>
      </c>
      <c r="BI177" s="36">
        <v>0.3</v>
      </c>
      <c r="BJ177" s="36">
        <v>-0.1</v>
      </c>
      <c r="BK177" s="36">
        <v>0.1</v>
      </c>
      <c r="BL177" s="36">
        <v>0.5</v>
      </c>
      <c r="BM177" s="36">
        <v>1</v>
      </c>
      <c r="BN177" s="36">
        <v>0</v>
      </c>
      <c r="BO177" s="36">
        <v>0</v>
      </c>
      <c r="BP177" s="36">
        <v>0</v>
      </c>
      <c r="BQ177" s="36">
        <v>1</v>
      </c>
      <c r="BR177" s="36">
        <v>0</v>
      </c>
      <c r="BS177" s="36">
        <v>0</v>
      </c>
      <c r="BT177" s="36">
        <v>0</v>
      </c>
      <c r="BU177" s="36">
        <v>0</v>
      </c>
      <c r="BV177" s="36">
        <v>0</v>
      </c>
      <c r="BW177" s="36">
        <v>0</v>
      </c>
      <c r="BX177" s="36">
        <v>0</v>
      </c>
      <c r="BY177" s="52">
        <v>0</v>
      </c>
      <c r="BZ177" s="52">
        <v>0</v>
      </c>
      <c r="CA177" s="37">
        <f>SUM(BW177,BX177,BY177,BZ177)</f>
        <v>0</v>
      </c>
      <c r="CB177" s="52">
        <v>0</v>
      </c>
      <c r="CC177" s="52">
        <v>0</v>
      </c>
      <c r="CD177" s="52">
        <v>0</v>
      </c>
      <c r="CE177" s="52">
        <v>0</v>
      </c>
      <c r="CF177" s="6"/>
    </row>
    <row r="178" spans="2:89" ht="15" customHeight="1" x14ac:dyDescent="0.25">
      <c r="B178" s="59" t="s">
        <v>330</v>
      </c>
      <c r="C178" s="60">
        <f t="shared" ref="C178:AH178" si="173">C176-C177</f>
        <v>245.40000000000003</v>
      </c>
      <c r="D178" s="60">
        <f t="shared" si="173"/>
        <v>262.7</v>
      </c>
      <c r="E178" s="60">
        <f t="shared" si="173"/>
        <v>176.2999999999999</v>
      </c>
      <c r="F178" s="60">
        <f t="shared" si="173"/>
        <v>85.499999999999801</v>
      </c>
      <c r="G178" s="60">
        <f t="shared" si="173"/>
        <v>97</v>
      </c>
      <c r="H178" s="60">
        <f t="shared" si="173"/>
        <v>82.4</v>
      </c>
      <c r="I178" s="60">
        <f t="shared" si="173"/>
        <v>84.499999999999858</v>
      </c>
      <c r="J178" s="60">
        <f t="shared" si="173"/>
        <v>-27.799999999999983</v>
      </c>
      <c r="K178" s="60">
        <f t="shared" si="173"/>
        <v>41.300000000000075</v>
      </c>
      <c r="L178" s="60">
        <f t="shared" si="173"/>
        <v>71.799999999999926</v>
      </c>
      <c r="M178" s="60">
        <f t="shared" si="173"/>
        <v>36</v>
      </c>
      <c r="N178" s="60">
        <f t="shared" si="173"/>
        <v>121.30000000000003</v>
      </c>
      <c r="O178" s="60">
        <f t="shared" si="173"/>
        <v>-21.599999999999991</v>
      </c>
      <c r="P178" s="60">
        <f t="shared" si="173"/>
        <v>59.500000000000021</v>
      </c>
      <c r="Q178" s="60">
        <f t="shared" si="173"/>
        <v>53.700000000000024</v>
      </c>
      <c r="R178" s="60">
        <f t="shared" si="173"/>
        <v>63.99999999999995</v>
      </c>
      <c r="S178" s="60">
        <f t="shared" si="173"/>
        <v>155.60000000000016</v>
      </c>
      <c r="T178" s="60">
        <f t="shared" si="173"/>
        <v>6.0999999999999508</v>
      </c>
      <c r="U178" s="60">
        <f t="shared" si="173"/>
        <v>81.89999999999992</v>
      </c>
      <c r="V178" s="60">
        <f t="shared" si="173"/>
        <v>117.5</v>
      </c>
      <c r="W178" s="60">
        <f t="shared" si="173"/>
        <v>83.20000000000006</v>
      </c>
      <c r="X178" s="60">
        <f t="shared" si="173"/>
        <v>288.79999999999973</v>
      </c>
      <c r="Y178" s="60">
        <f t="shared" si="173"/>
        <v>44.999999999999893</v>
      </c>
      <c r="Z178" s="60">
        <f t="shared" si="173"/>
        <v>122.09999999999991</v>
      </c>
      <c r="AA178" s="60">
        <f t="shared" si="173"/>
        <v>159.50000000000011</v>
      </c>
      <c r="AB178" s="60">
        <f t="shared" si="173"/>
        <v>98.899999999999864</v>
      </c>
      <c r="AC178" s="60">
        <f t="shared" si="173"/>
        <v>425.39999999999986</v>
      </c>
      <c r="AD178" s="60">
        <f t="shared" si="173"/>
        <v>42.300000000000018</v>
      </c>
      <c r="AE178" s="60">
        <f t="shared" si="173"/>
        <v>142.30000000000001</v>
      </c>
      <c r="AF178" s="60">
        <f t="shared" si="173"/>
        <v>151.50000000000006</v>
      </c>
      <c r="AG178" s="60">
        <f t="shared" si="173"/>
        <v>377.19999999999993</v>
      </c>
      <c r="AH178" s="60">
        <f t="shared" si="173"/>
        <v>713.30000000000007</v>
      </c>
      <c r="AI178" s="60">
        <f t="shared" ref="AI178:BN178" si="174">AI176-AI177</f>
        <v>9.9999999999999787</v>
      </c>
      <c r="AJ178" s="60">
        <f t="shared" si="174"/>
        <v>185.37700000000004</v>
      </c>
      <c r="AK178" s="60">
        <f t="shared" si="174"/>
        <v>180.22100000000012</v>
      </c>
      <c r="AL178" s="60">
        <f t="shared" si="174"/>
        <v>94.378</v>
      </c>
      <c r="AM178" s="60">
        <f t="shared" si="174"/>
        <v>469.99800000000027</v>
      </c>
      <c r="AN178" s="60">
        <f t="shared" si="174"/>
        <v>42.826000000000029</v>
      </c>
      <c r="AO178" s="60">
        <f t="shared" si="174"/>
        <v>189.46900000000005</v>
      </c>
      <c r="AP178" s="60">
        <f t="shared" si="174"/>
        <v>248.62200000000013</v>
      </c>
      <c r="AQ178" s="60">
        <f t="shared" si="174"/>
        <v>131.0140000000001</v>
      </c>
      <c r="AR178" s="60">
        <f t="shared" si="174"/>
        <v>611.91500000000008</v>
      </c>
      <c r="AS178" s="60">
        <f t="shared" si="174"/>
        <v>25.900000000000087</v>
      </c>
      <c r="AT178" s="60">
        <f t="shared" si="174"/>
        <v>217.59999999999994</v>
      </c>
      <c r="AU178" s="60">
        <f t="shared" si="174"/>
        <v>294.40000000000015</v>
      </c>
      <c r="AV178" s="60">
        <f t="shared" si="174"/>
        <v>182.99999999999986</v>
      </c>
      <c r="AW178" s="60">
        <f t="shared" si="174"/>
        <v>720.99999999999966</v>
      </c>
      <c r="AX178" s="60">
        <f t="shared" si="174"/>
        <v>65.299999999999912</v>
      </c>
      <c r="AY178" s="60">
        <f t="shared" si="174"/>
        <v>225.80000000000013</v>
      </c>
      <c r="AZ178" s="60">
        <f t="shared" si="174"/>
        <v>254.59999999999988</v>
      </c>
      <c r="BA178" s="60">
        <f t="shared" si="174"/>
        <v>156.80000000000004</v>
      </c>
      <c r="BB178" s="60">
        <f t="shared" si="174"/>
        <v>702.50000000000023</v>
      </c>
      <c r="BC178" s="60">
        <f t="shared" si="174"/>
        <v>21.399999999999913</v>
      </c>
      <c r="BD178" s="60">
        <f t="shared" si="174"/>
        <v>366.50000000000006</v>
      </c>
      <c r="BE178" s="60">
        <f t="shared" si="174"/>
        <v>295.3</v>
      </c>
      <c r="BF178" s="60">
        <f t="shared" si="174"/>
        <v>183.60000000000008</v>
      </c>
      <c r="BG178" s="60">
        <f t="shared" si="174"/>
        <v>866.80000000000018</v>
      </c>
      <c r="BH178" s="60">
        <f t="shared" si="174"/>
        <v>121.39999999999991</v>
      </c>
      <c r="BI178" s="60">
        <f t="shared" si="174"/>
        <v>348.29999999999984</v>
      </c>
      <c r="BJ178" s="60">
        <f t="shared" si="174"/>
        <v>416.70000000000005</v>
      </c>
      <c r="BK178" s="60">
        <f t="shared" si="174"/>
        <v>282.49999999999994</v>
      </c>
      <c r="BL178" s="60">
        <f t="shared" si="174"/>
        <v>1168.8999999999994</v>
      </c>
      <c r="BM178" s="60">
        <f t="shared" si="174"/>
        <v>1045</v>
      </c>
      <c r="BN178" s="60">
        <f t="shared" si="174"/>
        <v>294</v>
      </c>
      <c r="BO178" s="60">
        <f t="shared" ref="BO178:CE178" si="175">BO176-BO177</f>
        <v>363</v>
      </c>
      <c r="BP178" s="60">
        <f t="shared" si="175"/>
        <v>294</v>
      </c>
      <c r="BQ178" s="60">
        <f t="shared" si="175"/>
        <v>1995</v>
      </c>
      <c r="BR178" s="60">
        <f t="shared" si="175"/>
        <v>116</v>
      </c>
      <c r="BS178" s="60">
        <f t="shared" si="175"/>
        <v>328</v>
      </c>
      <c r="BT178" s="60">
        <f t="shared" si="175"/>
        <v>414</v>
      </c>
      <c r="BU178" s="60">
        <f t="shared" si="175"/>
        <v>279</v>
      </c>
      <c r="BV178" s="60">
        <f t="shared" si="175"/>
        <v>1137</v>
      </c>
      <c r="BW178" s="60">
        <f t="shared" si="175"/>
        <v>1513</v>
      </c>
      <c r="BX178" s="60">
        <f t="shared" si="175"/>
        <v>251</v>
      </c>
      <c r="BY178" s="60">
        <f t="shared" si="175"/>
        <v>333.00222352428591</v>
      </c>
      <c r="BZ178" s="60">
        <f t="shared" si="175"/>
        <v>228.25423982247494</v>
      </c>
      <c r="CA178" s="60">
        <f t="shared" si="175"/>
        <v>2325.25646334676</v>
      </c>
      <c r="CB178" s="60">
        <f t="shared" si="175"/>
        <v>1290.8191379330897</v>
      </c>
      <c r="CC178" s="60">
        <f t="shared" si="175"/>
        <v>1695.1230910099953</v>
      </c>
      <c r="CD178" s="60">
        <f t="shared" si="175"/>
        <v>2044.3650536735167</v>
      </c>
      <c r="CE178" s="60">
        <f t="shared" si="175"/>
        <v>2368.8409653213325</v>
      </c>
      <c r="CF178" s="6"/>
      <c r="CH178" s="21">
        <f>IFERROR((CE178/BV178)^(1/5)-1,"n/m")</f>
        <v>0.15812407032754838</v>
      </c>
      <c r="CI178" s="21">
        <f>IFERROR((BV178/AW178)^(1/5)-1,"n/m")</f>
        <v>9.5380587411755258E-2</v>
      </c>
      <c r="CJ178" s="21">
        <f>IFERROR((BV178/X178)^(1/10)-1,"n/m")</f>
        <v>0.14687563813563553</v>
      </c>
      <c r="CK178" s="21">
        <f>IFERROR((BV178/C178)^(1/19)-1,"n/m")</f>
        <v>8.4043292637643763E-2</v>
      </c>
    </row>
    <row r="179" spans="2:89" ht="15" customHeight="1" x14ac:dyDescent="0.25">
      <c r="B179" s="61" t="s">
        <v>331</v>
      </c>
      <c r="C179" s="47">
        <f t="shared" ref="C179:AH179" si="176">IF(ISNUMBER(C180),IF(ABS(C178-C180)&lt;=0.15,0,ROUND(C178-C180,1)),"")</f>
        <v>0</v>
      </c>
      <c r="D179" s="47">
        <f t="shared" si="176"/>
        <v>0</v>
      </c>
      <c r="E179" s="47">
        <f t="shared" si="176"/>
        <v>0</v>
      </c>
      <c r="F179" s="47">
        <f t="shared" si="176"/>
        <v>0</v>
      </c>
      <c r="G179" s="47">
        <f t="shared" si="176"/>
        <v>0</v>
      </c>
      <c r="H179" s="47">
        <f t="shared" si="176"/>
        <v>0</v>
      </c>
      <c r="I179" s="47">
        <f t="shared" si="176"/>
        <v>0</v>
      </c>
      <c r="J179" s="47">
        <f t="shared" si="176"/>
        <v>0</v>
      </c>
      <c r="K179" s="47">
        <f t="shared" si="176"/>
        <v>0</v>
      </c>
      <c r="L179" s="47">
        <f t="shared" si="176"/>
        <v>0</v>
      </c>
      <c r="M179" s="47">
        <f t="shared" si="176"/>
        <v>0</v>
      </c>
      <c r="N179" s="47">
        <f t="shared" si="176"/>
        <v>0</v>
      </c>
      <c r="O179" s="47">
        <f t="shared" si="176"/>
        <v>0</v>
      </c>
      <c r="P179" s="47">
        <f t="shared" si="176"/>
        <v>0</v>
      </c>
      <c r="Q179" s="47">
        <f t="shared" si="176"/>
        <v>0</v>
      </c>
      <c r="R179" s="47">
        <f t="shared" si="176"/>
        <v>0</v>
      </c>
      <c r="S179" s="47">
        <f t="shared" si="176"/>
        <v>0</v>
      </c>
      <c r="T179" s="47">
        <f t="shared" si="176"/>
        <v>0</v>
      </c>
      <c r="U179" s="47">
        <f t="shared" si="176"/>
        <v>0</v>
      </c>
      <c r="V179" s="47">
        <f t="shared" si="176"/>
        <v>0</v>
      </c>
      <c r="W179" s="47">
        <f t="shared" si="176"/>
        <v>0</v>
      </c>
      <c r="X179" s="47">
        <f t="shared" si="176"/>
        <v>0</v>
      </c>
      <c r="Y179" s="47">
        <f t="shared" si="176"/>
        <v>0</v>
      </c>
      <c r="Z179" s="47">
        <f t="shared" si="176"/>
        <v>0</v>
      </c>
      <c r="AA179" s="47">
        <f t="shared" si="176"/>
        <v>0</v>
      </c>
      <c r="AB179" s="47">
        <f t="shared" si="176"/>
        <v>0</v>
      </c>
      <c r="AC179" s="47">
        <f t="shared" si="176"/>
        <v>0</v>
      </c>
      <c r="AD179" s="47">
        <f t="shared" si="176"/>
        <v>0</v>
      </c>
      <c r="AE179" s="47">
        <f t="shared" si="176"/>
        <v>0</v>
      </c>
      <c r="AF179" s="47">
        <f t="shared" si="176"/>
        <v>0</v>
      </c>
      <c r="AG179" s="47">
        <f t="shared" si="176"/>
        <v>0</v>
      </c>
      <c r="AH179" s="47">
        <f t="shared" si="176"/>
        <v>0</v>
      </c>
      <c r="AI179" s="47">
        <f t="shared" ref="AI179:BN179" si="177">IF(ISNUMBER(AI180),IF(ABS(AI178-AI180)&lt;=0.15,0,ROUND(AI178-AI180,1)),"")</f>
        <v>0</v>
      </c>
      <c r="AJ179" s="47">
        <f t="shared" si="177"/>
        <v>0</v>
      </c>
      <c r="AK179" s="47">
        <f t="shared" si="177"/>
        <v>0</v>
      </c>
      <c r="AL179" s="47">
        <f t="shared" si="177"/>
        <v>0</v>
      </c>
      <c r="AM179" s="47">
        <f t="shared" si="177"/>
        <v>0</v>
      </c>
      <c r="AN179" s="47">
        <f t="shared" si="177"/>
        <v>0</v>
      </c>
      <c r="AO179" s="47">
        <f t="shared" si="177"/>
        <v>0</v>
      </c>
      <c r="AP179" s="47">
        <f t="shared" si="177"/>
        <v>0</v>
      </c>
      <c r="AQ179" s="47">
        <f t="shared" si="177"/>
        <v>0</v>
      </c>
      <c r="AR179" s="47">
        <f t="shared" si="177"/>
        <v>0</v>
      </c>
      <c r="AS179" s="47">
        <f t="shared" si="177"/>
        <v>0</v>
      </c>
      <c r="AT179" s="47">
        <f t="shared" si="177"/>
        <v>0</v>
      </c>
      <c r="AU179" s="47">
        <f t="shared" si="177"/>
        <v>0</v>
      </c>
      <c r="AV179" s="47">
        <f t="shared" si="177"/>
        <v>0</v>
      </c>
      <c r="AW179" s="47">
        <f t="shared" si="177"/>
        <v>0</v>
      </c>
      <c r="AX179" s="47">
        <f t="shared" si="177"/>
        <v>0</v>
      </c>
      <c r="AY179" s="47">
        <f t="shared" si="177"/>
        <v>0</v>
      </c>
      <c r="AZ179" s="47">
        <f t="shared" si="177"/>
        <v>0</v>
      </c>
      <c r="BA179" s="47">
        <f t="shared" si="177"/>
        <v>0</v>
      </c>
      <c r="BB179" s="47">
        <f t="shared" si="177"/>
        <v>0</v>
      </c>
      <c r="BC179" s="47">
        <f t="shared" si="177"/>
        <v>0</v>
      </c>
      <c r="BD179" s="47">
        <f t="shared" si="177"/>
        <v>0</v>
      </c>
      <c r="BE179" s="47">
        <f t="shared" si="177"/>
        <v>0</v>
      </c>
      <c r="BF179" s="47">
        <f t="shared" si="177"/>
        <v>0</v>
      </c>
      <c r="BG179" s="47">
        <f t="shared" si="177"/>
        <v>0</v>
      </c>
      <c r="BH179" s="47">
        <f t="shared" si="177"/>
        <v>0</v>
      </c>
      <c r="BI179" s="47">
        <f t="shared" si="177"/>
        <v>0</v>
      </c>
      <c r="BJ179" s="47">
        <f t="shared" si="177"/>
        <v>0</v>
      </c>
      <c r="BK179" s="47">
        <f t="shared" si="177"/>
        <v>0</v>
      </c>
      <c r="BL179" s="47">
        <f t="shared" si="177"/>
        <v>0</v>
      </c>
      <c r="BM179" s="47">
        <f t="shared" si="177"/>
        <v>0</v>
      </c>
      <c r="BN179" s="47">
        <f t="shared" si="177"/>
        <v>0</v>
      </c>
      <c r="BO179" s="47">
        <f t="shared" ref="BO179:BX179" si="178">IF(ISNUMBER(BO180),IF(ABS(BO178-BO180)&lt;=0.15,0,ROUND(BO178-BO180,1)),"")</f>
        <v>0</v>
      </c>
      <c r="BP179" s="47">
        <f t="shared" si="178"/>
        <v>0</v>
      </c>
      <c r="BQ179" s="47">
        <f t="shared" si="178"/>
        <v>0</v>
      </c>
      <c r="BR179" s="47">
        <f t="shared" si="178"/>
        <v>0</v>
      </c>
      <c r="BS179" s="47">
        <f t="shared" si="178"/>
        <v>0</v>
      </c>
      <c r="BT179" s="47">
        <f t="shared" si="178"/>
        <v>0</v>
      </c>
      <c r="BU179" s="47">
        <f t="shared" si="178"/>
        <v>0</v>
      </c>
      <c r="BV179" s="47">
        <f t="shared" si="178"/>
        <v>0</v>
      </c>
      <c r="BW179" s="47">
        <f t="shared" si="178"/>
        <v>0</v>
      </c>
      <c r="BX179" s="47">
        <f t="shared" si="178"/>
        <v>0</v>
      </c>
      <c r="BY179" s="6"/>
      <c r="BZ179" s="6"/>
      <c r="CA179" s="6"/>
      <c r="CB179" s="6"/>
      <c r="CC179" s="6"/>
      <c r="CD179" s="6"/>
      <c r="CE179" s="6"/>
      <c r="CF179" s="6"/>
    </row>
    <row r="180" spans="2:89" ht="15" customHeight="1" x14ac:dyDescent="0.25">
      <c r="B180" s="42" t="s">
        <v>332</v>
      </c>
      <c r="C180" s="36">
        <v>245.4</v>
      </c>
      <c r="D180" s="36">
        <v>262.7</v>
      </c>
      <c r="E180" s="36">
        <v>176.3</v>
      </c>
      <c r="F180" s="36">
        <v>85.5</v>
      </c>
      <c r="G180" s="36">
        <v>97</v>
      </c>
      <c r="H180" s="36">
        <v>82.4</v>
      </c>
      <c r="I180" s="36">
        <v>84.5</v>
      </c>
      <c r="J180" s="36">
        <v>-27.8</v>
      </c>
      <c r="K180" s="36">
        <v>41.3</v>
      </c>
      <c r="L180" s="36">
        <v>71.8</v>
      </c>
      <c r="M180" s="36">
        <v>36</v>
      </c>
      <c r="N180" s="36">
        <v>121.3</v>
      </c>
      <c r="O180" s="36">
        <v>-21.6</v>
      </c>
      <c r="P180" s="36">
        <v>59.5</v>
      </c>
      <c r="Q180" s="36">
        <v>53.7</v>
      </c>
      <c r="R180" s="36">
        <v>64</v>
      </c>
      <c r="S180" s="36">
        <v>155.6</v>
      </c>
      <c r="T180" s="36">
        <v>6.1</v>
      </c>
      <c r="U180" s="36">
        <v>81.900000000000006</v>
      </c>
      <c r="V180" s="36">
        <v>117.5</v>
      </c>
      <c r="W180" s="36">
        <v>83.2</v>
      </c>
      <c r="X180" s="36">
        <v>288.8</v>
      </c>
      <c r="Y180" s="36">
        <v>45</v>
      </c>
      <c r="Z180" s="36">
        <v>122.1</v>
      </c>
      <c r="AA180" s="36">
        <v>159.5</v>
      </c>
      <c r="AB180" s="36">
        <v>98.9</v>
      </c>
      <c r="AC180" s="36">
        <v>425.4</v>
      </c>
      <c r="AD180" s="36">
        <v>42.3</v>
      </c>
      <c r="AE180" s="36">
        <v>142.30000000000001</v>
      </c>
      <c r="AF180" s="36">
        <v>151.5</v>
      </c>
      <c r="AG180" s="36">
        <v>377.2</v>
      </c>
      <c r="AH180" s="36">
        <v>713.3</v>
      </c>
      <c r="AI180" s="36">
        <v>10</v>
      </c>
      <c r="AJ180" s="36">
        <v>185.37700000000001</v>
      </c>
      <c r="AK180" s="36">
        <v>180.221</v>
      </c>
      <c r="AL180" s="36">
        <v>94.378</v>
      </c>
      <c r="AM180" s="36">
        <v>469.99799999999999</v>
      </c>
      <c r="AN180" s="36">
        <v>42.853000000000002</v>
      </c>
      <c r="AO180" s="36">
        <v>189.47499999999999</v>
      </c>
      <c r="AP180" s="36">
        <v>248.57300000000001</v>
      </c>
      <c r="AQ180" s="36">
        <v>131.01400000000001</v>
      </c>
      <c r="AR180" s="36">
        <v>611.91499999999996</v>
      </c>
      <c r="AS180" s="36">
        <v>25.9</v>
      </c>
      <c r="AT180" s="36">
        <v>217.6</v>
      </c>
      <c r="AU180" s="36">
        <v>294.39999999999998</v>
      </c>
      <c r="AV180" s="36">
        <v>183</v>
      </c>
      <c r="AW180" s="36">
        <v>721</v>
      </c>
      <c r="AX180" s="36">
        <v>65.3</v>
      </c>
      <c r="AY180" s="36">
        <v>225.8</v>
      </c>
      <c r="AZ180" s="36">
        <v>254.6</v>
      </c>
      <c r="BA180" s="36">
        <v>156.80000000000001</v>
      </c>
      <c r="BB180" s="36">
        <v>702.5</v>
      </c>
      <c r="BC180" s="36">
        <v>21.4</v>
      </c>
      <c r="BD180" s="36">
        <v>366.5</v>
      </c>
      <c r="BE180" s="36">
        <v>295.3</v>
      </c>
      <c r="BF180" s="36">
        <v>183.6</v>
      </c>
      <c r="BG180" s="36">
        <v>866.8</v>
      </c>
      <c r="BH180" s="36">
        <v>121.4</v>
      </c>
      <c r="BI180" s="36">
        <v>348.3</v>
      </c>
      <c r="BJ180" s="36">
        <v>416.7</v>
      </c>
      <c r="BK180" s="36">
        <v>282.5</v>
      </c>
      <c r="BL180" s="36">
        <v>1168.9000000000001</v>
      </c>
      <c r="BM180" s="36">
        <v>1045</v>
      </c>
      <c r="BN180" s="36">
        <v>294</v>
      </c>
      <c r="BO180" s="36">
        <v>363</v>
      </c>
      <c r="BP180" s="36">
        <v>294</v>
      </c>
      <c r="BQ180" s="36">
        <v>1995</v>
      </c>
      <c r="BR180" s="36">
        <v>116</v>
      </c>
      <c r="BS180" s="36">
        <v>328</v>
      </c>
      <c r="BT180" s="36">
        <v>414</v>
      </c>
      <c r="BU180" s="36">
        <v>279</v>
      </c>
      <c r="BV180" s="36">
        <v>1137</v>
      </c>
      <c r="BW180" s="36">
        <v>1513</v>
      </c>
      <c r="BX180" s="36">
        <v>251</v>
      </c>
      <c r="BY180" s="6"/>
      <c r="BZ180" s="6"/>
      <c r="CA180" s="6"/>
      <c r="CB180" s="6"/>
      <c r="CC180" s="6"/>
      <c r="CD180" s="6"/>
      <c r="CE180" s="6"/>
      <c r="CF180" s="6"/>
    </row>
    <row r="181" spans="2:89" ht="15" customHeight="1" x14ac:dyDescent="0.25">
      <c r="B181" s="42" t="s">
        <v>333</v>
      </c>
      <c r="C181" s="47">
        <f t="shared" ref="C181:AH181" si="179">C174-C177</f>
        <v>243.80000000000004</v>
      </c>
      <c r="D181" s="47">
        <f t="shared" si="179"/>
        <v>262.5</v>
      </c>
      <c r="E181" s="47">
        <f t="shared" si="179"/>
        <v>171.49999999999989</v>
      </c>
      <c r="F181" s="47">
        <f t="shared" si="179"/>
        <v>85.199999999999804</v>
      </c>
      <c r="G181" s="47">
        <f t="shared" si="179"/>
        <v>96.8</v>
      </c>
      <c r="H181" s="47">
        <f t="shared" si="179"/>
        <v>78.400000000000006</v>
      </c>
      <c r="I181" s="47">
        <f t="shared" si="179"/>
        <v>84.999999999999858</v>
      </c>
      <c r="J181" s="47">
        <f t="shared" si="179"/>
        <v>-27.699999999999982</v>
      </c>
      <c r="K181" s="47">
        <f t="shared" si="179"/>
        <v>41.000000000000078</v>
      </c>
      <c r="L181" s="47">
        <f t="shared" si="179"/>
        <v>72.099999999999923</v>
      </c>
      <c r="M181" s="47">
        <f t="shared" si="179"/>
        <v>36.299999999999997</v>
      </c>
      <c r="N181" s="47">
        <f t="shared" si="179"/>
        <v>122.10000000000002</v>
      </c>
      <c r="O181" s="47">
        <f t="shared" si="179"/>
        <v>-21.599999999999991</v>
      </c>
      <c r="P181" s="47">
        <f t="shared" si="179"/>
        <v>59.600000000000023</v>
      </c>
      <c r="Q181" s="47">
        <f t="shared" si="179"/>
        <v>53.800000000000026</v>
      </c>
      <c r="R181" s="47">
        <f t="shared" si="179"/>
        <v>63.899999999999949</v>
      </c>
      <c r="S181" s="47">
        <f t="shared" si="179"/>
        <v>155.60000000000016</v>
      </c>
      <c r="T181" s="47">
        <f t="shared" si="179"/>
        <v>6.0999999999999508</v>
      </c>
      <c r="U181" s="47">
        <f t="shared" si="179"/>
        <v>81.89999999999992</v>
      </c>
      <c r="V181" s="47">
        <f t="shared" si="179"/>
        <v>117.5</v>
      </c>
      <c r="W181" s="47">
        <f t="shared" si="179"/>
        <v>83.20000000000006</v>
      </c>
      <c r="X181" s="47">
        <f t="shared" si="179"/>
        <v>288.79999999999973</v>
      </c>
      <c r="Y181" s="47">
        <f t="shared" si="179"/>
        <v>44.999999999999893</v>
      </c>
      <c r="Z181" s="47">
        <f t="shared" si="179"/>
        <v>122.09999999999991</v>
      </c>
      <c r="AA181" s="47">
        <f t="shared" si="179"/>
        <v>159.50000000000011</v>
      </c>
      <c r="AB181" s="47">
        <f t="shared" si="179"/>
        <v>98.899999999999864</v>
      </c>
      <c r="AC181" s="47">
        <f t="shared" si="179"/>
        <v>425.39999999999986</v>
      </c>
      <c r="AD181" s="47">
        <f t="shared" si="179"/>
        <v>42.300000000000018</v>
      </c>
      <c r="AE181" s="47">
        <f t="shared" si="179"/>
        <v>142.30000000000001</v>
      </c>
      <c r="AF181" s="47">
        <f t="shared" si="179"/>
        <v>151.50000000000006</v>
      </c>
      <c r="AG181" s="47">
        <f t="shared" si="179"/>
        <v>377.19999999999993</v>
      </c>
      <c r="AH181" s="47">
        <f t="shared" si="179"/>
        <v>713.30000000000007</v>
      </c>
      <c r="AI181" s="47">
        <f t="shared" ref="AI181:BN181" si="180">AI174-AI177</f>
        <v>9.9999999999999787</v>
      </c>
      <c r="AJ181" s="47">
        <f t="shared" si="180"/>
        <v>185.37700000000004</v>
      </c>
      <c r="AK181" s="47">
        <f t="shared" si="180"/>
        <v>180.22100000000012</v>
      </c>
      <c r="AL181" s="47">
        <f t="shared" si="180"/>
        <v>94.378</v>
      </c>
      <c r="AM181" s="47">
        <f t="shared" si="180"/>
        <v>469.99800000000027</v>
      </c>
      <c r="AN181" s="47">
        <f t="shared" si="180"/>
        <v>42.826000000000029</v>
      </c>
      <c r="AO181" s="47">
        <f t="shared" si="180"/>
        <v>189.46900000000005</v>
      </c>
      <c r="AP181" s="47">
        <f t="shared" si="180"/>
        <v>248.62200000000013</v>
      </c>
      <c r="AQ181" s="47">
        <f t="shared" si="180"/>
        <v>131.0140000000001</v>
      </c>
      <c r="AR181" s="47">
        <f t="shared" si="180"/>
        <v>611.91500000000008</v>
      </c>
      <c r="AS181" s="47">
        <f t="shared" si="180"/>
        <v>25.900000000000087</v>
      </c>
      <c r="AT181" s="47">
        <f t="shared" si="180"/>
        <v>217.59999999999994</v>
      </c>
      <c r="AU181" s="47">
        <f t="shared" si="180"/>
        <v>294.40000000000015</v>
      </c>
      <c r="AV181" s="47">
        <f t="shared" si="180"/>
        <v>182.99999999999986</v>
      </c>
      <c r="AW181" s="47">
        <f t="shared" si="180"/>
        <v>720.99999999999966</v>
      </c>
      <c r="AX181" s="47">
        <f t="shared" si="180"/>
        <v>65.299999999999912</v>
      </c>
      <c r="AY181" s="47">
        <f t="shared" si="180"/>
        <v>225.80000000000013</v>
      </c>
      <c r="AZ181" s="47">
        <f t="shared" si="180"/>
        <v>254.59999999999988</v>
      </c>
      <c r="BA181" s="47">
        <f t="shared" si="180"/>
        <v>156.30000000000004</v>
      </c>
      <c r="BB181" s="47">
        <f t="shared" si="180"/>
        <v>702.00000000000023</v>
      </c>
      <c r="BC181" s="47">
        <f t="shared" si="180"/>
        <v>24.499999999999915</v>
      </c>
      <c r="BD181" s="47">
        <f t="shared" si="180"/>
        <v>353.20000000000005</v>
      </c>
      <c r="BE181" s="47">
        <f t="shared" si="180"/>
        <v>291.2</v>
      </c>
      <c r="BF181" s="47">
        <f t="shared" si="180"/>
        <v>187.40000000000009</v>
      </c>
      <c r="BG181" s="47">
        <f t="shared" si="180"/>
        <v>856.30000000000018</v>
      </c>
      <c r="BH181" s="47">
        <f t="shared" si="180"/>
        <v>134.29999999999993</v>
      </c>
      <c r="BI181" s="47">
        <f t="shared" si="180"/>
        <v>347.59999999999985</v>
      </c>
      <c r="BJ181" s="47">
        <f t="shared" si="180"/>
        <v>430.30000000000007</v>
      </c>
      <c r="BK181" s="47">
        <f t="shared" si="180"/>
        <v>287.69999999999993</v>
      </c>
      <c r="BL181" s="47">
        <f t="shared" si="180"/>
        <v>1199.7999999999995</v>
      </c>
      <c r="BM181" s="47">
        <f t="shared" si="180"/>
        <v>1045</v>
      </c>
      <c r="BN181" s="47">
        <f t="shared" si="180"/>
        <v>294</v>
      </c>
      <c r="BO181" s="47">
        <f t="shared" ref="BO181:CE181" si="181">BO174-BO177</f>
        <v>363</v>
      </c>
      <c r="BP181" s="47">
        <f t="shared" si="181"/>
        <v>294</v>
      </c>
      <c r="BQ181" s="47">
        <f t="shared" si="181"/>
        <v>1995</v>
      </c>
      <c r="BR181" s="47">
        <f t="shared" si="181"/>
        <v>104</v>
      </c>
      <c r="BS181" s="47">
        <f t="shared" si="181"/>
        <v>292</v>
      </c>
      <c r="BT181" s="47">
        <f t="shared" si="181"/>
        <v>361</v>
      </c>
      <c r="BU181" s="47">
        <f t="shared" si="181"/>
        <v>233</v>
      </c>
      <c r="BV181" s="47">
        <f t="shared" si="181"/>
        <v>990</v>
      </c>
      <c r="BW181" s="47">
        <f t="shared" si="181"/>
        <v>79</v>
      </c>
      <c r="BX181" s="47">
        <f t="shared" si="181"/>
        <v>256</v>
      </c>
      <c r="BY181" s="37">
        <f t="shared" si="181"/>
        <v>333.00222352428591</v>
      </c>
      <c r="BZ181" s="37">
        <f t="shared" si="181"/>
        <v>228.25423982247494</v>
      </c>
      <c r="CA181" s="37">
        <f t="shared" si="181"/>
        <v>896.25646334676003</v>
      </c>
      <c r="CB181" s="37">
        <f t="shared" si="181"/>
        <v>1290.8191379330897</v>
      </c>
      <c r="CC181" s="37">
        <f t="shared" si="181"/>
        <v>1695.1230910099953</v>
      </c>
      <c r="CD181" s="37">
        <f t="shared" si="181"/>
        <v>2044.3650536735167</v>
      </c>
      <c r="CE181" s="37">
        <f t="shared" si="181"/>
        <v>2368.8409653213325</v>
      </c>
      <c r="CF181" s="6"/>
    </row>
    <row r="182" spans="2:89" ht="15" customHeight="1" x14ac:dyDescent="0.25">
      <c r="B182" s="42" t="s">
        <v>334</v>
      </c>
      <c r="C182" s="36">
        <v>141.429</v>
      </c>
      <c r="D182" s="36">
        <v>150.33799999999999</v>
      </c>
      <c r="E182" s="36">
        <v>171.12899999999999</v>
      </c>
      <c r="F182" s="36">
        <v>179.39099999999999</v>
      </c>
      <c r="G182" s="36">
        <v>181.53700000000001</v>
      </c>
      <c r="H182" s="36">
        <v>173.40700000000001</v>
      </c>
      <c r="I182" s="36">
        <v>177.21100000000001</v>
      </c>
      <c r="J182" s="36">
        <v>43.042999999999999</v>
      </c>
      <c r="K182" s="36">
        <v>42.948999999999998</v>
      </c>
      <c r="L182" s="36">
        <v>44.104999999999997</v>
      </c>
      <c r="M182" s="36">
        <v>43.664000000000001</v>
      </c>
      <c r="N182" s="36">
        <v>173.761</v>
      </c>
      <c r="O182" s="36">
        <v>42.466000000000001</v>
      </c>
      <c r="P182" s="36">
        <v>43.680999999999997</v>
      </c>
      <c r="Q182" s="36">
        <v>67.932000000000002</v>
      </c>
      <c r="R182" s="36">
        <v>68.667000000000002</v>
      </c>
      <c r="S182" s="36">
        <v>222.74600000000001</v>
      </c>
      <c r="T182" s="36">
        <v>67.268000000000001</v>
      </c>
      <c r="U182" s="36">
        <v>67.69</v>
      </c>
      <c r="V182" s="36">
        <v>64.977000000000004</v>
      </c>
      <c r="W182" s="36">
        <v>63.652000000000001</v>
      </c>
      <c r="X182" s="36">
        <v>263.58699999999999</v>
      </c>
      <c r="Y182" s="36">
        <v>68.41</v>
      </c>
      <c r="Z182" s="36">
        <v>71.206999999999994</v>
      </c>
      <c r="AA182" s="36">
        <v>72.38</v>
      </c>
      <c r="AB182" s="36">
        <v>73.256</v>
      </c>
      <c r="AC182" s="36">
        <v>285.25299999999999</v>
      </c>
      <c r="AD182" s="36">
        <v>70.376000000000005</v>
      </c>
      <c r="AE182" s="36">
        <v>75.725999999999999</v>
      </c>
      <c r="AF182" s="36">
        <v>75.316000000000003</v>
      </c>
      <c r="AG182" s="36">
        <v>75.744</v>
      </c>
      <c r="AH182" s="36">
        <v>297.16199999999998</v>
      </c>
      <c r="AI182" s="36">
        <v>76.820999999999998</v>
      </c>
      <c r="AJ182" s="36">
        <v>86.724000000000004</v>
      </c>
      <c r="AK182" s="36">
        <v>89.655000000000001</v>
      </c>
      <c r="AL182" s="36">
        <v>90.832999999999998</v>
      </c>
      <c r="AM182" s="36">
        <v>344.03300000000002</v>
      </c>
      <c r="AN182" s="36">
        <v>89.210999999999999</v>
      </c>
      <c r="AO182" s="36">
        <v>92.775000000000006</v>
      </c>
      <c r="AP182" s="36">
        <v>94.988</v>
      </c>
      <c r="AQ182" s="36">
        <v>94.525999999999996</v>
      </c>
      <c r="AR182" s="36">
        <v>371.5</v>
      </c>
      <c r="AS182" s="36">
        <v>95</v>
      </c>
      <c r="AT182" s="36">
        <v>98.4</v>
      </c>
      <c r="AU182" s="36">
        <v>98.8</v>
      </c>
      <c r="AV182" s="36">
        <v>101.3</v>
      </c>
      <c r="AW182" s="36">
        <v>393.5</v>
      </c>
      <c r="AX182" s="36">
        <v>98.6</v>
      </c>
      <c r="AY182" s="36">
        <v>107.9</v>
      </c>
      <c r="AZ182" s="36">
        <v>113.5</v>
      </c>
      <c r="BA182" s="36">
        <v>131.69999999999999</v>
      </c>
      <c r="BB182" s="36">
        <v>451.7</v>
      </c>
      <c r="BC182" s="36">
        <v>128.19999999999999</v>
      </c>
      <c r="BD182" s="36">
        <v>128.4</v>
      </c>
      <c r="BE182" s="36">
        <v>123.7</v>
      </c>
      <c r="BF182" s="36">
        <v>125.7</v>
      </c>
      <c r="BG182" s="36">
        <v>506</v>
      </c>
      <c r="BH182" s="36">
        <v>123.6</v>
      </c>
      <c r="BI182" s="36">
        <v>129.5</v>
      </c>
      <c r="BJ182" s="36">
        <v>131.5</v>
      </c>
      <c r="BK182" s="36">
        <v>128.6</v>
      </c>
      <c r="BL182" s="36">
        <v>513.20000000000005</v>
      </c>
      <c r="BM182" s="36">
        <v>130</v>
      </c>
      <c r="BN182" s="36">
        <v>142</v>
      </c>
      <c r="BO182" s="36">
        <v>152</v>
      </c>
      <c r="BP182" s="36">
        <v>149</v>
      </c>
      <c r="BQ182" s="36">
        <v>573</v>
      </c>
      <c r="BR182" s="36">
        <v>154</v>
      </c>
      <c r="BS182" s="36">
        <v>167</v>
      </c>
      <c r="BT182" s="36">
        <v>159</v>
      </c>
      <c r="BU182" s="36">
        <v>157</v>
      </c>
      <c r="BV182" s="36">
        <v>637</v>
      </c>
      <c r="BW182" s="36">
        <v>167</v>
      </c>
      <c r="BX182" s="36">
        <v>204</v>
      </c>
      <c r="BY182" s="37">
        <f>BY152+N(BY83)+N(BY77)+N(BY106)</f>
        <v>268.05903445594669</v>
      </c>
      <c r="BZ182" s="37">
        <f>BZ152+N(BZ83)+N(BZ77)+N(BZ106)</f>
        <v>332.19344316944131</v>
      </c>
      <c r="CA182" s="37">
        <f>SUM(BW182,BX182,BY182,BZ182)</f>
        <v>971.25247762538788</v>
      </c>
      <c r="CB182" s="37">
        <f>CB152+N(CB83)+N(CB77)+N(CB106)</f>
        <v>1330.6005222719286</v>
      </c>
      <c r="CC182" s="37">
        <f>CC152+N(CC83)+N(CC77)+N(CC106)</f>
        <v>1411.3951897843349</v>
      </c>
      <c r="CD182" s="37">
        <f>CD152+N(CD83)+N(CD77)+N(CD106)</f>
        <v>1505.4800539465443</v>
      </c>
      <c r="CE182" s="37">
        <f>CE152+N(CE83)+N(CE77)+N(CE106)</f>
        <v>1610.9464498195753</v>
      </c>
      <c r="CF182" s="20" t="s">
        <v>335</v>
      </c>
    </row>
    <row r="183" spans="2:89" ht="15" customHeight="1" x14ac:dyDescent="0.25">
      <c r="B183" s="42" t="s">
        <v>336</v>
      </c>
      <c r="C183" s="36">
        <v>13.438000000000001</v>
      </c>
      <c r="D183" s="36">
        <v>19.687000000000001</v>
      </c>
      <c r="E183" s="36">
        <v>21.864999999999998</v>
      </c>
      <c r="F183" s="36">
        <v>20.552</v>
      </c>
      <c r="G183" s="36">
        <v>14.675000000000001</v>
      </c>
      <c r="H183" s="36">
        <v>11.522</v>
      </c>
      <c r="I183" s="36">
        <v>7.7809999999999997</v>
      </c>
      <c r="J183" s="36">
        <v>1.2450000000000001</v>
      </c>
      <c r="K183" s="36">
        <v>2.7360000000000002</v>
      </c>
      <c r="L183" s="36">
        <v>1.427</v>
      </c>
      <c r="M183" s="36">
        <v>1.6</v>
      </c>
      <c r="N183" s="36">
        <v>7.008</v>
      </c>
      <c r="O183" s="36">
        <v>1.409</v>
      </c>
      <c r="P183" s="36">
        <v>2.9609999999999999</v>
      </c>
      <c r="Q183" s="36">
        <v>2.0110000000000001</v>
      </c>
      <c r="R183" s="36">
        <v>2.6120000000000001</v>
      </c>
      <c r="S183" s="36">
        <v>8.9930000000000003</v>
      </c>
      <c r="T183" s="36">
        <v>2.907</v>
      </c>
      <c r="U183" s="36">
        <v>4.617</v>
      </c>
      <c r="V183" s="36">
        <v>3.198</v>
      </c>
      <c r="W183" s="36">
        <v>2.867</v>
      </c>
      <c r="X183" s="36">
        <v>13.589</v>
      </c>
      <c r="Y183" s="36">
        <v>7.2279999999999998</v>
      </c>
      <c r="Z183" s="36">
        <v>5.5730000000000004</v>
      </c>
      <c r="AA183" s="36">
        <v>4.3659999999999997</v>
      </c>
      <c r="AB183" s="36">
        <v>3.3140000000000001</v>
      </c>
      <c r="AC183" s="36">
        <v>20.481000000000002</v>
      </c>
      <c r="AD183" s="36">
        <v>10.275</v>
      </c>
      <c r="AE183" s="36">
        <v>7.452</v>
      </c>
      <c r="AF183" s="36">
        <v>5.9710000000000001</v>
      </c>
      <c r="AG183" s="36">
        <v>6.7619999999999996</v>
      </c>
      <c r="AH183" s="36">
        <v>30.46</v>
      </c>
      <c r="AI183" s="36">
        <v>9.76</v>
      </c>
      <c r="AJ183" s="36">
        <v>7.3380000000000001</v>
      </c>
      <c r="AK183" s="36">
        <v>5.9859999999999998</v>
      </c>
      <c r="AL183" s="36">
        <v>6.1689999999999996</v>
      </c>
      <c r="AM183" s="36">
        <v>29.253</v>
      </c>
      <c r="AN183" s="36">
        <v>13.552</v>
      </c>
      <c r="AO183" s="36">
        <v>8.6980000000000004</v>
      </c>
      <c r="AP183" s="36">
        <v>6.1639999999999997</v>
      </c>
      <c r="AQ183" s="36">
        <v>5.6859999999999999</v>
      </c>
      <c r="AR183" s="36">
        <v>34.1</v>
      </c>
      <c r="AS183" s="36">
        <v>12.5</v>
      </c>
      <c r="AT183" s="36">
        <v>7.2</v>
      </c>
      <c r="AU183" s="36">
        <v>2.7</v>
      </c>
      <c r="AV183" s="36">
        <v>7.6</v>
      </c>
      <c r="AW183" s="36">
        <v>30</v>
      </c>
      <c r="AX183" s="36">
        <v>10.9</v>
      </c>
      <c r="AY183" s="36">
        <v>9.9</v>
      </c>
      <c r="AZ183" s="36">
        <v>12.2</v>
      </c>
      <c r="BA183" s="36">
        <v>10</v>
      </c>
      <c r="BB183" s="36">
        <v>43</v>
      </c>
      <c r="BC183" s="36">
        <v>12</v>
      </c>
      <c r="BD183" s="36">
        <v>12.5</v>
      </c>
      <c r="BE183" s="36">
        <v>9.8000000000000007</v>
      </c>
      <c r="BF183" s="36">
        <v>8.4000000000000092</v>
      </c>
      <c r="BG183" s="36">
        <v>42.7</v>
      </c>
      <c r="BH183" s="36">
        <v>13.7</v>
      </c>
      <c r="BI183" s="36">
        <v>14</v>
      </c>
      <c r="BJ183" s="36">
        <v>11.3</v>
      </c>
      <c r="BK183" s="36">
        <v>11</v>
      </c>
      <c r="BL183" s="36">
        <v>50</v>
      </c>
      <c r="BM183" s="36">
        <v>15</v>
      </c>
      <c r="BN183" s="36">
        <v>18</v>
      </c>
      <c r="BO183" s="36">
        <v>15</v>
      </c>
      <c r="BP183" s="36">
        <v>10</v>
      </c>
      <c r="BQ183" s="36">
        <v>58</v>
      </c>
      <c r="BR183" s="36">
        <v>31</v>
      </c>
      <c r="BS183" s="36">
        <v>6</v>
      </c>
      <c r="BT183" s="36">
        <v>5</v>
      </c>
      <c r="BU183" s="36">
        <v>4</v>
      </c>
      <c r="BV183" s="36">
        <v>46</v>
      </c>
      <c r="BW183" s="36">
        <v>31</v>
      </c>
      <c r="BX183" s="36">
        <v>10</v>
      </c>
      <c r="BY183" s="37">
        <f>BY158*BY155</f>
        <v>29.573281933086712</v>
      </c>
      <c r="BZ183" s="37">
        <f>BZ158*BZ155</f>
        <v>28.171899933351874</v>
      </c>
      <c r="CA183" s="37">
        <f>SUM(BW183,BX183,BY183,BZ183)</f>
        <v>98.7451818664386</v>
      </c>
      <c r="CB183" s="37">
        <f>CB158*CB155</f>
        <v>68.717733328346128</v>
      </c>
      <c r="CC183" s="37">
        <f>CC158*CC155</f>
        <v>74.217430508021025</v>
      </c>
      <c r="CD183" s="37">
        <f>CD158*CD155</f>
        <v>80.455400314397735</v>
      </c>
      <c r="CE183" s="37">
        <f>CE158*CE155</f>
        <v>87.400402911437041</v>
      </c>
      <c r="CF183" s="6"/>
    </row>
    <row r="184" spans="2:89" ht="15" customHeight="1" x14ac:dyDescent="0.25">
      <c r="B184" s="26" t="s">
        <v>337</v>
      </c>
      <c r="CF184" s="6"/>
    </row>
    <row r="185" spans="2:89" ht="15" customHeight="1" x14ac:dyDescent="0.25">
      <c r="B185" s="26" t="s">
        <v>338</v>
      </c>
      <c r="C185" s="48">
        <v>45.5</v>
      </c>
      <c r="D185" s="48">
        <v>42.7</v>
      </c>
      <c r="E185" s="48">
        <v>41.4</v>
      </c>
      <c r="F185" s="48">
        <v>44</v>
      </c>
      <c r="G185" s="48">
        <v>45.5</v>
      </c>
      <c r="H185" s="48">
        <v>45.7</v>
      </c>
      <c r="I185" s="48">
        <v>45.8</v>
      </c>
      <c r="J185" s="48">
        <v>46</v>
      </c>
      <c r="K185" s="48">
        <v>46.1</v>
      </c>
      <c r="L185" s="48">
        <v>46.2</v>
      </c>
      <c r="M185" s="48">
        <v>46.3</v>
      </c>
      <c r="N185" s="48">
        <v>46.2</v>
      </c>
      <c r="O185" s="48">
        <v>46.3</v>
      </c>
      <c r="P185" s="48">
        <v>46.4</v>
      </c>
      <c r="Q185" s="48">
        <v>67.099999999999994</v>
      </c>
      <c r="R185" s="48">
        <v>67.3</v>
      </c>
      <c r="S185" s="48">
        <v>56.9</v>
      </c>
      <c r="T185" s="48">
        <v>67.400000000000006</v>
      </c>
      <c r="U185" s="48">
        <v>67.400000000000006</v>
      </c>
      <c r="V185" s="48">
        <v>66.8</v>
      </c>
      <c r="W185" s="48">
        <v>65.5</v>
      </c>
      <c r="X185" s="48">
        <v>66.8</v>
      </c>
      <c r="Y185" s="48">
        <v>64.2</v>
      </c>
      <c r="Z185" s="48">
        <v>63.5</v>
      </c>
      <c r="AA185" s="48">
        <v>63.5</v>
      </c>
      <c r="AB185" s="48">
        <v>63.3</v>
      </c>
      <c r="AC185" s="48">
        <v>63.6</v>
      </c>
      <c r="AD185" s="48">
        <v>63</v>
      </c>
      <c r="AE185" s="48">
        <v>62.9</v>
      </c>
      <c r="AF185" s="48">
        <v>62.9</v>
      </c>
      <c r="AG185" s="48">
        <v>62.9</v>
      </c>
      <c r="AH185" s="48">
        <v>62.9</v>
      </c>
      <c r="AI185" s="48">
        <v>63</v>
      </c>
      <c r="AJ185" s="48">
        <v>63.021000000000001</v>
      </c>
      <c r="AK185" s="48">
        <v>62.932000000000002</v>
      </c>
      <c r="AL185" s="48">
        <v>62.671999999999997</v>
      </c>
      <c r="AM185" s="48">
        <v>62.895000000000003</v>
      </c>
      <c r="AN185" s="48">
        <v>62.584000000000003</v>
      </c>
      <c r="AO185" s="48">
        <v>62.563000000000002</v>
      </c>
      <c r="AP185" s="48">
        <v>62.51</v>
      </c>
      <c r="AQ185" s="48">
        <v>62.456000000000003</v>
      </c>
      <c r="AR185" s="48">
        <v>62.527999999999999</v>
      </c>
      <c r="AS185" s="48">
        <v>62.3</v>
      </c>
      <c r="AT185" s="48">
        <v>62.3</v>
      </c>
      <c r="AU185" s="48">
        <v>62.3</v>
      </c>
      <c r="AV185" s="48">
        <v>62.3</v>
      </c>
      <c r="AW185" s="48">
        <v>62.3</v>
      </c>
      <c r="AX185" s="48">
        <v>62.3</v>
      </c>
      <c r="AY185" s="48">
        <v>62.4</v>
      </c>
      <c r="AZ185" s="48">
        <v>62.4</v>
      </c>
      <c r="BA185" s="48">
        <v>62.4</v>
      </c>
      <c r="BB185" s="48">
        <v>62.4</v>
      </c>
      <c r="BC185" s="48">
        <v>62.4</v>
      </c>
      <c r="BD185" s="48">
        <v>62.4</v>
      </c>
      <c r="BE185" s="48">
        <v>62.3</v>
      </c>
      <c r="BF185" s="48">
        <v>62.1</v>
      </c>
      <c r="BG185" s="48">
        <v>62.3</v>
      </c>
      <c r="BH185" s="48">
        <v>62.1</v>
      </c>
      <c r="BI185" s="48">
        <v>61.9</v>
      </c>
      <c r="BJ185" s="48">
        <v>61.8</v>
      </c>
      <c r="BK185" s="48">
        <v>61.8</v>
      </c>
      <c r="BL185" s="48">
        <v>61.9</v>
      </c>
      <c r="BM185" s="48">
        <v>61.8</v>
      </c>
      <c r="BN185" s="48">
        <v>61.5</v>
      </c>
      <c r="BO185" s="48">
        <v>61.1</v>
      </c>
      <c r="BP185" s="48">
        <v>61.1</v>
      </c>
      <c r="BQ185" s="48">
        <v>61.4</v>
      </c>
      <c r="BR185" s="48">
        <v>60.9</v>
      </c>
      <c r="BS185" s="48">
        <v>60.3</v>
      </c>
      <c r="BT185" s="48">
        <v>60.3</v>
      </c>
      <c r="BU185" s="48">
        <v>60.3</v>
      </c>
      <c r="BV185" s="48">
        <v>60.5</v>
      </c>
      <c r="BW185" s="48">
        <v>60.3</v>
      </c>
      <c r="BX185" s="48">
        <v>60.1</v>
      </c>
      <c r="BY185" s="63">
        <f>$BX$185+$CA$356*BY71/92-CA292*0.25</f>
        <v>64.981470250000001</v>
      </c>
      <c r="BZ185" s="63">
        <f>$BX$185+$CA$356-CA292*0.75</f>
        <v>71.053543000000005</v>
      </c>
      <c r="CA185" s="63">
        <f>AVERAGE(BW185,BX185,BY185,BZ185)</f>
        <v>64.108753312499999</v>
      </c>
      <c r="CB185" s="63">
        <f>AVERAGE(CB294,CB295)</f>
        <v>71.179401999999996</v>
      </c>
      <c r="CC185" s="63">
        <f>AVERAGE(CC294,CC295)</f>
        <v>71.329402000000002</v>
      </c>
      <c r="CD185" s="63">
        <f>AVERAGE(CD294,CD295)</f>
        <v>70.070796168040488</v>
      </c>
      <c r="CE185" s="63">
        <f>AVERAGE(CE294,CE295)</f>
        <v>66.693308619719474</v>
      </c>
      <c r="CF185" s="20" t="s">
        <v>339</v>
      </c>
    </row>
    <row r="186" spans="2:89" ht="15" customHeight="1" x14ac:dyDescent="0.25">
      <c r="B186" s="26" t="s">
        <v>340</v>
      </c>
      <c r="C186" s="48">
        <v>46.4</v>
      </c>
      <c r="D186" s="48">
        <v>43.3</v>
      </c>
      <c r="E186" s="48">
        <v>42</v>
      </c>
      <c r="F186" s="48">
        <v>44.2</v>
      </c>
      <c r="G186" s="48">
        <v>45.7</v>
      </c>
      <c r="H186" s="48">
        <v>45.8</v>
      </c>
      <c r="I186" s="48">
        <v>46</v>
      </c>
      <c r="J186" s="48">
        <v>46</v>
      </c>
      <c r="K186" s="48">
        <v>46.3</v>
      </c>
      <c r="L186" s="48">
        <v>46.3</v>
      </c>
      <c r="M186" s="48">
        <v>46.4</v>
      </c>
      <c r="N186" s="48">
        <v>46.3</v>
      </c>
      <c r="O186" s="48">
        <v>46.3</v>
      </c>
      <c r="P186" s="48">
        <v>46.5</v>
      </c>
      <c r="Q186" s="48">
        <v>67.5</v>
      </c>
      <c r="R186" s="48">
        <v>67.599999999999994</v>
      </c>
      <c r="S186" s="48">
        <v>57.1</v>
      </c>
      <c r="T186" s="48">
        <v>67.7</v>
      </c>
      <c r="U186" s="48">
        <v>67.599999999999994</v>
      </c>
      <c r="V186" s="48">
        <v>67.099999999999994</v>
      </c>
      <c r="W186" s="48">
        <v>65.7</v>
      </c>
      <c r="X186" s="48">
        <v>67</v>
      </c>
      <c r="Y186" s="48">
        <v>64.400000000000006</v>
      </c>
      <c r="Z186" s="48">
        <v>63.8</v>
      </c>
      <c r="AA186" s="48">
        <v>63.7</v>
      </c>
      <c r="AB186" s="48">
        <v>63.5</v>
      </c>
      <c r="AC186" s="48">
        <v>63.9</v>
      </c>
      <c r="AD186" s="48">
        <v>63.3</v>
      </c>
      <c r="AE186" s="48">
        <v>63.1</v>
      </c>
      <c r="AF186" s="48">
        <v>63.2</v>
      </c>
      <c r="AG186" s="48">
        <v>63.2</v>
      </c>
      <c r="AH186" s="48">
        <v>63.2</v>
      </c>
      <c r="AI186" s="48">
        <v>63.2</v>
      </c>
      <c r="AJ186" s="48">
        <v>63.284999999999997</v>
      </c>
      <c r="AK186" s="48">
        <v>63.167000000000002</v>
      </c>
      <c r="AL186" s="48">
        <v>62.917999999999999</v>
      </c>
      <c r="AM186" s="48">
        <v>63.146999999999998</v>
      </c>
      <c r="AN186" s="48">
        <v>62.777000000000001</v>
      </c>
      <c r="AO186" s="48">
        <v>62.72</v>
      </c>
      <c r="AP186" s="48">
        <v>62.679000000000002</v>
      </c>
      <c r="AQ186" s="48">
        <v>62.667000000000002</v>
      </c>
      <c r="AR186" s="48">
        <v>62.71</v>
      </c>
      <c r="AS186" s="48">
        <v>62.5</v>
      </c>
      <c r="AT186" s="48">
        <v>62.3</v>
      </c>
      <c r="AU186" s="48">
        <v>62.4</v>
      </c>
      <c r="AV186" s="48">
        <v>62.5</v>
      </c>
      <c r="AW186" s="48">
        <v>62.4</v>
      </c>
      <c r="AX186" s="48">
        <v>62.5</v>
      </c>
      <c r="AY186" s="48">
        <v>62.5</v>
      </c>
      <c r="AZ186" s="48">
        <v>62.6</v>
      </c>
      <c r="BA186" s="48">
        <v>62.7</v>
      </c>
      <c r="BB186" s="48">
        <v>62.6</v>
      </c>
      <c r="BC186" s="48">
        <v>62.6</v>
      </c>
      <c r="BD186" s="48">
        <v>62.5</v>
      </c>
      <c r="BE186" s="48">
        <v>62.5</v>
      </c>
      <c r="BF186" s="48">
        <v>62.3</v>
      </c>
      <c r="BG186" s="48">
        <v>62.5</v>
      </c>
      <c r="BH186" s="48">
        <v>62.2</v>
      </c>
      <c r="BI186" s="48">
        <v>62.1</v>
      </c>
      <c r="BJ186" s="48">
        <v>62</v>
      </c>
      <c r="BK186" s="48">
        <v>62</v>
      </c>
      <c r="BL186" s="48">
        <v>62.1</v>
      </c>
      <c r="BM186" s="48">
        <v>62</v>
      </c>
      <c r="BN186" s="48">
        <v>61.6</v>
      </c>
      <c r="BO186" s="48">
        <v>61.3</v>
      </c>
      <c r="BP186" s="48">
        <v>61.3</v>
      </c>
      <c r="BQ186" s="48">
        <v>61.6</v>
      </c>
      <c r="BR186" s="48">
        <v>61</v>
      </c>
      <c r="BS186" s="48">
        <v>60.4</v>
      </c>
      <c r="BT186" s="48">
        <v>60.4</v>
      </c>
      <c r="BU186" s="48">
        <v>60.5</v>
      </c>
      <c r="BV186" s="48">
        <v>60.6</v>
      </c>
      <c r="BW186" s="48">
        <v>60.4</v>
      </c>
      <c r="BX186" s="48">
        <v>60.2</v>
      </c>
      <c r="BY186" s="63">
        <f>BY185+($BX$186-$BX$185)</f>
        <v>65.081470249999995</v>
      </c>
      <c r="BZ186" s="63">
        <f>BZ185+($BX$186-$BX$185)</f>
        <v>71.153543000000013</v>
      </c>
      <c r="CA186" s="63">
        <f>AVERAGE(BW186,BX186,BY186,BZ186)</f>
        <v>64.208753312499994</v>
      </c>
      <c r="CB186" s="63">
        <f>CB185+CB375</f>
        <v>71.329402000000002</v>
      </c>
      <c r="CC186" s="63">
        <f>CC185+CC375</f>
        <v>71.479402000000007</v>
      </c>
      <c r="CD186" s="63">
        <f>CD185+CD375</f>
        <v>70.220796168040494</v>
      </c>
      <c r="CE186" s="63">
        <f>CE185+CE375</f>
        <v>66.84330861971948</v>
      </c>
      <c r="CF186" s="6"/>
    </row>
    <row r="187" spans="2:89" ht="15" customHeight="1" x14ac:dyDescent="0.25">
      <c r="B187" s="26" t="s">
        <v>341</v>
      </c>
      <c r="C187" s="40">
        <f t="shared" ref="C187:AH187" si="182">IF(AND(ISNUMBER(C178),ISNUMBER(C185)),IFERROR(C178/C185,""),"")</f>
        <v>5.3934065934065938</v>
      </c>
      <c r="D187" s="40">
        <f t="shared" si="182"/>
        <v>6.1522248243559714</v>
      </c>
      <c r="E187" s="40">
        <f t="shared" si="182"/>
        <v>4.2584541062801913</v>
      </c>
      <c r="F187" s="40">
        <f t="shared" si="182"/>
        <v>1.9431818181818137</v>
      </c>
      <c r="G187" s="40">
        <f t="shared" si="182"/>
        <v>2.1318681318681318</v>
      </c>
      <c r="H187" s="40">
        <f t="shared" si="182"/>
        <v>1.8030634573304158</v>
      </c>
      <c r="I187" s="40">
        <f t="shared" si="182"/>
        <v>1.8449781659388615</v>
      </c>
      <c r="J187" s="40">
        <f t="shared" si="182"/>
        <v>-0.60434782608695614</v>
      </c>
      <c r="K187" s="40">
        <f t="shared" si="182"/>
        <v>0.89587852494577169</v>
      </c>
      <c r="L187" s="40">
        <f t="shared" si="182"/>
        <v>1.5541125541125524</v>
      </c>
      <c r="M187" s="40">
        <f t="shared" si="182"/>
        <v>0.77753779697624192</v>
      </c>
      <c r="N187" s="40">
        <f t="shared" si="182"/>
        <v>2.6255411255411261</v>
      </c>
      <c r="O187" s="40">
        <f t="shared" si="182"/>
        <v>-0.46652267818574494</v>
      </c>
      <c r="P187" s="40">
        <f t="shared" si="182"/>
        <v>1.282327586206897</v>
      </c>
      <c r="Q187" s="40">
        <f t="shared" si="182"/>
        <v>0.80029806259314495</v>
      </c>
      <c r="R187" s="40">
        <f t="shared" si="182"/>
        <v>0.95096582466567536</v>
      </c>
      <c r="S187" s="40">
        <f t="shared" si="182"/>
        <v>2.7346221441124809</v>
      </c>
      <c r="T187" s="40">
        <f t="shared" si="182"/>
        <v>9.0504451038574935E-2</v>
      </c>
      <c r="U187" s="40">
        <f t="shared" si="182"/>
        <v>1.2151335311572689</v>
      </c>
      <c r="V187" s="40">
        <f t="shared" si="182"/>
        <v>1.7589820359281438</v>
      </c>
      <c r="W187" s="40">
        <f t="shared" si="182"/>
        <v>1.2702290076335887</v>
      </c>
      <c r="X187" s="40">
        <f t="shared" si="182"/>
        <v>4.3233532934131693</v>
      </c>
      <c r="Y187" s="40">
        <f t="shared" si="182"/>
        <v>0.70093457943925064</v>
      </c>
      <c r="Z187" s="40">
        <f t="shared" si="182"/>
        <v>1.92283464566929</v>
      </c>
      <c r="AA187" s="40">
        <f t="shared" si="182"/>
        <v>2.511811023622049</v>
      </c>
      <c r="AB187" s="40">
        <f t="shared" si="182"/>
        <v>1.5624012638230627</v>
      </c>
      <c r="AC187" s="40">
        <f t="shared" si="182"/>
        <v>6.6886792452830166</v>
      </c>
      <c r="AD187" s="40">
        <f t="shared" si="182"/>
        <v>0.67142857142857171</v>
      </c>
      <c r="AE187" s="40">
        <f t="shared" si="182"/>
        <v>2.2623211446740861</v>
      </c>
      <c r="AF187" s="40">
        <f t="shared" si="182"/>
        <v>2.4085850556438801</v>
      </c>
      <c r="AG187" s="40">
        <f t="shared" si="182"/>
        <v>5.9968203497615251</v>
      </c>
      <c r="AH187" s="40">
        <f t="shared" si="182"/>
        <v>11.340222575516695</v>
      </c>
      <c r="AI187" s="40">
        <f t="shared" ref="AI187:BN187" si="183">IF(AND(ISNUMBER(AI178),ISNUMBER(AI185)),IFERROR(AI178/AI185,""),"")</f>
        <v>0.15873015873015839</v>
      </c>
      <c r="AJ187" s="40">
        <f t="shared" si="183"/>
        <v>2.941511559638851</v>
      </c>
      <c r="AK187" s="40">
        <f t="shared" si="183"/>
        <v>2.8637418165639121</v>
      </c>
      <c r="AL187" s="40">
        <f t="shared" si="183"/>
        <v>1.505903752872096</v>
      </c>
      <c r="AM187" s="40">
        <f t="shared" si="183"/>
        <v>7.4727402814214203</v>
      </c>
      <c r="AN187" s="40">
        <f t="shared" si="183"/>
        <v>0.68429630576505218</v>
      </c>
      <c r="AO187" s="40">
        <f t="shared" si="183"/>
        <v>3.0284513210683639</v>
      </c>
      <c r="AP187" s="40">
        <f t="shared" si="183"/>
        <v>3.9773156294992824</v>
      </c>
      <c r="AQ187" s="40">
        <f t="shared" si="183"/>
        <v>2.0977007813500719</v>
      </c>
      <c r="AR187" s="40">
        <f t="shared" si="183"/>
        <v>9.7862557574206761</v>
      </c>
      <c r="AS187" s="40">
        <f t="shared" si="183"/>
        <v>0.41573033707865309</v>
      </c>
      <c r="AT187" s="40">
        <f t="shared" si="183"/>
        <v>3.4927768860353123</v>
      </c>
      <c r="AU187" s="40">
        <f t="shared" si="183"/>
        <v>4.7255216693418962</v>
      </c>
      <c r="AV187" s="40">
        <f t="shared" si="183"/>
        <v>2.9373996789727106</v>
      </c>
      <c r="AW187" s="40">
        <f t="shared" si="183"/>
        <v>11.573033707865164</v>
      </c>
      <c r="AX187" s="40">
        <f t="shared" si="183"/>
        <v>1.0481540930979119</v>
      </c>
      <c r="AY187" s="40">
        <f t="shared" si="183"/>
        <v>3.6185897435897458</v>
      </c>
      <c r="AZ187" s="40">
        <f t="shared" si="183"/>
        <v>4.0801282051282035</v>
      </c>
      <c r="BA187" s="40">
        <f t="shared" si="183"/>
        <v>2.5128205128205137</v>
      </c>
      <c r="BB187" s="40">
        <f t="shared" si="183"/>
        <v>11.258012820512825</v>
      </c>
      <c r="BC187" s="40">
        <f t="shared" si="183"/>
        <v>0.34294871794871656</v>
      </c>
      <c r="BD187" s="40">
        <f t="shared" si="183"/>
        <v>5.873397435897437</v>
      </c>
      <c r="BE187" s="40">
        <f t="shared" si="183"/>
        <v>4.7399678972712689</v>
      </c>
      <c r="BF187" s="40">
        <f t="shared" si="183"/>
        <v>2.9565217391304359</v>
      </c>
      <c r="BG187" s="40">
        <f t="shared" si="183"/>
        <v>13.91332263242376</v>
      </c>
      <c r="BH187" s="40">
        <f t="shared" si="183"/>
        <v>1.9549114331723012</v>
      </c>
      <c r="BI187" s="40">
        <f t="shared" si="183"/>
        <v>5.6268174474959585</v>
      </c>
      <c r="BJ187" s="40">
        <f t="shared" si="183"/>
        <v>6.742718446601943</v>
      </c>
      <c r="BK187" s="40">
        <f t="shared" si="183"/>
        <v>4.5711974110032356</v>
      </c>
      <c r="BL187" s="40">
        <f t="shared" si="183"/>
        <v>18.883683360258473</v>
      </c>
      <c r="BM187" s="40">
        <f t="shared" si="183"/>
        <v>16.909385113268609</v>
      </c>
      <c r="BN187" s="40">
        <f t="shared" si="183"/>
        <v>4.7804878048780486</v>
      </c>
      <c r="BO187" s="40">
        <f t="shared" ref="BO187:BX187" si="184">IF(AND(ISNUMBER(BO178),ISNUMBER(BO185)),IFERROR(BO178/BO185,""),"")</f>
        <v>5.9410801963993451</v>
      </c>
      <c r="BP187" s="40">
        <f t="shared" si="184"/>
        <v>4.8117839607201311</v>
      </c>
      <c r="BQ187" s="40">
        <f t="shared" si="184"/>
        <v>32.491856677524432</v>
      </c>
      <c r="BR187" s="40">
        <f t="shared" si="184"/>
        <v>1.9047619047619049</v>
      </c>
      <c r="BS187" s="40">
        <f t="shared" si="184"/>
        <v>5.4394693200663351</v>
      </c>
      <c r="BT187" s="40">
        <f t="shared" si="184"/>
        <v>6.8656716417910451</v>
      </c>
      <c r="BU187" s="40">
        <f t="shared" si="184"/>
        <v>4.6268656716417915</v>
      </c>
      <c r="BV187" s="40">
        <f t="shared" si="184"/>
        <v>18.793388429752067</v>
      </c>
      <c r="BW187" s="40">
        <f t="shared" si="184"/>
        <v>25.091210613598676</v>
      </c>
      <c r="BX187" s="40">
        <f t="shared" si="184"/>
        <v>4.1763727121464225</v>
      </c>
      <c r="BY187" s="29">
        <f t="shared" ref="BY187:CE187" si="185">IFERROR(BY178/BY185,"")</f>
        <v>5.1245720086532804</v>
      </c>
      <c r="BZ187" s="29">
        <f t="shared" si="185"/>
        <v>3.2124258718875556</v>
      </c>
      <c r="CA187" s="29">
        <f t="shared" si="185"/>
        <v>36.270498850792329</v>
      </c>
      <c r="CB187" s="29">
        <f t="shared" si="185"/>
        <v>18.134728610575987</v>
      </c>
      <c r="CC187" s="29">
        <f t="shared" si="185"/>
        <v>23.76471754256394</v>
      </c>
      <c r="CD187" s="29">
        <f t="shared" si="185"/>
        <v>29.175707505460856</v>
      </c>
      <c r="CE187" s="29">
        <f t="shared" si="185"/>
        <v>35.518420278536425</v>
      </c>
      <c r="CF187" s="6"/>
    </row>
    <row r="188" spans="2:89" ht="15" customHeight="1" x14ac:dyDescent="0.25">
      <c r="B188" s="59" t="s">
        <v>342</v>
      </c>
      <c r="C188" s="64">
        <f t="shared" ref="C188:AH188" si="186">IF(AND(ISNUMBER(C178),ISNUMBER(C186)),IFERROR(C178/C186,""),"")</f>
        <v>5.2887931034482767</v>
      </c>
      <c r="D188" s="64">
        <f t="shared" si="186"/>
        <v>6.0669745958429564</v>
      </c>
      <c r="E188" s="64">
        <f t="shared" si="186"/>
        <v>4.1976190476190451</v>
      </c>
      <c r="F188" s="64">
        <f t="shared" si="186"/>
        <v>1.9343891402714886</v>
      </c>
      <c r="G188" s="64">
        <f t="shared" si="186"/>
        <v>2.1225382932166301</v>
      </c>
      <c r="H188" s="64">
        <f t="shared" si="186"/>
        <v>1.7991266375545854</v>
      </c>
      <c r="I188" s="64">
        <f t="shared" si="186"/>
        <v>1.8369565217391273</v>
      </c>
      <c r="J188" s="64">
        <f t="shared" si="186"/>
        <v>-0.60434782608695614</v>
      </c>
      <c r="K188" s="64">
        <f t="shared" si="186"/>
        <v>0.89200863930885699</v>
      </c>
      <c r="L188" s="64">
        <f t="shared" si="186"/>
        <v>1.5507559395248365</v>
      </c>
      <c r="M188" s="64">
        <f t="shared" si="186"/>
        <v>0.77586206896551724</v>
      </c>
      <c r="N188" s="64">
        <f t="shared" si="186"/>
        <v>2.6198704103671715</v>
      </c>
      <c r="O188" s="64">
        <f t="shared" si="186"/>
        <v>-0.46652267818574494</v>
      </c>
      <c r="P188" s="64">
        <f t="shared" si="186"/>
        <v>1.2795698924731187</v>
      </c>
      <c r="Q188" s="64">
        <f t="shared" si="186"/>
        <v>0.7955555555555559</v>
      </c>
      <c r="R188" s="64">
        <f t="shared" si="186"/>
        <v>0.94674556213017691</v>
      </c>
      <c r="S188" s="64">
        <f t="shared" si="186"/>
        <v>2.7250437828371306</v>
      </c>
      <c r="T188" s="64">
        <f t="shared" si="186"/>
        <v>9.0103397341210492E-2</v>
      </c>
      <c r="U188" s="64">
        <f t="shared" si="186"/>
        <v>1.2115384615384606</v>
      </c>
      <c r="V188" s="64">
        <f t="shared" si="186"/>
        <v>1.7511177347242923</v>
      </c>
      <c r="W188" s="64">
        <f t="shared" si="186"/>
        <v>1.2663622526636233</v>
      </c>
      <c r="X188" s="64">
        <f t="shared" si="186"/>
        <v>4.310447761194026</v>
      </c>
      <c r="Y188" s="64">
        <f t="shared" si="186"/>
        <v>0.69875776397515355</v>
      </c>
      <c r="Z188" s="64">
        <f t="shared" si="186"/>
        <v>1.9137931034482745</v>
      </c>
      <c r="AA188" s="64">
        <f t="shared" si="186"/>
        <v>2.5039246467817913</v>
      </c>
      <c r="AB188" s="64">
        <f t="shared" si="186"/>
        <v>1.5574803149606278</v>
      </c>
      <c r="AC188" s="64">
        <f t="shared" si="186"/>
        <v>6.6572769953051623</v>
      </c>
      <c r="AD188" s="64">
        <f t="shared" si="186"/>
        <v>0.66824644549763068</v>
      </c>
      <c r="AE188" s="64">
        <f t="shared" si="186"/>
        <v>2.2551505546751192</v>
      </c>
      <c r="AF188" s="64">
        <f t="shared" si="186"/>
        <v>2.3971518987341782</v>
      </c>
      <c r="AG188" s="64">
        <f t="shared" si="186"/>
        <v>5.9683544303797458</v>
      </c>
      <c r="AH188" s="64">
        <f t="shared" si="186"/>
        <v>11.286392405063292</v>
      </c>
      <c r="AI188" s="64">
        <f t="shared" ref="AI188:BN188" si="187">IF(AND(ISNUMBER(AI178),ISNUMBER(AI186)),IFERROR(AI178/AI186,""),"")</f>
        <v>0.15822784810126547</v>
      </c>
      <c r="AJ188" s="64">
        <f t="shared" si="187"/>
        <v>2.929240736351427</v>
      </c>
      <c r="AK188" s="64">
        <f t="shared" si="187"/>
        <v>2.853087846502131</v>
      </c>
      <c r="AL188" s="64">
        <f t="shared" si="187"/>
        <v>1.5000158937029149</v>
      </c>
      <c r="AM188" s="64">
        <f t="shared" si="187"/>
        <v>7.4429189035108605</v>
      </c>
      <c r="AN188" s="64">
        <f t="shared" si="187"/>
        <v>0.68219252273922026</v>
      </c>
      <c r="AO188" s="64">
        <f t="shared" si="187"/>
        <v>3.0208705357142867</v>
      </c>
      <c r="AP188" s="64">
        <f t="shared" si="187"/>
        <v>3.9665916814244024</v>
      </c>
      <c r="AQ188" s="64">
        <f t="shared" si="187"/>
        <v>2.0906378157563008</v>
      </c>
      <c r="AR188" s="64">
        <f t="shared" si="187"/>
        <v>9.757853611864137</v>
      </c>
      <c r="AS188" s="64">
        <f t="shared" si="187"/>
        <v>0.41440000000000138</v>
      </c>
      <c r="AT188" s="64">
        <f t="shared" si="187"/>
        <v>3.4927768860353123</v>
      </c>
      <c r="AU188" s="64">
        <f t="shared" si="187"/>
        <v>4.7179487179487207</v>
      </c>
      <c r="AV188" s="64">
        <f t="shared" si="187"/>
        <v>2.9279999999999977</v>
      </c>
      <c r="AW188" s="64">
        <f t="shared" si="187"/>
        <v>11.554487179487174</v>
      </c>
      <c r="AX188" s="64">
        <f t="shared" si="187"/>
        <v>1.0447999999999986</v>
      </c>
      <c r="AY188" s="64">
        <f t="shared" si="187"/>
        <v>3.6128000000000018</v>
      </c>
      <c r="AZ188" s="64">
        <f t="shared" si="187"/>
        <v>4.0670926517571866</v>
      </c>
      <c r="BA188" s="64">
        <f t="shared" si="187"/>
        <v>2.5007974481658697</v>
      </c>
      <c r="BB188" s="64">
        <f t="shared" si="187"/>
        <v>11.222044728434508</v>
      </c>
      <c r="BC188" s="64">
        <f t="shared" si="187"/>
        <v>0.34185303514376858</v>
      </c>
      <c r="BD188" s="64">
        <f t="shared" si="187"/>
        <v>5.8640000000000008</v>
      </c>
      <c r="BE188" s="64">
        <f t="shared" si="187"/>
        <v>4.7248000000000001</v>
      </c>
      <c r="BF188" s="64">
        <f t="shared" si="187"/>
        <v>2.947030497592297</v>
      </c>
      <c r="BG188" s="64">
        <f t="shared" si="187"/>
        <v>13.868800000000004</v>
      </c>
      <c r="BH188" s="64">
        <f t="shared" si="187"/>
        <v>1.9517684887459792</v>
      </c>
      <c r="BI188" s="64">
        <f t="shared" si="187"/>
        <v>5.6086956521739104</v>
      </c>
      <c r="BJ188" s="64">
        <f t="shared" si="187"/>
        <v>6.7209677419354845</v>
      </c>
      <c r="BK188" s="64">
        <f t="shared" si="187"/>
        <v>4.5564516129032251</v>
      </c>
      <c r="BL188" s="64">
        <f t="shared" si="187"/>
        <v>18.822866344605465</v>
      </c>
      <c r="BM188" s="64">
        <f t="shared" si="187"/>
        <v>16.85483870967742</v>
      </c>
      <c r="BN188" s="64">
        <f t="shared" si="187"/>
        <v>4.7727272727272725</v>
      </c>
      <c r="BO188" s="64">
        <f t="shared" ref="BO188:BX188" si="188">IF(AND(ISNUMBER(BO178),ISNUMBER(BO186)),IFERROR(BO178/BO186,""),"")</f>
        <v>5.9216965742251224</v>
      </c>
      <c r="BP188" s="64">
        <f t="shared" si="188"/>
        <v>4.7960848287112565</v>
      </c>
      <c r="BQ188" s="64">
        <f t="shared" si="188"/>
        <v>32.386363636363633</v>
      </c>
      <c r="BR188" s="64">
        <f t="shared" si="188"/>
        <v>1.901639344262295</v>
      </c>
      <c r="BS188" s="64">
        <f t="shared" si="188"/>
        <v>5.4304635761589406</v>
      </c>
      <c r="BT188" s="64">
        <f t="shared" si="188"/>
        <v>6.85430463576159</v>
      </c>
      <c r="BU188" s="64">
        <f t="shared" si="188"/>
        <v>4.6115702479338845</v>
      </c>
      <c r="BV188" s="64">
        <f t="shared" si="188"/>
        <v>18.762376237623762</v>
      </c>
      <c r="BW188" s="64">
        <f t="shared" si="188"/>
        <v>25.049668874172188</v>
      </c>
      <c r="BX188" s="64">
        <f t="shared" si="188"/>
        <v>4.1694352159468435</v>
      </c>
      <c r="BY188" s="64">
        <f t="shared" ref="BY188:CE188" si="189">IFERROR(BY178/BY186,"")</f>
        <v>5.1166979210074919</v>
      </c>
      <c r="BZ188" s="64">
        <f t="shared" si="189"/>
        <v>3.2079110919673375</v>
      </c>
      <c r="CA188" s="64">
        <f t="shared" si="189"/>
        <v>36.21401044854246</v>
      </c>
      <c r="CB188" s="64">
        <f t="shared" si="189"/>
        <v>18.096592733710143</v>
      </c>
      <c r="CC188" s="64">
        <f t="shared" si="189"/>
        <v>23.714847124910126</v>
      </c>
      <c r="CD188" s="64">
        <f t="shared" si="189"/>
        <v>29.113384712717998</v>
      </c>
      <c r="CE188" s="64">
        <f t="shared" si="189"/>
        <v>35.438715022291696</v>
      </c>
      <c r="CF188" s="20" t="s">
        <v>343</v>
      </c>
      <c r="CH188" s="21">
        <f>IFERROR((CE188/BV188)^(1/5)-1,"n/m")</f>
        <v>0.13563305518176216</v>
      </c>
      <c r="CI188" s="21">
        <f>IFERROR((BV188/AW188)^(1/5)-1,"n/m")</f>
        <v>0.10181183526494642</v>
      </c>
      <c r="CJ188" s="21">
        <f>IFERROR((BV188/X188)^(1/10)-1,"n/m")</f>
        <v>0.15844800353305732</v>
      </c>
      <c r="CK188" s="21">
        <f>IFERROR((BV188/C188)^(1/19)-1,"n/m")</f>
        <v>6.8916425404669912E-2</v>
      </c>
    </row>
    <row r="189" spans="2:89" ht="15" customHeight="1" x14ac:dyDescent="0.25">
      <c r="B189" s="17" t="s">
        <v>344</v>
      </c>
      <c r="C189" s="65">
        <f t="shared" ref="C189:AH189" si="190">IF(AND(ISNUMBER(C181),ISNUMBER(C186)),IFERROR(C181/C186,""),"")</f>
        <v>5.2543103448275872</v>
      </c>
      <c r="D189" s="65">
        <f t="shared" si="190"/>
        <v>6.0623556581986149</v>
      </c>
      <c r="E189" s="65">
        <f t="shared" si="190"/>
        <v>4.0833333333333304</v>
      </c>
      <c r="F189" s="65">
        <f t="shared" si="190"/>
        <v>1.9276018099547465</v>
      </c>
      <c r="G189" s="65">
        <f t="shared" si="190"/>
        <v>2.1181619256017505</v>
      </c>
      <c r="H189" s="65">
        <f t="shared" si="190"/>
        <v>1.7117903930131007</v>
      </c>
      <c r="I189" s="65">
        <f t="shared" si="190"/>
        <v>1.8478260869565186</v>
      </c>
      <c r="J189" s="65">
        <f t="shared" si="190"/>
        <v>-0.60217391304347789</v>
      </c>
      <c r="K189" s="65">
        <f t="shared" si="190"/>
        <v>0.88552915766738838</v>
      </c>
      <c r="L189" s="65">
        <f t="shared" si="190"/>
        <v>1.5572354211663051</v>
      </c>
      <c r="M189" s="65">
        <f t="shared" si="190"/>
        <v>0.78232758620689646</v>
      </c>
      <c r="N189" s="65">
        <f t="shared" si="190"/>
        <v>2.6371490280777543</v>
      </c>
      <c r="O189" s="65">
        <f t="shared" si="190"/>
        <v>-0.46652267818574494</v>
      </c>
      <c r="P189" s="65">
        <f t="shared" si="190"/>
        <v>1.2817204301075273</v>
      </c>
      <c r="Q189" s="65">
        <f t="shared" si="190"/>
        <v>0.79703703703703743</v>
      </c>
      <c r="R189" s="65">
        <f t="shared" si="190"/>
        <v>0.94526627218934844</v>
      </c>
      <c r="S189" s="65">
        <f t="shared" si="190"/>
        <v>2.7250437828371306</v>
      </c>
      <c r="T189" s="65">
        <f t="shared" si="190"/>
        <v>9.0103397341210492E-2</v>
      </c>
      <c r="U189" s="65">
        <f t="shared" si="190"/>
        <v>1.2115384615384606</v>
      </c>
      <c r="V189" s="65">
        <f t="shared" si="190"/>
        <v>1.7511177347242923</v>
      </c>
      <c r="W189" s="65">
        <f t="shared" si="190"/>
        <v>1.2663622526636233</v>
      </c>
      <c r="X189" s="65">
        <f t="shared" si="190"/>
        <v>4.310447761194026</v>
      </c>
      <c r="Y189" s="65">
        <f t="shared" si="190"/>
        <v>0.69875776397515355</v>
      </c>
      <c r="Z189" s="65">
        <f t="shared" si="190"/>
        <v>1.9137931034482745</v>
      </c>
      <c r="AA189" s="65">
        <f t="shared" si="190"/>
        <v>2.5039246467817913</v>
      </c>
      <c r="AB189" s="65">
        <f t="shared" si="190"/>
        <v>1.5574803149606278</v>
      </c>
      <c r="AC189" s="65">
        <f t="shared" si="190"/>
        <v>6.6572769953051623</v>
      </c>
      <c r="AD189" s="65">
        <f t="shared" si="190"/>
        <v>0.66824644549763068</v>
      </c>
      <c r="AE189" s="65">
        <f t="shared" si="190"/>
        <v>2.2551505546751192</v>
      </c>
      <c r="AF189" s="65">
        <f t="shared" si="190"/>
        <v>2.3971518987341782</v>
      </c>
      <c r="AG189" s="65">
        <f t="shared" si="190"/>
        <v>5.9683544303797458</v>
      </c>
      <c r="AH189" s="65">
        <f t="shared" si="190"/>
        <v>11.286392405063292</v>
      </c>
      <c r="AI189" s="65">
        <f t="shared" ref="AI189:BN189" si="191">IF(AND(ISNUMBER(AI181),ISNUMBER(AI186)),IFERROR(AI181/AI186,""),"")</f>
        <v>0.15822784810126547</v>
      </c>
      <c r="AJ189" s="65">
        <f t="shared" si="191"/>
        <v>2.929240736351427</v>
      </c>
      <c r="AK189" s="65">
        <f t="shared" si="191"/>
        <v>2.853087846502131</v>
      </c>
      <c r="AL189" s="65">
        <f t="shared" si="191"/>
        <v>1.5000158937029149</v>
      </c>
      <c r="AM189" s="65">
        <f t="shared" si="191"/>
        <v>7.4429189035108605</v>
      </c>
      <c r="AN189" s="65">
        <f t="shared" si="191"/>
        <v>0.68219252273922026</v>
      </c>
      <c r="AO189" s="65">
        <f t="shared" si="191"/>
        <v>3.0208705357142867</v>
      </c>
      <c r="AP189" s="65">
        <f t="shared" si="191"/>
        <v>3.9665916814244024</v>
      </c>
      <c r="AQ189" s="65">
        <f t="shared" si="191"/>
        <v>2.0906378157563008</v>
      </c>
      <c r="AR189" s="65">
        <f t="shared" si="191"/>
        <v>9.757853611864137</v>
      </c>
      <c r="AS189" s="65">
        <f t="shared" si="191"/>
        <v>0.41440000000000138</v>
      </c>
      <c r="AT189" s="65">
        <f t="shared" si="191"/>
        <v>3.4927768860353123</v>
      </c>
      <c r="AU189" s="65">
        <f t="shared" si="191"/>
        <v>4.7179487179487207</v>
      </c>
      <c r="AV189" s="65">
        <f t="shared" si="191"/>
        <v>2.9279999999999977</v>
      </c>
      <c r="AW189" s="65">
        <f t="shared" si="191"/>
        <v>11.554487179487174</v>
      </c>
      <c r="AX189" s="65">
        <f t="shared" si="191"/>
        <v>1.0447999999999986</v>
      </c>
      <c r="AY189" s="65">
        <f t="shared" si="191"/>
        <v>3.6128000000000018</v>
      </c>
      <c r="AZ189" s="65">
        <f t="shared" si="191"/>
        <v>4.0670926517571866</v>
      </c>
      <c r="BA189" s="65">
        <f t="shared" si="191"/>
        <v>2.4928229665071777</v>
      </c>
      <c r="BB189" s="65">
        <f t="shared" si="191"/>
        <v>11.214057507987224</v>
      </c>
      <c r="BC189" s="65">
        <f t="shared" si="191"/>
        <v>0.39137380191693155</v>
      </c>
      <c r="BD189" s="65">
        <f t="shared" si="191"/>
        <v>5.6512000000000011</v>
      </c>
      <c r="BE189" s="65">
        <f t="shared" si="191"/>
        <v>4.6592000000000002</v>
      </c>
      <c r="BF189" s="65">
        <f t="shared" si="191"/>
        <v>3.0080256821829869</v>
      </c>
      <c r="BG189" s="65">
        <f t="shared" si="191"/>
        <v>13.700800000000003</v>
      </c>
      <c r="BH189" s="65">
        <f t="shared" si="191"/>
        <v>2.1591639871382622</v>
      </c>
      <c r="BI189" s="65">
        <f t="shared" si="191"/>
        <v>5.5974235104669861</v>
      </c>
      <c r="BJ189" s="65">
        <f t="shared" si="191"/>
        <v>6.9403225806451623</v>
      </c>
      <c r="BK189" s="65">
        <f t="shared" si="191"/>
        <v>4.6403225806451598</v>
      </c>
      <c r="BL189" s="65">
        <f t="shared" si="191"/>
        <v>19.320450885668269</v>
      </c>
      <c r="BM189" s="65">
        <f t="shared" si="191"/>
        <v>16.85483870967742</v>
      </c>
      <c r="BN189" s="65">
        <f t="shared" si="191"/>
        <v>4.7727272727272725</v>
      </c>
      <c r="BO189" s="65">
        <f t="shared" ref="BO189:BX189" si="192">IF(AND(ISNUMBER(BO181),ISNUMBER(BO186)),IFERROR(BO181/BO186,""),"")</f>
        <v>5.9216965742251224</v>
      </c>
      <c r="BP189" s="65">
        <f t="shared" si="192"/>
        <v>4.7960848287112565</v>
      </c>
      <c r="BQ189" s="65">
        <f t="shared" si="192"/>
        <v>32.386363636363633</v>
      </c>
      <c r="BR189" s="65">
        <f t="shared" si="192"/>
        <v>1.7049180327868851</v>
      </c>
      <c r="BS189" s="65">
        <f t="shared" si="192"/>
        <v>4.8344370860927155</v>
      </c>
      <c r="BT189" s="65">
        <f t="shared" si="192"/>
        <v>5.9768211920529799</v>
      </c>
      <c r="BU189" s="65">
        <f t="shared" si="192"/>
        <v>3.8512396694214877</v>
      </c>
      <c r="BV189" s="65">
        <f t="shared" si="192"/>
        <v>16.336633663366335</v>
      </c>
      <c r="BW189" s="65">
        <f t="shared" si="192"/>
        <v>1.3079470198675498</v>
      </c>
      <c r="BX189" s="65">
        <f t="shared" si="192"/>
        <v>4.2524916943521589</v>
      </c>
      <c r="BY189" s="66">
        <f t="shared" ref="BY189:CE189" si="193">IFERROR(BY181/BY186,"")</f>
        <v>5.1166979210074919</v>
      </c>
      <c r="BZ189" s="66">
        <f t="shared" si="193"/>
        <v>3.2079110919673375</v>
      </c>
      <c r="CA189" s="66">
        <f t="shared" si="193"/>
        <v>13.958477888283172</v>
      </c>
      <c r="CB189" s="66">
        <f t="shared" si="193"/>
        <v>18.096592733710143</v>
      </c>
      <c r="CC189" s="66">
        <f t="shared" si="193"/>
        <v>23.714847124910126</v>
      </c>
      <c r="CD189" s="66">
        <f t="shared" si="193"/>
        <v>29.113384712717998</v>
      </c>
      <c r="CE189" s="66">
        <f t="shared" si="193"/>
        <v>35.438715022291696</v>
      </c>
      <c r="CF189" s="6"/>
      <c r="CH189" s="21">
        <f>IFERROR((CE189/BV189)^(1/5)-1,"n/m")</f>
        <v>0.16751664035262204</v>
      </c>
      <c r="CI189" s="21">
        <f>IFERROR((BV189/AW189)^(1/5)-1,"n/m")</f>
        <v>7.1722575482472406E-2</v>
      </c>
      <c r="CJ189" s="21">
        <f>IFERROR((BV189/X189)^(1/10)-1,"n/m")</f>
        <v>0.14252054514109802</v>
      </c>
      <c r="CK189" s="21">
        <f>IFERROR((BV189/C189)^(1/19)-1,"n/m")</f>
        <v>6.1521467723574697E-2</v>
      </c>
    </row>
    <row r="190" spans="2:89" ht="15" customHeight="1" x14ac:dyDescent="0.25">
      <c r="B190" s="23" t="s">
        <v>825</v>
      </c>
      <c r="D190" s="24">
        <f t="shared" ref="D190" si="194">IF(AND(ISNUMBER(D189),ISNUMBER(C189)),IFERROR(D189/C189-1,""),"")</f>
        <v>0.15378713101072883</v>
      </c>
      <c r="E190" s="24">
        <f t="shared" ref="E190" si="195">IF(AND(ISNUMBER(E189),ISNUMBER(D189)),IFERROR(E189/D189-1,""),"")</f>
        <v>-0.32644444444444498</v>
      </c>
      <c r="F190" s="24">
        <f t="shared" ref="F190" si="196">IF(AND(ISNUMBER(F189),ISNUMBER(E189)),IFERROR(F189/E189-1,""),"")</f>
        <v>-0.52793425062332711</v>
      </c>
      <c r="G190" s="24">
        <f t="shared" ref="G190" si="197">IF(AND(ISNUMBER(G189),ISNUMBER(F189)),IFERROR(G189/F189-1,""),"")</f>
        <v>9.8858651544572851E-2</v>
      </c>
      <c r="H190" s="24">
        <f t="shared" ref="H190" si="198">IF(AND(ISNUMBER(H189),ISNUMBER(G189)),IFERROR(H189/G189-1,""),"")</f>
        <v>-0.19185102313327784</v>
      </c>
      <c r="I190" s="24">
        <f t="shared" ref="I190" si="199">IF(AND(ISNUMBER(I189),ISNUMBER(H189)),IFERROR(I189/H189-1,""),"")</f>
        <v>7.9469831410823311E-2</v>
      </c>
      <c r="N190" s="24">
        <f t="shared" ref="N190" si="200">IF(AND(ISNUMBER(N189),ISNUMBER(I189)),IFERROR(N189/I189-1,""),"")</f>
        <v>0.42716300343031643</v>
      </c>
      <c r="O190" s="24">
        <f t="shared" ref="O190" si="201">IF(AND(ISNUMBER(O189),ISNUMBER(J189)),IFERROR(O189/J189-1,""),"")</f>
        <v>-0.22526919868071194</v>
      </c>
      <c r="P190" s="24">
        <f t="shared" ref="P190" si="202">IF(AND(ISNUMBER(P189),ISNUMBER(K189)),IFERROR(P189/K189-1,""),"")</f>
        <v>0.44740624180435118</v>
      </c>
      <c r="Q190" s="24">
        <f t="shared" ref="Q190" si="203">IF(AND(ISNUMBER(Q189),ISNUMBER(L189)),IFERROR(Q189/L189-1,""),"")</f>
        <v>-0.48817177788051491</v>
      </c>
      <c r="R190" s="24">
        <f t="shared" ref="R190" si="204">IF(AND(ISNUMBER(R189),ISNUMBER(M189)),IFERROR(R189/M189-1,""),"")</f>
        <v>0.20827424323927746</v>
      </c>
      <c r="S190" s="24">
        <f t="shared" ref="S190" si="205">IF(AND(ISNUMBER(S189),ISNUMBER(N189)),IFERROR(S189/N189-1,""),"")</f>
        <v>3.3329460649951903E-2</v>
      </c>
      <c r="T190" s="24">
        <f t="shared" ref="T190" si="206">IF(AND(ISNUMBER(T189),ISNUMBER(O189)),IFERROR(T189/O189-1,""),"")</f>
        <v>-1.1931383007823171</v>
      </c>
      <c r="U190" s="24">
        <f t="shared" ref="U190" si="207">IF(AND(ISNUMBER(U189),ISNUMBER(P189)),IFERROR(U189/P189-1,""),"")</f>
        <v>-5.4756066081570576E-2</v>
      </c>
      <c r="V190" s="24">
        <f t="shared" ref="V190" si="208">IF(AND(ISNUMBER(V189),ISNUMBER(Q189)),IFERROR(V189/Q189-1,""),"")</f>
        <v>1.1970343326001798</v>
      </c>
      <c r="W190" s="24">
        <f t="shared" ref="W190" si="209">IF(AND(ISNUMBER(W189),ISNUMBER(R189)),IFERROR(W189/R189-1,""),"")</f>
        <v>0.33968839248921756</v>
      </c>
      <c r="X190" s="24">
        <f t="shared" ref="X190" si="210">IF(AND(ISNUMBER(X189),ISNUMBER(S189)),IFERROR(X189/S189-1,""),"")</f>
        <v>0.58179027740474698</v>
      </c>
      <c r="Y190" s="24">
        <f t="shared" ref="Y190" si="211">IF(AND(ISNUMBER(Y189),ISNUMBER(T189)),IFERROR(Y189/T189-1,""),"")</f>
        <v>6.7550656755931611</v>
      </c>
      <c r="Z190" s="24">
        <f t="shared" ref="Z190" si="212">IF(AND(ISNUMBER(Z189),ISNUMBER(U189)),IFERROR(Z189/U189-1,""),"")</f>
        <v>0.57963875205254523</v>
      </c>
      <c r="AA190" s="24">
        <f t="shared" ref="AA190" si="213">IF(AND(ISNUMBER(AA189),ISNUMBER(V189)),IFERROR(AA189/V189-1,""),"")</f>
        <v>0.42990079828985683</v>
      </c>
      <c r="AB190" s="24">
        <f t="shared" ref="AB190" si="214">IF(AND(ISNUMBER(AB189),ISNUMBER(W189)),IFERROR(AB189/W189-1,""),"")</f>
        <v>0.22988529678982195</v>
      </c>
      <c r="AC190" s="24">
        <f t="shared" ref="AC190" si="215">IF(AND(ISNUMBER(AC189),ISNUMBER(X189)),IFERROR(AC189/X189-1,""),"")</f>
        <v>0.54445138048977237</v>
      </c>
      <c r="AD190" s="24">
        <f t="shared" ref="AD190" si="216">IF(AND(ISNUMBER(AD189),ISNUMBER(Y189)),IFERROR(AD189/Y189-1,""),"")</f>
        <v>-4.3665086887832882E-2</v>
      </c>
      <c r="AE190" s="24">
        <f t="shared" ref="AE190" si="217">IF(AND(ISNUMBER(AE189),ISNUMBER(Z189)),IFERROR(AE189/Z189-1,""),"")</f>
        <v>0.17836695649690992</v>
      </c>
      <c r="AF190" s="24">
        <f t="shared" ref="AF190" si="218">IF(AND(ISNUMBER(AF189),ISNUMBER(AA189)),IFERROR(AF189/AA189-1,""),"")</f>
        <v>-4.2642157057259822E-2</v>
      </c>
      <c r="AG190" s="24">
        <f t="shared" ref="AG190" si="219">IF(AND(ISNUMBER(AG189),ISNUMBER(AB189)),IFERROR(AG189/AB189-1,""),"")</f>
        <v>2.8320576979688008</v>
      </c>
      <c r="AH190" s="24">
        <f t="shared" ref="AH190" si="220">IF(AND(ISNUMBER(AH189),ISNUMBER(AC189)),IFERROR(AH189/AC189-1,""),"")</f>
        <v>0.69534667297495201</v>
      </c>
      <c r="AI190" s="24">
        <f t="shared" ref="AI190" si="221">IF(AND(ISNUMBER(AI189),ISNUMBER(AD189)),IFERROR(AI189/AD189-1,""),"")</f>
        <v>-0.76321931950803545</v>
      </c>
      <c r="AJ190" s="24">
        <f t="shared" ref="AJ190" si="222">IF(AND(ISNUMBER(AJ189),ISNUMBER(AE189)),IFERROR(AJ189/AE189-1,""),"")</f>
        <v>0.2989113876582925</v>
      </c>
      <c r="AK190" s="24">
        <f t="shared" ref="AK190" si="223">IF(AND(ISNUMBER(AK189),ISNUMBER(AF189)),IFERROR(AK189/AF189-1,""),"")</f>
        <v>0.19019902243521192</v>
      </c>
      <c r="AL190" s="24">
        <f t="shared" ref="AL190" si="224">IF(AND(ISNUMBER(AL189),ISNUMBER(AG189)),IFERROR(AL189/AG189-1,""),"")</f>
        <v>-0.74867178027034931</v>
      </c>
      <c r="AM190" s="24">
        <f t="shared" ref="AM190" si="225">IF(AND(ISNUMBER(AM189),ISNUMBER(AH189)),IFERROR(AM189/AH189-1,""),"")</f>
        <v>-0.3405404812815277</v>
      </c>
      <c r="AN190" s="24">
        <f t="shared" ref="AN190" si="226">IF(AND(ISNUMBER(AN189),ISNUMBER(AI189)),IFERROR(AN189/AI189-1,""),"")</f>
        <v>3.311456743711882</v>
      </c>
      <c r="AO190" s="24">
        <f t="shared" ref="AO190" si="227">IF(AND(ISNUMBER(AO189),ISNUMBER(AJ189)),IFERROR(AO189/AJ189-1,""),"")</f>
        <v>3.1281075066909914E-2</v>
      </c>
      <c r="AP190" s="24">
        <f t="shared" ref="AP190" si="228">IF(AND(ISNUMBER(AP189),ISNUMBER(AK189)),IFERROR(AP189/AK189-1,""),"")</f>
        <v>0.39028024891957691</v>
      </c>
      <c r="AQ190" s="24">
        <f t="shared" ref="AQ190" si="229">IF(AND(ISNUMBER(AQ189),ISNUMBER(AL189)),IFERROR(AQ189/AL189-1,""),"")</f>
        <v>0.3937437760045237</v>
      </c>
      <c r="AR190" s="24">
        <f t="shared" ref="AR190" si="230">IF(AND(ISNUMBER(AR189),ISNUMBER(AM189)),IFERROR(AR189/AM189-1,""),"")</f>
        <v>0.3110251150608816</v>
      </c>
      <c r="AS190" s="24">
        <f t="shared" ref="AS190" si="231">IF(AND(ISNUMBER(AS189),ISNUMBER(AN189)),IFERROR(AS189/AN189-1,""),"")</f>
        <v>-0.39254684537430373</v>
      </c>
      <c r="AT190" s="24">
        <f t="shared" ref="AT190" si="232">IF(AND(ISNUMBER(AT189),ISNUMBER(AO189)),IFERROR(AT189/AO189-1,""),"")</f>
        <v>0.1562153507546602</v>
      </c>
      <c r="AU190" s="24">
        <f t="shared" ref="AU190" si="233">IF(AND(ISNUMBER(AU189),ISNUMBER(AP189)),IFERROR(AU189/AP189-1,""),"")</f>
        <v>0.18942132109108489</v>
      </c>
      <c r="AV190" s="24">
        <f t="shared" ref="AV190" si="234">IF(AND(ISNUMBER(AV189),ISNUMBER(AQ189)),IFERROR(AV189/AQ189-1,""),"")</f>
        <v>0.40052953119513734</v>
      </c>
      <c r="AW190" s="24">
        <f t="shared" ref="AW190" si="235">IF(AND(ISNUMBER(AW189),ISNUMBER(AR189)),IFERROR(AW189/AR189-1,""),"")</f>
        <v>0.18412179963825137</v>
      </c>
      <c r="AX190" s="24">
        <f t="shared" ref="AX190" si="236">IF(AND(ISNUMBER(AX189),ISNUMBER(AS189)),IFERROR(AX189/AS189-1,""),"")</f>
        <v>1.5212355212355093</v>
      </c>
      <c r="AY190" s="24">
        <f t="shared" ref="AY190" si="237">IF(AND(ISNUMBER(AY189),ISNUMBER(AT189)),IFERROR(AY189/AT189-1,""),"")</f>
        <v>3.4363235294118333E-2</v>
      </c>
      <c r="AZ190" s="24">
        <f t="shared" ref="AZ190" si="238">IF(AND(ISNUMBER(AZ189),ISNUMBER(AU189)),IFERROR(AZ189/AU189-1,""),"")</f>
        <v>-0.13795318794277078</v>
      </c>
      <c r="BA190" s="24">
        <f t="shared" ref="BA190" si="239">IF(AND(ISNUMBER(BA189),ISNUMBER(AV189)),IFERROR(BA189/AV189-1,""),"")</f>
        <v>-0.14862603602896873</v>
      </c>
      <c r="BB190" s="24">
        <f t="shared" ref="BB190" si="240">IF(AND(ISNUMBER(BB189),ISNUMBER(AW189)),IFERROR(BB189/AW189-1,""),"")</f>
        <v>-2.9462984052145424E-2</v>
      </c>
      <c r="BC190" s="24">
        <f t="shared" ref="BC190" si="241">IF(AND(ISNUMBER(BC189),ISNUMBER(AX189)),IFERROR(BC189/AX189-1,""),"")</f>
        <v>-0.62540792312697924</v>
      </c>
      <c r="BD190" s="24">
        <f t="shared" ref="BD190" si="242">IF(AND(ISNUMBER(BD189),ISNUMBER(AY189)),IFERROR(BD189/AY189-1,""),"")</f>
        <v>0.56421612046058423</v>
      </c>
      <c r="BE190" s="24">
        <f t="shared" ref="BE190" si="243">IF(AND(ISNUMBER(BE189),ISNUMBER(AZ189)),IFERROR(BE189/AZ189-1,""),"")</f>
        <v>0.14558491751767533</v>
      </c>
      <c r="BF190" s="24">
        <f t="shared" ref="BF190" si="244">IF(AND(ISNUMBER(BF189),ISNUMBER(BA189)),IFERROR(BF189/BA189-1,""),"")</f>
        <v>0.20667440993520936</v>
      </c>
      <c r="BG190" s="24">
        <f t="shared" ref="BG190" si="245">IF(AND(ISNUMBER(BG189),ISNUMBER(BB189)),IFERROR(BG189/BB189-1,""),"")</f>
        <v>0.22175225071225046</v>
      </c>
      <c r="BH190" s="24">
        <f t="shared" ref="BH190" si="246">IF(AND(ISNUMBER(BH189),ISNUMBER(BC189)),IFERROR(BH189/BC189-1,""),"")</f>
        <v>4.5168843099941096</v>
      </c>
      <c r="BI190" s="24">
        <f t="shared" ref="BI190" si="247">IF(AND(ISNUMBER(BI189),ISNUMBER(BD189)),IFERROR(BI189/BD189-1,""),"")</f>
        <v>-9.5159416642509598E-3</v>
      </c>
      <c r="BJ190" s="24">
        <f t="shared" ref="BJ190" si="248">IF(AND(ISNUMBER(BJ189),ISNUMBER(BE189)),IFERROR(BJ189/BE189-1,""),"")</f>
        <v>0.48959533410138256</v>
      </c>
      <c r="BK190" s="24">
        <f t="shared" ref="BK190" si="249">IF(AND(ISNUMBER(BK189),ISNUMBER(BF189)),IFERROR(BK189/BF189-1,""),"")</f>
        <v>0.54264726133507635</v>
      </c>
      <c r="BL190" s="24">
        <f t="shared" ref="BL190" si="250">IF(AND(ISNUMBER(BL189),ISNUMBER(BG189)),IFERROR(BL189/BG189-1,""),"")</f>
        <v>0.41016954379804571</v>
      </c>
      <c r="BM190" s="24">
        <f t="shared" ref="BM190" si="251">IF(AND(ISNUMBER(BM189),ISNUMBER(BH189)),IFERROR(BM189/BH189-1,""),"")</f>
        <v>6.8061873994187359</v>
      </c>
      <c r="BN190" s="24">
        <f t="shared" ref="BN190" si="252">IF(AND(ISNUMBER(BN189),ISNUMBER(BI189)),IFERROR(BN189/BI189-1,""),"")</f>
        <v>-0.14733497227743453</v>
      </c>
      <c r="BO190" s="24">
        <f t="shared" ref="BO190" si="253">IF(AND(ISNUMBER(BO189),ISNUMBER(BJ189)),IFERROR(BO189/BJ189-1,""),"")</f>
        <v>-0.14676925958178588</v>
      </c>
      <c r="BP190" s="24">
        <f t="shared" ref="BP190" si="254">IF(AND(ISNUMBER(BP189),ISNUMBER(BK189)),IFERROR(BP189/BK189-1,""),"")</f>
        <v>3.3567116371560735E-2</v>
      </c>
      <c r="BQ190" s="24">
        <f t="shared" ref="BQ190" si="255">IF(AND(ISNUMBER(BQ189),ISNUMBER(BL189)),IFERROR(BQ189/BL189-1,""),"")</f>
        <v>0.67627369713134056</v>
      </c>
      <c r="BR190" s="24">
        <f t="shared" ref="BR190" si="256">IF(AND(ISNUMBER(BR189),ISNUMBER(BM189)),IFERROR(BR189/BM189-1,""),"")</f>
        <v>-0.89884696838967759</v>
      </c>
      <c r="BS190" s="24">
        <f t="shared" ref="BS190" si="257">IF(AND(ISNUMBER(BS189),ISNUMBER(BN189)),IFERROR(BS189/BN189-1,""),"")</f>
        <v>1.2929675181330813E-2</v>
      </c>
      <c r="BT190" s="24">
        <f t="shared" ref="BT190" si="258">IF(AND(ISNUMBER(BT189),ISNUMBER(BO189)),IFERROR(BT189/BO189-1,""),"")</f>
        <v>9.3089230656959732E-3</v>
      </c>
      <c r="BU190" s="24">
        <f t="shared" ref="BU190" si="259">IF(AND(ISNUMBER(BU189),ISNUMBER(BP189)),IFERROR(BU189/BP189-1,""),"")</f>
        <v>-0.19700342947096194</v>
      </c>
      <c r="BV190" s="24">
        <f t="shared" ref="BV190" si="260">IF(AND(ISNUMBER(BV189),ISNUMBER(BQ189)),IFERROR(BV189/BQ189-1,""),"")</f>
        <v>-0.49557060969254818</v>
      </c>
      <c r="BW190" s="24">
        <f t="shared" ref="BW190" si="261">IF(AND(ISNUMBER(BW189),ISNUMBER(BR189)),IFERROR(BW189/BR189-1,""),"")</f>
        <v>-0.23283876719307173</v>
      </c>
      <c r="BX190" s="24">
        <f t="shared" ref="BX190" si="262">IF(AND(ISNUMBER(BX189),ISNUMBER(BS189)),IFERROR(BX189/BS189-1,""),"")</f>
        <v>-0.12037500568880011</v>
      </c>
      <c r="BY190" s="25">
        <f>IFERROR(BY189/BT189-1,"")</f>
        <v>-0.14390982152672427</v>
      </c>
      <c r="BZ190" s="25">
        <f>IFERROR(BZ189/BU189-1,"")</f>
        <v>-0.16704454478959696</v>
      </c>
      <c r="CA190" s="25">
        <f>IFERROR(CA189/BV189-1,"")</f>
        <v>-0.14557195956569668</v>
      </c>
      <c r="CB190" s="25">
        <f>IFERROR(CB189/CA189-1,"")</f>
        <v>0.29645888889507988</v>
      </c>
      <c r="CC190" s="25">
        <f>IFERROR(CC189/CB189-1,"")</f>
        <v>0.31045923803846009</v>
      </c>
      <c r="CD190" s="25">
        <f>IFERROR(CD189/CC189-1,"")</f>
        <v>0.22764378616369996</v>
      </c>
      <c r="CE190" s="25">
        <f>IFERROR(CE189/CD189-1,"")</f>
        <v>0.21726537027522319</v>
      </c>
      <c r="CF190" s="6"/>
      <c r="CH190" s="21"/>
      <c r="CI190" s="21"/>
      <c r="CJ190" s="21"/>
      <c r="CK190" s="21"/>
    </row>
    <row r="191" spans="2:89" ht="15" customHeight="1" x14ac:dyDescent="0.25">
      <c r="B191" s="42" t="s">
        <v>345</v>
      </c>
      <c r="C191" s="28">
        <v>5.29</v>
      </c>
      <c r="D191" s="28">
        <v>6.06</v>
      </c>
      <c r="E191" s="28">
        <v>4.2</v>
      </c>
      <c r="F191" s="28">
        <v>1.91</v>
      </c>
      <c r="G191" s="28">
        <v>2.1</v>
      </c>
      <c r="H191" s="28">
        <v>1.78</v>
      </c>
      <c r="I191" s="28">
        <v>1.83</v>
      </c>
      <c r="J191" s="28">
        <v>-0.61</v>
      </c>
      <c r="K191" s="28">
        <v>0.89</v>
      </c>
      <c r="L191" s="28">
        <v>1.54</v>
      </c>
      <c r="M191" s="28">
        <v>0.77</v>
      </c>
      <c r="N191" s="28">
        <v>2.61</v>
      </c>
      <c r="O191" s="28">
        <v>-0.47</v>
      </c>
      <c r="P191" s="28">
        <v>1.27</v>
      </c>
      <c r="Q191" s="28">
        <v>0.79</v>
      </c>
      <c r="R191" s="28">
        <v>0.94</v>
      </c>
      <c r="S191" s="28">
        <v>2.71</v>
      </c>
      <c r="T191" s="28">
        <v>7.0000000000000007E-2</v>
      </c>
      <c r="U191" s="28">
        <v>1.22</v>
      </c>
      <c r="V191" s="28">
        <v>1.74</v>
      </c>
      <c r="W191" s="28">
        <v>1.26</v>
      </c>
      <c r="X191" s="28">
        <v>4.29</v>
      </c>
      <c r="Y191" s="28">
        <v>0.69</v>
      </c>
      <c r="Z191" s="28">
        <v>1.9</v>
      </c>
      <c r="AA191" s="28">
        <v>2.4900000000000002</v>
      </c>
      <c r="AB191" s="28">
        <v>1.55</v>
      </c>
      <c r="AC191" s="28">
        <v>6.63</v>
      </c>
      <c r="AD191" s="28">
        <v>0.67</v>
      </c>
      <c r="AE191" s="28">
        <v>2.25</v>
      </c>
      <c r="AF191" s="28">
        <v>2.39</v>
      </c>
      <c r="AG191" s="28">
        <v>5.95</v>
      </c>
      <c r="AH191" s="28">
        <v>11.25</v>
      </c>
      <c r="AI191" s="28">
        <v>0.16</v>
      </c>
      <c r="AJ191" s="28">
        <v>2.92</v>
      </c>
      <c r="AK191" s="28">
        <v>2.85</v>
      </c>
      <c r="AL191" s="28">
        <v>1.5</v>
      </c>
      <c r="AM191" s="28">
        <v>7.43</v>
      </c>
      <c r="AN191" s="28">
        <v>0.68</v>
      </c>
      <c r="AO191" s="28">
        <v>3.01</v>
      </c>
      <c r="AP191" s="28">
        <v>3.96</v>
      </c>
      <c r="AQ191" s="28">
        <v>2.09</v>
      </c>
      <c r="AR191" s="28">
        <v>9.74</v>
      </c>
      <c r="AS191" s="28">
        <v>0.41</v>
      </c>
      <c r="AT191" s="28">
        <v>3.49</v>
      </c>
      <c r="AU191" s="28">
        <v>4.71</v>
      </c>
      <c r="AV191" s="28">
        <v>2.93</v>
      </c>
      <c r="AW191" s="28">
        <v>11.54</v>
      </c>
      <c r="AX191" s="28">
        <v>1.04</v>
      </c>
      <c r="AY191" s="28">
        <v>3.61</v>
      </c>
      <c r="AZ191" s="28">
        <v>4.07</v>
      </c>
      <c r="BA191" s="28">
        <v>2.5</v>
      </c>
      <c r="BB191" s="28">
        <v>11.22</v>
      </c>
      <c r="BC191" s="28">
        <v>0.34</v>
      </c>
      <c r="BD191" s="28">
        <v>5.86</v>
      </c>
      <c r="BE191" s="28">
        <v>4.7300000000000004</v>
      </c>
      <c r="BF191" s="28">
        <v>2.95</v>
      </c>
      <c r="BG191" s="28">
        <v>13.87</v>
      </c>
      <c r="BH191" s="28">
        <v>1.95</v>
      </c>
      <c r="BI191" s="28">
        <v>5.61</v>
      </c>
      <c r="BJ191" s="28">
        <v>6.72</v>
      </c>
      <c r="BK191" s="28">
        <v>4.55</v>
      </c>
      <c r="BL191" s="28">
        <v>18.82</v>
      </c>
      <c r="BM191" s="28">
        <v>16.87</v>
      </c>
      <c r="BN191" s="28">
        <v>4.76</v>
      </c>
      <c r="BO191" s="28">
        <v>5.91</v>
      </c>
      <c r="BP191" s="28">
        <v>4.79</v>
      </c>
      <c r="BQ191" s="28">
        <v>32.409999999999997</v>
      </c>
      <c r="BR191" s="28">
        <v>1.9</v>
      </c>
      <c r="BS191" s="28">
        <v>5.43</v>
      </c>
      <c r="BT191" s="28">
        <v>6.85</v>
      </c>
      <c r="BU191" s="28">
        <v>4.62</v>
      </c>
      <c r="BV191" s="28">
        <v>18.77</v>
      </c>
      <c r="BW191" s="28">
        <v>25.06</v>
      </c>
      <c r="BX191" s="28">
        <v>4.17</v>
      </c>
      <c r="BY191" s="6"/>
      <c r="BZ191" s="6"/>
      <c r="CA191" s="6"/>
      <c r="CB191" s="6"/>
      <c r="CC191" s="6"/>
      <c r="CD191" s="6"/>
      <c r="CE191" s="6"/>
      <c r="CF191" s="6"/>
    </row>
    <row r="192" spans="2:89" ht="15" customHeight="1" x14ac:dyDescent="0.25">
      <c r="B192" s="42" t="s">
        <v>346</v>
      </c>
      <c r="C192" s="28">
        <v>5.26</v>
      </c>
      <c r="D192" s="28">
        <v>6.05</v>
      </c>
      <c r="E192" s="28">
        <v>4.09</v>
      </c>
      <c r="F192" s="28">
        <v>1.9</v>
      </c>
      <c r="G192" s="28">
        <v>2.1</v>
      </c>
      <c r="H192" s="28">
        <v>1.69</v>
      </c>
      <c r="I192" s="28">
        <v>1.84</v>
      </c>
      <c r="J192" s="28">
        <v>-0.61</v>
      </c>
      <c r="K192" s="28">
        <v>0.88</v>
      </c>
      <c r="L192" s="28">
        <v>1.55</v>
      </c>
      <c r="M192" s="28">
        <v>0.78</v>
      </c>
      <c r="N192" s="28">
        <v>2.63</v>
      </c>
      <c r="O192" s="28">
        <v>-0.47</v>
      </c>
      <c r="P192" s="28">
        <v>1.27</v>
      </c>
      <c r="Q192" s="28">
        <v>0.79</v>
      </c>
      <c r="R192" s="28">
        <v>0.94</v>
      </c>
      <c r="S192" s="28">
        <v>2.71</v>
      </c>
      <c r="T192" s="28">
        <v>7.0000000000000007E-2</v>
      </c>
      <c r="U192" s="28">
        <v>1.22</v>
      </c>
      <c r="V192" s="28">
        <v>1.74</v>
      </c>
      <c r="W192" s="28">
        <v>1.26</v>
      </c>
      <c r="X192" s="28">
        <v>4.29</v>
      </c>
      <c r="Y192" s="28">
        <v>0.69</v>
      </c>
      <c r="Z192" s="28">
        <v>1.9</v>
      </c>
      <c r="AA192" s="28">
        <v>2.4900000000000002</v>
      </c>
      <c r="AB192" s="28">
        <v>1.55</v>
      </c>
      <c r="AC192" s="28">
        <v>6.63</v>
      </c>
      <c r="AD192" s="28">
        <v>0.67</v>
      </c>
      <c r="AE192" s="28">
        <v>2.25</v>
      </c>
      <c r="AF192" s="28">
        <v>2.39</v>
      </c>
      <c r="AG192" s="28">
        <v>5.95</v>
      </c>
      <c r="AH192" s="28">
        <v>11.25</v>
      </c>
      <c r="AI192" s="28">
        <v>0.16</v>
      </c>
      <c r="AJ192" s="28">
        <v>2.92</v>
      </c>
      <c r="AK192" s="28">
        <v>2.85</v>
      </c>
      <c r="AL192" s="28">
        <v>1.5</v>
      </c>
      <c r="AM192" s="28">
        <v>7.43</v>
      </c>
      <c r="AN192" s="28">
        <v>0.68</v>
      </c>
      <c r="AO192" s="28">
        <v>3.01</v>
      </c>
      <c r="AP192" s="28">
        <v>3.96</v>
      </c>
      <c r="AQ192" s="28">
        <v>2.09</v>
      </c>
      <c r="AR192" s="28">
        <v>9.74</v>
      </c>
      <c r="AS192" s="28">
        <v>0.41</v>
      </c>
      <c r="AT192" s="28">
        <v>3.49</v>
      </c>
      <c r="AU192" s="28">
        <v>4.71</v>
      </c>
      <c r="AV192" s="28">
        <v>2.93</v>
      </c>
      <c r="AW192" s="28">
        <v>11.54</v>
      </c>
      <c r="AX192" s="28">
        <v>1.04</v>
      </c>
      <c r="AY192" s="28">
        <v>3.61</v>
      </c>
      <c r="AZ192" s="28">
        <v>4.07</v>
      </c>
      <c r="BA192" s="28">
        <v>2.4900000000000002</v>
      </c>
      <c r="BB192" s="28">
        <v>11.21</v>
      </c>
      <c r="BC192" s="28">
        <v>0.39</v>
      </c>
      <c r="BD192" s="28">
        <v>5.65</v>
      </c>
      <c r="BE192" s="28">
        <v>4.67</v>
      </c>
      <c r="BF192" s="28">
        <v>3.01</v>
      </c>
      <c r="BG192" s="28">
        <v>13.7</v>
      </c>
      <c r="BH192" s="28">
        <v>2.16</v>
      </c>
      <c r="BI192" s="28">
        <v>5.6</v>
      </c>
      <c r="BJ192" s="28">
        <v>6.94</v>
      </c>
      <c r="BK192" s="28">
        <v>4.63</v>
      </c>
      <c r="BL192" s="28">
        <v>19.32</v>
      </c>
      <c r="BM192" s="28">
        <v>16.87</v>
      </c>
      <c r="BN192" s="28">
        <v>4.76</v>
      </c>
      <c r="BO192" s="28">
        <v>5.91</v>
      </c>
      <c r="BP192" s="28">
        <v>4.79</v>
      </c>
      <c r="BQ192" s="28">
        <v>32.409999999999997</v>
      </c>
      <c r="BR192" s="28">
        <v>1.7</v>
      </c>
      <c r="BS192" s="28">
        <v>4.84</v>
      </c>
      <c r="BT192" s="28">
        <v>5.97</v>
      </c>
      <c r="BU192" s="28">
        <v>3.85</v>
      </c>
      <c r="BV192" s="28">
        <v>16.34</v>
      </c>
      <c r="BW192" s="28">
        <v>1.31</v>
      </c>
      <c r="BX192" s="28">
        <v>4.26</v>
      </c>
      <c r="BY192" s="6"/>
      <c r="BZ192" s="6"/>
      <c r="CA192" s="6"/>
      <c r="CB192" s="6"/>
      <c r="CC192" s="6"/>
      <c r="CD192" s="6"/>
      <c r="CE192" s="6"/>
      <c r="CF192" s="6"/>
    </row>
    <row r="193" spans="2:89" ht="15" customHeight="1" x14ac:dyDescent="0.25">
      <c r="B193" s="26" t="s">
        <v>347</v>
      </c>
      <c r="C193" s="28">
        <v>1.01</v>
      </c>
      <c r="D193" s="28">
        <v>1.24</v>
      </c>
      <c r="E193" s="28">
        <v>1.49</v>
      </c>
      <c r="F193" s="28">
        <v>1.6</v>
      </c>
      <c r="G193" s="28">
        <v>1.6</v>
      </c>
      <c r="H193" s="28">
        <v>1.6</v>
      </c>
      <c r="I193" s="28">
        <v>1.6</v>
      </c>
      <c r="J193" s="28">
        <v>0.4</v>
      </c>
      <c r="K193" s="28">
        <v>0.4</v>
      </c>
      <c r="L193" s="28">
        <v>0.4</v>
      </c>
      <c r="M193" s="28">
        <v>0.4</v>
      </c>
      <c r="N193" s="28">
        <v>1.6</v>
      </c>
      <c r="O193" s="28">
        <v>0.4</v>
      </c>
      <c r="P193" s="28">
        <v>0.4</v>
      </c>
      <c r="Q193" s="28">
        <v>0.4</v>
      </c>
      <c r="R193" s="28">
        <v>0.4</v>
      </c>
      <c r="S193" s="28">
        <v>1.6</v>
      </c>
      <c r="T193" s="28">
        <v>0.4</v>
      </c>
      <c r="U193" s="28">
        <v>0.4</v>
      </c>
      <c r="V193" s="28">
        <v>0.4</v>
      </c>
      <c r="W193" s="28">
        <v>0.4</v>
      </c>
      <c r="X193" s="28">
        <v>1.6</v>
      </c>
      <c r="Y193" s="28">
        <v>0.4</v>
      </c>
      <c r="Z193" s="28">
        <v>0.4</v>
      </c>
      <c r="AA193" s="28">
        <v>0.42</v>
      </c>
      <c r="AB193" s="28">
        <v>0.42</v>
      </c>
      <c r="AC193" s="28">
        <v>1.64</v>
      </c>
      <c r="AD193" s="28">
        <v>0.42</v>
      </c>
      <c r="AE193" s="28">
        <v>0.42</v>
      </c>
      <c r="AF193" s="28">
        <v>0.44</v>
      </c>
      <c r="AG193" s="28">
        <v>0.44</v>
      </c>
      <c r="AH193" s="28">
        <v>1.72</v>
      </c>
      <c r="AI193" s="28">
        <v>0.44</v>
      </c>
      <c r="AJ193" s="28">
        <v>0.44</v>
      </c>
      <c r="AK193" s="28">
        <v>0.48</v>
      </c>
      <c r="AL193" s="28">
        <v>0.48</v>
      </c>
      <c r="AM193" s="28">
        <v>1.84</v>
      </c>
      <c r="AN193" s="28">
        <v>0.48</v>
      </c>
      <c r="AO193" s="28">
        <v>0.48</v>
      </c>
      <c r="AP193" s="28">
        <v>0.55000000000000004</v>
      </c>
      <c r="AQ193" s="28">
        <v>0.55000000000000004</v>
      </c>
      <c r="AR193" s="28">
        <v>2.06</v>
      </c>
      <c r="AS193" s="28">
        <v>0.55000000000000004</v>
      </c>
      <c r="AT193" s="28">
        <v>0.55000000000000004</v>
      </c>
      <c r="AU193" s="28">
        <v>0.56999999999999995</v>
      </c>
      <c r="AV193" s="28">
        <v>0.56999999999999995</v>
      </c>
      <c r="AW193" s="28">
        <v>2.2400000000000002</v>
      </c>
      <c r="AX193" s="28">
        <v>0.56999999999999995</v>
      </c>
      <c r="AY193" s="28">
        <v>0.56999999999999995</v>
      </c>
      <c r="AZ193" s="28">
        <v>0.61</v>
      </c>
      <c r="BA193" s="28">
        <v>0.61</v>
      </c>
      <c r="BB193" s="28">
        <v>2.36</v>
      </c>
      <c r="BC193" s="28">
        <v>0.61</v>
      </c>
      <c r="BD193" s="28">
        <v>0.61</v>
      </c>
      <c r="BE193" s="28">
        <v>0.66</v>
      </c>
      <c r="BF193" s="28">
        <v>0.66</v>
      </c>
      <c r="BG193" s="28">
        <v>2.54</v>
      </c>
      <c r="BH193" s="28">
        <v>0.66</v>
      </c>
      <c r="BI193" s="28">
        <v>0.66</v>
      </c>
      <c r="BJ193" s="28">
        <v>0.74</v>
      </c>
      <c r="BK193" s="28">
        <v>0.74</v>
      </c>
      <c r="BL193" s="28">
        <v>2.8</v>
      </c>
      <c r="BM193" s="28">
        <v>0.74</v>
      </c>
      <c r="BN193" s="28">
        <v>0.74</v>
      </c>
      <c r="BO193" s="28">
        <v>0.79</v>
      </c>
      <c r="BP193" s="28">
        <v>0.79</v>
      </c>
      <c r="BQ193" s="28">
        <v>3.06</v>
      </c>
      <c r="BR193" s="28">
        <v>0.79</v>
      </c>
      <c r="BS193" s="28">
        <v>0.79</v>
      </c>
      <c r="BT193" s="28">
        <v>0.83</v>
      </c>
      <c r="BU193" s="28">
        <v>0.83</v>
      </c>
      <c r="BV193" s="28">
        <v>3.24</v>
      </c>
      <c r="BW193" s="28">
        <v>0.83</v>
      </c>
      <c r="BX193" s="28">
        <v>0.83</v>
      </c>
      <c r="BY193" s="29">
        <f>$BX$193*(1+$CA$194)</f>
        <v>0.87149999999999994</v>
      </c>
      <c r="BZ193" s="29">
        <f>$BX$193*(1+$CA$194)</f>
        <v>0.87149999999999994</v>
      </c>
      <c r="CA193" s="29">
        <f>SUM(BW193,BX193,BY193,BZ193)</f>
        <v>3.4029999999999996</v>
      </c>
      <c r="CB193" s="29">
        <f>CA193*(1+CB194)</f>
        <v>3.6071799999999996</v>
      </c>
      <c r="CC193" s="29">
        <f>CB193*(1+CC194)</f>
        <v>3.8236108</v>
      </c>
      <c r="CD193" s="29">
        <f>CC193*(1+CD194)</f>
        <v>4.0530274479999999</v>
      </c>
      <c r="CE193" s="29">
        <f>CD193*(1+CE194)</f>
        <v>4.29620909488</v>
      </c>
      <c r="CF193" s="20" t="s">
        <v>348</v>
      </c>
    </row>
    <row r="194" spans="2:89" ht="15" customHeight="1" x14ac:dyDescent="0.25">
      <c r="B194" s="23" t="s">
        <v>349</v>
      </c>
      <c r="D194" s="24">
        <f t="shared" ref="D194:I194" si="263">IF(AND(ISNUMBER(D193),ISNUMBER(C193)),IFERROR(D193/C193-1,""),"")</f>
        <v>0.2277227722772277</v>
      </c>
      <c r="E194" s="24">
        <f t="shared" si="263"/>
        <v>0.20161290322580649</v>
      </c>
      <c r="F194" s="24">
        <f t="shared" si="263"/>
        <v>7.3825503355704702E-2</v>
      </c>
      <c r="G194" s="24">
        <f t="shared" si="263"/>
        <v>0</v>
      </c>
      <c r="H194" s="24">
        <f t="shared" si="263"/>
        <v>0</v>
      </c>
      <c r="I194" s="24">
        <f t="shared" si="263"/>
        <v>0</v>
      </c>
      <c r="N194" s="24">
        <f t="shared" ref="N194:AS194" si="264">IF(AND(ISNUMBER(N193),ISNUMBER(I193)),IFERROR(N193/I193-1,""),"")</f>
        <v>0</v>
      </c>
      <c r="O194" s="24">
        <f t="shared" si="264"/>
        <v>0</v>
      </c>
      <c r="P194" s="24">
        <f t="shared" si="264"/>
        <v>0</v>
      </c>
      <c r="Q194" s="24">
        <f t="shared" si="264"/>
        <v>0</v>
      </c>
      <c r="R194" s="24">
        <f t="shared" si="264"/>
        <v>0</v>
      </c>
      <c r="S194" s="24">
        <f t="shared" si="264"/>
        <v>0</v>
      </c>
      <c r="T194" s="24">
        <f t="shared" si="264"/>
        <v>0</v>
      </c>
      <c r="U194" s="24">
        <f t="shared" si="264"/>
        <v>0</v>
      </c>
      <c r="V194" s="24">
        <f t="shared" si="264"/>
        <v>0</v>
      </c>
      <c r="W194" s="24">
        <f t="shared" si="264"/>
        <v>0</v>
      </c>
      <c r="X194" s="24">
        <f t="shared" si="264"/>
        <v>0</v>
      </c>
      <c r="Y194" s="24">
        <f t="shared" si="264"/>
        <v>0</v>
      </c>
      <c r="Z194" s="24">
        <f t="shared" si="264"/>
        <v>0</v>
      </c>
      <c r="AA194" s="24">
        <f t="shared" si="264"/>
        <v>4.9999999999999822E-2</v>
      </c>
      <c r="AB194" s="24">
        <f t="shared" si="264"/>
        <v>4.9999999999999822E-2</v>
      </c>
      <c r="AC194" s="24">
        <f t="shared" si="264"/>
        <v>2.4999999999999911E-2</v>
      </c>
      <c r="AD194" s="24">
        <f t="shared" si="264"/>
        <v>4.9999999999999822E-2</v>
      </c>
      <c r="AE194" s="24">
        <f t="shared" si="264"/>
        <v>4.9999999999999822E-2</v>
      </c>
      <c r="AF194" s="24">
        <f t="shared" si="264"/>
        <v>4.7619047619047672E-2</v>
      </c>
      <c r="AG194" s="24">
        <f t="shared" si="264"/>
        <v>4.7619047619047672E-2</v>
      </c>
      <c r="AH194" s="24">
        <f t="shared" si="264"/>
        <v>4.8780487804878092E-2</v>
      </c>
      <c r="AI194" s="24">
        <f t="shared" si="264"/>
        <v>4.7619047619047672E-2</v>
      </c>
      <c r="AJ194" s="24">
        <f t="shared" si="264"/>
        <v>4.7619047619047672E-2</v>
      </c>
      <c r="AK194" s="24">
        <f t="shared" si="264"/>
        <v>9.0909090909090828E-2</v>
      </c>
      <c r="AL194" s="24">
        <f t="shared" si="264"/>
        <v>9.0909090909090828E-2</v>
      </c>
      <c r="AM194" s="24">
        <f t="shared" si="264"/>
        <v>6.976744186046524E-2</v>
      </c>
      <c r="AN194" s="24">
        <f t="shared" si="264"/>
        <v>9.0909090909090828E-2</v>
      </c>
      <c r="AO194" s="24">
        <f t="shared" si="264"/>
        <v>9.0909090909090828E-2</v>
      </c>
      <c r="AP194" s="24">
        <f t="shared" si="264"/>
        <v>0.14583333333333348</v>
      </c>
      <c r="AQ194" s="24">
        <f t="shared" si="264"/>
        <v>0.14583333333333348</v>
      </c>
      <c r="AR194" s="24">
        <f t="shared" si="264"/>
        <v>0.11956521739130443</v>
      </c>
      <c r="AS194" s="24">
        <f t="shared" si="264"/>
        <v>0.14583333333333348</v>
      </c>
      <c r="AT194" s="24">
        <f t="shared" ref="AT194:BX194" si="265">IF(AND(ISNUMBER(AT193),ISNUMBER(AO193)),IFERROR(AT193/AO193-1,""),"")</f>
        <v>0.14583333333333348</v>
      </c>
      <c r="AU194" s="24">
        <f t="shared" si="265"/>
        <v>3.6363636363636154E-2</v>
      </c>
      <c r="AV194" s="24">
        <f t="shared" si="265"/>
        <v>3.6363636363636154E-2</v>
      </c>
      <c r="AW194" s="24">
        <f t="shared" si="265"/>
        <v>8.7378640776699212E-2</v>
      </c>
      <c r="AX194" s="24">
        <f t="shared" si="265"/>
        <v>3.6363636363636154E-2</v>
      </c>
      <c r="AY194" s="24">
        <f t="shared" si="265"/>
        <v>3.6363636363636154E-2</v>
      </c>
      <c r="AZ194" s="24">
        <f t="shared" si="265"/>
        <v>7.0175438596491224E-2</v>
      </c>
      <c r="BA194" s="24">
        <f t="shared" si="265"/>
        <v>7.0175438596491224E-2</v>
      </c>
      <c r="BB194" s="24">
        <f t="shared" si="265"/>
        <v>5.3571428571428381E-2</v>
      </c>
      <c r="BC194" s="24">
        <f t="shared" si="265"/>
        <v>7.0175438596491224E-2</v>
      </c>
      <c r="BD194" s="24">
        <f t="shared" si="265"/>
        <v>7.0175438596491224E-2</v>
      </c>
      <c r="BE194" s="24">
        <f t="shared" si="265"/>
        <v>8.1967213114754189E-2</v>
      </c>
      <c r="BF194" s="24">
        <f t="shared" si="265"/>
        <v>8.1967213114754189E-2</v>
      </c>
      <c r="BG194" s="24">
        <f t="shared" si="265"/>
        <v>7.6271186440677985E-2</v>
      </c>
      <c r="BH194" s="24">
        <f t="shared" si="265"/>
        <v>8.1967213114754189E-2</v>
      </c>
      <c r="BI194" s="24">
        <f t="shared" si="265"/>
        <v>8.1967213114754189E-2</v>
      </c>
      <c r="BJ194" s="24">
        <f t="shared" si="265"/>
        <v>0.1212121212121211</v>
      </c>
      <c r="BK194" s="24">
        <f t="shared" si="265"/>
        <v>0.1212121212121211</v>
      </c>
      <c r="BL194" s="24">
        <f t="shared" si="265"/>
        <v>0.10236220472440927</v>
      </c>
      <c r="BM194" s="24">
        <f t="shared" si="265"/>
        <v>0.1212121212121211</v>
      </c>
      <c r="BN194" s="24">
        <f t="shared" si="265"/>
        <v>0.1212121212121211</v>
      </c>
      <c r="BO194" s="24">
        <f t="shared" si="265"/>
        <v>6.7567567567567544E-2</v>
      </c>
      <c r="BP194" s="24">
        <f t="shared" si="265"/>
        <v>6.7567567567567544E-2</v>
      </c>
      <c r="BQ194" s="24">
        <f t="shared" si="265"/>
        <v>9.2857142857142971E-2</v>
      </c>
      <c r="BR194" s="24">
        <f t="shared" si="265"/>
        <v>6.7567567567567544E-2</v>
      </c>
      <c r="BS194" s="24">
        <f t="shared" si="265"/>
        <v>6.7567567567567544E-2</v>
      </c>
      <c r="BT194" s="24">
        <f t="shared" si="265"/>
        <v>5.0632911392404889E-2</v>
      </c>
      <c r="BU194" s="24">
        <f t="shared" si="265"/>
        <v>5.0632911392404889E-2</v>
      </c>
      <c r="BV194" s="24">
        <f t="shared" si="265"/>
        <v>5.8823529411764719E-2</v>
      </c>
      <c r="BW194" s="24">
        <f t="shared" si="265"/>
        <v>5.0632911392404889E-2</v>
      </c>
      <c r="BX194" s="24">
        <f t="shared" si="265"/>
        <v>5.0632911392404889E-2</v>
      </c>
      <c r="BY194" s="6"/>
      <c r="BZ194" s="6"/>
      <c r="CA194" s="49">
        <v>0.05</v>
      </c>
      <c r="CB194" s="49">
        <v>0.06</v>
      </c>
      <c r="CC194" s="49">
        <v>0.06</v>
      </c>
      <c r="CD194" s="49">
        <v>0.06</v>
      </c>
      <c r="CE194" s="49">
        <v>0.06</v>
      </c>
      <c r="CF194" s="6"/>
    </row>
    <row r="195" spans="2:89" ht="15" customHeight="1" x14ac:dyDescent="0.25">
      <c r="B195" s="42" t="s">
        <v>350</v>
      </c>
      <c r="BY195" s="6"/>
      <c r="BZ195" s="6"/>
      <c r="CA195" s="37">
        <f>CHOOSE(MATCH($CF$2,{"Bull","Base","Bear"},0),$CO$14,$CP$14,$CQ$14)</f>
        <v>1043</v>
      </c>
      <c r="CB195" s="6"/>
      <c r="CC195" s="6"/>
      <c r="CD195" s="6"/>
      <c r="CE195" s="6"/>
      <c r="CF195" s="20" t="s">
        <v>351</v>
      </c>
    </row>
    <row r="196" spans="2:89" ht="15" hidden="1" customHeight="1" outlineLevel="1" x14ac:dyDescent="0.25"/>
    <row r="197" spans="2:89" ht="15" hidden="1" customHeight="1" outlineLevel="1" x14ac:dyDescent="0.25">
      <c r="B197" s="11" t="s">
        <v>352</v>
      </c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11"/>
      <c r="BH197" s="11"/>
      <c r="BI197" s="11"/>
      <c r="BJ197" s="11"/>
      <c r="BK197" s="11"/>
      <c r="BL197" s="11"/>
      <c r="BM197" s="11"/>
      <c r="BN197" s="11"/>
      <c r="BO197" s="11"/>
      <c r="BP197" s="11"/>
      <c r="BQ197" s="11"/>
      <c r="BR197" s="11"/>
      <c r="BS197" s="11"/>
      <c r="BT197" s="11"/>
      <c r="BU197" s="11"/>
      <c r="BV197" s="11"/>
      <c r="BW197" s="11"/>
      <c r="BX197" s="11"/>
      <c r="BY197" s="11"/>
      <c r="BZ197" s="11"/>
      <c r="CA197" s="11"/>
      <c r="CB197" s="11"/>
      <c r="CC197" s="11"/>
      <c r="CD197" s="11"/>
      <c r="CE197" s="11"/>
      <c r="CF197" s="11" t="s">
        <v>353</v>
      </c>
    </row>
    <row r="198" spans="2:89" ht="15" hidden="1" customHeight="1" outlineLevel="1" x14ac:dyDescent="0.25">
      <c r="B198" s="17" t="s">
        <v>354</v>
      </c>
      <c r="C198" s="46">
        <f t="shared" ref="C198:AH198" si="266">C181</f>
        <v>243.80000000000004</v>
      </c>
      <c r="D198" s="46">
        <f t="shared" si="266"/>
        <v>262.5</v>
      </c>
      <c r="E198" s="46">
        <f t="shared" si="266"/>
        <v>171.49999999999989</v>
      </c>
      <c r="F198" s="46">
        <f t="shared" si="266"/>
        <v>85.199999999999804</v>
      </c>
      <c r="G198" s="46">
        <f t="shared" si="266"/>
        <v>96.8</v>
      </c>
      <c r="H198" s="46">
        <f t="shared" si="266"/>
        <v>78.400000000000006</v>
      </c>
      <c r="I198" s="46">
        <f t="shared" si="266"/>
        <v>84.999999999999858</v>
      </c>
      <c r="J198" s="46">
        <f t="shared" si="266"/>
        <v>-27.699999999999982</v>
      </c>
      <c r="K198" s="46">
        <f t="shared" si="266"/>
        <v>41.000000000000078</v>
      </c>
      <c r="L198" s="46">
        <f t="shared" si="266"/>
        <v>72.099999999999923</v>
      </c>
      <c r="M198" s="46">
        <f t="shared" si="266"/>
        <v>36.299999999999997</v>
      </c>
      <c r="N198" s="46">
        <f t="shared" si="266"/>
        <v>122.10000000000002</v>
      </c>
      <c r="O198" s="46">
        <f t="shared" si="266"/>
        <v>-21.599999999999991</v>
      </c>
      <c r="P198" s="46">
        <f t="shared" si="266"/>
        <v>59.600000000000023</v>
      </c>
      <c r="Q198" s="46">
        <f t="shared" si="266"/>
        <v>53.800000000000026</v>
      </c>
      <c r="R198" s="46">
        <f t="shared" si="266"/>
        <v>63.899999999999949</v>
      </c>
      <c r="S198" s="46">
        <f t="shared" si="266"/>
        <v>155.60000000000016</v>
      </c>
      <c r="T198" s="46">
        <f t="shared" si="266"/>
        <v>6.0999999999999508</v>
      </c>
      <c r="U198" s="46">
        <f t="shared" si="266"/>
        <v>81.89999999999992</v>
      </c>
      <c r="V198" s="46">
        <f t="shared" si="266"/>
        <v>117.5</v>
      </c>
      <c r="W198" s="46">
        <f t="shared" si="266"/>
        <v>83.20000000000006</v>
      </c>
      <c r="X198" s="46">
        <f t="shared" si="266"/>
        <v>288.79999999999973</v>
      </c>
      <c r="Y198" s="46">
        <f t="shared" si="266"/>
        <v>44.999999999999893</v>
      </c>
      <c r="Z198" s="46">
        <f t="shared" si="266"/>
        <v>122.09999999999991</v>
      </c>
      <c r="AA198" s="46">
        <f t="shared" si="266"/>
        <v>159.50000000000011</v>
      </c>
      <c r="AB198" s="46">
        <f t="shared" si="266"/>
        <v>98.899999999999864</v>
      </c>
      <c r="AC198" s="46">
        <f t="shared" si="266"/>
        <v>425.39999999999986</v>
      </c>
      <c r="AD198" s="46">
        <f t="shared" si="266"/>
        <v>42.300000000000018</v>
      </c>
      <c r="AE198" s="46">
        <f t="shared" si="266"/>
        <v>142.30000000000001</v>
      </c>
      <c r="AF198" s="46">
        <f t="shared" si="266"/>
        <v>151.50000000000006</v>
      </c>
      <c r="AG198" s="46">
        <f t="shared" si="266"/>
        <v>377.19999999999993</v>
      </c>
      <c r="AH198" s="46">
        <f t="shared" si="266"/>
        <v>713.30000000000007</v>
      </c>
      <c r="AI198" s="46">
        <f t="shared" ref="AI198:BN198" si="267">AI181</f>
        <v>9.9999999999999787</v>
      </c>
      <c r="AJ198" s="46">
        <f t="shared" si="267"/>
        <v>185.37700000000004</v>
      </c>
      <c r="AK198" s="46">
        <f t="shared" si="267"/>
        <v>180.22100000000012</v>
      </c>
      <c r="AL198" s="46">
        <f t="shared" si="267"/>
        <v>94.378</v>
      </c>
      <c r="AM198" s="46">
        <f t="shared" si="267"/>
        <v>469.99800000000027</v>
      </c>
      <c r="AN198" s="46">
        <f t="shared" si="267"/>
        <v>42.826000000000029</v>
      </c>
      <c r="AO198" s="46">
        <f t="shared" si="267"/>
        <v>189.46900000000005</v>
      </c>
      <c r="AP198" s="46">
        <f t="shared" si="267"/>
        <v>248.62200000000013</v>
      </c>
      <c r="AQ198" s="46">
        <f t="shared" si="267"/>
        <v>131.0140000000001</v>
      </c>
      <c r="AR198" s="46">
        <f t="shared" si="267"/>
        <v>611.91500000000008</v>
      </c>
      <c r="AS198" s="46">
        <f t="shared" si="267"/>
        <v>25.900000000000087</v>
      </c>
      <c r="AT198" s="46">
        <f t="shared" si="267"/>
        <v>217.59999999999994</v>
      </c>
      <c r="AU198" s="46">
        <f t="shared" si="267"/>
        <v>294.40000000000015</v>
      </c>
      <c r="AV198" s="46">
        <f t="shared" si="267"/>
        <v>182.99999999999986</v>
      </c>
      <c r="AW198" s="46">
        <f t="shared" si="267"/>
        <v>720.99999999999966</v>
      </c>
      <c r="AX198" s="46">
        <f t="shared" si="267"/>
        <v>65.299999999999912</v>
      </c>
      <c r="AY198" s="46">
        <f t="shared" si="267"/>
        <v>225.80000000000013</v>
      </c>
      <c r="AZ198" s="46">
        <f t="shared" si="267"/>
        <v>254.59999999999988</v>
      </c>
      <c r="BA198" s="46">
        <f t="shared" si="267"/>
        <v>156.30000000000004</v>
      </c>
      <c r="BB198" s="46">
        <f t="shared" si="267"/>
        <v>702.00000000000023</v>
      </c>
      <c r="BC198" s="46">
        <f t="shared" si="267"/>
        <v>24.499999999999915</v>
      </c>
      <c r="BD198" s="46">
        <f t="shared" si="267"/>
        <v>353.20000000000005</v>
      </c>
      <c r="BE198" s="46">
        <f t="shared" si="267"/>
        <v>291.2</v>
      </c>
      <c r="BF198" s="46">
        <f t="shared" si="267"/>
        <v>187.40000000000009</v>
      </c>
      <c r="BG198" s="46">
        <f t="shared" si="267"/>
        <v>856.30000000000018</v>
      </c>
      <c r="BH198" s="46">
        <f t="shared" si="267"/>
        <v>134.29999999999993</v>
      </c>
      <c r="BI198" s="46">
        <f t="shared" si="267"/>
        <v>347.59999999999985</v>
      </c>
      <c r="BJ198" s="46">
        <f t="shared" si="267"/>
        <v>430.30000000000007</v>
      </c>
      <c r="BK198" s="46">
        <f t="shared" si="267"/>
        <v>287.69999999999993</v>
      </c>
      <c r="BL198" s="46">
        <f t="shared" si="267"/>
        <v>1199.7999999999995</v>
      </c>
      <c r="BM198" s="46">
        <f t="shared" si="267"/>
        <v>1045</v>
      </c>
      <c r="BN198" s="46">
        <f t="shared" si="267"/>
        <v>294</v>
      </c>
      <c r="BO198" s="46">
        <f t="shared" ref="BO198:CE198" si="268">BO181</f>
        <v>363</v>
      </c>
      <c r="BP198" s="46">
        <f t="shared" si="268"/>
        <v>294</v>
      </c>
      <c r="BQ198" s="46">
        <f t="shared" si="268"/>
        <v>1995</v>
      </c>
      <c r="BR198" s="46">
        <f t="shared" si="268"/>
        <v>104</v>
      </c>
      <c r="BS198" s="46">
        <f t="shared" si="268"/>
        <v>292</v>
      </c>
      <c r="BT198" s="46">
        <f t="shared" si="268"/>
        <v>361</v>
      </c>
      <c r="BU198" s="46">
        <f t="shared" si="268"/>
        <v>233</v>
      </c>
      <c r="BV198" s="46">
        <f t="shared" si="268"/>
        <v>990</v>
      </c>
      <c r="BW198" s="46">
        <f t="shared" si="268"/>
        <v>79</v>
      </c>
      <c r="BX198" s="46">
        <f t="shared" si="268"/>
        <v>256</v>
      </c>
      <c r="BY198" s="34">
        <f t="shared" si="268"/>
        <v>333.00222352428591</v>
      </c>
      <c r="BZ198" s="34">
        <f t="shared" si="268"/>
        <v>228.25423982247494</v>
      </c>
      <c r="CA198" s="34">
        <f t="shared" si="268"/>
        <v>896.25646334676003</v>
      </c>
      <c r="CB198" s="34">
        <f t="shared" si="268"/>
        <v>1290.8191379330897</v>
      </c>
      <c r="CC198" s="34">
        <f t="shared" si="268"/>
        <v>1695.1230910099953</v>
      </c>
      <c r="CD198" s="34">
        <f t="shared" si="268"/>
        <v>2044.3650536735167</v>
      </c>
      <c r="CE198" s="34">
        <f t="shared" si="268"/>
        <v>2368.8409653213325</v>
      </c>
      <c r="CF198" s="6"/>
    </row>
    <row r="199" spans="2:89" ht="15" hidden="1" customHeight="1" outlineLevel="1" x14ac:dyDescent="0.25">
      <c r="B199" s="42" t="s">
        <v>355</v>
      </c>
      <c r="C199" s="47">
        <f>C178</f>
        <v>245.40000000000003</v>
      </c>
      <c r="D199" s="47">
        <f>D178</f>
        <v>262.7</v>
      </c>
      <c r="E199" s="47">
        <f>E178</f>
        <v>176.2999999999999</v>
      </c>
      <c r="F199" s="36">
        <v>85.5</v>
      </c>
      <c r="G199" s="36">
        <v>97</v>
      </c>
      <c r="H199" s="36">
        <v>82.4</v>
      </c>
      <c r="I199" s="36">
        <v>84.5</v>
      </c>
      <c r="J199" s="36">
        <v>-27.8</v>
      </c>
      <c r="K199" s="36">
        <v>41.3</v>
      </c>
      <c r="L199" s="36">
        <v>71.8</v>
      </c>
      <c r="M199" s="36">
        <v>36</v>
      </c>
      <c r="N199" s="36">
        <v>121.3</v>
      </c>
      <c r="O199" s="36">
        <v>-21.6</v>
      </c>
      <c r="P199" s="36">
        <v>59.5</v>
      </c>
      <c r="Q199" s="36">
        <v>53.7</v>
      </c>
      <c r="R199" s="36">
        <v>64</v>
      </c>
      <c r="S199" s="36">
        <v>155.6</v>
      </c>
      <c r="T199" s="36">
        <v>6.2</v>
      </c>
      <c r="U199" s="47">
        <f>U178</f>
        <v>81.89999999999992</v>
      </c>
      <c r="V199" s="47">
        <f>V178</f>
        <v>117.5</v>
      </c>
      <c r="W199" s="36">
        <v>83.2</v>
      </c>
      <c r="X199" s="36">
        <v>288.8</v>
      </c>
      <c r="Y199" s="36">
        <v>45</v>
      </c>
      <c r="Z199" s="36">
        <v>122.1</v>
      </c>
      <c r="AA199" s="36">
        <v>159.5</v>
      </c>
      <c r="AB199" s="36">
        <v>98.9</v>
      </c>
      <c r="AC199" s="36">
        <v>425.4</v>
      </c>
      <c r="AD199" s="36">
        <v>42.3</v>
      </c>
      <c r="AE199" s="36">
        <v>142.30000000000001</v>
      </c>
      <c r="AF199" s="36">
        <v>151.5</v>
      </c>
      <c r="AG199" s="36">
        <v>377.2</v>
      </c>
      <c r="AH199" s="36">
        <v>713.3</v>
      </c>
      <c r="AI199" s="36">
        <v>10</v>
      </c>
      <c r="AJ199" s="36">
        <v>185.37700000000001</v>
      </c>
      <c r="AK199" s="36">
        <v>180.221</v>
      </c>
      <c r="AL199" s="36">
        <v>94.378</v>
      </c>
      <c r="AM199" s="36">
        <v>469.99799999999999</v>
      </c>
      <c r="AN199" s="36">
        <v>42.853000000000002</v>
      </c>
      <c r="AO199" s="36">
        <v>189.47499999999999</v>
      </c>
      <c r="AP199" s="36">
        <v>248.57300000000001</v>
      </c>
      <c r="AQ199" s="36">
        <v>131.01400000000001</v>
      </c>
      <c r="AR199" s="36">
        <v>611.91499999999996</v>
      </c>
      <c r="AS199" s="36">
        <v>25.9</v>
      </c>
      <c r="AT199" s="36">
        <v>217.6</v>
      </c>
      <c r="AU199" s="36">
        <v>294.39999999999998</v>
      </c>
      <c r="AV199" s="36">
        <v>183</v>
      </c>
      <c r="AW199" s="36">
        <v>721</v>
      </c>
      <c r="AX199" s="36">
        <v>65.3</v>
      </c>
      <c r="AY199" s="36">
        <v>225.8</v>
      </c>
      <c r="AZ199" s="36">
        <v>254.6</v>
      </c>
      <c r="BA199" s="36">
        <v>156.30000000000001</v>
      </c>
      <c r="BB199" s="36">
        <v>702</v>
      </c>
      <c r="BC199" s="36">
        <v>24.5</v>
      </c>
      <c r="BD199" s="36">
        <v>353.2</v>
      </c>
      <c r="BE199" s="36">
        <v>291.2</v>
      </c>
      <c r="BF199" s="36">
        <v>187.4</v>
      </c>
      <c r="BG199" s="36">
        <v>856.3</v>
      </c>
      <c r="BH199" s="36">
        <v>134.30000000000001</v>
      </c>
      <c r="BI199" s="36">
        <v>347.6</v>
      </c>
      <c r="BJ199" s="36">
        <v>430.3</v>
      </c>
      <c r="BK199" s="36">
        <v>287.7</v>
      </c>
      <c r="BL199" s="36">
        <v>1199.8</v>
      </c>
      <c r="BM199" s="36">
        <v>1045</v>
      </c>
      <c r="BN199" s="36">
        <v>294</v>
      </c>
      <c r="BO199" s="36">
        <v>363</v>
      </c>
      <c r="BP199" s="36">
        <v>294</v>
      </c>
      <c r="BQ199" s="36">
        <v>1995</v>
      </c>
      <c r="BR199" s="36">
        <v>104</v>
      </c>
      <c r="BS199" s="36">
        <v>292</v>
      </c>
      <c r="BT199" s="36">
        <v>361</v>
      </c>
      <c r="BU199" s="36">
        <v>233</v>
      </c>
      <c r="BV199" s="36">
        <v>990</v>
      </c>
      <c r="BW199" s="36">
        <v>79</v>
      </c>
      <c r="BX199" s="36">
        <v>256</v>
      </c>
      <c r="BY199" s="37">
        <f t="shared" ref="BY199:CE199" si="269">BY198</f>
        <v>333.00222352428591</v>
      </c>
      <c r="BZ199" s="37">
        <f t="shared" si="269"/>
        <v>228.25423982247494</v>
      </c>
      <c r="CA199" s="37">
        <f t="shared" si="269"/>
        <v>896.25646334676003</v>
      </c>
      <c r="CB199" s="37">
        <f t="shared" si="269"/>
        <v>1290.8191379330897</v>
      </c>
      <c r="CC199" s="37">
        <f t="shared" si="269"/>
        <v>1695.1230910099953</v>
      </c>
      <c r="CD199" s="37">
        <f t="shared" si="269"/>
        <v>2044.3650536735167</v>
      </c>
      <c r="CE199" s="37">
        <f t="shared" si="269"/>
        <v>2368.8409653213325</v>
      </c>
      <c r="CF199" s="6"/>
    </row>
    <row r="200" spans="2:89" ht="15" hidden="1" customHeight="1" outlineLevel="1" x14ac:dyDescent="0.25">
      <c r="B200" s="26" t="s">
        <v>356</v>
      </c>
      <c r="C200" s="47">
        <f t="shared" ref="C200:AH200" si="270">C199-C198</f>
        <v>1.5999999999999943</v>
      </c>
      <c r="D200" s="47">
        <f t="shared" si="270"/>
        <v>0.19999999999998863</v>
      </c>
      <c r="E200" s="47">
        <f t="shared" si="270"/>
        <v>4.8000000000000114</v>
      </c>
      <c r="F200" s="47">
        <f t="shared" si="270"/>
        <v>0.30000000000019611</v>
      </c>
      <c r="G200" s="47">
        <f t="shared" si="270"/>
        <v>0.20000000000000284</v>
      </c>
      <c r="H200" s="47">
        <f t="shared" si="270"/>
        <v>4</v>
      </c>
      <c r="I200" s="47">
        <f t="shared" si="270"/>
        <v>-0.49999999999985789</v>
      </c>
      <c r="J200" s="47">
        <f t="shared" si="270"/>
        <v>-0.10000000000001918</v>
      </c>
      <c r="K200" s="47">
        <f t="shared" si="270"/>
        <v>0.299999999999919</v>
      </c>
      <c r="L200" s="47">
        <f t="shared" si="270"/>
        <v>-0.2999999999999261</v>
      </c>
      <c r="M200" s="47">
        <f t="shared" si="270"/>
        <v>-0.29999999999999716</v>
      </c>
      <c r="N200" s="47">
        <f t="shared" si="270"/>
        <v>-0.80000000000002558</v>
      </c>
      <c r="O200" s="47">
        <f t="shared" si="270"/>
        <v>0</v>
      </c>
      <c r="P200" s="47">
        <f t="shared" si="270"/>
        <v>-0.10000000000002274</v>
      </c>
      <c r="Q200" s="47">
        <f t="shared" si="270"/>
        <v>-0.10000000000002274</v>
      </c>
      <c r="R200" s="47">
        <f t="shared" si="270"/>
        <v>0.10000000000005116</v>
      </c>
      <c r="S200" s="47">
        <f t="shared" si="270"/>
        <v>0</v>
      </c>
      <c r="T200" s="47">
        <f t="shared" si="270"/>
        <v>0.10000000000004938</v>
      </c>
      <c r="U200" s="47">
        <f t="shared" si="270"/>
        <v>0</v>
      </c>
      <c r="V200" s="47">
        <f t="shared" si="270"/>
        <v>0</v>
      </c>
      <c r="W200" s="47">
        <f t="shared" si="270"/>
        <v>0</v>
      </c>
      <c r="X200" s="47">
        <f t="shared" si="270"/>
        <v>0</v>
      </c>
      <c r="Y200" s="47">
        <f t="shared" si="270"/>
        <v>1.0658141036401503E-13</v>
      </c>
      <c r="Z200" s="47">
        <f t="shared" si="270"/>
        <v>0</v>
      </c>
      <c r="AA200" s="47">
        <f t="shared" si="270"/>
        <v>0</v>
      </c>
      <c r="AB200" s="47">
        <f t="shared" si="270"/>
        <v>1.4210854715202004E-13</v>
      </c>
      <c r="AC200" s="47">
        <f t="shared" si="270"/>
        <v>0</v>
      </c>
      <c r="AD200" s="47">
        <f t="shared" si="270"/>
        <v>0</v>
      </c>
      <c r="AE200" s="47">
        <f t="shared" si="270"/>
        <v>0</v>
      </c>
      <c r="AF200" s="47">
        <f t="shared" si="270"/>
        <v>0</v>
      </c>
      <c r="AG200" s="47">
        <f t="shared" si="270"/>
        <v>0</v>
      </c>
      <c r="AH200" s="47">
        <f t="shared" si="270"/>
        <v>0</v>
      </c>
      <c r="AI200" s="47">
        <f t="shared" ref="AI200:BN200" si="271">AI199-AI198</f>
        <v>2.1316282072803006E-14</v>
      </c>
      <c r="AJ200" s="47">
        <f t="shared" si="271"/>
        <v>0</v>
      </c>
      <c r="AK200" s="47">
        <f t="shared" si="271"/>
        <v>0</v>
      </c>
      <c r="AL200" s="47">
        <f t="shared" si="271"/>
        <v>0</v>
      </c>
      <c r="AM200" s="47">
        <f t="shared" si="271"/>
        <v>0</v>
      </c>
      <c r="AN200" s="47">
        <f t="shared" si="271"/>
        <v>2.6999999999972601E-2</v>
      </c>
      <c r="AO200" s="47">
        <f t="shared" si="271"/>
        <v>5.999999999943384E-3</v>
      </c>
      <c r="AP200" s="47">
        <f t="shared" si="271"/>
        <v>-4.9000000000120281E-2</v>
      </c>
      <c r="AQ200" s="47">
        <f t="shared" si="271"/>
        <v>0</v>
      </c>
      <c r="AR200" s="47">
        <f t="shared" si="271"/>
        <v>0</v>
      </c>
      <c r="AS200" s="47">
        <f t="shared" si="271"/>
        <v>-8.8817841970012523E-14</v>
      </c>
      <c r="AT200" s="47">
        <f t="shared" si="271"/>
        <v>0</v>
      </c>
      <c r="AU200" s="47">
        <f t="shared" si="271"/>
        <v>0</v>
      </c>
      <c r="AV200" s="47">
        <f t="shared" si="271"/>
        <v>0</v>
      </c>
      <c r="AW200" s="47">
        <f t="shared" si="271"/>
        <v>0</v>
      </c>
      <c r="AX200" s="47">
        <f t="shared" si="271"/>
        <v>0</v>
      </c>
      <c r="AY200" s="47">
        <f t="shared" si="271"/>
        <v>0</v>
      </c>
      <c r="AZ200" s="47">
        <f t="shared" si="271"/>
        <v>0</v>
      </c>
      <c r="BA200" s="47">
        <f t="shared" si="271"/>
        <v>0</v>
      </c>
      <c r="BB200" s="47">
        <f t="shared" si="271"/>
        <v>0</v>
      </c>
      <c r="BC200" s="47">
        <f t="shared" si="271"/>
        <v>8.5265128291212022E-14</v>
      </c>
      <c r="BD200" s="47">
        <f t="shared" si="271"/>
        <v>0</v>
      </c>
      <c r="BE200" s="47">
        <f t="shared" si="271"/>
        <v>0</v>
      </c>
      <c r="BF200" s="47">
        <f t="shared" si="271"/>
        <v>0</v>
      </c>
      <c r="BG200" s="47">
        <f t="shared" si="271"/>
        <v>0</v>
      </c>
      <c r="BH200" s="47">
        <f t="shared" si="271"/>
        <v>0</v>
      </c>
      <c r="BI200" s="47">
        <f t="shared" si="271"/>
        <v>0</v>
      </c>
      <c r="BJ200" s="47">
        <f t="shared" si="271"/>
        <v>0</v>
      </c>
      <c r="BK200" s="47">
        <f t="shared" si="271"/>
        <v>0</v>
      </c>
      <c r="BL200" s="47">
        <f t="shared" si="271"/>
        <v>0</v>
      </c>
      <c r="BM200" s="47">
        <f t="shared" si="271"/>
        <v>0</v>
      </c>
      <c r="BN200" s="47">
        <f t="shared" si="271"/>
        <v>0</v>
      </c>
      <c r="BO200" s="47">
        <f t="shared" ref="BO200:CE200" si="272">BO199-BO198</f>
        <v>0</v>
      </c>
      <c r="BP200" s="47">
        <f t="shared" si="272"/>
        <v>0</v>
      </c>
      <c r="BQ200" s="47">
        <f t="shared" si="272"/>
        <v>0</v>
      </c>
      <c r="BR200" s="47">
        <f t="shared" si="272"/>
        <v>0</v>
      </c>
      <c r="BS200" s="47">
        <f t="shared" si="272"/>
        <v>0</v>
      </c>
      <c r="BT200" s="47">
        <f t="shared" si="272"/>
        <v>0</v>
      </c>
      <c r="BU200" s="47">
        <f t="shared" si="272"/>
        <v>0</v>
      </c>
      <c r="BV200" s="47">
        <f t="shared" si="272"/>
        <v>0</v>
      </c>
      <c r="BW200" s="47">
        <f t="shared" si="272"/>
        <v>0</v>
      </c>
      <c r="BX200" s="47">
        <f t="shared" si="272"/>
        <v>0</v>
      </c>
      <c r="BY200" s="37">
        <f t="shared" si="272"/>
        <v>0</v>
      </c>
      <c r="BZ200" s="37">
        <f t="shared" si="272"/>
        <v>0</v>
      </c>
      <c r="CA200" s="37">
        <f t="shared" si="272"/>
        <v>0</v>
      </c>
      <c r="CB200" s="37">
        <f t="shared" si="272"/>
        <v>0</v>
      </c>
      <c r="CC200" s="37">
        <f t="shared" si="272"/>
        <v>0</v>
      </c>
      <c r="CD200" s="37">
        <f t="shared" si="272"/>
        <v>0</v>
      </c>
      <c r="CE200" s="37">
        <f t="shared" si="272"/>
        <v>0</v>
      </c>
      <c r="CF200" s="6"/>
    </row>
    <row r="201" spans="2:89" ht="15" hidden="1" customHeight="1" outlineLevel="1" x14ac:dyDescent="0.25">
      <c r="B201" s="26" t="s">
        <v>357</v>
      </c>
      <c r="C201" s="47">
        <f>C167</f>
        <v>40.4</v>
      </c>
      <c r="D201" s="47">
        <f>D167</f>
        <v>60.9</v>
      </c>
      <c r="E201" s="47">
        <f>E167</f>
        <v>74.3</v>
      </c>
      <c r="F201" s="36">
        <v>73.5</v>
      </c>
      <c r="G201" s="36">
        <v>68.5</v>
      </c>
      <c r="H201" s="36">
        <v>58.6</v>
      </c>
      <c r="I201" s="36">
        <v>53.3</v>
      </c>
      <c r="J201" s="36">
        <v>13.5</v>
      </c>
      <c r="K201" s="36">
        <v>13.6</v>
      </c>
      <c r="L201" s="36">
        <v>13.5</v>
      </c>
      <c r="M201" s="36">
        <v>12.8</v>
      </c>
      <c r="N201" s="36">
        <v>53.5</v>
      </c>
      <c r="O201" s="36">
        <v>12.2</v>
      </c>
      <c r="P201" s="36">
        <v>12.9</v>
      </c>
      <c r="Q201" s="36">
        <v>19.8</v>
      </c>
      <c r="R201" s="36">
        <v>21.1</v>
      </c>
      <c r="S201" s="36">
        <v>66.099999999999994</v>
      </c>
      <c r="T201" s="36">
        <v>19.3</v>
      </c>
      <c r="U201" s="47">
        <f>U167</f>
        <v>19.100000000000001</v>
      </c>
      <c r="V201" s="47">
        <f>V167</f>
        <v>18.899999999999999</v>
      </c>
      <c r="W201" s="36">
        <v>18.899999999999999</v>
      </c>
      <c r="X201" s="36">
        <v>76.3</v>
      </c>
      <c r="Y201" s="36">
        <v>20</v>
      </c>
      <c r="Z201" s="36">
        <v>20.3</v>
      </c>
      <c r="AA201" s="36">
        <v>20.6</v>
      </c>
      <c r="AB201" s="36">
        <v>20.8</v>
      </c>
      <c r="AC201" s="36">
        <v>81.7</v>
      </c>
      <c r="AD201" s="36">
        <v>20.9</v>
      </c>
      <c r="AE201" s="36">
        <v>24</v>
      </c>
      <c r="AF201" s="36">
        <v>23.1</v>
      </c>
      <c r="AG201" s="36">
        <v>23.4</v>
      </c>
      <c r="AH201" s="36">
        <v>91.5</v>
      </c>
      <c r="AI201" s="36">
        <v>35.1</v>
      </c>
      <c r="AJ201" s="36">
        <v>32.970999999999997</v>
      </c>
      <c r="AK201" s="36">
        <v>35.468000000000004</v>
      </c>
      <c r="AL201" s="36">
        <v>33.542000000000002</v>
      </c>
      <c r="AM201" s="36">
        <v>137.06899999999999</v>
      </c>
      <c r="AN201" s="36">
        <v>32.845999999999997</v>
      </c>
      <c r="AO201" s="36">
        <v>33.198999999999998</v>
      </c>
      <c r="AP201" s="36">
        <v>32.320999999999998</v>
      </c>
      <c r="AQ201" s="36">
        <v>30.584</v>
      </c>
      <c r="AR201" s="36">
        <v>128.94999999999999</v>
      </c>
      <c r="AS201" s="36">
        <v>29.6</v>
      </c>
      <c r="AT201" s="36">
        <v>31</v>
      </c>
      <c r="AU201" s="36">
        <v>28.6</v>
      </c>
      <c r="AV201" s="36">
        <v>28.4</v>
      </c>
      <c r="AW201" s="36">
        <v>117.6</v>
      </c>
      <c r="AX201" s="36">
        <v>27.3</v>
      </c>
      <c r="AY201" s="36">
        <v>28.2</v>
      </c>
      <c r="AZ201" s="36">
        <v>44.2</v>
      </c>
      <c r="BA201" s="36">
        <v>42.8</v>
      </c>
      <c r="BB201" s="36">
        <v>142.4</v>
      </c>
      <c r="BC201" s="36">
        <v>40.5</v>
      </c>
      <c r="BD201" s="36">
        <v>42.2</v>
      </c>
      <c r="BE201" s="36">
        <v>38.799999999999997</v>
      </c>
      <c r="BF201" s="36">
        <v>33.9</v>
      </c>
      <c r="BG201" s="36">
        <v>155.4</v>
      </c>
      <c r="BH201" s="36">
        <v>31.6</v>
      </c>
      <c r="BI201" s="36">
        <v>29.6</v>
      </c>
      <c r="BJ201" s="36">
        <v>31.9</v>
      </c>
      <c r="BK201" s="36">
        <v>25.7</v>
      </c>
      <c r="BL201" s="36">
        <v>118.6</v>
      </c>
      <c r="BM201" s="36">
        <v>14</v>
      </c>
      <c r="BN201" s="36">
        <v>33</v>
      </c>
      <c r="BO201" s="36">
        <v>38</v>
      </c>
      <c r="BP201" s="36">
        <v>43</v>
      </c>
      <c r="BQ201" s="36">
        <v>128</v>
      </c>
      <c r="BR201" s="36">
        <v>51</v>
      </c>
      <c r="BS201" s="36">
        <v>56</v>
      </c>
      <c r="BT201" s="36">
        <v>56</v>
      </c>
      <c r="BU201" s="36">
        <v>57</v>
      </c>
      <c r="BV201" s="36">
        <v>220</v>
      </c>
      <c r="BW201" s="36">
        <v>54</v>
      </c>
      <c r="BX201" s="36">
        <v>58</v>
      </c>
      <c r="BY201" s="37">
        <f>BY167-BY168</f>
        <v>100.51643835616439</v>
      </c>
      <c r="BZ201" s="37">
        <f>BZ167-BZ168</f>
        <v>153.40273972602739</v>
      </c>
      <c r="CA201" s="37">
        <f>SUM(BW201,BX201,BY201,BZ201)</f>
        <v>365.91917808219176</v>
      </c>
      <c r="CB201" s="37">
        <f>CB167-CB168</f>
        <v>584.64059892310001</v>
      </c>
      <c r="CC201" s="37">
        <f>CC167-CC168</f>
        <v>529.35229741434875</v>
      </c>
      <c r="CD201" s="37">
        <f>CD167-CD168</f>
        <v>491.40041667259277</v>
      </c>
      <c r="CE201" s="37">
        <f>CE167-CE168</f>
        <v>512.10663833469221</v>
      </c>
      <c r="CF201" s="6"/>
    </row>
    <row r="202" spans="2:89" ht="15" hidden="1" customHeight="1" outlineLevel="1" x14ac:dyDescent="0.25">
      <c r="B202" s="26" t="s">
        <v>358</v>
      </c>
      <c r="C202" s="47">
        <f>C172</f>
        <v>106.6</v>
      </c>
      <c r="D202" s="47">
        <f>D172</f>
        <v>116.1</v>
      </c>
      <c r="E202" s="47">
        <f>E172</f>
        <v>71.8</v>
      </c>
      <c r="F202" s="36">
        <v>27.4</v>
      </c>
      <c r="G202" s="36">
        <v>29.3</v>
      </c>
      <c r="H202" s="36">
        <v>23.1</v>
      </c>
      <c r="I202" s="36">
        <v>16.600000000000001</v>
      </c>
      <c r="J202" s="36">
        <v>-8.4</v>
      </c>
      <c r="K202" s="36">
        <v>15.1</v>
      </c>
      <c r="L202" s="36">
        <v>22.7</v>
      </c>
      <c r="M202" s="36">
        <v>14.3</v>
      </c>
      <c r="N202" s="36">
        <v>43.5</v>
      </c>
      <c r="O202" s="36">
        <v>-8.4</v>
      </c>
      <c r="P202" s="36">
        <v>23.9</v>
      </c>
      <c r="Q202" s="36">
        <v>44.1</v>
      </c>
      <c r="R202" s="36">
        <v>35.299999999999997</v>
      </c>
      <c r="S202" s="36">
        <v>94.8</v>
      </c>
      <c r="T202" s="36">
        <v>-0.8</v>
      </c>
      <c r="U202" s="47">
        <f>U172</f>
        <v>38.9</v>
      </c>
      <c r="V202" s="47">
        <f>V172</f>
        <v>47.5</v>
      </c>
      <c r="W202" s="36">
        <v>39.299999999999997</v>
      </c>
      <c r="X202" s="36">
        <v>124.9</v>
      </c>
      <c r="Y202" s="36">
        <v>19.7</v>
      </c>
      <c r="Z202" s="36">
        <v>53.4</v>
      </c>
      <c r="AA202" s="36">
        <v>70.900000000000006</v>
      </c>
      <c r="AB202" s="36">
        <v>37.6</v>
      </c>
      <c r="AC202" s="36">
        <v>181.6</v>
      </c>
      <c r="AD202" s="36">
        <v>14.5</v>
      </c>
      <c r="AE202" s="36">
        <v>52</v>
      </c>
      <c r="AF202" s="36">
        <v>52.8</v>
      </c>
      <c r="AG202" s="36">
        <v>-213.6</v>
      </c>
      <c r="AH202" s="36">
        <v>-94.4</v>
      </c>
      <c r="AI202" s="36">
        <v>2.5</v>
      </c>
      <c r="AJ202" s="36">
        <v>52.581000000000003</v>
      </c>
      <c r="AK202" s="36">
        <v>29.050999999999998</v>
      </c>
      <c r="AL202" s="36">
        <v>21.567</v>
      </c>
      <c r="AM202" s="36">
        <v>105.637</v>
      </c>
      <c r="AN202" s="36">
        <v>-5.0010000000000003</v>
      </c>
      <c r="AO202" s="36">
        <v>49.878</v>
      </c>
      <c r="AP202" s="36">
        <v>66.143000000000001</v>
      </c>
      <c r="AQ202" s="36">
        <v>25.256</v>
      </c>
      <c r="AR202" s="36">
        <v>136.27500000000001</v>
      </c>
      <c r="AS202" s="36">
        <v>0.1</v>
      </c>
      <c r="AT202" s="36">
        <v>61.4</v>
      </c>
      <c r="AU202" s="36">
        <v>81.5</v>
      </c>
      <c r="AV202" s="36">
        <v>25.2</v>
      </c>
      <c r="AW202" s="36">
        <v>168.2</v>
      </c>
      <c r="AX202" s="36">
        <v>15.8</v>
      </c>
      <c r="AY202" s="36">
        <v>62.2</v>
      </c>
      <c r="AZ202" s="36">
        <v>63.6</v>
      </c>
      <c r="BA202" s="36">
        <v>11.5</v>
      </c>
      <c r="BB202" s="36">
        <v>153.1</v>
      </c>
      <c r="BC202" s="36">
        <v>5.9</v>
      </c>
      <c r="BD202" s="36">
        <v>104.4</v>
      </c>
      <c r="BE202" s="36">
        <v>79.099999999999994</v>
      </c>
      <c r="BF202" s="36">
        <v>45.5</v>
      </c>
      <c r="BG202" s="36">
        <v>234.8</v>
      </c>
      <c r="BH202" s="36">
        <v>35.5</v>
      </c>
      <c r="BI202" s="36">
        <v>91.9</v>
      </c>
      <c r="BJ202" s="36">
        <v>109.9</v>
      </c>
      <c r="BK202" s="36">
        <v>55</v>
      </c>
      <c r="BL202" s="36">
        <v>292.3</v>
      </c>
      <c r="BM202" s="36">
        <v>368</v>
      </c>
      <c r="BN202" s="36">
        <v>78</v>
      </c>
      <c r="BO202" s="36">
        <v>95</v>
      </c>
      <c r="BP202" s="36">
        <v>59</v>
      </c>
      <c r="BQ202" s="36">
        <v>600</v>
      </c>
      <c r="BR202" s="36">
        <v>28</v>
      </c>
      <c r="BS202" s="36">
        <v>73</v>
      </c>
      <c r="BT202" s="36">
        <v>89</v>
      </c>
      <c r="BU202" s="36">
        <v>46</v>
      </c>
      <c r="BV202" s="36">
        <v>236</v>
      </c>
      <c r="BW202" s="36">
        <v>38</v>
      </c>
      <c r="BX202" s="36">
        <v>64</v>
      </c>
      <c r="BY202" s="37">
        <f>BY172</f>
        <v>89.07729660908511</v>
      </c>
      <c r="BZ202" s="37">
        <f>BZ172</f>
        <v>61.05746204263712</v>
      </c>
      <c r="CA202" s="37">
        <f>SUM(BW202,BX202,BY202,BZ202)</f>
        <v>252.13475865172225</v>
      </c>
      <c r="CB202" s="37">
        <f>CB172</f>
        <v>364.07719275035862</v>
      </c>
      <c r="CC202" s="37">
        <f>CC172</f>
        <v>478.11164105410126</v>
      </c>
      <c r="CD202" s="37">
        <f>CD172</f>
        <v>576.61578436945354</v>
      </c>
      <c r="CE202" s="37">
        <f>CE172</f>
        <v>668.13463124447844</v>
      </c>
      <c r="CF202" s="6"/>
    </row>
    <row r="203" spans="2:89" ht="15" hidden="1" customHeight="1" outlineLevel="1" x14ac:dyDescent="0.25">
      <c r="B203" s="26" t="s">
        <v>359</v>
      </c>
      <c r="C203" s="47">
        <f>C182</f>
        <v>141.429</v>
      </c>
      <c r="D203" s="47">
        <f>D182</f>
        <v>150.33799999999999</v>
      </c>
      <c r="E203" s="47">
        <f>E182</f>
        <v>171.12899999999999</v>
      </c>
      <c r="F203" s="36">
        <v>177.7</v>
      </c>
      <c r="G203" s="36">
        <v>179.9</v>
      </c>
      <c r="H203" s="36">
        <v>171.8</v>
      </c>
      <c r="I203" s="36">
        <v>175.5</v>
      </c>
      <c r="J203" s="36">
        <v>42.6</v>
      </c>
      <c r="K203" s="36">
        <v>42.5</v>
      </c>
      <c r="L203" s="36">
        <v>43.6</v>
      </c>
      <c r="M203" s="36">
        <v>43.2</v>
      </c>
      <c r="N203" s="36">
        <v>171.9</v>
      </c>
      <c r="O203" s="36">
        <v>42</v>
      </c>
      <c r="P203" s="36">
        <v>43.3</v>
      </c>
      <c r="Q203" s="36">
        <v>67.2</v>
      </c>
      <c r="R203" s="36">
        <v>67.900000000000006</v>
      </c>
      <c r="S203" s="36">
        <v>220.5</v>
      </c>
      <c r="T203" s="36">
        <v>66.5</v>
      </c>
      <c r="U203" s="47">
        <f>U182</f>
        <v>67.69</v>
      </c>
      <c r="V203" s="47">
        <f>V182</f>
        <v>64.977000000000004</v>
      </c>
      <c r="W203" s="36">
        <v>63</v>
      </c>
      <c r="X203" s="36">
        <v>260.7</v>
      </c>
      <c r="Y203" s="36">
        <v>67.900000000000006</v>
      </c>
      <c r="Z203" s="36">
        <v>70.7</v>
      </c>
      <c r="AA203" s="36">
        <v>71.8</v>
      </c>
      <c r="AB203" s="36">
        <v>72.400000000000006</v>
      </c>
      <c r="AC203" s="36">
        <v>282.89999999999998</v>
      </c>
      <c r="AD203" s="36">
        <v>70</v>
      </c>
      <c r="AE203" s="36">
        <v>74</v>
      </c>
      <c r="AF203" s="36">
        <v>74.599999999999994</v>
      </c>
      <c r="AG203" s="36">
        <v>75.400000000000006</v>
      </c>
      <c r="AH203" s="36">
        <v>294</v>
      </c>
      <c r="AI203" s="36">
        <v>75.7</v>
      </c>
      <c r="AJ203" s="36">
        <v>85.736999999999995</v>
      </c>
      <c r="AK203" s="36">
        <v>88.692999999999998</v>
      </c>
      <c r="AL203" s="36">
        <v>89.861999999999995</v>
      </c>
      <c r="AM203" s="36">
        <v>340.00599999999997</v>
      </c>
      <c r="AN203" s="36">
        <v>88.186999999999998</v>
      </c>
      <c r="AO203" s="36">
        <v>105.91500000000001</v>
      </c>
      <c r="AP203" s="36">
        <v>92.034000000000006</v>
      </c>
      <c r="AQ203" s="36">
        <v>91.926000000000002</v>
      </c>
      <c r="AR203" s="36">
        <v>377.40899999999999</v>
      </c>
      <c r="AS203" s="36">
        <v>93.4</v>
      </c>
      <c r="AT203" s="36">
        <v>97</v>
      </c>
      <c r="AU203" s="36">
        <v>97.2</v>
      </c>
      <c r="AV203" s="36">
        <v>98.5</v>
      </c>
      <c r="AW203" s="36">
        <v>386</v>
      </c>
      <c r="AX203" s="36">
        <v>96</v>
      </c>
      <c r="AY203" s="36">
        <v>106.1</v>
      </c>
      <c r="AZ203" s="36">
        <v>112.1</v>
      </c>
      <c r="BA203" s="36">
        <v>128.4</v>
      </c>
      <c r="BB203" s="36">
        <v>442.5</v>
      </c>
      <c r="BC203" s="36">
        <v>124.9</v>
      </c>
      <c r="BD203" s="36">
        <v>127.3</v>
      </c>
      <c r="BE203" s="36">
        <v>122.4</v>
      </c>
      <c r="BF203" s="36">
        <v>121.9</v>
      </c>
      <c r="BG203" s="36">
        <v>496.6</v>
      </c>
      <c r="BH203" s="36">
        <v>121.7</v>
      </c>
      <c r="BI203" s="36">
        <v>126.6</v>
      </c>
      <c r="BJ203" s="36">
        <v>129.80000000000001</v>
      </c>
      <c r="BK203" s="36">
        <v>126.6</v>
      </c>
      <c r="BL203" s="36">
        <v>504.8</v>
      </c>
      <c r="BM203" s="36">
        <v>128</v>
      </c>
      <c r="BN203" s="36">
        <v>140</v>
      </c>
      <c r="BO203" s="36">
        <v>148</v>
      </c>
      <c r="BP203" s="36">
        <v>148</v>
      </c>
      <c r="BQ203" s="36">
        <v>564</v>
      </c>
      <c r="BR203" s="36">
        <v>136</v>
      </c>
      <c r="BS203" s="36">
        <v>144</v>
      </c>
      <c r="BT203" s="36">
        <v>149</v>
      </c>
      <c r="BU203" s="36">
        <v>153</v>
      </c>
      <c r="BV203" s="36">
        <v>581</v>
      </c>
      <c r="BW203" s="36">
        <v>165</v>
      </c>
      <c r="BX203" s="36">
        <v>202</v>
      </c>
      <c r="BY203" s="37">
        <f>BY182</f>
        <v>268.05903445594669</v>
      </c>
      <c r="BZ203" s="37">
        <f>BZ182</f>
        <v>332.19344316944131</v>
      </c>
      <c r="CA203" s="37">
        <f>SUM(BW203,BX203,BY203,BZ203)</f>
        <v>967.25247762538788</v>
      </c>
      <c r="CB203" s="37">
        <f>CB182</f>
        <v>1330.6005222719286</v>
      </c>
      <c r="CC203" s="37">
        <f>CC182</f>
        <v>1411.3951897843349</v>
      </c>
      <c r="CD203" s="37">
        <f>CD182</f>
        <v>1505.4800539465443</v>
      </c>
      <c r="CE203" s="37">
        <f>CE182</f>
        <v>1610.9464498195753</v>
      </c>
      <c r="CF203" s="6"/>
    </row>
    <row r="204" spans="2:89" ht="15" hidden="1" customHeight="1" outlineLevel="1" x14ac:dyDescent="0.25">
      <c r="B204" s="59" t="s">
        <v>360</v>
      </c>
      <c r="C204" s="60">
        <f t="shared" ref="C204:AH204" si="273">C198+C200+C201+C202+C203</f>
        <v>533.82899999999995</v>
      </c>
      <c r="D204" s="60">
        <f t="shared" si="273"/>
        <v>590.0379999999999</v>
      </c>
      <c r="E204" s="60">
        <f t="shared" si="273"/>
        <v>493.52899999999988</v>
      </c>
      <c r="F204" s="60">
        <f t="shared" si="273"/>
        <v>364.1</v>
      </c>
      <c r="G204" s="60">
        <f t="shared" si="273"/>
        <v>374.70000000000005</v>
      </c>
      <c r="H204" s="60">
        <f t="shared" si="273"/>
        <v>335.9</v>
      </c>
      <c r="I204" s="60">
        <f t="shared" si="273"/>
        <v>329.9</v>
      </c>
      <c r="J204" s="60">
        <f t="shared" si="273"/>
        <v>19.899999999999999</v>
      </c>
      <c r="K204" s="60">
        <f t="shared" si="273"/>
        <v>112.5</v>
      </c>
      <c r="L204" s="60">
        <f t="shared" si="273"/>
        <v>151.6</v>
      </c>
      <c r="M204" s="60">
        <f t="shared" si="273"/>
        <v>106.3</v>
      </c>
      <c r="N204" s="60">
        <f t="shared" si="273"/>
        <v>390.20000000000005</v>
      </c>
      <c r="O204" s="60">
        <f t="shared" si="273"/>
        <v>24.20000000000001</v>
      </c>
      <c r="P204" s="60">
        <f t="shared" si="273"/>
        <v>139.60000000000002</v>
      </c>
      <c r="Q204" s="60">
        <f t="shared" si="273"/>
        <v>184.8</v>
      </c>
      <c r="R204" s="60">
        <f t="shared" si="273"/>
        <v>188.3</v>
      </c>
      <c r="S204" s="60">
        <f t="shared" si="273"/>
        <v>537.00000000000023</v>
      </c>
      <c r="T204" s="60">
        <f t="shared" si="273"/>
        <v>91.2</v>
      </c>
      <c r="U204" s="60">
        <f t="shared" si="273"/>
        <v>207.58999999999992</v>
      </c>
      <c r="V204" s="60">
        <f t="shared" si="273"/>
        <v>248.87700000000001</v>
      </c>
      <c r="W204" s="60">
        <f t="shared" si="273"/>
        <v>204.40000000000003</v>
      </c>
      <c r="X204" s="60">
        <f t="shared" si="273"/>
        <v>750.69999999999982</v>
      </c>
      <c r="Y204" s="60">
        <f t="shared" si="273"/>
        <v>152.60000000000002</v>
      </c>
      <c r="Z204" s="60">
        <f t="shared" si="273"/>
        <v>266.49999999999994</v>
      </c>
      <c r="AA204" s="60">
        <f t="shared" si="273"/>
        <v>322.80000000000013</v>
      </c>
      <c r="AB204" s="60">
        <f t="shared" si="273"/>
        <v>229.70000000000002</v>
      </c>
      <c r="AC204" s="60">
        <f t="shared" si="273"/>
        <v>971.5999999999998</v>
      </c>
      <c r="AD204" s="60">
        <f t="shared" si="273"/>
        <v>147.70000000000002</v>
      </c>
      <c r="AE204" s="60">
        <f t="shared" si="273"/>
        <v>292.3</v>
      </c>
      <c r="AF204" s="60">
        <f t="shared" si="273"/>
        <v>302</v>
      </c>
      <c r="AG204" s="60">
        <f t="shared" si="273"/>
        <v>262.39999999999992</v>
      </c>
      <c r="AH204" s="60">
        <f t="shared" si="273"/>
        <v>1004.4000000000001</v>
      </c>
      <c r="AI204" s="60">
        <f t="shared" ref="AI204:BN204" si="274">AI198+AI200+AI201+AI202+AI203</f>
        <v>123.30000000000001</v>
      </c>
      <c r="AJ204" s="60">
        <f t="shared" si="274"/>
        <v>356.66600000000005</v>
      </c>
      <c r="AK204" s="60">
        <f t="shared" si="274"/>
        <v>333.43300000000011</v>
      </c>
      <c r="AL204" s="60">
        <f t="shared" si="274"/>
        <v>239.34899999999999</v>
      </c>
      <c r="AM204" s="60">
        <f t="shared" si="274"/>
        <v>1052.71</v>
      </c>
      <c r="AN204" s="60">
        <f t="shared" si="274"/>
        <v>158.88499999999999</v>
      </c>
      <c r="AO204" s="60">
        <f t="shared" si="274"/>
        <v>378.46699999999998</v>
      </c>
      <c r="AP204" s="60">
        <f t="shared" si="274"/>
        <v>439.07100000000003</v>
      </c>
      <c r="AQ204" s="60">
        <f t="shared" si="274"/>
        <v>278.78000000000009</v>
      </c>
      <c r="AR204" s="60">
        <f t="shared" si="274"/>
        <v>1254.549</v>
      </c>
      <c r="AS204" s="60">
        <f t="shared" si="274"/>
        <v>149</v>
      </c>
      <c r="AT204" s="60">
        <f t="shared" si="274"/>
        <v>406.99999999999994</v>
      </c>
      <c r="AU204" s="60">
        <f t="shared" si="274"/>
        <v>501.70000000000016</v>
      </c>
      <c r="AV204" s="60">
        <f t="shared" si="274"/>
        <v>335.09999999999985</v>
      </c>
      <c r="AW204" s="60">
        <f t="shared" si="274"/>
        <v>1392.7999999999997</v>
      </c>
      <c r="AX204" s="60">
        <f t="shared" si="274"/>
        <v>204.39999999999992</v>
      </c>
      <c r="AY204" s="60">
        <f t="shared" si="274"/>
        <v>422.30000000000007</v>
      </c>
      <c r="AZ204" s="60">
        <f t="shared" si="274"/>
        <v>474.49999999999989</v>
      </c>
      <c r="BA204" s="60">
        <f t="shared" si="274"/>
        <v>339</v>
      </c>
      <c r="BB204" s="60">
        <f t="shared" si="274"/>
        <v>1440.0000000000002</v>
      </c>
      <c r="BC204" s="60">
        <f t="shared" si="274"/>
        <v>195.8</v>
      </c>
      <c r="BD204" s="60">
        <f t="shared" si="274"/>
        <v>627.1</v>
      </c>
      <c r="BE204" s="60">
        <f t="shared" si="274"/>
        <v>531.5</v>
      </c>
      <c r="BF204" s="60">
        <f t="shared" si="274"/>
        <v>388.70000000000005</v>
      </c>
      <c r="BG204" s="60">
        <f t="shared" si="274"/>
        <v>1743.1000000000004</v>
      </c>
      <c r="BH204" s="60">
        <f t="shared" si="274"/>
        <v>323.09999999999991</v>
      </c>
      <c r="BI204" s="60">
        <f t="shared" si="274"/>
        <v>595.69999999999993</v>
      </c>
      <c r="BJ204" s="60">
        <f t="shared" si="274"/>
        <v>701.90000000000009</v>
      </c>
      <c r="BK204" s="60">
        <f t="shared" si="274"/>
        <v>494.99999999999989</v>
      </c>
      <c r="BL204" s="60">
        <f t="shared" si="274"/>
        <v>2115.4999999999995</v>
      </c>
      <c r="BM204" s="60">
        <f t="shared" si="274"/>
        <v>1555</v>
      </c>
      <c r="BN204" s="60">
        <f t="shared" si="274"/>
        <v>545</v>
      </c>
      <c r="BO204" s="60">
        <f t="shared" ref="BO204:CE204" si="275">BO198+BO200+BO201+BO202+BO203</f>
        <v>644</v>
      </c>
      <c r="BP204" s="60">
        <f t="shared" si="275"/>
        <v>544</v>
      </c>
      <c r="BQ204" s="60">
        <f t="shared" si="275"/>
        <v>3287</v>
      </c>
      <c r="BR204" s="60">
        <f t="shared" si="275"/>
        <v>319</v>
      </c>
      <c r="BS204" s="60">
        <f t="shared" si="275"/>
        <v>565</v>
      </c>
      <c r="BT204" s="60">
        <f t="shared" si="275"/>
        <v>655</v>
      </c>
      <c r="BU204" s="60">
        <f t="shared" si="275"/>
        <v>489</v>
      </c>
      <c r="BV204" s="60">
        <f t="shared" si="275"/>
        <v>2027</v>
      </c>
      <c r="BW204" s="60">
        <f t="shared" si="275"/>
        <v>336</v>
      </c>
      <c r="BX204" s="60">
        <f t="shared" si="275"/>
        <v>580</v>
      </c>
      <c r="BY204" s="60">
        <f t="shared" si="275"/>
        <v>790.65499294548204</v>
      </c>
      <c r="BZ204" s="60">
        <f t="shared" si="275"/>
        <v>774.90788476058083</v>
      </c>
      <c r="CA204" s="60">
        <f t="shared" si="275"/>
        <v>2481.562877706062</v>
      </c>
      <c r="CB204" s="60">
        <f t="shared" si="275"/>
        <v>3570.1374518784769</v>
      </c>
      <c r="CC204" s="60">
        <f t="shared" si="275"/>
        <v>4113.9822192627798</v>
      </c>
      <c r="CD204" s="60">
        <f t="shared" si="275"/>
        <v>4617.8613086621071</v>
      </c>
      <c r="CE204" s="60">
        <f t="shared" si="275"/>
        <v>5160.0286847200787</v>
      </c>
      <c r="CF204" s="6"/>
      <c r="CH204" s="21">
        <f>IFERROR((CE204/BV204)^(1/5)-1,"n/m")</f>
        <v>0.20547906736547406</v>
      </c>
      <c r="CI204" s="21">
        <f>IFERROR((BV204/AW204)^(1/5)-1,"n/m")</f>
        <v>7.7936053980283138E-2</v>
      </c>
      <c r="CJ204" s="21">
        <f>IFERROR((BV204/X204)^(1/10)-1,"n/m")</f>
        <v>0.10443136884396975</v>
      </c>
      <c r="CK204" s="21">
        <f>IFERROR((BV204/C204)^(1/19)-1,"n/m")</f>
        <v>7.2747353731896114E-2</v>
      </c>
    </row>
    <row r="205" spans="2:89" ht="15" hidden="1" customHeight="1" outlineLevel="1" x14ac:dyDescent="0.25">
      <c r="B205" s="26" t="s">
        <v>361</v>
      </c>
      <c r="AJ205" s="36">
        <v>12.125999999999999</v>
      </c>
      <c r="AK205" s="36">
        <v>8.8999999999999996E-2</v>
      </c>
      <c r="AL205" s="36">
        <v>0.55400000000000005</v>
      </c>
      <c r="AM205" s="36">
        <v>13.478999999999999</v>
      </c>
      <c r="AN205" s="36">
        <v>0</v>
      </c>
      <c r="AO205" s="36">
        <v>0</v>
      </c>
      <c r="AP205" s="36">
        <v>0</v>
      </c>
      <c r="AQ205" s="36">
        <v>0</v>
      </c>
      <c r="AR205" s="36">
        <v>0</v>
      </c>
      <c r="AY205" s="36">
        <v>9.3000000000000007</v>
      </c>
      <c r="AZ205" s="36">
        <v>7.4</v>
      </c>
      <c r="BA205" s="36">
        <v>39.799999999999997</v>
      </c>
      <c r="BB205" s="36">
        <v>57.9</v>
      </c>
      <c r="BC205" s="36">
        <v>1.4</v>
      </c>
      <c r="BD205" s="36">
        <v>2.9</v>
      </c>
      <c r="BE205" s="36">
        <v>1.8</v>
      </c>
      <c r="BF205" s="36">
        <v>3</v>
      </c>
      <c r="BG205" s="36">
        <v>9.1</v>
      </c>
      <c r="BH205" s="36">
        <v>0.8</v>
      </c>
      <c r="BI205" s="36">
        <v>0.4</v>
      </c>
      <c r="BJ205" s="36">
        <v>3.3</v>
      </c>
      <c r="BK205" s="36">
        <v>7.6</v>
      </c>
      <c r="BL205" s="36">
        <v>12.2</v>
      </c>
      <c r="BM205" s="36">
        <v>18</v>
      </c>
      <c r="BN205" s="36">
        <v>19</v>
      </c>
      <c r="BO205" s="36">
        <v>2</v>
      </c>
      <c r="BP205" s="36">
        <v>1</v>
      </c>
      <c r="BQ205" s="36">
        <v>40</v>
      </c>
      <c r="BR205" s="36">
        <v>0</v>
      </c>
      <c r="BS205" s="36">
        <v>0</v>
      </c>
      <c r="BT205" s="36">
        <v>7</v>
      </c>
      <c r="BU205" s="36">
        <v>5</v>
      </c>
      <c r="BV205" s="36">
        <v>12</v>
      </c>
      <c r="BW205" s="36">
        <v>4</v>
      </c>
      <c r="BX205" s="36">
        <v>11</v>
      </c>
      <c r="BY205" s="37">
        <f>BY164</f>
        <v>60</v>
      </c>
      <c r="BZ205" s="37">
        <f>BZ164</f>
        <v>23</v>
      </c>
      <c r="CA205" s="37">
        <f>SUM(BW205,BX205,BY205,BZ205)</f>
        <v>98</v>
      </c>
      <c r="CB205" s="37">
        <f>CB164</f>
        <v>25</v>
      </c>
      <c r="CC205" s="37">
        <f>CC164</f>
        <v>10</v>
      </c>
      <c r="CD205" s="37">
        <f>CD164</f>
        <v>10</v>
      </c>
      <c r="CE205" s="37">
        <f>CE164</f>
        <v>10</v>
      </c>
      <c r="CF205" s="20" t="s">
        <v>362</v>
      </c>
    </row>
    <row r="206" spans="2:89" ht="15" hidden="1" customHeight="1" outlineLevel="1" x14ac:dyDescent="0.25">
      <c r="B206" s="26" t="s">
        <v>363</v>
      </c>
      <c r="AJ206" s="36">
        <v>10.167</v>
      </c>
      <c r="AK206" s="36">
        <v>8.3490000000000002</v>
      </c>
      <c r="AL206" s="36">
        <v>0.222</v>
      </c>
      <c r="AM206" s="36">
        <v>18.738</v>
      </c>
      <c r="AO206" s="36">
        <v>0</v>
      </c>
      <c r="AP206" s="36">
        <v>0</v>
      </c>
      <c r="AQ206" s="36">
        <v>0</v>
      </c>
      <c r="AR206" s="36">
        <v>0</v>
      </c>
      <c r="AY206" s="36">
        <v>7.6</v>
      </c>
      <c r="AZ206" s="36">
        <v>8.1</v>
      </c>
      <c r="BA206" s="36">
        <v>14.9</v>
      </c>
      <c r="BB206" s="36">
        <v>30.6</v>
      </c>
      <c r="BD206" s="36">
        <v>0</v>
      </c>
      <c r="BE206" s="36">
        <v>0</v>
      </c>
      <c r="BF206" s="36">
        <v>0</v>
      </c>
      <c r="BG206" s="36">
        <v>0</v>
      </c>
      <c r="BN206" s="36">
        <v>20</v>
      </c>
      <c r="BO206" s="36">
        <v>0</v>
      </c>
      <c r="BP206" s="36">
        <v>0</v>
      </c>
      <c r="BQ206" s="36">
        <v>20</v>
      </c>
      <c r="BR206" s="36">
        <v>0</v>
      </c>
      <c r="BS206" s="36">
        <v>0</v>
      </c>
      <c r="BT206" s="36">
        <v>5</v>
      </c>
      <c r="BU206" s="36">
        <v>0</v>
      </c>
      <c r="BV206" s="36">
        <v>5</v>
      </c>
      <c r="BW206" s="36">
        <v>22</v>
      </c>
      <c r="BX206" s="36">
        <v>45</v>
      </c>
      <c r="BY206" s="37">
        <f>BY79</f>
        <v>30</v>
      </c>
      <c r="BZ206" s="37">
        <f>BZ79</f>
        <v>29</v>
      </c>
      <c r="CA206" s="37">
        <f>SUM(BW206,BX206,BY206,BZ206)</f>
        <v>126</v>
      </c>
      <c r="CB206" s="37">
        <f>CB79</f>
        <v>0</v>
      </c>
      <c r="CC206" s="37">
        <f>CC79</f>
        <v>0</v>
      </c>
      <c r="CD206" s="37">
        <f>CD79</f>
        <v>0</v>
      </c>
      <c r="CE206" s="37">
        <f>CE79</f>
        <v>0</v>
      </c>
      <c r="CF206" s="6"/>
    </row>
    <row r="207" spans="2:89" ht="15" hidden="1" customHeight="1" outlineLevel="1" x14ac:dyDescent="0.25">
      <c r="B207" s="26" t="s">
        <v>364</v>
      </c>
      <c r="W207" s="36">
        <v>-13.1</v>
      </c>
      <c r="X207" s="36">
        <v>-13.1</v>
      </c>
      <c r="BD207" s="36">
        <v>-151.69999999999999</v>
      </c>
      <c r="BE207" s="36">
        <v>-0.2</v>
      </c>
      <c r="BF207" s="36">
        <v>0</v>
      </c>
      <c r="BG207" s="36">
        <v>-151.9</v>
      </c>
      <c r="BI207" s="36">
        <v>0</v>
      </c>
      <c r="BJ207" s="36">
        <v>0</v>
      </c>
      <c r="BK207" s="36">
        <v>0</v>
      </c>
      <c r="BL207" s="36">
        <v>0</v>
      </c>
      <c r="BM207" s="36">
        <v>-1331</v>
      </c>
      <c r="BN207" s="36">
        <v>0</v>
      </c>
      <c r="BO207" s="36">
        <v>0</v>
      </c>
      <c r="BP207" s="36">
        <v>0</v>
      </c>
      <c r="BQ207" s="36">
        <v>-1331</v>
      </c>
      <c r="BT207" s="36">
        <v>0</v>
      </c>
      <c r="BU207" s="36">
        <v>0</v>
      </c>
      <c r="BV207" s="36">
        <v>0</v>
      </c>
      <c r="BY207" s="52">
        <v>0</v>
      </c>
      <c r="BZ207" s="52">
        <v>0</v>
      </c>
      <c r="CA207" s="37">
        <f>SUM(BW207,BX207,BY207,BZ207)</f>
        <v>0</v>
      </c>
      <c r="CB207" s="52">
        <v>0</v>
      </c>
      <c r="CC207" s="52">
        <v>0</v>
      </c>
      <c r="CD207" s="52">
        <v>0</v>
      </c>
      <c r="CE207" s="52">
        <v>0</v>
      </c>
      <c r="CF207" s="6"/>
    </row>
    <row r="208" spans="2:89" ht="15" hidden="1" customHeight="1" outlineLevel="1" x14ac:dyDescent="0.25">
      <c r="B208" s="26" t="s">
        <v>365</v>
      </c>
      <c r="AK208" s="36">
        <v>7.1130000000000004</v>
      </c>
      <c r="AL208" s="36">
        <v>11.725</v>
      </c>
      <c r="AM208" s="36">
        <v>18.838000000000001</v>
      </c>
      <c r="AP208" s="36">
        <v>0</v>
      </c>
      <c r="AQ208" s="36">
        <v>0</v>
      </c>
      <c r="AR208" s="36">
        <v>0</v>
      </c>
      <c r="BM208" s="36">
        <v>49</v>
      </c>
      <c r="BN208" s="36">
        <v>0</v>
      </c>
      <c r="BO208" s="36">
        <v>0</v>
      </c>
      <c r="BP208" s="36">
        <v>0</v>
      </c>
      <c r="BQ208" s="36">
        <v>50</v>
      </c>
      <c r="BR208" s="36">
        <v>0</v>
      </c>
      <c r="BS208" s="36">
        <v>0</v>
      </c>
      <c r="BT208" s="36">
        <v>0</v>
      </c>
      <c r="BU208" s="36">
        <v>21</v>
      </c>
      <c r="BV208" s="36">
        <v>21</v>
      </c>
      <c r="BW208" s="36">
        <v>2</v>
      </c>
      <c r="BX208" s="36">
        <v>2</v>
      </c>
      <c r="BY208" s="52">
        <v>0</v>
      </c>
      <c r="BZ208" s="52">
        <v>0</v>
      </c>
      <c r="CA208" s="37">
        <f>SUM(BW208,BX208,BY208,BZ208)</f>
        <v>4</v>
      </c>
      <c r="CB208" s="52">
        <v>0</v>
      </c>
      <c r="CC208" s="52">
        <v>0</v>
      </c>
      <c r="CD208" s="52">
        <v>0</v>
      </c>
      <c r="CE208" s="52">
        <v>0</v>
      </c>
      <c r="CF208" s="6"/>
    </row>
    <row r="209" spans="2:89" ht="15" hidden="1" customHeight="1" outlineLevel="1" x14ac:dyDescent="0.25">
      <c r="B209" s="26" t="s">
        <v>366</v>
      </c>
      <c r="C209" s="36">
        <v>1.171</v>
      </c>
      <c r="D209" s="36">
        <v>0.56200000000000006</v>
      </c>
      <c r="E209" s="36">
        <v>4.1710000000000003</v>
      </c>
      <c r="W209" s="36">
        <v>-0.8</v>
      </c>
      <c r="X209" s="36">
        <v>29.1</v>
      </c>
      <c r="BY209" s="52">
        <v>0</v>
      </c>
      <c r="BZ209" s="52">
        <v>0</v>
      </c>
      <c r="CA209" s="37">
        <f>SUM(BW209,BX209,BY209,BZ209)</f>
        <v>0</v>
      </c>
      <c r="CB209" s="52">
        <v>0</v>
      </c>
      <c r="CC209" s="52">
        <v>0</v>
      </c>
      <c r="CD209" s="52">
        <v>0</v>
      </c>
      <c r="CE209" s="52">
        <v>0</v>
      </c>
      <c r="CF209" s="6"/>
    </row>
    <row r="210" spans="2:89" ht="15" hidden="1" customHeight="1" outlineLevel="1" x14ac:dyDescent="0.25">
      <c r="B210" s="17" t="s">
        <v>367</v>
      </c>
      <c r="C210" s="46">
        <f t="shared" ref="C210:AH210" si="276">N(C205)+N(C206)+N(C207)+N(C208)+N(C209)</f>
        <v>1.171</v>
      </c>
      <c r="D210" s="46">
        <f t="shared" si="276"/>
        <v>0.56200000000000006</v>
      </c>
      <c r="E210" s="46">
        <f t="shared" si="276"/>
        <v>4.1710000000000003</v>
      </c>
      <c r="F210" s="46">
        <f t="shared" si="276"/>
        <v>0</v>
      </c>
      <c r="G210" s="46">
        <f t="shared" si="276"/>
        <v>0</v>
      </c>
      <c r="H210" s="46">
        <f t="shared" si="276"/>
        <v>0</v>
      </c>
      <c r="I210" s="46">
        <f t="shared" si="276"/>
        <v>0</v>
      </c>
      <c r="J210" s="46">
        <f t="shared" si="276"/>
        <v>0</v>
      </c>
      <c r="K210" s="46">
        <f t="shared" si="276"/>
        <v>0</v>
      </c>
      <c r="L210" s="46">
        <f t="shared" si="276"/>
        <v>0</v>
      </c>
      <c r="M210" s="46">
        <f t="shared" si="276"/>
        <v>0</v>
      </c>
      <c r="N210" s="46">
        <f t="shared" si="276"/>
        <v>0</v>
      </c>
      <c r="O210" s="46">
        <f t="shared" si="276"/>
        <v>0</v>
      </c>
      <c r="P210" s="46">
        <f t="shared" si="276"/>
        <v>0</v>
      </c>
      <c r="Q210" s="46">
        <f t="shared" si="276"/>
        <v>0</v>
      </c>
      <c r="R210" s="46">
        <f t="shared" si="276"/>
        <v>0</v>
      </c>
      <c r="S210" s="46">
        <f t="shared" si="276"/>
        <v>0</v>
      </c>
      <c r="T210" s="46">
        <f t="shared" si="276"/>
        <v>0</v>
      </c>
      <c r="U210" s="46">
        <f t="shared" si="276"/>
        <v>0</v>
      </c>
      <c r="V210" s="46">
        <f t="shared" si="276"/>
        <v>0</v>
      </c>
      <c r="W210" s="46">
        <f t="shared" si="276"/>
        <v>-13.9</v>
      </c>
      <c r="X210" s="46">
        <f t="shared" si="276"/>
        <v>16</v>
      </c>
      <c r="Y210" s="46">
        <f t="shared" si="276"/>
        <v>0</v>
      </c>
      <c r="Z210" s="46">
        <f t="shared" si="276"/>
        <v>0</v>
      </c>
      <c r="AA210" s="46">
        <f t="shared" si="276"/>
        <v>0</v>
      </c>
      <c r="AB210" s="46">
        <f t="shared" si="276"/>
        <v>0</v>
      </c>
      <c r="AC210" s="46">
        <f t="shared" si="276"/>
        <v>0</v>
      </c>
      <c r="AD210" s="46">
        <f t="shared" si="276"/>
        <v>0</v>
      </c>
      <c r="AE210" s="46">
        <f t="shared" si="276"/>
        <v>0</v>
      </c>
      <c r="AF210" s="46">
        <f t="shared" si="276"/>
        <v>0</v>
      </c>
      <c r="AG210" s="46">
        <f t="shared" si="276"/>
        <v>0</v>
      </c>
      <c r="AH210" s="46">
        <f t="shared" si="276"/>
        <v>0</v>
      </c>
      <c r="AI210" s="46">
        <f t="shared" ref="AI210:BN210" si="277">N(AI205)+N(AI206)+N(AI207)+N(AI208)+N(AI209)</f>
        <v>0</v>
      </c>
      <c r="AJ210" s="46">
        <f t="shared" si="277"/>
        <v>22.292999999999999</v>
      </c>
      <c r="AK210" s="46">
        <f t="shared" si="277"/>
        <v>15.551000000000002</v>
      </c>
      <c r="AL210" s="46">
        <f t="shared" si="277"/>
        <v>12.500999999999999</v>
      </c>
      <c r="AM210" s="46">
        <f t="shared" si="277"/>
        <v>51.055</v>
      </c>
      <c r="AN210" s="46">
        <f t="shared" si="277"/>
        <v>0</v>
      </c>
      <c r="AO210" s="46">
        <f t="shared" si="277"/>
        <v>0</v>
      </c>
      <c r="AP210" s="46">
        <f t="shared" si="277"/>
        <v>0</v>
      </c>
      <c r="AQ210" s="46">
        <f t="shared" si="277"/>
        <v>0</v>
      </c>
      <c r="AR210" s="46">
        <f t="shared" si="277"/>
        <v>0</v>
      </c>
      <c r="AS210" s="46">
        <f t="shared" si="277"/>
        <v>0</v>
      </c>
      <c r="AT210" s="46">
        <f t="shared" si="277"/>
        <v>0</v>
      </c>
      <c r="AU210" s="46">
        <f t="shared" si="277"/>
        <v>0</v>
      </c>
      <c r="AV210" s="46">
        <f t="shared" si="277"/>
        <v>0</v>
      </c>
      <c r="AW210" s="46">
        <f t="shared" si="277"/>
        <v>0</v>
      </c>
      <c r="AX210" s="46">
        <f t="shared" si="277"/>
        <v>0</v>
      </c>
      <c r="AY210" s="46">
        <f t="shared" si="277"/>
        <v>16.899999999999999</v>
      </c>
      <c r="AZ210" s="46">
        <f t="shared" si="277"/>
        <v>15.5</v>
      </c>
      <c r="BA210" s="46">
        <f t="shared" si="277"/>
        <v>54.699999999999996</v>
      </c>
      <c r="BB210" s="46">
        <f t="shared" si="277"/>
        <v>88.5</v>
      </c>
      <c r="BC210" s="46">
        <f t="shared" si="277"/>
        <v>1.4</v>
      </c>
      <c r="BD210" s="46">
        <f t="shared" si="277"/>
        <v>-148.79999999999998</v>
      </c>
      <c r="BE210" s="46">
        <f t="shared" si="277"/>
        <v>1.6</v>
      </c>
      <c r="BF210" s="46">
        <f t="shared" si="277"/>
        <v>3</v>
      </c>
      <c r="BG210" s="46">
        <f t="shared" si="277"/>
        <v>-142.80000000000001</v>
      </c>
      <c r="BH210" s="46">
        <f t="shared" si="277"/>
        <v>0.8</v>
      </c>
      <c r="BI210" s="46">
        <f t="shared" si="277"/>
        <v>0.4</v>
      </c>
      <c r="BJ210" s="46">
        <f t="shared" si="277"/>
        <v>3.3</v>
      </c>
      <c r="BK210" s="46">
        <f t="shared" si="277"/>
        <v>7.6</v>
      </c>
      <c r="BL210" s="46">
        <f t="shared" si="277"/>
        <v>12.2</v>
      </c>
      <c r="BM210" s="46">
        <f t="shared" si="277"/>
        <v>-1264</v>
      </c>
      <c r="BN210" s="46">
        <f t="shared" si="277"/>
        <v>39</v>
      </c>
      <c r="BO210" s="46">
        <f t="shared" ref="BO210:CE210" si="278">N(BO205)+N(BO206)+N(BO207)+N(BO208)+N(BO209)</f>
        <v>2</v>
      </c>
      <c r="BP210" s="46">
        <f t="shared" si="278"/>
        <v>1</v>
      </c>
      <c r="BQ210" s="46">
        <f t="shared" si="278"/>
        <v>-1221</v>
      </c>
      <c r="BR210" s="46">
        <f t="shared" si="278"/>
        <v>0</v>
      </c>
      <c r="BS210" s="46">
        <f t="shared" si="278"/>
        <v>0</v>
      </c>
      <c r="BT210" s="46">
        <f t="shared" si="278"/>
        <v>12</v>
      </c>
      <c r="BU210" s="46">
        <f t="shared" si="278"/>
        <v>26</v>
      </c>
      <c r="BV210" s="46">
        <f t="shared" si="278"/>
        <v>38</v>
      </c>
      <c r="BW210" s="46">
        <f t="shared" si="278"/>
        <v>28</v>
      </c>
      <c r="BX210" s="46">
        <f t="shared" si="278"/>
        <v>58</v>
      </c>
      <c r="BY210" s="34">
        <f t="shared" si="278"/>
        <v>90</v>
      </c>
      <c r="BZ210" s="34">
        <f t="shared" si="278"/>
        <v>52</v>
      </c>
      <c r="CA210" s="34">
        <f t="shared" si="278"/>
        <v>228</v>
      </c>
      <c r="CB210" s="34">
        <f t="shared" si="278"/>
        <v>25</v>
      </c>
      <c r="CC210" s="34">
        <f t="shared" si="278"/>
        <v>10</v>
      </c>
      <c r="CD210" s="34">
        <f t="shared" si="278"/>
        <v>10</v>
      </c>
      <c r="CE210" s="34">
        <f t="shared" si="278"/>
        <v>10</v>
      </c>
      <c r="CF210" s="6"/>
    </row>
    <row r="211" spans="2:89" ht="15" hidden="1" customHeight="1" outlineLevel="1" x14ac:dyDescent="0.25">
      <c r="B211" s="59" t="s">
        <v>368</v>
      </c>
      <c r="C211" s="60">
        <f t="shared" ref="C211:AH211" si="279">C204+C210</f>
        <v>535</v>
      </c>
      <c r="D211" s="60">
        <f t="shared" si="279"/>
        <v>590.59999999999991</v>
      </c>
      <c r="E211" s="60">
        <f t="shared" si="279"/>
        <v>497.69999999999987</v>
      </c>
      <c r="F211" s="60">
        <f t="shared" si="279"/>
        <v>364.1</v>
      </c>
      <c r="G211" s="60">
        <f t="shared" si="279"/>
        <v>374.70000000000005</v>
      </c>
      <c r="H211" s="60">
        <f t="shared" si="279"/>
        <v>335.9</v>
      </c>
      <c r="I211" s="60">
        <f t="shared" si="279"/>
        <v>329.9</v>
      </c>
      <c r="J211" s="60">
        <f t="shared" si="279"/>
        <v>19.899999999999999</v>
      </c>
      <c r="K211" s="60">
        <f t="shared" si="279"/>
        <v>112.5</v>
      </c>
      <c r="L211" s="60">
        <f t="shared" si="279"/>
        <v>151.6</v>
      </c>
      <c r="M211" s="60">
        <f t="shared" si="279"/>
        <v>106.3</v>
      </c>
      <c r="N211" s="60">
        <f t="shared" si="279"/>
        <v>390.20000000000005</v>
      </c>
      <c r="O211" s="60">
        <f t="shared" si="279"/>
        <v>24.20000000000001</v>
      </c>
      <c r="P211" s="60">
        <f t="shared" si="279"/>
        <v>139.60000000000002</v>
      </c>
      <c r="Q211" s="60">
        <f t="shared" si="279"/>
        <v>184.8</v>
      </c>
      <c r="R211" s="60">
        <f t="shared" si="279"/>
        <v>188.3</v>
      </c>
      <c r="S211" s="60">
        <f t="shared" si="279"/>
        <v>537.00000000000023</v>
      </c>
      <c r="T211" s="60">
        <f t="shared" si="279"/>
        <v>91.2</v>
      </c>
      <c r="U211" s="60">
        <f t="shared" si="279"/>
        <v>207.58999999999992</v>
      </c>
      <c r="V211" s="60">
        <f t="shared" si="279"/>
        <v>248.87700000000001</v>
      </c>
      <c r="W211" s="60">
        <f t="shared" si="279"/>
        <v>190.50000000000003</v>
      </c>
      <c r="X211" s="60">
        <f t="shared" si="279"/>
        <v>766.69999999999982</v>
      </c>
      <c r="Y211" s="60">
        <f t="shared" si="279"/>
        <v>152.60000000000002</v>
      </c>
      <c r="Z211" s="60">
        <f t="shared" si="279"/>
        <v>266.49999999999994</v>
      </c>
      <c r="AA211" s="60">
        <f t="shared" si="279"/>
        <v>322.80000000000013</v>
      </c>
      <c r="AB211" s="60">
        <f t="shared" si="279"/>
        <v>229.70000000000002</v>
      </c>
      <c r="AC211" s="60">
        <f t="shared" si="279"/>
        <v>971.5999999999998</v>
      </c>
      <c r="AD211" s="60">
        <f t="shared" si="279"/>
        <v>147.70000000000002</v>
      </c>
      <c r="AE211" s="60">
        <f t="shared" si="279"/>
        <v>292.3</v>
      </c>
      <c r="AF211" s="60">
        <f t="shared" si="279"/>
        <v>302</v>
      </c>
      <c r="AG211" s="60">
        <f t="shared" si="279"/>
        <v>262.39999999999992</v>
      </c>
      <c r="AH211" s="60">
        <f t="shared" si="279"/>
        <v>1004.4000000000001</v>
      </c>
      <c r="AI211" s="60">
        <f t="shared" ref="AI211:BN211" si="280">AI204+AI210</f>
        <v>123.30000000000001</v>
      </c>
      <c r="AJ211" s="60">
        <f t="shared" si="280"/>
        <v>378.95900000000006</v>
      </c>
      <c r="AK211" s="60">
        <f t="shared" si="280"/>
        <v>348.98400000000009</v>
      </c>
      <c r="AL211" s="60">
        <f t="shared" si="280"/>
        <v>251.85</v>
      </c>
      <c r="AM211" s="60">
        <f t="shared" si="280"/>
        <v>1103.7650000000001</v>
      </c>
      <c r="AN211" s="60">
        <f t="shared" si="280"/>
        <v>158.88499999999999</v>
      </c>
      <c r="AO211" s="60">
        <f t="shared" si="280"/>
        <v>378.46699999999998</v>
      </c>
      <c r="AP211" s="60">
        <f t="shared" si="280"/>
        <v>439.07100000000003</v>
      </c>
      <c r="AQ211" s="60">
        <f t="shared" si="280"/>
        <v>278.78000000000009</v>
      </c>
      <c r="AR211" s="60">
        <f t="shared" si="280"/>
        <v>1254.549</v>
      </c>
      <c r="AS211" s="60">
        <f t="shared" si="280"/>
        <v>149</v>
      </c>
      <c r="AT211" s="60">
        <f t="shared" si="280"/>
        <v>406.99999999999994</v>
      </c>
      <c r="AU211" s="60">
        <f t="shared" si="280"/>
        <v>501.70000000000016</v>
      </c>
      <c r="AV211" s="60">
        <f t="shared" si="280"/>
        <v>335.09999999999985</v>
      </c>
      <c r="AW211" s="60">
        <f t="shared" si="280"/>
        <v>1392.7999999999997</v>
      </c>
      <c r="AX211" s="60">
        <f t="shared" si="280"/>
        <v>204.39999999999992</v>
      </c>
      <c r="AY211" s="60">
        <f t="shared" si="280"/>
        <v>439.20000000000005</v>
      </c>
      <c r="AZ211" s="60">
        <f t="shared" si="280"/>
        <v>489.99999999999989</v>
      </c>
      <c r="BA211" s="60">
        <f t="shared" si="280"/>
        <v>393.7</v>
      </c>
      <c r="BB211" s="60">
        <f t="shared" si="280"/>
        <v>1528.5000000000002</v>
      </c>
      <c r="BC211" s="60">
        <f t="shared" si="280"/>
        <v>197.20000000000002</v>
      </c>
      <c r="BD211" s="60">
        <f t="shared" si="280"/>
        <v>478.30000000000007</v>
      </c>
      <c r="BE211" s="60">
        <f t="shared" si="280"/>
        <v>533.1</v>
      </c>
      <c r="BF211" s="60">
        <f t="shared" si="280"/>
        <v>391.70000000000005</v>
      </c>
      <c r="BG211" s="60">
        <f t="shared" si="280"/>
        <v>1600.3000000000004</v>
      </c>
      <c r="BH211" s="60">
        <f t="shared" si="280"/>
        <v>323.89999999999992</v>
      </c>
      <c r="BI211" s="60">
        <f t="shared" si="280"/>
        <v>596.09999999999991</v>
      </c>
      <c r="BJ211" s="60">
        <f t="shared" si="280"/>
        <v>705.2</v>
      </c>
      <c r="BK211" s="60">
        <f t="shared" si="280"/>
        <v>502.59999999999991</v>
      </c>
      <c r="BL211" s="60">
        <f t="shared" si="280"/>
        <v>2127.6999999999994</v>
      </c>
      <c r="BM211" s="60">
        <f t="shared" si="280"/>
        <v>291</v>
      </c>
      <c r="BN211" s="60">
        <f t="shared" si="280"/>
        <v>584</v>
      </c>
      <c r="BO211" s="60">
        <f t="shared" ref="BO211:CE211" si="281">BO204+BO210</f>
        <v>646</v>
      </c>
      <c r="BP211" s="60">
        <f t="shared" si="281"/>
        <v>545</v>
      </c>
      <c r="BQ211" s="60">
        <f t="shared" si="281"/>
        <v>2066</v>
      </c>
      <c r="BR211" s="60">
        <f t="shared" si="281"/>
        <v>319</v>
      </c>
      <c r="BS211" s="60">
        <f t="shared" si="281"/>
        <v>565</v>
      </c>
      <c r="BT211" s="60">
        <f t="shared" si="281"/>
        <v>667</v>
      </c>
      <c r="BU211" s="60">
        <f t="shared" si="281"/>
        <v>515</v>
      </c>
      <c r="BV211" s="60">
        <f t="shared" si="281"/>
        <v>2065</v>
      </c>
      <c r="BW211" s="60">
        <f t="shared" si="281"/>
        <v>364</v>
      </c>
      <c r="BX211" s="60">
        <f t="shared" si="281"/>
        <v>638</v>
      </c>
      <c r="BY211" s="60">
        <f t="shared" si="281"/>
        <v>880.65499294548204</v>
      </c>
      <c r="BZ211" s="60">
        <f t="shared" si="281"/>
        <v>826.90788476058083</v>
      </c>
      <c r="CA211" s="60">
        <f t="shared" si="281"/>
        <v>2709.562877706062</v>
      </c>
      <c r="CB211" s="60">
        <f t="shared" si="281"/>
        <v>3595.1374518784769</v>
      </c>
      <c r="CC211" s="60">
        <f t="shared" si="281"/>
        <v>4123.9822192627798</v>
      </c>
      <c r="CD211" s="60">
        <f t="shared" si="281"/>
        <v>4627.8613086621071</v>
      </c>
      <c r="CE211" s="60">
        <f t="shared" si="281"/>
        <v>5170.0286847200787</v>
      </c>
      <c r="CF211" s="20" t="s">
        <v>369</v>
      </c>
      <c r="CH211" s="21">
        <f>IFERROR((CE211/BV211)^(1/5)-1,"n/m")</f>
        <v>0.20147455956939231</v>
      </c>
      <c r="CI211" s="21">
        <f>IFERROR((BV211/AW211)^(1/5)-1,"n/m")</f>
        <v>8.1947678952039693E-2</v>
      </c>
      <c r="CJ211" s="21">
        <f>IFERROR((BV211/X211)^(1/10)-1,"n/m")</f>
        <v>0.10415351483783253</v>
      </c>
      <c r="CK211" s="21">
        <f>IFERROR((BV211/C211)^(1/19)-1,"n/m")</f>
        <v>7.3672696540320048E-2</v>
      </c>
    </row>
    <row r="212" spans="2:89" ht="15" hidden="1" customHeight="1" outlineLevel="1" x14ac:dyDescent="0.25">
      <c r="B212" s="26" t="s">
        <v>370</v>
      </c>
      <c r="C212" s="38">
        <f t="shared" ref="C212:AH212" si="282">IF(AND(ISNUMBER(C211),ISNUMBER(C158)),IFERROR(C211/C158,""),"")</f>
        <v>0.24247643219724438</v>
      </c>
      <c r="D212" s="38">
        <f t="shared" si="282"/>
        <v>0.26759095645870146</v>
      </c>
      <c r="E212" s="38">
        <f t="shared" si="282"/>
        <v>0.2347530776850148</v>
      </c>
      <c r="F212" s="38">
        <f t="shared" si="282"/>
        <v>0.21384940678961592</v>
      </c>
      <c r="G212" s="38">
        <f t="shared" si="282"/>
        <v>0.21016321723035505</v>
      </c>
      <c r="H212" s="38">
        <f t="shared" si="282"/>
        <v>0.19598576346344593</v>
      </c>
      <c r="I212" s="38">
        <f t="shared" si="282"/>
        <v>0.16190616411464467</v>
      </c>
      <c r="J212" s="38">
        <f t="shared" si="282"/>
        <v>5.1688311688311686E-2</v>
      </c>
      <c r="K212" s="38">
        <f t="shared" si="282"/>
        <v>0.19992891416385283</v>
      </c>
      <c r="L212" s="38">
        <f t="shared" si="282"/>
        <v>0.2278671276116038</v>
      </c>
      <c r="M212" s="38">
        <f t="shared" si="282"/>
        <v>0.19504587155963302</v>
      </c>
      <c r="N212" s="38">
        <f t="shared" si="282"/>
        <v>0.18102528415680819</v>
      </c>
      <c r="O212" s="38">
        <f t="shared" si="282"/>
        <v>5.6449731747142545E-2</v>
      </c>
      <c r="P212" s="38">
        <f t="shared" si="282"/>
        <v>0.20860729228930067</v>
      </c>
      <c r="Q212" s="38">
        <f t="shared" si="282"/>
        <v>0.18411876058583243</v>
      </c>
      <c r="R212" s="38">
        <f t="shared" si="282"/>
        <v>0.21989956790844334</v>
      </c>
      <c r="S212" s="38">
        <f t="shared" si="282"/>
        <v>0.18154158215010149</v>
      </c>
      <c r="T212" s="38">
        <f t="shared" si="282"/>
        <v>0.13190627711888922</v>
      </c>
      <c r="U212" s="38">
        <f t="shared" si="282"/>
        <v>0.22529845886694153</v>
      </c>
      <c r="V212" s="38">
        <f t="shared" si="282"/>
        <v>0.22997320273516911</v>
      </c>
      <c r="W212" s="38">
        <f t="shared" si="282"/>
        <v>0.22555055647643857</v>
      </c>
      <c r="X212" s="38">
        <f t="shared" si="282"/>
        <v>0.21660639620296074</v>
      </c>
      <c r="Y212" s="38">
        <f t="shared" si="282"/>
        <v>0.19345841784989862</v>
      </c>
      <c r="Z212" s="38">
        <f t="shared" si="282"/>
        <v>0.27269006446331728</v>
      </c>
      <c r="AA212" s="38">
        <f t="shared" si="282"/>
        <v>0.29241779146661845</v>
      </c>
      <c r="AB212" s="38">
        <f t="shared" si="282"/>
        <v>0.24209527824620578</v>
      </c>
      <c r="AC212" s="38">
        <f t="shared" si="282"/>
        <v>0.25442547397088083</v>
      </c>
      <c r="AD212" s="38">
        <f t="shared" si="282"/>
        <v>0.17502073705415336</v>
      </c>
      <c r="AE212" s="38">
        <f t="shared" si="282"/>
        <v>0.2748472026328162</v>
      </c>
      <c r="AF212" s="38">
        <f t="shared" si="282"/>
        <v>0.27765008734025926</v>
      </c>
      <c r="AG212" s="38">
        <f t="shared" si="282"/>
        <v>0.27037609479649655</v>
      </c>
      <c r="AH212" s="38">
        <f t="shared" si="282"/>
        <v>0.25327819245511402</v>
      </c>
      <c r="AI212" s="38">
        <f t="shared" ref="AI212:BN212" si="283">IF(AND(ISNUMBER(AI211),ISNUMBER(AI158)),IFERROR(AI211/AI158,""),"")</f>
        <v>0.15374064837905238</v>
      </c>
      <c r="AJ212" s="38">
        <f t="shared" si="283"/>
        <v>0.3151680426612376</v>
      </c>
      <c r="AK212" s="38">
        <f t="shared" si="283"/>
        <v>0.28613689285362898</v>
      </c>
      <c r="AL212" s="38">
        <f t="shared" si="283"/>
        <v>0.24685900464410548</v>
      </c>
      <c r="AM212" s="38">
        <f t="shared" si="283"/>
        <v>0.26006034024736913</v>
      </c>
      <c r="AN212" s="38">
        <f t="shared" si="283"/>
        <v>0.16921471210015387</v>
      </c>
      <c r="AO212" s="38">
        <f t="shared" si="283"/>
        <v>0.29580028574376221</v>
      </c>
      <c r="AP212" s="38">
        <f t="shared" si="283"/>
        <v>0.30915137236788554</v>
      </c>
      <c r="AQ212" s="38">
        <f t="shared" si="283"/>
        <v>0.25333733177030804</v>
      </c>
      <c r="AR212" s="38">
        <f t="shared" si="283"/>
        <v>0.26472316039887761</v>
      </c>
      <c r="AS212" s="38">
        <f t="shared" si="283"/>
        <v>0.15549989563765393</v>
      </c>
      <c r="AT212" s="38">
        <f t="shared" si="283"/>
        <v>0.32032110813788761</v>
      </c>
      <c r="AU212" s="38">
        <f t="shared" si="283"/>
        <v>0.37967307401241118</v>
      </c>
      <c r="AV212" s="38">
        <f t="shared" si="283"/>
        <v>0.28407934893184122</v>
      </c>
      <c r="AW212" s="38">
        <f t="shared" si="283"/>
        <v>0.29446711346962934</v>
      </c>
      <c r="AX212" s="38">
        <f t="shared" si="283"/>
        <v>0.20806188925081426</v>
      </c>
      <c r="AY212" s="38">
        <f t="shared" si="283"/>
        <v>0.31874591770084915</v>
      </c>
      <c r="AZ212" s="38">
        <f t="shared" si="283"/>
        <v>0.31464714570089253</v>
      </c>
      <c r="BA212" s="38">
        <f t="shared" si="283"/>
        <v>0.26309810211173479</v>
      </c>
      <c r="BB212" s="38">
        <f t="shared" si="283"/>
        <v>0.282323605467307</v>
      </c>
      <c r="BC212" s="38">
        <f t="shared" si="283"/>
        <v>0.16022099447513813</v>
      </c>
      <c r="BD212" s="38">
        <f t="shared" si="283"/>
        <v>0.29134433818602673</v>
      </c>
      <c r="BE212" s="38">
        <f t="shared" si="283"/>
        <v>0.29425401556549097</v>
      </c>
      <c r="BF212" s="38">
        <f t="shared" si="283"/>
        <v>0.26528953606501865</v>
      </c>
      <c r="BG212" s="38">
        <f t="shared" si="283"/>
        <v>0.25975944292044745</v>
      </c>
      <c r="BH212" s="38">
        <f t="shared" si="283"/>
        <v>0.23919946828151536</v>
      </c>
      <c r="BI212" s="38">
        <f t="shared" si="283"/>
        <v>0.32738356766256588</v>
      </c>
      <c r="BJ212" s="38">
        <f t="shared" si="283"/>
        <v>0.35364324758036209</v>
      </c>
      <c r="BK212" s="38">
        <f t="shared" si="283"/>
        <v>0.31252331799527416</v>
      </c>
      <c r="BL212" s="38">
        <f t="shared" si="283"/>
        <v>0.31394971374608976</v>
      </c>
      <c r="BM212" s="38">
        <f t="shared" si="283"/>
        <v>0.23261390887290168</v>
      </c>
      <c r="BN212" s="38">
        <f t="shared" si="283"/>
        <v>0.33106575963718821</v>
      </c>
      <c r="BO212" s="38">
        <f t="shared" ref="BO212:BX212" si="284">IF(AND(ISNUMBER(BO211),ISNUMBER(BO158)),IFERROR(BO211/BO158,""),"")</f>
        <v>0.34197988353626257</v>
      </c>
      <c r="BP212" s="38">
        <f t="shared" si="284"/>
        <v>0.33394607843137253</v>
      </c>
      <c r="BQ212" s="38">
        <f t="shared" si="284"/>
        <v>0.31609547123623011</v>
      </c>
      <c r="BR212" s="38">
        <f t="shared" si="284"/>
        <v>0.27452667814113596</v>
      </c>
      <c r="BS212" s="38">
        <f t="shared" si="284"/>
        <v>0.35114978247358608</v>
      </c>
      <c r="BT212" s="38">
        <f t="shared" si="284"/>
        <v>0.36132177681473454</v>
      </c>
      <c r="BU212" s="38">
        <f t="shared" si="284"/>
        <v>0.33572359843546284</v>
      </c>
      <c r="BV212" s="38">
        <f t="shared" si="284"/>
        <v>0.33577235772357722</v>
      </c>
      <c r="BW212" s="38">
        <f t="shared" si="284"/>
        <v>0.26725403817914833</v>
      </c>
      <c r="BX212" s="38">
        <f t="shared" si="284"/>
        <v>0.32768361581920902</v>
      </c>
      <c r="BY212" s="25">
        <f t="shared" ref="BY212:CE212" si="285">IFERROR(BY211/BY158,"")</f>
        <v>0.36897196377672337</v>
      </c>
      <c r="BZ212" s="25">
        <f t="shared" si="285"/>
        <v>0.36368725795464957</v>
      </c>
      <c r="CA212" s="25">
        <f t="shared" si="285"/>
        <v>0.33999333943591487</v>
      </c>
      <c r="CB212" s="25">
        <f t="shared" si="285"/>
        <v>0.36622223906748613</v>
      </c>
      <c r="CC212" s="25">
        <f t="shared" si="285"/>
        <v>0.38896355394194865</v>
      </c>
      <c r="CD212" s="25">
        <f t="shared" si="285"/>
        <v>0.40264580169937408</v>
      </c>
      <c r="CE212" s="25">
        <f t="shared" si="285"/>
        <v>0.41407361508060936</v>
      </c>
      <c r="CF212" s="6"/>
      <c r="CH212" s="39">
        <f>IFERROR(AVERAGE(CA212,CB212,CC212,CD212,CE212),"n/m")</f>
        <v>0.38237970984506664</v>
      </c>
      <c r="CI212" s="39">
        <f>IFERROR(AVERAGE(BB212,BG212,BL212,BQ212,BV212),"n/m")</f>
        <v>0.30158011821873026</v>
      </c>
      <c r="CJ212" s="39">
        <f>IFERROR(AVERAGE(AC212,AH212,AM212,AR212,AW212,BB212,BG212,BL212,BQ212,BV212),"n/m")</f>
        <v>0.28348548716355226</v>
      </c>
      <c r="CK212" s="39">
        <f>IFERROR(AVERAGE(C212,D212,E212,F212,G212,H212,I212,N212,S212,X212,AC212,AH212,AM212,AR212,AW212,BB212,BG212,BL212,BQ212,BV212),"n/m")</f>
        <v>0.24703765760422072</v>
      </c>
    </row>
    <row r="213" spans="2:89" ht="15" hidden="1" customHeight="1" outlineLevel="1" x14ac:dyDescent="0.25">
      <c r="B213" s="42" t="s">
        <v>371</v>
      </c>
      <c r="C213" s="36">
        <v>535</v>
      </c>
      <c r="D213" s="36">
        <v>590.6</v>
      </c>
      <c r="E213" s="36">
        <v>497.7</v>
      </c>
      <c r="F213" s="36">
        <v>364.1</v>
      </c>
      <c r="G213" s="36">
        <v>374.7</v>
      </c>
      <c r="H213" s="36">
        <v>335.9</v>
      </c>
      <c r="I213" s="36">
        <v>329.9</v>
      </c>
      <c r="J213" s="36">
        <v>19.899999999999999</v>
      </c>
      <c r="K213" s="36">
        <v>112.5</v>
      </c>
      <c r="L213" s="36">
        <v>151.6</v>
      </c>
      <c r="M213" s="36">
        <v>106.3</v>
      </c>
      <c r="N213" s="36">
        <v>390.2</v>
      </c>
      <c r="O213" s="36">
        <v>24.2</v>
      </c>
      <c r="P213" s="36">
        <v>139.6</v>
      </c>
      <c r="Q213" s="36">
        <v>184.8</v>
      </c>
      <c r="R213" s="36">
        <v>188.3</v>
      </c>
      <c r="S213" s="36">
        <v>537</v>
      </c>
      <c r="T213" s="36">
        <v>91.2</v>
      </c>
      <c r="W213" s="36">
        <v>190.5</v>
      </c>
      <c r="X213" s="36">
        <v>766.7</v>
      </c>
      <c r="Y213" s="36">
        <v>152.6</v>
      </c>
      <c r="Z213" s="36">
        <v>266.5</v>
      </c>
      <c r="AA213" s="36">
        <v>322.8</v>
      </c>
      <c r="AB213" s="36">
        <v>229.7</v>
      </c>
      <c r="AC213" s="36">
        <v>971.6</v>
      </c>
      <c r="AD213" s="36">
        <v>147.69999999999999</v>
      </c>
      <c r="AE213" s="36">
        <v>292.3</v>
      </c>
      <c r="AF213" s="36">
        <v>302</v>
      </c>
      <c r="AG213" s="36">
        <v>262.39999999999998</v>
      </c>
      <c r="AH213" s="36">
        <v>1004.4</v>
      </c>
      <c r="AI213" s="36">
        <v>123.3</v>
      </c>
      <c r="AJ213" s="36">
        <v>378.959</v>
      </c>
      <c r="AK213" s="36">
        <v>348.98399999999998</v>
      </c>
      <c r="AL213" s="36">
        <v>251.85</v>
      </c>
      <c r="AM213" s="36">
        <v>1103.7650000000001</v>
      </c>
      <c r="AN213" s="36">
        <v>158.88499999999999</v>
      </c>
      <c r="AO213" s="36">
        <v>378.46699999999998</v>
      </c>
      <c r="AP213" s="36">
        <v>439.07100000000003</v>
      </c>
      <c r="AQ213" s="36">
        <v>278.77999999999997</v>
      </c>
      <c r="AR213" s="36">
        <v>1254.549</v>
      </c>
      <c r="AS213" s="36">
        <v>149</v>
      </c>
      <c r="AT213" s="36">
        <v>407</v>
      </c>
      <c r="AU213" s="36">
        <v>501.7</v>
      </c>
      <c r="AV213" s="36">
        <v>335.1</v>
      </c>
      <c r="AW213" s="36">
        <v>1392.8</v>
      </c>
      <c r="AX213" s="36">
        <v>204.4</v>
      </c>
      <c r="AY213" s="36">
        <v>439.2</v>
      </c>
      <c r="AZ213" s="36">
        <v>490</v>
      </c>
      <c r="BA213" s="36">
        <v>393.7</v>
      </c>
      <c r="BB213" s="36">
        <v>1528.5</v>
      </c>
      <c r="BC213" s="36">
        <v>197.2</v>
      </c>
      <c r="BD213" s="36">
        <v>478.3</v>
      </c>
      <c r="BE213" s="36">
        <v>533.1</v>
      </c>
      <c r="BF213" s="36">
        <v>391.7</v>
      </c>
      <c r="BG213" s="36">
        <v>1600.3</v>
      </c>
      <c r="BH213" s="36">
        <v>323.89999999999998</v>
      </c>
      <c r="BI213" s="36">
        <v>596.1</v>
      </c>
      <c r="BJ213" s="36">
        <v>705.2</v>
      </c>
      <c r="BK213" s="36">
        <v>502.6</v>
      </c>
      <c r="BL213" s="36">
        <v>2127.6999999999998</v>
      </c>
      <c r="BM213" s="36">
        <v>291</v>
      </c>
      <c r="BN213" s="36">
        <v>584</v>
      </c>
      <c r="BO213" s="36">
        <v>646</v>
      </c>
      <c r="BP213" s="36">
        <v>545</v>
      </c>
      <c r="BQ213" s="36">
        <v>2066</v>
      </c>
      <c r="BR213" s="36">
        <v>319</v>
      </c>
      <c r="BS213" s="36">
        <v>565</v>
      </c>
      <c r="BT213" s="36">
        <v>667</v>
      </c>
      <c r="BU213" s="36">
        <v>515</v>
      </c>
      <c r="BV213" s="36">
        <v>2065</v>
      </c>
      <c r="BW213" s="36">
        <v>364</v>
      </c>
      <c r="BX213" s="36">
        <v>638</v>
      </c>
      <c r="BY213" s="6"/>
      <c r="BZ213" s="6"/>
      <c r="CA213" s="6"/>
      <c r="CB213" s="6"/>
      <c r="CC213" s="6"/>
      <c r="CD213" s="6"/>
      <c r="CE213" s="6"/>
      <c r="CF213" s="6"/>
    </row>
    <row r="214" spans="2:89" ht="15" hidden="1" customHeight="1" outlineLevel="1" x14ac:dyDescent="0.25">
      <c r="B214" s="61" t="s">
        <v>372</v>
      </c>
      <c r="C214" s="47">
        <f t="shared" ref="C214:AH214" si="286">IF(ISNUMBER(C213),ROUND(C211-C213,1),"n/p")</f>
        <v>0</v>
      </c>
      <c r="D214" s="47">
        <f t="shared" si="286"/>
        <v>0</v>
      </c>
      <c r="E214" s="47">
        <f t="shared" si="286"/>
        <v>0</v>
      </c>
      <c r="F214" s="47">
        <f t="shared" si="286"/>
        <v>0</v>
      </c>
      <c r="G214" s="47">
        <f t="shared" si="286"/>
        <v>0</v>
      </c>
      <c r="H214" s="47">
        <f t="shared" si="286"/>
        <v>0</v>
      </c>
      <c r="I214" s="47">
        <f t="shared" si="286"/>
        <v>0</v>
      </c>
      <c r="J214" s="47">
        <f t="shared" si="286"/>
        <v>0</v>
      </c>
      <c r="K214" s="47">
        <f t="shared" si="286"/>
        <v>0</v>
      </c>
      <c r="L214" s="47">
        <f t="shared" si="286"/>
        <v>0</v>
      </c>
      <c r="M214" s="47">
        <f t="shared" si="286"/>
        <v>0</v>
      </c>
      <c r="N214" s="47">
        <f t="shared" si="286"/>
        <v>0</v>
      </c>
      <c r="O214" s="47">
        <f t="shared" si="286"/>
        <v>0</v>
      </c>
      <c r="P214" s="47">
        <f t="shared" si="286"/>
        <v>0</v>
      </c>
      <c r="Q214" s="47">
        <f t="shared" si="286"/>
        <v>0</v>
      </c>
      <c r="R214" s="47">
        <f t="shared" si="286"/>
        <v>0</v>
      </c>
      <c r="S214" s="47">
        <f t="shared" si="286"/>
        <v>0</v>
      </c>
      <c r="T214" s="47">
        <f t="shared" si="286"/>
        <v>0</v>
      </c>
      <c r="U214" s="47" t="str">
        <f t="shared" si="286"/>
        <v>n/p</v>
      </c>
      <c r="V214" s="47" t="str">
        <f t="shared" si="286"/>
        <v>n/p</v>
      </c>
      <c r="W214" s="47">
        <f t="shared" si="286"/>
        <v>0</v>
      </c>
      <c r="X214" s="47">
        <f t="shared" si="286"/>
        <v>0</v>
      </c>
      <c r="Y214" s="47">
        <f t="shared" si="286"/>
        <v>0</v>
      </c>
      <c r="Z214" s="47">
        <f t="shared" si="286"/>
        <v>0</v>
      </c>
      <c r="AA214" s="47">
        <f t="shared" si="286"/>
        <v>0</v>
      </c>
      <c r="AB214" s="47">
        <f t="shared" si="286"/>
        <v>0</v>
      </c>
      <c r="AC214" s="47">
        <f t="shared" si="286"/>
        <v>0</v>
      </c>
      <c r="AD214" s="47">
        <f t="shared" si="286"/>
        <v>0</v>
      </c>
      <c r="AE214" s="47">
        <f t="shared" si="286"/>
        <v>0</v>
      </c>
      <c r="AF214" s="47">
        <f t="shared" si="286"/>
        <v>0</v>
      </c>
      <c r="AG214" s="47">
        <f t="shared" si="286"/>
        <v>0</v>
      </c>
      <c r="AH214" s="47">
        <f t="shared" si="286"/>
        <v>0</v>
      </c>
      <c r="AI214" s="47">
        <f t="shared" ref="AI214:BN214" si="287">IF(ISNUMBER(AI213),ROUND(AI211-AI213,1),"n/p")</f>
        <v>0</v>
      </c>
      <c r="AJ214" s="47">
        <f t="shared" si="287"/>
        <v>0</v>
      </c>
      <c r="AK214" s="47">
        <f t="shared" si="287"/>
        <v>0</v>
      </c>
      <c r="AL214" s="47">
        <f t="shared" si="287"/>
        <v>0</v>
      </c>
      <c r="AM214" s="47">
        <f t="shared" si="287"/>
        <v>0</v>
      </c>
      <c r="AN214" s="47">
        <f t="shared" si="287"/>
        <v>0</v>
      </c>
      <c r="AO214" s="47">
        <f t="shared" si="287"/>
        <v>0</v>
      </c>
      <c r="AP214" s="47">
        <f t="shared" si="287"/>
        <v>0</v>
      </c>
      <c r="AQ214" s="47">
        <f t="shared" si="287"/>
        <v>0</v>
      </c>
      <c r="AR214" s="47">
        <f t="shared" si="287"/>
        <v>0</v>
      </c>
      <c r="AS214" s="47">
        <f t="shared" si="287"/>
        <v>0</v>
      </c>
      <c r="AT214" s="47">
        <f t="shared" si="287"/>
        <v>0</v>
      </c>
      <c r="AU214" s="47">
        <f t="shared" si="287"/>
        <v>0</v>
      </c>
      <c r="AV214" s="47">
        <f t="shared" si="287"/>
        <v>0</v>
      </c>
      <c r="AW214" s="47">
        <f t="shared" si="287"/>
        <v>0</v>
      </c>
      <c r="AX214" s="47">
        <f t="shared" si="287"/>
        <v>0</v>
      </c>
      <c r="AY214" s="47">
        <f t="shared" si="287"/>
        <v>0</v>
      </c>
      <c r="AZ214" s="47">
        <f t="shared" si="287"/>
        <v>0</v>
      </c>
      <c r="BA214" s="47">
        <f t="shared" si="287"/>
        <v>0</v>
      </c>
      <c r="BB214" s="47">
        <f t="shared" si="287"/>
        <v>0</v>
      </c>
      <c r="BC214" s="47">
        <f t="shared" si="287"/>
        <v>0</v>
      </c>
      <c r="BD214" s="47">
        <f t="shared" si="287"/>
        <v>0</v>
      </c>
      <c r="BE214" s="47">
        <f t="shared" si="287"/>
        <v>0</v>
      </c>
      <c r="BF214" s="47">
        <f t="shared" si="287"/>
        <v>0</v>
      </c>
      <c r="BG214" s="47">
        <f t="shared" si="287"/>
        <v>0</v>
      </c>
      <c r="BH214" s="47">
        <f t="shared" si="287"/>
        <v>0</v>
      </c>
      <c r="BI214" s="47">
        <f t="shared" si="287"/>
        <v>0</v>
      </c>
      <c r="BJ214" s="47">
        <f t="shared" si="287"/>
        <v>0</v>
      </c>
      <c r="BK214" s="47">
        <f t="shared" si="287"/>
        <v>0</v>
      </c>
      <c r="BL214" s="47">
        <f t="shared" si="287"/>
        <v>0</v>
      </c>
      <c r="BM214" s="47">
        <f t="shared" si="287"/>
        <v>0</v>
      </c>
      <c r="BN214" s="47">
        <f t="shared" si="287"/>
        <v>0</v>
      </c>
      <c r="BO214" s="47">
        <f t="shared" ref="BO214:BX214" si="288">IF(ISNUMBER(BO213),ROUND(BO211-BO213,1),"n/p")</f>
        <v>0</v>
      </c>
      <c r="BP214" s="47">
        <f t="shared" si="288"/>
        <v>0</v>
      </c>
      <c r="BQ214" s="47">
        <f t="shared" si="288"/>
        <v>0</v>
      </c>
      <c r="BR214" s="47">
        <f t="shared" si="288"/>
        <v>0</v>
      </c>
      <c r="BS214" s="47">
        <f t="shared" si="288"/>
        <v>0</v>
      </c>
      <c r="BT214" s="47">
        <f t="shared" si="288"/>
        <v>0</v>
      </c>
      <c r="BU214" s="47">
        <f t="shared" si="288"/>
        <v>0</v>
      </c>
      <c r="BV214" s="47">
        <f t="shared" si="288"/>
        <v>0</v>
      </c>
      <c r="BW214" s="47">
        <f t="shared" si="288"/>
        <v>0</v>
      </c>
      <c r="BX214" s="47">
        <f t="shared" si="288"/>
        <v>0</v>
      </c>
      <c r="BY214" s="6"/>
      <c r="BZ214" s="6"/>
      <c r="CA214" s="6"/>
      <c r="CB214" s="6"/>
      <c r="CC214" s="6"/>
      <c r="CD214" s="6"/>
      <c r="CE214" s="6"/>
      <c r="CF214" s="6"/>
    </row>
    <row r="215" spans="2:89" ht="15" hidden="1" customHeight="1" outlineLevel="1" x14ac:dyDescent="0.25">
      <c r="B215" s="67" t="s">
        <v>373</v>
      </c>
      <c r="C215" s="68" t="s">
        <v>374</v>
      </c>
      <c r="J215" s="68" t="s">
        <v>375</v>
      </c>
      <c r="AJ215" s="68" t="s">
        <v>376</v>
      </c>
      <c r="AN215" s="68" t="s">
        <v>377</v>
      </c>
      <c r="BA215" s="68" t="s">
        <v>378</v>
      </c>
      <c r="BM215" s="68" t="s">
        <v>379</v>
      </c>
      <c r="BT215" s="68" t="s">
        <v>380</v>
      </c>
      <c r="BY215" s="6"/>
      <c r="BZ215" s="6"/>
      <c r="CA215" s="6"/>
      <c r="CB215" s="6"/>
      <c r="CC215" s="6"/>
      <c r="CD215" s="6"/>
      <c r="CE215" s="6"/>
      <c r="CF215" s="20" t="s">
        <v>381</v>
      </c>
    </row>
    <row r="216" spans="2:89" ht="15" hidden="1" customHeight="1" outlineLevel="1" x14ac:dyDescent="0.25">
      <c r="B216" s="42" t="s">
        <v>382</v>
      </c>
      <c r="BT216" s="36">
        <v>743</v>
      </c>
      <c r="BU216" s="36">
        <v>577</v>
      </c>
      <c r="BV216" s="36">
        <v>2302</v>
      </c>
      <c r="BY216" s="6"/>
      <c r="BZ216" s="6"/>
      <c r="CA216" s="6"/>
      <c r="CB216" s="6"/>
      <c r="CC216" s="6"/>
      <c r="CD216" s="6"/>
      <c r="CE216" s="6"/>
      <c r="CF216" s="6"/>
    </row>
    <row r="217" spans="2:89" ht="15" hidden="1" customHeight="1" outlineLevel="1" x14ac:dyDescent="0.25">
      <c r="B217" s="26" t="s">
        <v>383</v>
      </c>
      <c r="CF217" s="6"/>
    </row>
    <row r="218" spans="2:89" ht="15" hidden="1" customHeight="1" outlineLevel="1" x14ac:dyDescent="0.25">
      <c r="B218" s="26" t="s">
        <v>384</v>
      </c>
      <c r="C218" s="47">
        <f t="shared" ref="C218:AH218" si="289">-C203</f>
        <v>-141.429</v>
      </c>
      <c r="D218" s="47">
        <f t="shared" si="289"/>
        <v>-150.33799999999999</v>
      </c>
      <c r="E218" s="47">
        <f t="shared" si="289"/>
        <v>-171.12899999999999</v>
      </c>
      <c r="F218" s="47">
        <f t="shared" si="289"/>
        <v>-177.7</v>
      </c>
      <c r="G218" s="47">
        <f t="shared" si="289"/>
        <v>-179.9</v>
      </c>
      <c r="H218" s="47">
        <f t="shared" si="289"/>
        <v>-171.8</v>
      </c>
      <c r="I218" s="47">
        <f t="shared" si="289"/>
        <v>-175.5</v>
      </c>
      <c r="J218" s="47">
        <f t="shared" si="289"/>
        <v>-42.6</v>
      </c>
      <c r="K218" s="47">
        <f t="shared" si="289"/>
        <v>-42.5</v>
      </c>
      <c r="L218" s="47">
        <f t="shared" si="289"/>
        <v>-43.6</v>
      </c>
      <c r="M218" s="47">
        <f t="shared" si="289"/>
        <v>-43.2</v>
      </c>
      <c r="N218" s="47">
        <f t="shared" si="289"/>
        <v>-171.9</v>
      </c>
      <c r="O218" s="47">
        <f t="shared" si="289"/>
        <v>-42</v>
      </c>
      <c r="P218" s="47">
        <f t="shared" si="289"/>
        <v>-43.3</v>
      </c>
      <c r="Q218" s="47">
        <f t="shared" si="289"/>
        <v>-67.2</v>
      </c>
      <c r="R218" s="47">
        <f t="shared" si="289"/>
        <v>-67.900000000000006</v>
      </c>
      <c r="S218" s="47">
        <f t="shared" si="289"/>
        <v>-220.5</v>
      </c>
      <c r="T218" s="47">
        <f t="shared" si="289"/>
        <v>-66.5</v>
      </c>
      <c r="U218" s="47">
        <f t="shared" si="289"/>
        <v>-67.69</v>
      </c>
      <c r="V218" s="47">
        <f t="shared" si="289"/>
        <v>-64.977000000000004</v>
      </c>
      <c r="W218" s="47">
        <f t="shared" si="289"/>
        <v>-63</v>
      </c>
      <c r="X218" s="47">
        <f t="shared" si="289"/>
        <v>-260.7</v>
      </c>
      <c r="Y218" s="47">
        <f t="shared" si="289"/>
        <v>-67.900000000000006</v>
      </c>
      <c r="Z218" s="47">
        <f t="shared" si="289"/>
        <v>-70.7</v>
      </c>
      <c r="AA218" s="47">
        <f t="shared" si="289"/>
        <v>-71.8</v>
      </c>
      <c r="AB218" s="47">
        <f t="shared" si="289"/>
        <v>-72.400000000000006</v>
      </c>
      <c r="AC218" s="47">
        <f t="shared" si="289"/>
        <v>-282.89999999999998</v>
      </c>
      <c r="AD218" s="47">
        <f t="shared" si="289"/>
        <v>-70</v>
      </c>
      <c r="AE218" s="47">
        <f t="shared" si="289"/>
        <v>-74</v>
      </c>
      <c r="AF218" s="47">
        <f t="shared" si="289"/>
        <v>-74.599999999999994</v>
      </c>
      <c r="AG218" s="47">
        <f t="shared" si="289"/>
        <v>-75.400000000000006</v>
      </c>
      <c r="AH218" s="47">
        <f t="shared" si="289"/>
        <v>-294</v>
      </c>
      <c r="AI218" s="47">
        <f t="shared" ref="AI218:BN218" si="290">-AI203</f>
        <v>-75.7</v>
      </c>
      <c r="AJ218" s="47">
        <f t="shared" si="290"/>
        <v>-85.736999999999995</v>
      </c>
      <c r="AK218" s="47">
        <f t="shared" si="290"/>
        <v>-88.692999999999998</v>
      </c>
      <c r="AL218" s="47">
        <f t="shared" si="290"/>
        <v>-89.861999999999995</v>
      </c>
      <c r="AM218" s="47">
        <f t="shared" si="290"/>
        <v>-340.00599999999997</v>
      </c>
      <c r="AN218" s="47">
        <f t="shared" si="290"/>
        <v>-88.186999999999998</v>
      </c>
      <c r="AO218" s="47">
        <f t="shared" si="290"/>
        <v>-105.91500000000001</v>
      </c>
      <c r="AP218" s="47">
        <f t="shared" si="290"/>
        <v>-92.034000000000006</v>
      </c>
      <c r="AQ218" s="47">
        <f t="shared" si="290"/>
        <v>-91.926000000000002</v>
      </c>
      <c r="AR218" s="47">
        <f t="shared" si="290"/>
        <v>-377.40899999999999</v>
      </c>
      <c r="AS218" s="47">
        <f t="shared" si="290"/>
        <v>-93.4</v>
      </c>
      <c r="AT218" s="47">
        <f t="shared" si="290"/>
        <v>-97</v>
      </c>
      <c r="AU218" s="47">
        <f t="shared" si="290"/>
        <v>-97.2</v>
      </c>
      <c r="AV218" s="47">
        <f t="shared" si="290"/>
        <v>-98.5</v>
      </c>
      <c r="AW218" s="47">
        <f t="shared" si="290"/>
        <v>-386</v>
      </c>
      <c r="AX218" s="47">
        <f t="shared" si="290"/>
        <v>-96</v>
      </c>
      <c r="AY218" s="47">
        <f t="shared" si="290"/>
        <v>-106.1</v>
      </c>
      <c r="AZ218" s="47">
        <f t="shared" si="290"/>
        <v>-112.1</v>
      </c>
      <c r="BA218" s="47">
        <f t="shared" si="290"/>
        <v>-128.4</v>
      </c>
      <c r="BB218" s="47">
        <f t="shared" si="290"/>
        <v>-442.5</v>
      </c>
      <c r="BC218" s="47">
        <f t="shared" si="290"/>
        <v>-124.9</v>
      </c>
      <c r="BD218" s="47">
        <f t="shared" si="290"/>
        <v>-127.3</v>
      </c>
      <c r="BE218" s="47">
        <f t="shared" si="290"/>
        <v>-122.4</v>
      </c>
      <c r="BF218" s="47">
        <f t="shared" si="290"/>
        <v>-121.9</v>
      </c>
      <c r="BG218" s="47">
        <f t="shared" si="290"/>
        <v>-496.6</v>
      </c>
      <c r="BH218" s="47">
        <f t="shared" si="290"/>
        <v>-121.7</v>
      </c>
      <c r="BI218" s="47">
        <f t="shared" si="290"/>
        <v>-126.6</v>
      </c>
      <c r="BJ218" s="47">
        <f t="shared" si="290"/>
        <v>-129.80000000000001</v>
      </c>
      <c r="BK218" s="47">
        <f t="shared" si="290"/>
        <v>-126.6</v>
      </c>
      <c r="BL218" s="47">
        <f t="shared" si="290"/>
        <v>-504.8</v>
      </c>
      <c r="BM218" s="47">
        <f t="shared" si="290"/>
        <v>-128</v>
      </c>
      <c r="BN218" s="47">
        <f t="shared" si="290"/>
        <v>-140</v>
      </c>
      <c r="BO218" s="47">
        <f t="shared" ref="BO218:CE218" si="291">-BO203</f>
        <v>-148</v>
      </c>
      <c r="BP218" s="47">
        <f t="shared" si="291"/>
        <v>-148</v>
      </c>
      <c r="BQ218" s="47">
        <f t="shared" si="291"/>
        <v>-564</v>
      </c>
      <c r="BR218" s="47">
        <f t="shared" si="291"/>
        <v>-136</v>
      </c>
      <c r="BS218" s="47">
        <f t="shared" si="291"/>
        <v>-144</v>
      </c>
      <c r="BT218" s="47">
        <f t="shared" si="291"/>
        <v>-149</v>
      </c>
      <c r="BU218" s="47">
        <f t="shared" si="291"/>
        <v>-153</v>
      </c>
      <c r="BV218" s="47">
        <f t="shared" si="291"/>
        <v>-581</v>
      </c>
      <c r="BW218" s="47">
        <f t="shared" si="291"/>
        <v>-165</v>
      </c>
      <c r="BX218" s="47">
        <f t="shared" si="291"/>
        <v>-202</v>
      </c>
      <c r="BY218" s="37">
        <f t="shared" si="291"/>
        <v>-268.05903445594669</v>
      </c>
      <c r="BZ218" s="37">
        <f t="shared" si="291"/>
        <v>-332.19344316944131</v>
      </c>
      <c r="CA218" s="37">
        <f t="shared" si="291"/>
        <v>-967.25247762538788</v>
      </c>
      <c r="CB218" s="37">
        <f t="shared" si="291"/>
        <v>-1330.6005222719286</v>
      </c>
      <c r="CC218" s="37">
        <f t="shared" si="291"/>
        <v>-1411.3951897843349</v>
      </c>
      <c r="CD218" s="37">
        <f t="shared" si="291"/>
        <v>-1505.4800539465443</v>
      </c>
      <c r="CE218" s="37">
        <f t="shared" si="291"/>
        <v>-1610.9464498195753</v>
      </c>
      <c r="CF218" s="6"/>
    </row>
    <row r="219" spans="2:89" ht="15" hidden="1" customHeight="1" outlineLevel="1" x14ac:dyDescent="0.25">
      <c r="B219" s="59" t="s">
        <v>385</v>
      </c>
      <c r="C219" s="60">
        <f t="shared" ref="C219:AH219" si="292">C211+C218</f>
        <v>393.57100000000003</v>
      </c>
      <c r="D219" s="60">
        <f t="shared" si="292"/>
        <v>440.26199999999994</v>
      </c>
      <c r="E219" s="60">
        <f t="shared" si="292"/>
        <v>326.57099999999991</v>
      </c>
      <c r="F219" s="60">
        <f t="shared" si="292"/>
        <v>186.40000000000003</v>
      </c>
      <c r="G219" s="60">
        <f t="shared" si="292"/>
        <v>194.80000000000004</v>
      </c>
      <c r="H219" s="60">
        <f t="shared" si="292"/>
        <v>164.09999999999997</v>
      </c>
      <c r="I219" s="60">
        <f t="shared" si="292"/>
        <v>154.39999999999998</v>
      </c>
      <c r="J219" s="60">
        <f t="shared" si="292"/>
        <v>-22.700000000000003</v>
      </c>
      <c r="K219" s="60">
        <f t="shared" si="292"/>
        <v>70</v>
      </c>
      <c r="L219" s="60">
        <f t="shared" si="292"/>
        <v>108</v>
      </c>
      <c r="M219" s="60">
        <f t="shared" si="292"/>
        <v>63.099999999999994</v>
      </c>
      <c r="N219" s="60">
        <f t="shared" si="292"/>
        <v>218.30000000000004</v>
      </c>
      <c r="O219" s="60">
        <f t="shared" si="292"/>
        <v>-17.79999999999999</v>
      </c>
      <c r="P219" s="60">
        <f t="shared" si="292"/>
        <v>96.300000000000026</v>
      </c>
      <c r="Q219" s="60">
        <f t="shared" si="292"/>
        <v>117.60000000000001</v>
      </c>
      <c r="R219" s="60">
        <f t="shared" si="292"/>
        <v>120.4</v>
      </c>
      <c r="S219" s="60">
        <f t="shared" si="292"/>
        <v>316.50000000000023</v>
      </c>
      <c r="T219" s="60">
        <f t="shared" si="292"/>
        <v>24.700000000000003</v>
      </c>
      <c r="U219" s="60">
        <f t="shared" si="292"/>
        <v>139.89999999999992</v>
      </c>
      <c r="V219" s="60">
        <f t="shared" si="292"/>
        <v>183.9</v>
      </c>
      <c r="W219" s="60">
        <f t="shared" si="292"/>
        <v>127.50000000000003</v>
      </c>
      <c r="X219" s="60">
        <f t="shared" si="292"/>
        <v>505.99999999999983</v>
      </c>
      <c r="Y219" s="60">
        <f t="shared" si="292"/>
        <v>84.700000000000017</v>
      </c>
      <c r="Z219" s="60">
        <f t="shared" si="292"/>
        <v>195.79999999999995</v>
      </c>
      <c r="AA219" s="60">
        <f t="shared" si="292"/>
        <v>251.00000000000011</v>
      </c>
      <c r="AB219" s="60">
        <f t="shared" si="292"/>
        <v>157.30000000000001</v>
      </c>
      <c r="AC219" s="60">
        <f t="shared" si="292"/>
        <v>688.69999999999982</v>
      </c>
      <c r="AD219" s="60">
        <f t="shared" si="292"/>
        <v>77.700000000000017</v>
      </c>
      <c r="AE219" s="60">
        <f t="shared" si="292"/>
        <v>218.3</v>
      </c>
      <c r="AF219" s="60">
        <f t="shared" si="292"/>
        <v>227.4</v>
      </c>
      <c r="AG219" s="60">
        <f t="shared" si="292"/>
        <v>186.99999999999991</v>
      </c>
      <c r="AH219" s="60">
        <f t="shared" si="292"/>
        <v>710.40000000000009</v>
      </c>
      <c r="AI219" s="60">
        <f t="shared" ref="AI219:BN219" si="293">AI211+AI218</f>
        <v>47.600000000000009</v>
      </c>
      <c r="AJ219" s="60">
        <f t="shared" si="293"/>
        <v>293.22200000000009</v>
      </c>
      <c r="AK219" s="60">
        <f t="shared" si="293"/>
        <v>260.29100000000011</v>
      </c>
      <c r="AL219" s="60">
        <f t="shared" si="293"/>
        <v>161.988</v>
      </c>
      <c r="AM219" s="60">
        <f t="shared" si="293"/>
        <v>763.75900000000013</v>
      </c>
      <c r="AN219" s="60">
        <f t="shared" si="293"/>
        <v>70.697999999999993</v>
      </c>
      <c r="AO219" s="60">
        <f t="shared" si="293"/>
        <v>272.55199999999996</v>
      </c>
      <c r="AP219" s="60">
        <f t="shared" si="293"/>
        <v>347.03700000000003</v>
      </c>
      <c r="AQ219" s="60">
        <f t="shared" si="293"/>
        <v>186.8540000000001</v>
      </c>
      <c r="AR219" s="60">
        <f t="shared" si="293"/>
        <v>877.14</v>
      </c>
      <c r="AS219" s="60">
        <f t="shared" si="293"/>
        <v>55.599999999999994</v>
      </c>
      <c r="AT219" s="60">
        <f t="shared" si="293"/>
        <v>309.99999999999994</v>
      </c>
      <c r="AU219" s="60">
        <f t="shared" si="293"/>
        <v>404.50000000000017</v>
      </c>
      <c r="AV219" s="60">
        <f t="shared" si="293"/>
        <v>236.59999999999985</v>
      </c>
      <c r="AW219" s="60">
        <f t="shared" si="293"/>
        <v>1006.7999999999997</v>
      </c>
      <c r="AX219" s="60">
        <f t="shared" si="293"/>
        <v>108.39999999999992</v>
      </c>
      <c r="AY219" s="60">
        <f t="shared" si="293"/>
        <v>333.1</v>
      </c>
      <c r="AZ219" s="60">
        <f t="shared" si="293"/>
        <v>377.89999999999986</v>
      </c>
      <c r="BA219" s="60">
        <f t="shared" si="293"/>
        <v>265.29999999999995</v>
      </c>
      <c r="BB219" s="60">
        <f t="shared" si="293"/>
        <v>1086.0000000000002</v>
      </c>
      <c r="BC219" s="60">
        <f t="shared" si="293"/>
        <v>72.300000000000011</v>
      </c>
      <c r="BD219" s="60">
        <f t="shared" si="293"/>
        <v>351.00000000000006</v>
      </c>
      <c r="BE219" s="60">
        <f t="shared" si="293"/>
        <v>410.70000000000005</v>
      </c>
      <c r="BF219" s="60">
        <f t="shared" si="293"/>
        <v>269.80000000000007</v>
      </c>
      <c r="BG219" s="60">
        <f t="shared" si="293"/>
        <v>1103.7000000000003</v>
      </c>
      <c r="BH219" s="60">
        <f t="shared" si="293"/>
        <v>202.19999999999993</v>
      </c>
      <c r="BI219" s="60">
        <f t="shared" si="293"/>
        <v>469.49999999999989</v>
      </c>
      <c r="BJ219" s="60">
        <f t="shared" si="293"/>
        <v>575.40000000000009</v>
      </c>
      <c r="BK219" s="60">
        <f t="shared" si="293"/>
        <v>375.99999999999989</v>
      </c>
      <c r="BL219" s="60">
        <f t="shared" si="293"/>
        <v>1622.8999999999994</v>
      </c>
      <c r="BM219" s="60">
        <f t="shared" si="293"/>
        <v>163</v>
      </c>
      <c r="BN219" s="60">
        <f t="shared" si="293"/>
        <v>444</v>
      </c>
      <c r="BO219" s="60">
        <f t="shared" ref="BO219:CE219" si="294">BO211+BO218</f>
        <v>498</v>
      </c>
      <c r="BP219" s="60">
        <f t="shared" si="294"/>
        <v>397</v>
      </c>
      <c r="BQ219" s="60">
        <f t="shared" si="294"/>
        <v>1502</v>
      </c>
      <c r="BR219" s="60">
        <f t="shared" si="294"/>
        <v>183</v>
      </c>
      <c r="BS219" s="60">
        <f t="shared" si="294"/>
        <v>421</v>
      </c>
      <c r="BT219" s="60">
        <f t="shared" si="294"/>
        <v>518</v>
      </c>
      <c r="BU219" s="60">
        <f t="shared" si="294"/>
        <v>362</v>
      </c>
      <c r="BV219" s="60">
        <f t="shared" si="294"/>
        <v>1484</v>
      </c>
      <c r="BW219" s="60">
        <f t="shared" si="294"/>
        <v>199</v>
      </c>
      <c r="BX219" s="60">
        <f t="shared" si="294"/>
        <v>436</v>
      </c>
      <c r="BY219" s="60">
        <f t="shared" si="294"/>
        <v>612.59595848953541</v>
      </c>
      <c r="BZ219" s="60">
        <f t="shared" si="294"/>
        <v>494.71444159113952</v>
      </c>
      <c r="CA219" s="60">
        <f t="shared" si="294"/>
        <v>1742.3104000806741</v>
      </c>
      <c r="CB219" s="60">
        <f t="shared" si="294"/>
        <v>2264.5369296065483</v>
      </c>
      <c r="CC219" s="60">
        <f t="shared" si="294"/>
        <v>2712.5870294784449</v>
      </c>
      <c r="CD219" s="60">
        <f t="shared" si="294"/>
        <v>3122.381254715563</v>
      </c>
      <c r="CE219" s="60">
        <f t="shared" si="294"/>
        <v>3559.0822349005034</v>
      </c>
      <c r="CF219" s="6"/>
      <c r="CH219" s="21">
        <f>IFERROR((CE219/BV219)^(1/5)-1,"n/m")</f>
        <v>0.19118941165114656</v>
      </c>
      <c r="CI219" s="21">
        <f>IFERROR((BV219/AW219)^(1/5)-1,"n/m")</f>
        <v>8.0682549825372929E-2</v>
      </c>
      <c r="CJ219" s="21">
        <f>IFERROR((BV219/X219)^(1/10)-1,"n/m")</f>
        <v>0.11359773365477599</v>
      </c>
      <c r="CK219" s="21">
        <f>IFERROR((BV219/C219)^(1/19)-1,"n/m")</f>
        <v>7.2352111066838143E-2</v>
      </c>
    </row>
    <row r="220" spans="2:89" ht="15" hidden="1" customHeight="1" outlineLevel="1" x14ac:dyDescent="0.25">
      <c r="B220" s="26" t="s">
        <v>386</v>
      </c>
      <c r="C220" s="38">
        <f t="shared" ref="C220:AH220" si="295">IF(AND(ISNUMBER(C219),ISNUMBER(C158)),IFERROR(C219/C158,""),"")</f>
        <v>0.17837699419869471</v>
      </c>
      <c r="D220" s="38">
        <f t="shared" si="295"/>
        <v>0.19947532961805081</v>
      </c>
      <c r="E220" s="38">
        <f t="shared" si="295"/>
        <v>0.15403565869534452</v>
      </c>
      <c r="F220" s="38">
        <f t="shared" si="295"/>
        <v>0.10947961940561497</v>
      </c>
      <c r="G220" s="38">
        <f t="shared" si="295"/>
        <v>0.10926019406584779</v>
      </c>
      <c r="H220" s="38">
        <f t="shared" si="295"/>
        <v>9.5746542972168711E-2</v>
      </c>
      <c r="I220" s="38">
        <f t="shared" si="295"/>
        <v>7.5775422065174708E-2</v>
      </c>
      <c r="J220" s="38">
        <f t="shared" si="295"/>
        <v>-5.8961038961038971E-2</v>
      </c>
      <c r="K220" s="38">
        <f t="shared" si="295"/>
        <v>0.12440021325750843</v>
      </c>
      <c r="L220" s="38">
        <f t="shared" si="295"/>
        <v>0.16233278220351721</v>
      </c>
      <c r="M220" s="38">
        <f t="shared" si="295"/>
        <v>0.11577981651376146</v>
      </c>
      <c r="N220" s="38">
        <f t="shared" si="295"/>
        <v>0.10127580607747624</v>
      </c>
      <c r="O220" s="38">
        <f t="shared" si="295"/>
        <v>-4.152087707021225E-2</v>
      </c>
      <c r="P220" s="38">
        <f t="shared" si="295"/>
        <v>0.1439031679617454</v>
      </c>
      <c r="Q220" s="38">
        <f t="shared" si="295"/>
        <v>0.11716648400916609</v>
      </c>
      <c r="R220" s="38">
        <f t="shared" si="295"/>
        <v>0.14060492817937639</v>
      </c>
      <c r="S220" s="38">
        <f t="shared" si="295"/>
        <v>0.10699797160243416</v>
      </c>
      <c r="T220" s="38">
        <f t="shared" si="295"/>
        <v>3.5724616719699169E-2</v>
      </c>
      <c r="U220" s="38">
        <f t="shared" si="295"/>
        <v>0.15183416540047745</v>
      </c>
      <c r="V220" s="38">
        <f t="shared" si="295"/>
        <v>0.16993162077250046</v>
      </c>
      <c r="W220" s="38">
        <f t="shared" si="295"/>
        <v>0.15095903386218332</v>
      </c>
      <c r="X220" s="38">
        <f t="shared" si="295"/>
        <v>0.1429540061023844</v>
      </c>
      <c r="Y220" s="38">
        <f t="shared" si="295"/>
        <v>0.10737829614604465</v>
      </c>
      <c r="Z220" s="38">
        <f t="shared" si="295"/>
        <v>0.20034789726798319</v>
      </c>
      <c r="AA220" s="38">
        <f t="shared" si="295"/>
        <v>0.22737566808587742</v>
      </c>
      <c r="AB220" s="38">
        <f t="shared" si="295"/>
        <v>0.16578836424957843</v>
      </c>
      <c r="AC220" s="38">
        <f t="shared" si="295"/>
        <v>0.18034461087252535</v>
      </c>
      <c r="AD220" s="38">
        <f t="shared" si="295"/>
        <v>9.2072520440810546E-2</v>
      </c>
      <c r="AE220" s="38">
        <f t="shared" si="295"/>
        <v>0.20526563234602727</v>
      </c>
      <c r="AF220" s="38">
        <f t="shared" si="295"/>
        <v>0.20906499954031443</v>
      </c>
      <c r="AG220" s="38">
        <f t="shared" si="295"/>
        <v>0.192684183410613</v>
      </c>
      <c r="AH220" s="38">
        <f t="shared" si="295"/>
        <v>0.17914060923945938</v>
      </c>
      <c r="AI220" s="38">
        <f t="shared" ref="AI220:BN220" si="296">IF(AND(ISNUMBER(AI219),ISNUMBER(AI158)),IFERROR(AI219/AI158,""),"")</f>
        <v>5.9351620947630933E-2</v>
      </c>
      <c r="AJ220" s="38">
        <f t="shared" si="296"/>
        <v>0.24386333034764557</v>
      </c>
      <c r="AK220" s="38">
        <f t="shared" si="296"/>
        <v>0.21341625397658331</v>
      </c>
      <c r="AL220" s="38">
        <f t="shared" si="296"/>
        <v>0.15877782983636832</v>
      </c>
      <c r="AM220" s="38">
        <f t="shared" si="296"/>
        <v>0.17995082776405338</v>
      </c>
      <c r="AN220" s="38">
        <f t="shared" si="296"/>
        <v>7.5294343179385589E-2</v>
      </c>
      <c r="AO220" s="38">
        <f t="shared" si="296"/>
        <v>0.21301978634870114</v>
      </c>
      <c r="AP220" s="38">
        <f t="shared" si="296"/>
        <v>0.24434992247821857</v>
      </c>
      <c r="AQ220" s="38">
        <f t="shared" si="296"/>
        <v>0.16980089601337667</v>
      </c>
      <c r="AR220" s="38">
        <f t="shared" si="296"/>
        <v>0.18508585389033946</v>
      </c>
      <c r="AS220" s="38">
        <f t="shared" si="296"/>
        <v>5.8025464412439984E-2</v>
      </c>
      <c r="AT220" s="38">
        <f t="shared" si="296"/>
        <v>0.24397922241460723</v>
      </c>
      <c r="AU220" s="38">
        <f t="shared" si="296"/>
        <v>0.30611472680490398</v>
      </c>
      <c r="AV220" s="38">
        <f t="shared" si="296"/>
        <v>0.20057646659884695</v>
      </c>
      <c r="AW220" s="38">
        <f t="shared" si="296"/>
        <v>0.21285862280386472</v>
      </c>
      <c r="AX220" s="38">
        <f t="shared" si="296"/>
        <v>0.11034201954397387</v>
      </c>
      <c r="AY220" s="38">
        <f t="shared" si="296"/>
        <v>0.24174468393932796</v>
      </c>
      <c r="AZ220" s="38">
        <f t="shared" si="296"/>
        <v>0.24266358440891278</v>
      </c>
      <c r="BA220" s="38">
        <f t="shared" si="296"/>
        <v>0.17729216786955354</v>
      </c>
      <c r="BB220" s="38">
        <f t="shared" si="296"/>
        <v>0.20059106021425938</v>
      </c>
      <c r="BC220" s="38">
        <f t="shared" si="296"/>
        <v>5.8742281442963937E-2</v>
      </c>
      <c r="BD220" s="38">
        <f t="shared" si="296"/>
        <v>0.21380276542608276</v>
      </c>
      <c r="BE220" s="38">
        <f t="shared" si="296"/>
        <v>0.22669316111939064</v>
      </c>
      <c r="BF220" s="38">
        <f t="shared" si="296"/>
        <v>0.18272942770064346</v>
      </c>
      <c r="BG220" s="38">
        <f t="shared" si="296"/>
        <v>0.17915171977210387</v>
      </c>
      <c r="BH220" s="38">
        <f t="shared" si="296"/>
        <v>0.14932427442581783</v>
      </c>
      <c r="BI220" s="38">
        <f t="shared" si="296"/>
        <v>0.25785369068541297</v>
      </c>
      <c r="BJ220" s="38">
        <f t="shared" si="296"/>
        <v>0.28855122611704537</v>
      </c>
      <c r="BK220" s="38">
        <f t="shared" si="296"/>
        <v>0.23380176594950869</v>
      </c>
      <c r="BL220" s="38">
        <f t="shared" si="296"/>
        <v>0.23946467567727076</v>
      </c>
      <c r="BM220" s="38">
        <f t="shared" si="296"/>
        <v>0.13029576338928858</v>
      </c>
      <c r="BN220" s="38">
        <f t="shared" si="296"/>
        <v>0.25170068027210885</v>
      </c>
      <c r="BO220" s="38">
        <f t="shared" ref="BO220:BX220" si="297">IF(AND(ISNUMBER(BO219),ISNUMBER(BO158)),IFERROR(BO219/BO158,""),"")</f>
        <v>0.26363155108523029</v>
      </c>
      <c r="BP220" s="38">
        <f t="shared" si="297"/>
        <v>0.24325980392156862</v>
      </c>
      <c r="BQ220" s="38">
        <f t="shared" si="297"/>
        <v>0.22980416156670747</v>
      </c>
      <c r="BR220" s="38">
        <f t="shared" si="297"/>
        <v>0.15748709122203097</v>
      </c>
      <c r="BS220" s="38">
        <f t="shared" si="297"/>
        <v>0.26165320074580484</v>
      </c>
      <c r="BT220" s="38">
        <f t="shared" si="297"/>
        <v>0.28060671722643554</v>
      </c>
      <c r="BU220" s="38">
        <f t="shared" si="297"/>
        <v>0.23598435462842243</v>
      </c>
      <c r="BV220" s="38">
        <f t="shared" si="297"/>
        <v>0.24130081300813008</v>
      </c>
      <c r="BW220" s="38">
        <f t="shared" si="297"/>
        <v>0.1461086637298091</v>
      </c>
      <c r="BX220" s="38">
        <f t="shared" si="297"/>
        <v>0.22393425783256291</v>
      </c>
      <c r="BY220" s="25">
        <f t="shared" ref="BY220:CE220" si="298">IFERROR(BY219/BY158,"")</f>
        <v>0.2566620704091786</v>
      </c>
      <c r="BZ220" s="25">
        <f t="shared" si="298"/>
        <v>0.21758329077360389</v>
      </c>
      <c r="CA220" s="25">
        <f t="shared" si="298"/>
        <v>0.21862343041799487</v>
      </c>
      <c r="CB220" s="25">
        <f t="shared" si="298"/>
        <v>0.23067929833341827</v>
      </c>
      <c r="CC220" s="25">
        <f t="shared" si="298"/>
        <v>0.25584433570894077</v>
      </c>
      <c r="CD220" s="25">
        <f t="shared" si="298"/>
        <v>0.27166192322204658</v>
      </c>
      <c r="CE220" s="25">
        <f t="shared" si="298"/>
        <v>0.28505103883272126</v>
      </c>
      <c r="CF220" s="6"/>
      <c r="CH220" s="39">
        <f>IFERROR(AVERAGE(CA220,CB220,CC220,CD220,CE220),"n/m")</f>
        <v>0.25237200530302434</v>
      </c>
      <c r="CI220" s="39">
        <f>IFERROR(AVERAGE(BB220,BG220,BL220,BQ220,BV220),"n/m")</f>
        <v>0.21806248604769429</v>
      </c>
      <c r="CJ220" s="39">
        <f>IFERROR(AVERAGE(AC220,AH220,AM220,AR220,AW220,BB220,BG220,BL220,BQ220,BV220),"n/m")</f>
        <v>0.20276929548087136</v>
      </c>
      <c r="CK220" s="39">
        <f>IFERROR(AVERAGE(C220,D220,E220,F220,G220,H220,I220,N220,S220,X220,AC220,AH220,AM220,AR220,AW220,BB220,BG220,BL220,BQ220,BV220),"n/m")</f>
        <v>0.16505352498059525</v>
      </c>
    </row>
    <row r="221" spans="2:89" ht="15" hidden="1" customHeight="1" outlineLevel="1" x14ac:dyDescent="0.25">
      <c r="B221" s="42" t="s">
        <v>387</v>
      </c>
      <c r="C221" s="47">
        <f t="shared" ref="C221:I221" si="299">C211</f>
        <v>535</v>
      </c>
      <c r="D221" s="47">
        <f t="shared" si="299"/>
        <v>590.59999999999991</v>
      </c>
      <c r="E221" s="47">
        <f t="shared" si="299"/>
        <v>497.69999999999987</v>
      </c>
      <c r="F221" s="47">
        <f t="shared" si="299"/>
        <v>364.1</v>
      </c>
      <c r="G221" s="47">
        <f t="shared" si="299"/>
        <v>374.70000000000005</v>
      </c>
      <c r="H221" s="47">
        <f t="shared" si="299"/>
        <v>335.9</v>
      </c>
      <c r="I221" s="47">
        <f t="shared" si="299"/>
        <v>329.9</v>
      </c>
      <c r="N221" s="47">
        <f>N211</f>
        <v>390.20000000000005</v>
      </c>
      <c r="S221" s="47">
        <f>S211</f>
        <v>537.00000000000023</v>
      </c>
      <c r="X221" s="47">
        <f>X211</f>
        <v>766.69999999999982</v>
      </c>
      <c r="AC221" s="47">
        <f>AC211</f>
        <v>971.5999999999998</v>
      </c>
      <c r="AH221" s="47">
        <f>AH211</f>
        <v>1004.4000000000001</v>
      </c>
      <c r="AM221" s="47">
        <f>AM211</f>
        <v>1103.7650000000001</v>
      </c>
      <c r="AR221" s="47">
        <f>AR211</f>
        <v>1254.549</v>
      </c>
      <c r="AW221" s="47">
        <f>AW211</f>
        <v>1392.7999999999997</v>
      </c>
      <c r="BB221" s="47">
        <f>BB211</f>
        <v>1528.5000000000002</v>
      </c>
      <c r="BG221" s="47">
        <f>BG211</f>
        <v>1600.3000000000004</v>
      </c>
      <c r="BL221" s="47">
        <f>BL211</f>
        <v>2127.6999999999994</v>
      </c>
      <c r="BQ221" s="47">
        <f>BQ211</f>
        <v>2066</v>
      </c>
      <c r="BV221" s="47">
        <f>BV211</f>
        <v>2065</v>
      </c>
      <c r="BY221" s="6"/>
      <c r="BZ221" s="6"/>
      <c r="CA221" s="37">
        <f>CA211+CA72*BZ87*(365-CA71)/365</f>
        <v>3197.2214312985925</v>
      </c>
      <c r="CB221" s="37">
        <f>CB211</f>
        <v>3595.1374518784769</v>
      </c>
      <c r="CC221" s="37">
        <f>CC211</f>
        <v>4123.9822192627798</v>
      </c>
      <c r="CD221" s="37">
        <f>CD211</f>
        <v>4627.8613086621071</v>
      </c>
      <c r="CE221" s="37">
        <f>CE211</f>
        <v>5170.0286847200787</v>
      </c>
      <c r="CF221" s="20" t="s">
        <v>388</v>
      </c>
    </row>
    <row r="222" spans="2:89" ht="15" customHeight="1" collapsed="1" x14ac:dyDescent="0.25"/>
    <row r="223" spans="2:89" ht="15" customHeight="1" x14ac:dyDescent="0.25">
      <c r="B223" s="11" t="s">
        <v>389</v>
      </c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  <c r="BD223" s="11"/>
      <c r="BE223" s="11"/>
      <c r="BF223" s="11"/>
      <c r="BG223" s="11"/>
      <c r="BH223" s="11"/>
      <c r="BI223" s="11"/>
      <c r="BJ223" s="11"/>
      <c r="BK223" s="11"/>
      <c r="BL223" s="11"/>
      <c r="BM223" s="11"/>
      <c r="BN223" s="11"/>
      <c r="BO223" s="11"/>
      <c r="BP223" s="11"/>
      <c r="BQ223" s="11"/>
      <c r="BR223" s="11"/>
      <c r="BS223" s="11"/>
      <c r="BT223" s="11"/>
      <c r="BU223" s="11"/>
      <c r="BV223" s="11"/>
      <c r="BW223" s="11"/>
      <c r="BX223" s="11"/>
      <c r="BY223" s="11"/>
      <c r="BZ223" s="11"/>
      <c r="CA223" s="11"/>
      <c r="CB223" s="11"/>
      <c r="CC223" s="11"/>
      <c r="CD223" s="11"/>
      <c r="CE223" s="11"/>
      <c r="CF223" s="11" t="s">
        <v>390</v>
      </c>
    </row>
    <row r="224" spans="2:89" ht="15" customHeight="1" x14ac:dyDescent="0.25">
      <c r="B224" s="17" t="s">
        <v>354</v>
      </c>
      <c r="C224" s="46">
        <f t="shared" ref="C224:AH224" si="300">C198</f>
        <v>243.80000000000004</v>
      </c>
      <c r="D224" s="46">
        <f t="shared" si="300"/>
        <v>262.5</v>
      </c>
      <c r="E224" s="46">
        <f t="shared" si="300"/>
        <v>171.49999999999989</v>
      </c>
      <c r="F224" s="46">
        <f t="shared" si="300"/>
        <v>85.199999999999804</v>
      </c>
      <c r="G224" s="46">
        <f t="shared" si="300"/>
        <v>96.8</v>
      </c>
      <c r="H224" s="46">
        <f t="shared" si="300"/>
        <v>78.400000000000006</v>
      </c>
      <c r="I224" s="46">
        <f t="shared" si="300"/>
        <v>84.999999999999858</v>
      </c>
      <c r="J224" s="46">
        <f t="shared" si="300"/>
        <v>-27.699999999999982</v>
      </c>
      <c r="K224" s="46">
        <f t="shared" si="300"/>
        <v>41.000000000000078</v>
      </c>
      <c r="L224" s="46">
        <f t="shared" si="300"/>
        <v>72.099999999999923</v>
      </c>
      <c r="M224" s="46">
        <f t="shared" si="300"/>
        <v>36.299999999999997</v>
      </c>
      <c r="N224" s="46">
        <f t="shared" si="300"/>
        <v>122.10000000000002</v>
      </c>
      <c r="O224" s="46">
        <f t="shared" si="300"/>
        <v>-21.599999999999991</v>
      </c>
      <c r="P224" s="46">
        <f t="shared" si="300"/>
        <v>59.600000000000023</v>
      </c>
      <c r="Q224" s="46">
        <f t="shared" si="300"/>
        <v>53.800000000000026</v>
      </c>
      <c r="R224" s="46">
        <f t="shared" si="300"/>
        <v>63.899999999999949</v>
      </c>
      <c r="S224" s="46">
        <f t="shared" si="300"/>
        <v>155.60000000000016</v>
      </c>
      <c r="T224" s="46">
        <f t="shared" si="300"/>
        <v>6.0999999999999508</v>
      </c>
      <c r="U224" s="46">
        <f t="shared" si="300"/>
        <v>81.89999999999992</v>
      </c>
      <c r="V224" s="46">
        <f t="shared" si="300"/>
        <v>117.5</v>
      </c>
      <c r="W224" s="46">
        <f t="shared" si="300"/>
        <v>83.20000000000006</v>
      </c>
      <c r="X224" s="46">
        <f t="shared" si="300"/>
        <v>288.79999999999973</v>
      </c>
      <c r="Y224" s="46">
        <f t="shared" si="300"/>
        <v>44.999999999999893</v>
      </c>
      <c r="Z224" s="46">
        <f t="shared" si="300"/>
        <v>122.09999999999991</v>
      </c>
      <c r="AA224" s="46">
        <f t="shared" si="300"/>
        <v>159.50000000000011</v>
      </c>
      <c r="AB224" s="46">
        <f t="shared" si="300"/>
        <v>98.899999999999864</v>
      </c>
      <c r="AC224" s="46">
        <f t="shared" si="300"/>
        <v>425.39999999999986</v>
      </c>
      <c r="AD224" s="46">
        <f t="shared" si="300"/>
        <v>42.300000000000018</v>
      </c>
      <c r="AE224" s="46">
        <f t="shared" si="300"/>
        <v>142.30000000000001</v>
      </c>
      <c r="AF224" s="46">
        <f t="shared" si="300"/>
        <v>151.50000000000006</v>
      </c>
      <c r="AG224" s="46">
        <f t="shared" si="300"/>
        <v>377.19999999999993</v>
      </c>
      <c r="AH224" s="46">
        <f t="shared" si="300"/>
        <v>713.30000000000007</v>
      </c>
      <c r="AI224" s="46">
        <f t="shared" ref="AI224:BN224" si="301">AI198</f>
        <v>9.9999999999999787</v>
      </c>
      <c r="AJ224" s="46">
        <f t="shared" si="301"/>
        <v>185.37700000000004</v>
      </c>
      <c r="AK224" s="46">
        <f t="shared" si="301"/>
        <v>180.22100000000012</v>
      </c>
      <c r="AL224" s="46">
        <f t="shared" si="301"/>
        <v>94.378</v>
      </c>
      <c r="AM224" s="46">
        <f t="shared" si="301"/>
        <v>469.99800000000027</v>
      </c>
      <c r="AN224" s="46">
        <f t="shared" si="301"/>
        <v>42.826000000000029</v>
      </c>
      <c r="AO224" s="46">
        <f t="shared" si="301"/>
        <v>189.46900000000005</v>
      </c>
      <c r="AP224" s="46">
        <f t="shared" si="301"/>
        <v>248.62200000000013</v>
      </c>
      <c r="AQ224" s="46">
        <f t="shared" si="301"/>
        <v>131.0140000000001</v>
      </c>
      <c r="AR224" s="46">
        <f t="shared" si="301"/>
        <v>611.91500000000008</v>
      </c>
      <c r="AS224" s="46">
        <f t="shared" si="301"/>
        <v>25.900000000000087</v>
      </c>
      <c r="AT224" s="46">
        <f t="shared" si="301"/>
        <v>217.59999999999994</v>
      </c>
      <c r="AU224" s="46">
        <f t="shared" si="301"/>
        <v>294.40000000000015</v>
      </c>
      <c r="AV224" s="46">
        <f t="shared" si="301"/>
        <v>182.99999999999986</v>
      </c>
      <c r="AW224" s="46">
        <f t="shared" si="301"/>
        <v>720.99999999999966</v>
      </c>
      <c r="AX224" s="46">
        <f t="shared" si="301"/>
        <v>65.299999999999912</v>
      </c>
      <c r="AY224" s="46">
        <f t="shared" si="301"/>
        <v>225.80000000000013</v>
      </c>
      <c r="AZ224" s="46">
        <f t="shared" si="301"/>
        <v>254.59999999999988</v>
      </c>
      <c r="BA224" s="46">
        <f t="shared" si="301"/>
        <v>156.30000000000004</v>
      </c>
      <c r="BB224" s="46">
        <f t="shared" si="301"/>
        <v>702.00000000000023</v>
      </c>
      <c r="BC224" s="46">
        <f t="shared" si="301"/>
        <v>24.499999999999915</v>
      </c>
      <c r="BD224" s="46">
        <f t="shared" si="301"/>
        <v>353.20000000000005</v>
      </c>
      <c r="BE224" s="46">
        <f t="shared" si="301"/>
        <v>291.2</v>
      </c>
      <c r="BF224" s="46">
        <f t="shared" si="301"/>
        <v>187.40000000000009</v>
      </c>
      <c r="BG224" s="46">
        <f t="shared" si="301"/>
        <v>856.30000000000018</v>
      </c>
      <c r="BH224" s="46">
        <f t="shared" si="301"/>
        <v>134.29999999999993</v>
      </c>
      <c r="BI224" s="46">
        <f t="shared" si="301"/>
        <v>347.59999999999985</v>
      </c>
      <c r="BJ224" s="46">
        <f t="shared" si="301"/>
        <v>430.30000000000007</v>
      </c>
      <c r="BK224" s="46">
        <f t="shared" si="301"/>
        <v>287.69999999999993</v>
      </c>
      <c r="BL224" s="46">
        <f t="shared" si="301"/>
        <v>1199.7999999999995</v>
      </c>
      <c r="BM224" s="46">
        <f t="shared" si="301"/>
        <v>1045</v>
      </c>
      <c r="BN224" s="46">
        <f t="shared" si="301"/>
        <v>294</v>
      </c>
      <c r="BO224" s="46">
        <f t="shared" ref="BO224:CE224" si="302">BO198</f>
        <v>363</v>
      </c>
      <c r="BP224" s="46">
        <f t="shared" si="302"/>
        <v>294</v>
      </c>
      <c r="BQ224" s="46">
        <f t="shared" si="302"/>
        <v>1995</v>
      </c>
      <c r="BR224" s="46">
        <f t="shared" si="302"/>
        <v>104</v>
      </c>
      <c r="BS224" s="46">
        <f t="shared" si="302"/>
        <v>292</v>
      </c>
      <c r="BT224" s="46">
        <f t="shared" si="302"/>
        <v>361</v>
      </c>
      <c r="BU224" s="46">
        <f t="shared" si="302"/>
        <v>233</v>
      </c>
      <c r="BV224" s="46">
        <f t="shared" si="302"/>
        <v>990</v>
      </c>
      <c r="BW224" s="46">
        <f t="shared" si="302"/>
        <v>79</v>
      </c>
      <c r="BX224" s="46">
        <f t="shared" si="302"/>
        <v>256</v>
      </c>
      <c r="BY224" s="34">
        <f t="shared" si="302"/>
        <v>333.00222352428591</v>
      </c>
      <c r="BZ224" s="34">
        <f t="shared" si="302"/>
        <v>228.25423982247494</v>
      </c>
      <c r="CA224" s="34">
        <f t="shared" si="302"/>
        <v>896.25646334676003</v>
      </c>
      <c r="CB224" s="34">
        <f t="shared" si="302"/>
        <v>1290.8191379330897</v>
      </c>
      <c r="CC224" s="34">
        <f t="shared" si="302"/>
        <v>1695.1230910099953</v>
      </c>
      <c r="CD224" s="34">
        <f t="shared" si="302"/>
        <v>2044.3650536735167</v>
      </c>
      <c r="CE224" s="34">
        <f t="shared" si="302"/>
        <v>2368.8409653213325</v>
      </c>
      <c r="CF224" s="6"/>
    </row>
    <row r="225" spans="2:89" ht="15" customHeight="1" x14ac:dyDescent="0.25">
      <c r="B225" s="26" t="s">
        <v>391</v>
      </c>
      <c r="C225" s="47">
        <f t="shared" ref="C225:AH225" si="303">C210</f>
        <v>1.171</v>
      </c>
      <c r="D225" s="47">
        <f t="shared" si="303"/>
        <v>0.56200000000000006</v>
      </c>
      <c r="E225" s="47">
        <f t="shared" si="303"/>
        <v>4.1710000000000003</v>
      </c>
      <c r="F225" s="47">
        <f t="shared" si="303"/>
        <v>0</v>
      </c>
      <c r="G225" s="47">
        <f t="shared" si="303"/>
        <v>0</v>
      </c>
      <c r="H225" s="47">
        <f t="shared" si="303"/>
        <v>0</v>
      </c>
      <c r="I225" s="47">
        <f t="shared" si="303"/>
        <v>0</v>
      </c>
      <c r="J225" s="47">
        <f t="shared" si="303"/>
        <v>0</v>
      </c>
      <c r="K225" s="47">
        <f t="shared" si="303"/>
        <v>0</v>
      </c>
      <c r="L225" s="47">
        <f t="shared" si="303"/>
        <v>0</v>
      </c>
      <c r="M225" s="47">
        <f t="shared" si="303"/>
        <v>0</v>
      </c>
      <c r="N225" s="47">
        <f t="shared" si="303"/>
        <v>0</v>
      </c>
      <c r="O225" s="47">
        <f t="shared" si="303"/>
        <v>0</v>
      </c>
      <c r="P225" s="47">
        <f t="shared" si="303"/>
        <v>0</v>
      </c>
      <c r="Q225" s="47">
        <f t="shared" si="303"/>
        <v>0</v>
      </c>
      <c r="R225" s="47">
        <f t="shared" si="303"/>
        <v>0</v>
      </c>
      <c r="S225" s="47">
        <f t="shared" si="303"/>
        <v>0</v>
      </c>
      <c r="T225" s="47">
        <f t="shared" si="303"/>
        <v>0</v>
      </c>
      <c r="U225" s="47">
        <f t="shared" si="303"/>
        <v>0</v>
      </c>
      <c r="V225" s="47">
        <f t="shared" si="303"/>
        <v>0</v>
      </c>
      <c r="W225" s="47">
        <f t="shared" si="303"/>
        <v>-13.9</v>
      </c>
      <c r="X225" s="47">
        <f t="shared" si="303"/>
        <v>16</v>
      </c>
      <c r="Y225" s="47">
        <f t="shared" si="303"/>
        <v>0</v>
      </c>
      <c r="Z225" s="47">
        <f t="shared" si="303"/>
        <v>0</v>
      </c>
      <c r="AA225" s="47">
        <f t="shared" si="303"/>
        <v>0</v>
      </c>
      <c r="AB225" s="47">
        <f t="shared" si="303"/>
        <v>0</v>
      </c>
      <c r="AC225" s="47">
        <f t="shared" si="303"/>
        <v>0</v>
      </c>
      <c r="AD225" s="47">
        <f t="shared" si="303"/>
        <v>0</v>
      </c>
      <c r="AE225" s="47">
        <f t="shared" si="303"/>
        <v>0</v>
      </c>
      <c r="AF225" s="47">
        <f t="shared" si="303"/>
        <v>0</v>
      </c>
      <c r="AG225" s="47">
        <f t="shared" si="303"/>
        <v>0</v>
      </c>
      <c r="AH225" s="47">
        <f t="shared" si="303"/>
        <v>0</v>
      </c>
      <c r="AI225" s="47">
        <f t="shared" ref="AI225:BN225" si="304">AI210</f>
        <v>0</v>
      </c>
      <c r="AJ225" s="47">
        <f t="shared" si="304"/>
        <v>22.292999999999999</v>
      </c>
      <c r="AK225" s="47">
        <f t="shared" si="304"/>
        <v>15.551000000000002</v>
      </c>
      <c r="AL225" s="47">
        <f t="shared" si="304"/>
        <v>12.500999999999999</v>
      </c>
      <c r="AM225" s="47">
        <f t="shared" si="304"/>
        <v>51.055</v>
      </c>
      <c r="AN225" s="47">
        <f t="shared" si="304"/>
        <v>0</v>
      </c>
      <c r="AO225" s="47">
        <f t="shared" si="304"/>
        <v>0</v>
      </c>
      <c r="AP225" s="47">
        <f t="shared" si="304"/>
        <v>0</v>
      </c>
      <c r="AQ225" s="47">
        <f t="shared" si="304"/>
        <v>0</v>
      </c>
      <c r="AR225" s="47">
        <f t="shared" si="304"/>
        <v>0</v>
      </c>
      <c r="AS225" s="47">
        <f t="shared" si="304"/>
        <v>0</v>
      </c>
      <c r="AT225" s="47">
        <f t="shared" si="304"/>
        <v>0</v>
      </c>
      <c r="AU225" s="47">
        <f t="shared" si="304"/>
        <v>0</v>
      </c>
      <c r="AV225" s="47">
        <f t="shared" si="304"/>
        <v>0</v>
      </c>
      <c r="AW225" s="47">
        <f t="shared" si="304"/>
        <v>0</v>
      </c>
      <c r="AX225" s="47">
        <f t="shared" si="304"/>
        <v>0</v>
      </c>
      <c r="AY225" s="47">
        <f t="shared" si="304"/>
        <v>16.899999999999999</v>
      </c>
      <c r="AZ225" s="47">
        <f t="shared" si="304"/>
        <v>15.5</v>
      </c>
      <c r="BA225" s="47">
        <f t="shared" si="304"/>
        <v>54.699999999999996</v>
      </c>
      <c r="BB225" s="47">
        <f t="shared" si="304"/>
        <v>88.5</v>
      </c>
      <c r="BC225" s="47">
        <f t="shared" si="304"/>
        <v>1.4</v>
      </c>
      <c r="BD225" s="47">
        <f t="shared" si="304"/>
        <v>-148.79999999999998</v>
      </c>
      <c r="BE225" s="47">
        <f t="shared" si="304"/>
        <v>1.6</v>
      </c>
      <c r="BF225" s="47">
        <f t="shared" si="304"/>
        <v>3</v>
      </c>
      <c r="BG225" s="47">
        <f t="shared" si="304"/>
        <v>-142.80000000000001</v>
      </c>
      <c r="BH225" s="47">
        <f t="shared" si="304"/>
        <v>0.8</v>
      </c>
      <c r="BI225" s="47">
        <f t="shared" si="304"/>
        <v>0.4</v>
      </c>
      <c r="BJ225" s="47">
        <f t="shared" si="304"/>
        <v>3.3</v>
      </c>
      <c r="BK225" s="47">
        <f t="shared" si="304"/>
        <v>7.6</v>
      </c>
      <c r="BL225" s="47">
        <f t="shared" si="304"/>
        <v>12.2</v>
      </c>
      <c r="BM225" s="47">
        <f t="shared" si="304"/>
        <v>-1264</v>
      </c>
      <c r="BN225" s="47">
        <f t="shared" si="304"/>
        <v>39</v>
      </c>
      <c r="BO225" s="47">
        <f t="shared" ref="BO225:CE225" si="305">BO210</f>
        <v>2</v>
      </c>
      <c r="BP225" s="47">
        <f t="shared" si="305"/>
        <v>1</v>
      </c>
      <c r="BQ225" s="47">
        <f t="shared" si="305"/>
        <v>-1221</v>
      </c>
      <c r="BR225" s="47">
        <f t="shared" si="305"/>
        <v>0</v>
      </c>
      <c r="BS225" s="47">
        <f t="shared" si="305"/>
        <v>0</v>
      </c>
      <c r="BT225" s="47">
        <f t="shared" si="305"/>
        <v>12</v>
      </c>
      <c r="BU225" s="47">
        <f t="shared" si="305"/>
        <v>26</v>
      </c>
      <c r="BV225" s="47">
        <f t="shared" si="305"/>
        <v>38</v>
      </c>
      <c r="BW225" s="47">
        <f t="shared" si="305"/>
        <v>28</v>
      </c>
      <c r="BX225" s="47">
        <f t="shared" si="305"/>
        <v>58</v>
      </c>
      <c r="BY225" s="37">
        <f t="shared" si="305"/>
        <v>90</v>
      </c>
      <c r="BZ225" s="37">
        <f t="shared" si="305"/>
        <v>52</v>
      </c>
      <c r="CA225" s="37">
        <f t="shared" si="305"/>
        <v>228</v>
      </c>
      <c r="CB225" s="37">
        <f t="shared" si="305"/>
        <v>25</v>
      </c>
      <c r="CC225" s="37">
        <f t="shared" si="305"/>
        <v>10</v>
      </c>
      <c r="CD225" s="37">
        <f t="shared" si="305"/>
        <v>10</v>
      </c>
      <c r="CE225" s="37">
        <f t="shared" si="305"/>
        <v>10</v>
      </c>
      <c r="CF225" s="6"/>
    </row>
    <row r="226" spans="2:89" ht="15" customHeight="1" x14ac:dyDescent="0.25">
      <c r="B226" s="26" t="s">
        <v>392</v>
      </c>
      <c r="C226" s="38">
        <f t="shared" ref="C226:AH226" si="306">IFERROR(MIN(MAX(C173,0.15),0.4),0.25)</f>
        <v>0.30422374429223742</v>
      </c>
      <c r="D226" s="38">
        <f t="shared" si="306"/>
        <v>0.30665610142630739</v>
      </c>
      <c r="E226" s="38">
        <f t="shared" si="306"/>
        <v>0.29510891903000425</v>
      </c>
      <c r="F226" s="38">
        <f t="shared" si="306"/>
        <v>0.23764093668690414</v>
      </c>
      <c r="G226" s="38">
        <f t="shared" si="306"/>
        <v>0.22866092404072041</v>
      </c>
      <c r="H226" s="38">
        <f t="shared" si="306"/>
        <v>0.20874751491053675</v>
      </c>
      <c r="I226" s="38">
        <f t="shared" si="306"/>
        <v>0.1642371234207971</v>
      </c>
      <c r="J226" s="38">
        <f t="shared" si="306"/>
        <v>0.22546419098143247</v>
      </c>
      <c r="K226" s="38">
        <f t="shared" si="306"/>
        <v>0.26642984014209553</v>
      </c>
      <c r="L226" s="38">
        <f t="shared" si="306"/>
        <v>0.2405462184873951</v>
      </c>
      <c r="M226" s="38">
        <f t="shared" si="306"/>
        <v>0.28857715430861725</v>
      </c>
      <c r="N226" s="38">
        <f t="shared" si="306"/>
        <v>0.26796589524969544</v>
      </c>
      <c r="O226" s="38">
        <f t="shared" si="306"/>
        <v>0.268987341772152</v>
      </c>
      <c r="P226" s="38">
        <f t="shared" si="306"/>
        <v>0.28588516746411474</v>
      </c>
      <c r="Q226" s="38">
        <f t="shared" si="306"/>
        <v>0.4</v>
      </c>
      <c r="R226" s="38">
        <f t="shared" si="306"/>
        <v>0.35584677419354854</v>
      </c>
      <c r="S226" s="38">
        <f t="shared" si="306"/>
        <v>0.38081861958266433</v>
      </c>
      <c r="T226" s="38">
        <f t="shared" si="306"/>
        <v>0.15</v>
      </c>
      <c r="U226" s="38">
        <f t="shared" si="306"/>
        <v>0.3217535153019026</v>
      </c>
      <c r="V226" s="38">
        <f t="shared" si="306"/>
        <v>0.28770442156268927</v>
      </c>
      <c r="W226" s="38">
        <f t="shared" si="306"/>
        <v>0.32081632653061209</v>
      </c>
      <c r="X226" s="38">
        <f t="shared" si="306"/>
        <v>0.30183663605606592</v>
      </c>
      <c r="Y226" s="38">
        <f t="shared" si="306"/>
        <v>0.30401234567901281</v>
      </c>
      <c r="Z226" s="38">
        <f t="shared" si="306"/>
        <v>0.30427350427350441</v>
      </c>
      <c r="AA226" s="38">
        <f t="shared" si="306"/>
        <v>0.30772569444444431</v>
      </c>
      <c r="AB226" s="38">
        <f t="shared" si="306"/>
        <v>0.27565982404692113</v>
      </c>
      <c r="AC226" s="38">
        <f t="shared" si="306"/>
        <v>0.299176276771005</v>
      </c>
      <c r="AD226" s="38">
        <f t="shared" si="306"/>
        <v>0.25528169014084501</v>
      </c>
      <c r="AE226" s="38">
        <f t="shared" si="306"/>
        <v>0.26762738033968086</v>
      </c>
      <c r="AF226" s="38">
        <f t="shared" si="306"/>
        <v>0.25844346549192354</v>
      </c>
      <c r="AG226" s="38">
        <f t="shared" si="306"/>
        <v>0.15</v>
      </c>
      <c r="AH226" s="38">
        <f t="shared" si="306"/>
        <v>0.15</v>
      </c>
      <c r="AI226" s="38">
        <f t="shared" ref="AI226:BN226" si="307">IFERROR(MIN(MAX(AI173,0.15),0.4),0.25)</f>
        <v>0.20000000000000034</v>
      </c>
      <c r="AJ226" s="38">
        <f t="shared" si="307"/>
        <v>0.22091607028861335</v>
      </c>
      <c r="AK226" s="38">
        <f t="shared" si="307"/>
        <v>0.15</v>
      </c>
      <c r="AL226" s="38">
        <f t="shared" si="307"/>
        <v>0.18577534945448904</v>
      </c>
      <c r="AM226" s="38">
        <f t="shared" si="307"/>
        <v>0.1834898217438172</v>
      </c>
      <c r="AN226" s="38">
        <f t="shared" si="307"/>
        <v>0.15</v>
      </c>
      <c r="AO226" s="38">
        <f t="shared" si="307"/>
        <v>0.20843168629548078</v>
      </c>
      <c r="AP226" s="38">
        <f t="shared" si="307"/>
        <v>0.21022236340533662</v>
      </c>
      <c r="AQ226" s="38">
        <f t="shared" si="307"/>
        <v>0.16164665698697067</v>
      </c>
      <c r="AR226" s="38">
        <f t="shared" si="307"/>
        <v>0.18220291419896939</v>
      </c>
      <c r="AS226" s="38">
        <f t="shared" si="307"/>
        <v>0.15</v>
      </c>
      <c r="AT226" s="38">
        <f t="shared" si="307"/>
        <v>0.22007168458781365</v>
      </c>
      <c r="AU226" s="38">
        <f t="shared" si="307"/>
        <v>0.21681298217611059</v>
      </c>
      <c r="AV226" s="38">
        <f t="shared" si="307"/>
        <v>0.15</v>
      </c>
      <c r="AW226" s="38">
        <f t="shared" si="307"/>
        <v>0.18913752389519853</v>
      </c>
      <c r="AX226" s="38">
        <f t="shared" si="307"/>
        <v>0.19533169533169553</v>
      </c>
      <c r="AY226" s="38">
        <f t="shared" si="307"/>
        <v>0.21624435959736191</v>
      </c>
      <c r="AZ226" s="38">
        <f t="shared" si="307"/>
        <v>0.19987429289754879</v>
      </c>
      <c r="BA226" s="38">
        <f t="shared" si="307"/>
        <v>0.15</v>
      </c>
      <c r="BB226" s="38">
        <f t="shared" si="307"/>
        <v>0.1790765634132086</v>
      </c>
      <c r="BC226" s="38">
        <f t="shared" si="307"/>
        <v>0.19205298013245087</v>
      </c>
      <c r="BD226" s="38">
        <f t="shared" si="307"/>
        <v>0.22819672131147542</v>
      </c>
      <c r="BE226" s="38">
        <f t="shared" si="307"/>
        <v>0.21382289416846653</v>
      </c>
      <c r="BF226" s="38">
        <f t="shared" si="307"/>
        <v>0.19484978540772524</v>
      </c>
      <c r="BG226" s="38">
        <f t="shared" si="307"/>
        <v>0.21519567409036749</v>
      </c>
      <c r="BH226" s="38">
        <f t="shared" si="307"/>
        <v>0.20882352941176482</v>
      </c>
      <c r="BI226" s="38">
        <f t="shared" si="307"/>
        <v>0.20895861755343348</v>
      </c>
      <c r="BJ226" s="38">
        <f t="shared" si="307"/>
        <v>0.20348083688205887</v>
      </c>
      <c r="BK226" s="38">
        <f t="shared" si="307"/>
        <v>0.16068824730242054</v>
      </c>
      <c r="BL226" s="38">
        <f t="shared" si="307"/>
        <v>0.19594051446945343</v>
      </c>
      <c r="BM226" s="38">
        <f t="shared" si="307"/>
        <v>0.26025459688826025</v>
      </c>
      <c r="BN226" s="38">
        <f t="shared" si="307"/>
        <v>0.20967741935483872</v>
      </c>
      <c r="BO226" s="38">
        <f t="shared" ref="BO226:BX226" si="308">IFERROR(MIN(MAX(BO173,0.15),0.4),0.25)</f>
        <v>0.20742358078602621</v>
      </c>
      <c r="BP226" s="38">
        <f t="shared" si="308"/>
        <v>0.16713881019830029</v>
      </c>
      <c r="BQ226" s="38">
        <f t="shared" si="308"/>
        <v>0.23112480739599384</v>
      </c>
      <c r="BR226" s="38">
        <f t="shared" si="308"/>
        <v>0.21212121212121213</v>
      </c>
      <c r="BS226" s="38">
        <f t="shared" si="308"/>
        <v>0.2</v>
      </c>
      <c r="BT226" s="38">
        <f t="shared" si="308"/>
        <v>0.19777777777777777</v>
      </c>
      <c r="BU226" s="38">
        <f t="shared" si="308"/>
        <v>0.16487455197132617</v>
      </c>
      <c r="BV226" s="38">
        <f t="shared" si="308"/>
        <v>0.19249592169657423</v>
      </c>
      <c r="BW226" s="38">
        <f t="shared" si="308"/>
        <v>0.3247863247863248</v>
      </c>
      <c r="BX226" s="38">
        <f t="shared" si="308"/>
        <v>0.2</v>
      </c>
      <c r="BY226" s="49">
        <v>0.23</v>
      </c>
      <c r="BZ226" s="49">
        <v>0.23</v>
      </c>
      <c r="CA226" s="25">
        <f>IFERROR(-CA227/CA225,"")</f>
        <v>0.23400884690358376</v>
      </c>
      <c r="CB226" s="49">
        <v>0.23</v>
      </c>
      <c r="CC226" s="49">
        <v>0.23</v>
      </c>
      <c r="CD226" s="49">
        <v>0.23</v>
      </c>
      <c r="CE226" s="49">
        <v>0.23</v>
      </c>
      <c r="CF226" s="20" t="s">
        <v>393</v>
      </c>
    </row>
    <row r="227" spans="2:89" ht="15" customHeight="1" x14ac:dyDescent="0.25">
      <c r="B227" s="26" t="s">
        <v>394</v>
      </c>
      <c r="C227" s="47">
        <f t="shared" ref="C227:AH227" si="309">-C225*C226</f>
        <v>-0.35624600456621003</v>
      </c>
      <c r="D227" s="47">
        <f t="shared" si="309"/>
        <v>-0.17234072900158476</v>
      </c>
      <c r="E227" s="47">
        <f t="shared" si="309"/>
        <v>-1.2308993012741478</v>
      </c>
      <c r="F227" s="47">
        <f t="shared" si="309"/>
        <v>0</v>
      </c>
      <c r="G227" s="47">
        <f t="shared" si="309"/>
        <v>0</v>
      </c>
      <c r="H227" s="47">
        <f t="shared" si="309"/>
        <v>0</v>
      </c>
      <c r="I227" s="47">
        <f t="shared" si="309"/>
        <v>0</v>
      </c>
      <c r="J227" s="47">
        <f t="shared" si="309"/>
        <v>0</v>
      </c>
      <c r="K227" s="47">
        <f t="shared" si="309"/>
        <v>0</v>
      </c>
      <c r="L227" s="47">
        <f t="shared" si="309"/>
        <v>0</v>
      </c>
      <c r="M227" s="47">
        <f t="shared" si="309"/>
        <v>0</v>
      </c>
      <c r="N227" s="47">
        <f t="shared" si="309"/>
        <v>0</v>
      </c>
      <c r="O227" s="47">
        <f t="shared" si="309"/>
        <v>0</v>
      </c>
      <c r="P227" s="47">
        <f t="shared" si="309"/>
        <v>0</v>
      </c>
      <c r="Q227" s="47">
        <f t="shared" si="309"/>
        <v>0</v>
      </c>
      <c r="R227" s="47">
        <f t="shared" si="309"/>
        <v>0</v>
      </c>
      <c r="S227" s="47">
        <f t="shared" si="309"/>
        <v>0</v>
      </c>
      <c r="T227" s="47">
        <f t="shared" si="309"/>
        <v>0</v>
      </c>
      <c r="U227" s="47">
        <f t="shared" si="309"/>
        <v>0</v>
      </c>
      <c r="V227" s="47">
        <f t="shared" si="309"/>
        <v>0</v>
      </c>
      <c r="W227" s="47">
        <f t="shared" si="309"/>
        <v>4.459346938775508</v>
      </c>
      <c r="X227" s="47">
        <f t="shared" si="309"/>
        <v>-4.8293861768970547</v>
      </c>
      <c r="Y227" s="47">
        <f t="shared" si="309"/>
        <v>0</v>
      </c>
      <c r="Z227" s="47">
        <f t="shared" si="309"/>
        <v>0</v>
      </c>
      <c r="AA227" s="47">
        <f t="shared" si="309"/>
        <v>0</v>
      </c>
      <c r="AB227" s="47">
        <f t="shared" si="309"/>
        <v>0</v>
      </c>
      <c r="AC227" s="47">
        <f t="shared" si="309"/>
        <v>0</v>
      </c>
      <c r="AD227" s="47">
        <f t="shared" si="309"/>
        <v>0</v>
      </c>
      <c r="AE227" s="47">
        <f t="shared" si="309"/>
        <v>0</v>
      </c>
      <c r="AF227" s="47">
        <f t="shared" si="309"/>
        <v>0</v>
      </c>
      <c r="AG227" s="47">
        <f t="shared" si="309"/>
        <v>0</v>
      </c>
      <c r="AH227" s="47">
        <f t="shared" si="309"/>
        <v>0</v>
      </c>
      <c r="AI227" s="47">
        <f t="shared" ref="AI227:BN227" si="310">-AI225*AI226</f>
        <v>0</v>
      </c>
      <c r="AJ227" s="47">
        <f t="shared" si="310"/>
        <v>-4.9248819549440572</v>
      </c>
      <c r="AK227" s="47">
        <f t="shared" si="310"/>
        <v>-2.3326500000000001</v>
      </c>
      <c r="AL227" s="47">
        <f t="shared" si="310"/>
        <v>-2.3223776435305674</v>
      </c>
      <c r="AM227" s="47">
        <f t="shared" si="310"/>
        <v>-9.3680728491305878</v>
      </c>
      <c r="AN227" s="47">
        <f t="shared" si="310"/>
        <v>0</v>
      </c>
      <c r="AO227" s="47">
        <f t="shared" si="310"/>
        <v>0</v>
      </c>
      <c r="AP227" s="47">
        <f t="shared" si="310"/>
        <v>0</v>
      </c>
      <c r="AQ227" s="47">
        <f t="shared" si="310"/>
        <v>0</v>
      </c>
      <c r="AR227" s="47">
        <f t="shared" si="310"/>
        <v>0</v>
      </c>
      <c r="AS227" s="47">
        <f t="shared" si="310"/>
        <v>0</v>
      </c>
      <c r="AT227" s="47">
        <f t="shared" si="310"/>
        <v>0</v>
      </c>
      <c r="AU227" s="47">
        <f t="shared" si="310"/>
        <v>0</v>
      </c>
      <c r="AV227" s="47">
        <f t="shared" si="310"/>
        <v>0</v>
      </c>
      <c r="AW227" s="47">
        <f t="shared" si="310"/>
        <v>0</v>
      </c>
      <c r="AX227" s="47">
        <f t="shared" si="310"/>
        <v>0</v>
      </c>
      <c r="AY227" s="47">
        <f t="shared" si="310"/>
        <v>-3.6545296771954159</v>
      </c>
      <c r="AZ227" s="47">
        <f t="shared" si="310"/>
        <v>-3.0980515399120061</v>
      </c>
      <c r="BA227" s="47">
        <f t="shared" si="310"/>
        <v>-8.2049999999999983</v>
      </c>
      <c r="BB227" s="47">
        <f t="shared" si="310"/>
        <v>-15.848275862068961</v>
      </c>
      <c r="BC227" s="47">
        <f t="shared" si="310"/>
        <v>-0.26887417218543119</v>
      </c>
      <c r="BD227" s="47">
        <f t="shared" si="310"/>
        <v>33.955672131147537</v>
      </c>
      <c r="BE227" s="47">
        <f t="shared" si="310"/>
        <v>-0.34211663066954645</v>
      </c>
      <c r="BF227" s="47">
        <f t="shared" si="310"/>
        <v>-0.58454935622317572</v>
      </c>
      <c r="BG227" s="47">
        <f t="shared" si="310"/>
        <v>30.72994226010448</v>
      </c>
      <c r="BH227" s="47">
        <f t="shared" si="310"/>
        <v>-0.16705882352941187</v>
      </c>
      <c r="BI227" s="47">
        <f t="shared" si="310"/>
        <v>-8.3583447021373394E-2</v>
      </c>
      <c r="BJ227" s="47">
        <f t="shared" si="310"/>
        <v>-0.67148676171079424</v>
      </c>
      <c r="BK227" s="47">
        <f t="shared" si="310"/>
        <v>-1.221230679498396</v>
      </c>
      <c r="BL227" s="47">
        <f t="shared" si="310"/>
        <v>-2.3904742765273319</v>
      </c>
      <c r="BM227" s="47">
        <f t="shared" si="310"/>
        <v>328.96181046676094</v>
      </c>
      <c r="BN227" s="47">
        <f t="shared" si="310"/>
        <v>-8.17741935483871</v>
      </c>
      <c r="BO227" s="47">
        <f t="shared" ref="BO227:BZ227" si="311">-BO225*BO226</f>
        <v>-0.41484716157205243</v>
      </c>
      <c r="BP227" s="47">
        <f t="shared" si="311"/>
        <v>-0.16713881019830029</v>
      </c>
      <c r="BQ227" s="47">
        <f t="shared" si="311"/>
        <v>282.20338983050846</v>
      </c>
      <c r="BR227" s="47">
        <f t="shared" si="311"/>
        <v>0</v>
      </c>
      <c r="BS227" s="47">
        <f t="shared" si="311"/>
        <v>0</v>
      </c>
      <c r="BT227" s="47">
        <f t="shared" si="311"/>
        <v>-2.3733333333333331</v>
      </c>
      <c r="BU227" s="47">
        <f t="shared" si="311"/>
        <v>-4.2867383512544803</v>
      </c>
      <c r="BV227" s="47">
        <f t="shared" si="311"/>
        <v>-7.3148450244698209</v>
      </c>
      <c r="BW227" s="47">
        <f t="shared" si="311"/>
        <v>-9.0940170940170937</v>
      </c>
      <c r="BX227" s="47">
        <f t="shared" si="311"/>
        <v>-11.600000000000001</v>
      </c>
      <c r="BY227" s="37">
        <f t="shared" si="311"/>
        <v>-20.7</v>
      </c>
      <c r="BZ227" s="37">
        <f t="shared" si="311"/>
        <v>-11.96</v>
      </c>
      <c r="CA227" s="37">
        <f>SUM(BW227,BX227,BY227,BZ227)</f>
        <v>-53.354017094017095</v>
      </c>
      <c r="CB227" s="37">
        <f>-CB225*CB226</f>
        <v>-5.75</v>
      </c>
      <c r="CC227" s="37">
        <f>-CC225*CC226</f>
        <v>-2.3000000000000003</v>
      </c>
      <c r="CD227" s="37">
        <f>-CD225*CD226</f>
        <v>-2.3000000000000003</v>
      </c>
      <c r="CE227" s="37">
        <f>-CE225*CE226</f>
        <v>-2.3000000000000003</v>
      </c>
      <c r="CF227" s="6"/>
    </row>
    <row r="228" spans="2:89" ht="15" customHeight="1" x14ac:dyDescent="0.25">
      <c r="B228" s="26" t="s">
        <v>395</v>
      </c>
      <c r="H228" s="36">
        <v>14.574</v>
      </c>
      <c r="I228" s="36">
        <v>20.34</v>
      </c>
      <c r="O228" s="36">
        <v>5.3949999999999996</v>
      </c>
      <c r="P228" s="36">
        <v>2.71</v>
      </c>
      <c r="Q228" s="36">
        <v>44.075000000000003</v>
      </c>
      <c r="R228" s="36">
        <v>3.024</v>
      </c>
      <c r="S228" s="36">
        <v>57.954000000000001</v>
      </c>
      <c r="V228" s="36">
        <v>19.384</v>
      </c>
      <c r="W228" s="36">
        <v>1.796</v>
      </c>
      <c r="X228" s="36">
        <v>1.5289999999999999</v>
      </c>
      <c r="AG228" s="36">
        <v>-258.38400000000001</v>
      </c>
      <c r="AH228" s="36">
        <v>-259.524</v>
      </c>
      <c r="AJ228" s="36">
        <v>2.931</v>
      </c>
      <c r="AY228" s="36">
        <v>-0.92</v>
      </c>
      <c r="AZ228" s="36">
        <v>-0.95199999999999996</v>
      </c>
      <c r="BA228" s="36">
        <v>-5.29</v>
      </c>
      <c r="BB228" s="36">
        <v>-5.9240000000000004</v>
      </c>
      <c r="BD228" s="36">
        <v>9.1440000000000001</v>
      </c>
      <c r="BE228" s="36">
        <v>0.66700000000000004</v>
      </c>
      <c r="BF228" s="36">
        <v>-0.42299999999999999</v>
      </c>
      <c r="BG228" s="36">
        <v>10.145</v>
      </c>
      <c r="BR228" s="36">
        <v>-0.3</v>
      </c>
      <c r="BS228" s="36">
        <v>0.33600000000000002</v>
      </c>
      <c r="BW228" s="36">
        <v>18.666</v>
      </c>
      <c r="BX228" s="36">
        <v>-1.4</v>
      </c>
      <c r="BY228" s="52">
        <v>0</v>
      </c>
      <c r="BZ228" s="52">
        <v>0</v>
      </c>
      <c r="CA228" s="37">
        <f>SUM(BW228,BX228,BY228,BZ228)</f>
        <v>17.266000000000002</v>
      </c>
      <c r="CB228" s="52">
        <v>0</v>
      </c>
      <c r="CC228" s="52">
        <v>0</v>
      </c>
      <c r="CD228" s="52">
        <v>0</v>
      </c>
      <c r="CE228" s="52">
        <v>0</v>
      </c>
      <c r="CF228" s="6"/>
    </row>
    <row r="229" spans="2:89" ht="15" customHeight="1" x14ac:dyDescent="0.25">
      <c r="B229" s="59" t="s">
        <v>396</v>
      </c>
      <c r="C229" s="60">
        <f t="shared" ref="C229:AH229" si="312">C224+C225+C227+N(C228)</f>
        <v>244.61475399543383</v>
      </c>
      <c r="D229" s="60">
        <f t="shared" si="312"/>
        <v>262.88965927099844</v>
      </c>
      <c r="E229" s="60">
        <f t="shared" si="312"/>
        <v>174.44010069872573</v>
      </c>
      <c r="F229" s="60">
        <f t="shared" si="312"/>
        <v>85.199999999999804</v>
      </c>
      <c r="G229" s="60">
        <f t="shared" si="312"/>
        <v>96.8</v>
      </c>
      <c r="H229" s="60">
        <f t="shared" si="312"/>
        <v>92.974000000000004</v>
      </c>
      <c r="I229" s="60">
        <f t="shared" si="312"/>
        <v>105.33999999999986</v>
      </c>
      <c r="J229" s="60">
        <f t="shared" si="312"/>
        <v>-27.699999999999982</v>
      </c>
      <c r="K229" s="60">
        <f t="shared" si="312"/>
        <v>41.000000000000078</v>
      </c>
      <c r="L229" s="60">
        <f t="shared" si="312"/>
        <v>72.099999999999923</v>
      </c>
      <c r="M229" s="60">
        <f t="shared" si="312"/>
        <v>36.299999999999997</v>
      </c>
      <c r="N229" s="60">
        <f t="shared" si="312"/>
        <v>122.10000000000002</v>
      </c>
      <c r="O229" s="60">
        <f t="shared" si="312"/>
        <v>-16.204999999999991</v>
      </c>
      <c r="P229" s="60">
        <f t="shared" si="312"/>
        <v>62.310000000000024</v>
      </c>
      <c r="Q229" s="60">
        <f t="shared" si="312"/>
        <v>97.875000000000028</v>
      </c>
      <c r="R229" s="60">
        <f t="shared" si="312"/>
        <v>66.92399999999995</v>
      </c>
      <c r="S229" s="60">
        <f t="shared" si="312"/>
        <v>213.55400000000017</v>
      </c>
      <c r="T229" s="60">
        <f t="shared" si="312"/>
        <v>6.0999999999999508</v>
      </c>
      <c r="U229" s="60">
        <f t="shared" si="312"/>
        <v>81.89999999999992</v>
      </c>
      <c r="V229" s="60">
        <f t="shared" si="312"/>
        <v>136.88400000000001</v>
      </c>
      <c r="W229" s="60">
        <f t="shared" si="312"/>
        <v>75.555346938775571</v>
      </c>
      <c r="X229" s="60">
        <f t="shared" si="312"/>
        <v>301.49961382310266</v>
      </c>
      <c r="Y229" s="60">
        <f t="shared" si="312"/>
        <v>44.999999999999893</v>
      </c>
      <c r="Z229" s="60">
        <f t="shared" si="312"/>
        <v>122.09999999999991</v>
      </c>
      <c r="AA229" s="60">
        <f t="shared" si="312"/>
        <v>159.50000000000011</v>
      </c>
      <c r="AB229" s="60">
        <f t="shared" si="312"/>
        <v>98.899999999999864</v>
      </c>
      <c r="AC229" s="60">
        <f t="shared" si="312"/>
        <v>425.39999999999986</v>
      </c>
      <c r="AD229" s="60">
        <f t="shared" si="312"/>
        <v>42.300000000000018</v>
      </c>
      <c r="AE229" s="60">
        <f t="shared" si="312"/>
        <v>142.30000000000001</v>
      </c>
      <c r="AF229" s="60">
        <f t="shared" si="312"/>
        <v>151.50000000000006</v>
      </c>
      <c r="AG229" s="60">
        <f t="shared" si="312"/>
        <v>118.81599999999992</v>
      </c>
      <c r="AH229" s="60">
        <f t="shared" si="312"/>
        <v>453.77600000000007</v>
      </c>
      <c r="AI229" s="60">
        <f t="shared" ref="AI229:BN229" si="313">AI224+AI225+AI227+N(AI228)</f>
        <v>9.9999999999999787</v>
      </c>
      <c r="AJ229" s="60">
        <f t="shared" si="313"/>
        <v>205.676118045056</v>
      </c>
      <c r="AK229" s="60">
        <f t="shared" si="313"/>
        <v>193.4393500000001</v>
      </c>
      <c r="AL229" s="60">
        <f t="shared" si="313"/>
        <v>104.55662235646943</v>
      </c>
      <c r="AM229" s="60">
        <f t="shared" si="313"/>
        <v>511.68492715086961</v>
      </c>
      <c r="AN229" s="60">
        <f t="shared" si="313"/>
        <v>42.826000000000029</v>
      </c>
      <c r="AO229" s="60">
        <f t="shared" si="313"/>
        <v>189.46900000000005</v>
      </c>
      <c r="AP229" s="60">
        <f t="shared" si="313"/>
        <v>248.62200000000013</v>
      </c>
      <c r="AQ229" s="60">
        <f t="shared" si="313"/>
        <v>131.0140000000001</v>
      </c>
      <c r="AR229" s="60">
        <f t="shared" si="313"/>
        <v>611.91500000000008</v>
      </c>
      <c r="AS229" s="60">
        <f t="shared" si="313"/>
        <v>25.900000000000087</v>
      </c>
      <c r="AT229" s="60">
        <f t="shared" si="313"/>
        <v>217.59999999999994</v>
      </c>
      <c r="AU229" s="60">
        <f t="shared" si="313"/>
        <v>294.40000000000015</v>
      </c>
      <c r="AV229" s="60">
        <f t="shared" si="313"/>
        <v>182.99999999999986</v>
      </c>
      <c r="AW229" s="60">
        <f t="shared" si="313"/>
        <v>720.99999999999966</v>
      </c>
      <c r="AX229" s="60">
        <f t="shared" si="313"/>
        <v>65.299999999999912</v>
      </c>
      <c r="AY229" s="60">
        <f t="shared" si="313"/>
        <v>238.12547032280472</v>
      </c>
      <c r="AZ229" s="60">
        <f t="shared" si="313"/>
        <v>266.04994846008793</v>
      </c>
      <c r="BA229" s="60">
        <f t="shared" si="313"/>
        <v>197.50500000000002</v>
      </c>
      <c r="BB229" s="60">
        <f t="shared" si="313"/>
        <v>768.72772413793132</v>
      </c>
      <c r="BC229" s="60">
        <f t="shared" si="313"/>
        <v>25.631125827814483</v>
      </c>
      <c r="BD229" s="60">
        <f t="shared" si="313"/>
        <v>247.49967213114761</v>
      </c>
      <c r="BE229" s="60">
        <f t="shared" si="313"/>
        <v>293.12488336933046</v>
      </c>
      <c r="BF229" s="60">
        <f t="shared" si="313"/>
        <v>189.39245064377693</v>
      </c>
      <c r="BG229" s="60">
        <f t="shared" si="313"/>
        <v>754.37494226010472</v>
      </c>
      <c r="BH229" s="60">
        <f t="shared" si="313"/>
        <v>134.93294117647054</v>
      </c>
      <c r="BI229" s="60">
        <f t="shared" si="313"/>
        <v>347.91641655297843</v>
      </c>
      <c r="BJ229" s="60">
        <f t="shared" si="313"/>
        <v>432.92851323828927</v>
      </c>
      <c r="BK229" s="60">
        <f t="shared" si="313"/>
        <v>294.07876932050158</v>
      </c>
      <c r="BL229" s="60">
        <f t="shared" si="313"/>
        <v>1209.6095257234722</v>
      </c>
      <c r="BM229" s="60">
        <f t="shared" si="313"/>
        <v>109.96181046676094</v>
      </c>
      <c r="BN229" s="60">
        <f t="shared" si="313"/>
        <v>324.82258064516128</v>
      </c>
      <c r="BO229" s="60">
        <f t="shared" ref="BO229:CE229" si="314">BO224+BO225+BO227+N(BO228)</f>
        <v>364.58515283842797</v>
      </c>
      <c r="BP229" s="60">
        <f t="shared" si="314"/>
        <v>294.83286118980169</v>
      </c>
      <c r="BQ229" s="60">
        <f t="shared" si="314"/>
        <v>1056.2033898305085</v>
      </c>
      <c r="BR229" s="60">
        <f t="shared" si="314"/>
        <v>103.7</v>
      </c>
      <c r="BS229" s="60">
        <f t="shared" si="314"/>
        <v>292.33600000000001</v>
      </c>
      <c r="BT229" s="60">
        <f t="shared" si="314"/>
        <v>370.62666666666667</v>
      </c>
      <c r="BU229" s="60">
        <f t="shared" si="314"/>
        <v>254.71326164874552</v>
      </c>
      <c r="BV229" s="60">
        <f t="shared" si="314"/>
        <v>1020.6851549755302</v>
      </c>
      <c r="BW229" s="60">
        <f t="shared" si="314"/>
        <v>116.57198290598291</v>
      </c>
      <c r="BX229" s="60">
        <f t="shared" si="314"/>
        <v>301</v>
      </c>
      <c r="BY229" s="60">
        <f t="shared" si="314"/>
        <v>402.30222352428592</v>
      </c>
      <c r="BZ229" s="60">
        <f t="shared" si="314"/>
        <v>268.29423982247494</v>
      </c>
      <c r="CA229" s="60">
        <f t="shared" si="314"/>
        <v>1088.168446252743</v>
      </c>
      <c r="CB229" s="60">
        <f t="shared" si="314"/>
        <v>1310.0691379330897</v>
      </c>
      <c r="CC229" s="60">
        <f t="shared" si="314"/>
        <v>1702.8230910099953</v>
      </c>
      <c r="CD229" s="60">
        <f t="shared" si="314"/>
        <v>2052.0650536735166</v>
      </c>
      <c r="CE229" s="60">
        <f t="shared" si="314"/>
        <v>2376.5409653213324</v>
      </c>
      <c r="CF229" s="6"/>
      <c r="CH229" s="21">
        <f>IFERROR((CE229/BV229)^(1/5)-1,"n/m")</f>
        <v>0.18416085730859044</v>
      </c>
      <c r="CI229" s="21">
        <f>IFERROR((BV229/AW229)^(1/5)-1,"n/m")</f>
        <v>7.199141348832705E-2</v>
      </c>
      <c r="CJ229" s="21">
        <f>IFERROR((BV229/X229)^(1/10)-1,"n/m")</f>
        <v>0.12969317194635299</v>
      </c>
      <c r="CK229" s="21">
        <f>IFERROR((BV229/C229)^(1/19)-1,"n/m")</f>
        <v>7.8085272252545579E-2</v>
      </c>
    </row>
    <row r="230" spans="2:89" ht="15" customHeight="1" x14ac:dyDescent="0.25">
      <c r="B230" s="26" t="s">
        <v>340</v>
      </c>
      <c r="C230" s="69">
        <f t="shared" ref="C230:AH230" si="315">C186</f>
        <v>46.4</v>
      </c>
      <c r="D230" s="69">
        <f t="shared" si="315"/>
        <v>43.3</v>
      </c>
      <c r="E230" s="69">
        <f t="shared" si="315"/>
        <v>42</v>
      </c>
      <c r="F230" s="69">
        <f t="shared" si="315"/>
        <v>44.2</v>
      </c>
      <c r="G230" s="69">
        <f t="shared" si="315"/>
        <v>45.7</v>
      </c>
      <c r="H230" s="69">
        <f t="shared" si="315"/>
        <v>45.8</v>
      </c>
      <c r="I230" s="69">
        <f t="shared" si="315"/>
        <v>46</v>
      </c>
      <c r="J230" s="69">
        <f t="shared" si="315"/>
        <v>46</v>
      </c>
      <c r="K230" s="69">
        <f t="shared" si="315"/>
        <v>46.3</v>
      </c>
      <c r="L230" s="69">
        <f t="shared" si="315"/>
        <v>46.3</v>
      </c>
      <c r="M230" s="69">
        <f t="shared" si="315"/>
        <v>46.4</v>
      </c>
      <c r="N230" s="69">
        <f t="shared" si="315"/>
        <v>46.3</v>
      </c>
      <c r="O230" s="69">
        <f t="shared" si="315"/>
        <v>46.3</v>
      </c>
      <c r="P230" s="69">
        <f t="shared" si="315"/>
        <v>46.5</v>
      </c>
      <c r="Q230" s="69">
        <f t="shared" si="315"/>
        <v>67.5</v>
      </c>
      <c r="R230" s="69">
        <f t="shared" si="315"/>
        <v>67.599999999999994</v>
      </c>
      <c r="S230" s="69">
        <f t="shared" si="315"/>
        <v>57.1</v>
      </c>
      <c r="T230" s="69">
        <f t="shared" si="315"/>
        <v>67.7</v>
      </c>
      <c r="U230" s="69">
        <f t="shared" si="315"/>
        <v>67.599999999999994</v>
      </c>
      <c r="V230" s="69">
        <f t="shared" si="315"/>
        <v>67.099999999999994</v>
      </c>
      <c r="W230" s="69">
        <f t="shared" si="315"/>
        <v>65.7</v>
      </c>
      <c r="X230" s="69">
        <f t="shared" si="315"/>
        <v>67</v>
      </c>
      <c r="Y230" s="69">
        <f t="shared" si="315"/>
        <v>64.400000000000006</v>
      </c>
      <c r="Z230" s="69">
        <f t="shared" si="315"/>
        <v>63.8</v>
      </c>
      <c r="AA230" s="69">
        <f t="shared" si="315"/>
        <v>63.7</v>
      </c>
      <c r="AB230" s="69">
        <f t="shared" si="315"/>
        <v>63.5</v>
      </c>
      <c r="AC230" s="69">
        <f t="shared" si="315"/>
        <v>63.9</v>
      </c>
      <c r="AD230" s="69">
        <f t="shared" si="315"/>
        <v>63.3</v>
      </c>
      <c r="AE230" s="69">
        <f t="shared" si="315"/>
        <v>63.1</v>
      </c>
      <c r="AF230" s="69">
        <f t="shared" si="315"/>
        <v>63.2</v>
      </c>
      <c r="AG230" s="69">
        <f t="shared" si="315"/>
        <v>63.2</v>
      </c>
      <c r="AH230" s="69">
        <f t="shared" si="315"/>
        <v>63.2</v>
      </c>
      <c r="AI230" s="69">
        <f t="shared" ref="AI230:BN230" si="316">AI186</f>
        <v>63.2</v>
      </c>
      <c r="AJ230" s="69">
        <f t="shared" si="316"/>
        <v>63.284999999999997</v>
      </c>
      <c r="AK230" s="69">
        <f t="shared" si="316"/>
        <v>63.167000000000002</v>
      </c>
      <c r="AL230" s="69">
        <f t="shared" si="316"/>
        <v>62.917999999999999</v>
      </c>
      <c r="AM230" s="69">
        <f t="shared" si="316"/>
        <v>63.146999999999998</v>
      </c>
      <c r="AN230" s="69">
        <f t="shared" si="316"/>
        <v>62.777000000000001</v>
      </c>
      <c r="AO230" s="69">
        <f t="shared" si="316"/>
        <v>62.72</v>
      </c>
      <c r="AP230" s="69">
        <f t="shared" si="316"/>
        <v>62.679000000000002</v>
      </c>
      <c r="AQ230" s="69">
        <f t="shared" si="316"/>
        <v>62.667000000000002</v>
      </c>
      <c r="AR230" s="69">
        <f t="shared" si="316"/>
        <v>62.71</v>
      </c>
      <c r="AS230" s="69">
        <f t="shared" si="316"/>
        <v>62.5</v>
      </c>
      <c r="AT230" s="69">
        <f t="shared" si="316"/>
        <v>62.3</v>
      </c>
      <c r="AU230" s="69">
        <f t="shared" si="316"/>
        <v>62.4</v>
      </c>
      <c r="AV230" s="69">
        <f t="shared" si="316"/>
        <v>62.5</v>
      </c>
      <c r="AW230" s="69">
        <f t="shared" si="316"/>
        <v>62.4</v>
      </c>
      <c r="AX230" s="69">
        <f t="shared" si="316"/>
        <v>62.5</v>
      </c>
      <c r="AY230" s="69">
        <f t="shared" si="316"/>
        <v>62.5</v>
      </c>
      <c r="AZ230" s="69">
        <f t="shared" si="316"/>
        <v>62.6</v>
      </c>
      <c r="BA230" s="69">
        <f t="shared" si="316"/>
        <v>62.7</v>
      </c>
      <c r="BB230" s="69">
        <f t="shared" si="316"/>
        <v>62.6</v>
      </c>
      <c r="BC230" s="69">
        <f t="shared" si="316"/>
        <v>62.6</v>
      </c>
      <c r="BD230" s="69">
        <f t="shared" si="316"/>
        <v>62.5</v>
      </c>
      <c r="BE230" s="69">
        <f t="shared" si="316"/>
        <v>62.5</v>
      </c>
      <c r="BF230" s="69">
        <f t="shared" si="316"/>
        <v>62.3</v>
      </c>
      <c r="BG230" s="69">
        <f t="shared" si="316"/>
        <v>62.5</v>
      </c>
      <c r="BH230" s="69">
        <f t="shared" si="316"/>
        <v>62.2</v>
      </c>
      <c r="BI230" s="69">
        <f t="shared" si="316"/>
        <v>62.1</v>
      </c>
      <c r="BJ230" s="69">
        <f t="shared" si="316"/>
        <v>62</v>
      </c>
      <c r="BK230" s="69">
        <f t="shared" si="316"/>
        <v>62</v>
      </c>
      <c r="BL230" s="69">
        <f t="shared" si="316"/>
        <v>62.1</v>
      </c>
      <c r="BM230" s="69">
        <f t="shared" si="316"/>
        <v>62</v>
      </c>
      <c r="BN230" s="69">
        <f t="shared" si="316"/>
        <v>61.6</v>
      </c>
      <c r="BO230" s="69">
        <f t="shared" ref="BO230:CE230" si="317">BO186</f>
        <v>61.3</v>
      </c>
      <c r="BP230" s="69">
        <f t="shared" si="317"/>
        <v>61.3</v>
      </c>
      <c r="BQ230" s="69">
        <f t="shared" si="317"/>
        <v>61.6</v>
      </c>
      <c r="BR230" s="69">
        <f t="shared" si="317"/>
        <v>61</v>
      </c>
      <c r="BS230" s="69">
        <f t="shared" si="317"/>
        <v>60.4</v>
      </c>
      <c r="BT230" s="69">
        <f t="shared" si="317"/>
        <v>60.4</v>
      </c>
      <c r="BU230" s="69">
        <f t="shared" si="317"/>
        <v>60.5</v>
      </c>
      <c r="BV230" s="69">
        <f t="shared" si="317"/>
        <v>60.6</v>
      </c>
      <c r="BW230" s="69">
        <f t="shared" si="317"/>
        <v>60.4</v>
      </c>
      <c r="BX230" s="69">
        <f t="shared" si="317"/>
        <v>60.2</v>
      </c>
      <c r="BY230" s="63">
        <f t="shared" si="317"/>
        <v>65.081470249999995</v>
      </c>
      <c r="BZ230" s="63">
        <f t="shared" si="317"/>
        <v>71.153543000000013</v>
      </c>
      <c r="CA230" s="63">
        <f t="shared" si="317"/>
        <v>64.208753312499994</v>
      </c>
      <c r="CB230" s="63">
        <f t="shared" si="317"/>
        <v>71.329402000000002</v>
      </c>
      <c r="CC230" s="63">
        <f t="shared" si="317"/>
        <v>71.479402000000007</v>
      </c>
      <c r="CD230" s="63">
        <f t="shared" si="317"/>
        <v>70.220796168040494</v>
      </c>
      <c r="CE230" s="63">
        <f t="shared" si="317"/>
        <v>66.84330861971948</v>
      </c>
      <c r="CF230" s="6"/>
    </row>
    <row r="231" spans="2:89" ht="15" customHeight="1" x14ac:dyDescent="0.25">
      <c r="B231" s="59" t="s">
        <v>397</v>
      </c>
      <c r="C231" s="64">
        <f t="shared" ref="C231:AH231" si="318">IF(AND(ISNUMBER(C229),ISNUMBER(C230)),IFERROR(C229/C230,""),"")</f>
        <v>5.2718696981774533</v>
      </c>
      <c r="D231" s="64">
        <f t="shared" si="318"/>
        <v>6.071354717575022</v>
      </c>
      <c r="E231" s="64">
        <f t="shared" si="318"/>
        <v>4.1533357309220413</v>
      </c>
      <c r="F231" s="64">
        <f t="shared" si="318"/>
        <v>1.9276018099547465</v>
      </c>
      <c r="G231" s="64">
        <f t="shared" si="318"/>
        <v>2.1181619256017505</v>
      </c>
      <c r="H231" s="64">
        <f t="shared" si="318"/>
        <v>2.0300000000000002</v>
      </c>
      <c r="I231" s="64">
        <f t="shared" si="318"/>
        <v>2.2899999999999969</v>
      </c>
      <c r="J231" s="64">
        <f t="shared" si="318"/>
        <v>-0.60217391304347789</v>
      </c>
      <c r="K231" s="64">
        <f t="shared" si="318"/>
        <v>0.88552915766738838</v>
      </c>
      <c r="L231" s="64">
        <f t="shared" si="318"/>
        <v>1.5572354211663051</v>
      </c>
      <c r="M231" s="64">
        <f t="shared" si="318"/>
        <v>0.78232758620689646</v>
      </c>
      <c r="N231" s="64">
        <f t="shared" si="318"/>
        <v>2.6371490280777543</v>
      </c>
      <c r="O231" s="64">
        <f t="shared" si="318"/>
        <v>-0.34999999999999981</v>
      </c>
      <c r="P231" s="64">
        <f t="shared" si="318"/>
        <v>1.3400000000000005</v>
      </c>
      <c r="Q231" s="64">
        <f t="shared" si="318"/>
        <v>1.4500000000000004</v>
      </c>
      <c r="R231" s="64">
        <f t="shared" si="318"/>
        <v>0.98999999999999932</v>
      </c>
      <c r="S231" s="64">
        <f t="shared" si="318"/>
        <v>3.7400000000000029</v>
      </c>
      <c r="T231" s="64">
        <f t="shared" si="318"/>
        <v>9.0103397341210492E-2</v>
      </c>
      <c r="U231" s="64">
        <f t="shared" si="318"/>
        <v>1.2115384615384606</v>
      </c>
      <c r="V231" s="64">
        <f t="shared" si="318"/>
        <v>2.0400000000000005</v>
      </c>
      <c r="W231" s="64">
        <f t="shared" si="318"/>
        <v>1.1500052806510741</v>
      </c>
      <c r="X231" s="64">
        <f t="shared" si="318"/>
        <v>4.499994236165711</v>
      </c>
      <c r="Y231" s="64">
        <f t="shared" si="318"/>
        <v>0.69875776397515355</v>
      </c>
      <c r="Z231" s="64">
        <f t="shared" si="318"/>
        <v>1.9137931034482745</v>
      </c>
      <c r="AA231" s="64">
        <f t="shared" si="318"/>
        <v>2.5039246467817913</v>
      </c>
      <c r="AB231" s="64">
        <f t="shared" si="318"/>
        <v>1.5574803149606278</v>
      </c>
      <c r="AC231" s="64">
        <f t="shared" si="318"/>
        <v>6.6572769953051623</v>
      </c>
      <c r="AD231" s="64">
        <f t="shared" si="318"/>
        <v>0.66824644549763068</v>
      </c>
      <c r="AE231" s="64">
        <f t="shared" si="318"/>
        <v>2.2551505546751192</v>
      </c>
      <c r="AF231" s="64">
        <f t="shared" si="318"/>
        <v>2.3971518987341782</v>
      </c>
      <c r="AG231" s="64">
        <f t="shared" si="318"/>
        <v>1.8799999999999986</v>
      </c>
      <c r="AH231" s="64">
        <f t="shared" si="318"/>
        <v>7.1800000000000006</v>
      </c>
      <c r="AI231" s="64">
        <f t="shared" ref="AI231:BN231" si="319">IF(AND(ISNUMBER(AI229),ISNUMBER(AI230)),IFERROR(AI229/AI230,""),"")</f>
        <v>0.15822784810126547</v>
      </c>
      <c r="AJ231" s="64">
        <f t="shared" si="319"/>
        <v>3.2499979149096312</v>
      </c>
      <c r="AK231" s="64">
        <f t="shared" si="319"/>
        <v>3.0623482197983138</v>
      </c>
      <c r="AL231" s="64">
        <f t="shared" si="319"/>
        <v>1.6617918935196516</v>
      </c>
      <c r="AM231" s="64">
        <f t="shared" si="319"/>
        <v>8.103075793796533</v>
      </c>
      <c r="AN231" s="64">
        <f t="shared" si="319"/>
        <v>0.68219252273922026</v>
      </c>
      <c r="AO231" s="64">
        <f t="shared" si="319"/>
        <v>3.0208705357142867</v>
      </c>
      <c r="AP231" s="64">
        <f t="shared" si="319"/>
        <v>3.9665916814244024</v>
      </c>
      <c r="AQ231" s="64">
        <f t="shared" si="319"/>
        <v>2.0906378157563008</v>
      </c>
      <c r="AR231" s="64">
        <f t="shared" si="319"/>
        <v>9.757853611864137</v>
      </c>
      <c r="AS231" s="64">
        <f t="shared" si="319"/>
        <v>0.41440000000000138</v>
      </c>
      <c r="AT231" s="64">
        <f t="shared" si="319"/>
        <v>3.4927768860353123</v>
      </c>
      <c r="AU231" s="64">
        <f t="shared" si="319"/>
        <v>4.7179487179487207</v>
      </c>
      <c r="AV231" s="64">
        <f t="shared" si="319"/>
        <v>2.9279999999999977</v>
      </c>
      <c r="AW231" s="64">
        <f t="shared" si="319"/>
        <v>11.554487179487174</v>
      </c>
      <c r="AX231" s="64">
        <f t="shared" si="319"/>
        <v>1.0447999999999986</v>
      </c>
      <c r="AY231" s="64">
        <f t="shared" si="319"/>
        <v>3.8100075251648753</v>
      </c>
      <c r="AZ231" s="64">
        <f t="shared" si="319"/>
        <v>4.2499991766787213</v>
      </c>
      <c r="BA231" s="64">
        <f t="shared" si="319"/>
        <v>3.1500000000000004</v>
      </c>
      <c r="BB231" s="64">
        <f t="shared" si="319"/>
        <v>12.279995593257688</v>
      </c>
      <c r="BC231" s="64">
        <f t="shared" si="319"/>
        <v>0.40944290459767541</v>
      </c>
      <c r="BD231" s="64">
        <f t="shared" si="319"/>
        <v>3.9599947540983615</v>
      </c>
      <c r="BE231" s="64">
        <f t="shared" si="319"/>
        <v>4.6899981339092873</v>
      </c>
      <c r="BF231" s="64">
        <f t="shared" si="319"/>
        <v>3.0400072334474628</v>
      </c>
      <c r="BG231" s="64">
        <f t="shared" si="319"/>
        <v>12.069999076161675</v>
      </c>
      <c r="BH231" s="64">
        <f t="shared" si="319"/>
        <v>2.1693398902969538</v>
      </c>
      <c r="BI231" s="64">
        <f t="shared" si="319"/>
        <v>5.6025187850721165</v>
      </c>
      <c r="BJ231" s="64">
        <f t="shared" si="319"/>
        <v>6.9827179554562786</v>
      </c>
      <c r="BK231" s="64">
        <f t="shared" si="319"/>
        <v>4.7432059567822833</v>
      </c>
      <c r="BL231" s="64">
        <f t="shared" si="319"/>
        <v>19.478414262857846</v>
      </c>
      <c r="BM231" s="64">
        <f t="shared" si="319"/>
        <v>1.7735775881735636</v>
      </c>
      <c r="BN231" s="64">
        <f t="shared" si="319"/>
        <v>5.2730938416422282</v>
      </c>
      <c r="BO231" s="64">
        <f t="shared" ref="BO231:BX231" si="320">IF(AND(ISNUMBER(BO229),ISNUMBER(BO230)),IFERROR(BO229/BO230,""),"")</f>
        <v>5.9475555112304725</v>
      </c>
      <c r="BP231" s="64">
        <f t="shared" si="320"/>
        <v>4.8096714712855091</v>
      </c>
      <c r="BQ231" s="64">
        <f t="shared" si="320"/>
        <v>17.146158925819943</v>
      </c>
      <c r="BR231" s="64">
        <f t="shared" si="320"/>
        <v>1.7</v>
      </c>
      <c r="BS231" s="64">
        <f t="shared" si="320"/>
        <v>4.8400000000000007</v>
      </c>
      <c r="BT231" s="64">
        <f t="shared" si="320"/>
        <v>6.1362030905077267</v>
      </c>
      <c r="BU231" s="64">
        <f t="shared" si="320"/>
        <v>4.2101365561776118</v>
      </c>
      <c r="BV231" s="64">
        <f t="shared" si="320"/>
        <v>16.84298935603185</v>
      </c>
      <c r="BW231" s="64">
        <f t="shared" si="320"/>
        <v>1.929999716986472</v>
      </c>
      <c r="BX231" s="64">
        <f t="shared" si="320"/>
        <v>5</v>
      </c>
      <c r="BY231" s="64">
        <f t="shared" ref="BY231:CE231" si="321">IFERROR(BY229/BY230,"")</f>
        <v>6.1815171350448397</v>
      </c>
      <c r="BZ231" s="64">
        <f t="shared" si="321"/>
        <v>3.7706378138116734</v>
      </c>
      <c r="CA231" s="64">
        <f t="shared" si="321"/>
        <v>16.947353594558908</v>
      </c>
      <c r="CB231" s="64">
        <f t="shared" si="321"/>
        <v>18.36646742016833</v>
      </c>
      <c r="CC231" s="64">
        <f t="shared" si="321"/>
        <v>23.822570465964379</v>
      </c>
      <c r="CD231" s="64">
        <f t="shared" si="321"/>
        <v>29.223038838278942</v>
      </c>
      <c r="CE231" s="64">
        <f t="shared" si="321"/>
        <v>35.553909798837033</v>
      </c>
      <c r="CF231" s="6"/>
      <c r="CH231" s="21">
        <f>IFERROR((CE231/BV231)^(1/5)-1,"n/m")</f>
        <v>0.16116420223583816</v>
      </c>
      <c r="CI231" s="21">
        <f>IFERROR((BV231/AW231)^(1/5)-1,"n/m")</f>
        <v>7.8285337769865126E-2</v>
      </c>
      <c r="CJ231" s="21">
        <f>IFERROR((BV231/X231)^(1/10)-1,"n/m")</f>
        <v>0.14109216041382755</v>
      </c>
      <c r="CK231" s="21">
        <f>IFERROR((BV231/C231)^(1/19)-1,"n/m")</f>
        <v>6.3041543934731825E-2</v>
      </c>
    </row>
    <row r="232" spans="2:89" ht="15" customHeight="1" x14ac:dyDescent="0.25">
      <c r="B232" s="42" t="s">
        <v>398</v>
      </c>
      <c r="H232" s="28">
        <v>2.0299999999999998</v>
      </c>
      <c r="I232" s="28">
        <v>2.29</v>
      </c>
      <c r="O232" s="28">
        <v>-0.35</v>
      </c>
      <c r="P232" s="28">
        <v>1.34</v>
      </c>
      <c r="Q232" s="28">
        <v>1.45</v>
      </c>
      <c r="R232" s="28">
        <v>0.99</v>
      </c>
      <c r="S232" s="28">
        <v>3.74</v>
      </c>
      <c r="V232" s="28">
        <v>2.04</v>
      </c>
      <c r="W232" s="28">
        <v>1.1499999999999999</v>
      </c>
      <c r="X232" s="28">
        <v>4.5</v>
      </c>
      <c r="AG232" s="28">
        <v>1.88</v>
      </c>
      <c r="AH232" s="28">
        <v>7.18</v>
      </c>
      <c r="AJ232" s="28">
        <v>3.25</v>
      </c>
      <c r="AY232" s="28">
        <v>3.81</v>
      </c>
      <c r="AZ232" s="28">
        <v>4.25</v>
      </c>
      <c r="BA232" s="28">
        <v>3.15</v>
      </c>
      <c r="BB232" s="28">
        <v>12.28</v>
      </c>
      <c r="BD232" s="28">
        <v>3.96</v>
      </c>
      <c r="BE232" s="28">
        <v>4.6900000000000004</v>
      </c>
      <c r="BF232" s="28">
        <v>3.04</v>
      </c>
      <c r="BG232" s="28">
        <v>12.07</v>
      </c>
      <c r="BR232" s="28">
        <v>1.7</v>
      </c>
      <c r="BS232" s="28">
        <v>4.84</v>
      </c>
      <c r="BW232" s="28">
        <v>1.93</v>
      </c>
      <c r="BX232" s="28">
        <v>5</v>
      </c>
      <c r="BY232" s="6"/>
      <c r="BZ232" s="6"/>
      <c r="CA232" s="6"/>
      <c r="CB232" s="6"/>
      <c r="CC232" s="6"/>
      <c r="CD232" s="6"/>
      <c r="CE232" s="6"/>
      <c r="CF232" s="6"/>
    </row>
    <row r="233" spans="2:89" ht="15" customHeight="1" x14ac:dyDescent="0.25">
      <c r="B233" s="61" t="s">
        <v>399</v>
      </c>
      <c r="C233" s="40" t="str">
        <f t="shared" ref="C233:AH233" si="322">IF(ISNUMBER(C232),ROUND(C231-C232,2),"n/p")</f>
        <v>n/p</v>
      </c>
      <c r="D233" s="40" t="str">
        <f t="shared" si="322"/>
        <v>n/p</v>
      </c>
      <c r="E233" s="40" t="str">
        <f t="shared" si="322"/>
        <v>n/p</v>
      </c>
      <c r="F233" s="40" t="str">
        <f t="shared" si="322"/>
        <v>n/p</v>
      </c>
      <c r="G233" s="40" t="str">
        <f t="shared" si="322"/>
        <v>n/p</v>
      </c>
      <c r="H233" s="40">
        <f t="shared" si="322"/>
        <v>0</v>
      </c>
      <c r="I233" s="40">
        <f t="shared" si="322"/>
        <v>0</v>
      </c>
      <c r="J233" s="40" t="str">
        <f t="shared" si="322"/>
        <v>n/p</v>
      </c>
      <c r="K233" s="40" t="str">
        <f t="shared" si="322"/>
        <v>n/p</v>
      </c>
      <c r="L233" s="40" t="str">
        <f t="shared" si="322"/>
        <v>n/p</v>
      </c>
      <c r="M233" s="40" t="str">
        <f t="shared" si="322"/>
        <v>n/p</v>
      </c>
      <c r="N233" s="40" t="str">
        <f t="shared" si="322"/>
        <v>n/p</v>
      </c>
      <c r="O233" s="40">
        <f t="shared" si="322"/>
        <v>0</v>
      </c>
      <c r="P233" s="40">
        <f t="shared" si="322"/>
        <v>0</v>
      </c>
      <c r="Q233" s="40">
        <f t="shared" si="322"/>
        <v>0</v>
      </c>
      <c r="R233" s="40">
        <f t="shared" si="322"/>
        <v>0</v>
      </c>
      <c r="S233" s="40">
        <f t="shared" si="322"/>
        <v>0</v>
      </c>
      <c r="T233" s="40" t="str">
        <f t="shared" si="322"/>
        <v>n/p</v>
      </c>
      <c r="U233" s="40" t="str">
        <f t="shared" si="322"/>
        <v>n/p</v>
      </c>
      <c r="V233" s="40">
        <f t="shared" si="322"/>
        <v>0</v>
      </c>
      <c r="W233" s="40">
        <f t="shared" si="322"/>
        <v>0</v>
      </c>
      <c r="X233" s="40">
        <f t="shared" si="322"/>
        <v>0</v>
      </c>
      <c r="Y233" s="40" t="str">
        <f t="shared" si="322"/>
        <v>n/p</v>
      </c>
      <c r="Z233" s="40" t="str">
        <f t="shared" si="322"/>
        <v>n/p</v>
      </c>
      <c r="AA233" s="40" t="str">
        <f t="shared" si="322"/>
        <v>n/p</v>
      </c>
      <c r="AB233" s="40" t="str">
        <f t="shared" si="322"/>
        <v>n/p</v>
      </c>
      <c r="AC233" s="40" t="str">
        <f t="shared" si="322"/>
        <v>n/p</v>
      </c>
      <c r="AD233" s="40" t="str">
        <f t="shared" si="322"/>
        <v>n/p</v>
      </c>
      <c r="AE233" s="40" t="str">
        <f t="shared" si="322"/>
        <v>n/p</v>
      </c>
      <c r="AF233" s="40" t="str">
        <f t="shared" si="322"/>
        <v>n/p</v>
      </c>
      <c r="AG233" s="40">
        <f t="shared" si="322"/>
        <v>0</v>
      </c>
      <c r="AH233" s="40">
        <f t="shared" si="322"/>
        <v>0</v>
      </c>
      <c r="AI233" s="40" t="str">
        <f t="shared" ref="AI233:BN233" si="323">IF(ISNUMBER(AI232),ROUND(AI231-AI232,2),"n/p")</f>
        <v>n/p</v>
      </c>
      <c r="AJ233" s="40">
        <f t="shared" si="323"/>
        <v>0</v>
      </c>
      <c r="AK233" s="40" t="str">
        <f t="shared" si="323"/>
        <v>n/p</v>
      </c>
      <c r="AL233" s="40" t="str">
        <f t="shared" si="323"/>
        <v>n/p</v>
      </c>
      <c r="AM233" s="40" t="str">
        <f t="shared" si="323"/>
        <v>n/p</v>
      </c>
      <c r="AN233" s="40" t="str">
        <f t="shared" si="323"/>
        <v>n/p</v>
      </c>
      <c r="AO233" s="40" t="str">
        <f t="shared" si="323"/>
        <v>n/p</v>
      </c>
      <c r="AP233" s="40" t="str">
        <f t="shared" si="323"/>
        <v>n/p</v>
      </c>
      <c r="AQ233" s="40" t="str">
        <f t="shared" si="323"/>
        <v>n/p</v>
      </c>
      <c r="AR233" s="40" t="str">
        <f t="shared" si="323"/>
        <v>n/p</v>
      </c>
      <c r="AS233" s="40" t="str">
        <f t="shared" si="323"/>
        <v>n/p</v>
      </c>
      <c r="AT233" s="40" t="str">
        <f t="shared" si="323"/>
        <v>n/p</v>
      </c>
      <c r="AU233" s="40" t="str">
        <f t="shared" si="323"/>
        <v>n/p</v>
      </c>
      <c r="AV233" s="40" t="str">
        <f t="shared" si="323"/>
        <v>n/p</v>
      </c>
      <c r="AW233" s="40" t="str">
        <f t="shared" si="323"/>
        <v>n/p</v>
      </c>
      <c r="AX233" s="40" t="str">
        <f t="shared" si="323"/>
        <v>n/p</v>
      </c>
      <c r="AY233" s="40">
        <f t="shared" si="323"/>
        <v>0</v>
      </c>
      <c r="AZ233" s="40">
        <f t="shared" si="323"/>
        <v>0</v>
      </c>
      <c r="BA233" s="40">
        <f t="shared" si="323"/>
        <v>0</v>
      </c>
      <c r="BB233" s="40">
        <f t="shared" si="323"/>
        <v>0</v>
      </c>
      <c r="BC233" s="40" t="str">
        <f t="shared" si="323"/>
        <v>n/p</v>
      </c>
      <c r="BD233" s="40">
        <f t="shared" si="323"/>
        <v>0</v>
      </c>
      <c r="BE233" s="40">
        <f t="shared" si="323"/>
        <v>0</v>
      </c>
      <c r="BF233" s="40">
        <f t="shared" si="323"/>
        <v>0</v>
      </c>
      <c r="BG233" s="40">
        <f t="shared" si="323"/>
        <v>0</v>
      </c>
      <c r="BH233" s="40" t="str">
        <f t="shared" si="323"/>
        <v>n/p</v>
      </c>
      <c r="BI233" s="40" t="str">
        <f t="shared" si="323"/>
        <v>n/p</v>
      </c>
      <c r="BJ233" s="40" t="str">
        <f t="shared" si="323"/>
        <v>n/p</v>
      </c>
      <c r="BK233" s="40" t="str">
        <f t="shared" si="323"/>
        <v>n/p</v>
      </c>
      <c r="BL233" s="40" t="str">
        <f t="shared" si="323"/>
        <v>n/p</v>
      </c>
      <c r="BM233" s="40" t="str">
        <f t="shared" si="323"/>
        <v>n/p</v>
      </c>
      <c r="BN233" s="40" t="str">
        <f t="shared" si="323"/>
        <v>n/p</v>
      </c>
      <c r="BO233" s="40" t="str">
        <f t="shared" ref="BO233:BX233" si="324">IF(ISNUMBER(BO232),ROUND(BO231-BO232,2),"n/p")</f>
        <v>n/p</v>
      </c>
      <c r="BP233" s="40" t="str">
        <f t="shared" si="324"/>
        <v>n/p</v>
      </c>
      <c r="BQ233" s="40" t="str">
        <f t="shared" si="324"/>
        <v>n/p</v>
      </c>
      <c r="BR233" s="40">
        <f t="shared" si="324"/>
        <v>0</v>
      </c>
      <c r="BS233" s="40">
        <f t="shared" si="324"/>
        <v>0</v>
      </c>
      <c r="BT233" s="40" t="str">
        <f t="shared" si="324"/>
        <v>n/p</v>
      </c>
      <c r="BU233" s="40" t="str">
        <f t="shared" si="324"/>
        <v>n/p</v>
      </c>
      <c r="BV233" s="40" t="str">
        <f t="shared" si="324"/>
        <v>n/p</v>
      </c>
      <c r="BW233" s="40">
        <f t="shared" si="324"/>
        <v>0</v>
      </c>
      <c r="BX233" s="40">
        <f t="shared" si="324"/>
        <v>0</v>
      </c>
      <c r="BY233" s="6"/>
      <c r="BZ233" s="6"/>
      <c r="CA233" s="6"/>
      <c r="CB233" s="6"/>
      <c r="CC233" s="6"/>
      <c r="CD233" s="6"/>
      <c r="CE233" s="6"/>
      <c r="CF233" s="6"/>
    </row>
    <row r="234" spans="2:89" ht="15" customHeight="1" x14ac:dyDescent="0.25">
      <c r="B234" s="67" t="s">
        <v>400</v>
      </c>
      <c r="O234" s="68" t="s">
        <v>401</v>
      </c>
      <c r="Q234" s="68" t="s">
        <v>402</v>
      </c>
      <c r="V234" s="68" t="s">
        <v>403</v>
      </c>
      <c r="AG234" s="68" t="s">
        <v>404</v>
      </c>
      <c r="AJ234" s="68" t="s">
        <v>405</v>
      </c>
      <c r="AY234" s="68" t="s">
        <v>406</v>
      </c>
      <c r="BW234" s="68" t="s">
        <v>407</v>
      </c>
      <c r="BY234" s="6"/>
      <c r="BZ234" s="6"/>
      <c r="CA234" s="6"/>
      <c r="CB234" s="6"/>
      <c r="CC234" s="6"/>
      <c r="CD234" s="6"/>
      <c r="CE234" s="6"/>
      <c r="CF234" s="6"/>
    </row>
    <row r="235" spans="2:89" ht="15" customHeight="1" x14ac:dyDescent="0.25"/>
    <row r="236" spans="2:89" ht="15" customHeight="1" x14ac:dyDescent="0.25">
      <c r="B236" s="11" t="s">
        <v>408</v>
      </c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  <c r="BE236" s="11"/>
      <c r="BF236" s="11"/>
      <c r="BG236" s="11"/>
      <c r="BH236" s="11"/>
      <c r="BI236" s="11"/>
      <c r="BJ236" s="11"/>
      <c r="BK236" s="11"/>
      <c r="BL236" s="11"/>
      <c r="BM236" s="11"/>
      <c r="BN236" s="11"/>
      <c r="BO236" s="11"/>
      <c r="BP236" s="11"/>
      <c r="BQ236" s="11"/>
      <c r="BR236" s="11"/>
      <c r="BS236" s="11"/>
      <c r="BT236" s="11"/>
      <c r="BU236" s="11"/>
      <c r="BV236" s="11"/>
      <c r="BW236" s="11"/>
      <c r="BX236" s="11"/>
      <c r="BY236" s="11"/>
      <c r="BZ236" s="11"/>
      <c r="CA236" s="11"/>
      <c r="CB236" s="11"/>
      <c r="CC236" s="11"/>
      <c r="CD236" s="11"/>
      <c r="CE236" s="11"/>
      <c r="CF236" s="11" t="s">
        <v>409</v>
      </c>
    </row>
    <row r="237" spans="2:89" ht="15" customHeight="1" x14ac:dyDescent="0.25">
      <c r="B237" s="23" t="s">
        <v>109</v>
      </c>
      <c r="D237" s="24">
        <f t="shared" ref="D237:I237" si="325">IF(AND(ISNUMBER(D158),ISNUMBER(C158)),IFERROR(D158/C158-1,""),"")</f>
        <v>3.1725888324873885E-4</v>
      </c>
      <c r="E237" s="24">
        <f t="shared" si="325"/>
        <v>-3.9418241130895759E-2</v>
      </c>
      <c r="F237" s="24">
        <f t="shared" si="325"/>
        <v>-0.19692467336446395</v>
      </c>
      <c r="G237" s="24">
        <f t="shared" si="325"/>
        <v>4.716316222248329E-2</v>
      </c>
      <c r="H237" s="24">
        <f t="shared" si="325"/>
        <v>-3.8700992764597042E-2</v>
      </c>
      <c r="I237" s="24">
        <f t="shared" si="325"/>
        <v>0.18886749518641688</v>
      </c>
      <c r="N237" s="24">
        <f t="shared" ref="N237:AS237" si="326">IF(AND(ISNUMBER(N158),ISNUMBER(I158)),IFERROR(N158/I158-1,""),"")</f>
        <v>5.7862190812720815E-2</v>
      </c>
      <c r="O237" s="24">
        <f t="shared" si="326"/>
        <v>0.11350649350649356</v>
      </c>
      <c r="P237" s="24">
        <f t="shared" si="326"/>
        <v>0.18926603874178061</v>
      </c>
      <c r="Q237" s="24">
        <f t="shared" si="326"/>
        <v>0.50864271757102086</v>
      </c>
      <c r="R237" s="24">
        <f t="shared" si="326"/>
        <v>0.5711926605504587</v>
      </c>
      <c r="S237" s="24">
        <f t="shared" si="326"/>
        <v>0.37230340988169797</v>
      </c>
      <c r="T237" s="24">
        <f t="shared" si="326"/>
        <v>0.61278283181712156</v>
      </c>
      <c r="U237" s="24">
        <f t="shared" si="326"/>
        <v>0.3768679019725043</v>
      </c>
      <c r="V237" s="24">
        <f t="shared" si="326"/>
        <v>7.821062070339746E-2</v>
      </c>
      <c r="W237" s="24">
        <f t="shared" si="326"/>
        <v>-1.3663435711783189E-2</v>
      </c>
      <c r="X237" s="24">
        <f t="shared" si="326"/>
        <v>0.19661933739012838</v>
      </c>
      <c r="Y237" s="24">
        <f t="shared" si="326"/>
        <v>0.1408735898177611</v>
      </c>
      <c r="Z237" s="24">
        <f t="shared" si="326"/>
        <v>6.0668547861949085E-2</v>
      </c>
      <c r="AA237" s="24">
        <f t="shared" si="326"/>
        <v>2.0051746442432128E-2</v>
      </c>
      <c r="AB237" s="24">
        <f t="shared" si="326"/>
        <v>0.12337201041913315</v>
      </c>
      <c r="AC237" s="24">
        <f t="shared" si="326"/>
        <v>7.8878969375070662E-2</v>
      </c>
      <c r="AD237" s="24">
        <f t="shared" si="326"/>
        <v>6.9852941176470562E-2</v>
      </c>
      <c r="AE237" s="24">
        <f t="shared" si="326"/>
        <v>8.8202189706333867E-2</v>
      </c>
      <c r="AF237" s="24">
        <f t="shared" si="326"/>
        <v>-1.4675242322674142E-2</v>
      </c>
      <c r="AG237" s="24">
        <f t="shared" si="326"/>
        <v>2.2870994940978218E-2</v>
      </c>
      <c r="AH237" s="24">
        <f t="shared" si="326"/>
        <v>3.8441395202681417E-2</v>
      </c>
      <c r="AI237" s="24">
        <f t="shared" si="326"/>
        <v>-4.9650432515700893E-2</v>
      </c>
      <c r="AJ237" s="24">
        <f t="shared" si="326"/>
        <v>0.1306093088857545</v>
      </c>
      <c r="AK237" s="24">
        <f t="shared" si="326"/>
        <v>0.12130182954858881</v>
      </c>
      <c r="AL237" s="24">
        <f t="shared" si="326"/>
        <v>5.1229263266357572E-2</v>
      </c>
      <c r="AM237" s="24">
        <f t="shared" si="326"/>
        <v>7.0270576961872111E-2</v>
      </c>
      <c r="AN237" s="24">
        <f t="shared" si="326"/>
        <v>0.17076683291770589</v>
      </c>
      <c r="AO237" s="24">
        <f t="shared" si="326"/>
        <v>6.4092488125861324E-2</v>
      </c>
      <c r="AP237" s="24">
        <f t="shared" si="326"/>
        <v>0.16447968252927092</v>
      </c>
      <c r="AQ237" s="24">
        <f t="shared" si="326"/>
        <v>7.8622412072713921E-2</v>
      </c>
      <c r="AR237" s="24">
        <f t="shared" si="326"/>
        <v>0.11658862017333971</v>
      </c>
      <c r="AS237" s="24">
        <f t="shared" si="326"/>
        <v>2.0496189913254526E-2</v>
      </c>
      <c r="AT237" s="24">
        <f t="shared" ref="AT237:BX237" si="327">IF(AND(ISNUMBER(AT158),ISNUMBER(AO158)),IFERROR(AT158/AO158-1,""),"")</f>
        <v>-6.9310056992438751E-3</v>
      </c>
      <c r="AU237" s="24">
        <f t="shared" si="327"/>
        <v>-6.9597802070908821E-2</v>
      </c>
      <c r="AV237" s="24">
        <f t="shared" si="327"/>
        <v>7.1944603473187652E-2</v>
      </c>
      <c r="AW237" s="24">
        <f t="shared" si="327"/>
        <v>-1.9408756687454565E-3</v>
      </c>
      <c r="AX237" s="24">
        <f t="shared" si="327"/>
        <v>2.5255687747860467E-2</v>
      </c>
      <c r="AY237" s="24">
        <f t="shared" si="327"/>
        <v>8.4448292145443249E-2</v>
      </c>
      <c r="AZ237" s="24">
        <f t="shared" si="327"/>
        <v>0.17852277887089429</v>
      </c>
      <c r="BA237" s="24">
        <f t="shared" si="327"/>
        <v>0.26856561546286883</v>
      </c>
      <c r="BB237" s="24">
        <f t="shared" si="327"/>
        <v>0.14463307892344446</v>
      </c>
      <c r="BC237" s="24">
        <f t="shared" si="327"/>
        <v>0.25285016286644946</v>
      </c>
      <c r="BD237" s="24">
        <f t="shared" si="327"/>
        <v>0.19145075840046433</v>
      </c>
      <c r="BE237" s="24">
        <f t="shared" si="327"/>
        <v>0.16335966095164722</v>
      </c>
      <c r="BF237" s="24">
        <f t="shared" si="327"/>
        <v>-1.3298583266506347E-2</v>
      </c>
      <c r="BG237" s="24">
        <f t="shared" si="327"/>
        <v>0.13792020687107498</v>
      </c>
      <c r="BH237" s="24">
        <f t="shared" si="327"/>
        <v>0.10017874553136163</v>
      </c>
      <c r="BI237" s="24">
        <f t="shared" si="327"/>
        <v>0.10909423158920628</v>
      </c>
      <c r="BJ237" s="24">
        <f t="shared" si="327"/>
        <v>0.10067892035105142</v>
      </c>
      <c r="BK237" s="24">
        <f t="shared" si="327"/>
        <v>8.9197426346088848E-2</v>
      </c>
      <c r="BL237" s="24">
        <f t="shared" si="327"/>
        <v>0.10006979726329801</v>
      </c>
      <c r="BM237" s="24">
        <f t="shared" si="327"/>
        <v>-7.613913300347086E-2</v>
      </c>
      <c r="BN237" s="24">
        <f t="shared" si="327"/>
        <v>-3.1195079086115962E-2</v>
      </c>
      <c r="BO237" s="24">
        <f t="shared" si="327"/>
        <v>-5.2705481169449842E-2</v>
      </c>
      <c r="BP237" s="24">
        <f t="shared" si="327"/>
        <v>1.4799154334038001E-2</v>
      </c>
      <c r="BQ237" s="24">
        <f t="shared" si="327"/>
        <v>-3.5589919140648019E-2</v>
      </c>
      <c r="BR237" s="24">
        <f t="shared" si="327"/>
        <v>-7.1143085531574779E-2</v>
      </c>
      <c r="BS237" s="24">
        <f t="shared" si="327"/>
        <v>-8.7868480725623588E-2</v>
      </c>
      <c r="BT237" s="24">
        <f t="shared" si="327"/>
        <v>-2.2763366860772849E-2</v>
      </c>
      <c r="BU237" s="24">
        <f t="shared" si="327"/>
        <v>-6.0049019607843146E-2</v>
      </c>
      <c r="BV237" s="24">
        <f t="shared" si="327"/>
        <v>-5.9057527539779664E-2</v>
      </c>
      <c r="BW237" s="24">
        <f t="shared" si="327"/>
        <v>0.17211703958691915</v>
      </c>
      <c r="BX237" s="24">
        <f t="shared" si="327"/>
        <v>0.21006836544437535</v>
      </c>
      <c r="BY237" s="25">
        <f>IFERROR(BY158/BT158-1,"")</f>
        <v>0.2929470432653849</v>
      </c>
      <c r="BZ237" s="25">
        <f>IFERROR(BZ158/BU158-1,"")</f>
        <v>0.48218934841894856</v>
      </c>
      <c r="CA237" s="25">
        <f>IFERROR(CA158/BV158-1,"")</f>
        <v>0.29584694347033613</v>
      </c>
      <c r="CB237" s="25">
        <f>IFERROR(CB158/CA158-1,"")</f>
        <v>0.23180499624409934</v>
      </c>
      <c r="CC237" s="25">
        <f>IFERROR(CC158/CB158-1,"")</f>
        <v>8.0033157575153391E-2</v>
      </c>
      <c r="CD237" s="25">
        <f>IFERROR(CD158/CC158-1,"")</f>
        <v>8.4049929560718883E-2</v>
      </c>
      <c r="CE237" s="25">
        <f>IFERROR(CE158/CD158-1,"")</f>
        <v>8.6321148983165008E-2</v>
      </c>
      <c r="CF237" s="6"/>
    </row>
    <row r="238" spans="2:89" ht="15" customHeight="1" x14ac:dyDescent="0.25">
      <c r="B238" s="23" t="s">
        <v>410</v>
      </c>
      <c r="D238" s="24">
        <f t="shared" ref="D238:AI238" si="328">D12</f>
        <v>-8.1434832989067507E-2</v>
      </c>
      <c r="E238" s="24">
        <f t="shared" si="328"/>
        <v>-0.12598861380165205</v>
      </c>
      <c r="F238" s="24">
        <f t="shared" si="328"/>
        <v>-0.22562203884409027</v>
      </c>
      <c r="G238" s="24">
        <f t="shared" si="328"/>
        <v>5.353279146846468E-2</v>
      </c>
      <c r="H238" s="24">
        <f t="shared" si="328"/>
        <v>-3.7944110701731537E-2</v>
      </c>
      <c r="I238" s="24">
        <f t="shared" si="328"/>
        <v>2.6040583974287212E-2</v>
      </c>
      <c r="J238" s="24">
        <f t="shared" si="328"/>
        <v>0</v>
      </c>
      <c r="K238" s="24">
        <f t="shared" si="328"/>
        <v>0</v>
      </c>
      <c r="L238" s="24">
        <f t="shared" si="328"/>
        <v>0</v>
      </c>
      <c r="M238" s="24">
        <f t="shared" si="328"/>
        <v>0</v>
      </c>
      <c r="N238" s="24">
        <f t="shared" si="328"/>
        <v>7.9481964607142075E-4</v>
      </c>
      <c r="O238" s="24">
        <f t="shared" si="328"/>
        <v>8.0776153474691581E-2</v>
      </c>
      <c r="P238" s="24">
        <f t="shared" si="328"/>
        <v>0.12726326141030819</v>
      </c>
      <c r="Q238" s="24">
        <f t="shared" si="328"/>
        <v>0.13817466125003142</v>
      </c>
      <c r="R238" s="24">
        <f t="shared" si="328"/>
        <v>0.18767489188501663</v>
      </c>
      <c r="S238" s="24">
        <f t="shared" si="328"/>
        <v>0.13716879618166677</v>
      </c>
      <c r="T238" s="24">
        <f t="shared" si="328"/>
        <v>0.17129046671270154</v>
      </c>
      <c r="U238" s="24">
        <f t="shared" si="328"/>
        <v>7.7718478985990824E-2</v>
      </c>
      <c r="V238" s="24">
        <f t="shared" si="328"/>
        <v>5.3517192453499396E-2</v>
      </c>
      <c r="W238" s="24">
        <f t="shared" si="328"/>
        <v>1.7429718875501932E-2</v>
      </c>
      <c r="X238" s="24">
        <f t="shared" si="328"/>
        <v>7.1016775077028305E-2</v>
      </c>
      <c r="Y238" s="24">
        <f t="shared" si="328"/>
        <v>0.13278540712997655</v>
      </c>
      <c r="Z238" s="24">
        <f t="shared" si="328"/>
        <v>1.3118110611146871E-2</v>
      </c>
      <c r="AA238" s="24">
        <f t="shared" si="328"/>
        <v>-4.8020874981587136E-2</v>
      </c>
      <c r="AB238" s="24">
        <f t="shared" si="328"/>
        <v>4.3946211941792157E-3</v>
      </c>
      <c r="AC238" s="24">
        <f t="shared" si="328"/>
        <v>1.4090089629336111E-2</v>
      </c>
      <c r="AD238" s="24">
        <f t="shared" si="328"/>
        <v>-1.6531455686514818E-3</v>
      </c>
      <c r="AE238" s="24">
        <f t="shared" si="328"/>
        <v>2.0421111998871977E-2</v>
      </c>
      <c r="AF238" s="24">
        <f t="shared" si="328"/>
        <v>-3.1698313402153011E-2</v>
      </c>
      <c r="AG238" s="24">
        <f t="shared" si="328"/>
        <v>-8.1219870048208076E-3</v>
      </c>
      <c r="AH238" s="24">
        <f t="shared" si="328"/>
        <v>-5.8502389267837129E-3</v>
      </c>
      <c r="AI238" s="24">
        <f t="shared" si="328"/>
        <v>-7.9451718745208622E-2</v>
      </c>
      <c r="AJ238" s="24">
        <f t="shared" ref="AJ238:BO238" si="329">AJ12</f>
        <v>0.11275130691108393</v>
      </c>
      <c r="AK238" s="24">
        <f t="shared" si="329"/>
        <v>0.14881862801050105</v>
      </c>
      <c r="AL238" s="24">
        <f t="shared" si="329"/>
        <v>0.11397855142902436</v>
      </c>
      <c r="AM238" s="24">
        <f t="shared" si="329"/>
        <v>8.3311139012542945E-2</v>
      </c>
      <c r="AN238" s="24">
        <f t="shared" si="329"/>
        <v>0.24203864090606264</v>
      </c>
      <c r="AO238" s="24">
        <f t="shared" si="329"/>
        <v>0.10004346116434526</v>
      </c>
      <c r="AP238" s="24">
        <f t="shared" si="329"/>
        <v>0.12608298227485881</v>
      </c>
      <c r="AQ238" s="24">
        <f t="shared" si="329"/>
        <v>4.1495743722286704E-2</v>
      </c>
      <c r="AR238" s="24">
        <f t="shared" si="329"/>
        <v>0.11876887775410339</v>
      </c>
      <c r="AS238" s="24">
        <f t="shared" si="329"/>
        <v>2.719519390656E-2</v>
      </c>
      <c r="AT238" s="24">
        <f t="shared" si="329"/>
        <v>-3.6742987225556356E-2</v>
      </c>
      <c r="AU238" s="24">
        <f t="shared" si="329"/>
        <v>-8.5919991529760487E-2</v>
      </c>
      <c r="AV238" s="24">
        <f t="shared" si="329"/>
        <v>2.9073606083373171E-2</v>
      </c>
      <c r="AW238" s="24">
        <f t="shared" si="329"/>
        <v>-2.420392829860929E-2</v>
      </c>
      <c r="AX238" s="24">
        <f t="shared" si="329"/>
        <v>-3.1331592689294974E-2</v>
      </c>
      <c r="AY238" s="24">
        <f t="shared" si="329"/>
        <v>3.3203125E-2</v>
      </c>
      <c r="AZ238" s="24">
        <f t="shared" si="329"/>
        <v>0.10038610038610041</v>
      </c>
      <c r="BA238" s="24">
        <f t="shared" si="329"/>
        <v>0.19911504424778759</v>
      </c>
      <c r="BB238" s="24">
        <f t="shared" si="329"/>
        <v>7.8820375335120652E-2</v>
      </c>
      <c r="BC238" s="24">
        <f t="shared" si="329"/>
        <v>0.13477088948787053</v>
      </c>
      <c r="BD238" s="24">
        <f t="shared" si="329"/>
        <v>9.2627599243856329E-2</v>
      </c>
      <c r="BE238" s="24">
        <f t="shared" si="329"/>
        <v>5.6140350877192935E-2</v>
      </c>
      <c r="BF238" s="24">
        <f t="shared" si="329"/>
        <v>-0.11992619926199266</v>
      </c>
      <c r="BG238" s="24">
        <f t="shared" si="329"/>
        <v>3.2306163021868839E-2</v>
      </c>
      <c r="BH238" s="24">
        <f t="shared" si="329"/>
        <v>-9.5011876484559776E-3</v>
      </c>
      <c r="BI238" s="24">
        <f t="shared" si="329"/>
        <v>-5.7093425605536319E-2</v>
      </c>
      <c r="BJ238" s="24">
        <f t="shared" si="329"/>
        <v>-7.1428571428571508E-2</v>
      </c>
      <c r="BK238" s="24">
        <f t="shared" si="329"/>
        <v>-2.3060796645702375E-2</v>
      </c>
      <c r="BL238" s="24">
        <f t="shared" si="329"/>
        <v>-4.2850264805007088E-2</v>
      </c>
      <c r="BM238" s="24">
        <f t="shared" si="329"/>
        <v>-0.12230215827338131</v>
      </c>
      <c r="BN238" s="24">
        <f t="shared" si="329"/>
        <v>-2.752293577981646E-2</v>
      </c>
      <c r="BO238" s="24">
        <f t="shared" si="329"/>
        <v>-3.9355992844364862E-2</v>
      </c>
      <c r="BP238" s="24">
        <f t="shared" ref="BP238:CE238" si="330">BP12</f>
        <v>2.7896995708154515E-2</v>
      </c>
      <c r="BQ238" s="24">
        <f t="shared" si="330"/>
        <v>-3.8732394366197243E-2</v>
      </c>
      <c r="BR238" s="24">
        <f t="shared" si="330"/>
        <v>6.5573770491803129E-2</v>
      </c>
      <c r="BS238" s="24">
        <f t="shared" si="330"/>
        <v>-5.6603773584905648E-3</v>
      </c>
      <c r="BT238" s="24">
        <f t="shared" si="330"/>
        <v>7.8212290502793103E-2</v>
      </c>
      <c r="BU238" s="24">
        <f t="shared" si="330"/>
        <v>2.087682672233826E-2</v>
      </c>
      <c r="BV238" s="24">
        <f t="shared" si="330"/>
        <v>3.8723181580324395E-2</v>
      </c>
      <c r="BW238" s="24">
        <f t="shared" si="330"/>
        <v>0.12564102564102564</v>
      </c>
      <c r="BX238" s="24">
        <f t="shared" si="330"/>
        <v>0.1688804554079697</v>
      </c>
      <c r="BY238" s="25">
        <f t="shared" si="330"/>
        <v>0.21611016329478938</v>
      </c>
      <c r="BZ238" s="25">
        <f t="shared" si="330"/>
        <v>0.21611016329478938</v>
      </c>
      <c r="CA238" s="25">
        <f t="shared" si="330"/>
        <v>0.18579629944525689</v>
      </c>
      <c r="CB238" s="25">
        <f t="shared" si="330"/>
        <v>0.03</v>
      </c>
      <c r="CC238" s="25">
        <f t="shared" si="330"/>
        <v>0.03</v>
      </c>
      <c r="CD238" s="25">
        <f t="shared" si="330"/>
        <v>2.5000000000000001E-2</v>
      </c>
      <c r="CE238" s="25">
        <f t="shared" si="330"/>
        <v>2.5000000000000001E-2</v>
      </c>
      <c r="CF238" s="6"/>
    </row>
    <row r="239" spans="2:89" ht="15" customHeight="1" x14ac:dyDescent="0.25">
      <c r="B239" s="23" t="s">
        <v>411</v>
      </c>
      <c r="C239" s="24">
        <f t="shared" ref="C239:AH239" si="331">C14</f>
        <v>0</v>
      </c>
      <c r="D239" s="24" t="str">
        <f t="shared" si="331"/>
        <v/>
      </c>
      <c r="E239" s="24" t="str">
        <f t="shared" si="331"/>
        <v/>
      </c>
      <c r="F239" s="24" t="str">
        <f t="shared" si="331"/>
        <v/>
      </c>
      <c r="G239" s="24" t="str">
        <f t="shared" si="331"/>
        <v/>
      </c>
      <c r="H239" s="24" t="str">
        <f t="shared" si="331"/>
        <v/>
      </c>
      <c r="I239" s="24" t="str">
        <f t="shared" si="331"/>
        <v/>
      </c>
      <c r="J239" s="24">
        <f t="shared" si="331"/>
        <v>0</v>
      </c>
      <c r="K239" s="24">
        <f t="shared" si="331"/>
        <v>0</v>
      </c>
      <c r="L239" s="24">
        <f t="shared" si="331"/>
        <v>0</v>
      </c>
      <c r="M239" s="24">
        <f t="shared" si="331"/>
        <v>0</v>
      </c>
      <c r="N239" s="24">
        <f t="shared" si="331"/>
        <v>2.9041626331074655E-2</v>
      </c>
      <c r="O239" s="24">
        <f t="shared" si="331"/>
        <v>-1.3673655423883324E-2</v>
      </c>
      <c r="P239" s="24">
        <f t="shared" si="331"/>
        <v>4.961832061068705E-2</v>
      </c>
      <c r="Q239" s="24" t="str">
        <f t="shared" si="331"/>
        <v/>
      </c>
      <c r="R239" s="24" t="str">
        <f t="shared" si="331"/>
        <v/>
      </c>
      <c r="S239" s="24" t="str">
        <f t="shared" si="331"/>
        <v/>
      </c>
      <c r="T239" s="24" t="str">
        <f t="shared" si="331"/>
        <v/>
      </c>
      <c r="U239" s="24" t="str">
        <f t="shared" si="331"/>
        <v/>
      </c>
      <c r="V239" s="24" t="str">
        <f t="shared" si="331"/>
        <v/>
      </c>
      <c r="W239" s="24" t="str">
        <f t="shared" si="331"/>
        <v/>
      </c>
      <c r="X239" s="24" t="str">
        <f t="shared" si="331"/>
        <v/>
      </c>
      <c r="Y239" s="24" t="str">
        <f t="shared" si="331"/>
        <v/>
      </c>
      <c r="Z239" s="24" t="str">
        <f t="shared" si="331"/>
        <v/>
      </c>
      <c r="AA239" s="24" t="str">
        <f t="shared" si="331"/>
        <v/>
      </c>
      <c r="AB239" s="24" t="str">
        <f t="shared" si="331"/>
        <v/>
      </c>
      <c r="AC239" s="24" t="str">
        <f t="shared" si="331"/>
        <v/>
      </c>
      <c r="AD239" s="24">
        <f t="shared" si="331"/>
        <v>5.2914110429447936E-2</v>
      </c>
      <c r="AE239" s="24">
        <f t="shared" si="331"/>
        <v>3.5993740219092407E-2</v>
      </c>
      <c r="AF239" s="24">
        <f t="shared" si="331"/>
        <v>4.9334377447141753E-2</v>
      </c>
      <c r="AG239" s="24">
        <f t="shared" si="331"/>
        <v>3.9907904834996177E-2</v>
      </c>
      <c r="AH239" s="24">
        <f t="shared" si="331"/>
        <v>4.5031055900621064E-2</v>
      </c>
      <c r="AI239" s="24">
        <f t="shared" ref="AI239:BN239" si="332">AI14</f>
        <v>2.2578295702840423E-2</v>
      </c>
      <c r="AJ239" s="24">
        <f t="shared" si="332"/>
        <v>3.4743202416918306E-2</v>
      </c>
      <c r="AK239" s="24">
        <f t="shared" si="332"/>
        <v>1.4925373134328401E-2</v>
      </c>
      <c r="AL239" s="24">
        <f t="shared" si="332"/>
        <v>4.4280442804427445E-3</v>
      </c>
      <c r="AM239" s="24">
        <f t="shared" si="332"/>
        <v>1.857355126300142E-2</v>
      </c>
      <c r="AN239" s="24">
        <f t="shared" si="332"/>
        <v>2.2792022792022859E-2</v>
      </c>
      <c r="AO239" s="24">
        <f t="shared" si="332"/>
        <v>3.5036496350365098E-2</v>
      </c>
      <c r="AP239" s="24">
        <f t="shared" si="332"/>
        <v>5.661764705882355E-2</v>
      </c>
      <c r="AQ239" s="24">
        <f t="shared" si="332"/>
        <v>5.65760470242469E-2</v>
      </c>
      <c r="AR239" s="24">
        <f t="shared" si="332"/>
        <v>4.5222465353756292E-2</v>
      </c>
      <c r="AS239" s="24">
        <f t="shared" si="332"/>
        <v>3.0640668523676862E-2</v>
      </c>
      <c r="AT239" s="24">
        <f t="shared" si="332"/>
        <v>3.3850493653032387E-2</v>
      </c>
      <c r="AU239" s="24">
        <f t="shared" si="332"/>
        <v>2.6443980514961885E-2</v>
      </c>
      <c r="AV239" s="24">
        <f t="shared" si="332"/>
        <v>3.4770514603616132E-2</v>
      </c>
      <c r="AW239" s="24">
        <f t="shared" si="332"/>
        <v>3.0704815073272718E-2</v>
      </c>
      <c r="AX239" s="24">
        <f t="shared" si="332"/>
        <v>3.4459459459459385E-2</v>
      </c>
      <c r="AY239" s="24">
        <f t="shared" si="332"/>
        <v>2.7967257844474736E-2</v>
      </c>
      <c r="AZ239" s="24">
        <f t="shared" si="332"/>
        <v>1.2203389830508504E-2</v>
      </c>
      <c r="BA239" s="24">
        <f t="shared" si="332"/>
        <v>1.4112903225806495E-2</v>
      </c>
      <c r="BB239" s="24">
        <f t="shared" si="332"/>
        <v>2.0988490182803021E-2</v>
      </c>
      <c r="BC239" s="24">
        <f t="shared" si="332"/>
        <v>5.6172436316133334E-2</v>
      </c>
      <c r="BD239" s="24">
        <f t="shared" si="332"/>
        <v>8.4273390842733775E-2</v>
      </c>
      <c r="BE239" s="24">
        <f t="shared" si="332"/>
        <v>0.11520428667113181</v>
      </c>
      <c r="BF239" s="24">
        <f t="shared" si="332"/>
        <v>0.16500994035785288</v>
      </c>
      <c r="BG239" s="24">
        <f t="shared" si="332"/>
        <v>0.10610079575596809</v>
      </c>
      <c r="BH239" s="24">
        <f t="shared" si="332"/>
        <v>0.22634508348794036</v>
      </c>
      <c r="BI239" s="24">
        <f t="shared" si="332"/>
        <v>0.18543451652386778</v>
      </c>
      <c r="BJ239" s="24">
        <f t="shared" si="332"/>
        <v>0.20000000000000018</v>
      </c>
      <c r="BK239" s="24">
        <f t="shared" si="332"/>
        <v>0.15017064846416384</v>
      </c>
      <c r="BL239" s="24">
        <f t="shared" si="332"/>
        <v>0.18944844124700233</v>
      </c>
      <c r="BM239" s="24">
        <f t="shared" si="332"/>
        <v>0.12254160363086242</v>
      </c>
      <c r="BN239" s="24">
        <f t="shared" si="332"/>
        <v>0.11564274651522966</v>
      </c>
      <c r="BO239" s="24">
        <f t="shared" ref="BO239:CE239" si="333">BO14</f>
        <v>7.7077077077077005E-2</v>
      </c>
      <c r="BP239" s="24">
        <f t="shared" si="333"/>
        <v>8.5558852621167247E-2</v>
      </c>
      <c r="BQ239" s="24">
        <f t="shared" si="333"/>
        <v>9.879032258064524E-2</v>
      </c>
      <c r="BR239" s="24">
        <f t="shared" si="333"/>
        <v>6.7834681042228118E-2</v>
      </c>
      <c r="BS239" s="24">
        <f t="shared" si="333"/>
        <v>7.4039796390559909E-2</v>
      </c>
      <c r="BT239" s="24">
        <f t="shared" si="333"/>
        <v>7.9925650557620687E-2</v>
      </c>
      <c r="BU239" s="24">
        <f t="shared" si="333"/>
        <v>5.2847380410022682E-2</v>
      </c>
      <c r="BV239" s="24">
        <f t="shared" si="333"/>
        <v>6.8807339449541205E-2</v>
      </c>
      <c r="BW239" s="24">
        <f t="shared" si="333"/>
        <v>-2.9448885149347959E-3</v>
      </c>
      <c r="BX239" s="24">
        <f t="shared" si="333"/>
        <v>-2.0249892287807048E-2</v>
      </c>
      <c r="BY239" s="25">
        <f t="shared" si="333"/>
        <v>-2.0249892287807048E-2</v>
      </c>
      <c r="BZ239" s="25">
        <f t="shared" si="333"/>
        <v>-2.0249892287807048E-2</v>
      </c>
      <c r="CA239" s="25">
        <f t="shared" si="333"/>
        <v>-1.7034940025282386E-2</v>
      </c>
      <c r="CB239" s="25">
        <f t="shared" si="333"/>
        <v>0.06</v>
      </c>
      <c r="CC239" s="25">
        <f t="shared" si="333"/>
        <v>5.5E-2</v>
      </c>
      <c r="CD239" s="25">
        <f t="shared" si="333"/>
        <v>0.05</v>
      </c>
      <c r="CE239" s="25">
        <f t="shared" si="333"/>
        <v>0.05</v>
      </c>
      <c r="CF239" s="6"/>
    </row>
    <row r="240" spans="2:89" ht="15" customHeight="1" x14ac:dyDescent="0.25">
      <c r="B240" s="23" t="s">
        <v>412</v>
      </c>
      <c r="D240" s="24">
        <f t="shared" ref="D240:I240" si="334">IF(AND(ISNUMBER(D211),ISNUMBER(C211)),IFERROR(D211/C211-1,""),"")</f>
        <v>0.10392523364485973</v>
      </c>
      <c r="E240" s="24">
        <f t="shared" si="334"/>
        <v>-0.15729766339315954</v>
      </c>
      <c r="F240" s="24">
        <f t="shared" si="334"/>
        <v>-0.26843480008036946</v>
      </c>
      <c r="G240" s="24">
        <f t="shared" si="334"/>
        <v>2.9112881076627461E-2</v>
      </c>
      <c r="H240" s="24">
        <f t="shared" si="334"/>
        <v>-0.10354950627168413</v>
      </c>
      <c r="I240" s="24">
        <f t="shared" si="334"/>
        <v>-1.7862459065198011E-2</v>
      </c>
      <c r="N240" s="24">
        <f t="shared" ref="N240:AS240" si="335">IF(AND(ISNUMBER(N211),ISNUMBER(I211)),IFERROR(N211/I211-1,""),"")</f>
        <v>0.1827826614125494</v>
      </c>
      <c r="O240" s="24">
        <f t="shared" si="335"/>
        <v>0.21608040201005085</v>
      </c>
      <c r="P240" s="24">
        <f t="shared" si="335"/>
        <v>0.24088888888888915</v>
      </c>
      <c r="Q240" s="24">
        <f t="shared" si="335"/>
        <v>0.21899736147757265</v>
      </c>
      <c r="R240" s="24">
        <f t="shared" si="335"/>
        <v>0.77140169332079034</v>
      </c>
      <c r="S240" s="24">
        <f t="shared" si="335"/>
        <v>0.37621732444900102</v>
      </c>
      <c r="T240" s="24">
        <f t="shared" si="335"/>
        <v>2.7685950413223126</v>
      </c>
      <c r="U240" s="24">
        <f t="shared" si="335"/>
        <v>0.48703438395415399</v>
      </c>
      <c r="V240" s="24">
        <f t="shared" si="335"/>
        <v>0.34673701298701287</v>
      </c>
      <c r="W240" s="24">
        <f t="shared" si="335"/>
        <v>1.1683483802443106E-2</v>
      </c>
      <c r="X240" s="24">
        <f t="shared" si="335"/>
        <v>0.42774674115456146</v>
      </c>
      <c r="Y240" s="24">
        <f t="shared" si="335"/>
        <v>0.67324561403508798</v>
      </c>
      <c r="Z240" s="24">
        <f t="shared" si="335"/>
        <v>0.28378052892721262</v>
      </c>
      <c r="AA240" s="24">
        <f t="shared" si="335"/>
        <v>0.29702624187851878</v>
      </c>
      <c r="AB240" s="24">
        <f t="shared" si="335"/>
        <v>0.20577427821522298</v>
      </c>
      <c r="AC240" s="24">
        <f t="shared" si="335"/>
        <v>0.26724925003260736</v>
      </c>
      <c r="AD240" s="24">
        <f t="shared" si="335"/>
        <v>-3.2110091743119296E-2</v>
      </c>
      <c r="AE240" s="24">
        <f t="shared" si="335"/>
        <v>9.6810506566604504E-2</v>
      </c>
      <c r="AF240" s="24">
        <f t="shared" si="335"/>
        <v>-6.4436183395291557E-2</v>
      </c>
      <c r="AG240" s="24">
        <f t="shared" si="335"/>
        <v>0.14235959947757904</v>
      </c>
      <c r="AH240" s="24">
        <f t="shared" si="335"/>
        <v>3.3758748456155008E-2</v>
      </c>
      <c r="AI240" s="24">
        <f t="shared" si="335"/>
        <v>-0.16519972918077186</v>
      </c>
      <c r="AJ240" s="24">
        <f t="shared" si="335"/>
        <v>0.29647280191584002</v>
      </c>
      <c r="AK240" s="24">
        <f t="shared" si="335"/>
        <v>0.15557615894039767</v>
      </c>
      <c r="AL240" s="24">
        <f t="shared" si="335"/>
        <v>-4.0205792682926567E-2</v>
      </c>
      <c r="AM240" s="24">
        <f t="shared" si="335"/>
        <v>9.8929709279171663E-2</v>
      </c>
      <c r="AN240" s="24">
        <f t="shared" si="335"/>
        <v>0.28860502838605018</v>
      </c>
      <c r="AO240" s="24">
        <f t="shared" si="335"/>
        <v>-1.298293482936308E-3</v>
      </c>
      <c r="AP240" s="24">
        <f t="shared" si="335"/>
        <v>0.25814077436214822</v>
      </c>
      <c r="AQ240" s="24">
        <f t="shared" si="335"/>
        <v>0.10692872741711379</v>
      </c>
      <c r="AR240" s="24">
        <f t="shared" si="335"/>
        <v>0.13660878900852969</v>
      </c>
      <c r="AS240" s="24">
        <f t="shared" si="335"/>
        <v>-6.2214809453378206E-2</v>
      </c>
      <c r="AT240" s="24">
        <f t="shared" ref="AT240:BX240" si="336">IF(AND(ISNUMBER(AT211),ISNUMBER(AO211)),IFERROR(AT211/AO211-1,""),"")</f>
        <v>7.5390985211392092E-2</v>
      </c>
      <c r="AU240" s="24">
        <f t="shared" si="336"/>
        <v>0.14263980085225425</v>
      </c>
      <c r="AV240" s="24">
        <f t="shared" si="336"/>
        <v>0.20202310065284368</v>
      </c>
      <c r="AW240" s="24">
        <f t="shared" si="336"/>
        <v>0.11019976102966056</v>
      </c>
      <c r="AX240" s="24">
        <f t="shared" si="336"/>
        <v>0.37181208053691228</v>
      </c>
      <c r="AY240" s="24">
        <f t="shared" si="336"/>
        <v>7.9115479115479337E-2</v>
      </c>
      <c r="AZ240" s="24">
        <f t="shared" si="336"/>
        <v>-2.3320709587403399E-2</v>
      </c>
      <c r="BA240" s="24">
        <f t="shared" si="336"/>
        <v>0.17487317218740728</v>
      </c>
      <c r="BB240" s="24">
        <f t="shared" si="336"/>
        <v>9.7429638139000962E-2</v>
      </c>
      <c r="BC240" s="24">
        <f t="shared" si="336"/>
        <v>-3.5225048923678615E-2</v>
      </c>
      <c r="BD240" s="24">
        <f t="shared" si="336"/>
        <v>8.9025500910746791E-2</v>
      </c>
      <c r="BE240" s="24">
        <f t="shared" si="336"/>
        <v>8.7959183673469665E-2</v>
      </c>
      <c r="BF240" s="24">
        <f t="shared" si="336"/>
        <v>-5.0800101600201319E-3</v>
      </c>
      <c r="BG240" s="24">
        <f t="shared" si="336"/>
        <v>4.6974157670919281E-2</v>
      </c>
      <c r="BH240" s="24">
        <f t="shared" si="336"/>
        <v>0.64249492900608463</v>
      </c>
      <c r="BI240" s="24">
        <f t="shared" si="336"/>
        <v>0.24628893999581813</v>
      </c>
      <c r="BJ240" s="24">
        <f t="shared" si="336"/>
        <v>0.32282873757268815</v>
      </c>
      <c r="BK240" s="24">
        <f t="shared" si="336"/>
        <v>0.28312484043911113</v>
      </c>
      <c r="BL240" s="24">
        <f t="shared" si="336"/>
        <v>0.32956320689870577</v>
      </c>
      <c r="BM240" s="24">
        <f t="shared" si="336"/>
        <v>-0.10157456004939769</v>
      </c>
      <c r="BN240" s="24">
        <f t="shared" si="336"/>
        <v>-2.0298607616171638E-2</v>
      </c>
      <c r="BO240" s="24">
        <f t="shared" si="336"/>
        <v>-8.394781622234837E-2</v>
      </c>
      <c r="BP240" s="24">
        <f t="shared" si="336"/>
        <v>8.4361321130123512E-2</v>
      </c>
      <c r="BQ240" s="24">
        <f t="shared" si="336"/>
        <v>-2.8998449029468132E-2</v>
      </c>
      <c r="BR240" s="24">
        <f t="shared" si="336"/>
        <v>9.6219931271477765E-2</v>
      </c>
      <c r="BS240" s="24">
        <f t="shared" si="336"/>
        <v>-3.2534246575342429E-2</v>
      </c>
      <c r="BT240" s="24">
        <f t="shared" si="336"/>
        <v>3.2507739938080427E-2</v>
      </c>
      <c r="BU240" s="24">
        <f t="shared" si="336"/>
        <v>-5.5045871559633031E-2</v>
      </c>
      <c r="BV240" s="24">
        <f t="shared" si="336"/>
        <v>-4.840271055178702E-4</v>
      </c>
      <c r="BW240" s="24">
        <f t="shared" si="336"/>
        <v>0.14106583072100309</v>
      </c>
      <c r="BX240" s="24">
        <f t="shared" si="336"/>
        <v>0.12920353982300892</v>
      </c>
      <c r="BY240" s="25">
        <f>IFERROR(BY211/BT211-1,"")</f>
        <v>0.3203223282540959</v>
      </c>
      <c r="BZ240" s="25">
        <f>IFERROR(BZ211/BU211-1,"")</f>
        <v>0.60564637817588518</v>
      </c>
      <c r="CA240" s="25">
        <f>IFERROR(CA211/BV211-1,"")</f>
        <v>0.31213698678259649</v>
      </c>
      <c r="CB240" s="25">
        <f>IFERROR(CB211/CA211-1,"")</f>
        <v>0.32683300375083002</v>
      </c>
      <c r="CC240" s="25">
        <f>IFERROR(CC211/CB211-1,"")</f>
        <v>0.14710001341060797</v>
      </c>
      <c r="CD240" s="25">
        <f>IFERROR(CD211/CC211-1,"")</f>
        <v>0.12218265322429134</v>
      </c>
      <c r="CE240" s="25">
        <f>IFERROR(CE211/CD211-1,"")</f>
        <v>0.11715290063753225</v>
      </c>
      <c r="CF240" s="6"/>
    </row>
    <row r="241" spans="2:89" ht="15" customHeight="1" x14ac:dyDescent="0.25">
      <c r="B241" s="23" t="s">
        <v>413</v>
      </c>
      <c r="D241" s="24">
        <f t="shared" ref="D241:I241" si="337">IF(AND(ISNUMBER(D166),ISNUMBER(C166)),IFERROR(D166/C166-1,""),"")</f>
        <v>0.115979381443299</v>
      </c>
      <c r="E241" s="24">
        <f t="shared" si="337"/>
        <v>-0.25334872979214806</v>
      </c>
      <c r="F241" s="24">
        <f t="shared" si="337"/>
        <v>-0.41973399319517524</v>
      </c>
      <c r="G241" s="24">
        <f t="shared" si="337"/>
        <v>4.6908315565033165E-2</v>
      </c>
      <c r="H241" s="24">
        <f t="shared" si="337"/>
        <v>-0.18024439918533608</v>
      </c>
      <c r="I241" s="24">
        <f t="shared" si="337"/>
        <v>-3.7267080745342462E-2</v>
      </c>
      <c r="N241" s="24">
        <f t="shared" ref="N241:AS241" si="338">IF(AND(ISNUMBER(N166),ISNUMBER(I166)),IFERROR(N166/I166-1,""),"")</f>
        <v>0.40645161290322718</v>
      </c>
      <c r="O241" s="24">
        <f t="shared" si="338"/>
        <v>-0.32627118644067776</v>
      </c>
      <c r="P241" s="24">
        <f t="shared" si="338"/>
        <v>0.3861671469740624</v>
      </c>
      <c r="Q241" s="24">
        <f t="shared" si="338"/>
        <v>6.6176470588236169E-2</v>
      </c>
      <c r="R241" s="24">
        <f t="shared" si="338"/>
        <v>0.88853503184713301</v>
      </c>
      <c r="S241" s="24">
        <f t="shared" si="338"/>
        <v>0.44449541284403726</v>
      </c>
      <c r="T241" s="24">
        <f t="shared" si="338"/>
        <v>-2.6100628930817589</v>
      </c>
      <c r="U241" s="24">
        <f t="shared" si="338"/>
        <v>0.42411642411642281</v>
      </c>
      <c r="V241" s="24">
        <f t="shared" si="338"/>
        <v>0.54741379310344795</v>
      </c>
      <c r="W241" s="24">
        <f t="shared" si="338"/>
        <v>0.15851602023608868</v>
      </c>
      <c r="X241" s="24">
        <f t="shared" si="338"/>
        <v>0.52238805970149094</v>
      </c>
      <c r="Y241" s="24">
        <f t="shared" si="338"/>
        <v>2.2734375000000022</v>
      </c>
      <c r="Z241" s="24">
        <f t="shared" si="338"/>
        <v>0.37007299270073024</v>
      </c>
      <c r="AA241" s="24">
        <f t="shared" si="338"/>
        <v>0.33927576601671383</v>
      </c>
      <c r="AB241" s="24">
        <f t="shared" si="338"/>
        <v>0.13173216885007144</v>
      </c>
      <c r="AC241" s="24">
        <f t="shared" si="338"/>
        <v>0.39194826866917043</v>
      </c>
      <c r="AD241" s="24">
        <f t="shared" si="338"/>
        <v>-7.8758949880666895E-2</v>
      </c>
      <c r="AE241" s="24">
        <f t="shared" si="338"/>
        <v>0.13425679275439584</v>
      </c>
      <c r="AF241" s="24">
        <f t="shared" si="338"/>
        <v>-5.5740432612313096E-2</v>
      </c>
      <c r="AG241" s="24">
        <f t="shared" si="338"/>
        <v>0.17942122186495268</v>
      </c>
      <c r="AH241" s="24">
        <f t="shared" si="338"/>
        <v>4.9602877266596845E-2</v>
      </c>
      <c r="AI241" s="24">
        <f t="shared" si="338"/>
        <v>-0.49352331606217659</v>
      </c>
      <c r="AJ241" s="24">
        <f t="shared" si="338"/>
        <v>0.23979802724283705</v>
      </c>
      <c r="AK241" s="24">
        <f t="shared" si="338"/>
        <v>6.0185022026432167E-2</v>
      </c>
      <c r="AL241" s="24">
        <f t="shared" si="338"/>
        <v>-0.19824972737186486</v>
      </c>
      <c r="AM241" s="24">
        <f t="shared" si="338"/>
        <v>-1.3796402055967882E-2</v>
      </c>
      <c r="AN241" s="24">
        <f t="shared" si="338"/>
        <v>0.77035805626598641</v>
      </c>
      <c r="AO241" s="24">
        <f t="shared" si="338"/>
        <v>8.3079184551795304E-2</v>
      </c>
      <c r="AP241" s="24">
        <f t="shared" si="338"/>
        <v>0.43463862180153034</v>
      </c>
      <c r="AQ241" s="24">
        <f t="shared" si="338"/>
        <v>0.25522133282553905</v>
      </c>
      <c r="AR241" s="24">
        <f t="shared" si="338"/>
        <v>0.28114463247227239</v>
      </c>
      <c r="AS241" s="24">
        <f t="shared" si="338"/>
        <v>-0.16499328238540234</v>
      </c>
      <c r="AT241" s="24">
        <f t="shared" ref="AT241:BX241" si="339">IF(AND(ISNUMBER(AT166),ISNUMBER(AO166)),IFERROR(AT166/AO166-1,""),"")</f>
        <v>7.1770870499016537E-2</v>
      </c>
      <c r="AU241" s="24">
        <f t="shared" si="339"/>
        <v>0.16027492085743344</v>
      </c>
      <c r="AV241" s="24">
        <f t="shared" si="339"/>
        <v>0.30357752385286685</v>
      </c>
      <c r="AW241" s="24">
        <f t="shared" si="339"/>
        <v>0.13612992607358243</v>
      </c>
      <c r="AX241" s="24">
        <f t="shared" si="339"/>
        <v>0.7179930795847711</v>
      </c>
      <c r="AY241" s="24">
        <f t="shared" si="339"/>
        <v>3.5900783289826155E-3</v>
      </c>
      <c r="AZ241" s="24">
        <f t="shared" si="339"/>
        <v>-0.10908637044433411</v>
      </c>
      <c r="BA241" s="24">
        <f t="shared" si="339"/>
        <v>-0.12718204488777984</v>
      </c>
      <c r="BB241" s="24">
        <f t="shared" si="339"/>
        <v>-3.1430276506862587E-2</v>
      </c>
      <c r="BC241" s="24">
        <f t="shared" si="339"/>
        <v>-0.39677744209466304</v>
      </c>
      <c r="BD241" s="24">
        <f t="shared" si="339"/>
        <v>0.55642276422764159</v>
      </c>
      <c r="BE241" s="24">
        <f t="shared" si="339"/>
        <v>0.13729335948444987</v>
      </c>
      <c r="BF241" s="24">
        <f t="shared" si="339"/>
        <v>0.24904761904761896</v>
      </c>
      <c r="BG241" s="24">
        <f t="shared" si="339"/>
        <v>0.23916615321421242</v>
      </c>
      <c r="BH241" s="24">
        <f t="shared" si="339"/>
        <v>2.2737896494156966</v>
      </c>
      <c r="BI241" s="24">
        <f t="shared" si="339"/>
        <v>-3.1968240702048067E-2</v>
      </c>
      <c r="BJ241" s="24">
        <f t="shared" si="339"/>
        <v>0.39591032273959126</v>
      </c>
      <c r="BK241" s="24">
        <f t="shared" si="339"/>
        <v>0.41136103698055626</v>
      </c>
      <c r="BL241" s="24">
        <f t="shared" si="339"/>
        <v>0.32261539736471323</v>
      </c>
      <c r="BM241" s="24">
        <f t="shared" si="339"/>
        <v>6.2463029066802678</v>
      </c>
      <c r="BN241" s="24">
        <f t="shared" si="339"/>
        <v>-0.14094539175480225</v>
      </c>
      <c r="BO241" s="24">
        <f t="shared" si="339"/>
        <v>-0.13695728909283444</v>
      </c>
      <c r="BP241" s="24">
        <f t="shared" si="339"/>
        <v>7.7795786061588323E-2</v>
      </c>
      <c r="BQ241" s="24">
        <f t="shared" si="339"/>
        <v>0.69611528822055191</v>
      </c>
      <c r="BR241" s="24">
        <f t="shared" si="339"/>
        <v>-0.87403237156931735</v>
      </c>
      <c r="BS241" s="24">
        <f t="shared" si="339"/>
        <v>3.7688442211055273E-2</v>
      </c>
      <c r="BT241" s="24">
        <f t="shared" si="339"/>
        <v>3.2719836400818103E-2</v>
      </c>
      <c r="BU241" s="24">
        <f t="shared" si="339"/>
        <v>-0.14536340852130325</v>
      </c>
      <c r="BV241" s="24">
        <f t="shared" si="339"/>
        <v>-0.46915404506834135</v>
      </c>
      <c r="BW241" s="24">
        <f t="shared" si="339"/>
        <v>-9.4972067039106101E-2</v>
      </c>
      <c r="BX241" s="24">
        <f t="shared" si="339"/>
        <v>-9.9273607748184056E-2</v>
      </c>
      <c r="BY241" s="25">
        <f>IFERROR(BY166/BT166-1,"")</f>
        <v>2.2962294038683995E-2</v>
      </c>
      <c r="BZ241" s="25">
        <f>IFERROR(BZ166/BU166-1,"")</f>
        <v>0.28068751199747632</v>
      </c>
      <c r="CA241" s="25">
        <f>IFERROR(CA166/BV166-1,"")</f>
        <v>3.5010716827191368E-2</v>
      </c>
      <c r="CB241" s="25">
        <f>IFERROR(CB166/CA166-1,"")</f>
        <v>0.49567765376069839</v>
      </c>
      <c r="CC241" s="25">
        <f>IFERROR(CC166/CB166-1,"")</f>
        <v>0.20815572612399658</v>
      </c>
      <c r="CD241" s="25">
        <f>IFERROR(CD166/CC166-1,"")</f>
        <v>0.15247663452098248</v>
      </c>
      <c r="CE241" s="25">
        <f>IFERROR(CE166/CD166-1,"")</f>
        <v>0.14099038648215845</v>
      </c>
      <c r="CF241" s="6"/>
    </row>
    <row r="242" spans="2:89" ht="15" customHeight="1" x14ac:dyDescent="0.25">
      <c r="B242" s="23" t="s">
        <v>414</v>
      </c>
      <c r="D242" s="24">
        <f t="shared" ref="D242:I242" si="340">IF(AND(ISNUMBER(D178),ISNUMBER(C178)),IFERROR(D178/C178-1,""),"")</f>
        <v>7.0497147514262171E-2</v>
      </c>
      <c r="E242" s="24">
        <f t="shared" si="340"/>
        <v>-0.32889227255424469</v>
      </c>
      <c r="F242" s="24">
        <f t="shared" si="340"/>
        <v>-0.51503119682359699</v>
      </c>
      <c r="G242" s="24">
        <f t="shared" si="340"/>
        <v>0.1345029239766109</v>
      </c>
      <c r="H242" s="24">
        <f t="shared" si="340"/>
        <v>-0.15051546391752568</v>
      </c>
      <c r="I242" s="24">
        <f t="shared" si="340"/>
        <v>2.548543689320204E-2</v>
      </c>
      <c r="N242" s="24">
        <f t="shared" ref="N242:AS242" si="341">IF(AND(ISNUMBER(N178),ISNUMBER(I178)),IFERROR(N178/I178-1,""),"")</f>
        <v>0.43550295857988441</v>
      </c>
      <c r="O242" s="24">
        <f t="shared" si="341"/>
        <v>-0.22302158273381278</v>
      </c>
      <c r="P242" s="24">
        <f t="shared" si="341"/>
        <v>0.44067796610169285</v>
      </c>
      <c r="Q242" s="24">
        <f t="shared" si="341"/>
        <v>-0.25208913649024955</v>
      </c>
      <c r="R242" s="24">
        <f t="shared" si="341"/>
        <v>0.77777777777777635</v>
      </c>
      <c r="S242" s="24">
        <f t="shared" si="341"/>
        <v>0.28276999175597806</v>
      </c>
      <c r="T242" s="24">
        <f t="shared" si="341"/>
        <v>-1.2824074074074052</v>
      </c>
      <c r="U242" s="24">
        <f t="shared" si="341"/>
        <v>0.37647058823529234</v>
      </c>
      <c r="V242" s="24">
        <f t="shared" si="341"/>
        <v>1.1880819366852875</v>
      </c>
      <c r="W242" s="24">
        <f t="shared" si="341"/>
        <v>0.30000000000000204</v>
      </c>
      <c r="X242" s="24">
        <f t="shared" si="341"/>
        <v>0.85604113110539481</v>
      </c>
      <c r="Y242" s="24">
        <f t="shared" si="341"/>
        <v>6.3770491803279112</v>
      </c>
      <c r="Z242" s="24">
        <f t="shared" si="341"/>
        <v>0.4908424908424911</v>
      </c>
      <c r="AA242" s="24">
        <f t="shared" si="341"/>
        <v>0.35744680851063926</v>
      </c>
      <c r="AB242" s="24">
        <f t="shared" si="341"/>
        <v>0.18870192307692069</v>
      </c>
      <c r="AC242" s="24">
        <f t="shared" si="341"/>
        <v>0.47299168975069339</v>
      </c>
      <c r="AD242" s="24">
        <f t="shared" si="341"/>
        <v>-5.9999999999997389E-2</v>
      </c>
      <c r="AE242" s="24">
        <f t="shared" si="341"/>
        <v>0.16543816543816647</v>
      </c>
      <c r="AF242" s="24">
        <f t="shared" si="341"/>
        <v>-5.0156739811912598E-2</v>
      </c>
      <c r="AG242" s="24">
        <f t="shared" si="341"/>
        <v>2.8139534883720976</v>
      </c>
      <c r="AH242" s="24">
        <f t="shared" si="341"/>
        <v>0.67677480018805891</v>
      </c>
      <c r="AI242" s="24">
        <f t="shared" si="341"/>
        <v>-0.76359338061465776</v>
      </c>
      <c r="AJ242" s="24">
        <f t="shared" si="341"/>
        <v>0.30271960646521445</v>
      </c>
      <c r="AK242" s="24">
        <f t="shared" si="341"/>
        <v>0.18957755775577589</v>
      </c>
      <c r="AL242" s="24">
        <f t="shared" si="341"/>
        <v>-0.74979321314952274</v>
      </c>
      <c r="AM242" s="24">
        <f t="shared" si="341"/>
        <v>-0.34109350904247826</v>
      </c>
      <c r="AN242" s="24">
        <f t="shared" si="341"/>
        <v>3.282600000000012</v>
      </c>
      <c r="AO242" s="24">
        <f t="shared" si="341"/>
        <v>2.2073935817280566E-2</v>
      </c>
      <c r="AP242" s="24">
        <f t="shared" si="341"/>
        <v>0.37953956531147859</v>
      </c>
      <c r="AQ242" s="24">
        <f t="shared" si="341"/>
        <v>0.38818368687617988</v>
      </c>
      <c r="AR242" s="24">
        <f t="shared" si="341"/>
        <v>0.30195234873339838</v>
      </c>
      <c r="AS242" s="24">
        <f t="shared" si="341"/>
        <v>-0.39522719843085807</v>
      </c>
      <c r="AT242" s="24">
        <f t="shared" ref="AT242:BX242" si="342">IF(AND(ISNUMBER(AT178),ISNUMBER(AO178)),IFERROR(AT178/AO178-1,""),"")</f>
        <v>0.14847283724514226</v>
      </c>
      <c r="AU242" s="24">
        <f t="shared" si="342"/>
        <v>0.18412690751421845</v>
      </c>
      <c r="AV242" s="24">
        <f t="shared" si="342"/>
        <v>0.3967972888393585</v>
      </c>
      <c r="AW242" s="24">
        <f t="shared" si="342"/>
        <v>0.17826822352777683</v>
      </c>
      <c r="AX242" s="24">
        <f t="shared" si="342"/>
        <v>1.5212355212355093</v>
      </c>
      <c r="AY242" s="24">
        <f t="shared" si="342"/>
        <v>3.7683823529412575E-2</v>
      </c>
      <c r="AZ242" s="24">
        <f t="shared" si="342"/>
        <v>-0.13519021739130521</v>
      </c>
      <c r="BA242" s="24">
        <f t="shared" si="342"/>
        <v>-0.1431693989071029</v>
      </c>
      <c r="BB242" s="24">
        <f t="shared" si="342"/>
        <v>-2.5658807212204482E-2</v>
      </c>
      <c r="BC242" s="24">
        <f t="shared" si="342"/>
        <v>-0.67228177641653986</v>
      </c>
      <c r="BD242" s="24">
        <f t="shared" si="342"/>
        <v>0.6231178033658098</v>
      </c>
      <c r="BE242" s="24">
        <f t="shared" si="342"/>
        <v>0.15985860172820177</v>
      </c>
      <c r="BF242" s="24">
        <f t="shared" si="342"/>
        <v>0.17091836734693899</v>
      </c>
      <c r="BG242" s="24">
        <f t="shared" si="342"/>
        <v>0.23387900355871882</v>
      </c>
      <c r="BH242" s="24">
        <f t="shared" si="342"/>
        <v>4.672897196261701</v>
      </c>
      <c r="BI242" s="24">
        <f t="shared" si="342"/>
        <v>-4.9658935879945965E-2</v>
      </c>
      <c r="BJ242" s="24">
        <f t="shared" si="342"/>
        <v>0.41110734845919406</v>
      </c>
      <c r="BK242" s="24">
        <f t="shared" si="342"/>
        <v>0.53867102396514066</v>
      </c>
      <c r="BL242" s="24">
        <f t="shared" si="342"/>
        <v>0.34852330410705945</v>
      </c>
      <c r="BM242" s="24">
        <f t="shared" si="342"/>
        <v>7.6079077429983588</v>
      </c>
      <c r="BN242" s="24">
        <f t="shared" si="342"/>
        <v>-0.15590008613264383</v>
      </c>
      <c r="BO242" s="24">
        <f t="shared" si="342"/>
        <v>-0.12886969042476615</v>
      </c>
      <c r="BP242" s="24">
        <f t="shared" si="342"/>
        <v>4.0707964601770064E-2</v>
      </c>
      <c r="BQ242" s="24">
        <f t="shared" si="342"/>
        <v>0.70673282573359653</v>
      </c>
      <c r="BR242" s="24">
        <f t="shared" si="342"/>
        <v>-0.88899521531100478</v>
      </c>
      <c r="BS242" s="24">
        <f t="shared" si="342"/>
        <v>0.11564625850340127</v>
      </c>
      <c r="BT242" s="24">
        <f t="shared" si="342"/>
        <v>0.14049586776859502</v>
      </c>
      <c r="BU242" s="24">
        <f t="shared" si="342"/>
        <v>-5.1020408163265252E-2</v>
      </c>
      <c r="BV242" s="24">
        <f t="shared" si="342"/>
        <v>-0.43007518796992483</v>
      </c>
      <c r="BW242" s="24">
        <f t="shared" si="342"/>
        <v>12.043103448275861</v>
      </c>
      <c r="BX242" s="24">
        <f t="shared" si="342"/>
        <v>-0.2347560975609756</v>
      </c>
      <c r="BY242" s="25">
        <f>IFERROR(BY178/BT178-1,"")</f>
        <v>-0.19564680308143501</v>
      </c>
      <c r="BZ242" s="25">
        <f>IFERROR(BZ178/BU178-1,"")</f>
        <v>-0.18188444508073498</v>
      </c>
      <c r="CA242" s="25">
        <f>IFERROR(CA178/BV178-1,"")</f>
        <v>1.0450804426972384</v>
      </c>
      <c r="CB242" s="25">
        <f>IFERROR(CB178/CA178-1,"")</f>
        <v>-0.44487020753177331</v>
      </c>
      <c r="CC242" s="25">
        <f>IFERROR(CC178/CB178-1,"")</f>
        <v>0.31321502850065652</v>
      </c>
      <c r="CD242" s="25">
        <f>IFERROR(CD178/CC178-1,"")</f>
        <v>0.20602749411869237</v>
      </c>
      <c r="CE242" s="25">
        <f>IFERROR(CE178/CD178-1,"")</f>
        <v>0.15871720711756709</v>
      </c>
      <c r="CF242" s="6"/>
    </row>
    <row r="243" spans="2:89" ht="15" customHeight="1" x14ac:dyDescent="0.25">
      <c r="B243" s="23" t="s">
        <v>415</v>
      </c>
      <c r="D243" s="24">
        <f t="shared" ref="D243:I243" si="343">IF(AND(ISNUMBER(D231),ISNUMBER(C231)),IFERROR(D231/C231-1,""),"")</f>
        <v>0.15165113425962717</v>
      </c>
      <c r="E243" s="24">
        <f t="shared" si="343"/>
        <v>-0.31591285238215538</v>
      </c>
      <c r="F243" s="24">
        <f t="shared" si="343"/>
        <v>-0.5358906828543768</v>
      </c>
      <c r="G243" s="24">
        <f t="shared" si="343"/>
        <v>9.8858651544572851E-2</v>
      </c>
      <c r="H243" s="24">
        <f t="shared" si="343"/>
        <v>-4.1621900826446123E-2</v>
      </c>
      <c r="I243" s="24">
        <f t="shared" si="343"/>
        <v>0.12807881773398844</v>
      </c>
      <c r="N243" s="24">
        <f t="shared" ref="N243:AS243" si="344">IF(AND(ISNUMBER(N231),ISNUMBER(I231)),IFERROR(N231/I231-1,""),"")</f>
        <v>0.15159346204268909</v>
      </c>
      <c r="O243" s="24">
        <f t="shared" si="344"/>
        <v>-0.41877256317689526</v>
      </c>
      <c r="P243" s="24">
        <f t="shared" si="344"/>
        <v>0.51321951219511952</v>
      </c>
      <c r="Q243" s="24">
        <f t="shared" si="344"/>
        <v>-6.8862690707349739E-2</v>
      </c>
      <c r="R243" s="24">
        <f t="shared" si="344"/>
        <v>0.26545454545454472</v>
      </c>
      <c r="S243" s="24">
        <f t="shared" si="344"/>
        <v>0.41819819819819903</v>
      </c>
      <c r="T243" s="24">
        <f t="shared" si="344"/>
        <v>-1.2574382781177444</v>
      </c>
      <c r="U243" s="24">
        <f t="shared" si="344"/>
        <v>-9.5866819747417842E-2</v>
      </c>
      <c r="V243" s="24">
        <f t="shared" si="344"/>
        <v>0.40689655172413786</v>
      </c>
      <c r="W243" s="24">
        <f t="shared" si="344"/>
        <v>0.16162149560714645</v>
      </c>
      <c r="X243" s="24">
        <f t="shared" si="344"/>
        <v>0.20320701501756888</v>
      </c>
      <c r="Y243" s="24">
        <f t="shared" si="344"/>
        <v>6.7550656755931611</v>
      </c>
      <c r="Z243" s="24">
        <f t="shared" si="344"/>
        <v>0.57963875205254523</v>
      </c>
      <c r="AA243" s="24">
        <f t="shared" si="344"/>
        <v>0.22741404254009345</v>
      </c>
      <c r="AB243" s="24">
        <f t="shared" si="344"/>
        <v>0.35432448977874453</v>
      </c>
      <c r="AC243" s="24">
        <f t="shared" si="344"/>
        <v>0.47939678273401465</v>
      </c>
      <c r="AD243" s="24">
        <f t="shared" si="344"/>
        <v>-4.3665086887832882E-2</v>
      </c>
      <c r="AE243" s="24">
        <f t="shared" si="344"/>
        <v>0.17836695649690992</v>
      </c>
      <c r="AF243" s="24">
        <f t="shared" si="344"/>
        <v>-4.2642157057259822E-2</v>
      </c>
      <c r="AG243" s="24">
        <f t="shared" si="344"/>
        <v>0.2070778564206277</v>
      </c>
      <c r="AH243" s="24">
        <f t="shared" si="344"/>
        <v>7.8519040902680359E-2</v>
      </c>
      <c r="AI243" s="24">
        <f t="shared" si="344"/>
        <v>-0.76321931950803545</v>
      </c>
      <c r="AJ243" s="24">
        <f t="shared" si="344"/>
        <v>0.44114454273223958</v>
      </c>
      <c r="AK243" s="24">
        <f t="shared" si="344"/>
        <v>0.27749443888616065</v>
      </c>
      <c r="AL243" s="24">
        <f t="shared" si="344"/>
        <v>-0.11606814174486546</v>
      </c>
      <c r="AM243" s="24">
        <f t="shared" si="344"/>
        <v>0.1285620882724976</v>
      </c>
      <c r="AN243" s="24">
        <f t="shared" si="344"/>
        <v>3.311456743711882</v>
      </c>
      <c r="AO243" s="24">
        <f t="shared" si="344"/>
        <v>-7.0500777291026551E-2</v>
      </c>
      <c r="AP243" s="24">
        <f t="shared" si="344"/>
        <v>0.29527780537173598</v>
      </c>
      <c r="AQ243" s="24">
        <f t="shared" si="344"/>
        <v>0.25806235059214289</v>
      </c>
      <c r="AR243" s="24">
        <f t="shared" si="344"/>
        <v>0.20421601132429879</v>
      </c>
      <c r="AS243" s="24">
        <f t="shared" si="344"/>
        <v>-0.39254684537430373</v>
      </c>
      <c r="AT243" s="24">
        <f t="shared" ref="AT243:BX243" si="345">IF(AND(ISNUMBER(AT231),ISNUMBER(AO231)),IFERROR(AT231/AO231-1,""),"")</f>
        <v>0.1562153507546602</v>
      </c>
      <c r="AU243" s="24">
        <f t="shared" si="345"/>
        <v>0.18942132109108489</v>
      </c>
      <c r="AV243" s="24">
        <f t="shared" si="345"/>
        <v>0.40052953119513734</v>
      </c>
      <c r="AW243" s="24">
        <f t="shared" si="345"/>
        <v>0.18412179963825137</v>
      </c>
      <c r="AX243" s="24">
        <f t="shared" si="345"/>
        <v>1.5212355212355093</v>
      </c>
      <c r="AY243" s="24">
        <f t="shared" si="345"/>
        <v>9.0824764787554191E-2</v>
      </c>
      <c r="AZ243" s="24">
        <f t="shared" si="345"/>
        <v>-9.9184957117010697E-2</v>
      </c>
      <c r="BA243" s="24">
        <f t="shared" si="345"/>
        <v>7.5819672131148597E-2</v>
      </c>
      <c r="BB243" s="24">
        <f t="shared" si="345"/>
        <v>6.2790187266685393E-2</v>
      </c>
      <c r="BC243" s="24">
        <f t="shared" si="345"/>
        <v>-0.60811360585980478</v>
      </c>
      <c r="BD243" s="24">
        <f t="shared" si="345"/>
        <v>3.9366649000777354E-2</v>
      </c>
      <c r="BE243" s="24">
        <f t="shared" si="345"/>
        <v>0.10352918646314069</v>
      </c>
      <c r="BF243" s="24">
        <f t="shared" si="345"/>
        <v>-3.4918338588107112E-2</v>
      </c>
      <c r="BG243" s="24">
        <f t="shared" si="345"/>
        <v>-1.7100699711269485E-2</v>
      </c>
      <c r="BH243" s="24">
        <f t="shared" si="345"/>
        <v>4.2982720324060297</v>
      </c>
      <c r="BI243" s="24">
        <f t="shared" si="345"/>
        <v>0.41477934516803061</v>
      </c>
      <c r="BJ243" s="24">
        <f t="shared" si="345"/>
        <v>0.48885303492347543</v>
      </c>
      <c r="BK243" s="24">
        <f t="shared" si="345"/>
        <v>0.56026140483992859</v>
      </c>
      <c r="BL243" s="24">
        <f t="shared" si="345"/>
        <v>0.61378755209085623</v>
      </c>
      <c r="BM243" s="24">
        <f t="shared" si="345"/>
        <v>-0.18243443726525288</v>
      </c>
      <c r="BN243" s="24">
        <f t="shared" si="345"/>
        <v>-5.8799435765862884E-2</v>
      </c>
      <c r="BO243" s="24">
        <f t="shared" si="345"/>
        <v>-0.14824634917653123</v>
      </c>
      <c r="BP243" s="24">
        <f t="shared" si="345"/>
        <v>1.4012782727300221E-2</v>
      </c>
      <c r="BQ243" s="24">
        <f t="shared" si="345"/>
        <v>-0.11973538017851548</v>
      </c>
      <c r="BR243" s="24">
        <f t="shared" si="345"/>
        <v>-4.1485407046293443E-2</v>
      </c>
      <c r="BS243" s="24">
        <f t="shared" si="345"/>
        <v>-8.2132777198470341E-2</v>
      </c>
      <c r="BT243" s="24">
        <f t="shared" si="345"/>
        <v>3.1718506690864956E-2</v>
      </c>
      <c r="BU243" s="24">
        <f t="shared" si="345"/>
        <v>-0.1246519473704627</v>
      </c>
      <c r="BV243" s="24">
        <f t="shared" si="345"/>
        <v>-1.7681486045924677E-2</v>
      </c>
      <c r="BW243" s="24">
        <f t="shared" si="345"/>
        <v>0.13529395116851295</v>
      </c>
      <c r="BX243" s="24">
        <f t="shared" si="345"/>
        <v>3.3057851239669311E-2</v>
      </c>
      <c r="BY243" s="25">
        <f>IFERROR(BY231/BT231-1,"")</f>
        <v>7.3847041678283265E-3</v>
      </c>
      <c r="BZ243" s="25">
        <f>IFERROR(BZ231/BU231-1,"")</f>
        <v>-0.10439061453269338</v>
      </c>
      <c r="CA243" s="25">
        <f>IFERROR(CA231/BV231-1,"")</f>
        <v>6.1963014000054883E-3</v>
      </c>
      <c r="CB243" s="25">
        <f>IFERROR(CB231/CA231-1,"")</f>
        <v>8.3736603339948035E-2</v>
      </c>
      <c r="CC243" s="25">
        <f>IFERROR(CC231/CB231-1,"")</f>
        <v>0.29706872426674003</v>
      </c>
      <c r="CD243" s="25">
        <f>IFERROR(CD231/CC231-1,"")</f>
        <v>0.22669545169486582</v>
      </c>
      <c r="CE243" s="25">
        <f>IFERROR(CE231/CD231-1,"")</f>
        <v>0.2166397203108581</v>
      </c>
      <c r="CF243" s="6"/>
    </row>
    <row r="244" spans="2:89" ht="15" customHeight="1" x14ac:dyDescent="0.25">
      <c r="B244" s="26" t="s">
        <v>119</v>
      </c>
      <c r="C244" s="38">
        <f t="shared" ref="C244:AH244" si="346">IF(AND(ISNUMBER(C162),ISNUMBER(C158)),IFERROR(C162/C158,""),"")</f>
        <v>0.23681109499637418</v>
      </c>
      <c r="D244" s="38">
        <f t="shared" si="346"/>
        <v>0.25871052512346521</v>
      </c>
      <c r="E244" s="38">
        <f t="shared" si="346"/>
        <v>0.22187632658836842</v>
      </c>
      <c r="F244" s="38">
        <f t="shared" si="346"/>
        <v>0.19834370962058021</v>
      </c>
      <c r="G244" s="38">
        <f t="shared" si="346"/>
        <v>0.18060463290145268</v>
      </c>
      <c r="H244" s="38">
        <f t="shared" si="346"/>
        <v>0.17620631308711127</v>
      </c>
      <c r="I244" s="38">
        <f t="shared" si="346"/>
        <v>0.15994307027875926</v>
      </c>
      <c r="J244" s="38">
        <f t="shared" si="346"/>
        <v>3.2727272727272785E-2</v>
      </c>
      <c r="K244" s="38">
        <f t="shared" si="346"/>
        <v>0.18979918251288441</v>
      </c>
      <c r="L244" s="38">
        <f t="shared" si="346"/>
        <v>0.21509093641966018</v>
      </c>
      <c r="M244" s="38">
        <f t="shared" si="346"/>
        <v>0.1853211009174312</v>
      </c>
      <c r="N244" s="38">
        <f t="shared" si="346"/>
        <v>0.16887033170958016</v>
      </c>
      <c r="O244" s="38">
        <f t="shared" si="346"/>
        <v>6.0181945416375116E-2</v>
      </c>
      <c r="P244" s="38">
        <f t="shared" si="346"/>
        <v>0.20263000597728634</v>
      </c>
      <c r="Q244" s="38">
        <f t="shared" si="346"/>
        <v>0.19487894789279667</v>
      </c>
      <c r="R244" s="38">
        <f t="shared" si="346"/>
        <v>0.19303982249211721</v>
      </c>
      <c r="S244" s="38">
        <f t="shared" si="346"/>
        <v>0.176605814739689</v>
      </c>
      <c r="T244" s="38">
        <f t="shared" si="346"/>
        <v>0.10746311831067393</v>
      </c>
      <c r="U244" s="38">
        <f t="shared" si="346"/>
        <v>0.21727805513349244</v>
      </c>
      <c r="V244" s="38">
        <f t="shared" si="346"/>
        <v>0.24256144890038808</v>
      </c>
      <c r="W244" s="38">
        <f t="shared" si="346"/>
        <v>0.21880179966848221</v>
      </c>
      <c r="X244" s="38">
        <f t="shared" si="346"/>
        <v>0.20392134704486375</v>
      </c>
      <c r="Y244" s="38">
        <f t="shared" si="346"/>
        <v>0.18331643002028386</v>
      </c>
      <c r="Z244" s="38">
        <f t="shared" si="346"/>
        <v>0.25243016473958863</v>
      </c>
      <c r="AA244" s="38">
        <f t="shared" si="346"/>
        <v>0.2650602409638555</v>
      </c>
      <c r="AB244" s="38">
        <f t="shared" si="346"/>
        <v>0.23724704890387849</v>
      </c>
      <c r="AC244" s="38">
        <f t="shared" si="346"/>
        <v>0.23803288991306168</v>
      </c>
      <c r="AD244" s="38">
        <f t="shared" si="346"/>
        <v>0.17430975234032473</v>
      </c>
      <c r="AE244" s="38">
        <f t="shared" si="346"/>
        <v>0.25773389750822756</v>
      </c>
      <c r="AF244" s="38">
        <f t="shared" si="346"/>
        <v>0.26818056449388622</v>
      </c>
      <c r="AG244" s="38">
        <f t="shared" si="346"/>
        <v>0.26697578567748587</v>
      </c>
      <c r="AH244" s="38">
        <f t="shared" si="346"/>
        <v>0.24508271131732906</v>
      </c>
      <c r="AI244" s="38">
        <f t="shared" ref="AI244:BN244" si="347">IF(AND(ISNUMBER(AI162),ISNUMBER(AI158)),IFERROR(AI162/AI158,""),"")</f>
        <v>0.13765586034912716</v>
      </c>
      <c r="AJ244" s="38">
        <f t="shared" si="347"/>
        <v>0.26273803375407417</v>
      </c>
      <c r="AK244" s="38">
        <f t="shared" si="347"/>
        <v>0.25661998622544369</v>
      </c>
      <c r="AL244" s="38">
        <f t="shared" si="347"/>
        <v>0.22277983725046999</v>
      </c>
      <c r="AM244" s="38">
        <f t="shared" si="347"/>
        <v>0.22773719360124783</v>
      </c>
      <c r="AN244" s="38">
        <f t="shared" si="347"/>
        <v>0.15219792215814393</v>
      </c>
      <c r="AO244" s="38">
        <f t="shared" si="347"/>
        <v>0.27891826915561785</v>
      </c>
      <c r="AP244" s="38">
        <f t="shared" si="347"/>
        <v>0.29617756360517833</v>
      </c>
      <c r="AQ244" s="38">
        <f t="shared" si="347"/>
        <v>0.23498904973510359</v>
      </c>
      <c r="AR244" s="38">
        <f t="shared" si="347"/>
        <v>0.24878299625793771</v>
      </c>
      <c r="AS244" s="38">
        <f t="shared" si="347"/>
        <v>0.1486119807973284</v>
      </c>
      <c r="AT244" s="38">
        <f t="shared" si="347"/>
        <v>0.29946481977018724</v>
      </c>
      <c r="AU244" s="38">
        <f t="shared" si="347"/>
        <v>0.30611472680490398</v>
      </c>
      <c r="AV244" s="38">
        <f t="shared" si="347"/>
        <v>0.27585622244828745</v>
      </c>
      <c r="AW244" s="38">
        <f t="shared" si="347"/>
        <v>0.26486817903126914</v>
      </c>
      <c r="AX244" s="38">
        <f t="shared" si="347"/>
        <v>0.17782980456026051</v>
      </c>
      <c r="AY244" s="38">
        <f t="shared" si="347"/>
        <v>0.27948327164525738</v>
      </c>
      <c r="AZ244" s="38">
        <f t="shared" si="347"/>
        <v>0.28376035445964159</v>
      </c>
      <c r="BA244" s="38">
        <f t="shared" si="347"/>
        <v>0.23168938786420745</v>
      </c>
      <c r="BB244" s="38">
        <f t="shared" si="347"/>
        <v>0.24905799778352422</v>
      </c>
      <c r="BC244" s="38">
        <f t="shared" si="347"/>
        <v>0.12682807929801748</v>
      </c>
      <c r="BD244" s="38">
        <f t="shared" si="347"/>
        <v>0.25899981726259369</v>
      </c>
      <c r="BE244" s="38">
        <f t="shared" si="347"/>
        <v>0.26924987580725285</v>
      </c>
      <c r="BF244" s="38">
        <f t="shared" si="347"/>
        <v>0.23989163562478838</v>
      </c>
      <c r="BG244" s="38">
        <f t="shared" si="347"/>
        <v>0.23102894151638617</v>
      </c>
      <c r="BH244" s="38">
        <f t="shared" si="347"/>
        <v>0.22361716269108631</v>
      </c>
      <c r="BI244" s="38">
        <f t="shared" si="347"/>
        <v>0.30777680140597535</v>
      </c>
      <c r="BJ244" s="38">
        <f t="shared" si="347"/>
        <v>0.33900005014793644</v>
      </c>
      <c r="BK244" s="38">
        <f t="shared" si="347"/>
        <v>0.30064668573560499</v>
      </c>
      <c r="BL244" s="38">
        <f t="shared" si="347"/>
        <v>0.29844183438588201</v>
      </c>
      <c r="BM244" s="38">
        <f t="shared" si="347"/>
        <v>0.21742605915267785</v>
      </c>
      <c r="BN244" s="38">
        <f t="shared" si="347"/>
        <v>0.29308390022675734</v>
      </c>
      <c r="BO244" s="38">
        <f t="shared" ref="BO244:BX244" si="348">IF(AND(ISNUMBER(BO162),ISNUMBER(BO158)),IFERROR(BO162/BO158,""),"")</f>
        <v>0.31709899417681314</v>
      </c>
      <c r="BP244" s="38">
        <f t="shared" si="348"/>
        <v>0.29963235294117646</v>
      </c>
      <c r="BQ244" s="38">
        <f t="shared" si="348"/>
        <v>0.28733170134638925</v>
      </c>
      <c r="BR244" s="38">
        <f t="shared" si="348"/>
        <v>0.27108433734939757</v>
      </c>
      <c r="BS244" s="38">
        <f t="shared" si="348"/>
        <v>0.30826600372902424</v>
      </c>
      <c r="BT244" s="38">
        <f t="shared" si="348"/>
        <v>0.33098591549295775</v>
      </c>
      <c r="BU244" s="38">
        <f t="shared" si="348"/>
        <v>0.30508474576271188</v>
      </c>
      <c r="BV244" s="38">
        <f t="shared" si="348"/>
        <v>0.30715447154471542</v>
      </c>
      <c r="BW244" s="38">
        <f t="shared" si="348"/>
        <v>0.22760646108663729</v>
      </c>
      <c r="BX244" s="38">
        <f t="shared" si="348"/>
        <v>0.25423728813559321</v>
      </c>
      <c r="BY244" s="25">
        <f t="shared" ref="BY244:CE244" si="349">IFERROR(BY162/BY158,"")</f>
        <v>0.29909075319938055</v>
      </c>
      <c r="BZ244" s="25">
        <f t="shared" si="349"/>
        <v>0.26915040818248775</v>
      </c>
      <c r="CA244" s="25">
        <f t="shared" si="349"/>
        <v>0.26737391654314174</v>
      </c>
      <c r="CB244" s="25">
        <f t="shared" si="349"/>
        <v>0.30065115946804571</v>
      </c>
      <c r="CC244" s="25">
        <f t="shared" si="349"/>
        <v>0.32598203488460442</v>
      </c>
      <c r="CD244" s="25">
        <f t="shared" si="349"/>
        <v>0.34193169460434103</v>
      </c>
      <c r="CE244" s="25">
        <f t="shared" si="349"/>
        <v>0.35543669231758024</v>
      </c>
      <c r="CF244" s="6"/>
      <c r="CH244" s="39">
        <f>IFERROR(AVERAGE(CA244,CB244,CC244,CD244,CE244),"n/m")</f>
        <v>0.31827509956354261</v>
      </c>
      <c r="CI244" s="39">
        <f>IFERROR(AVERAGE(BB244,BG244,BL244,BQ244,BV244),"n/m")</f>
        <v>0.27460298931537941</v>
      </c>
      <c r="CJ244" s="39">
        <f>IFERROR(AVERAGE(AC244,AH244,AM244,AR244,AW244,BB244,BG244,BL244,BQ244,BV244),"n/m")</f>
        <v>0.25975189166977425</v>
      </c>
      <c r="CK244" s="39">
        <f>IFERROR(AVERAGE(C244,D244,E244,F244,G244,H244,I244,N244,S244,X244,AC244,AH244,AM244,AR244,AW244,BB244,BG244,BL244,BQ244,BV244),"n/m")</f>
        <v>0.22897060413939929</v>
      </c>
    </row>
    <row r="245" spans="2:89" ht="15" customHeight="1" x14ac:dyDescent="0.25">
      <c r="B245" s="26" t="s">
        <v>370</v>
      </c>
      <c r="C245" s="38">
        <f t="shared" ref="C245:AH245" si="350">IF(AND(ISNUMBER(C211),ISNUMBER(C158)),IFERROR(C211/C158,""),"")</f>
        <v>0.24247643219724438</v>
      </c>
      <c r="D245" s="38">
        <f t="shared" si="350"/>
        <v>0.26759095645870146</v>
      </c>
      <c r="E245" s="38">
        <f t="shared" si="350"/>
        <v>0.2347530776850148</v>
      </c>
      <c r="F245" s="38">
        <f t="shared" si="350"/>
        <v>0.21384940678961592</v>
      </c>
      <c r="G245" s="38">
        <f t="shared" si="350"/>
        <v>0.21016321723035505</v>
      </c>
      <c r="H245" s="38">
        <f t="shared" si="350"/>
        <v>0.19598576346344593</v>
      </c>
      <c r="I245" s="38">
        <f t="shared" si="350"/>
        <v>0.16190616411464467</v>
      </c>
      <c r="J245" s="38">
        <f t="shared" si="350"/>
        <v>5.1688311688311686E-2</v>
      </c>
      <c r="K245" s="38">
        <f t="shared" si="350"/>
        <v>0.19992891416385283</v>
      </c>
      <c r="L245" s="38">
        <f t="shared" si="350"/>
        <v>0.2278671276116038</v>
      </c>
      <c r="M245" s="38">
        <f t="shared" si="350"/>
        <v>0.19504587155963302</v>
      </c>
      <c r="N245" s="38">
        <f t="shared" si="350"/>
        <v>0.18102528415680819</v>
      </c>
      <c r="O245" s="38">
        <f t="shared" si="350"/>
        <v>5.6449731747142545E-2</v>
      </c>
      <c r="P245" s="38">
        <f t="shared" si="350"/>
        <v>0.20860729228930067</v>
      </c>
      <c r="Q245" s="38">
        <f t="shared" si="350"/>
        <v>0.18411876058583243</v>
      </c>
      <c r="R245" s="38">
        <f t="shared" si="350"/>
        <v>0.21989956790844334</v>
      </c>
      <c r="S245" s="38">
        <f t="shared" si="350"/>
        <v>0.18154158215010149</v>
      </c>
      <c r="T245" s="38">
        <f t="shared" si="350"/>
        <v>0.13190627711888922</v>
      </c>
      <c r="U245" s="38">
        <f t="shared" si="350"/>
        <v>0.22529845886694153</v>
      </c>
      <c r="V245" s="38">
        <f t="shared" si="350"/>
        <v>0.22997320273516911</v>
      </c>
      <c r="W245" s="38">
        <f t="shared" si="350"/>
        <v>0.22555055647643857</v>
      </c>
      <c r="X245" s="38">
        <f t="shared" si="350"/>
        <v>0.21660639620296074</v>
      </c>
      <c r="Y245" s="38">
        <f t="shared" si="350"/>
        <v>0.19345841784989862</v>
      </c>
      <c r="Z245" s="38">
        <f t="shared" si="350"/>
        <v>0.27269006446331728</v>
      </c>
      <c r="AA245" s="38">
        <f t="shared" si="350"/>
        <v>0.29241779146661845</v>
      </c>
      <c r="AB245" s="38">
        <f t="shared" si="350"/>
        <v>0.24209527824620578</v>
      </c>
      <c r="AC245" s="38">
        <f t="shared" si="350"/>
        <v>0.25442547397088083</v>
      </c>
      <c r="AD245" s="38">
        <f t="shared" si="350"/>
        <v>0.17502073705415336</v>
      </c>
      <c r="AE245" s="38">
        <f t="shared" si="350"/>
        <v>0.2748472026328162</v>
      </c>
      <c r="AF245" s="38">
        <f t="shared" si="350"/>
        <v>0.27765008734025926</v>
      </c>
      <c r="AG245" s="38">
        <f t="shared" si="350"/>
        <v>0.27037609479649655</v>
      </c>
      <c r="AH245" s="38">
        <f t="shared" si="350"/>
        <v>0.25327819245511402</v>
      </c>
      <c r="AI245" s="38">
        <f t="shared" ref="AI245:BN245" si="351">IF(AND(ISNUMBER(AI211),ISNUMBER(AI158)),IFERROR(AI211/AI158,""),"")</f>
        <v>0.15374064837905238</v>
      </c>
      <c r="AJ245" s="38">
        <f t="shared" si="351"/>
        <v>0.3151680426612376</v>
      </c>
      <c r="AK245" s="38">
        <f t="shared" si="351"/>
        <v>0.28613689285362898</v>
      </c>
      <c r="AL245" s="38">
        <f t="shared" si="351"/>
        <v>0.24685900464410548</v>
      </c>
      <c r="AM245" s="38">
        <f t="shared" si="351"/>
        <v>0.26006034024736913</v>
      </c>
      <c r="AN245" s="38">
        <f t="shared" si="351"/>
        <v>0.16921471210015387</v>
      </c>
      <c r="AO245" s="38">
        <f t="shared" si="351"/>
        <v>0.29580028574376221</v>
      </c>
      <c r="AP245" s="38">
        <f t="shared" si="351"/>
        <v>0.30915137236788554</v>
      </c>
      <c r="AQ245" s="38">
        <f t="shared" si="351"/>
        <v>0.25333733177030804</v>
      </c>
      <c r="AR245" s="38">
        <f t="shared" si="351"/>
        <v>0.26472316039887761</v>
      </c>
      <c r="AS245" s="38">
        <f t="shared" si="351"/>
        <v>0.15549989563765393</v>
      </c>
      <c r="AT245" s="38">
        <f t="shared" si="351"/>
        <v>0.32032110813788761</v>
      </c>
      <c r="AU245" s="38">
        <f t="shared" si="351"/>
        <v>0.37967307401241118</v>
      </c>
      <c r="AV245" s="38">
        <f t="shared" si="351"/>
        <v>0.28407934893184122</v>
      </c>
      <c r="AW245" s="38">
        <f t="shared" si="351"/>
        <v>0.29446711346962934</v>
      </c>
      <c r="AX245" s="38">
        <f t="shared" si="351"/>
        <v>0.20806188925081426</v>
      </c>
      <c r="AY245" s="38">
        <f t="shared" si="351"/>
        <v>0.31874591770084915</v>
      </c>
      <c r="AZ245" s="38">
        <f t="shared" si="351"/>
        <v>0.31464714570089253</v>
      </c>
      <c r="BA245" s="38">
        <f t="shared" si="351"/>
        <v>0.26309810211173479</v>
      </c>
      <c r="BB245" s="38">
        <f t="shared" si="351"/>
        <v>0.282323605467307</v>
      </c>
      <c r="BC245" s="38">
        <f t="shared" si="351"/>
        <v>0.16022099447513813</v>
      </c>
      <c r="BD245" s="38">
        <f t="shared" si="351"/>
        <v>0.29134433818602673</v>
      </c>
      <c r="BE245" s="38">
        <f t="shared" si="351"/>
        <v>0.29425401556549097</v>
      </c>
      <c r="BF245" s="38">
        <f t="shared" si="351"/>
        <v>0.26528953606501865</v>
      </c>
      <c r="BG245" s="38">
        <f t="shared" si="351"/>
        <v>0.25975944292044745</v>
      </c>
      <c r="BH245" s="38">
        <f t="shared" si="351"/>
        <v>0.23919946828151536</v>
      </c>
      <c r="BI245" s="38">
        <f t="shared" si="351"/>
        <v>0.32738356766256588</v>
      </c>
      <c r="BJ245" s="38">
        <f t="shared" si="351"/>
        <v>0.35364324758036209</v>
      </c>
      <c r="BK245" s="38">
        <f t="shared" si="351"/>
        <v>0.31252331799527416</v>
      </c>
      <c r="BL245" s="38">
        <f t="shared" si="351"/>
        <v>0.31394971374608976</v>
      </c>
      <c r="BM245" s="38">
        <f t="shared" si="351"/>
        <v>0.23261390887290168</v>
      </c>
      <c r="BN245" s="38">
        <f t="shared" si="351"/>
        <v>0.33106575963718821</v>
      </c>
      <c r="BO245" s="38">
        <f t="shared" ref="BO245:BX245" si="352">IF(AND(ISNUMBER(BO211),ISNUMBER(BO158)),IFERROR(BO211/BO158,""),"")</f>
        <v>0.34197988353626257</v>
      </c>
      <c r="BP245" s="38">
        <f t="shared" si="352"/>
        <v>0.33394607843137253</v>
      </c>
      <c r="BQ245" s="38">
        <f t="shared" si="352"/>
        <v>0.31609547123623011</v>
      </c>
      <c r="BR245" s="38">
        <f t="shared" si="352"/>
        <v>0.27452667814113596</v>
      </c>
      <c r="BS245" s="38">
        <f t="shared" si="352"/>
        <v>0.35114978247358608</v>
      </c>
      <c r="BT245" s="38">
        <f t="shared" si="352"/>
        <v>0.36132177681473454</v>
      </c>
      <c r="BU245" s="38">
        <f t="shared" si="352"/>
        <v>0.33572359843546284</v>
      </c>
      <c r="BV245" s="38">
        <f t="shared" si="352"/>
        <v>0.33577235772357722</v>
      </c>
      <c r="BW245" s="38">
        <f t="shared" si="352"/>
        <v>0.26725403817914833</v>
      </c>
      <c r="BX245" s="38">
        <f t="shared" si="352"/>
        <v>0.32768361581920902</v>
      </c>
      <c r="BY245" s="25">
        <f t="shared" ref="BY245:CE245" si="353">IFERROR(BY211/BY158,"")</f>
        <v>0.36897196377672337</v>
      </c>
      <c r="BZ245" s="25">
        <f t="shared" si="353"/>
        <v>0.36368725795464957</v>
      </c>
      <c r="CA245" s="25">
        <f t="shared" si="353"/>
        <v>0.33999333943591487</v>
      </c>
      <c r="CB245" s="25">
        <f t="shared" si="353"/>
        <v>0.36622223906748613</v>
      </c>
      <c r="CC245" s="25">
        <f t="shared" si="353"/>
        <v>0.38896355394194865</v>
      </c>
      <c r="CD245" s="25">
        <f t="shared" si="353"/>
        <v>0.40264580169937408</v>
      </c>
      <c r="CE245" s="25">
        <f t="shared" si="353"/>
        <v>0.41407361508060936</v>
      </c>
      <c r="CF245" s="6"/>
      <c r="CH245" s="39">
        <f>IFERROR(AVERAGE(CA245,CB245,CC245,CD245,CE245),"n/m")</f>
        <v>0.38237970984506664</v>
      </c>
      <c r="CI245" s="39">
        <f>IFERROR(AVERAGE(BB245,BG245,BL245,BQ245,BV245),"n/m")</f>
        <v>0.30158011821873026</v>
      </c>
      <c r="CJ245" s="39">
        <f>IFERROR(AVERAGE(AC245,AH245,AM245,AR245,AW245,BB245,BG245,BL245,BQ245,BV245),"n/m")</f>
        <v>0.28348548716355226</v>
      </c>
      <c r="CK245" s="39">
        <f>IFERROR(AVERAGE(C245,D245,E245,F245,G245,H245,I245,N245,S245,X245,AC245,AH245,AM245,AR245,AW245,BB245,BG245,BL245,BQ245,BV245),"n/m")</f>
        <v>0.24703765760422072</v>
      </c>
    </row>
    <row r="246" spans="2:89" ht="15" customHeight="1" x14ac:dyDescent="0.25">
      <c r="B246" s="26" t="s">
        <v>416</v>
      </c>
      <c r="D246" s="38">
        <f t="shared" ref="D246:I246" si="354">IFERROR((D211-C211)/(D158-C158),"")</f>
        <v>79.428571428591937</v>
      </c>
      <c r="E246" s="38">
        <f t="shared" si="354"/>
        <v>1.0678160919540234</v>
      </c>
      <c r="F246" s="38">
        <f t="shared" si="354"/>
        <v>0.31999999999999967</v>
      </c>
      <c r="G246" s="38">
        <f t="shared" si="354"/>
        <v>0.13200498132004979</v>
      </c>
      <c r="H246" s="38">
        <f t="shared" si="354"/>
        <v>0.56231884057971115</v>
      </c>
      <c r="I246" s="38">
        <f t="shared" si="354"/>
        <v>-1.8535681186283605E-2</v>
      </c>
      <c r="N246" s="38">
        <f t="shared" ref="N246:AS246" si="355">IFERROR((N211-I211)/(N158-I158),"")</f>
        <v>0.5114503816793895</v>
      </c>
      <c r="O246" s="38">
        <f t="shared" si="355"/>
        <v>9.8398169336384719E-2</v>
      </c>
      <c r="P246" s="38">
        <f t="shared" si="355"/>
        <v>0.25446009389671381</v>
      </c>
      <c r="Q246" s="38">
        <f t="shared" si="355"/>
        <v>9.8108747044917288E-2</v>
      </c>
      <c r="R246" s="38">
        <f t="shared" si="355"/>
        <v>0.26341150016061687</v>
      </c>
      <c r="S246" s="38">
        <f t="shared" si="355"/>
        <v>0.18292834890965753</v>
      </c>
      <c r="T246" s="38">
        <f t="shared" si="355"/>
        <v>0.25504377617053675</v>
      </c>
      <c r="U246" s="38">
        <f t="shared" si="355"/>
        <v>0.26958762886597903</v>
      </c>
      <c r="V246" s="38">
        <f t="shared" si="355"/>
        <v>0.81626751592356683</v>
      </c>
      <c r="W246" s="38">
        <f t="shared" si="355"/>
        <v>-0.18803418803419059</v>
      </c>
      <c r="X246" s="38">
        <f t="shared" si="355"/>
        <v>0.39494497936726208</v>
      </c>
      <c r="Y246" s="38">
        <f t="shared" si="355"/>
        <v>0.63039014373716673</v>
      </c>
      <c r="Z246" s="38">
        <f t="shared" si="355"/>
        <v>1.0538461538461548</v>
      </c>
      <c r="AA246" s="38">
        <f t="shared" si="355"/>
        <v>3.4065898617511503</v>
      </c>
      <c r="AB246" s="38">
        <f t="shared" si="355"/>
        <v>0.37619961612284081</v>
      </c>
      <c r="AC246" s="38">
        <f t="shared" si="355"/>
        <v>0.73388252148997057</v>
      </c>
      <c r="AD246" s="38">
        <f t="shared" si="355"/>
        <v>-8.8929219600726014E-2</v>
      </c>
      <c r="AE246" s="38">
        <f t="shared" si="355"/>
        <v>0.29930394431554586</v>
      </c>
      <c r="AF246" s="38">
        <f t="shared" si="355"/>
        <v>1.2839506172839548</v>
      </c>
      <c r="AG246" s="38">
        <f t="shared" si="355"/>
        <v>1.5069124423963058</v>
      </c>
      <c r="AH246" s="38">
        <f t="shared" si="355"/>
        <v>0.22343324250681443</v>
      </c>
      <c r="AI246" s="38">
        <f t="shared" si="355"/>
        <v>0.58233890214797179</v>
      </c>
      <c r="AJ246" s="38">
        <f t="shared" si="355"/>
        <v>0.62388141364837357</v>
      </c>
      <c r="AK246" s="38">
        <f t="shared" si="355"/>
        <v>0.35610125814764343</v>
      </c>
      <c r="AL246" s="38">
        <f t="shared" si="355"/>
        <v>-0.21219678989500654</v>
      </c>
      <c r="AM246" s="38">
        <f t="shared" si="355"/>
        <v>0.35657509913336755</v>
      </c>
      <c r="AN246" s="38">
        <f t="shared" si="355"/>
        <v>0.25982987112555195</v>
      </c>
      <c r="AO246" s="38">
        <f t="shared" si="355"/>
        <v>-6.3842211120492456E-3</v>
      </c>
      <c r="AP246" s="38">
        <f t="shared" si="355"/>
        <v>0.44907430485628513</v>
      </c>
      <c r="AQ246" s="38">
        <f t="shared" si="355"/>
        <v>0.33573530145115515</v>
      </c>
      <c r="AR246" s="38">
        <f t="shared" si="355"/>
        <v>0.30471694490868634</v>
      </c>
      <c r="AS246" s="38">
        <f t="shared" si="355"/>
        <v>-0.5136399064692122</v>
      </c>
      <c r="AT246" s="38">
        <f t="shared" ref="AT246:BY246" si="356">IFERROR((AT211-AO211)/(AT158-AO158),"")</f>
        <v>-3.2175236806494616</v>
      </c>
      <c r="AU246" s="38">
        <f t="shared" si="356"/>
        <v>-0.63360176436072402</v>
      </c>
      <c r="AV246" s="38">
        <f t="shared" si="356"/>
        <v>0.71138057344953742</v>
      </c>
      <c r="AW246" s="38">
        <f t="shared" si="356"/>
        <v>-15.030550119590664</v>
      </c>
      <c r="AX246" s="38">
        <f t="shared" si="356"/>
        <v>2.2892561983471107</v>
      </c>
      <c r="AY246" s="38">
        <f t="shared" si="356"/>
        <v>0.30009319664492123</v>
      </c>
      <c r="AZ246" s="38">
        <f t="shared" si="356"/>
        <v>-4.9597286986012207E-2</v>
      </c>
      <c r="BA246" s="38">
        <f t="shared" si="356"/>
        <v>0.18497474747474779</v>
      </c>
      <c r="BB246" s="38">
        <f t="shared" si="356"/>
        <v>0.19836281245432016</v>
      </c>
      <c r="BC246" s="38">
        <f t="shared" si="356"/>
        <v>-2.8985507246376427E-2</v>
      </c>
      <c r="BD246" s="38">
        <f t="shared" si="356"/>
        <v>0.14821834723275221</v>
      </c>
      <c r="BE246" s="38">
        <f t="shared" si="356"/>
        <v>0.16941823899371117</v>
      </c>
      <c r="BF246" s="38">
        <f t="shared" si="356"/>
        <v>0.10050251256281076</v>
      </c>
      <c r="BG246" s="38">
        <f t="shared" si="356"/>
        <v>9.6156421588322216E-2</v>
      </c>
      <c r="BH246" s="38">
        <f t="shared" si="356"/>
        <v>1.0275750202757499</v>
      </c>
      <c r="BI246" s="38">
        <f t="shared" si="356"/>
        <v>0.65773310999441592</v>
      </c>
      <c r="BJ246" s="38">
        <f t="shared" si="356"/>
        <v>0.9435307017543868</v>
      </c>
      <c r="BK246" s="38">
        <f t="shared" si="356"/>
        <v>0.84206529992406853</v>
      </c>
      <c r="BL246" s="38">
        <f t="shared" si="356"/>
        <v>0.85547445255474286</v>
      </c>
      <c r="BM246" s="38">
        <f t="shared" si="356"/>
        <v>0.31910766246362704</v>
      </c>
      <c r="BN246" s="38">
        <f t="shared" si="356"/>
        <v>0.21302816901408309</v>
      </c>
      <c r="BO246" s="38">
        <f t="shared" si="356"/>
        <v>0.56327307326355947</v>
      </c>
      <c r="BP246" s="38">
        <f t="shared" si="356"/>
        <v>1.781512605042024</v>
      </c>
      <c r="BQ246" s="38">
        <f t="shared" si="356"/>
        <v>0.25580431177445856</v>
      </c>
      <c r="BR246" s="38">
        <f t="shared" si="356"/>
        <v>-0.3146067415730337</v>
      </c>
      <c r="BS246" s="38">
        <f t="shared" si="356"/>
        <v>0.12258064516129032</v>
      </c>
      <c r="BT246" s="38">
        <f t="shared" si="356"/>
        <v>-0.48837209302325579</v>
      </c>
      <c r="BU246" s="38">
        <f t="shared" si="356"/>
        <v>0.30612244897959184</v>
      </c>
      <c r="BV246" s="38">
        <f t="shared" si="356"/>
        <v>2.5906735751295338E-3</v>
      </c>
      <c r="BW246" s="38">
        <f t="shared" si="356"/>
        <v>0.22500000000000001</v>
      </c>
      <c r="BX246" s="38">
        <f t="shared" si="356"/>
        <v>0.21597633136094674</v>
      </c>
      <c r="BY246" s="25">
        <f t="shared" si="356"/>
        <v>0.3950865368296364</v>
      </c>
      <c r="BZ246" s="25">
        <f t="shared" ref="BZ246:CA246" si="357">IFERROR((BZ211-BU211)/(BZ158-BU158),"")</f>
        <v>0.42168036711576407</v>
      </c>
      <c r="CA246" s="25">
        <f t="shared" si="357"/>
        <v>0.35426079024282453</v>
      </c>
      <c r="CB246" s="25">
        <f>IFERROR((CB211-CA211)/(CB158-CA158),"")</f>
        <v>0.47937294788116208</v>
      </c>
      <c r="CC246" s="25">
        <f>IFERROR((CC211-CB211)/(CC158-CB158),"")</f>
        <v>0.67311221886383121</v>
      </c>
      <c r="CD246" s="25">
        <f>IFERROR((CD211-CC211)/(CD158-CC158),"")</f>
        <v>0.56543294297283819</v>
      </c>
      <c r="CE246" s="25">
        <f>IFERROR((CE211-CD211)/(CE158-CD158),"")</f>
        <v>0.54646079384098489</v>
      </c>
      <c r="CF246" s="6"/>
    </row>
    <row r="247" spans="2:89" ht="15" customHeight="1" x14ac:dyDescent="0.25">
      <c r="B247" s="26" t="s">
        <v>417</v>
      </c>
      <c r="C247" s="38">
        <f t="shared" ref="C247:AH247" si="358">IF(AND(ISNUMBER(C166),ISNUMBER(C158)),IFERROR(C166/C158,""),"")</f>
        <v>0.17585206671501086</v>
      </c>
      <c r="D247" s="38">
        <f t="shared" si="358"/>
        <v>0.19618503919169952</v>
      </c>
      <c r="E247" s="38">
        <f t="shared" si="358"/>
        <v>0.15249280694306869</v>
      </c>
      <c r="F247" s="38">
        <f t="shared" si="358"/>
        <v>0.11018442382238917</v>
      </c>
      <c r="G247" s="38">
        <f t="shared" si="358"/>
        <v>0.11015760839082393</v>
      </c>
      <c r="H247" s="38">
        <f t="shared" si="358"/>
        <v>9.3937802672267923E-2</v>
      </c>
      <c r="I247" s="38">
        <f t="shared" si="358"/>
        <v>7.6069886140557458E-2</v>
      </c>
      <c r="J247" s="38">
        <f t="shared" si="358"/>
        <v>-6.1298701298701248E-2</v>
      </c>
      <c r="K247" s="38">
        <f t="shared" si="358"/>
        <v>0.12333392571530136</v>
      </c>
      <c r="L247" s="38">
        <f t="shared" si="358"/>
        <v>0.16353524725687649</v>
      </c>
      <c r="M247" s="38">
        <f t="shared" si="358"/>
        <v>0.11522935779816514</v>
      </c>
      <c r="N247" s="38">
        <f t="shared" si="358"/>
        <v>0.10113662723266065</v>
      </c>
      <c r="O247" s="38">
        <f t="shared" si="358"/>
        <v>-3.7088873337998582E-2</v>
      </c>
      <c r="P247" s="38">
        <f t="shared" si="358"/>
        <v>0.14375373580394504</v>
      </c>
      <c r="Q247" s="38">
        <f t="shared" si="358"/>
        <v>0.11557238218591215</v>
      </c>
      <c r="R247" s="38">
        <f t="shared" si="358"/>
        <v>0.1385028611467943</v>
      </c>
      <c r="S247" s="38">
        <f t="shared" si="358"/>
        <v>0.10645706558485468</v>
      </c>
      <c r="T247" s="38">
        <f t="shared" si="358"/>
        <v>3.7026323401793397E-2</v>
      </c>
      <c r="U247" s="38">
        <f t="shared" si="358"/>
        <v>0.14868678098545682</v>
      </c>
      <c r="V247" s="38">
        <f t="shared" si="358"/>
        <v>0.16586582886712253</v>
      </c>
      <c r="W247" s="38">
        <f t="shared" si="358"/>
        <v>0.16268055884442348</v>
      </c>
      <c r="X247" s="38">
        <f t="shared" si="358"/>
        <v>0.13543903265905746</v>
      </c>
      <c r="Y247" s="38">
        <f t="shared" si="358"/>
        <v>0.10623732251521285</v>
      </c>
      <c r="Z247" s="38">
        <f t="shared" si="358"/>
        <v>0.19205975647191234</v>
      </c>
      <c r="AA247" s="38">
        <f t="shared" si="358"/>
        <v>0.21777334903523879</v>
      </c>
      <c r="AB247" s="38">
        <f t="shared" si="358"/>
        <v>0.16389123102866768</v>
      </c>
      <c r="AC247" s="38">
        <f t="shared" si="358"/>
        <v>0.17474075625851052</v>
      </c>
      <c r="AD247" s="38">
        <f t="shared" si="358"/>
        <v>9.1480033179286671E-2</v>
      </c>
      <c r="AE247" s="38">
        <f t="shared" si="358"/>
        <v>0.2001880582980724</v>
      </c>
      <c r="AF247" s="38">
        <f t="shared" si="358"/>
        <v>0.20869725108026113</v>
      </c>
      <c r="AG247" s="38">
        <f t="shared" si="358"/>
        <v>0.18897475528078311</v>
      </c>
      <c r="AH247" s="38">
        <f t="shared" si="358"/>
        <v>0.17661892273552554</v>
      </c>
      <c r="AI247" s="38">
        <f t="shared" ref="AI247:BN247" si="359">IF(AND(ISNUMBER(AI166),ISNUMBER(AI158)),IFERROR(AI166/AI158,""),"")</f>
        <v>4.875311720698252E-2</v>
      </c>
      <c r="AJ247" s="38">
        <f t="shared" si="359"/>
        <v>0.21952124204613596</v>
      </c>
      <c r="AK247" s="38">
        <f t="shared" si="359"/>
        <v>0.19732216063756527</v>
      </c>
      <c r="AL247" s="38">
        <f t="shared" si="359"/>
        <v>0.14412703951508404</v>
      </c>
      <c r="AM247" s="38">
        <f t="shared" si="359"/>
        <v>0.16274596426000737</v>
      </c>
      <c r="AN247" s="38">
        <f t="shared" si="359"/>
        <v>7.3721317848033222E-2</v>
      </c>
      <c r="AO247" s="38">
        <f t="shared" si="359"/>
        <v>0.22343817899314405</v>
      </c>
      <c r="AP247" s="38">
        <f t="shared" si="359"/>
        <v>0.24310084309337965</v>
      </c>
      <c r="AQ247" s="38">
        <f t="shared" si="359"/>
        <v>0.16772443499359346</v>
      </c>
      <c r="AR247" s="38">
        <f t="shared" si="359"/>
        <v>0.18673047065074413</v>
      </c>
      <c r="AS247" s="38">
        <f t="shared" si="359"/>
        <v>6.0321436025881955E-2</v>
      </c>
      <c r="AT247" s="38">
        <f t="shared" si="359"/>
        <v>0.2411459153155989</v>
      </c>
      <c r="AU247" s="38">
        <f t="shared" si="359"/>
        <v>0.30316331163917065</v>
      </c>
      <c r="AV247" s="38">
        <f t="shared" si="359"/>
        <v>0.20396744659206503</v>
      </c>
      <c r="AW247" s="38">
        <f t="shared" si="359"/>
        <v>0.21256263345948115</v>
      </c>
      <c r="AX247" s="38">
        <f t="shared" si="359"/>
        <v>0.10107899022801296</v>
      </c>
      <c r="AY247" s="38">
        <f t="shared" si="359"/>
        <v>0.22316568691487057</v>
      </c>
      <c r="AZ247" s="38">
        <f t="shared" si="359"/>
        <v>0.2291787067360174</v>
      </c>
      <c r="BA247" s="38">
        <f t="shared" si="359"/>
        <v>0.14033680834001608</v>
      </c>
      <c r="BB247" s="38">
        <f t="shared" si="359"/>
        <v>0.17986701145179165</v>
      </c>
      <c r="BC247" s="38">
        <f t="shared" si="359"/>
        <v>4.8667533311667142E-2</v>
      </c>
      <c r="BD247" s="38">
        <f t="shared" si="359"/>
        <v>0.29152707559237379</v>
      </c>
      <c r="BE247" s="38">
        <f t="shared" si="359"/>
        <v>0.22404371584699451</v>
      </c>
      <c r="BF247" s="38">
        <f t="shared" si="359"/>
        <v>0.17764984761259742</v>
      </c>
      <c r="BG247" s="38">
        <f t="shared" si="359"/>
        <v>0.19587059912022986</v>
      </c>
      <c r="BH247" s="38">
        <f t="shared" si="359"/>
        <v>0.14481943726460375</v>
      </c>
      <c r="BI247" s="38">
        <f t="shared" si="359"/>
        <v>0.25444859402460451</v>
      </c>
      <c r="BJ247" s="38">
        <f t="shared" si="359"/>
        <v>0.28413820771275267</v>
      </c>
      <c r="BK247" s="38">
        <f t="shared" si="359"/>
        <v>0.23019524934709612</v>
      </c>
      <c r="BL247" s="38">
        <f t="shared" si="359"/>
        <v>0.23549548486100449</v>
      </c>
      <c r="BM247" s="38">
        <f t="shared" si="359"/>
        <v>1.1358912869704236</v>
      </c>
      <c r="BN247" s="38">
        <f t="shared" si="359"/>
        <v>0.2256235827664399</v>
      </c>
      <c r="BO247" s="38">
        <f t="shared" ref="BO247:BX247" si="360">IF(AND(ISNUMBER(BO166),ISNUMBER(BO158)),IFERROR(BO166/BO158,""),"")</f>
        <v>0.25886712546320806</v>
      </c>
      <c r="BP247" s="38">
        <f t="shared" si="360"/>
        <v>0.24448529411764705</v>
      </c>
      <c r="BQ247" s="38">
        <f t="shared" si="360"/>
        <v>0.41416768665850673</v>
      </c>
      <c r="BR247" s="38">
        <f t="shared" si="360"/>
        <v>0.15404475043029259</v>
      </c>
      <c r="BS247" s="38">
        <f t="shared" si="360"/>
        <v>0.25668116842759475</v>
      </c>
      <c r="BT247" s="38">
        <f t="shared" si="360"/>
        <v>0.27356446370530879</v>
      </c>
      <c r="BU247" s="38">
        <f t="shared" si="360"/>
        <v>0.22229465449804434</v>
      </c>
      <c r="BV247" s="38">
        <f t="shared" si="360"/>
        <v>0.23365853658536587</v>
      </c>
      <c r="BW247" s="38">
        <f t="shared" si="360"/>
        <v>0.11894273127753303</v>
      </c>
      <c r="BX247" s="38">
        <f t="shared" si="360"/>
        <v>0.19106317411402157</v>
      </c>
      <c r="BY247" s="25">
        <f t="shared" ref="BY247:CE247" si="361">IFERROR(BY166/BY158,"")</f>
        <v>0.21644052075998668</v>
      </c>
      <c r="BZ247" s="25">
        <f t="shared" si="361"/>
        <v>0.1920739670023387</v>
      </c>
      <c r="CA247" s="25">
        <f t="shared" si="361"/>
        <v>0.18662627609118415</v>
      </c>
      <c r="CB247" s="25">
        <f t="shared" si="361"/>
        <v>0.22660465869619237</v>
      </c>
      <c r="CC247" s="25">
        <f t="shared" si="361"/>
        <v>0.25348639905171461</v>
      </c>
      <c r="CD247" s="25">
        <f t="shared" si="361"/>
        <v>0.26948680509055822</v>
      </c>
      <c r="CE247" s="25">
        <f t="shared" si="361"/>
        <v>0.28304875973364968</v>
      </c>
      <c r="CF247" s="6"/>
      <c r="CH247" s="39">
        <f>IFERROR(AVERAGE(CA247,CB247,CC247,CD247,CE247),"n/m")</f>
        <v>0.24385057973265978</v>
      </c>
      <c r="CI247" s="39">
        <f>IFERROR(AVERAGE(BB247,BG247,BL247,BQ247,BV247),"n/m")</f>
        <v>0.25181186373537973</v>
      </c>
      <c r="CJ247" s="39">
        <f>IFERROR(AVERAGE(AC247,AH247,AM247,AR247,AW247,BB247,BG247,BL247,BQ247,BV247),"n/m")</f>
        <v>0.21724580660411674</v>
      </c>
      <c r="CK247" s="39">
        <f>IFERROR(AVERAGE(C247,D247,E247,F247,G247,H247,I247,N247,S247,X247,AC247,AH247,AM247,AR247,AW247,BB247,BG247,BL247,BQ247,BV247),"n/m")</f>
        <v>0.17151852126967787</v>
      </c>
    </row>
    <row r="248" spans="2:89" ht="15" customHeight="1" x14ac:dyDescent="0.25">
      <c r="B248" s="26" t="s">
        <v>418</v>
      </c>
      <c r="C248" s="38">
        <f t="shared" ref="C248:AH248" si="362">IF(AND(ISNUMBER(C178),ISNUMBER(C158)),IFERROR(C178/C158,""),"")</f>
        <v>0.1112218999274837</v>
      </c>
      <c r="D248" s="38">
        <f t="shared" si="362"/>
        <v>0.11902496488604956</v>
      </c>
      <c r="E248" s="38">
        <f t="shared" si="362"/>
        <v>8.3156454884203534E-2</v>
      </c>
      <c r="F248" s="38">
        <f t="shared" si="362"/>
        <v>5.0217314695171975E-2</v>
      </c>
      <c r="G248" s="38">
        <f t="shared" si="362"/>
        <v>5.4405743451679846E-2</v>
      </c>
      <c r="H248" s="38">
        <f t="shared" si="362"/>
        <v>4.8077484100589297E-2</v>
      </c>
      <c r="I248" s="38">
        <f t="shared" si="362"/>
        <v>4.147035728307806E-2</v>
      </c>
      <c r="J248" s="38">
        <f t="shared" si="362"/>
        <v>-7.2207792207792165E-2</v>
      </c>
      <c r="K248" s="38">
        <f t="shared" si="362"/>
        <v>7.3396125821930114E-2</v>
      </c>
      <c r="L248" s="38">
        <f t="shared" si="362"/>
        <v>0.10792123853900486</v>
      </c>
      <c r="M248" s="38">
        <f t="shared" si="362"/>
        <v>6.6055045871559637E-2</v>
      </c>
      <c r="N248" s="38">
        <f t="shared" si="362"/>
        <v>5.6274646253769441E-2</v>
      </c>
      <c r="O248" s="38">
        <f t="shared" si="362"/>
        <v>-5.0384884534639587E-2</v>
      </c>
      <c r="P248" s="38">
        <f t="shared" si="362"/>
        <v>8.8912133891213413E-2</v>
      </c>
      <c r="Q248" s="38">
        <f t="shared" si="362"/>
        <v>5.3502042442961063E-2</v>
      </c>
      <c r="R248" s="38">
        <f t="shared" si="362"/>
        <v>7.4740161158472443E-2</v>
      </c>
      <c r="S248" s="38">
        <f t="shared" si="362"/>
        <v>5.2603110209601137E-2</v>
      </c>
      <c r="T248" s="38">
        <f t="shared" si="362"/>
        <v>8.8226786230835279E-3</v>
      </c>
      <c r="U248" s="38">
        <f t="shared" si="362"/>
        <v>8.8886477100065031E-2</v>
      </c>
      <c r="V248" s="38">
        <f t="shared" si="362"/>
        <v>0.108575124745888</v>
      </c>
      <c r="W248" s="38">
        <f t="shared" si="362"/>
        <v>9.8508169547714963E-2</v>
      </c>
      <c r="X248" s="38">
        <f t="shared" si="362"/>
        <v>8.1591140241835156E-2</v>
      </c>
      <c r="Y248" s="38">
        <f t="shared" si="362"/>
        <v>5.7048681541582019E-2</v>
      </c>
      <c r="Z248" s="38">
        <f t="shared" si="362"/>
        <v>0.12493604829632653</v>
      </c>
      <c r="AA248" s="38">
        <f t="shared" si="362"/>
        <v>0.14448772533744009</v>
      </c>
      <c r="AB248" s="38">
        <f t="shared" si="362"/>
        <v>0.10423693086003359</v>
      </c>
      <c r="AC248" s="38">
        <f t="shared" si="362"/>
        <v>0.11139625013093114</v>
      </c>
      <c r="AD248" s="38">
        <f t="shared" si="362"/>
        <v>5.0124422324920037E-2</v>
      </c>
      <c r="AE248" s="38">
        <f t="shared" si="362"/>
        <v>0.13380347907851434</v>
      </c>
      <c r="AF248" s="38">
        <f t="shared" si="362"/>
        <v>0.13928472924519633</v>
      </c>
      <c r="AG248" s="38">
        <f t="shared" si="362"/>
        <v>0.38866563626996387</v>
      </c>
      <c r="AH248" s="38">
        <f t="shared" si="362"/>
        <v>0.17987189832560019</v>
      </c>
      <c r="AI248" s="38">
        <f t="shared" ref="AI248:BN248" si="363">IF(AND(ISNUMBER(AI178),ISNUMBER(AI158)),IFERROR(AI178/AI158,""),"")</f>
        <v>1.2468827930174536E-2</v>
      </c>
      <c r="AJ248" s="38">
        <f t="shared" si="363"/>
        <v>0.15417210369568277</v>
      </c>
      <c r="AK248" s="38">
        <f t="shared" si="363"/>
        <v>0.14776573415106106</v>
      </c>
      <c r="AL248" s="38">
        <f t="shared" si="363"/>
        <v>9.2507679731194711E-2</v>
      </c>
      <c r="AM248" s="38">
        <f t="shared" si="363"/>
        <v>0.11073719477930813</v>
      </c>
      <c r="AN248" s="38">
        <f t="shared" si="363"/>
        <v>4.5610279512862735E-2</v>
      </c>
      <c r="AO248" s="38">
        <f t="shared" si="363"/>
        <v>0.14808420374718245</v>
      </c>
      <c r="AP248" s="38">
        <f t="shared" si="363"/>
        <v>0.17505558896134904</v>
      </c>
      <c r="AQ248" s="38">
        <f t="shared" si="363"/>
        <v>0.11905709586252655</v>
      </c>
      <c r="AR248" s="38">
        <f t="shared" si="363"/>
        <v>0.12912056260495142</v>
      </c>
      <c r="AS248" s="38">
        <f t="shared" si="363"/>
        <v>2.7029847630974834E-2</v>
      </c>
      <c r="AT248" s="38">
        <f t="shared" si="363"/>
        <v>0.17125767354005977</v>
      </c>
      <c r="AU248" s="38">
        <f t="shared" si="363"/>
        <v>0.22279400635689431</v>
      </c>
      <c r="AV248" s="38">
        <f t="shared" si="363"/>
        <v>0.15513733468972521</v>
      </c>
      <c r="AW248" s="38">
        <f t="shared" si="363"/>
        <v>0.15243451235755506</v>
      </c>
      <c r="AX248" s="38">
        <f t="shared" si="363"/>
        <v>6.6469869706840309E-2</v>
      </c>
      <c r="AY248" s="38">
        <f t="shared" si="363"/>
        <v>0.16387255969228545</v>
      </c>
      <c r="AZ248" s="38">
        <f t="shared" si="363"/>
        <v>0.16348808835805553</v>
      </c>
      <c r="BA248" s="38">
        <f t="shared" si="363"/>
        <v>0.10478481689387867</v>
      </c>
      <c r="BB248" s="38">
        <f t="shared" si="363"/>
        <v>0.12975618766161806</v>
      </c>
      <c r="BC248" s="38">
        <f t="shared" si="363"/>
        <v>1.7387065323366847E-2</v>
      </c>
      <c r="BD248" s="38">
        <f t="shared" si="363"/>
        <v>0.22324419808734852</v>
      </c>
      <c r="BE248" s="38">
        <f t="shared" si="363"/>
        <v>0.16299608102886792</v>
      </c>
      <c r="BF248" s="38">
        <f t="shared" si="363"/>
        <v>0.12434812055536748</v>
      </c>
      <c r="BG248" s="38">
        <f t="shared" si="363"/>
        <v>0.140698297271414</v>
      </c>
      <c r="BH248" s="38">
        <f t="shared" si="363"/>
        <v>8.9653644487113146E-2</v>
      </c>
      <c r="BI248" s="38">
        <f t="shared" si="363"/>
        <v>0.19128954305799639</v>
      </c>
      <c r="BJ248" s="38">
        <f t="shared" si="363"/>
        <v>0.20896645103054012</v>
      </c>
      <c r="BK248" s="38">
        <f t="shared" si="363"/>
        <v>0.17566223106578779</v>
      </c>
      <c r="BL248" s="38">
        <f t="shared" si="363"/>
        <v>0.17247535855515544</v>
      </c>
      <c r="BM248" s="38">
        <f t="shared" si="363"/>
        <v>0.83533173461231014</v>
      </c>
      <c r="BN248" s="38">
        <f t="shared" si="363"/>
        <v>0.16666666666666666</v>
      </c>
      <c r="BO248" s="38">
        <f t="shared" ref="BO248:BX248" si="364">IF(AND(ISNUMBER(BO178),ISNUMBER(BO158)),IFERROR(BO178/BO158,""),"")</f>
        <v>0.19216516675489678</v>
      </c>
      <c r="BP248" s="38">
        <f t="shared" si="364"/>
        <v>0.18014705882352941</v>
      </c>
      <c r="BQ248" s="38">
        <f t="shared" si="364"/>
        <v>0.30523255813953487</v>
      </c>
      <c r="BR248" s="38">
        <f t="shared" si="364"/>
        <v>9.9827882960413075E-2</v>
      </c>
      <c r="BS248" s="38">
        <f t="shared" si="364"/>
        <v>0.2038533250466128</v>
      </c>
      <c r="BT248" s="38">
        <f t="shared" si="364"/>
        <v>0.22426868905742145</v>
      </c>
      <c r="BU248" s="38">
        <f t="shared" si="364"/>
        <v>0.18187744458930899</v>
      </c>
      <c r="BV248" s="38">
        <f t="shared" si="364"/>
        <v>0.1848780487804878</v>
      </c>
      <c r="BW248" s="38">
        <f t="shared" si="364"/>
        <v>1.1108663729809105</v>
      </c>
      <c r="BX248" s="38">
        <f t="shared" si="364"/>
        <v>0.12891628145865433</v>
      </c>
      <c r="BY248" s="25">
        <f t="shared" ref="BY248:CE248" si="365">IFERROR(BY178/BY158,"")</f>
        <v>0.13951943194555586</v>
      </c>
      <c r="BZ248" s="25">
        <f t="shared" si="365"/>
        <v>0.10038985009992274</v>
      </c>
      <c r="CA248" s="25">
        <f t="shared" si="365"/>
        <v>0.29177094081223698</v>
      </c>
      <c r="CB248" s="25">
        <f t="shared" si="365"/>
        <v>0.13149057059779909</v>
      </c>
      <c r="CC248" s="25">
        <f t="shared" si="365"/>
        <v>0.15987971499212125</v>
      </c>
      <c r="CD248" s="25">
        <f t="shared" si="365"/>
        <v>0.1778694198250568</v>
      </c>
      <c r="CE248" s="25">
        <f t="shared" si="365"/>
        <v>0.18972323015549228</v>
      </c>
      <c r="CF248" s="6"/>
      <c r="CH248" s="39">
        <f>IFERROR(AVERAGE(CA248,CB248,CC248,CD248,CE248),"n/m")</f>
        <v>0.19014677527654128</v>
      </c>
      <c r="CI248" s="39">
        <f>IFERROR(AVERAGE(BB248,BG248,BL248,BQ248,BV248),"n/m")</f>
        <v>0.18660809008164203</v>
      </c>
      <c r="CJ248" s="39">
        <f>IFERROR(AVERAGE(AC248,AH248,AM248,AR248,AW248,BB248,BG248,BL248,BQ248,BV248),"n/m")</f>
        <v>0.16166008686065558</v>
      </c>
      <c r="CK248" s="39">
        <f>IFERROR(AVERAGE(C248,D248,E248,F248,G248,H248,I248,N248,S248,X248,AC248,AH248,AM248,AR248,AW248,BB248,BG248,BL248,BQ248,BV248),"n/m")</f>
        <v>0.11573219922700088</v>
      </c>
    </row>
    <row r="249" spans="2:89" ht="15" customHeight="1" x14ac:dyDescent="0.25">
      <c r="B249" s="26" t="s">
        <v>419</v>
      </c>
      <c r="C249" s="38">
        <f t="shared" ref="C249:AH249" si="366">IF(AND(ISNUMBER(C163),ISNUMBER(C158)),IFERROR(C163/C158,""),"")</f>
        <v>6.6805656272661343E-2</v>
      </c>
      <c r="D249" s="38">
        <f t="shared" si="366"/>
        <v>7.0726292419917541E-2</v>
      </c>
      <c r="E249" s="38">
        <f t="shared" si="366"/>
        <v>7.1647563794160665E-2</v>
      </c>
      <c r="F249" s="38">
        <f t="shared" si="366"/>
        <v>8.2109714554211219E-2</v>
      </c>
      <c r="G249" s="38">
        <f t="shared" si="366"/>
        <v>7.4821919344887536E-2</v>
      </c>
      <c r="H249" s="38">
        <f t="shared" si="366"/>
        <v>7.2407958457319552E-2</v>
      </c>
      <c r="I249" s="38">
        <f t="shared" si="366"/>
        <v>6.7923046721633296E-2</v>
      </c>
      <c r="J249" s="38">
        <f t="shared" si="366"/>
        <v>9.7662337662337673E-2</v>
      </c>
      <c r="K249" s="38">
        <f t="shared" si="366"/>
        <v>6.7176115159054542E-2</v>
      </c>
      <c r="L249" s="38">
        <f t="shared" si="366"/>
        <v>5.5764316849541563E-2</v>
      </c>
      <c r="M249" s="38">
        <f t="shared" si="366"/>
        <v>6.8807339449541288E-2</v>
      </c>
      <c r="N249" s="38">
        <f t="shared" si="366"/>
        <v>6.9635815356065875E-2</v>
      </c>
      <c r="O249" s="38">
        <f t="shared" si="366"/>
        <v>7.9776067179846061E-2</v>
      </c>
      <c r="P249" s="38">
        <f t="shared" si="366"/>
        <v>5.4692169754931262E-2</v>
      </c>
      <c r="Q249" s="38">
        <f t="shared" si="366"/>
        <v>4.8221580153432295E-2</v>
      </c>
      <c r="R249" s="38">
        <f t="shared" si="366"/>
        <v>5.8390750905056639E-2</v>
      </c>
      <c r="S249" s="38">
        <f t="shared" si="366"/>
        <v>5.7200811359026368E-2</v>
      </c>
      <c r="T249" s="38">
        <f t="shared" si="366"/>
        <v>7.1593867515186579E-2</v>
      </c>
      <c r="U249" s="38">
        <f t="shared" si="366"/>
        <v>6.1645322335576298E-2</v>
      </c>
      <c r="V249" s="38">
        <f t="shared" si="366"/>
        <v>5.0729994455738309E-2</v>
      </c>
      <c r="W249" s="38">
        <f t="shared" si="366"/>
        <v>6.7605967321809138E-2</v>
      </c>
      <c r="X249" s="38">
        <f t="shared" si="366"/>
        <v>6.1645383659170529E-2</v>
      </c>
      <c r="Y249" s="38">
        <f t="shared" si="366"/>
        <v>7.5938133874239352E-2</v>
      </c>
      <c r="Z249" s="38">
        <f t="shared" si="366"/>
        <v>6.2928476414611689E-2</v>
      </c>
      <c r="AA249" s="38">
        <f t="shared" si="366"/>
        <v>5.1000996467071284E-2</v>
      </c>
      <c r="AB249" s="38">
        <f t="shared" si="366"/>
        <v>7.4093591905564929E-2</v>
      </c>
      <c r="AC249" s="38">
        <f t="shared" si="366"/>
        <v>6.4941866554938721E-2</v>
      </c>
      <c r="AD249" s="38">
        <f t="shared" si="366"/>
        <v>8.2355729351818938E-2</v>
      </c>
      <c r="AE249" s="38">
        <f t="shared" si="366"/>
        <v>6.4315937940761639E-2</v>
      </c>
      <c r="AF249" s="38">
        <f t="shared" si="366"/>
        <v>5.2588029787625265E-2</v>
      </c>
      <c r="AG249" s="38">
        <f t="shared" si="366"/>
        <v>6.9036579082946928E-2</v>
      </c>
      <c r="AH249" s="38">
        <f t="shared" si="366"/>
        <v>6.6093403268105713E-2</v>
      </c>
      <c r="AI249" s="38">
        <f t="shared" ref="AI249:BN249" si="367">IF(AND(ISNUMBER(AI163),ISNUMBER(AI158)),IFERROR(AI163/AI158,""),"")</f>
        <v>8.7406483790523681E-2</v>
      </c>
      <c r="AJ249" s="38">
        <f t="shared" si="367"/>
        <v>5.9106638955491619E-2</v>
      </c>
      <c r="AK249" s="38">
        <f t="shared" si="367"/>
        <v>5.6115739070545408E-2</v>
      </c>
      <c r="AL249" s="38">
        <f t="shared" si="367"/>
        <v>6.9516515097753612E-2</v>
      </c>
      <c r="AM249" s="38">
        <f t="shared" si="367"/>
        <v>6.6101904570049219E-2</v>
      </c>
      <c r="AN249" s="38">
        <f t="shared" si="367"/>
        <v>8.3382057713095939E-2</v>
      </c>
      <c r="AO249" s="38">
        <f t="shared" si="367"/>
        <v>5.6571950216808858E-2</v>
      </c>
      <c r="AP249" s="38">
        <f t="shared" si="367"/>
        <v>5.511791619198364E-2</v>
      </c>
      <c r="AQ249" s="38">
        <f t="shared" si="367"/>
        <v>6.697563679652499E-2</v>
      </c>
      <c r="AR249" s="38">
        <f t="shared" si="367"/>
        <v>6.3863840756194529E-2</v>
      </c>
      <c r="AS249" s="38">
        <f t="shared" si="367"/>
        <v>8.2133166353579631E-2</v>
      </c>
      <c r="AT249" s="38">
        <f t="shared" si="367"/>
        <v>5.6036518180387226E-2</v>
      </c>
      <c r="AU249" s="38">
        <f t="shared" si="367"/>
        <v>5.3806568790676544E-2</v>
      </c>
      <c r="AV249" s="38">
        <f t="shared" si="367"/>
        <v>7.1973550356052907E-2</v>
      </c>
      <c r="AW249" s="38">
        <f t="shared" si="367"/>
        <v>6.4673671747817074E-2</v>
      </c>
      <c r="AX249" s="38">
        <f t="shared" si="367"/>
        <v>8.1229641693811069E-2</v>
      </c>
      <c r="AY249" s="38">
        <f t="shared" si="367"/>
        <v>5.9801146672472605E-2</v>
      </c>
      <c r="AZ249" s="38">
        <f t="shared" si="367"/>
        <v>5.522378475566686E-2</v>
      </c>
      <c r="BA249" s="38">
        <f t="shared" si="367"/>
        <v>6.8765036086607861E-2</v>
      </c>
      <c r="BB249" s="38">
        <f t="shared" si="367"/>
        <v>6.4831917251570004E-2</v>
      </c>
      <c r="BC249" s="38">
        <f t="shared" si="367"/>
        <v>7.8891777705557359E-2</v>
      </c>
      <c r="BD249" s="38">
        <f t="shared" si="367"/>
        <v>6.3409880002436497E-2</v>
      </c>
      <c r="BE249" s="38">
        <f t="shared" si="367"/>
        <v>5.2381740906331069E-2</v>
      </c>
      <c r="BF249" s="38">
        <f t="shared" si="367"/>
        <v>6.8201828648831703E-2</v>
      </c>
      <c r="BG249" s="38">
        <f t="shared" si="367"/>
        <v>6.4392033372831003E-2</v>
      </c>
      <c r="BH249" s="38">
        <f t="shared" si="367"/>
        <v>7.7025330477808143E-2</v>
      </c>
      <c r="BI249" s="38">
        <f t="shared" si="367"/>
        <v>6.1291739894551847E-2</v>
      </c>
      <c r="BJ249" s="38">
        <f t="shared" si="367"/>
        <v>5.4209919261822379E-2</v>
      </c>
      <c r="BK249" s="38">
        <f t="shared" si="367"/>
        <v>7.3809227707996514E-2</v>
      </c>
      <c r="BL249" s="38">
        <f t="shared" si="367"/>
        <v>6.5336717228353894E-2</v>
      </c>
      <c r="BM249" s="38">
        <f t="shared" si="367"/>
        <v>9.4324540367705836E-2</v>
      </c>
      <c r="BN249" s="38">
        <f t="shared" si="367"/>
        <v>6.6326530612244902E-2</v>
      </c>
      <c r="BO249" s="38">
        <f t="shared" ref="BO249:BX249" si="368">IF(AND(ISNUMBER(BO163),ISNUMBER(BO158)),IFERROR(BO163/BO158,""),"")</f>
        <v>5.5584965590259397E-2</v>
      </c>
      <c r="BP249" s="38">
        <f t="shared" si="368"/>
        <v>6.4338235294117641E-2</v>
      </c>
      <c r="BQ249" s="38">
        <f t="shared" si="368"/>
        <v>6.8390452876376989E-2</v>
      </c>
      <c r="BR249" s="38">
        <f t="shared" si="368"/>
        <v>0.10757314974182444</v>
      </c>
      <c r="BS249" s="38">
        <f t="shared" si="368"/>
        <v>6.463642013673089E-2</v>
      </c>
      <c r="BT249" s="38">
        <f t="shared" si="368"/>
        <v>5.9588299024918745E-2</v>
      </c>
      <c r="BU249" s="38">
        <f t="shared" si="368"/>
        <v>6.7144719687092569E-2</v>
      </c>
      <c r="BV249" s="38">
        <f t="shared" si="368"/>
        <v>7.2032520325203256E-2</v>
      </c>
      <c r="BW249" s="38">
        <f t="shared" si="368"/>
        <v>9.7650513950073417E-2</v>
      </c>
      <c r="BX249" s="38">
        <f t="shared" si="368"/>
        <v>5.9578839239856192E-2</v>
      </c>
      <c r="BY249" s="25">
        <f t="shared" ref="BY249:CE249" si="369">IFERROR(BY163/BY158,"")</f>
        <v>5.7721251146405111E-2</v>
      </c>
      <c r="BZ249" s="25">
        <f t="shared" si="369"/>
        <v>6.7180582820606558E-2</v>
      </c>
      <c r="CA249" s="25">
        <f t="shared" si="369"/>
        <v>6.7697820648081844E-2</v>
      </c>
      <c r="CB249" s="25">
        <f t="shared" si="369"/>
        <v>7.3537170817200154E-2</v>
      </c>
      <c r="CC249" s="25">
        <f t="shared" si="369"/>
        <v>7.3438810495780285E-2</v>
      </c>
      <c r="CD249" s="25">
        <f t="shared" si="369"/>
        <v>7.3314936766378097E-2</v>
      </c>
      <c r="CE249" s="25">
        <f t="shared" si="369"/>
        <v>7.3188844223559146E-2</v>
      </c>
      <c r="CF249" s="6"/>
      <c r="CH249" s="39">
        <f>IFERROR(AVERAGE(CA249,CB249,CC249,CD249,CE249),"n/m")</f>
        <v>7.2235516590199902E-2</v>
      </c>
      <c r="CI249" s="39">
        <f>IFERROR(AVERAGE(BB249,BG249,BL249,BQ249,BV249),"n/m")</f>
        <v>6.6996728210867024E-2</v>
      </c>
      <c r="CJ249" s="39">
        <f>IFERROR(AVERAGE(AC249,AH249,AM249,AR249,AW249,BB249,BG249,BL249,BQ249,BV249),"n/m")</f>
        <v>6.6065832795144039E-2</v>
      </c>
      <c r="CK249" s="39">
        <f>IFERROR(AVERAGE(C249,D249,E249,F249,G249,H249,I249,N249,S249,X249,AC249,AH249,AM249,AR249,AW249,BB249,BG249,BL249,BQ249,BV249),"n/m")</f>
        <v>6.7779124494524723E-2</v>
      </c>
    </row>
    <row r="250" spans="2:89" ht="15" customHeight="1" x14ac:dyDescent="0.25">
      <c r="B250" s="23" t="s">
        <v>420</v>
      </c>
      <c r="D250" s="24" t="str">
        <f t="shared" ref="D250:I250" si="370">IF(AND(ISNUMBER(D21),ISNUMBER(C21)),IFERROR(D21/C21-1,""),"")</f>
        <v/>
      </c>
      <c r="E250" s="24" t="str">
        <f t="shared" si="370"/>
        <v/>
      </c>
      <c r="F250" s="24" t="str">
        <f t="shared" si="370"/>
        <v/>
      </c>
      <c r="G250" s="24" t="str">
        <f t="shared" si="370"/>
        <v/>
      </c>
      <c r="H250" s="24" t="str">
        <f t="shared" si="370"/>
        <v/>
      </c>
      <c r="I250" s="24" t="str">
        <f t="shared" si="370"/>
        <v/>
      </c>
      <c r="N250" s="24">
        <f t="shared" ref="N250:AS250" si="371">IF(AND(ISNUMBER(N21),ISNUMBER(I21)),IFERROR(N21/I21-1,""),"")</f>
        <v>7.6035851135050514E-2</v>
      </c>
      <c r="O250" s="24">
        <f t="shared" si="371"/>
        <v>3.4500647003185687</v>
      </c>
      <c r="P250" s="24">
        <f t="shared" si="371"/>
        <v>0.12546429347490617</v>
      </c>
      <c r="Q250" s="24">
        <f t="shared" si="371"/>
        <v>-3.1266607922251222E-2</v>
      </c>
      <c r="R250" s="24">
        <f t="shared" si="371"/>
        <v>0.13950539401286588</v>
      </c>
      <c r="S250" s="24">
        <f t="shared" si="371"/>
        <v>9.9984799778973121E-2</v>
      </c>
      <c r="T250" s="24">
        <f t="shared" si="371"/>
        <v>2.4995673724675838</v>
      </c>
      <c r="U250" s="24">
        <f t="shared" si="371"/>
        <v>0.27178794588265331</v>
      </c>
      <c r="V250" s="24">
        <f t="shared" si="371"/>
        <v>0.32156205771858604</v>
      </c>
      <c r="W250" s="24">
        <f t="shared" si="371"/>
        <v>0.26962554062085742</v>
      </c>
      <c r="X250" s="24">
        <f t="shared" si="371"/>
        <v>0.34536949550680052</v>
      </c>
      <c r="Y250" s="24">
        <f t="shared" si="371"/>
        <v>0.72931005796657788</v>
      </c>
      <c r="Z250" s="24">
        <f t="shared" si="371"/>
        <v>0.18273547409013235</v>
      </c>
      <c r="AA250" s="24">
        <f t="shared" si="371"/>
        <v>9.4079915036573869E-2</v>
      </c>
      <c r="AB250" s="24">
        <f t="shared" si="371"/>
        <v>0.11050436934685526</v>
      </c>
      <c r="AC250" s="24">
        <f t="shared" si="371"/>
        <v>0.17150199716942893</v>
      </c>
      <c r="AD250" s="24">
        <f t="shared" si="371"/>
        <v>-2.0575690250893452E-2</v>
      </c>
      <c r="AE250" s="24">
        <f t="shared" si="371"/>
        <v>3.4232617929894849E-2</v>
      </c>
      <c r="AF250" s="24">
        <f t="shared" si="371"/>
        <v>0.12227957190729022</v>
      </c>
      <c r="AG250" s="24">
        <f t="shared" si="371"/>
        <v>0.19310934744876485</v>
      </c>
      <c r="AH250" s="24">
        <f t="shared" si="371"/>
        <v>9.1279704831855213E-2</v>
      </c>
      <c r="AI250" s="24">
        <f t="shared" si="371"/>
        <v>-0.27396741810629832</v>
      </c>
      <c r="AJ250" s="24">
        <f t="shared" si="371"/>
        <v>2.8372430985645236E-2</v>
      </c>
      <c r="AK250" s="24">
        <f t="shared" si="371"/>
        <v>-3.1928739005288365E-2</v>
      </c>
      <c r="AL250" s="24">
        <f t="shared" si="371"/>
        <v>-0.18672559662544319</v>
      </c>
      <c r="AM250" s="24">
        <f t="shared" si="371"/>
        <v>-6.9452225441043458E-2</v>
      </c>
      <c r="AN250" s="24">
        <f t="shared" si="371"/>
        <v>0.48207341720651886</v>
      </c>
      <c r="AO250" s="24">
        <f t="shared" si="371"/>
        <v>0.15118577741001871</v>
      </c>
      <c r="AP250" s="24">
        <f t="shared" si="371"/>
        <v>0.21907709495514083</v>
      </c>
      <c r="AQ250" s="24">
        <f t="shared" si="371"/>
        <v>0.12602163904452901</v>
      </c>
      <c r="AR250" s="24">
        <f t="shared" si="371"/>
        <v>0.19012452177914319</v>
      </c>
      <c r="AS250" s="24">
        <f t="shared" si="371"/>
        <v>-6.800581465957245E-2</v>
      </c>
      <c r="AT250" s="24">
        <f t="shared" ref="AT250:BX250" si="372">IF(AND(ISNUMBER(AT21),ISNUMBER(AO21)),IFERROR(AT21/AO21-1,""),"")</f>
        <v>0.10659661594848502</v>
      </c>
      <c r="AU250" s="24">
        <f t="shared" si="372"/>
        <v>6.3793698066441973E-2</v>
      </c>
      <c r="AV250" s="24">
        <f t="shared" si="372"/>
        <v>0.18054283468919952</v>
      </c>
      <c r="AW250" s="24">
        <f t="shared" si="372"/>
        <v>7.6325858264657098E-2</v>
      </c>
      <c r="AX250" s="24">
        <f t="shared" si="372"/>
        <v>0.34624863641873027</v>
      </c>
      <c r="AY250" s="24">
        <f t="shared" si="372"/>
        <v>-1.4078943656011034E-2</v>
      </c>
      <c r="AZ250" s="24">
        <f t="shared" si="372"/>
        <v>-4.6294166085223964E-2</v>
      </c>
      <c r="BA250" s="24">
        <f t="shared" si="372"/>
        <v>-0.13040257203724759</v>
      </c>
      <c r="BB250" s="24">
        <f t="shared" si="372"/>
        <v>-1.1557057185466957E-2</v>
      </c>
      <c r="BC250" s="24">
        <f t="shared" si="372"/>
        <v>-0.26274333142217488</v>
      </c>
      <c r="BD250" s="24">
        <f t="shared" si="372"/>
        <v>3.5913913076542903E-2</v>
      </c>
      <c r="BE250" s="24">
        <f t="shared" si="372"/>
        <v>6.774504922138469E-2</v>
      </c>
      <c r="BF250" s="24">
        <f t="shared" si="372"/>
        <v>0.25088960926719373</v>
      </c>
      <c r="BG250" s="24">
        <f t="shared" si="372"/>
        <v>4.9537330886425313E-2</v>
      </c>
      <c r="BH250" s="24">
        <f t="shared" si="372"/>
        <v>1.3590179867881944</v>
      </c>
      <c r="BI250" s="24">
        <f t="shared" si="372"/>
        <v>0.27300377067189219</v>
      </c>
      <c r="BJ250" s="24">
        <f t="shared" si="372"/>
        <v>0.43654952374298417</v>
      </c>
      <c r="BK250" s="24">
        <f t="shared" si="372"/>
        <v>0.40735000987663206</v>
      </c>
      <c r="BL250" s="24">
        <f t="shared" si="372"/>
        <v>0.46872959679940274</v>
      </c>
      <c r="BM250" s="24">
        <f t="shared" si="372"/>
        <v>0.14365089747385396</v>
      </c>
      <c r="BN250" s="24">
        <f t="shared" si="372"/>
        <v>8.6800592134379961E-2</v>
      </c>
      <c r="BO250" s="24">
        <f t="shared" si="372"/>
        <v>3.4825542619637329E-2</v>
      </c>
      <c r="BP250" s="24">
        <f t="shared" si="372"/>
        <v>0.12207543357852702</v>
      </c>
      <c r="BQ250" s="24">
        <f t="shared" si="372"/>
        <v>9.3813667647206778E-2</v>
      </c>
      <c r="BR250" s="24">
        <f t="shared" si="372"/>
        <v>0.16620534277438037</v>
      </c>
      <c r="BS250" s="24">
        <f t="shared" si="372"/>
        <v>0.10318320876737785</v>
      </c>
      <c r="BT250" s="24">
        <f t="shared" si="372"/>
        <v>0.12438782028532902</v>
      </c>
      <c r="BU250" s="24">
        <f t="shared" si="372"/>
        <v>8.5517263706557545E-2</v>
      </c>
      <c r="BV250" s="24">
        <f t="shared" si="372"/>
        <v>0.11420435877778967</v>
      </c>
      <c r="BW250" s="24">
        <f t="shared" si="372"/>
        <v>-0.13853799958583546</v>
      </c>
      <c r="BX250" s="24">
        <f t="shared" si="372"/>
        <v>-0.16835548172757464</v>
      </c>
      <c r="BY250" s="25">
        <f>IFERROR(BY21/BT21-1,"")</f>
        <v>-8.9283239318586283E-2</v>
      </c>
      <c r="BZ250" s="25">
        <f>IFERROR(BZ21/BU21-1,"")</f>
        <v>-9.3580068017518503E-2</v>
      </c>
      <c r="CA250" s="25">
        <f>IFERROR(CA21/BV21-1,"")</f>
        <v>-0.11642085227281618</v>
      </c>
      <c r="CB250" s="25">
        <f>IFERROR(CB21/CA21-1,"")</f>
        <v>0.17050514590503685</v>
      </c>
      <c r="CC250" s="25">
        <f>IFERROR(CC21/CB21-1,"")</f>
        <v>0.13879656796712503</v>
      </c>
      <c r="CD250" s="25">
        <f>IFERROR(CD21/CC21-1,"")</f>
        <v>0.1152775040124141</v>
      </c>
      <c r="CE250" s="25">
        <f>IFERROR(CE21/CD21-1,"")</f>
        <v>0.10710271169201246</v>
      </c>
      <c r="CF250" s="6"/>
    </row>
    <row r="251" spans="2:89" ht="15" customHeight="1" x14ac:dyDescent="0.25"/>
    <row r="252" spans="2:89" ht="15" customHeight="1" x14ac:dyDescent="0.25">
      <c r="B252" s="11" t="s">
        <v>421</v>
      </c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11"/>
      <c r="BH252" s="11"/>
      <c r="BI252" s="11"/>
      <c r="BJ252" s="11"/>
      <c r="BK252" s="11"/>
      <c r="BL252" s="11"/>
      <c r="BM252" s="11"/>
      <c r="BN252" s="11"/>
      <c r="BO252" s="11"/>
      <c r="BP252" s="11"/>
      <c r="BQ252" s="11"/>
      <c r="BR252" s="11"/>
      <c r="BS252" s="11"/>
      <c r="BT252" s="11"/>
      <c r="BU252" s="11"/>
      <c r="BV252" s="11"/>
      <c r="BW252" s="11"/>
      <c r="BX252" s="11"/>
      <c r="BY252" s="11"/>
      <c r="BZ252" s="11"/>
      <c r="CA252" s="11"/>
      <c r="CB252" s="11"/>
      <c r="CC252" s="11"/>
      <c r="CD252" s="11"/>
      <c r="CE252" s="11"/>
      <c r="CF252" s="11" t="s">
        <v>422</v>
      </c>
    </row>
    <row r="253" spans="2:89" ht="15" customHeight="1" x14ac:dyDescent="0.25">
      <c r="B253" s="26" t="s">
        <v>328</v>
      </c>
      <c r="C253" s="36">
        <v>245.422</v>
      </c>
      <c r="D253" s="36">
        <v>262.74900000000002</v>
      </c>
      <c r="E253" s="36">
        <v>179.75</v>
      </c>
      <c r="F253" s="36">
        <v>88.164000000000001</v>
      </c>
      <c r="G253" s="36">
        <v>98.664000000000001</v>
      </c>
      <c r="H253" s="36">
        <v>83.572999999999993</v>
      </c>
      <c r="I253" s="36">
        <v>85.527000000000001</v>
      </c>
      <c r="J253" s="36">
        <v>-29.329000000000001</v>
      </c>
      <c r="K253" s="36">
        <v>41.567</v>
      </c>
      <c r="L253" s="36">
        <v>72.037999999999997</v>
      </c>
      <c r="M253" s="36">
        <v>35.155999999999999</v>
      </c>
      <c r="N253" s="36">
        <v>119.432</v>
      </c>
      <c r="O253" s="36">
        <v>-23.152999999999999</v>
      </c>
      <c r="P253" s="36">
        <v>59.625</v>
      </c>
      <c r="Q253" s="36">
        <v>53.832999999999998</v>
      </c>
      <c r="R253" s="36">
        <v>63.988999999999997</v>
      </c>
      <c r="S253" s="36">
        <v>154.29400000000001</v>
      </c>
      <c r="T253" s="36">
        <v>6.1589999999999998</v>
      </c>
      <c r="U253" s="36">
        <v>81.978999999999999</v>
      </c>
      <c r="V253" s="36">
        <v>117.577</v>
      </c>
      <c r="W253" s="36">
        <v>83.222999999999999</v>
      </c>
      <c r="X253" s="36">
        <v>288.93799999999999</v>
      </c>
      <c r="Y253" s="36">
        <v>45.055</v>
      </c>
      <c r="Z253" s="36">
        <v>122.114</v>
      </c>
      <c r="AA253" s="36">
        <v>159.47800000000001</v>
      </c>
      <c r="AB253" s="36">
        <v>98.796999999999997</v>
      </c>
      <c r="AC253" s="36">
        <v>425.44400000000002</v>
      </c>
      <c r="AD253" s="36">
        <v>42.307000000000002</v>
      </c>
      <c r="AE253" s="36">
        <v>142.24100000000001</v>
      </c>
      <c r="AF253" s="36">
        <v>151.53899999999999</v>
      </c>
      <c r="AG253" s="36">
        <v>377.298</v>
      </c>
      <c r="AH253" s="36">
        <v>713.38499999999999</v>
      </c>
      <c r="AI253" s="36">
        <v>10.039999999999999</v>
      </c>
      <c r="AJ253" s="36">
        <v>185.50299999999999</v>
      </c>
      <c r="AK253" s="36">
        <v>180.35300000000001</v>
      </c>
      <c r="AL253" s="36">
        <v>94.48</v>
      </c>
      <c r="AM253" s="36">
        <v>470.37599999999998</v>
      </c>
      <c r="AN253" s="36">
        <v>42.826000000000001</v>
      </c>
      <c r="AO253" s="36">
        <v>189.47</v>
      </c>
      <c r="AP253" s="36">
        <v>248.62200000000001</v>
      </c>
      <c r="AQ253" s="36">
        <v>131.08199999999999</v>
      </c>
      <c r="AR253" s="36">
        <v>612</v>
      </c>
      <c r="AS253" s="36">
        <v>25.9</v>
      </c>
      <c r="AT253" s="36">
        <v>217.6</v>
      </c>
      <c r="AU253" s="36">
        <v>294.5</v>
      </c>
      <c r="AV253" s="36">
        <v>183.1</v>
      </c>
      <c r="AW253" s="36">
        <v>721.1</v>
      </c>
      <c r="AX253" s="36">
        <v>65.5</v>
      </c>
      <c r="AY253" s="36">
        <v>225.8</v>
      </c>
      <c r="AZ253" s="36">
        <v>254.6</v>
      </c>
      <c r="BA253" s="36">
        <v>156.9</v>
      </c>
      <c r="BB253" s="36">
        <v>702.8</v>
      </c>
      <c r="BC253" s="36">
        <v>21.3</v>
      </c>
      <c r="BD253" s="36">
        <v>366.4</v>
      </c>
      <c r="BE253" s="36">
        <v>295.3</v>
      </c>
      <c r="BF253" s="36">
        <v>183.8</v>
      </c>
      <c r="BG253" s="36">
        <v>866.8</v>
      </c>
      <c r="BH253" s="36">
        <v>121.6</v>
      </c>
      <c r="BI253" s="36">
        <v>348.6</v>
      </c>
      <c r="BJ253" s="36">
        <v>416.6</v>
      </c>
      <c r="BK253" s="36">
        <v>282.60000000000002</v>
      </c>
      <c r="BL253" s="36">
        <v>1169.4000000000001</v>
      </c>
      <c r="BM253" s="36">
        <v>1046</v>
      </c>
      <c r="BN253" s="36">
        <v>294</v>
      </c>
      <c r="BO253" s="36">
        <v>362</v>
      </c>
      <c r="BP253" s="36">
        <v>294</v>
      </c>
      <c r="BQ253" s="36">
        <v>1996</v>
      </c>
      <c r="BR253" s="36">
        <v>116</v>
      </c>
      <c r="BS253" s="36">
        <v>328</v>
      </c>
      <c r="BT253" s="36">
        <v>414</v>
      </c>
      <c r="BU253" s="36">
        <v>279</v>
      </c>
      <c r="BV253" s="36">
        <v>1137</v>
      </c>
      <c r="BW253" s="36">
        <v>1513</v>
      </c>
      <c r="BX253" s="36">
        <v>251</v>
      </c>
      <c r="BY253" s="6"/>
      <c r="BZ253" s="6"/>
      <c r="CA253" s="37">
        <f>CA176</f>
        <v>2325.25646334676</v>
      </c>
      <c r="CB253" s="37">
        <f>CB176</f>
        <v>1290.8191379330897</v>
      </c>
      <c r="CC253" s="37">
        <f>CC176</f>
        <v>1695.1230910099953</v>
      </c>
      <c r="CD253" s="37">
        <f>CD176</f>
        <v>2044.3650536735167</v>
      </c>
      <c r="CE253" s="37">
        <f>CE176</f>
        <v>2368.8409653213325</v>
      </c>
      <c r="CF253" s="6"/>
    </row>
    <row r="254" spans="2:89" ht="15" customHeight="1" x14ac:dyDescent="0.25">
      <c r="B254" s="26" t="s">
        <v>423</v>
      </c>
      <c r="CF254" s="6"/>
    </row>
    <row r="255" spans="2:89" ht="15" customHeight="1" x14ac:dyDescent="0.25">
      <c r="B255" s="26" t="s">
        <v>424</v>
      </c>
      <c r="C255" s="36">
        <v>141.429</v>
      </c>
      <c r="D255" s="36">
        <v>150.33799999999999</v>
      </c>
      <c r="E255" s="36">
        <v>171.12899999999999</v>
      </c>
      <c r="F255" s="36">
        <v>179.39099999999999</v>
      </c>
      <c r="G255" s="36">
        <v>181.53700000000001</v>
      </c>
      <c r="H255" s="36">
        <v>173.40700000000001</v>
      </c>
      <c r="I255" s="36">
        <v>177.21100000000001</v>
      </c>
      <c r="J255" s="36">
        <v>43.042999999999999</v>
      </c>
      <c r="K255" s="36">
        <v>42.948999999999998</v>
      </c>
      <c r="L255" s="36">
        <v>44.104999999999997</v>
      </c>
      <c r="M255" s="36">
        <v>43.664000000000001</v>
      </c>
      <c r="N255" s="36">
        <v>173.761</v>
      </c>
      <c r="O255" s="36">
        <v>42.466000000000001</v>
      </c>
      <c r="P255" s="36">
        <v>43.680999999999997</v>
      </c>
      <c r="Q255" s="36">
        <v>67.932000000000002</v>
      </c>
      <c r="R255" s="36">
        <v>68.667000000000002</v>
      </c>
      <c r="S255" s="36">
        <v>222.74600000000001</v>
      </c>
      <c r="T255" s="36">
        <v>67.268000000000001</v>
      </c>
      <c r="U255" s="36">
        <v>67.69</v>
      </c>
      <c r="V255" s="36">
        <v>64.977000000000004</v>
      </c>
      <c r="W255" s="36">
        <v>63.652000000000001</v>
      </c>
      <c r="X255" s="36">
        <v>263.58699999999999</v>
      </c>
      <c r="Y255" s="36">
        <v>68.41</v>
      </c>
      <c r="Z255" s="36">
        <v>71.206999999999994</v>
      </c>
      <c r="AA255" s="36">
        <v>72.38</v>
      </c>
      <c r="AB255" s="36">
        <v>73.256</v>
      </c>
      <c r="AC255" s="36">
        <v>285.25299999999999</v>
      </c>
      <c r="AD255" s="36">
        <v>70.376000000000005</v>
      </c>
      <c r="AE255" s="36">
        <v>75.725999999999999</v>
      </c>
      <c r="AF255" s="36">
        <v>75.316000000000003</v>
      </c>
      <c r="AG255" s="36">
        <v>75.744</v>
      </c>
      <c r="AH255" s="36">
        <v>297.16199999999998</v>
      </c>
      <c r="AI255" s="36">
        <v>76.820999999999998</v>
      </c>
      <c r="AJ255" s="36">
        <v>86.724000000000004</v>
      </c>
      <c r="AK255" s="36">
        <v>89.655000000000001</v>
      </c>
      <c r="AL255" s="36">
        <v>90.832999999999998</v>
      </c>
      <c r="AM255" s="36">
        <v>344.03300000000002</v>
      </c>
      <c r="AN255" s="36">
        <v>89.210999999999999</v>
      </c>
      <c r="AO255" s="36">
        <v>92.775000000000006</v>
      </c>
      <c r="AP255" s="36">
        <v>94.988</v>
      </c>
      <c r="AQ255" s="36">
        <v>94.525999999999996</v>
      </c>
      <c r="AR255" s="36">
        <v>371.5</v>
      </c>
      <c r="AS255" s="36">
        <v>95</v>
      </c>
      <c r="AT255" s="36">
        <v>98.4</v>
      </c>
      <c r="AU255" s="36">
        <v>98.8</v>
      </c>
      <c r="AV255" s="36">
        <v>101.3</v>
      </c>
      <c r="AW255" s="36">
        <v>393.5</v>
      </c>
      <c r="AX255" s="36">
        <v>98.6</v>
      </c>
      <c r="AY255" s="36">
        <v>107.9</v>
      </c>
      <c r="AZ255" s="36">
        <v>113.5</v>
      </c>
      <c r="BA255" s="36">
        <v>131.69999999999999</v>
      </c>
      <c r="BB255" s="36">
        <v>451.7</v>
      </c>
      <c r="BC255" s="36">
        <v>128.19999999999999</v>
      </c>
      <c r="BD255" s="36">
        <v>128.4</v>
      </c>
      <c r="BE255" s="36">
        <v>123.7</v>
      </c>
      <c r="BF255" s="36">
        <v>125.7</v>
      </c>
      <c r="BG255" s="36">
        <v>506</v>
      </c>
      <c r="BH255" s="36">
        <v>123.6</v>
      </c>
      <c r="BI255" s="36">
        <v>129.5</v>
      </c>
      <c r="BJ255" s="36">
        <v>131.5</v>
      </c>
      <c r="BK255" s="36">
        <v>128.6</v>
      </c>
      <c r="BL255" s="36">
        <v>513.20000000000005</v>
      </c>
      <c r="BM255" s="36">
        <v>130</v>
      </c>
      <c r="BN255" s="36">
        <v>142</v>
      </c>
      <c r="BO255" s="36">
        <v>152</v>
      </c>
      <c r="BP255" s="36">
        <v>149</v>
      </c>
      <c r="BQ255" s="36">
        <v>573</v>
      </c>
      <c r="BR255" s="36">
        <v>154</v>
      </c>
      <c r="BS255" s="36">
        <v>167</v>
      </c>
      <c r="BT255" s="36">
        <v>159</v>
      </c>
      <c r="BU255" s="36">
        <v>157</v>
      </c>
      <c r="BV255" s="36">
        <v>637</v>
      </c>
      <c r="BW255" s="36">
        <v>167</v>
      </c>
      <c r="BX255" s="36">
        <v>204</v>
      </c>
      <c r="BY255" s="6"/>
      <c r="BZ255" s="6"/>
      <c r="CA255" s="37">
        <f t="shared" ref="CA255:CE256" si="373">CA182</f>
        <v>971.25247762538788</v>
      </c>
      <c r="CB255" s="37">
        <f t="shared" si="373"/>
        <v>1330.6005222719286</v>
      </c>
      <c r="CC255" s="37">
        <f t="shared" si="373"/>
        <v>1411.3951897843349</v>
      </c>
      <c r="CD255" s="37">
        <f t="shared" si="373"/>
        <v>1505.4800539465443</v>
      </c>
      <c r="CE255" s="37">
        <f t="shared" si="373"/>
        <v>1610.9464498195753</v>
      </c>
      <c r="CF255" s="6"/>
    </row>
    <row r="256" spans="2:89" ht="15" customHeight="1" x14ac:dyDescent="0.25">
      <c r="B256" s="26" t="s">
        <v>425</v>
      </c>
      <c r="C256" s="36">
        <v>13.438000000000001</v>
      </c>
      <c r="D256" s="36">
        <v>19.687000000000001</v>
      </c>
      <c r="E256" s="36">
        <v>21.864999999999998</v>
      </c>
      <c r="F256" s="36">
        <v>20.552</v>
      </c>
      <c r="G256" s="36">
        <v>14.675000000000001</v>
      </c>
      <c r="H256" s="36">
        <v>11.522</v>
      </c>
      <c r="I256" s="36">
        <v>7.7809999999999997</v>
      </c>
      <c r="J256" s="36">
        <v>1.2450000000000001</v>
      </c>
      <c r="K256" s="36">
        <v>2.7360000000000002</v>
      </c>
      <c r="L256" s="36">
        <v>1.427</v>
      </c>
      <c r="M256" s="36">
        <v>1.6</v>
      </c>
      <c r="N256" s="36">
        <v>7.008</v>
      </c>
      <c r="O256" s="36">
        <v>1.409</v>
      </c>
      <c r="P256" s="36">
        <v>2.9609999999999999</v>
      </c>
      <c r="Q256" s="36">
        <v>2.0110000000000001</v>
      </c>
      <c r="R256" s="36">
        <v>2.6120000000000001</v>
      </c>
      <c r="S256" s="36">
        <v>8.9930000000000003</v>
      </c>
      <c r="T256" s="36">
        <v>2.907</v>
      </c>
      <c r="U256" s="36">
        <v>4.617</v>
      </c>
      <c r="V256" s="36">
        <v>3.198</v>
      </c>
      <c r="W256" s="36">
        <v>2.867</v>
      </c>
      <c r="X256" s="36">
        <v>13.589</v>
      </c>
      <c r="Y256" s="36">
        <v>7.2279999999999998</v>
      </c>
      <c r="Z256" s="36">
        <v>5.5730000000000004</v>
      </c>
      <c r="AA256" s="36">
        <v>4.3659999999999997</v>
      </c>
      <c r="AB256" s="36">
        <v>3.3140000000000001</v>
      </c>
      <c r="AC256" s="36">
        <v>20.481000000000002</v>
      </c>
      <c r="AD256" s="36">
        <v>10.275</v>
      </c>
      <c r="AE256" s="36">
        <v>7.452</v>
      </c>
      <c r="AF256" s="36">
        <v>5.9710000000000001</v>
      </c>
      <c r="AG256" s="36">
        <v>6.7619999999999996</v>
      </c>
      <c r="AH256" s="36">
        <v>30.46</v>
      </c>
      <c r="AI256" s="36">
        <v>9.76</v>
      </c>
      <c r="AJ256" s="36">
        <v>7.3380000000000001</v>
      </c>
      <c r="AK256" s="36">
        <v>5.9859999999999998</v>
      </c>
      <c r="AL256" s="36">
        <v>6.1689999999999996</v>
      </c>
      <c r="AM256" s="36">
        <v>29.253</v>
      </c>
      <c r="AN256" s="36">
        <v>13.552</v>
      </c>
      <c r="AO256" s="36">
        <v>8.6980000000000004</v>
      </c>
      <c r="AP256" s="36">
        <v>6.1639999999999997</v>
      </c>
      <c r="AQ256" s="36">
        <v>5.6859999999999999</v>
      </c>
      <c r="AR256" s="36">
        <v>34.1</v>
      </c>
      <c r="AS256" s="36">
        <v>12.5</v>
      </c>
      <c r="AT256" s="36">
        <v>7.2</v>
      </c>
      <c r="AU256" s="36">
        <v>2.7</v>
      </c>
      <c r="AV256" s="36">
        <v>7.6</v>
      </c>
      <c r="AW256" s="36">
        <v>30</v>
      </c>
      <c r="AX256" s="36">
        <v>10.9</v>
      </c>
      <c r="AY256" s="36">
        <v>9.9</v>
      </c>
      <c r="AZ256" s="36">
        <v>12.2</v>
      </c>
      <c r="BA256" s="36">
        <v>10</v>
      </c>
      <c r="BB256" s="36">
        <v>43</v>
      </c>
      <c r="BC256" s="36">
        <v>12</v>
      </c>
      <c r="BD256" s="36">
        <v>12.5</v>
      </c>
      <c r="BE256" s="36">
        <v>9.8000000000000007</v>
      </c>
      <c r="BF256" s="36">
        <v>8.4000000000000092</v>
      </c>
      <c r="BG256" s="36">
        <v>42.7</v>
      </c>
      <c r="BH256" s="36">
        <v>13.7</v>
      </c>
      <c r="BI256" s="36">
        <v>14</v>
      </c>
      <c r="BJ256" s="36">
        <v>11.3</v>
      </c>
      <c r="BK256" s="36">
        <v>11</v>
      </c>
      <c r="BL256" s="36">
        <v>50</v>
      </c>
      <c r="BM256" s="36">
        <v>15</v>
      </c>
      <c r="BN256" s="36">
        <v>18</v>
      </c>
      <c r="BO256" s="36">
        <v>15</v>
      </c>
      <c r="BP256" s="36">
        <v>10</v>
      </c>
      <c r="BQ256" s="36">
        <v>58</v>
      </c>
      <c r="BR256" s="36">
        <v>31</v>
      </c>
      <c r="BS256" s="36">
        <v>6</v>
      </c>
      <c r="BT256" s="36">
        <v>5</v>
      </c>
      <c r="BU256" s="36">
        <v>4</v>
      </c>
      <c r="BV256" s="36">
        <v>46</v>
      </c>
      <c r="BW256" s="36">
        <v>31</v>
      </c>
      <c r="BX256" s="36">
        <v>10</v>
      </c>
      <c r="BY256" s="6"/>
      <c r="BZ256" s="6"/>
      <c r="CA256" s="37">
        <f t="shared" si="373"/>
        <v>98.7451818664386</v>
      </c>
      <c r="CB256" s="37">
        <f t="shared" si="373"/>
        <v>68.717733328346128</v>
      </c>
      <c r="CC256" s="37">
        <f t="shared" si="373"/>
        <v>74.217430508021025</v>
      </c>
      <c r="CD256" s="37">
        <f t="shared" si="373"/>
        <v>80.455400314397735</v>
      </c>
      <c r="CE256" s="37">
        <f t="shared" si="373"/>
        <v>87.400402911437041</v>
      </c>
      <c r="CF256" s="6"/>
    </row>
    <row r="257" spans="2:89" ht="15" customHeight="1" x14ac:dyDescent="0.25">
      <c r="B257" s="26" t="s">
        <v>426</v>
      </c>
      <c r="C257" s="36">
        <v>-7.96</v>
      </c>
      <c r="D257" s="36">
        <v>-11.259</v>
      </c>
      <c r="G257" s="36">
        <v>-4.492</v>
      </c>
      <c r="H257" s="36">
        <v>-15.494</v>
      </c>
      <c r="I257" s="36">
        <v>-0.95599999999999996</v>
      </c>
      <c r="J257" s="36">
        <v>-0.66200000000000003</v>
      </c>
      <c r="K257" s="36">
        <v>0.24</v>
      </c>
      <c r="L257" s="36">
        <v>-0.58099999999999996</v>
      </c>
      <c r="M257" s="36">
        <v>-1.262</v>
      </c>
      <c r="N257" s="36">
        <v>-2.2650000000000001</v>
      </c>
      <c r="O257" s="36">
        <v>-1.1060000000000001</v>
      </c>
      <c r="P257" s="36">
        <v>-0.64100000000000001</v>
      </c>
      <c r="Q257" s="36">
        <v>-46.067999999999998</v>
      </c>
      <c r="R257" s="36">
        <v>-4.4820000000000002</v>
      </c>
      <c r="S257" s="36">
        <v>-52.296999999999997</v>
      </c>
      <c r="T257" s="36">
        <v>-1.5760000000000001</v>
      </c>
      <c r="U257" s="36">
        <v>0.72299999999999998</v>
      </c>
      <c r="Y257" s="36">
        <v>-0.1</v>
      </c>
      <c r="Z257" s="36">
        <v>-0.161</v>
      </c>
      <c r="AA257" s="36">
        <v>0.41899999999999998</v>
      </c>
      <c r="AE257" s="36">
        <v>-17.513999999999999</v>
      </c>
      <c r="AF257" s="36">
        <v>-0.45600000000000002</v>
      </c>
      <c r="AG257" s="36">
        <v>-1.3959999999999999</v>
      </c>
      <c r="AH257" s="36">
        <v>-19.366</v>
      </c>
      <c r="AI257" s="36">
        <v>-0.95099999999999996</v>
      </c>
      <c r="AJ257" s="36">
        <v>-32.576000000000001</v>
      </c>
      <c r="AK257" s="36">
        <v>-1.64</v>
      </c>
      <c r="AL257" s="36">
        <v>-4.093</v>
      </c>
      <c r="AM257" s="36">
        <v>-39.26</v>
      </c>
      <c r="AN257" s="36">
        <v>-2.4129999999999998</v>
      </c>
      <c r="AO257" s="36">
        <v>-1.514</v>
      </c>
      <c r="AP257" s="36">
        <v>-1.0229999999999999</v>
      </c>
      <c r="AQ257" s="36">
        <v>1.85</v>
      </c>
      <c r="AR257" s="36">
        <v>-3.1</v>
      </c>
      <c r="AS257" s="36">
        <v>-1.5</v>
      </c>
      <c r="AT257" s="36">
        <v>-1.6</v>
      </c>
      <c r="AU257" s="36">
        <v>-68.099999999999994</v>
      </c>
      <c r="AV257" s="36">
        <v>-1.8</v>
      </c>
      <c r="AW257" s="36">
        <v>-73</v>
      </c>
      <c r="AX257" s="36">
        <v>-3.8</v>
      </c>
      <c r="AY257" s="36">
        <v>-15.4</v>
      </c>
      <c r="AZ257" s="36">
        <v>-7.4</v>
      </c>
      <c r="BA257" s="36">
        <v>4.9000000000000004</v>
      </c>
      <c r="BB257" s="36">
        <v>-21.7</v>
      </c>
      <c r="BC257" s="36">
        <v>-2.9</v>
      </c>
      <c r="BD257" s="36">
        <v>-171</v>
      </c>
      <c r="BE257" s="36">
        <v>-16.8</v>
      </c>
      <c r="BF257" s="36">
        <v>-5</v>
      </c>
      <c r="BG257" s="36">
        <v>-195.7</v>
      </c>
      <c r="BH257" s="36">
        <v>-1</v>
      </c>
      <c r="BI257" s="36">
        <v>-15.3</v>
      </c>
      <c r="BK257" s="36">
        <v>-1.9</v>
      </c>
      <c r="BL257" s="36">
        <v>-1.9</v>
      </c>
      <c r="BM257" s="36">
        <v>-1333</v>
      </c>
      <c r="BN257" s="36">
        <v>-3</v>
      </c>
      <c r="BO257" s="36">
        <v>-5</v>
      </c>
      <c r="BP257" s="36">
        <v>-28</v>
      </c>
      <c r="BQ257" s="36">
        <v>-1369</v>
      </c>
      <c r="BS257" s="36">
        <v>-15</v>
      </c>
      <c r="BT257" s="36">
        <v>-9</v>
      </c>
      <c r="BU257" s="36">
        <v>-1</v>
      </c>
      <c r="BV257" s="36">
        <v>-25</v>
      </c>
      <c r="BW257" s="36">
        <v>-1965</v>
      </c>
      <c r="BX257" s="36">
        <v>-12</v>
      </c>
      <c r="BY257" s="6"/>
      <c r="BZ257" s="6"/>
      <c r="CA257" s="37">
        <f>(BW257+BX257)</f>
        <v>-1977</v>
      </c>
      <c r="CB257" s="52">
        <v>0</v>
      </c>
      <c r="CC257" s="52">
        <v>0</v>
      </c>
      <c r="CD257" s="52">
        <v>0</v>
      </c>
      <c r="CE257" s="52">
        <v>0</v>
      </c>
      <c r="CF257" s="20" t="s">
        <v>427</v>
      </c>
    </row>
    <row r="258" spans="2:89" ht="15" customHeight="1" x14ac:dyDescent="0.25">
      <c r="B258" s="26" t="s">
        <v>428</v>
      </c>
      <c r="C258" s="36">
        <v>17.155999999999999</v>
      </c>
      <c r="D258" s="36">
        <v>8.7409999999999997</v>
      </c>
      <c r="E258" s="36">
        <v>23.847999999999999</v>
      </c>
      <c r="F258" s="36">
        <v>8.6850000000000005</v>
      </c>
      <c r="G258" s="36">
        <v>1.708</v>
      </c>
      <c r="H258" s="36">
        <v>11.324</v>
      </c>
      <c r="I258" s="36">
        <v>13.929</v>
      </c>
      <c r="J258" s="36">
        <v>3.3929999999999998</v>
      </c>
      <c r="K258" s="36">
        <v>5.8890000000000002</v>
      </c>
      <c r="L258" s="36">
        <v>9.9120000000000008</v>
      </c>
      <c r="M258" s="36">
        <v>4.9189999999999996</v>
      </c>
      <c r="N258" s="36">
        <v>24.113</v>
      </c>
      <c r="O258" s="36">
        <v>-5.0629999999999997</v>
      </c>
      <c r="P258" s="36">
        <v>-1.37</v>
      </c>
      <c r="Q258" s="36">
        <v>51.402999999999999</v>
      </c>
      <c r="R258" s="36">
        <v>5.3220000000000001</v>
      </c>
      <c r="S258" s="36">
        <v>50.292000000000002</v>
      </c>
      <c r="T258" s="36">
        <v>27.774000000000001</v>
      </c>
      <c r="U258" s="36">
        <v>6.1319999999999997</v>
      </c>
      <c r="V258" s="36">
        <v>9.3800000000000008</v>
      </c>
      <c r="W258" s="36">
        <v>41.939</v>
      </c>
      <c r="X258" s="36">
        <v>85.224999999999994</v>
      </c>
      <c r="Y258" s="36">
        <v>17.988</v>
      </c>
      <c r="Z258" s="36">
        <v>16.401</v>
      </c>
      <c r="AA258" s="36">
        <v>25.445</v>
      </c>
      <c r="AB258" s="36">
        <v>7.2159999999999904</v>
      </c>
      <c r="AC258" s="36">
        <v>67.05</v>
      </c>
      <c r="AD258" s="36">
        <v>2.827</v>
      </c>
      <c r="AE258" s="36">
        <v>-0.36299999999999999</v>
      </c>
      <c r="AF258" s="36">
        <v>4.0789999999999997</v>
      </c>
      <c r="AG258" s="36">
        <v>-245.59899999999999</v>
      </c>
      <c r="AH258" s="36">
        <v>-239.05600000000001</v>
      </c>
      <c r="AI258" s="36">
        <v>2.0289999999999999</v>
      </c>
      <c r="AJ258" s="36">
        <v>12.957000000000001</v>
      </c>
      <c r="AK258" s="36">
        <v>53.847000000000001</v>
      </c>
      <c r="AL258" s="36">
        <v>16.23</v>
      </c>
      <c r="AM258" s="36">
        <v>85.063000000000002</v>
      </c>
      <c r="AN258" s="36">
        <v>4.7809999999999997</v>
      </c>
      <c r="AO258" s="36">
        <v>-11.173999999999999</v>
      </c>
      <c r="AP258" s="36">
        <v>24.745000000000001</v>
      </c>
      <c r="AQ258" s="36">
        <v>11.048</v>
      </c>
      <c r="AR258" s="36">
        <v>29.4</v>
      </c>
      <c r="AS258" s="36">
        <v>3.2</v>
      </c>
      <c r="AT258" s="36">
        <v>3.4</v>
      </c>
      <c r="AU258" s="36">
        <v>18.2</v>
      </c>
      <c r="AV258" s="36">
        <v>19</v>
      </c>
      <c r="AW258" s="36">
        <v>43.8</v>
      </c>
      <c r="AX258" s="36">
        <v>-4.7</v>
      </c>
      <c r="AY258" s="36">
        <v>8.1</v>
      </c>
      <c r="AZ258" s="36">
        <v>22.3</v>
      </c>
      <c r="BA258" s="36">
        <v>66.5</v>
      </c>
      <c r="BB258" s="36">
        <v>92.2</v>
      </c>
      <c r="BC258" s="36">
        <v>5.2</v>
      </c>
      <c r="BD258" s="36">
        <v>-37.9</v>
      </c>
      <c r="BE258" s="36">
        <v>31.7</v>
      </c>
      <c r="BF258" s="36">
        <v>0.4</v>
      </c>
      <c r="BG258" s="36">
        <v>-0.6</v>
      </c>
      <c r="BH258" s="36">
        <v>6.3</v>
      </c>
      <c r="BI258" s="36">
        <v>-5.6</v>
      </c>
      <c r="BJ258" s="36">
        <v>-2.6</v>
      </c>
      <c r="BK258" s="36">
        <v>-34.200000000000003</v>
      </c>
      <c r="BL258" s="36">
        <v>-36.1</v>
      </c>
      <c r="BM258" s="36">
        <v>-95</v>
      </c>
      <c r="BN258" s="36">
        <v>5</v>
      </c>
      <c r="BO258" s="36">
        <v>11</v>
      </c>
      <c r="BP258" s="36">
        <v>34</v>
      </c>
      <c r="BQ258" s="36">
        <v>-45</v>
      </c>
      <c r="BR258" s="36">
        <v>3</v>
      </c>
      <c r="BS258" s="36">
        <v>6</v>
      </c>
      <c r="BT258" s="36">
        <v>66</v>
      </c>
      <c r="BU258" s="36">
        <v>-6</v>
      </c>
      <c r="BV258" s="36">
        <v>69</v>
      </c>
      <c r="BW258" s="36">
        <v>277</v>
      </c>
      <c r="BX258" s="36">
        <v>1</v>
      </c>
      <c r="BY258" s="6"/>
      <c r="BZ258" s="6"/>
      <c r="CA258" s="37">
        <f>(BW258+BX258)-(BY78+BZ78)*$CA$373</f>
        <v>245.28200000000001</v>
      </c>
      <c r="CB258" s="37">
        <f>-CB78*$CA$373</f>
        <v>-89.789999999999992</v>
      </c>
      <c r="CC258" s="37">
        <f>-CC78*$CA$373</f>
        <v>-89.789999999999992</v>
      </c>
      <c r="CD258" s="37">
        <f>-CD78*$CA$373</f>
        <v>-89.789999999999992</v>
      </c>
      <c r="CE258" s="37">
        <f>-CE78*$CA$373</f>
        <v>-89.789999999999992</v>
      </c>
      <c r="CF258" s="20" t="s">
        <v>429</v>
      </c>
    </row>
    <row r="259" spans="2:89" ht="15" customHeight="1" x14ac:dyDescent="0.25">
      <c r="B259" s="26" t="s">
        <v>430</v>
      </c>
      <c r="C259" s="36">
        <v>-22.338999999999999</v>
      </c>
      <c r="D259" s="36">
        <v>-31.001000000000001</v>
      </c>
      <c r="E259" s="36">
        <v>-31.61</v>
      </c>
      <c r="F259" s="36">
        <v>0.54800000000000004</v>
      </c>
      <c r="G259" s="36">
        <v>3.3380000000000001</v>
      </c>
      <c r="H259" s="36">
        <v>1.5980000000000001</v>
      </c>
      <c r="I259" s="36">
        <v>1.296</v>
      </c>
      <c r="J259" s="36">
        <v>0.09</v>
      </c>
      <c r="K259" s="36">
        <v>-2.1389999999999998</v>
      </c>
      <c r="L259" s="36">
        <v>-0.68</v>
      </c>
      <c r="M259" s="36">
        <v>-6.8000000000000005E-2</v>
      </c>
      <c r="N259" s="36">
        <v>-2.7970000000000002</v>
      </c>
      <c r="O259" s="36">
        <v>0.58699999999999997</v>
      </c>
      <c r="P259" s="36">
        <v>0.71799999999999997</v>
      </c>
      <c r="Q259" s="36">
        <v>-1.893</v>
      </c>
      <c r="R259" s="36">
        <v>2.875</v>
      </c>
      <c r="S259" s="36">
        <v>2.2869999999999999</v>
      </c>
      <c r="T259" s="36">
        <v>1.083</v>
      </c>
      <c r="U259" s="36">
        <v>-1.4790000000000001</v>
      </c>
      <c r="V259" s="36">
        <v>22.263000000000002</v>
      </c>
      <c r="W259" s="36">
        <v>-12.893000000000001</v>
      </c>
      <c r="X259" s="36">
        <v>8.1210000000000004</v>
      </c>
      <c r="Y259" s="36">
        <v>-3.3140000000000001</v>
      </c>
      <c r="Z259" s="36">
        <v>-6.4009999999999998</v>
      </c>
      <c r="AA259" s="36">
        <v>-13.092000000000001</v>
      </c>
      <c r="AB259" s="36">
        <v>-1.4630000000000001</v>
      </c>
      <c r="AC259" s="36">
        <v>-24.111999999999998</v>
      </c>
      <c r="AD259" s="36">
        <v>7.4999999999999997E-2</v>
      </c>
      <c r="AE259" s="36">
        <v>-4.468</v>
      </c>
      <c r="AF259" s="36">
        <v>-5.2249999999999996</v>
      </c>
      <c r="AG259" s="36">
        <v>-3.5390000000000001</v>
      </c>
      <c r="AH259" s="36">
        <v>-13.157</v>
      </c>
      <c r="AI259" s="36">
        <v>-2.2690000000000001</v>
      </c>
      <c r="AJ259" s="36">
        <v>-2.488</v>
      </c>
      <c r="AK259" s="36">
        <v>2.65</v>
      </c>
      <c r="AL259" s="36">
        <v>10.186</v>
      </c>
      <c r="AM259" s="36">
        <v>8.0790000000000006</v>
      </c>
      <c r="AN259" s="36">
        <v>0.495</v>
      </c>
      <c r="AO259" s="36">
        <v>14.397</v>
      </c>
      <c r="AP259" s="36">
        <v>-3.47</v>
      </c>
      <c r="AQ259" s="36">
        <v>-2.8220000000000001</v>
      </c>
      <c r="AR259" s="36">
        <v>8.6</v>
      </c>
      <c r="AS259" s="36">
        <v>-0.4</v>
      </c>
      <c r="AT259" s="36">
        <v>1.6</v>
      </c>
      <c r="AU259" s="36">
        <v>-0.4</v>
      </c>
      <c r="AV259" s="36">
        <v>1.3</v>
      </c>
      <c r="AW259" s="36">
        <v>2.1</v>
      </c>
      <c r="AX259" s="36">
        <v>-4.7</v>
      </c>
      <c r="AY259" s="36">
        <v>-2.6</v>
      </c>
      <c r="AZ259" s="36">
        <v>-1</v>
      </c>
      <c r="BA259" s="36">
        <v>-6.6</v>
      </c>
      <c r="BB259" s="36">
        <v>-14.9</v>
      </c>
      <c r="BC259" s="36">
        <v>-0.9</v>
      </c>
      <c r="BD259" s="36">
        <v>-2.5</v>
      </c>
      <c r="BE259" s="36">
        <v>2.4</v>
      </c>
      <c r="BF259" s="36">
        <v>-10.7</v>
      </c>
      <c r="BG259" s="36">
        <v>-11.7</v>
      </c>
      <c r="BH259" s="36">
        <v>-1.7</v>
      </c>
      <c r="BI259" s="36">
        <v>-2.8</v>
      </c>
      <c r="BJ259" s="36">
        <v>17.100000000000001</v>
      </c>
      <c r="BK259" s="36">
        <v>-12.8</v>
      </c>
      <c r="BL259" s="36">
        <v>-16.5</v>
      </c>
      <c r="BM259" s="36">
        <v>47</v>
      </c>
      <c r="BN259" s="36">
        <v>-2</v>
      </c>
      <c r="BO259" s="36">
        <v>-4</v>
      </c>
      <c r="BP259" s="36">
        <v>-6</v>
      </c>
      <c r="BQ259" s="36">
        <v>35</v>
      </c>
      <c r="BR259" s="36">
        <v>0</v>
      </c>
      <c r="BS259" s="36">
        <v>-6</v>
      </c>
      <c r="BT259" s="36">
        <v>-1</v>
      </c>
      <c r="BU259" s="36">
        <v>20</v>
      </c>
      <c r="BV259" s="36">
        <v>13</v>
      </c>
      <c r="BW259" s="36">
        <v>3</v>
      </c>
      <c r="BX259" s="36">
        <v>-13</v>
      </c>
      <c r="BY259" s="6"/>
      <c r="BZ259" s="6"/>
      <c r="CA259" s="37">
        <f>(BW259+BX259)</f>
        <v>-10</v>
      </c>
      <c r="CB259" s="52">
        <v>0</v>
      </c>
      <c r="CC259" s="52">
        <v>0</v>
      </c>
      <c r="CD259" s="52">
        <v>0</v>
      </c>
      <c r="CE259" s="52">
        <v>0</v>
      </c>
      <c r="CF259" s="6"/>
    </row>
    <row r="260" spans="2:89" ht="15" customHeight="1" x14ac:dyDescent="0.25">
      <c r="B260" s="26" t="s">
        <v>431</v>
      </c>
      <c r="C260" s="36">
        <v>-48.954000000000001</v>
      </c>
      <c r="D260" s="36">
        <v>-3.6869999999999998</v>
      </c>
      <c r="E260" s="36">
        <v>-19.347999999999999</v>
      </c>
      <c r="F260" s="36">
        <v>21.027999999999999</v>
      </c>
      <c r="G260" s="36">
        <v>-25.622</v>
      </c>
      <c r="H260" s="36">
        <v>-6.8360000000000003</v>
      </c>
      <c r="I260" s="36">
        <v>-62.098999999999997</v>
      </c>
      <c r="J260" s="36">
        <v>0.79500000000000004</v>
      </c>
      <c r="K260" s="36">
        <v>-61.344999999999999</v>
      </c>
      <c r="L260" s="36">
        <v>-9.048</v>
      </c>
      <c r="M260" s="36">
        <v>59.296999999999997</v>
      </c>
      <c r="N260" s="36">
        <v>-10.301</v>
      </c>
      <c r="O260" s="36">
        <v>-8.5280000000000005</v>
      </c>
      <c r="P260" s="36">
        <v>-41.222999999999999</v>
      </c>
      <c r="Q260" s="36">
        <v>4.0470000000000104</v>
      </c>
      <c r="R260" s="36">
        <v>41.046999999999997</v>
      </c>
      <c r="S260" s="36">
        <v>-4.657</v>
      </c>
      <c r="T260" s="36">
        <v>-68.489999999999995</v>
      </c>
      <c r="U260" s="36">
        <v>-67.718000000000004</v>
      </c>
      <c r="V260" s="36">
        <v>-24.885000000000002</v>
      </c>
      <c r="W260" s="36">
        <v>74.784000000000006</v>
      </c>
      <c r="X260" s="36">
        <v>-86.308999999999997</v>
      </c>
      <c r="Y260" s="36">
        <v>-68.259</v>
      </c>
      <c r="Z260" s="36">
        <v>-72.37</v>
      </c>
      <c r="AA260" s="36">
        <v>-38.298999999999999</v>
      </c>
      <c r="AB260" s="36">
        <v>83.465999999999994</v>
      </c>
      <c r="AC260" s="36">
        <v>-95.462000000000003</v>
      </c>
      <c r="AD260" s="36">
        <v>-51.814</v>
      </c>
      <c r="AE260" s="36">
        <v>-47.521000000000001</v>
      </c>
      <c r="AF260" s="36">
        <v>-42.424999999999997</v>
      </c>
      <c r="AG260" s="36">
        <v>30.21</v>
      </c>
      <c r="AH260" s="36">
        <v>-111.55</v>
      </c>
      <c r="AI260" s="36">
        <v>9.5820000000000007</v>
      </c>
      <c r="AJ260" s="36">
        <v>-124.437</v>
      </c>
      <c r="AK260" s="36">
        <v>-127.346</v>
      </c>
      <c r="AL260" s="36">
        <v>49.805</v>
      </c>
      <c r="AM260" s="36">
        <v>-192.39599999999999</v>
      </c>
      <c r="AN260" s="36">
        <v>-30.588000000000001</v>
      </c>
      <c r="AO260" s="36">
        <v>-76.784999999999997</v>
      </c>
      <c r="AP260" s="36">
        <v>-53.959000000000003</v>
      </c>
      <c r="AQ260" s="36">
        <v>74.932000000000002</v>
      </c>
      <c r="AR260" s="36">
        <v>-86.4</v>
      </c>
      <c r="AS260" s="36">
        <v>-28</v>
      </c>
      <c r="AT260" s="36">
        <v>-60.1</v>
      </c>
      <c r="AU260" s="36">
        <v>-34.9</v>
      </c>
      <c r="AV260" s="36">
        <v>55.6</v>
      </c>
      <c r="AW260" s="36">
        <v>-67.400000000000006</v>
      </c>
      <c r="AX260" s="36">
        <v>30.1</v>
      </c>
      <c r="AY260" s="36">
        <v>-84.4</v>
      </c>
      <c r="AZ260" s="36">
        <v>-55.1</v>
      </c>
      <c r="BA260" s="36">
        <v>-6</v>
      </c>
      <c r="BB260" s="36">
        <v>-115.4</v>
      </c>
      <c r="BC260" s="36">
        <v>7</v>
      </c>
      <c r="BD260" s="36">
        <v>-179.6</v>
      </c>
      <c r="BE260" s="36">
        <v>-171.6</v>
      </c>
      <c r="BF260" s="36">
        <v>127.9</v>
      </c>
      <c r="BG260" s="36">
        <v>-216.3</v>
      </c>
      <c r="BH260" s="36">
        <v>-102</v>
      </c>
      <c r="BI260" s="36">
        <v>-110.4</v>
      </c>
      <c r="BJ260" s="36">
        <v>-119.9</v>
      </c>
      <c r="BK260" s="36">
        <v>182.6</v>
      </c>
      <c r="BL260" s="36">
        <v>-149.69999999999999</v>
      </c>
      <c r="BM260" s="36">
        <v>362</v>
      </c>
      <c r="BN260" s="36">
        <v>-453</v>
      </c>
      <c r="BO260" s="36">
        <v>69</v>
      </c>
      <c r="BP260" s="36">
        <v>233</v>
      </c>
      <c r="BQ260" s="36">
        <v>211</v>
      </c>
      <c r="BR260" s="36">
        <v>-86</v>
      </c>
      <c r="BS260" s="36">
        <v>-99</v>
      </c>
      <c r="BT260" s="36">
        <v>-83</v>
      </c>
      <c r="BU260" s="36">
        <v>176</v>
      </c>
      <c r="BV260" s="36">
        <v>-92</v>
      </c>
      <c r="BW260" s="36">
        <v>201</v>
      </c>
      <c r="BX260" s="36">
        <v>-329</v>
      </c>
      <c r="BY260" s="6"/>
      <c r="BZ260" s="6"/>
      <c r="CA260" s="37">
        <f>(BW260+BX260)-(CA303-BX303-$CA$357)-(CA304-BX304-$CA$358)+(CA314-BX314-$CA$364)+(CA315-BX315)</f>
        <v>-80.318304042380646</v>
      </c>
      <c r="CB260" s="37">
        <f>-(CB303-CA303)-(CB304-CA304)+(CB314-CA314)+(CB315-CA315)</f>
        <v>-96.861081861319406</v>
      </c>
      <c r="CC260" s="37">
        <f>-(CC303-CB303)-(CC304-CB304)+(CC314-CB314)+(CC315-CB315)</f>
        <v>-125.39154380961847</v>
      </c>
      <c r="CD260" s="37">
        <f>-(CD303-CC303)-(CD304-CC304)+(CD314-CC314)+(CD315-CC315)</f>
        <v>-158.18306771435252</v>
      </c>
      <c r="CE260" s="37">
        <f>-(CE303-CD303)-(CE304-CD304)+(CE314-CD314)+(CE315-CD315)</f>
        <v>-179.28883897074442</v>
      </c>
      <c r="CF260" s="20" t="s">
        <v>432</v>
      </c>
    </row>
    <row r="261" spans="2:89" ht="15" customHeight="1" x14ac:dyDescent="0.25">
      <c r="B261" s="17" t="s">
        <v>433</v>
      </c>
      <c r="C261" s="33">
        <v>338.19200000000001</v>
      </c>
      <c r="D261" s="33">
        <v>395.56799999999998</v>
      </c>
      <c r="E261" s="33">
        <v>345.63400000000001</v>
      </c>
      <c r="F261" s="33">
        <v>318.36799999999999</v>
      </c>
      <c r="G261" s="33">
        <v>269.80799999999999</v>
      </c>
      <c r="H261" s="33">
        <v>259.09399999999999</v>
      </c>
      <c r="I261" s="33">
        <v>222.68899999999999</v>
      </c>
      <c r="J261" s="33">
        <v>18.574999999999999</v>
      </c>
      <c r="K261" s="33">
        <v>29.896999999999998</v>
      </c>
      <c r="L261" s="33">
        <v>117.173</v>
      </c>
      <c r="M261" s="33">
        <v>143.30600000000001</v>
      </c>
      <c r="N261" s="33">
        <v>308.95100000000002</v>
      </c>
      <c r="O261" s="33">
        <v>6.6120000000000001</v>
      </c>
      <c r="P261" s="33">
        <v>63.750999999999998</v>
      </c>
      <c r="Q261" s="33">
        <v>131.26499999999999</v>
      </c>
      <c r="R261" s="33">
        <v>180.03</v>
      </c>
      <c r="S261" s="33">
        <v>381.65800000000002</v>
      </c>
      <c r="T261" s="33">
        <v>35.125</v>
      </c>
      <c r="U261" s="33">
        <v>91.944000000000003</v>
      </c>
      <c r="V261" s="33">
        <v>192.51</v>
      </c>
      <c r="W261" s="33">
        <v>253.572</v>
      </c>
      <c r="X261" s="33">
        <v>573.15099999999995</v>
      </c>
      <c r="Y261" s="33">
        <v>67.007999999999996</v>
      </c>
      <c r="Z261" s="33">
        <v>136.363</v>
      </c>
      <c r="AA261" s="33">
        <v>210.697</v>
      </c>
      <c r="AB261" s="33">
        <v>264.58600000000001</v>
      </c>
      <c r="AC261" s="33">
        <v>678.654</v>
      </c>
      <c r="AD261" s="33">
        <v>74.046000000000006</v>
      </c>
      <c r="AE261" s="33">
        <v>155.553</v>
      </c>
      <c r="AF261" s="33">
        <v>188.79900000000001</v>
      </c>
      <c r="AG261" s="33">
        <v>239.48</v>
      </c>
      <c r="AH261" s="33">
        <v>657.87800000000004</v>
      </c>
      <c r="AI261" s="33">
        <v>105.012</v>
      </c>
      <c r="AJ261" s="33">
        <v>133.02099999999999</v>
      </c>
      <c r="AK261" s="33">
        <v>203.505</v>
      </c>
      <c r="AL261" s="33">
        <v>263.61</v>
      </c>
      <c r="AM261" s="33">
        <v>705.14800000000002</v>
      </c>
      <c r="AN261" s="33">
        <v>117.864</v>
      </c>
      <c r="AO261" s="33">
        <v>215.86699999999999</v>
      </c>
      <c r="AP261" s="33">
        <v>316.06700000000001</v>
      </c>
      <c r="AQ261" s="33">
        <v>316.30200000000002</v>
      </c>
      <c r="AR261" s="33">
        <v>966.1</v>
      </c>
      <c r="AS261" s="33">
        <v>106.7</v>
      </c>
      <c r="AT261" s="33">
        <v>266.5</v>
      </c>
      <c r="AU261" s="33">
        <v>310.8</v>
      </c>
      <c r="AV261" s="33">
        <v>366.1</v>
      </c>
      <c r="AW261" s="33">
        <v>1050.0999999999999</v>
      </c>
      <c r="AX261" s="33">
        <v>191.9</v>
      </c>
      <c r="AY261" s="33">
        <v>249.3</v>
      </c>
      <c r="AZ261" s="33">
        <v>339.1</v>
      </c>
      <c r="BA261" s="33">
        <v>357.4</v>
      </c>
      <c r="BB261" s="33">
        <v>1137.7</v>
      </c>
      <c r="BC261" s="33">
        <v>169.9</v>
      </c>
      <c r="BD261" s="33">
        <v>116.3</v>
      </c>
      <c r="BE261" s="33">
        <v>274.5</v>
      </c>
      <c r="BF261" s="33">
        <v>430.5</v>
      </c>
      <c r="BG261" s="33">
        <v>991.2</v>
      </c>
      <c r="BH261" s="33">
        <v>160.5</v>
      </c>
      <c r="BI261" s="33">
        <v>358</v>
      </c>
      <c r="BJ261" s="33">
        <v>454</v>
      </c>
      <c r="BK261" s="33">
        <v>555.9</v>
      </c>
      <c r="BL261" s="33">
        <v>1528.4</v>
      </c>
      <c r="BM261" s="33">
        <v>172</v>
      </c>
      <c r="BN261" s="33">
        <v>1</v>
      </c>
      <c r="BO261" s="33">
        <v>600</v>
      </c>
      <c r="BP261" s="33">
        <v>686</v>
      </c>
      <c r="BQ261" s="33">
        <v>1459</v>
      </c>
      <c r="BR261" s="33">
        <v>218</v>
      </c>
      <c r="BS261" s="33">
        <v>387</v>
      </c>
      <c r="BT261" s="33">
        <v>551</v>
      </c>
      <c r="BU261" s="33">
        <v>629</v>
      </c>
      <c r="BV261" s="33">
        <v>1785</v>
      </c>
      <c r="BW261" s="33">
        <v>227</v>
      </c>
      <c r="BX261" s="33">
        <v>112</v>
      </c>
      <c r="BY261" s="57"/>
      <c r="BZ261" s="57"/>
      <c r="CA261" s="34">
        <f>SUM(CA253:CA260)</f>
        <v>1573.2178187962054</v>
      </c>
      <c r="CB261" s="34">
        <f>SUM(CB253:CB260)</f>
        <v>2503.4863116720453</v>
      </c>
      <c r="CC261" s="34">
        <f>SUM(CC253:CC260)</f>
        <v>2965.5541674927331</v>
      </c>
      <c r="CD261" s="34">
        <f>SUM(CD253:CD260)</f>
        <v>3382.3274402201059</v>
      </c>
      <c r="CE261" s="34">
        <f>SUM(CE253:CE260)</f>
        <v>3798.1089790816004</v>
      </c>
      <c r="CF261" s="6"/>
      <c r="CH261" s="21">
        <f>IFERROR((CE261/BV261)^(1/5)-1,"n/m")</f>
        <v>0.16301640373568382</v>
      </c>
      <c r="CI261" s="21">
        <f>IFERROR((BV261/AW261)^(1/5)-1,"n/m")</f>
        <v>0.11194040692810803</v>
      </c>
      <c r="CJ261" s="21">
        <f>IFERROR((BV261/X261)^(1/10)-1,"n/m")</f>
        <v>0.12030665696391707</v>
      </c>
      <c r="CK261" s="21">
        <f>IFERROR((BV261/C261)^(1/19)-1,"n/m")</f>
        <v>9.1503152114190467E-2</v>
      </c>
    </row>
    <row r="262" spans="2:89" ht="15" customHeight="1" x14ac:dyDescent="0.25">
      <c r="B262" s="26" t="s">
        <v>434</v>
      </c>
      <c r="C262" s="36">
        <v>-265.976</v>
      </c>
      <c r="D262" s="36">
        <v>-264.923</v>
      </c>
      <c r="E262" s="36">
        <v>-258.24599999999998</v>
      </c>
      <c r="F262" s="36">
        <v>-139.22999999999999</v>
      </c>
      <c r="G262" s="36">
        <v>-135.916</v>
      </c>
      <c r="H262" s="36">
        <v>-155.363</v>
      </c>
      <c r="I262" s="36">
        <v>-151.023</v>
      </c>
      <c r="J262" s="36">
        <v>-21.88</v>
      </c>
      <c r="K262" s="36">
        <v>-28.122</v>
      </c>
      <c r="L262" s="36">
        <v>-52.34</v>
      </c>
      <c r="M262" s="36">
        <v>-52.890999999999998</v>
      </c>
      <c r="N262" s="36">
        <v>-155.233</v>
      </c>
      <c r="O262" s="36">
        <v>-36.912999999999997</v>
      </c>
      <c r="P262" s="36">
        <v>-47.823999999999998</v>
      </c>
      <c r="Q262" s="36">
        <v>-53.832999999999998</v>
      </c>
      <c r="R262" s="36">
        <v>-93.613</v>
      </c>
      <c r="S262" s="36">
        <v>-232.18299999999999</v>
      </c>
      <c r="T262" s="36">
        <v>-56.085000000000001</v>
      </c>
      <c r="U262" s="36">
        <v>-71.905000000000001</v>
      </c>
      <c r="V262" s="36">
        <v>-84.456999999999994</v>
      </c>
      <c r="W262" s="36">
        <v>-105.785</v>
      </c>
      <c r="X262" s="36">
        <v>-318.23200000000003</v>
      </c>
      <c r="Y262" s="36">
        <v>-94.227999999999994</v>
      </c>
      <c r="Z262" s="36">
        <v>-116.331</v>
      </c>
      <c r="AA262" s="36">
        <v>-74.921999999999997</v>
      </c>
      <c r="AB262" s="36">
        <v>-101.786</v>
      </c>
      <c r="AC262" s="36">
        <v>-387.267</v>
      </c>
      <c r="AD262" s="36">
        <v>-102.095</v>
      </c>
      <c r="AE262" s="36">
        <v>-113.994</v>
      </c>
      <c r="AF262" s="36">
        <v>-92.656000000000006</v>
      </c>
      <c r="AG262" s="36">
        <v>-101.58</v>
      </c>
      <c r="AH262" s="36">
        <v>-410.32499999999999</v>
      </c>
      <c r="AI262" s="36">
        <v>-96.259</v>
      </c>
      <c r="AJ262" s="36">
        <v>-92.010999999999996</v>
      </c>
      <c r="AK262" s="36">
        <v>-73.885000000000005</v>
      </c>
      <c r="AL262" s="36">
        <v>-113.79900000000001</v>
      </c>
      <c r="AM262" s="36">
        <v>-375.95400000000001</v>
      </c>
      <c r="AN262" s="36">
        <v>-130.05600000000001</v>
      </c>
      <c r="AO262" s="36">
        <v>-77.396000000000001</v>
      </c>
      <c r="AP262" s="36">
        <v>-75.546000000000006</v>
      </c>
      <c r="AQ262" s="36">
        <v>-110.502</v>
      </c>
      <c r="AR262" s="36">
        <v>-393.5</v>
      </c>
      <c r="AS262" s="36">
        <v>-104.1</v>
      </c>
      <c r="AT262" s="36">
        <v>-71.599999999999994</v>
      </c>
      <c r="AU262" s="36">
        <v>-75.099999999999994</v>
      </c>
      <c r="AV262" s="36">
        <v>-108.9</v>
      </c>
      <c r="AW262" s="36">
        <v>-359.7</v>
      </c>
      <c r="AX262" s="36">
        <v>-110.3</v>
      </c>
      <c r="AY262" s="36">
        <v>-102.7</v>
      </c>
      <c r="AZ262" s="36">
        <v>-108.3</v>
      </c>
      <c r="BA262" s="36">
        <v>-101.8</v>
      </c>
      <c r="BB262" s="36">
        <v>-423.1</v>
      </c>
      <c r="BC262" s="36">
        <v>-139.80000000000001</v>
      </c>
      <c r="BD262" s="36">
        <v>-80.900000000000006</v>
      </c>
      <c r="BE262" s="36">
        <v>-88.4</v>
      </c>
      <c r="BF262" s="36">
        <v>-172.7</v>
      </c>
      <c r="BG262" s="36">
        <v>-481.8</v>
      </c>
      <c r="BH262" s="36">
        <v>-173.9</v>
      </c>
      <c r="BI262" s="36">
        <v>-119.5</v>
      </c>
      <c r="BJ262" s="36">
        <v>-170.7</v>
      </c>
      <c r="BK262" s="36">
        <v>-186.2</v>
      </c>
      <c r="BL262" s="36">
        <v>-650.29999999999995</v>
      </c>
      <c r="BM262" s="36">
        <v>-200</v>
      </c>
      <c r="BN262" s="36">
        <v>-139</v>
      </c>
      <c r="BO262" s="36">
        <v>-283</v>
      </c>
      <c r="BP262" s="36">
        <v>-233</v>
      </c>
      <c r="BQ262" s="36">
        <v>-855</v>
      </c>
      <c r="BR262" s="36">
        <v>-233</v>
      </c>
      <c r="BS262" s="36">
        <v>-179</v>
      </c>
      <c r="BT262" s="36">
        <v>-190</v>
      </c>
      <c r="BU262" s="36">
        <v>-205</v>
      </c>
      <c r="BV262" s="36">
        <v>-807</v>
      </c>
      <c r="BW262" s="36">
        <v>-186</v>
      </c>
      <c r="BX262" s="36">
        <v>-128</v>
      </c>
      <c r="BY262" s="6"/>
      <c r="BZ262" s="6"/>
      <c r="CA262" s="37">
        <f>-$CP$19-(BY74+BZ74)*$CA$374</f>
        <v>-635.25128321083116</v>
      </c>
      <c r="CB262" s="37">
        <f>-CB158*CB286</f>
        <v>-981.68190469065905</v>
      </c>
      <c r="CC262" s="37">
        <f>-CC158*CC286</f>
        <v>-1060.2490072574433</v>
      </c>
      <c r="CD262" s="37">
        <f>-CD158*CD286</f>
        <v>-1149.3628616342535</v>
      </c>
      <c r="CE262" s="37">
        <f>-CE158*CE286</f>
        <v>-1248.5771844491007</v>
      </c>
      <c r="CF262" s="20" t="s">
        <v>435</v>
      </c>
    </row>
    <row r="263" spans="2:89" ht="15" customHeight="1" x14ac:dyDescent="0.25">
      <c r="B263" s="26" t="s">
        <v>436</v>
      </c>
      <c r="C263" s="36">
        <v>-3.036</v>
      </c>
      <c r="D263" s="36">
        <v>-12.211</v>
      </c>
      <c r="E263" s="36">
        <v>-218.54400000000001</v>
      </c>
      <c r="F263" s="36">
        <v>-49.593000000000004</v>
      </c>
      <c r="G263" s="36">
        <v>-43.298999999999999</v>
      </c>
      <c r="H263" s="36">
        <v>-91.569000000000003</v>
      </c>
      <c r="I263" s="36">
        <v>-0.16</v>
      </c>
      <c r="J263" s="36">
        <v>-2.629</v>
      </c>
      <c r="K263" s="36">
        <v>-0.61699999999999999</v>
      </c>
      <c r="L263" s="36">
        <v>-61.186</v>
      </c>
      <c r="M263" s="36">
        <v>-4.5999999999992297E-2</v>
      </c>
      <c r="N263" s="36">
        <v>-64.477999999999994</v>
      </c>
      <c r="O263" s="36">
        <v>-0.05</v>
      </c>
      <c r="P263" s="36">
        <v>-6.7000000000000004E-2</v>
      </c>
      <c r="Q263" s="36">
        <v>-5.7000000000000002E-2</v>
      </c>
      <c r="R263" s="36">
        <v>-1.4999999999999999E-2</v>
      </c>
      <c r="S263" s="36">
        <v>-0.189</v>
      </c>
      <c r="T263" s="36">
        <v>-10.589</v>
      </c>
      <c r="U263" s="36">
        <v>-0.123999999999999</v>
      </c>
      <c r="V263" s="36">
        <v>-3.50000000000001E-2</v>
      </c>
      <c r="W263" s="36">
        <v>-32.466999999999999</v>
      </c>
      <c r="X263" s="36">
        <v>-43.215000000000003</v>
      </c>
      <c r="Y263" s="36">
        <v>-123</v>
      </c>
      <c r="Z263" s="36">
        <v>0</v>
      </c>
      <c r="AA263" s="36">
        <v>-55.689</v>
      </c>
      <c r="AB263" s="36">
        <v>-7.9000000000007703E-2</v>
      </c>
      <c r="AC263" s="36">
        <v>-178.768</v>
      </c>
      <c r="AD263" s="36">
        <v>0</v>
      </c>
      <c r="AE263" s="36">
        <v>-2.2000000000000002</v>
      </c>
      <c r="AF263" s="36">
        <v>-5</v>
      </c>
      <c r="AG263" s="36">
        <v>-4.8949999999999996</v>
      </c>
      <c r="AH263" s="36">
        <v>-12.095000000000001</v>
      </c>
      <c r="AJ263" s="36">
        <v>-1645.6980000000001</v>
      </c>
      <c r="AK263" s="36">
        <v>5</v>
      </c>
      <c r="AL263" s="36">
        <v>-1.43899999999985</v>
      </c>
      <c r="AM263" s="36">
        <v>-1642.1369999999999</v>
      </c>
      <c r="AO263" s="36">
        <v>0</v>
      </c>
      <c r="AP263" s="36">
        <v>0</v>
      </c>
      <c r="AQ263" s="36">
        <v>0</v>
      </c>
      <c r="AR263" s="36">
        <v>0</v>
      </c>
      <c r="AT263" s="36">
        <v>-2.2999999999999998</v>
      </c>
      <c r="AU263" s="36">
        <v>-61.7</v>
      </c>
      <c r="AV263" s="36">
        <v>-1.0999999999999901</v>
      </c>
      <c r="AW263" s="36">
        <v>-65.099999999999994</v>
      </c>
      <c r="AY263" s="36">
        <v>-653.20000000000005</v>
      </c>
      <c r="AZ263" s="36">
        <v>-139.69999999999999</v>
      </c>
      <c r="BA263" s="36">
        <v>-2316.3000000000002</v>
      </c>
      <c r="BB263" s="36">
        <v>-3109.2</v>
      </c>
      <c r="BC263" s="36">
        <v>18.8</v>
      </c>
      <c r="BD263" s="36">
        <v>-7.8</v>
      </c>
      <c r="BE263" s="36">
        <v>0</v>
      </c>
      <c r="BF263" s="36">
        <v>0</v>
      </c>
      <c r="BG263" s="36">
        <v>11</v>
      </c>
      <c r="BH263" s="36">
        <v>0</v>
      </c>
      <c r="BI263" s="36">
        <v>0</v>
      </c>
      <c r="BJ263" s="36">
        <v>0</v>
      </c>
      <c r="BK263" s="36">
        <v>0</v>
      </c>
      <c r="BL263" s="36">
        <v>0</v>
      </c>
      <c r="BM263" s="36">
        <v>-488</v>
      </c>
      <c r="BN263" s="36">
        <v>-2050</v>
      </c>
      <c r="BO263" s="36">
        <v>0</v>
      </c>
      <c r="BP263" s="36">
        <v>-1104</v>
      </c>
      <c r="BQ263" s="36">
        <v>-3642</v>
      </c>
      <c r="BR263" s="36">
        <v>0</v>
      </c>
      <c r="BS263" s="36">
        <v>0</v>
      </c>
      <c r="BT263" s="36">
        <v>-577</v>
      </c>
      <c r="BU263" s="36">
        <v>-108</v>
      </c>
      <c r="BV263" s="36">
        <v>-685</v>
      </c>
      <c r="BW263" s="36">
        <v>20</v>
      </c>
      <c r="BX263" s="36">
        <v>-753</v>
      </c>
      <c r="BY263" s="6"/>
      <c r="BZ263" s="6"/>
      <c r="CA263" s="37">
        <f>(BW263+BX263)-($CA$353-$CA$354)</f>
        <v>-7929</v>
      </c>
      <c r="CB263" s="37">
        <f>-CB97</f>
        <v>0</v>
      </c>
      <c r="CC263" s="37">
        <f>-CC97</f>
        <v>-500</v>
      </c>
      <c r="CD263" s="37">
        <f>-CD97</f>
        <v>-750</v>
      </c>
      <c r="CE263" s="37">
        <f>-CE97</f>
        <v>-750</v>
      </c>
      <c r="CF263" s="20" t="s">
        <v>437</v>
      </c>
    </row>
    <row r="264" spans="2:89" ht="15" customHeight="1" x14ac:dyDescent="0.25">
      <c r="B264" s="26" t="s">
        <v>438</v>
      </c>
      <c r="C264" s="36">
        <v>30.588999999999999</v>
      </c>
      <c r="D264" s="36">
        <v>21.106999999999999</v>
      </c>
      <c r="E264" s="36">
        <v>26.027999999999999</v>
      </c>
      <c r="F264" s="36">
        <v>7.7919999999999998</v>
      </c>
      <c r="G264" s="36">
        <v>5.0330000000000004</v>
      </c>
      <c r="H264" s="36">
        <v>8.0079999999999991</v>
      </c>
      <c r="I264" s="36">
        <v>9.9730000000000008</v>
      </c>
      <c r="J264" s="36">
        <v>1.58</v>
      </c>
      <c r="K264" s="36">
        <v>0.29399999999999998</v>
      </c>
      <c r="L264" s="36">
        <v>1.3340000000000001</v>
      </c>
      <c r="M264" s="36">
        <v>5.3559999999999999</v>
      </c>
      <c r="N264" s="36">
        <v>8.5640000000000001</v>
      </c>
      <c r="O264" s="36">
        <v>1.401</v>
      </c>
      <c r="P264" s="36">
        <v>0.753</v>
      </c>
      <c r="Q264" s="36">
        <v>111.004</v>
      </c>
      <c r="R264" s="36">
        <v>8.827</v>
      </c>
      <c r="S264" s="36">
        <v>121.985</v>
      </c>
      <c r="T264" s="36">
        <v>1.4750000000000001</v>
      </c>
      <c r="U264" s="36">
        <v>0.497</v>
      </c>
      <c r="V264" s="36">
        <v>420.07299999999998</v>
      </c>
      <c r="W264" s="36">
        <v>26.077000000000002</v>
      </c>
      <c r="X264" s="36">
        <v>448.12200000000001</v>
      </c>
      <c r="Y264" s="36">
        <v>3.415</v>
      </c>
      <c r="Z264" s="36">
        <v>1.0589999999999999</v>
      </c>
      <c r="AA264" s="36">
        <v>0.74199999999999999</v>
      </c>
      <c r="AB264" s="36">
        <v>1.26</v>
      </c>
      <c r="AC264" s="36">
        <v>6.476</v>
      </c>
      <c r="AD264" s="36">
        <v>0.53900000000000003</v>
      </c>
      <c r="AE264" s="36">
        <v>31.55</v>
      </c>
      <c r="AF264" s="36">
        <v>1.0489999999999999</v>
      </c>
      <c r="AG264" s="36">
        <v>2.8029999999999999</v>
      </c>
      <c r="AH264" s="36">
        <v>35.941000000000003</v>
      </c>
      <c r="AI264" s="36">
        <v>2.528</v>
      </c>
      <c r="AJ264" s="36">
        <v>55.685000000000002</v>
      </c>
      <c r="AK264" s="36">
        <v>5.2469999999999999</v>
      </c>
      <c r="AL264" s="36">
        <v>5.6539999999999999</v>
      </c>
      <c r="AM264" s="36">
        <v>69.114000000000004</v>
      </c>
      <c r="AN264" s="36">
        <v>2.927</v>
      </c>
      <c r="AO264" s="36">
        <v>3.07</v>
      </c>
      <c r="AP264" s="36">
        <v>0.98399999999999999</v>
      </c>
      <c r="AQ264" s="36">
        <v>1.419</v>
      </c>
      <c r="AR264" s="36">
        <v>8.4</v>
      </c>
      <c r="AS264" s="36">
        <v>15.9</v>
      </c>
      <c r="AT264" s="36">
        <v>2</v>
      </c>
      <c r="AU264" s="36">
        <v>123.3</v>
      </c>
      <c r="AV264" s="36">
        <v>1.1000000000000201</v>
      </c>
      <c r="AW264" s="36">
        <v>142.30000000000001</v>
      </c>
      <c r="AX264" s="36">
        <v>12.2</v>
      </c>
      <c r="AY264" s="36">
        <v>19.7</v>
      </c>
      <c r="AZ264" s="36">
        <v>9.5</v>
      </c>
      <c r="BA264" s="36">
        <v>1.4</v>
      </c>
      <c r="BB264" s="36">
        <v>42.8</v>
      </c>
      <c r="BC264" s="36">
        <v>1</v>
      </c>
      <c r="BD264" s="36">
        <v>643.4</v>
      </c>
      <c r="BE264" s="36">
        <v>34.700000000000102</v>
      </c>
      <c r="BF264" s="36">
        <v>8</v>
      </c>
      <c r="BG264" s="36">
        <v>687.1</v>
      </c>
      <c r="BH264" s="36">
        <v>22.3</v>
      </c>
      <c r="BI264" s="36">
        <v>73.2</v>
      </c>
      <c r="BJ264" s="36">
        <v>2.8</v>
      </c>
      <c r="BK264" s="36">
        <v>328.2</v>
      </c>
      <c r="BL264" s="36">
        <v>426.5</v>
      </c>
      <c r="BM264" s="36">
        <v>2107</v>
      </c>
      <c r="BN264" s="36">
        <v>14</v>
      </c>
      <c r="BO264" s="36">
        <v>7</v>
      </c>
      <c r="BP264" s="36">
        <v>32</v>
      </c>
      <c r="BQ264" s="36">
        <v>2160</v>
      </c>
      <c r="BR264" s="36">
        <v>2</v>
      </c>
      <c r="BS264" s="36">
        <v>16</v>
      </c>
      <c r="BT264" s="36">
        <v>11</v>
      </c>
      <c r="BU264" s="36">
        <v>9</v>
      </c>
      <c r="BV264" s="36">
        <v>38</v>
      </c>
      <c r="BW264" s="36">
        <v>452</v>
      </c>
      <c r="BX264" s="36">
        <v>17</v>
      </c>
      <c r="BY264" s="6"/>
      <c r="BZ264" s="6"/>
      <c r="CA264" s="37">
        <f>(BW264+BX264)</f>
        <v>469</v>
      </c>
      <c r="CB264" s="52">
        <v>0</v>
      </c>
      <c r="CC264" s="52">
        <v>0</v>
      </c>
      <c r="CD264" s="52">
        <v>0</v>
      </c>
      <c r="CE264" s="52">
        <v>0</v>
      </c>
      <c r="CF264" s="6"/>
    </row>
    <row r="265" spans="2:89" ht="15" customHeight="1" x14ac:dyDescent="0.25">
      <c r="B265" s="26" t="s">
        <v>439</v>
      </c>
      <c r="C265" s="36">
        <v>25</v>
      </c>
      <c r="D265" s="36">
        <v>0</v>
      </c>
      <c r="E265" s="36">
        <v>0</v>
      </c>
      <c r="F265" s="36">
        <v>-4</v>
      </c>
      <c r="G265" s="36">
        <v>0</v>
      </c>
      <c r="H265" s="36">
        <v>0</v>
      </c>
      <c r="I265" s="36">
        <v>-2</v>
      </c>
      <c r="J265" s="36">
        <v>0</v>
      </c>
      <c r="K265" s="36">
        <v>0</v>
      </c>
      <c r="L265" s="36">
        <v>-3.4020000000000001</v>
      </c>
      <c r="M265" s="36">
        <v>0</v>
      </c>
      <c r="N265" s="36">
        <v>-3.4020000000000001</v>
      </c>
      <c r="O265" s="36">
        <v>0</v>
      </c>
      <c r="P265" s="36">
        <v>0.52900000000000003</v>
      </c>
      <c r="Q265" s="36">
        <v>60.207999999999998</v>
      </c>
      <c r="R265" s="36">
        <v>0.32500000000000001</v>
      </c>
      <c r="S265" s="36">
        <v>61.061999999999998</v>
      </c>
      <c r="T265" s="36">
        <v>1.8080000000000001</v>
      </c>
      <c r="U265" s="36">
        <v>0</v>
      </c>
      <c r="V265" s="36">
        <v>-0.107</v>
      </c>
      <c r="W265" s="36">
        <v>0.17</v>
      </c>
      <c r="X265" s="36">
        <v>1.871</v>
      </c>
      <c r="Y265" s="36">
        <v>3.4460000000000002</v>
      </c>
      <c r="Z265" s="36">
        <v>0</v>
      </c>
      <c r="AA265" s="36">
        <v>0.8</v>
      </c>
      <c r="AB265" s="36">
        <v>0</v>
      </c>
      <c r="AC265" s="36">
        <v>4.2460000000000004</v>
      </c>
      <c r="AD265" s="36">
        <v>0</v>
      </c>
      <c r="AE265" s="36">
        <v>0</v>
      </c>
      <c r="AF265" s="36">
        <v>-2.024</v>
      </c>
      <c r="AG265" s="36">
        <v>2.024</v>
      </c>
      <c r="AH265" s="36">
        <v>0</v>
      </c>
      <c r="AI265" s="36">
        <v>9.9000000000000005E-2</v>
      </c>
      <c r="AJ265" s="36">
        <v>0.32500000000000001</v>
      </c>
      <c r="AK265" s="36">
        <v>0.34699999999999998</v>
      </c>
      <c r="AL265" s="36">
        <v>0</v>
      </c>
      <c r="AM265" s="36">
        <v>0.77100000000000002</v>
      </c>
      <c r="AN265" s="36">
        <v>-0.40699999999999997</v>
      </c>
      <c r="AO265" s="36">
        <v>-2.3E-2</v>
      </c>
      <c r="AP265" s="36">
        <v>-0.22500000000000001</v>
      </c>
      <c r="AQ265" s="36">
        <v>-0.14499999999999999</v>
      </c>
      <c r="AR265" s="36">
        <v>-0.8</v>
      </c>
      <c r="AS265" s="36">
        <v>-7.3</v>
      </c>
      <c r="AT265" s="36">
        <v>-3.4</v>
      </c>
      <c r="AU265" s="36">
        <v>-7.4</v>
      </c>
      <c r="AV265" s="36">
        <v>-109.1</v>
      </c>
      <c r="AW265" s="36">
        <v>-127.2</v>
      </c>
      <c r="AX265" s="36">
        <v>9.8000000000000007</v>
      </c>
      <c r="AY265" s="36">
        <v>1.4</v>
      </c>
      <c r="AZ265" s="36">
        <v>2.7</v>
      </c>
      <c r="BA265" s="36">
        <v>1</v>
      </c>
      <c r="BB265" s="36">
        <v>14.9</v>
      </c>
      <c r="BC265" s="36">
        <v>-3</v>
      </c>
      <c r="BD265" s="36">
        <v>1.8</v>
      </c>
      <c r="BE265" s="36">
        <v>-704.2</v>
      </c>
      <c r="BF265" s="36">
        <v>5.3</v>
      </c>
      <c r="BG265" s="36">
        <v>-700.1</v>
      </c>
      <c r="BH265" s="36">
        <v>-0.8</v>
      </c>
      <c r="BI265" s="36">
        <v>1.4</v>
      </c>
      <c r="BJ265" s="36">
        <v>691.5</v>
      </c>
      <c r="BK265" s="36">
        <v>-9.6</v>
      </c>
      <c r="BL265" s="36">
        <v>682.5</v>
      </c>
      <c r="BM265" s="36">
        <v>6</v>
      </c>
      <c r="BN265" s="36">
        <v>-16</v>
      </c>
      <c r="BO265" s="36">
        <v>-22</v>
      </c>
      <c r="BP265" s="36">
        <v>-75</v>
      </c>
      <c r="BQ265" s="36">
        <v>-107</v>
      </c>
      <c r="BR265" s="36">
        <v>-31</v>
      </c>
      <c r="BS265" s="36">
        <v>-27</v>
      </c>
      <c r="BT265" s="36">
        <v>-5</v>
      </c>
      <c r="BU265" s="36">
        <v>-71</v>
      </c>
      <c r="BV265" s="36">
        <v>-134</v>
      </c>
      <c r="BW265" s="36">
        <v>7</v>
      </c>
      <c r="BX265" s="36">
        <v>3</v>
      </c>
      <c r="BY265" s="6"/>
      <c r="BZ265" s="6"/>
      <c r="CA265" s="37">
        <f>(BW265+BX265)</f>
        <v>10</v>
      </c>
      <c r="CB265" s="52">
        <v>0</v>
      </c>
      <c r="CC265" s="52">
        <v>0</v>
      </c>
      <c r="CD265" s="52">
        <v>0</v>
      </c>
      <c r="CE265" s="52">
        <v>0</v>
      </c>
      <c r="CF265" s="6"/>
    </row>
    <row r="266" spans="2:89" ht="15" customHeight="1" x14ac:dyDescent="0.25">
      <c r="B266" s="17" t="s">
        <v>440</v>
      </c>
      <c r="C266" s="33">
        <v>-213.423</v>
      </c>
      <c r="D266" s="33">
        <v>-256.02699999999999</v>
      </c>
      <c r="E266" s="33">
        <v>-450.762</v>
      </c>
      <c r="F266" s="33">
        <v>-185.03100000000001</v>
      </c>
      <c r="G266" s="33">
        <v>-174.18199999999999</v>
      </c>
      <c r="H266" s="33">
        <v>-238.92400000000001</v>
      </c>
      <c r="I266" s="33">
        <v>-143.21</v>
      </c>
      <c r="J266" s="33">
        <v>-22.928999999999998</v>
      </c>
      <c r="K266" s="33">
        <v>-28.445</v>
      </c>
      <c r="L266" s="33">
        <v>-115.59399999999999</v>
      </c>
      <c r="M266" s="33">
        <v>-47.581000000000003</v>
      </c>
      <c r="N266" s="33">
        <v>-214.54900000000001</v>
      </c>
      <c r="O266" s="33">
        <v>-35.561999999999998</v>
      </c>
      <c r="P266" s="33">
        <v>-46.609000000000002</v>
      </c>
      <c r="Q266" s="33">
        <v>117.322</v>
      </c>
      <c r="R266" s="33">
        <v>-84.475999999999999</v>
      </c>
      <c r="S266" s="33">
        <v>-49.325000000000003</v>
      </c>
      <c r="T266" s="33">
        <v>-63.390999999999998</v>
      </c>
      <c r="U266" s="33">
        <v>-71.531999999999996</v>
      </c>
      <c r="V266" s="33">
        <v>335.47399999999999</v>
      </c>
      <c r="W266" s="33">
        <v>-112.005</v>
      </c>
      <c r="X266" s="33">
        <v>88.546000000000006</v>
      </c>
      <c r="Y266" s="33">
        <v>-210.36699999999999</v>
      </c>
      <c r="Z266" s="33">
        <v>-115.27200000000001</v>
      </c>
      <c r="AA266" s="33">
        <v>-129.06899999999999</v>
      </c>
      <c r="AB266" s="33">
        <v>-100.605</v>
      </c>
      <c r="AC266" s="33">
        <v>-555.31299999999999</v>
      </c>
      <c r="AD266" s="33">
        <v>-101.556</v>
      </c>
      <c r="AE266" s="33">
        <v>-84.644000000000005</v>
      </c>
      <c r="AF266" s="33">
        <v>-98.631</v>
      </c>
      <c r="AG266" s="33">
        <v>-101.648</v>
      </c>
      <c r="AH266" s="33">
        <v>-386.47899999999998</v>
      </c>
      <c r="AI266" s="33">
        <v>-93.632000000000005</v>
      </c>
      <c r="AJ266" s="33">
        <v>-1681.6990000000001</v>
      </c>
      <c r="AK266" s="33">
        <v>-63.291000000000203</v>
      </c>
      <c r="AL266" s="33">
        <v>-109.584</v>
      </c>
      <c r="AM266" s="33">
        <v>-1948.2059999999999</v>
      </c>
      <c r="AN266" s="33">
        <v>-127.536</v>
      </c>
      <c r="AO266" s="33">
        <v>-74.349000000000004</v>
      </c>
      <c r="AP266" s="33">
        <v>-74.787000000000006</v>
      </c>
      <c r="AQ266" s="33">
        <v>-109.22799999999999</v>
      </c>
      <c r="AR266" s="33">
        <v>-385.9</v>
      </c>
      <c r="AS266" s="33">
        <v>-95.5</v>
      </c>
      <c r="AT266" s="33">
        <v>-75.3</v>
      </c>
      <c r="AU266" s="33">
        <v>-20.9</v>
      </c>
      <c r="AV266" s="33">
        <v>-218</v>
      </c>
      <c r="AW266" s="33">
        <v>-409.7</v>
      </c>
      <c r="AX266" s="33">
        <v>-88.3</v>
      </c>
      <c r="AY266" s="33">
        <v>-734.8</v>
      </c>
      <c r="AZ266" s="33">
        <v>-235.8</v>
      </c>
      <c r="BA266" s="33">
        <v>-2415.6999999999998</v>
      </c>
      <c r="BB266" s="33">
        <v>-3474.6</v>
      </c>
      <c r="BC266" s="33">
        <v>-123</v>
      </c>
      <c r="BD266" s="33">
        <v>556.5</v>
      </c>
      <c r="BE266" s="33">
        <v>-757.9</v>
      </c>
      <c r="BF266" s="33">
        <v>-159.4</v>
      </c>
      <c r="BG266" s="33">
        <v>-483.8</v>
      </c>
      <c r="BH266" s="33">
        <v>-152.4</v>
      </c>
      <c r="BI266" s="33">
        <v>-44.9</v>
      </c>
      <c r="BJ266" s="33">
        <v>523.6</v>
      </c>
      <c r="BK266" s="33">
        <v>132.4</v>
      </c>
      <c r="BL266" s="33">
        <v>458.7</v>
      </c>
      <c r="BM266" s="33">
        <v>1425</v>
      </c>
      <c r="BN266" s="33">
        <v>-2191</v>
      </c>
      <c r="BO266" s="33">
        <v>-298</v>
      </c>
      <c r="BP266" s="33">
        <v>-1380</v>
      </c>
      <c r="BQ266" s="33">
        <v>-2444</v>
      </c>
      <c r="BR266" s="33">
        <v>-262</v>
      </c>
      <c r="BS266" s="33">
        <v>-190</v>
      </c>
      <c r="BT266" s="33">
        <v>-761</v>
      </c>
      <c r="BU266" s="33">
        <v>-375</v>
      </c>
      <c r="BV266" s="33">
        <v>-1588</v>
      </c>
      <c r="BW266" s="33">
        <v>293</v>
      </c>
      <c r="BX266" s="33">
        <v>-861</v>
      </c>
      <c r="BY266" s="57"/>
      <c r="BZ266" s="57"/>
      <c r="CA266" s="34">
        <f>SUM(CA262:CA265)</f>
        <v>-8085.2512832108314</v>
      </c>
      <c r="CB266" s="34">
        <f>SUM(CB262:CB265)</f>
        <v>-981.68190469065905</v>
      </c>
      <c r="CC266" s="34">
        <f>SUM(CC262:CC265)</f>
        <v>-1560.2490072574433</v>
      </c>
      <c r="CD266" s="34">
        <f>SUM(CD262:CD265)</f>
        <v>-1899.3628616342535</v>
      </c>
      <c r="CE266" s="34">
        <f>SUM(CE262:CE265)</f>
        <v>-1998.5771844491007</v>
      </c>
      <c r="CF266" s="6"/>
    </row>
    <row r="267" spans="2:89" ht="15" customHeight="1" x14ac:dyDescent="0.25">
      <c r="B267" s="26" t="s">
        <v>441</v>
      </c>
      <c r="C267" s="36">
        <v>0.53700000000000003</v>
      </c>
      <c r="D267" s="36">
        <v>543.45299999999997</v>
      </c>
      <c r="E267" s="36">
        <v>297.83699999999999</v>
      </c>
      <c r="F267" s="36">
        <v>330</v>
      </c>
      <c r="G267" s="36">
        <v>200</v>
      </c>
      <c r="H267" s="36">
        <v>495</v>
      </c>
      <c r="I267" s="36">
        <v>181</v>
      </c>
      <c r="J267" s="36">
        <v>60</v>
      </c>
      <c r="K267" s="36">
        <v>235.5</v>
      </c>
      <c r="L267" s="36">
        <v>60</v>
      </c>
      <c r="M267" s="36">
        <v>248.917</v>
      </c>
      <c r="N267" s="36">
        <v>604.41700000000003</v>
      </c>
      <c r="O267" s="36">
        <v>60</v>
      </c>
      <c r="P267" s="36">
        <v>40</v>
      </c>
      <c r="Q267" s="36">
        <v>768.76199999999994</v>
      </c>
      <c r="R267" s="36">
        <v>0</v>
      </c>
      <c r="S267" s="36">
        <v>868.76199999999994</v>
      </c>
      <c r="T267" s="36">
        <v>0</v>
      </c>
      <c r="U267" s="36">
        <v>80</v>
      </c>
      <c r="V267" s="36">
        <v>150</v>
      </c>
      <c r="W267" s="36">
        <v>0</v>
      </c>
      <c r="X267" s="36">
        <v>230</v>
      </c>
      <c r="Y267" s="36">
        <v>210</v>
      </c>
      <c r="Z267" s="36">
        <v>70</v>
      </c>
      <c r="AA267" s="36">
        <v>80</v>
      </c>
      <c r="AB267" s="36">
        <v>200</v>
      </c>
      <c r="AC267" s="36">
        <v>560</v>
      </c>
      <c r="AD267" s="36">
        <v>205</v>
      </c>
      <c r="AE267" s="36">
        <v>736.24400000000003</v>
      </c>
      <c r="AF267" s="36">
        <v>70</v>
      </c>
      <c r="AG267" s="36">
        <v>1397.586</v>
      </c>
      <c r="AH267" s="36">
        <v>2408.83</v>
      </c>
      <c r="AI267" s="36">
        <v>0</v>
      </c>
      <c r="AJ267" s="36">
        <v>665</v>
      </c>
      <c r="AK267" s="36">
        <v>210</v>
      </c>
      <c r="AL267" s="36">
        <v>125</v>
      </c>
      <c r="AM267" s="36">
        <v>1000</v>
      </c>
      <c r="AN267" s="36">
        <v>125</v>
      </c>
      <c r="AO267" s="36">
        <v>40</v>
      </c>
      <c r="AP267" s="36">
        <v>80</v>
      </c>
      <c r="AQ267" s="36">
        <v>380</v>
      </c>
      <c r="AR267" s="36">
        <v>625</v>
      </c>
      <c r="AS267" s="36">
        <v>618</v>
      </c>
      <c r="AT267" s="36">
        <v>0</v>
      </c>
      <c r="AU267" s="36">
        <v>10.1</v>
      </c>
      <c r="AV267" s="36">
        <v>0</v>
      </c>
      <c r="AW267" s="36">
        <v>628.1</v>
      </c>
      <c r="AX267" s="36">
        <v>0</v>
      </c>
      <c r="AY267" s="36">
        <v>400</v>
      </c>
      <c r="AZ267" s="36">
        <v>2496.6</v>
      </c>
      <c r="BA267" s="36">
        <v>9.9999999999909106E-2</v>
      </c>
      <c r="BB267" s="36">
        <v>2896.7</v>
      </c>
      <c r="BC267" s="36">
        <v>0</v>
      </c>
      <c r="BD267" s="36">
        <v>0</v>
      </c>
      <c r="BE267" s="36">
        <v>0</v>
      </c>
      <c r="BF267" s="36">
        <v>0</v>
      </c>
      <c r="BG267" s="36">
        <v>0</v>
      </c>
      <c r="BH267" s="36">
        <v>0</v>
      </c>
      <c r="BI267" s="36">
        <v>0</v>
      </c>
      <c r="BJ267" s="36">
        <v>0</v>
      </c>
      <c r="BK267" s="36">
        <v>0</v>
      </c>
      <c r="BL267" s="36">
        <v>0</v>
      </c>
      <c r="BM267" s="36">
        <v>0</v>
      </c>
      <c r="BN267" s="36">
        <v>0</v>
      </c>
      <c r="BO267" s="36">
        <v>490</v>
      </c>
      <c r="BP267" s="36">
        <v>2268</v>
      </c>
      <c r="BQ267" s="36">
        <v>2758</v>
      </c>
      <c r="BR267" s="36">
        <v>0</v>
      </c>
      <c r="BS267" s="36">
        <v>0</v>
      </c>
      <c r="BT267" s="36">
        <v>510</v>
      </c>
      <c r="BU267" s="36">
        <v>130</v>
      </c>
      <c r="BV267" s="36">
        <v>640</v>
      </c>
      <c r="BW267" s="36">
        <v>175</v>
      </c>
      <c r="BX267" s="36">
        <v>910</v>
      </c>
      <c r="BY267" s="6"/>
      <c r="BZ267" s="6"/>
      <c r="CA267" s="37">
        <f>(BW267+BX267)+$CA$383+MAX(0,CA389-BX389)</f>
        <v>7516.587978462001</v>
      </c>
      <c r="CB267" s="37">
        <f>CB381+MAX(0,CB389-CA389)</f>
        <v>794</v>
      </c>
      <c r="CC267" s="37">
        <f>CC381+MAX(0,CC389-CB389)</f>
        <v>0</v>
      </c>
      <c r="CD267" s="37">
        <f>CD381+MAX(0,CD389-CC389)</f>
        <v>750</v>
      </c>
      <c r="CE267" s="37">
        <f>CE381+MAX(0,CE389-CD389)</f>
        <v>1452.5645406201759</v>
      </c>
      <c r="CF267" s="6"/>
    </row>
    <row r="268" spans="2:89" ht="15" customHeight="1" x14ac:dyDescent="0.25">
      <c r="B268" s="26" t="s">
        <v>442</v>
      </c>
      <c r="C268" s="36">
        <v>-0.41499999999999998</v>
      </c>
      <c r="D268" s="36">
        <v>-125.342</v>
      </c>
      <c r="E268" s="36">
        <v>-205.02199999999999</v>
      </c>
      <c r="F268" s="36">
        <v>-236.006</v>
      </c>
      <c r="G268" s="36">
        <v>-419.68</v>
      </c>
      <c r="H268" s="36">
        <v>-470.45</v>
      </c>
      <c r="I268" s="36">
        <v>-193.655</v>
      </c>
      <c r="J268" s="36">
        <v>-29.4</v>
      </c>
      <c r="K268" s="36">
        <v>-220.767</v>
      </c>
      <c r="L268" s="36">
        <v>-40.024999999999999</v>
      </c>
      <c r="M268" s="36">
        <v>-330.95</v>
      </c>
      <c r="N268" s="36">
        <v>-621.14200000000005</v>
      </c>
      <c r="O268" s="36">
        <v>-23.125</v>
      </c>
      <c r="P268" s="36">
        <v>-23.292000000000002</v>
      </c>
      <c r="Q268" s="36">
        <v>-977.63499999999999</v>
      </c>
      <c r="R268" s="36">
        <v>-33.237000000000101</v>
      </c>
      <c r="S268" s="36">
        <v>-1057.289</v>
      </c>
      <c r="T268" s="36">
        <v>-4.7380000000000004</v>
      </c>
      <c r="U268" s="36">
        <v>-3.4060000000000001</v>
      </c>
      <c r="V268" s="36">
        <v>-103.24</v>
      </c>
      <c r="W268" s="36">
        <v>-133.32</v>
      </c>
      <c r="X268" s="36">
        <v>-244.70400000000001</v>
      </c>
      <c r="Y268" s="36">
        <v>-26.39</v>
      </c>
      <c r="Z268" s="36">
        <v>-44.03</v>
      </c>
      <c r="AA268" s="36">
        <v>-97.846999999999994</v>
      </c>
      <c r="AB268" s="36">
        <v>-281.03899999999999</v>
      </c>
      <c r="AC268" s="36">
        <v>-449.30599999999998</v>
      </c>
      <c r="AD268" s="36">
        <v>-45.012</v>
      </c>
      <c r="AE268" s="36">
        <v>-800.01099999999997</v>
      </c>
      <c r="AF268" s="36">
        <v>-130.012</v>
      </c>
      <c r="AG268" s="36">
        <v>-90.013000000000005</v>
      </c>
      <c r="AH268" s="36">
        <v>-1065.048</v>
      </c>
      <c r="AI268" s="36">
        <v>-1.2999999999999999E-2</v>
      </c>
      <c r="AJ268" s="36">
        <v>-475.012</v>
      </c>
      <c r="AK268" s="36">
        <v>-220.01400000000001</v>
      </c>
      <c r="AL268" s="36">
        <v>-215.01300000000001</v>
      </c>
      <c r="AM268" s="36">
        <v>-910.05200000000002</v>
      </c>
      <c r="AN268" s="36">
        <v>-85</v>
      </c>
      <c r="AO268" s="36">
        <v>-85.028000000000006</v>
      </c>
      <c r="AP268" s="36">
        <v>-275.01400000000001</v>
      </c>
      <c r="AQ268" s="36">
        <v>-530.05799999999999</v>
      </c>
      <c r="AR268" s="36">
        <v>-975.1</v>
      </c>
      <c r="AS268" s="36">
        <v>-127</v>
      </c>
      <c r="AT268" s="36">
        <v>-510</v>
      </c>
      <c r="AU268" s="36">
        <v>-140</v>
      </c>
      <c r="AV268" s="36">
        <v>-0.100000000000023</v>
      </c>
      <c r="AW268" s="36">
        <v>-777.1</v>
      </c>
      <c r="AX268" s="36">
        <v>0</v>
      </c>
      <c r="AY268" s="36">
        <v>-160</v>
      </c>
      <c r="AZ268" s="36">
        <v>-240</v>
      </c>
      <c r="BA268" s="36">
        <v>-20.100000000000001</v>
      </c>
      <c r="BB268" s="36">
        <v>-420.1</v>
      </c>
      <c r="BC268" s="36">
        <v>0</v>
      </c>
      <c r="BD268" s="36">
        <v>-47.7</v>
      </c>
      <c r="BE268" s="36">
        <v>-6.8</v>
      </c>
      <c r="BF268" s="36">
        <v>0</v>
      </c>
      <c r="BG268" s="36">
        <v>-54.5</v>
      </c>
      <c r="BH268" s="36">
        <v>0</v>
      </c>
      <c r="BI268" s="36">
        <v>0</v>
      </c>
      <c r="BJ268" s="36">
        <v>-700</v>
      </c>
      <c r="BK268" s="36">
        <v>0</v>
      </c>
      <c r="BL268" s="36">
        <v>-700</v>
      </c>
      <c r="BM268" s="36">
        <v>0</v>
      </c>
      <c r="BN268" s="36">
        <v>0</v>
      </c>
      <c r="BO268" s="36">
        <v>-795</v>
      </c>
      <c r="BP268" s="36">
        <v>-895</v>
      </c>
      <c r="BQ268" s="36">
        <v>-1690</v>
      </c>
      <c r="BR268" s="36">
        <v>0</v>
      </c>
      <c r="BS268" s="36">
        <v>0</v>
      </c>
      <c r="BT268" s="36">
        <v>-405</v>
      </c>
      <c r="BU268" s="36">
        <v>-330</v>
      </c>
      <c r="BV268" s="36">
        <v>-735</v>
      </c>
      <c r="BW268" s="36">
        <v>-205</v>
      </c>
      <c r="BX268" s="36">
        <v>-255</v>
      </c>
      <c r="BY268" s="6"/>
      <c r="BZ268" s="6"/>
      <c r="CA268" s="37">
        <f>(BW268+BX268)+CA379+MIN(0,CA389-BX389)</f>
        <v>-460</v>
      </c>
      <c r="CB268" s="37">
        <f>CB379+MIN(0,CB389-CA389)</f>
        <v>-2029.3180301750265</v>
      </c>
      <c r="CC268" s="37">
        <f>CC379+MIN(0,CC389-CB389)</f>
        <v>-351.26994828697457</v>
      </c>
      <c r="CD268" s="37">
        <f>CD379+MIN(0,CD389-CC389)</f>
        <v>-750</v>
      </c>
      <c r="CE268" s="37">
        <f>CE379+MIN(0,CE389-CD389)</f>
        <v>-474</v>
      </c>
      <c r="CF268" s="20" t="s">
        <v>443</v>
      </c>
    </row>
    <row r="269" spans="2:89" ht="15" customHeight="1" x14ac:dyDescent="0.25">
      <c r="B269" s="26" t="s">
        <v>444</v>
      </c>
      <c r="C269" s="36">
        <v>-46.420999999999999</v>
      </c>
      <c r="D269" s="36">
        <v>-53.61</v>
      </c>
      <c r="E269" s="36">
        <v>-62.511000000000003</v>
      </c>
      <c r="F269" s="36">
        <v>-71.177999999999997</v>
      </c>
      <c r="G269" s="36">
        <v>-73.55</v>
      </c>
      <c r="H269" s="36">
        <v>-73.647999999999996</v>
      </c>
      <c r="I269" s="36">
        <v>-73.766999999999996</v>
      </c>
      <c r="J269" s="36">
        <v>-18.503</v>
      </c>
      <c r="K269" s="36">
        <v>-18.565000000000001</v>
      </c>
      <c r="L269" s="36">
        <v>-18.558</v>
      </c>
      <c r="M269" s="36">
        <v>-18.571000000000002</v>
      </c>
      <c r="N269" s="36">
        <v>-74.197000000000003</v>
      </c>
      <c r="O269" s="36">
        <v>-18.603999999999999</v>
      </c>
      <c r="P269" s="36">
        <v>-18.649999999999999</v>
      </c>
      <c r="Q269" s="36">
        <v>-27.009</v>
      </c>
      <c r="R269" s="36">
        <v>-27.041</v>
      </c>
      <c r="S269" s="36">
        <v>-91.304000000000002</v>
      </c>
      <c r="T269" s="36">
        <v>-28.353999999999999</v>
      </c>
      <c r="U269" s="36">
        <v>-25.931000000000001</v>
      </c>
      <c r="V269" s="36">
        <v>-26.934000000000001</v>
      </c>
      <c r="W269" s="36">
        <v>-26.242999999999999</v>
      </c>
      <c r="X269" s="36">
        <v>-107.462</v>
      </c>
      <c r="Y269" s="36">
        <v>-25.847000000000001</v>
      </c>
      <c r="Z269" s="36">
        <v>-25.62</v>
      </c>
      <c r="AA269" s="36">
        <v>-26.827999999999999</v>
      </c>
      <c r="AB269" s="36">
        <v>-26.741</v>
      </c>
      <c r="AC269" s="36">
        <v>-105.036</v>
      </c>
      <c r="AD269" s="36">
        <v>-26.56</v>
      </c>
      <c r="AE269" s="36">
        <v>-26.574999999999999</v>
      </c>
      <c r="AF269" s="36">
        <v>-27.826000000000001</v>
      </c>
      <c r="AG269" s="36">
        <v>-27.890999999999998</v>
      </c>
      <c r="AH269" s="36">
        <v>-108.852</v>
      </c>
      <c r="AI269" s="36">
        <v>-27.885000000000002</v>
      </c>
      <c r="AJ269" s="36">
        <v>-27.91</v>
      </c>
      <c r="AK269" s="36">
        <v>-30.395</v>
      </c>
      <c r="AL269" s="36">
        <v>-30.245999999999999</v>
      </c>
      <c r="AM269" s="36">
        <v>-116.43600000000001</v>
      </c>
      <c r="AN269" s="36">
        <v>-30.395</v>
      </c>
      <c r="AO269" s="36">
        <v>-30.22</v>
      </c>
      <c r="AP269" s="36">
        <v>-34.612000000000002</v>
      </c>
      <c r="AQ269" s="36">
        <v>-34.573</v>
      </c>
      <c r="AR269" s="36">
        <v>-129.80000000000001</v>
      </c>
      <c r="AS269" s="36">
        <v>-34.799999999999997</v>
      </c>
      <c r="AT269" s="36">
        <v>-34.6</v>
      </c>
      <c r="AU269" s="36">
        <v>-35.4</v>
      </c>
      <c r="AV269" s="36">
        <v>-35.5</v>
      </c>
      <c r="AW269" s="36">
        <v>-140.30000000000001</v>
      </c>
      <c r="AX269" s="36">
        <v>-36.1</v>
      </c>
      <c r="AY269" s="36">
        <v>-35.700000000000003</v>
      </c>
      <c r="AZ269" s="36">
        <v>-37.9</v>
      </c>
      <c r="BA269" s="36">
        <v>-38.1</v>
      </c>
      <c r="BB269" s="36">
        <v>-147.80000000000001</v>
      </c>
      <c r="BC269" s="36">
        <v>-38.9</v>
      </c>
      <c r="BD269" s="36">
        <v>-38.1</v>
      </c>
      <c r="BE269" s="36">
        <v>-41.1</v>
      </c>
      <c r="BF269" s="36">
        <v>-41</v>
      </c>
      <c r="BG269" s="36">
        <v>-159.1</v>
      </c>
      <c r="BH269" s="36">
        <v>-41.6</v>
      </c>
      <c r="BI269" s="36">
        <v>-40.9</v>
      </c>
      <c r="BJ269" s="36">
        <v>-45.7</v>
      </c>
      <c r="BK269" s="36">
        <v>-45.8</v>
      </c>
      <c r="BL269" s="36">
        <v>-174</v>
      </c>
      <c r="BM269" s="36">
        <v>-46</v>
      </c>
      <c r="BN269" s="36">
        <v>-46</v>
      </c>
      <c r="BO269" s="36">
        <v>-49</v>
      </c>
      <c r="BP269" s="36">
        <v>-48</v>
      </c>
      <c r="BQ269" s="36">
        <v>-189</v>
      </c>
      <c r="BR269" s="36">
        <v>-49</v>
      </c>
      <c r="BS269" s="36">
        <v>-48</v>
      </c>
      <c r="BT269" s="36">
        <v>-50</v>
      </c>
      <c r="BU269" s="36">
        <v>-50</v>
      </c>
      <c r="BV269" s="36">
        <v>-197</v>
      </c>
      <c r="BW269" s="36">
        <v>-51</v>
      </c>
      <c r="BX269" s="36">
        <v>-51</v>
      </c>
      <c r="BY269" s="6"/>
      <c r="BZ269" s="6"/>
      <c r="CA269" s="37">
        <f>(BW269+BX269)-(BY193*BY185+BZ193*BZ185)</f>
        <v>-220.55451404737499</v>
      </c>
      <c r="CB269" s="37">
        <f>-CB193*CB294</f>
        <v>-256.48637680635994</v>
      </c>
      <c r="CC269" s="37">
        <f>-CC193*CC294</f>
        <v>-272.4491010347416</v>
      </c>
      <c r="CD269" s="37">
        <f>-CD193*CD294</f>
        <v>-289.4040012140261</v>
      </c>
      <c r="CE269" s="37">
        <f>-CE193*CE294</f>
        <v>-295.30934227836877</v>
      </c>
      <c r="CF269" s="20" t="s">
        <v>445</v>
      </c>
    </row>
    <row r="270" spans="2:89" ht="15" customHeight="1" x14ac:dyDescent="0.25">
      <c r="B270" s="26" t="s">
        <v>446</v>
      </c>
      <c r="C270" s="36">
        <v>-172.88800000000001</v>
      </c>
      <c r="D270" s="36">
        <v>-551.16399999999999</v>
      </c>
      <c r="E270" s="36">
        <v>-24.016999999999999</v>
      </c>
      <c r="F270" s="36">
        <v>0</v>
      </c>
      <c r="G270" s="36">
        <v>0</v>
      </c>
      <c r="U270" s="36">
        <v>-100</v>
      </c>
      <c r="V270" s="36">
        <v>-157.67400000000001</v>
      </c>
      <c r="Y270" s="36">
        <v>-150</v>
      </c>
      <c r="Z270" s="36">
        <v>-40</v>
      </c>
      <c r="AA270" s="36">
        <v>0</v>
      </c>
      <c r="AD270" s="36">
        <v>-99.998999999999995</v>
      </c>
      <c r="AE270" s="36">
        <v>0</v>
      </c>
      <c r="AF270" s="36">
        <v>0</v>
      </c>
      <c r="AI270" s="36">
        <v>0</v>
      </c>
      <c r="AJ270" s="36">
        <v>0</v>
      </c>
      <c r="AK270" s="36">
        <v>-60.377000000000002</v>
      </c>
      <c r="AP270" s="36">
        <v>-57.287999999999997</v>
      </c>
      <c r="AQ270" s="36">
        <v>-40.911999999999999</v>
      </c>
      <c r="AR270" s="36">
        <v>-98.2</v>
      </c>
      <c r="AS270" s="36">
        <v>-50</v>
      </c>
      <c r="AT270" s="36">
        <v>0</v>
      </c>
      <c r="AU270" s="36">
        <v>0</v>
      </c>
      <c r="AV270" s="36">
        <v>0</v>
      </c>
      <c r="AW270" s="36">
        <v>-50</v>
      </c>
      <c r="AX270" s="36">
        <v>0</v>
      </c>
      <c r="AY270" s="36">
        <v>0</v>
      </c>
      <c r="AZ270" s="36">
        <v>0</v>
      </c>
      <c r="BA270" s="36">
        <v>0</v>
      </c>
      <c r="BB270" s="36">
        <v>0</v>
      </c>
      <c r="BC270" s="36">
        <v>-50</v>
      </c>
      <c r="BD270" s="36">
        <v>0</v>
      </c>
      <c r="BE270" s="36">
        <v>-100</v>
      </c>
      <c r="BF270" s="36">
        <v>0</v>
      </c>
      <c r="BG270" s="36">
        <v>-150</v>
      </c>
      <c r="BH270" s="36">
        <v>-75</v>
      </c>
      <c r="BI270" s="36">
        <v>-75</v>
      </c>
      <c r="BJ270" s="36">
        <v>0</v>
      </c>
      <c r="BK270" s="36">
        <v>0</v>
      </c>
      <c r="BL270" s="36">
        <v>-150</v>
      </c>
      <c r="BM270" s="36">
        <v>-150</v>
      </c>
      <c r="BN270" s="36">
        <v>-300</v>
      </c>
      <c r="BO270" s="36">
        <v>0</v>
      </c>
      <c r="BP270" s="36">
        <v>0</v>
      </c>
      <c r="BQ270" s="36">
        <v>-450</v>
      </c>
      <c r="BR270" s="36">
        <v>-450</v>
      </c>
      <c r="BS270" s="36">
        <v>0</v>
      </c>
      <c r="BT270" s="36">
        <v>0</v>
      </c>
      <c r="BU270" s="36">
        <v>0</v>
      </c>
      <c r="BV270" s="36">
        <v>-450</v>
      </c>
      <c r="BW270" s="36">
        <v>-200</v>
      </c>
      <c r="BX270" s="36">
        <v>0</v>
      </c>
      <c r="BY270" s="6"/>
      <c r="BZ270" s="6"/>
      <c r="CA270" s="37">
        <f>(BW270+BX270)-CHOOSE(MATCH($CF$2,{"Bull","Base","Bear"},0),$CO$21,$CP$21,$CQ$21)</f>
        <v>-200</v>
      </c>
      <c r="CB270" s="37">
        <f>-CB398</f>
        <v>0</v>
      </c>
      <c r="CC270" s="37">
        <f>-CC398</f>
        <v>0</v>
      </c>
      <c r="CD270" s="37">
        <f>-CD398</f>
        <v>-1673.8346327751387</v>
      </c>
      <c r="CE270" s="37">
        <f>-CE398</f>
        <v>-2694.0990484845679</v>
      </c>
      <c r="CF270" s="20" t="s">
        <v>447</v>
      </c>
    </row>
    <row r="271" spans="2:89" ht="15" customHeight="1" x14ac:dyDescent="0.25">
      <c r="B271" s="26" t="s">
        <v>448</v>
      </c>
      <c r="C271" s="36">
        <v>31.535</v>
      </c>
      <c r="D271" s="36">
        <v>14.622999999999999</v>
      </c>
      <c r="E271" s="36">
        <v>3.2709999999999999</v>
      </c>
      <c r="F271" s="36">
        <v>294.17700000000002</v>
      </c>
      <c r="G271" s="36">
        <v>3.0470000000000002</v>
      </c>
      <c r="H271" s="36">
        <v>1.4730000000000001</v>
      </c>
      <c r="I271" s="36">
        <v>6.9589999999999996</v>
      </c>
      <c r="J271" s="36">
        <v>3.4940000000000002</v>
      </c>
      <c r="K271" s="36">
        <v>7.718</v>
      </c>
      <c r="L271" s="36">
        <v>0.35899999999999999</v>
      </c>
      <c r="M271" s="36">
        <v>0.12000000000000099</v>
      </c>
      <c r="N271" s="36">
        <v>11.691000000000001</v>
      </c>
      <c r="O271" s="36">
        <v>6.4880000000000004</v>
      </c>
      <c r="P271" s="36">
        <v>3.0539999999999998</v>
      </c>
      <c r="Q271" s="36">
        <v>28.652999999999999</v>
      </c>
      <c r="R271" s="36">
        <v>1.5189999999999999</v>
      </c>
      <c r="S271" s="36">
        <v>39.713999999999999</v>
      </c>
      <c r="T271" s="36">
        <v>9.9420000000000002</v>
      </c>
      <c r="U271" s="36">
        <v>17.818000000000001</v>
      </c>
      <c r="V271" s="36">
        <v>6.1319999999999997</v>
      </c>
      <c r="W271" s="36">
        <v>3.1859999999999999</v>
      </c>
      <c r="X271" s="36">
        <v>37.078000000000003</v>
      </c>
      <c r="Y271" s="36">
        <v>4.1660000000000004</v>
      </c>
      <c r="Z271" s="36">
        <v>10.882999999999999</v>
      </c>
      <c r="AA271" s="36">
        <v>2.3290000000000002</v>
      </c>
      <c r="AB271" s="36">
        <v>3.9430000000000001</v>
      </c>
      <c r="AC271" s="36">
        <v>21.321000000000002</v>
      </c>
      <c r="AD271" s="36">
        <v>3.9169999999999998</v>
      </c>
      <c r="AE271" s="36">
        <v>4.0199999999999996</v>
      </c>
      <c r="AF271" s="36">
        <v>2.08</v>
      </c>
      <c r="AG271" s="36">
        <v>9.2999999999999999E-2</v>
      </c>
      <c r="AH271" s="36">
        <v>10.11</v>
      </c>
      <c r="AI271" s="36">
        <v>2.8010000000000002</v>
      </c>
      <c r="AJ271" s="36">
        <v>4.1420000000000003</v>
      </c>
      <c r="AK271" s="36">
        <v>5.0000000000000697E-2</v>
      </c>
      <c r="AL271" s="36">
        <v>0.20799999999999899</v>
      </c>
      <c r="AM271" s="36">
        <v>7.2009999999999996</v>
      </c>
      <c r="AN271" s="36">
        <v>0.61099999999999999</v>
      </c>
      <c r="AO271" s="36">
        <v>6.4829999999999997</v>
      </c>
      <c r="AP271" s="36">
        <v>5.2009999999999996</v>
      </c>
      <c r="AQ271" s="36">
        <v>1.405</v>
      </c>
      <c r="AR271" s="36">
        <v>13.7</v>
      </c>
      <c r="AS271" s="36">
        <v>0.2</v>
      </c>
      <c r="AT271" s="36">
        <v>1.1000000000000001</v>
      </c>
      <c r="AU271" s="36">
        <v>9.9999999999999895E-2</v>
      </c>
      <c r="AV271" s="36">
        <v>0.9</v>
      </c>
      <c r="AW271" s="36">
        <v>2.2999999999999998</v>
      </c>
      <c r="AX271" s="36">
        <v>0.6</v>
      </c>
      <c r="AY271" s="36">
        <v>0.2</v>
      </c>
      <c r="AZ271" s="36">
        <v>0.3</v>
      </c>
      <c r="BA271" s="36">
        <v>0.2</v>
      </c>
      <c r="BB271" s="36">
        <v>1.3</v>
      </c>
      <c r="BC271" s="36">
        <v>0.6</v>
      </c>
      <c r="BD271" s="36">
        <v>0</v>
      </c>
      <c r="BE271" s="36">
        <v>0</v>
      </c>
      <c r="BF271" s="36">
        <v>0</v>
      </c>
      <c r="BG271" s="36">
        <v>0.6</v>
      </c>
      <c r="BH271" s="36">
        <v>0.2</v>
      </c>
      <c r="BI271" s="36">
        <v>0.6</v>
      </c>
      <c r="BJ271" s="36">
        <v>0</v>
      </c>
      <c r="BK271" s="36">
        <v>0.4</v>
      </c>
      <c r="BL271" s="36">
        <v>1.2</v>
      </c>
      <c r="BN271" s="36">
        <v>0</v>
      </c>
      <c r="BO271" s="36">
        <v>0</v>
      </c>
      <c r="BY271" s="6"/>
      <c r="BZ271" s="6"/>
      <c r="CA271" s="37">
        <f>(BW271+BX271)</f>
        <v>0</v>
      </c>
      <c r="CB271" s="52">
        <v>-30</v>
      </c>
      <c r="CC271" s="52">
        <v>-30</v>
      </c>
      <c r="CD271" s="52">
        <v>-30</v>
      </c>
      <c r="CE271" s="52">
        <v>-30</v>
      </c>
      <c r="CF271" s="6"/>
    </row>
    <row r="272" spans="2:89" ht="15" customHeight="1" x14ac:dyDescent="0.25">
      <c r="B272" s="26" t="s">
        <v>449</v>
      </c>
      <c r="C272" s="36">
        <v>18.420000000000002</v>
      </c>
      <c r="D272" s="36">
        <v>20.254999999999999</v>
      </c>
      <c r="E272" s="36">
        <v>113.32599999999999</v>
      </c>
      <c r="F272" s="36">
        <v>-224.53299999999999</v>
      </c>
      <c r="G272" s="36">
        <v>1.2889999999999999</v>
      </c>
      <c r="H272" s="36">
        <v>-16.846</v>
      </c>
      <c r="I272" s="36">
        <v>-0.64400000000000002</v>
      </c>
      <c r="J272" s="36">
        <v>0.629</v>
      </c>
      <c r="K272" s="36">
        <v>1.1140000000000001</v>
      </c>
      <c r="L272" s="36">
        <v>10.173999999999999</v>
      </c>
      <c r="M272" s="36">
        <v>-10.045</v>
      </c>
      <c r="N272" s="36">
        <v>1.8720000000000001</v>
      </c>
      <c r="O272" s="36">
        <v>-2.4449999999999998</v>
      </c>
      <c r="P272" s="36">
        <v>-19.725999999999999</v>
      </c>
      <c r="Q272" s="36">
        <v>-2.09</v>
      </c>
      <c r="R272" s="36">
        <v>-1.7410000000000001</v>
      </c>
      <c r="S272" s="36">
        <v>-26.001999999999999</v>
      </c>
      <c r="T272" s="36">
        <v>-0.86899999999999999</v>
      </c>
      <c r="U272" s="36">
        <v>-1.0900000000000001</v>
      </c>
      <c r="V272" s="36">
        <v>-4.008</v>
      </c>
      <c r="W272" s="36">
        <v>-253.21</v>
      </c>
      <c r="X272" s="36">
        <v>-516.851</v>
      </c>
      <c r="Y272" s="36">
        <v>-9.7370000000000001</v>
      </c>
      <c r="Z272" s="36">
        <v>9.0299999999999994</v>
      </c>
      <c r="AA272" s="36">
        <v>-7.194</v>
      </c>
      <c r="AB272" s="36">
        <v>-70.790000000000006</v>
      </c>
      <c r="AC272" s="36">
        <v>-268.69099999999997</v>
      </c>
      <c r="AD272" s="36">
        <v>-4.4560000000000004</v>
      </c>
      <c r="AE272" s="36">
        <v>-3.2829999999999999</v>
      </c>
      <c r="AF272" s="36">
        <v>-5.9130000000000003</v>
      </c>
      <c r="AG272" s="36">
        <v>-6.4619999999999997</v>
      </c>
      <c r="AH272" s="36">
        <v>-120.113</v>
      </c>
      <c r="AI272" s="36">
        <v>-10.273999999999999</v>
      </c>
      <c r="AJ272" s="36">
        <v>-6.1360000000000001</v>
      </c>
      <c r="AK272" s="36">
        <v>-19.295999999999999</v>
      </c>
      <c r="AL272" s="36">
        <v>-43.043999999999997</v>
      </c>
      <c r="AM272" s="36">
        <v>-139.12700000000001</v>
      </c>
      <c r="AN272" s="36">
        <v>-8.0790000000000006</v>
      </c>
      <c r="AO272" s="36">
        <v>-56.515000000000001</v>
      </c>
      <c r="AP272" s="36">
        <v>35.924999999999997</v>
      </c>
      <c r="AQ272" s="36">
        <v>-11.031000000000001</v>
      </c>
      <c r="AR272" s="36">
        <v>-39.700000000000003</v>
      </c>
      <c r="AS272" s="36">
        <v>-14.6</v>
      </c>
      <c r="AT272" s="36">
        <v>-1.6</v>
      </c>
      <c r="AU272" s="36">
        <v>-1.1000000000000001</v>
      </c>
      <c r="AV272" s="36">
        <v>-2.7</v>
      </c>
      <c r="AW272" s="36">
        <v>-20</v>
      </c>
      <c r="AX272" s="36">
        <v>-17.7</v>
      </c>
      <c r="AY272" s="36">
        <v>-3.5</v>
      </c>
      <c r="AZ272" s="36">
        <v>-9.5</v>
      </c>
      <c r="BA272" s="36">
        <v>-8</v>
      </c>
      <c r="BB272" s="36">
        <v>-38.700000000000003</v>
      </c>
      <c r="BC272" s="36">
        <v>-27.9</v>
      </c>
      <c r="BD272" s="36">
        <v>-4.5</v>
      </c>
      <c r="BE272" s="36">
        <v>-5.0999999999999996</v>
      </c>
      <c r="BF272" s="36">
        <v>-7</v>
      </c>
      <c r="BG272" s="36">
        <v>-44.5</v>
      </c>
      <c r="BH272" s="36">
        <v>-21</v>
      </c>
      <c r="BI272" s="36">
        <v>-5.8</v>
      </c>
      <c r="BJ272" s="36">
        <v>-5.8</v>
      </c>
      <c r="BK272" s="36">
        <v>-8.1999999999999993</v>
      </c>
      <c r="BL272" s="36">
        <v>-40.799999999999997</v>
      </c>
      <c r="BM272" s="36">
        <v>-33</v>
      </c>
      <c r="BN272" s="36">
        <v>-5</v>
      </c>
      <c r="BO272" s="36">
        <v>-5</v>
      </c>
      <c r="BP272" s="36">
        <v>-13</v>
      </c>
      <c r="BQ272" s="36">
        <v>-56</v>
      </c>
      <c r="BR272" s="36">
        <v>-26</v>
      </c>
      <c r="BS272" s="36">
        <v>-14</v>
      </c>
      <c r="BT272" s="36">
        <v>-11</v>
      </c>
      <c r="BU272" s="36">
        <v>-7</v>
      </c>
      <c r="BV272" s="36">
        <v>-58</v>
      </c>
      <c r="BW272" s="36">
        <v>-33</v>
      </c>
      <c r="BX272" s="36">
        <v>-8</v>
      </c>
      <c r="BY272" s="6"/>
      <c r="BZ272" s="6"/>
      <c r="CA272" s="37">
        <f>(BW272+BX272)</f>
        <v>-41</v>
      </c>
      <c r="CB272" s="52">
        <v>0</v>
      </c>
      <c r="CC272" s="52">
        <v>0</v>
      </c>
      <c r="CD272" s="52">
        <v>0</v>
      </c>
      <c r="CE272" s="52">
        <v>0</v>
      </c>
      <c r="CF272" s="6"/>
    </row>
    <row r="273" spans="2:89" ht="15" customHeight="1" x14ac:dyDescent="0.25">
      <c r="B273" s="17" t="s">
        <v>450</v>
      </c>
      <c r="C273" s="33">
        <v>-169.232</v>
      </c>
      <c r="D273" s="33">
        <v>-151.785</v>
      </c>
      <c r="E273" s="33">
        <v>122.884</v>
      </c>
      <c r="F273" s="33">
        <v>92.46</v>
      </c>
      <c r="G273" s="33">
        <v>-288.89400000000001</v>
      </c>
      <c r="H273" s="33">
        <v>-64.471000000000004</v>
      </c>
      <c r="I273" s="33">
        <v>-80.106999999999999</v>
      </c>
      <c r="J273" s="33">
        <v>16.22</v>
      </c>
      <c r="K273" s="33">
        <v>5</v>
      </c>
      <c r="L273" s="33">
        <v>11.95</v>
      </c>
      <c r="M273" s="33">
        <v>-110.529</v>
      </c>
      <c r="N273" s="33">
        <v>-77.358999999999995</v>
      </c>
      <c r="O273" s="33">
        <v>22.314</v>
      </c>
      <c r="P273" s="33">
        <v>-18.614000000000001</v>
      </c>
      <c r="Q273" s="33">
        <v>-209.31899999999999</v>
      </c>
      <c r="R273" s="33">
        <v>-60.5</v>
      </c>
      <c r="S273" s="33">
        <v>-266.11900000000003</v>
      </c>
      <c r="T273" s="33">
        <v>-24.018999999999998</v>
      </c>
      <c r="U273" s="33">
        <v>-32.609000000000002</v>
      </c>
      <c r="V273" s="33">
        <v>-135.72399999999999</v>
      </c>
      <c r="W273" s="33">
        <v>-409.58699999999999</v>
      </c>
      <c r="X273" s="33">
        <v>-601.93899999999996</v>
      </c>
      <c r="Y273" s="33">
        <v>2.1920000000000002</v>
      </c>
      <c r="Z273" s="33">
        <v>-19.736999999999998</v>
      </c>
      <c r="AA273" s="33">
        <v>-49.54</v>
      </c>
      <c r="AB273" s="33">
        <v>-174.62700000000001</v>
      </c>
      <c r="AC273" s="33">
        <v>-241.71199999999999</v>
      </c>
      <c r="AD273" s="33">
        <v>32.89</v>
      </c>
      <c r="AE273" s="33">
        <v>-89.605000000000004</v>
      </c>
      <c r="AF273" s="33">
        <v>-91.671000000000006</v>
      </c>
      <c r="AG273" s="33">
        <v>1273.3130000000001</v>
      </c>
      <c r="AH273" s="33">
        <v>1124.9269999999999</v>
      </c>
      <c r="AI273" s="33">
        <v>-35.371000000000002</v>
      </c>
      <c r="AJ273" s="33">
        <v>160.084</v>
      </c>
      <c r="AK273" s="33">
        <v>-120.032</v>
      </c>
      <c r="AL273" s="33">
        <v>-163.095</v>
      </c>
      <c r="AM273" s="33">
        <v>-158.41399999999999</v>
      </c>
      <c r="AN273" s="33">
        <v>2.137</v>
      </c>
      <c r="AO273" s="33">
        <v>-125.28</v>
      </c>
      <c r="AP273" s="33">
        <v>-245.78800000000001</v>
      </c>
      <c r="AQ273" s="33">
        <v>-235.16900000000001</v>
      </c>
      <c r="AR273" s="33">
        <v>-604.1</v>
      </c>
      <c r="AS273" s="33">
        <v>391.8</v>
      </c>
      <c r="AT273" s="33">
        <v>-545.1</v>
      </c>
      <c r="AU273" s="33">
        <v>-166.3</v>
      </c>
      <c r="AV273" s="33">
        <v>-37.4</v>
      </c>
      <c r="AW273" s="33">
        <v>-357</v>
      </c>
      <c r="AX273" s="33">
        <v>-53.2</v>
      </c>
      <c r="AY273" s="33">
        <v>201</v>
      </c>
      <c r="AZ273" s="33">
        <v>2209.5</v>
      </c>
      <c r="BA273" s="33">
        <v>-65.900000000000105</v>
      </c>
      <c r="BB273" s="33">
        <v>2291.4</v>
      </c>
      <c r="BC273" s="33">
        <v>-116.2</v>
      </c>
      <c r="BD273" s="33">
        <v>-90.3</v>
      </c>
      <c r="BE273" s="33">
        <v>-153</v>
      </c>
      <c r="BF273" s="33">
        <v>-48</v>
      </c>
      <c r="BG273" s="33">
        <v>-407.5</v>
      </c>
      <c r="BH273" s="33">
        <v>-137.4</v>
      </c>
      <c r="BI273" s="33">
        <v>-121.1</v>
      </c>
      <c r="BJ273" s="33">
        <v>-751.5</v>
      </c>
      <c r="BK273" s="33">
        <v>-53.599999999999902</v>
      </c>
      <c r="BL273" s="33">
        <v>-1063.5999999999999</v>
      </c>
      <c r="BM273" s="33">
        <v>-229</v>
      </c>
      <c r="BN273" s="33">
        <v>-351</v>
      </c>
      <c r="BO273" s="33">
        <v>-359</v>
      </c>
      <c r="BP273" s="33">
        <v>1312</v>
      </c>
      <c r="BQ273" s="33">
        <v>373</v>
      </c>
      <c r="BR273" s="33">
        <v>-525</v>
      </c>
      <c r="BS273" s="33">
        <v>-62</v>
      </c>
      <c r="BT273" s="33">
        <v>44</v>
      </c>
      <c r="BU273" s="33">
        <v>-257</v>
      </c>
      <c r="BV273" s="33">
        <v>-800</v>
      </c>
      <c r="BW273" s="33">
        <v>-314</v>
      </c>
      <c r="BX273" s="33">
        <v>596</v>
      </c>
      <c r="BY273" s="57"/>
      <c r="BZ273" s="57"/>
      <c r="CA273" s="34">
        <f>SUM(CA267:CA272)</f>
        <v>6595.033464414626</v>
      </c>
      <c r="CB273" s="34">
        <f>SUM(CB267:CB272)</f>
        <v>-1521.8044069813864</v>
      </c>
      <c r="CC273" s="34">
        <f>SUM(CC267:CC272)</f>
        <v>-653.71904932171617</v>
      </c>
      <c r="CD273" s="34">
        <f>SUM(CD267:CD272)</f>
        <v>-1993.2386339891648</v>
      </c>
      <c r="CE273" s="34">
        <f>SUM(CE267:CE272)</f>
        <v>-2040.8438501427609</v>
      </c>
      <c r="CF273" s="6"/>
    </row>
    <row r="274" spans="2:89" ht="15" customHeight="1" x14ac:dyDescent="0.25">
      <c r="B274" s="26" t="s">
        <v>451</v>
      </c>
      <c r="C274" s="36">
        <v>-44.463000000000001</v>
      </c>
      <c r="D274" s="36">
        <v>-12.244</v>
      </c>
      <c r="E274" s="36">
        <v>17.756</v>
      </c>
      <c r="F274" s="36">
        <v>225.797</v>
      </c>
      <c r="G274" s="36">
        <v>-193.268</v>
      </c>
      <c r="H274" s="36">
        <v>-44.301000000000002</v>
      </c>
      <c r="I274" s="36">
        <v>-0.628</v>
      </c>
      <c r="J274" s="36">
        <v>11.866</v>
      </c>
      <c r="K274" s="36">
        <v>6.452</v>
      </c>
      <c r="L274" s="36">
        <v>13.529</v>
      </c>
      <c r="M274" s="36">
        <v>-14.804</v>
      </c>
      <c r="N274" s="36">
        <v>17.042999999999999</v>
      </c>
      <c r="O274" s="36">
        <v>-6.6360000000000001</v>
      </c>
      <c r="P274" s="36">
        <v>-1.472</v>
      </c>
      <c r="Q274" s="36">
        <v>39.268000000000001</v>
      </c>
      <c r="R274" s="36">
        <v>35.054000000000002</v>
      </c>
      <c r="S274" s="36">
        <v>66.213999999999999</v>
      </c>
      <c r="T274" s="36">
        <v>-52.284999999999997</v>
      </c>
      <c r="U274" s="36">
        <v>-12.196999999999999</v>
      </c>
      <c r="V274" s="36">
        <v>392.26</v>
      </c>
      <c r="W274" s="36">
        <v>-268.02</v>
      </c>
      <c r="X274" s="36">
        <v>59.758000000000003</v>
      </c>
      <c r="Y274" s="36">
        <v>-141.167</v>
      </c>
      <c r="Z274" s="36">
        <v>1.3540000000000101</v>
      </c>
      <c r="AA274" s="36">
        <v>32.088000000000001</v>
      </c>
      <c r="AB274" s="36">
        <v>-10.646000000000001</v>
      </c>
      <c r="AC274" s="36">
        <v>-118.371</v>
      </c>
      <c r="AD274" s="36">
        <v>5.38</v>
      </c>
      <c r="AE274" s="36">
        <v>-18.696000000000002</v>
      </c>
      <c r="AF274" s="36">
        <v>-1.5029999999999999</v>
      </c>
      <c r="AG274" s="36">
        <v>1411.145</v>
      </c>
      <c r="AH274" s="36">
        <v>1396.326</v>
      </c>
      <c r="AI274" s="36">
        <v>-23.991</v>
      </c>
      <c r="AJ274" s="36">
        <v>-1388.5940000000001</v>
      </c>
      <c r="AK274" s="36">
        <v>20.181999999999999</v>
      </c>
      <c r="AL274" s="36">
        <v>-9.06899999999996</v>
      </c>
      <c r="AM274" s="36">
        <v>-1401.472</v>
      </c>
      <c r="AN274" s="36">
        <v>-7.5350000000000001</v>
      </c>
      <c r="AO274" s="36">
        <v>16.238</v>
      </c>
      <c r="AP274" s="36">
        <v>-4.508</v>
      </c>
      <c r="AQ274" s="36">
        <v>-28.094999999999999</v>
      </c>
      <c r="AR274" s="36">
        <v>-23.9</v>
      </c>
      <c r="AS274" s="36">
        <v>403</v>
      </c>
      <c r="AT274" s="36">
        <v>-353.9</v>
      </c>
      <c r="AU274" s="36">
        <v>123.6</v>
      </c>
      <c r="AV274" s="36">
        <v>110.7</v>
      </c>
      <c r="AW274" s="36">
        <v>283.39999999999998</v>
      </c>
      <c r="AX274" s="36">
        <v>50.4</v>
      </c>
      <c r="AY274" s="36">
        <v>-284.5</v>
      </c>
      <c r="AZ274" s="36">
        <v>2312.8000000000002</v>
      </c>
      <c r="BA274" s="36">
        <v>-2124.1999999999998</v>
      </c>
      <c r="BB274" s="36">
        <v>-45.5</v>
      </c>
      <c r="BC274" s="36">
        <v>-69.3</v>
      </c>
      <c r="BD274" s="36">
        <v>582.5</v>
      </c>
      <c r="BE274" s="36">
        <v>-636.4</v>
      </c>
      <c r="BF274" s="36">
        <v>223.1</v>
      </c>
      <c r="BG274" s="36">
        <v>99.9</v>
      </c>
      <c r="BH274" s="36">
        <v>-129.30000000000001</v>
      </c>
      <c r="BI274" s="36">
        <v>192</v>
      </c>
      <c r="BJ274" s="36">
        <v>226.1</v>
      </c>
      <c r="BK274" s="36">
        <v>634.70000000000005</v>
      </c>
      <c r="BL274" s="36">
        <v>923.5</v>
      </c>
      <c r="BM274" s="36">
        <v>1368</v>
      </c>
      <c r="BN274" s="36">
        <v>-2541</v>
      </c>
      <c r="BO274" s="36">
        <v>-57</v>
      </c>
      <c r="BP274" s="36">
        <v>618</v>
      </c>
      <c r="BQ274" s="36">
        <v>-612</v>
      </c>
      <c r="BR274" s="36">
        <v>-569</v>
      </c>
      <c r="BS274" s="36">
        <v>135</v>
      </c>
      <c r="BT274" s="36">
        <v>-166</v>
      </c>
      <c r="BU274" s="36">
        <v>-3</v>
      </c>
      <c r="BV274" s="36">
        <v>-603</v>
      </c>
      <c r="BW274" s="36">
        <v>206</v>
      </c>
      <c r="BX274" s="36">
        <v>-153</v>
      </c>
      <c r="BY274" s="6"/>
      <c r="BZ274" s="6"/>
      <c r="CA274" s="37">
        <f>CA261+CA266+CA273</f>
        <v>83</v>
      </c>
      <c r="CB274" s="37">
        <f>CB261+CB266+CB273</f>
        <v>0</v>
      </c>
      <c r="CC274" s="37">
        <f>CC261+CC266+CC273</f>
        <v>751.58611091357363</v>
      </c>
      <c r="CD274" s="37">
        <f>CD261+CD266+CD273</f>
        <v>-510.27405540331233</v>
      </c>
      <c r="CE274" s="37">
        <f>CE261+CE266+CE273</f>
        <v>-241.31205551026119</v>
      </c>
      <c r="CF274" s="6"/>
    </row>
    <row r="275" spans="2:89" ht="15" customHeight="1" x14ac:dyDescent="0.25">
      <c r="B275" s="26" t="s">
        <v>452</v>
      </c>
      <c r="C275" s="36">
        <v>76.745000000000005</v>
      </c>
      <c r="D275" s="36">
        <v>32.281999999999996</v>
      </c>
      <c r="E275" s="36">
        <v>20.038</v>
      </c>
      <c r="F275" s="36">
        <v>37.793999999999997</v>
      </c>
      <c r="G275" s="36">
        <v>263.59100000000001</v>
      </c>
      <c r="H275" s="36">
        <v>70.322999999999993</v>
      </c>
      <c r="I275" s="36">
        <v>26.021999999999998</v>
      </c>
      <c r="J275" s="36">
        <v>25.393999999999998</v>
      </c>
      <c r="K275" s="36">
        <v>37.26</v>
      </c>
      <c r="L275" s="36">
        <v>43.712000000000003</v>
      </c>
      <c r="M275" s="36">
        <v>57.241</v>
      </c>
      <c r="N275" s="36">
        <v>25.393999999999998</v>
      </c>
      <c r="O275" s="36">
        <v>42.436999999999998</v>
      </c>
      <c r="P275" s="36">
        <v>35.801000000000002</v>
      </c>
      <c r="Q275" s="36">
        <v>34.329000000000001</v>
      </c>
      <c r="R275" s="36">
        <v>73.596999999999994</v>
      </c>
      <c r="S275" s="36">
        <v>42.436999999999998</v>
      </c>
      <c r="T275" s="36">
        <v>108.651</v>
      </c>
      <c r="U275" s="36">
        <v>56.366</v>
      </c>
      <c r="V275" s="36">
        <v>44.168999999999997</v>
      </c>
      <c r="W275" s="36">
        <v>436.42899999999997</v>
      </c>
      <c r="X275" s="36">
        <v>108.651</v>
      </c>
      <c r="Y275" s="36">
        <v>168.40899999999999</v>
      </c>
      <c r="Z275" s="36">
        <v>27.242000000000001</v>
      </c>
      <c r="AA275" s="36">
        <v>28.596</v>
      </c>
      <c r="AB275" s="36">
        <v>60.683999999999997</v>
      </c>
      <c r="AC275" s="36">
        <v>168.40899999999999</v>
      </c>
      <c r="AD275" s="36">
        <v>50.037999999999997</v>
      </c>
      <c r="AE275" s="36">
        <v>55.417999999999999</v>
      </c>
      <c r="AF275" s="36">
        <v>36.722000000000001</v>
      </c>
      <c r="AG275" s="36">
        <v>35.219000000000001</v>
      </c>
      <c r="AH275" s="36">
        <v>50.037999999999997</v>
      </c>
      <c r="AI275" s="36">
        <v>1446.364</v>
      </c>
      <c r="AJ275" s="36">
        <v>1422.373</v>
      </c>
      <c r="AK275" s="36">
        <v>33.779000000000003</v>
      </c>
      <c r="AL275" s="36">
        <v>53.960999999999999</v>
      </c>
      <c r="AM275" s="36">
        <v>1446.364</v>
      </c>
      <c r="AN275" s="36">
        <v>44.892000000000003</v>
      </c>
      <c r="AO275" s="36">
        <v>37.356999999999999</v>
      </c>
      <c r="AP275" s="36">
        <v>53.594999999999999</v>
      </c>
      <c r="AQ275" s="36">
        <v>49.087000000000003</v>
      </c>
      <c r="AR275" s="36">
        <v>44.9</v>
      </c>
      <c r="AS275" s="36">
        <v>21</v>
      </c>
      <c r="AT275" s="36">
        <v>424</v>
      </c>
      <c r="AU275" s="36">
        <v>70.099999999999994</v>
      </c>
      <c r="AV275" s="36">
        <v>193.7</v>
      </c>
      <c r="AW275" s="36">
        <v>21</v>
      </c>
      <c r="AX275" s="36">
        <v>304.39999999999998</v>
      </c>
      <c r="AY275" s="36">
        <v>354.8</v>
      </c>
      <c r="AZ275" s="36">
        <v>70.3</v>
      </c>
      <c r="BA275" s="36">
        <v>2383.1</v>
      </c>
      <c r="BB275" s="36">
        <v>304.39999999999998</v>
      </c>
      <c r="BC275" s="36">
        <v>258.89999999999998</v>
      </c>
      <c r="BD275" s="36">
        <v>189.6</v>
      </c>
      <c r="BE275" s="36">
        <v>772.1</v>
      </c>
      <c r="BF275" s="36">
        <v>135.69999999999999</v>
      </c>
      <c r="BG275" s="36">
        <v>258.89999999999998</v>
      </c>
      <c r="BH275" s="36">
        <v>358.8</v>
      </c>
      <c r="BI275" s="36">
        <v>229.5</v>
      </c>
      <c r="BJ275" s="36">
        <v>421.5</v>
      </c>
      <c r="BK275" s="36">
        <v>647.6</v>
      </c>
      <c r="BL275" s="36">
        <v>358.8</v>
      </c>
      <c r="BM275" s="36">
        <v>1282</v>
      </c>
      <c r="BN275" s="36">
        <v>2650</v>
      </c>
      <c r="BO275" s="36">
        <v>109</v>
      </c>
      <c r="BP275" s="36">
        <v>52</v>
      </c>
      <c r="BQ275" s="36">
        <v>1282</v>
      </c>
      <c r="BR275" s="36">
        <v>670</v>
      </c>
      <c r="BS275" s="36">
        <v>101</v>
      </c>
      <c r="BT275" s="36">
        <v>236</v>
      </c>
      <c r="BU275" s="36">
        <v>70</v>
      </c>
      <c r="BV275" s="36">
        <v>670</v>
      </c>
      <c r="BW275" s="36">
        <v>67</v>
      </c>
      <c r="BX275" s="36">
        <v>273</v>
      </c>
      <c r="BY275" s="6"/>
      <c r="BZ275" s="6"/>
      <c r="CA275" s="37">
        <f>BV276</f>
        <v>67</v>
      </c>
      <c r="CB275" s="37">
        <f>CA276</f>
        <v>150</v>
      </c>
      <c r="CC275" s="37">
        <f>CB276</f>
        <v>150</v>
      </c>
      <c r="CD275" s="37">
        <f>CC276</f>
        <v>901.58611091357363</v>
      </c>
      <c r="CE275" s="37">
        <f>CD276</f>
        <v>391.3120555102613</v>
      </c>
      <c r="CF275" s="6"/>
    </row>
    <row r="276" spans="2:89" ht="15" customHeight="1" x14ac:dyDescent="0.25">
      <c r="B276" s="17" t="s">
        <v>453</v>
      </c>
      <c r="C276" s="33">
        <v>32.281999999999996</v>
      </c>
      <c r="D276" s="33">
        <v>20.038</v>
      </c>
      <c r="E276" s="33">
        <v>37.793999999999997</v>
      </c>
      <c r="F276" s="33">
        <v>263.59100000000001</v>
      </c>
      <c r="G276" s="33">
        <v>70.322999999999993</v>
      </c>
      <c r="H276" s="33">
        <v>26.021999999999998</v>
      </c>
      <c r="I276" s="33">
        <v>25.393999999999998</v>
      </c>
      <c r="J276" s="33">
        <v>37.26</v>
      </c>
      <c r="K276" s="33">
        <v>43.712000000000003</v>
      </c>
      <c r="L276" s="33">
        <v>57.241</v>
      </c>
      <c r="M276" s="33">
        <v>42.436999999999998</v>
      </c>
      <c r="N276" s="33">
        <v>42.436999999999998</v>
      </c>
      <c r="O276" s="33">
        <v>35.801000000000002</v>
      </c>
      <c r="P276" s="33">
        <v>34.329000000000001</v>
      </c>
      <c r="Q276" s="33">
        <v>73.596999999999994</v>
      </c>
      <c r="R276" s="33">
        <v>108.651</v>
      </c>
      <c r="S276" s="33">
        <v>108.651</v>
      </c>
      <c r="T276" s="33">
        <v>56.366</v>
      </c>
      <c r="U276" s="33">
        <v>44.168999999999997</v>
      </c>
      <c r="V276" s="33">
        <v>436.42899999999997</v>
      </c>
      <c r="W276" s="33">
        <v>168.40899999999999</v>
      </c>
      <c r="X276" s="33">
        <v>168.40899999999999</v>
      </c>
      <c r="Y276" s="33">
        <v>27.242000000000001</v>
      </c>
      <c r="Z276" s="33">
        <v>28.596</v>
      </c>
      <c r="AA276" s="33">
        <v>60.683999999999997</v>
      </c>
      <c r="AB276" s="33">
        <v>50.037999999999997</v>
      </c>
      <c r="AC276" s="33">
        <v>50.037999999999997</v>
      </c>
      <c r="AD276" s="33">
        <v>55.417999999999999</v>
      </c>
      <c r="AE276" s="33">
        <v>36.722000000000001</v>
      </c>
      <c r="AF276" s="33">
        <v>35.219000000000001</v>
      </c>
      <c r="AG276" s="33">
        <v>1446.364</v>
      </c>
      <c r="AH276" s="33">
        <v>1446.364</v>
      </c>
      <c r="AI276" s="33">
        <v>1422.373</v>
      </c>
      <c r="AJ276" s="33">
        <v>33.779000000000003</v>
      </c>
      <c r="AK276" s="33">
        <v>53.960999999999999</v>
      </c>
      <c r="AL276" s="33">
        <v>44.892000000000003</v>
      </c>
      <c r="AM276" s="33">
        <v>44.892000000000003</v>
      </c>
      <c r="AN276" s="33">
        <v>37.356999999999999</v>
      </c>
      <c r="AO276" s="33">
        <v>53.594999999999999</v>
      </c>
      <c r="AP276" s="33">
        <v>49.087000000000003</v>
      </c>
      <c r="AQ276" s="33">
        <v>21</v>
      </c>
      <c r="AR276" s="33">
        <v>21</v>
      </c>
      <c r="AS276" s="33">
        <v>424</v>
      </c>
      <c r="AT276" s="33">
        <v>70.099999999999994</v>
      </c>
      <c r="AU276" s="33">
        <v>193.7</v>
      </c>
      <c r="AV276" s="33">
        <v>304.39999999999998</v>
      </c>
      <c r="AW276" s="33">
        <v>304.39999999999998</v>
      </c>
      <c r="AX276" s="33">
        <v>354.8</v>
      </c>
      <c r="AY276" s="33">
        <v>70.3</v>
      </c>
      <c r="AZ276" s="33">
        <v>2383.1</v>
      </c>
      <c r="BA276" s="33">
        <v>258.89999999999998</v>
      </c>
      <c r="BB276" s="33">
        <v>258.89999999999998</v>
      </c>
      <c r="BC276" s="33">
        <v>189.6</v>
      </c>
      <c r="BD276" s="33">
        <v>772.1</v>
      </c>
      <c r="BE276" s="33">
        <v>135.69999999999999</v>
      </c>
      <c r="BF276" s="33">
        <v>358.8</v>
      </c>
      <c r="BG276" s="33">
        <v>358.8</v>
      </c>
      <c r="BH276" s="33">
        <v>229.5</v>
      </c>
      <c r="BI276" s="33">
        <v>421.5</v>
      </c>
      <c r="BJ276" s="33">
        <v>647.6</v>
      </c>
      <c r="BK276" s="33">
        <v>1282.3</v>
      </c>
      <c r="BL276" s="33">
        <v>1282.3</v>
      </c>
      <c r="BM276" s="33">
        <v>2650</v>
      </c>
      <c r="BN276" s="33">
        <v>109</v>
      </c>
      <c r="BO276" s="33">
        <v>52</v>
      </c>
      <c r="BP276" s="33">
        <v>670</v>
      </c>
      <c r="BQ276" s="33">
        <v>670</v>
      </c>
      <c r="BR276" s="33">
        <v>101</v>
      </c>
      <c r="BS276" s="33">
        <v>236</v>
      </c>
      <c r="BT276" s="33">
        <v>70</v>
      </c>
      <c r="BU276" s="33">
        <v>67</v>
      </c>
      <c r="BV276" s="33">
        <v>67</v>
      </c>
      <c r="BW276" s="33">
        <v>273</v>
      </c>
      <c r="BX276" s="33">
        <v>120</v>
      </c>
      <c r="BY276" s="57"/>
      <c r="BZ276" s="57"/>
      <c r="CA276" s="34">
        <f>CA275+CA274</f>
        <v>150</v>
      </c>
      <c r="CB276" s="34">
        <f>CB275+CB274</f>
        <v>150</v>
      </c>
      <c r="CC276" s="34">
        <f>CC275+CC274</f>
        <v>901.58611091357363</v>
      </c>
      <c r="CD276" s="34">
        <f>CD275+CD274</f>
        <v>391.3120555102613</v>
      </c>
      <c r="CE276" s="34">
        <f>CE275+CE274</f>
        <v>150.00000000000011</v>
      </c>
      <c r="CF276" s="6"/>
    </row>
    <row r="277" spans="2:89" ht="15" customHeight="1" x14ac:dyDescent="0.25">
      <c r="B277" s="61" t="s">
        <v>454</v>
      </c>
      <c r="C277" s="47">
        <f t="shared" ref="C277:AH277" si="374">IF(ISNUMBER(C261),ROUND(C261+C266+C273-C274,1),"")</f>
        <v>0</v>
      </c>
      <c r="D277" s="47">
        <f t="shared" si="374"/>
        <v>0</v>
      </c>
      <c r="E277" s="47">
        <f t="shared" si="374"/>
        <v>0</v>
      </c>
      <c r="F277" s="47">
        <f t="shared" si="374"/>
        <v>0</v>
      </c>
      <c r="G277" s="47">
        <f t="shared" si="374"/>
        <v>0</v>
      </c>
      <c r="H277" s="47">
        <f t="shared" si="374"/>
        <v>0</v>
      </c>
      <c r="I277" s="47">
        <f t="shared" si="374"/>
        <v>0</v>
      </c>
      <c r="J277" s="47">
        <f t="shared" si="374"/>
        <v>0</v>
      </c>
      <c r="K277" s="47">
        <f t="shared" si="374"/>
        <v>0</v>
      </c>
      <c r="L277" s="47">
        <f t="shared" si="374"/>
        <v>0</v>
      </c>
      <c r="M277" s="47">
        <f t="shared" si="374"/>
        <v>0</v>
      </c>
      <c r="N277" s="47">
        <f t="shared" si="374"/>
        <v>0</v>
      </c>
      <c r="O277" s="47">
        <f t="shared" si="374"/>
        <v>0</v>
      </c>
      <c r="P277" s="47">
        <f t="shared" si="374"/>
        <v>0</v>
      </c>
      <c r="Q277" s="47">
        <f t="shared" si="374"/>
        <v>0</v>
      </c>
      <c r="R277" s="47">
        <f t="shared" si="374"/>
        <v>0</v>
      </c>
      <c r="S277" s="47">
        <f t="shared" si="374"/>
        <v>0</v>
      </c>
      <c r="T277" s="47">
        <f t="shared" si="374"/>
        <v>0</v>
      </c>
      <c r="U277" s="47">
        <f t="shared" si="374"/>
        <v>0</v>
      </c>
      <c r="V277" s="47">
        <f t="shared" si="374"/>
        <v>0</v>
      </c>
      <c r="W277" s="47">
        <f t="shared" si="374"/>
        <v>0</v>
      </c>
      <c r="X277" s="47">
        <f t="shared" si="374"/>
        <v>0</v>
      </c>
      <c r="Y277" s="47">
        <f t="shared" si="374"/>
        <v>0</v>
      </c>
      <c r="Z277" s="47">
        <f t="shared" si="374"/>
        <v>0</v>
      </c>
      <c r="AA277" s="47">
        <f t="shared" si="374"/>
        <v>0</v>
      </c>
      <c r="AB277" s="47">
        <f t="shared" si="374"/>
        <v>0</v>
      </c>
      <c r="AC277" s="47">
        <f t="shared" si="374"/>
        <v>0</v>
      </c>
      <c r="AD277" s="47">
        <f t="shared" si="374"/>
        <v>0</v>
      </c>
      <c r="AE277" s="47">
        <f t="shared" si="374"/>
        <v>0</v>
      </c>
      <c r="AF277" s="47">
        <f t="shared" si="374"/>
        <v>0</v>
      </c>
      <c r="AG277" s="47">
        <f t="shared" si="374"/>
        <v>0</v>
      </c>
      <c r="AH277" s="47">
        <f t="shared" si="374"/>
        <v>0</v>
      </c>
      <c r="AI277" s="47">
        <f t="shared" ref="AI277:BN277" si="375">IF(ISNUMBER(AI261),ROUND(AI261+AI266+AI273-AI274,1),"")</f>
        <v>0</v>
      </c>
      <c r="AJ277" s="47">
        <f t="shared" si="375"/>
        <v>0</v>
      </c>
      <c r="AK277" s="47">
        <f t="shared" si="375"/>
        <v>0</v>
      </c>
      <c r="AL277" s="47">
        <f t="shared" si="375"/>
        <v>0</v>
      </c>
      <c r="AM277" s="47">
        <f t="shared" si="375"/>
        <v>0</v>
      </c>
      <c r="AN277" s="47">
        <f t="shared" si="375"/>
        <v>0</v>
      </c>
      <c r="AO277" s="47">
        <f t="shared" si="375"/>
        <v>0</v>
      </c>
      <c r="AP277" s="47">
        <f t="shared" si="375"/>
        <v>0</v>
      </c>
      <c r="AQ277" s="47">
        <f t="shared" si="375"/>
        <v>0</v>
      </c>
      <c r="AR277" s="47">
        <f t="shared" si="375"/>
        <v>0</v>
      </c>
      <c r="AS277" s="47">
        <f t="shared" si="375"/>
        <v>0</v>
      </c>
      <c r="AT277" s="47">
        <f t="shared" si="375"/>
        <v>0</v>
      </c>
      <c r="AU277" s="47">
        <f t="shared" si="375"/>
        <v>0</v>
      </c>
      <c r="AV277" s="47">
        <f t="shared" si="375"/>
        <v>0</v>
      </c>
      <c r="AW277" s="47">
        <f t="shared" si="375"/>
        <v>0</v>
      </c>
      <c r="AX277" s="47">
        <f t="shared" si="375"/>
        <v>0</v>
      </c>
      <c r="AY277" s="47">
        <f t="shared" si="375"/>
        <v>0</v>
      </c>
      <c r="AZ277" s="47">
        <f t="shared" si="375"/>
        <v>0</v>
      </c>
      <c r="BA277" s="47">
        <f t="shared" si="375"/>
        <v>0</v>
      </c>
      <c r="BB277" s="47">
        <f t="shared" si="375"/>
        <v>0</v>
      </c>
      <c r="BC277" s="47">
        <f t="shared" si="375"/>
        <v>0</v>
      </c>
      <c r="BD277" s="47">
        <f t="shared" si="375"/>
        <v>0</v>
      </c>
      <c r="BE277" s="47">
        <f t="shared" si="375"/>
        <v>0</v>
      </c>
      <c r="BF277" s="47">
        <f t="shared" si="375"/>
        <v>0</v>
      </c>
      <c r="BG277" s="47">
        <f t="shared" si="375"/>
        <v>0</v>
      </c>
      <c r="BH277" s="47">
        <f t="shared" si="375"/>
        <v>0</v>
      </c>
      <c r="BI277" s="47">
        <f t="shared" si="375"/>
        <v>0</v>
      </c>
      <c r="BJ277" s="47">
        <f t="shared" si="375"/>
        <v>0</v>
      </c>
      <c r="BK277" s="47">
        <f t="shared" si="375"/>
        <v>0</v>
      </c>
      <c r="BL277" s="47">
        <f t="shared" si="375"/>
        <v>0</v>
      </c>
      <c r="BM277" s="47">
        <f t="shared" si="375"/>
        <v>0</v>
      </c>
      <c r="BN277" s="47">
        <f t="shared" si="375"/>
        <v>0</v>
      </c>
      <c r="BO277" s="47">
        <f t="shared" ref="BO277:BX277" si="376">IF(ISNUMBER(BO261),ROUND(BO261+BO266+BO273-BO274,1),"")</f>
        <v>0</v>
      </c>
      <c r="BP277" s="47">
        <f t="shared" si="376"/>
        <v>0</v>
      </c>
      <c r="BQ277" s="47">
        <f t="shared" si="376"/>
        <v>0</v>
      </c>
      <c r="BR277" s="47">
        <f t="shared" si="376"/>
        <v>0</v>
      </c>
      <c r="BS277" s="47">
        <f t="shared" si="376"/>
        <v>0</v>
      </c>
      <c r="BT277" s="47">
        <f t="shared" si="376"/>
        <v>0</v>
      </c>
      <c r="BU277" s="47">
        <f t="shared" si="376"/>
        <v>0</v>
      </c>
      <c r="BV277" s="47">
        <f t="shared" si="376"/>
        <v>0</v>
      </c>
      <c r="BW277" s="47">
        <f t="shared" si="376"/>
        <v>0</v>
      </c>
      <c r="BX277" s="47">
        <f t="shared" si="376"/>
        <v>0</v>
      </c>
      <c r="BY277" s="6"/>
      <c r="BZ277" s="6"/>
      <c r="CA277" s="37">
        <f>IF(ISNUMBER(CA261),ROUND(CA261+CA266+CA273-CA274,1),"")</f>
        <v>0</v>
      </c>
      <c r="CB277" s="37">
        <f>IF(ISNUMBER(CB261),ROUND(CB261+CB266+CB273-CB274,1),"")</f>
        <v>0</v>
      </c>
      <c r="CC277" s="37">
        <f>IF(ISNUMBER(CC261),ROUND(CC261+CC266+CC273-CC274,1),"")</f>
        <v>0</v>
      </c>
      <c r="CD277" s="37">
        <f>IF(ISNUMBER(CD261),ROUND(CD261+CD266+CD273-CD274,1),"")</f>
        <v>0</v>
      </c>
      <c r="CE277" s="37">
        <f>IF(ISNUMBER(CE261),ROUND(CE261+CE266+CE273-CE274,1),"")</f>
        <v>0</v>
      </c>
      <c r="CF277" s="6"/>
    </row>
    <row r="278" spans="2:89" ht="15" customHeight="1" x14ac:dyDescent="0.25">
      <c r="B278" s="61" t="s">
        <v>455</v>
      </c>
      <c r="C278" s="47">
        <f t="shared" ref="C278:AH278" si="377">IF(ISNUMBER(C275),ROUND(C275+C274-C276,1),"")</f>
        <v>0</v>
      </c>
      <c r="D278" s="47">
        <f t="shared" si="377"/>
        <v>0</v>
      </c>
      <c r="E278" s="47">
        <f t="shared" si="377"/>
        <v>0</v>
      </c>
      <c r="F278" s="47">
        <f t="shared" si="377"/>
        <v>0</v>
      </c>
      <c r="G278" s="47">
        <f t="shared" si="377"/>
        <v>0</v>
      </c>
      <c r="H278" s="47">
        <f t="shared" si="377"/>
        <v>0</v>
      </c>
      <c r="I278" s="47">
        <f t="shared" si="377"/>
        <v>0</v>
      </c>
      <c r="J278" s="47">
        <f t="shared" si="377"/>
        <v>0</v>
      </c>
      <c r="K278" s="47">
        <f t="shared" si="377"/>
        <v>0</v>
      </c>
      <c r="L278" s="47">
        <f t="shared" si="377"/>
        <v>0</v>
      </c>
      <c r="M278" s="47">
        <f t="shared" si="377"/>
        <v>0</v>
      </c>
      <c r="N278" s="47">
        <f t="shared" si="377"/>
        <v>0</v>
      </c>
      <c r="O278" s="47">
        <f t="shared" si="377"/>
        <v>0</v>
      </c>
      <c r="P278" s="47">
        <f t="shared" si="377"/>
        <v>0</v>
      </c>
      <c r="Q278" s="47">
        <f t="shared" si="377"/>
        <v>0</v>
      </c>
      <c r="R278" s="47">
        <f t="shared" si="377"/>
        <v>0</v>
      </c>
      <c r="S278" s="47">
        <f t="shared" si="377"/>
        <v>0</v>
      </c>
      <c r="T278" s="47">
        <f t="shared" si="377"/>
        <v>0</v>
      </c>
      <c r="U278" s="47">
        <f t="shared" si="377"/>
        <v>0</v>
      </c>
      <c r="V278" s="47">
        <f t="shared" si="377"/>
        <v>0</v>
      </c>
      <c r="W278" s="47">
        <f t="shared" si="377"/>
        <v>0</v>
      </c>
      <c r="X278" s="47">
        <f t="shared" si="377"/>
        <v>0</v>
      </c>
      <c r="Y278" s="47">
        <f t="shared" si="377"/>
        <v>0</v>
      </c>
      <c r="Z278" s="47">
        <f t="shared" si="377"/>
        <v>0</v>
      </c>
      <c r="AA278" s="47">
        <f t="shared" si="377"/>
        <v>0</v>
      </c>
      <c r="AB278" s="47">
        <f t="shared" si="377"/>
        <v>0</v>
      </c>
      <c r="AC278" s="47">
        <f t="shared" si="377"/>
        <v>0</v>
      </c>
      <c r="AD278" s="47">
        <f t="shared" si="377"/>
        <v>0</v>
      </c>
      <c r="AE278" s="47">
        <f t="shared" si="377"/>
        <v>0</v>
      </c>
      <c r="AF278" s="47">
        <f t="shared" si="377"/>
        <v>0</v>
      </c>
      <c r="AG278" s="47">
        <f t="shared" si="377"/>
        <v>0</v>
      </c>
      <c r="AH278" s="47">
        <f t="shared" si="377"/>
        <v>0</v>
      </c>
      <c r="AI278" s="47">
        <f t="shared" ref="AI278:BN278" si="378">IF(ISNUMBER(AI275),ROUND(AI275+AI274-AI276,1),"")</f>
        <v>0</v>
      </c>
      <c r="AJ278" s="47">
        <f t="shared" si="378"/>
        <v>0</v>
      </c>
      <c r="AK278" s="47">
        <f t="shared" si="378"/>
        <v>0</v>
      </c>
      <c r="AL278" s="47">
        <f t="shared" si="378"/>
        <v>0</v>
      </c>
      <c r="AM278" s="47">
        <f t="shared" si="378"/>
        <v>0</v>
      </c>
      <c r="AN278" s="47">
        <f t="shared" si="378"/>
        <v>0</v>
      </c>
      <c r="AO278" s="47">
        <f t="shared" si="378"/>
        <v>0</v>
      </c>
      <c r="AP278" s="47">
        <f t="shared" si="378"/>
        <v>0</v>
      </c>
      <c r="AQ278" s="47">
        <f t="shared" si="378"/>
        <v>0</v>
      </c>
      <c r="AR278" s="47">
        <f t="shared" si="378"/>
        <v>0</v>
      </c>
      <c r="AS278" s="47">
        <f t="shared" si="378"/>
        <v>0</v>
      </c>
      <c r="AT278" s="47">
        <f t="shared" si="378"/>
        <v>0</v>
      </c>
      <c r="AU278" s="47">
        <f t="shared" si="378"/>
        <v>0</v>
      </c>
      <c r="AV278" s="47">
        <f t="shared" si="378"/>
        <v>0</v>
      </c>
      <c r="AW278" s="47">
        <f t="shared" si="378"/>
        <v>0</v>
      </c>
      <c r="AX278" s="47">
        <f t="shared" si="378"/>
        <v>0</v>
      </c>
      <c r="AY278" s="47">
        <f t="shared" si="378"/>
        <v>0</v>
      </c>
      <c r="AZ278" s="47">
        <f t="shared" si="378"/>
        <v>0</v>
      </c>
      <c r="BA278" s="47">
        <f t="shared" si="378"/>
        <v>0</v>
      </c>
      <c r="BB278" s="47">
        <f t="shared" si="378"/>
        <v>0</v>
      </c>
      <c r="BC278" s="47">
        <f t="shared" si="378"/>
        <v>0</v>
      </c>
      <c r="BD278" s="47">
        <f t="shared" si="378"/>
        <v>0</v>
      </c>
      <c r="BE278" s="47">
        <f t="shared" si="378"/>
        <v>0</v>
      </c>
      <c r="BF278" s="47">
        <f t="shared" si="378"/>
        <v>0</v>
      </c>
      <c r="BG278" s="47">
        <f t="shared" si="378"/>
        <v>0</v>
      </c>
      <c r="BH278" s="47">
        <f t="shared" si="378"/>
        <v>0</v>
      </c>
      <c r="BI278" s="47">
        <f t="shared" si="378"/>
        <v>0</v>
      </c>
      <c r="BJ278" s="47">
        <f t="shared" si="378"/>
        <v>0</v>
      </c>
      <c r="BK278" s="47">
        <f t="shared" si="378"/>
        <v>0</v>
      </c>
      <c r="BL278" s="47">
        <f t="shared" si="378"/>
        <v>0</v>
      </c>
      <c r="BM278" s="47">
        <f t="shared" si="378"/>
        <v>0</v>
      </c>
      <c r="BN278" s="47">
        <f t="shared" si="378"/>
        <v>0</v>
      </c>
      <c r="BO278" s="47">
        <f t="shared" ref="BO278:BX278" si="379">IF(ISNUMBER(BO275),ROUND(BO275+BO274-BO276,1),"")</f>
        <v>0</v>
      </c>
      <c r="BP278" s="47">
        <f t="shared" si="379"/>
        <v>0</v>
      </c>
      <c r="BQ278" s="47">
        <f t="shared" si="379"/>
        <v>0</v>
      </c>
      <c r="BR278" s="47">
        <f t="shared" si="379"/>
        <v>0</v>
      </c>
      <c r="BS278" s="47">
        <f t="shared" si="379"/>
        <v>0</v>
      </c>
      <c r="BT278" s="47">
        <f t="shared" si="379"/>
        <v>0</v>
      </c>
      <c r="BU278" s="47">
        <f t="shared" si="379"/>
        <v>0</v>
      </c>
      <c r="BV278" s="47">
        <f t="shared" si="379"/>
        <v>0</v>
      </c>
      <c r="BW278" s="47">
        <f t="shared" si="379"/>
        <v>0</v>
      </c>
      <c r="BX278" s="47">
        <f t="shared" si="379"/>
        <v>0</v>
      </c>
      <c r="BY278" s="6"/>
      <c r="BZ278" s="6"/>
      <c r="CA278" s="37">
        <f>IF(ISNUMBER(CA275),ROUND(CA275+CA274-CA276,1),"")</f>
        <v>0</v>
      </c>
      <c r="CB278" s="37">
        <f>IF(ISNUMBER(CB275),ROUND(CB275+CB274-CB276,1),"")</f>
        <v>0</v>
      </c>
      <c r="CC278" s="37">
        <f>IF(ISNUMBER(CC275),ROUND(CC275+CC274-CC276,1),"")</f>
        <v>0</v>
      </c>
      <c r="CD278" s="37">
        <f>IF(ISNUMBER(CD275),ROUND(CD275+CD274-CD276,1),"")</f>
        <v>0</v>
      </c>
      <c r="CE278" s="37">
        <f>IF(ISNUMBER(CE275),ROUND(CE275+CE274-CE276,1),"")</f>
        <v>0</v>
      </c>
      <c r="CF278" s="6"/>
    </row>
    <row r="279" spans="2:89" ht="15" customHeight="1" x14ac:dyDescent="0.25">
      <c r="B279" s="26" t="s">
        <v>456</v>
      </c>
      <c r="CF279" s="6"/>
    </row>
    <row r="280" spans="2:89" ht="15" customHeight="1" x14ac:dyDescent="0.25">
      <c r="B280" s="59" t="s">
        <v>457</v>
      </c>
      <c r="C280" s="60">
        <f t="shared" ref="C280:AH280" si="380">IF(ISNUMBER(C261),C261+C262,"")</f>
        <v>72.216000000000008</v>
      </c>
      <c r="D280" s="60">
        <f t="shared" si="380"/>
        <v>130.64499999999998</v>
      </c>
      <c r="E280" s="60">
        <f t="shared" si="380"/>
        <v>87.388000000000034</v>
      </c>
      <c r="F280" s="60">
        <f t="shared" si="380"/>
        <v>179.13800000000001</v>
      </c>
      <c r="G280" s="60">
        <f t="shared" si="380"/>
        <v>133.892</v>
      </c>
      <c r="H280" s="60">
        <f t="shared" si="380"/>
        <v>103.73099999999999</v>
      </c>
      <c r="I280" s="60">
        <f t="shared" si="380"/>
        <v>71.665999999999997</v>
      </c>
      <c r="J280" s="60">
        <f t="shared" si="380"/>
        <v>-3.3049999999999997</v>
      </c>
      <c r="K280" s="60">
        <f t="shared" si="380"/>
        <v>1.7749999999999986</v>
      </c>
      <c r="L280" s="60">
        <f t="shared" si="380"/>
        <v>64.832999999999998</v>
      </c>
      <c r="M280" s="60">
        <f t="shared" si="380"/>
        <v>90.41500000000002</v>
      </c>
      <c r="N280" s="60">
        <f t="shared" si="380"/>
        <v>153.71800000000002</v>
      </c>
      <c r="O280" s="60">
        <f t="shared" si="380"/>
        <v>-30.300999999999995</v>
      </c>
      <c r="P280" s="60">
        <f t="shared" si="380"/>
        <v>15.927</v>
      </c>
      <c r="Q280" s="60">
        <f t="shared" si="380"/>
        <v>77.431999999999988</v>
      </c>
      <c r="R280" s="60">
        <f t="shared" si="380"/>
        <v>86.417000000000002</v>
      </c>
      <c r="S280" s="60">
        <f t="shared" si="380"/>
        <v>149.47500000000002</v>
      </c>
      <c r="T280" s="60">
        <f t="shared" si="380"/>
        <v>-20.96</v>
      </c>
      <c r="U280" s="60">
        <f t="shared" si="380"/>
        <v>20.039000000000001</v>
      </c>
      <c r="V280" s="60">
        <f t="shared" si="380"/>
        <v>108.053</v>
      </c>
      <c r="W280" s="60">
        <f t="shared" si="380"/>
        <v>147.78700000000001</v>
      </c>
      <c r="X280" s="60">
        <f t="shared" si="380"/>
        <v>254.91899999999993</v>
      </c>
      <c r="Y280" s="60">
        <f t="shared" si="380"/>
        <v>-27.22</v>
      </c>
      <c r="Z280" s="60">
        <f t="shared" si="380"/>
        <v>20.031999999999996</v>
      </c>
      <c r="AA280" s="60">
        <f t="shared" si="380"/>
        <v>135.77500000000001</v>
      </c>
      <c r="AB280" s="60">
        <f t="shared" si="380"/>
        <v>162.80000000000001</v>
      </c>
      <c r="AC280" s="60">
        <f t="shared" si="380"/>
        <v>291.387</v>
      </c>
      <c r="AD280" s="60">
        <f t="shared" si="380"/>
        <v>-28.048999999999992</v>
      </c>
      <c r="AE280" s="60">
        <f t="shared" si="380"/>
        <v>41.558999999999997</v>
      </c>
      <c r="AF280" s="60">
        <f t="shared" si="380"/>
        <v>96.143000000000001</v>
      </c>
      <c r="AG280" s="60">
        <f t="shared" si="380"/>
        <v>137.89999999999998</v>
      </c>
      <c r="AH280" s="60">
        <f t="shared" si="380"/>
        <v>247.55300000000005</v>
      </c>
      <c r="AI280" s="60">
        <f t="shared" ref="AI280:BN280" si="381">IF(ISNUMBER(AI261),AI261+AI262,"")</f>
        <v>8.7530000000000001</v>
      </c>
      <c r="AJ280" s="60">
        <f t="shared" si="381"/>
        <v>41.009999999999991</v>
      </c>
      <c r="AK280" s="60">
        <f t="shared" si="381"/>
        <v>129.62</v>
      </c>
      <c r="AL280" s="60">
        <f t="shared" si="381"/>
        <v>149.81100000000001</v>
      </c>
      <c r="AM280" s="60">
        <f t="shared" si="381"/>
        <v>329.19400000000002</v>
      </c>
      <c r="AN280" s="60">
        <f t="shared" si="381"/>
        <v>-12.192000000000007</v>
      </c>
      <c r="AO280" s="60">
        <f t="shared" si="381"/>
        <v>138.471</v>
      </c>
      <c r="AP280" s="60">
        <f t="shared" si="381"/>
        <v>240.52100000000002</v>
      </c>
      <c r="AQ280" s="60">
        <f t="shared" si="381"/>
        <v>205.8</v>
      </c>
      <c r="AR280" s="60">
        <f t="shared" si="381"/>
        <v>572.6</v>
      </c>
      <c r="AS280" s="60">
        <f t="shared" si="381"/>
        <v>2.6000000000000085</v>
      </c>
      <c r="AT280" s="60">
        <f t="shared" si="381"/>
        <v>194.9</v>
      </c>
      <c r="AU280" s="60">
        <f t="shared" si="381"/>
        <v>235.70000000000002</v>
      </c>
      <c r="AV280" s="60">
        <f t="shared" si="381"/>
        <v>257.20000000000005</v>
      </c>
      <c r="AW280" s="60">
        <f t="shared" si="381"/>
        <v>690.39999999999986</v>
      </c>
      <c r="AX280" s="60">
        <f t="shared" si="381"/>
        <v>81.600000000000009</v>
      </c>
      <c r="AY280" s="60">
        <f t="shared" si="381"/>
        <v>146.60000000000002</v>
      </c>
      <c r="AZ280" s="60">
        <f t="shared" si="381"/>
        <v>230.8</v>
      </c>
      <c r="BA280" s="60">
        <f t="shared" si="381"/>
        <v>255.59999999999997</v>
      </c>
      <c r="BB280" s="60">
        <f t="shared" si="381"/>
        <v>714.6</v>
      </c>
      <c r="BC280" s="60">
        <f t="shared" si="381"/>
        <v>30.099999999999994</v>
      </c>
      <c r="BD280" s="60">
        <f t="shared" si="381"/>
        <v>35.399999999999991</v>
      </c>
      <c r="BE280" s="60">
        <f t="shared" si="381"/>
        <v>186.1</v>
      </c>
      <c r="BF280" s="60">
        <f t="shared" si="381"/>
        <v>257.8</v>
      </c>
      <c r="BG280" s="60">
        <f t="shared" si="381"/>
        <v>509.40000000000003</v>
      </c>
      <c r="BH280" s="60">
        <f t="shared" si="381"/>
        <v>-13.400000000000006</v>
      </c>
      <c r="BI280" s="60">
        <f t="shared" si="381"/>
        <v>238.5</v>
      </c>
      <c r="BJ280" s="60">
        <f t="shared" si="381"/>
        <v>283.3</v>
      </c>
      <c r="BK280" s="60">
        <f t="shared" si="381"/>
        <v>369.7</v>
      </c>
      <c r="BL280" s="60">
        <f t="shared" si="381"/>
        <v>878.10000000000014</v>
      </c>
      <c r="BM280" s="60">
        <f t="shared" si="381"/>
        <v>-28</v>
      </c>
      <c r="BN280" s="60">
        <f t="shared" si="381"/>
        <v>-138</v>
      </c>
      <c r="BO280" s="60">
        <f t="shared" ref="BO280:BX280" si="382">IF(ISNUMBER(BO261),BO261+BO262,"")</f>
        <v>317</v>
      </c>
      <c r="BP280" s="60">
        <f t="shared" si="382"/>
        <v>453</v>
      </c>
      <c r="BQ280" s="60">
        <f t="shared" si="382"/>
        <v>604</v>
      </c>
      <c r="BR280" s="60">
        <f t="shared" si="382"/>
        <v>-15</v>
      </c>
      <c r="BS280" s="60">
        <f t="shared" si="382"/>
        <v>208</v>
      </c>
      <c r="BT280" s="60">
        <f t="shared" si="382"/>
        <v>361</v>
      </c>
      <c r="BU280" s="60">
        <f t="shared" si="382"/>
        <v>424</v>
      </c>
      <c r="BV280" s="60">
        <f t="shared" si="382"/>
        <v>978</v>
      </c>
      <c r="BW280" s="60">
        <f t="shared" si="382"/>
        <v>41</v>
      </c>
      <c r="BX280" s="60">
        <f t="shared" si="382"/>
        <v>-16</v>
      </c>
      <c r="BY280" s="70"/>
      <c r="BZ280" s="70"/>
      <c r="CA280" s="60">
        <f>IF(ISNUMBER(CA261),CA261+CA262,"")</f>
        <v>937.96653558537423</v>
      </c>
      <c r="CB280" s="60">
        <f>IF(ISNUMBER(CB261),CB261+CB262,"")</f>
        <v>1521.8044069813864</v>
      </c>
      <c r="CC280" s="60">
        <f>IF(ISNUMBER(CC261),CC261+CC262,"")</f>
        <v>1905.3051602352898</v>
      </c>
      <c r="CD280" s="60">
        <f>IF(ISNUMBER(CD261),CD261+CD262,"")</f>
        <v>2232.9645785858525</v>
      </c>
      <c r="CE280" s="60">
        <f>IF(ISNUMBER(CE261),CE261+CE262,"")</f>
        <v>2549.5317946324994</v>
      </c>
      <c r="CF280" s="20" t="s">
        <v>458</v>
      </c>
      <c r="CH280" s="21">
        <f>IFERROR((CE280/BV280)^(1/5)-1,"n/m")</f>
        <v>0.21122357570597217</v>
      </c>
      <c r="CI280" s="21">
        <f>IFERROR((BV280/AW280)^(1/5)-1,"n/m")</f>
        <v>7.2130409661211203E-2</v>
      </c>
      <c r="CJ280" s="21">
        <f>IFERROR((BV280/X280)^(1/10)-1,"n/m")</f>
        <v>0.14391476291414751</v>
      </c>
      <c r="CK280" s="21">
        <f>IFERROR((BV280/C280)^(1/19)-1,"n/m")</f>
        <v>0.14700006744610872</v>
      </c>
    </row>
    <row r="281" spans="2:89" ht="15" customHeight="1" x14ac:dyDescent="0.25">
      <c r="B281" s="23" t="s">
        <v>459</v>
      </c>
      <c r="D281" s="24">
        <f t="shared" ref="D281:I281" si="383">IF(AND(ISNUMBER(D280),ISNUMBER(C280)),IFERROR(D280/C280-1,""),"")</f>
        <v>0.80908662900188277</v>
      </c>
      <c r="E281" s="24">
        <f t="shared" si="383"/>
        <v>-0.33110337173255733</v>
      </c>
      <c r="F281" s="24">
        <f t="shared" si="383"/>
        <v>1.0499153201812597</v>
      </c>
      <c r="G281" s="24">
        <f t="shared" si="383"/>
        <v>-0.25257622614967234</v>
      </c>
      <c r="H281" s="24">
        <f t="shared" si="383"/>
        <v>-0.22526364532608367</v>
      </c>
      <c r="I281" s="24">
        <f t="shared" si="383"/>
        <v>-0.30911685031475644</v>
      </c>
      <c r="N281" s="24">
        <f t="shared" ref="N281:AS281" si="384">IF(AND(ISNUMBER(N280),ISNUMBER(I280)),IFERROR(N280/I280-1,""),"")</f>
        <v>1.1449222783467756</v>
      </c>
      <c r="O281" s="24">
        <f t="shared" si="384"/>
        <v>8.1682299546142207</v>
      </c>
      <c r="P281" s="24">
        <f t="shared" si="384"/>
        <v>7.9729577464788797</v>
      </c>
      <c r="Q281" s="24">
        <f t="shared" si="384"/>
        <v>0.19433004796939812</v>
      </c>
      <c r="R281" s="24">
        <f t="shared" si="384"/>
        <v>-4.4218326605098945E-2</v>
      </c>
      <c r="S281" s="24">
        <f t="shared" si="384"/>
        <v>-2.7602492876566131E-2</v>
      </c>
      <c r="T281" s="24">
        <f t="shared" si="384"/>
        <v>-0.30827365433484033</v>
      </c>
      <c r="U281" s="24">
        <f t="shared" si="384"/>
        <v>0.258177936836818</v>
      </c>
      <c r="V281" s="24">
        <f t="shared" si="384"/>
        <v>0.39545665874573843</v>
      </c>
      <c r="W281" s="24">
        <f t="shared" si="384"/>
        <v>0.71016119513521647</v>
      </c>
      <c r="X281" s="24">
        <f t="shared" si="384"/>
        <v>0.70542900150526777</v>
      </c>
      <c r="Y281" s="24">
        <f t="shared" si="384"/>
        <v>0.29866412213740445</v>
      </c>
      <c r="Z281" s="24">
        <f t="shared" si="384"/>
        <v>-3.4931882828503902E-4</v>
      </c>
      <c r="AA281" s="24">
        <f t="shared" si="384"/>
        <v>0.25655928109353754</v>
      </c>
      <c r="AB281" s="24">
        <f t="shared" si="384"/>
        <v>0.10158538978394582</v>
      </c>
      <c r="AC281" s="24">
        <f t="shared" si="384"/>
        <v>0.14305720640674124</v>
      </c>
      <c r="AD281" s="24">
        <f t="shared" si="384"/>
        <v>3.0455547391623483E-2</v>
      </c>
      <c r="AE281" s="24">
        <f t="shared" si="384"/>
        <v>1.0746305910543135</v>
      </c>
      <c r="AF281" s="24">
        <f t="shared" si="384"/>
        <v>-0.29189467869637264</v>
      </c>
      <c r="AG281" s="24">
        <f t="shared" si="384"/>
        <v>-0.15294840294840317</v>
      </c>
      <c r="AH281" s="24">
        <f t="shared" si="384"/>
        <v>-0.15043224303074587</v>
      </c>
      <c r="AI281" s="24">
        <f t="shared" si="384"/>
        <v>-1.3120610360440659</v>
      </c>
      <c r="AJ281" s="24">
        <f t="shared" si="384"/>
        <v>-1.3210134988811295E-2</v>
      </c>
      <c r="AK281" s="24">
        <f t="shared" si="384"/>
        <v>0.34820007696868216</v>
      </c>
      <c r="AL281" s="24">
        <f t="shared" si="384"/>
        <v>8.6374184191443382E-2</v>
      </c>
      <c r="AM281" s="24">
        <f t="shared" si="384"/>
        <v>0.32979200413648768</v>
      </c>
      <c r="AN281" s="24">
        <f t="shared" si="384"/>
        <v>-2.3928938649605858</v>
      </c>
      <c r="AO281" s="24">
        <f t="shared" si="384"/>
        <v>2.3765179224579378</v>
      </c>
      <c r="AP281" s="24">
        <f t="shared" si="384"/>
        <v>0.85558555778429257</v>
      </c>
      <c r="AQ281" s="24">
        <f t="shared" si="384"/>
        <v>0.37373090093517836</v>
      </c>
      <c r="AR281" s="24">
        <f t="shared" si="384"/>
        <v>0.73939986755530174</v>
      </c>
      <c r="AS281" s="24">
        <f t="shared" si="384"/>
        <v>-1.2132545931758536</v>
      </c>
      <c r="AT281" s="24">
        <f t="shared" ref="AT281:BX281" si="385">IF(AND(ISNUMBER(AT280),ISNUMBER(AO280)),IFERROR(AT280/AO280-1,""),"")</f>
        <v>0.40751493092416458</v>
      </c>
      <c r="AU281" s="24">
        <f t="shared" si="385"/>
        <v>-2.0043987843057387E-2</v>
      </c>
      <c r="AV281" s="24">
        <f t="shared" si="385"/>
        <v>0.24975704567541324</v>
      </c>
      <c r="AW281" s="24">
        <f t="shared" si="385"/>
        <v>0.20572825707300013</v>
      </c>
      <c r="AX281" s="24">
        <f t="shared" si="385"/>
        <v>30.384615384615284</v>
      </c>
      <c r="AY281" s="24">
        <f t="shared" si="385"/>
        <v>-0.24781939456131341</v>
      </c>
      <c r="AZ281" s="24">
        <f t="shared" si="385"/>
        <v>-2.0789138735681001E-2</v>
      </c>
      <c r="BA281" s="24">
        <f t="shared" si="385"/>
        <v>-6.2208398133750675E-3</v>
      </c>
      <c r="BB281" s="24">
        <f t="shared" si="385"/>
        <v>3.5052143684820569E-2</v>
      </c>
      <c r="BC281" s="24">
        <f t="shared" si="385"/>
        <v>-0.63112745098039225</v>
      </c>
      <c r="BD281" s="24">
        <f t="shared" si="385"/>
        <v>-0.75852660300136432</v>
      </c>
      <c r="BE281" s="24">
        <f t="shared" si="385"/>
        <v>-0.19367417677642984</v>
      </c>
      <c r="BF281" s="24">
        <f t="shared" si="385"/>
        <v>8.6071987480440537E-3</v>
      </c>
      <c r="BG281" s="24">
        <f t="shared" si="385"/>
        <v>-0.2871536523929471</v>
      </c>
      <c r="BH281" s="24">
        <f t="shared" si="385"/>
        <v>-1.4451827242524919</v>
      </c>
      <c r="BI281" s="24">
        <f t="shared" si="385"/>
        <v>5.7372881355932224</v>
      </c>
      <c r="BJ281" s="24">
        <f t="shared" si="385"/>
        <v>0.52229983879634623</v>
      </c>
      <c r="BK281" s="24">
        <f t="shared" si="385"/>
        <v>0.43405740884406496</v>
      </c>
      <c r="BL281" s="24">
        <f t="shared" si="385"/>
        <v>0.72379269729093076</v>
      </c>
      <c r="BM281" s="24">
        <f t="shared" si="385"/>
        <v>1.0895522388059691</v>
      </c>
      <c r="BN281" s="24">
        <f t="shared" si="385"/>
        <v>-1.5786163522012577</v>
      </c>
      <c r="BO281" s="24">
        <f t="shared" si="385"/>
        <v>0.11895517119661125</v>
      </c>
      <c r="BP281" s="24">
        <f t="shared" si="385"/>
        <v>0.22531782526372734</v>
      </c>
      <c r="BQ281" s="24">
        <f t="shared" si="385"/>
        <v>-0.31215123562236657</v>
      </c>
      <c r="BR281" s="24">
        <f t="shared" si="385"/>
        <v>-0.4642857142857143</v>
      </c>
      <c r="BS281" s="24">
        <f t="shared" si="385"/>
        <v>-2.5072463768115942</v>
      </c>
      <c r="BT281" s="24">
        <f t="shared" si="385"/>
        <v>0.13880126182965302</v>
      </c>
      <c r="BU281" s="24">
        <f t="shared" si="385"/>
        <v>-6.4017660044150104E-2</v>
      </c>
      <c r="BV281" s="24">
        <f t="shared" si="385"/>
        <v>0.61920529801324498</v>
      </c>
      <c r="BW281" s="24">
        <f t="shared" si="385"/>
        <v>-3.7333333333333334</v>
      </c>
      <c r="BX281" s="24">
        <f t="shared" si="385"/>
        <v>-1.0769230769230769</v>
      </c>
      <c r="BY281" s="6"/>
      <c r="BZ281" s="6"/>
      <c r="CA281" s="25">
        <f>IFERROR(CA280/BV280-1,"")</f>
        <v>-4.0934012693891408E-2</v>
      </c>
      <c r="CB281" s="25">
        <f>IFERROR(CB280/CA280-1,"")</f>
        <v>0.62245064108992509</v>
      </c>
      <c r="CC281" s="25">
        <f>IFERROR(CC280/CB280-1,"")</f>
        <v>0.25200397074326131</v>
      </c>
      <c r="CD281" s="25">
        <f>IFERROR(CD280/CC280-1,"")</f>
        <v>0.17197214660883997</v>
      </c>
      <c r="CE281" s="25">
        <f>IFERROR(CE280/CD280-1,"")</f>
        <v>0.14176992285615686</v>
      </c>
      <c r="CF281" s="6"/>
    </row>
    <row r="282" spans="2:89" ht="15" customHeight="1" x14ac:dyDescent="0.25">
      <c r="B282" s="26" t="s">
        <v>460</v>
      </c>
      <c r="C282" s="38">
        <f t="shared" ref="C282:AH282" si="386">IF(AND(ISNUMBER(C280),ISNUMBER(C158)),IFERROR(C280/C158,""),"")</f>
        <v>3.2730239303843368E-2</v>
      </c>
      <c r="D282" s="38">
        <f t="shared" si="386"/>
        <v>5.9193058764895105E-2</v>
      </c>
      <c r="E282" s="38">
        <f t="shared" si="386"/>
        <v>4.1218810433470136E-2</v>
      </c>
      <c r="F282" s="38">
        <f t="shared" si="386"/>
        <v>0.10521437801010221</v>
      </c>
      <c r="G282" s="38">
        <f t="shared" si="386"/>
        <v>7.5097874249817703E-2</v>
      </c>
      <c r="H282" s="38">
        <f t="shared" si="386"/>
        <v>6.0523367757745486E-2</v>
      </c>
      <c r="I282" s="38">
        <f t="shared" si="386"/>
        <v>3.5171770710639969E-2</v>
      </c>
      <c r="J282" s="38">
        <f t="shared" si="386"/>
        <v>-8.5844155844155834E-3</v>
      </c>
      <c r="K282" s="38">
        <f t="shared" si="386"/>
        <v>3.1544339790296754E-3</v>
      </c>
      <c r="L282" s="38">
        <f t="shared" si="386"/>
        <v>9.7449271005561403E-2</v>
      </c>
      <c r="M282" s="38">
        <f t="shared" si="386"/>
        <v>0.16589908256880737</v>
      </c>
      <c r="N282" s="38">
        <f t="shared" si="386"/>
        <v>7.1314312224541876E-2</v>
      </c>
      <c r="O282" s="38">
        <f t="shared" si="386"/>
        <v>-7.0681128994634926E-2</v>
      </c>
      <c r="P282" s="38">
        <f t="shared" si="386"/>
        <v>2.3800059772863119E-2</v>
      </c>
      <c r="Q282" s="38">
        <f t="shared" si="386"/>
        <v>7.7146557736375396E-2</v>
      </c>
      <c r="R282" s="38">
        <f t="shared" si="386"/>
        <v>0.1009190704192456</v>
      </c>
      <c r="S282" s="38">
        <f t="shared" si="386"/>
        <v>5.0532454361054774E-2</v>
      </c>
      <c r="T282" s="38">
        <f t="shared" si="386"/>
        <v>-3.03153022852184E-2</v>
      </c>
      <c r="U282" s="38">
        <f t="shared" si="386"/>
        <v>2.1748426307792491E-2</v>
      </c>
      <c r="V282" s="38">
        <f t="shared" si="386"/>
        <v>9.9845684716318606E-2</v>
      </c>
      <c r="W282" s="38">
        <f t="shared" si="386"/>
        <v>0.17497868813639594</v>
      </c>
      <c r="X282" s="38">
        <f t="shared" si="386"/>
        <v>7.201915470674651E-2</v>
      </c>
      <c r="Y282" s="38">
        <f t="shared" si="386"/>
        <v>-3.4508113590263692E-2</v>
      </c>
      <c r="Z282" s="38">
        <f t="shared" si="386"/>
        <v>2.0497288447764245E-2</v>
      </c>
      <c r="AA282" s="38">
        <f t="shared" si="386"/>
        <v>0.12299574236796811</v>
      </c>
      <c r="AB282" s="38">
        <f t="shared" si="386"/>
        <v>0.17158516020236089</v>
      </c>
      <c r="AC282" s="38">
        <f t="shared" si="386"/>
        <v>7.6303288991306159E-2</v>
      </c>
      <c r="AD282" s="38">
        <f t="shared" si="386"/>
        <v>-3.3237350396966459E-2</v>
      </c>
      <c r="AE282" s="38">
        <f t="shared" si="386"/>
        <v>3.9077574047954866E-2</v>
      </c>
      <c r="AF282" s="38">
        <f t="shared" si="386"/>
        <v>8.8391100487266713E-2</v>
      </c>
      <c r="AG282" s="38">
        <f t="shared" si="386"/>
        <v>0.142091705306543</v>
      </c>
      <c r="AH282" s="38">
        <f t="shared" si="386"/>
        <v>6.2425105910833181E-2</v>
      </c>
      <c r="AI282" s="38">
        <f t="shared" ref="AI282:BN282" si="387">IF(AND(ISNUMBER(AI280),ISNUMBER(AI158)),IFERROR(AI280/AI158,""),"")</f>
        <v>1.0913965087281796E-2</v>
      </c>
      <c r="AJ282" s="38">
        <f t="shared" si="387"/>
        <v>3.4106701330585493E-2</v>
      </c>
      <c r="AK282" s="38">
        <f t="shared" si="387"/>
        <v>0.10627726214292742</v>
      </c>
      <c r="AL282" s="38">
        <f t="shared" si="387"/>
        <v>0.14684214550223582</v>
      </c>
      <c r="AM282" s="38">
        <f t="shared" si="387"/>
        <v>7.7562074941126435E-2</v>
      </c>
      <c r="AN282" s="38">
        <f t="shared" si="387"/>
        <v>-1.2984647826573166E-2</v>
      </c>
      <c r="AO282" s="38">
        <f t="shared" si="387"/>
        <v>0.10822544995263655</v>
      </c>
      <c r="AP282" s="38">
        <f t="shared" si="387"/>
        <v>0.16935164753148399</v>
      </c>
      <c r="AQ282" s="38">
        <f t="shared" si="387"/>
        <v>0.1870178021318939</v>
      </c>
      <c r="AR282" s="38">
        <f t="shared" si="387"/>
        <v>0.12082468013955398</v>
      </c>
      <c r="AS282" s="38">
        <f t="shared" si="387"/>
        <v>2.7134209977040372E-3</v>
      </c>
      <c r="AT282" s="38">
        <f t="shared" si="387"/>
        <v>0.15339209822131278</v>
      </c>
      <c r="AU282" s="38">
        <f t="shared" si="387"/>
        <v>0.17837142424701075</v>
      </c>
      <c r="AV282" s="38">
        <f t="shared" si="387"/>
        <v>0.21804001356392003</v>
      </c>
      <c r="AW282" s="38">
        <f t="shared" si="387"/>
        <v>0.14596503097317065</v>
      </c>
      <c r="AX282" s="38">
        <f t="shared" si="387"/>
        <v>8.3061889250814341E-2</v>
      </c>
      <c r="AY282" s="38">
        <f t="shared" si="387"/>
        <v>0.10639378764786996</v>
      </c>
      <c r="AZ282" s="38">
        <f t="shared" si="387"/>
        <v>0.14820522699544084</v>
      </c>
      <c r="BA282" s="38">
        <f t="shared" si="387"/>
        <v>0.17080994386527662</v>
      </c>
      <c r="BB282" s="38">
        <f t="shared" si="387"/>
        <v>0.13199113409678612</v>
      </c>
      <c r="BC282" s="38">
        <f t="shared" si="387"/>
        <v>2.4455638609034769E-2</v>
      </c>
      <c r="BD282" s="38">
        <f t="shared" si="387"/>
        <v>2.1563013948955344E-2</v>
      </c>
      <c r="BE282" s="38">
        <f t="shared" si="387"/>
        <v>0.10272120108185681</v>
      </c>
      <c r="BF282" s="38">
        <f t="shared" si="387"/>
        <v>0.17460209955976974</v>
      </c>
      <c r="BG282" s="38">
        <f t="shared" si="387"/>
        <v>8.268540912558639E-2</v>
      </c>
      <c r="BH282" s="38">
        <f t="shared" si="387"/>
        <v>-9.8958717967653834E-3</v>
      </c>
      <c r="BI282" s="38">
        <f t="shared" si="387"/>
        <v>0.13098637961335677</v>
      </c>
      <c r="BJ282" s="38">
        <f t="shared" si="387"/>
        <v>0.14206910385637633</v>
      </c>
      <c r="BK282" s="38">
        <f t="shared" si="387"/>
        <v>0.22988434274343986</v>
      </c>
      <c r="BL282" s="38">
        <f t="shared" si="387"/>
        <v>0.12956678274213543</v>
      </c>
      <c r="BM282" s="38">
        <f t="shared" si="387"/>
        <v>-2.2382094324540368E-2</v>
      </c>
      <c r="BN282" s="38">
        <f t="shared" si="387"/>
        <v>-7.8231292517006806E-2</v>
      </c>
      <c r="BO282" s="38">
        <f t="shared" ref="BO282:BX282" si="388">IF(AND(ISNUMBER(BO280),ISNUMBER(BO158)),IFERROR(BO280/BO158,""),"")</f>
        <v>0.16781365802011647</v>
      </c>
      <c r="BP282" s="38">
        <f t="shared" si="388"/>
        <v>0.27757352941176472</v>
      </c>
      <c r="BQ282" s="38">
        <f t="shared" si="388"/>
        <v>9.2411260709914317E-2</v>
      </c>
      <c r="BR282" s="38">
        <f t="shared" si="388"/>
        <v>-1.2908777969018933E-2</v>
      </c>
      <c r="BS282" s="38">
        <f t="shared" si="388"/>
        <v>0.12927284027346178</v>
      </c>
      <c r="BT282" s="38">
        <f t="shared" si="388"/>
        <v>0.19555796316359697</v>
      </c>
      <c r="BU282" s="38">
        <f t="shared" si="388"/>
        <v>0.27640156453715775</v>
      </c>
      <c r="BV282" s="38">
        <f t="shared" si="388"/>
        <v>0.15902439024390244</v>
      </c>
      <c r="BW282" s="38">
        <f t="shared" si="388"/>
        <v>3.0102790014684289E-2</v>
      </c>
      <c r="BX282" s="38">
        <f t="shared" si="388"/>
        <v>-8.2177709296353367E-3</v>
      </c>
      <c r="BY282" s="6"/>
      <c r="BZ282" s="6"/>
      <c r="CA282" s="25">
        <f>IFERROR(CA280/CA158,"")</f>
        <v>0.11769513722552642</v>
      </c>
      <c r="CB282" s="25">
        <f>IFERROR(CB280/CB158,"")</f>
        <v>0.15502011391978618</v>
      </c>
      <c r="CC282" s="25">
        <f>IFERROR(CC280/CC158,"")</f>
        <v>0.17970355522084022</v>
      </c>
      <c r="CD282" s="25">
        <f>IFERROR(CD280/CD158,"")</f>
        <v>0.1942784696741332</v>
      </c>
      <c r="CE282" s="25">
        <f>IFERROR(CE280/CE158,"")</f>
        <v>0.20419496899243825</v>
      </c>
      <c r="CF282" s="163" t="str">
        <f>"Hist. 2006–2025 (annual): avg "&amp;TEXT(AVERAGE(C282,D282,E282,F282,G282,H282,I282,N282,S282,X282,AC282,AH282,AM282,AR282,AW282,BB282,BG282,BL282,BQ282,BV282),"0.0%")&amp;" | min "&amp;TEXT(MIN(C282,D282,E282,F282,G282,H282,I282,N282,S282,X282,AC282,AH282,AM282,AR282,AW282,BB282,BG282,BL282,BQ282,BV282),"0.0%")&amp;" | max "&amp;TEXT(MAX(C282,D282,E282,F282,G282,H282,I282,N282,S282,X282,AC282,AH282,AM282,AR282,AW282,BB282,BG282,BL282,BQ282,BV282),"0.0%")</f>
        <v>Hist. 2006–2025 (annual): avg 8.4% | min 3.3% | max 15.9%</v>
      </c>
      <c r="CH282" s="39">
        <f>IFERROR(AVERAGE(CA282,CB282,CC282,CD282,CE282),"n/m")</f>
        <v>0.17017844900654486</v>
      </c>
      <c r="CI282" s="39">
        <f>IFERROR(AVERAGE(BB282,BG282,BL282,BQ282,BV282),"n/m")</f>
        <v>0.11913579538366495</v>
      </c>
      <c r="CJ282" s="39">
        <f>IFERROR(AVERAGE(AC282,AH282,AM282,AR282,AW282,BB282,BG282,BL282,BQ282,BV282),"n/m")</f>
        <v>0.10787591578743153</v>
      </c>
      <c r="CK282" s="39">
        <f>IFERROR(AVERAGE(C282,D282,E282,F282,G282,H282,I282,N282,S282,X282,AC282,AH282,AM282,AR282,AW282,BB282,BG282,BL282,BQ282,BV282),"n/m")</f>
        <v>8.4088728919858607E-2</v>
      </c>
    </row>
    <row r="283" spans="2:89" ht="15" customHeight="1" x14ac:dyDescent="0.25">
      <c r="B283" s="26" t="s">
        <v>461</v>
      </c>
      <c r="C283" s="38">
        <f t="shared" ref="C283:AH283" si="389">IF(AND(ISNUMBER(C280),ISNUMBER(C229)),IFERROR(C280/C229,""),"")</f>
        <v>0.29522340259716323</v>
      </c>
      <c r="D283" s="38">
        <f t="shared" si="389"/>
        <v>0.49695754622788441</v>
      </c>
      <c r="E283" s="38">
        <f t="shared" si="389"/>
        <v>0.50096279267189392</v>
      </c>
      <c r="F283" s="38">
        <f t="shared" si="389"/>
        <v>2.1025586854460143</v>
      </c>
      <c r="G283" s="38">
        <f t="shared" si="389"/>
        <v>1.3831818181818183</v>
      </c>
      <c r="H283" s="38">
        <f t="shared" si="389"/>
        <v>1.115699012627186</v>
      </c>
      <c r="I283" s="38">
        <f t="shared" si="389"/>
        <v>0.68033035883804904</v>
      </c>
      <c r="J283" s="38">
        <f t="shared" si="389"/>
        <v>0.11931407942238274</v>
      </c>
      <c r="K283" s="38">
        <f t="shared" si="389"/>
        <v>4.3292682926829154E-2</v>
      </c>
      <c r="L283" s="38">
        <f t="shared" si="389"/>
        <v>0.89920943134535458</v>
      </c>
      <c r="M283" s="38">
        <f t="shared" si="389"/>
        <v>2.4907713498622597</v>
      </c>
      <c r="N283" s="38">
        <f t="shared" si="389"/>
        <v>1.2589516789516788</v>
      </c>
      <c r="O283" s="38">
        <f t="shared" si="389"/>
        <v>1.8698549830299298</v>
      </c>
      <c r="P283" s="38">
        <f t="shared" si="389"/>
        <v>0.2556090515166104</v>
      </c>
      <c r="Q283" s="38">
        <f t="shared" si="389"/>
        <v>0.79113154533844154</v>
      </c>
      <c r="R283" s="38">
        <f t="shared" si="389"/>
        <v>1.29127069511685</v>
      </c>
      <c r="S283" s="38">
        <f t="shared" si="389"/>
        <v>0.69994006199837</v>
      </c>
      <c r="T283" s="38">
        <f t="shared" si="389"/>
        <v>-3.4360655737705197</v>
      </c>
      <c r="U283" s="38">
        <f t="shared" si="389"/>
        <v>0.24467643467643493</v>
      </c>
      <c r="V283" s="38">
        <f t="shared" si="389"/>
        <v>0.78937640630022488</v>
      </c>
      <c r="W283" s="38">
        <f t="shared" si="389"/>
        <v>1.9560098125120859</v>
      </c>
      <c r="X283" s="38">
        <f t="shared" si="389"/>
        <v>0.84550357052718239</v>
      </c>
      <c r="Y283" s="38">
        <f t="shared" si="389"/>
        <v>-0.60488888888889025</v>
      </c>
      <c r="Z283" s="38">
        <f t="shared" si="389"/>
        <v>0.16406224406224415</v>
      </c>
      <c r="AA283" s="38">
        <f t="shared" si="389"/>
        <v>0.85125391849529719</v>
      </c>
      <c r="AB283" s="38">
        <f t="shared" si="389"/>
        <v>1.6461071789686577</v>
      </c>
      <c r="AC283" s="38">
        <f t="shared" si="389"/>
        <v>0.6849717912552894</v>
      </c>
      <c r="AD283" s="38">
        <f t="shared" si="389"/>
        <v>-0.66309692671394749</v>
      </c>
      <c r="AE283" s="38">
        <f t="shared" si="389"/>
        <v>0.29205200281096272</v>
      </c>
      <c r="AF283" s="38">
        <f t="shared" si="389"/>
        <v>0.63460726072607232</v>
      </c>
      <c r="AG283" s="38">
        <f t="shared" si="389"/>
        <v>1.1606180985725834</v>
      </c>
      <c r="AH283" s="38">
        <f t="shared" si="389"/>
        <v>0.54554009026480033</v>
      </c>
      <c r="AI283" s="38">
        <f t="shared" ref="AI283:BN283" si="390">IF(AND(ISNUMBER(AI280),ISNUMBER(AI229)),IFERROR(AI280/AI229,""),"")</f>
        <v>0.87530000000000185</v>
      </c>
      <c r="AJ283" s="38">
        <f t="shared" si="390"/>
        <v>0.19939116116055935</v>
      </c>
      <c r="AK283" s="38">
        <f t="shared" si="390"/>
        <v>0.67008082895233023</v>
      </c>
      <c r="AL283" s="38">
        <f t="shared" si="390"/>
        <v>1.4328217249524651</v>
      </c>
      <c r="AM283" s="38">
        <f t="shared" si="390"/>
        <v>0.64335293562973683</v>
      </c>
      <c r="AN283" s="38">
        <f t="shared" si="390"/>
        <v>-0.28468687246065472</v>
      </c>
      <c r="AO283" s="38">
        <f t="shared" si="390"/>
        <v>0.73083723458718819</v>
      </c>
      <c r="AP283" s="38">
        <f t="shared" si="390"/>
        <v>0.96741639919234779</v>
      </c>
      <c r="AQ283" s="38">
        <f t="shared" si="390"/>
        <v>1.5708244920390178</v>
      </c>
      <c r="AR283" s="38">
        <f t="shared" si="390"/>
        <v>0.9357508804327398</v>
      </c>
      <c r="AS283" s="38">
        <f t="shared" si="390"/>
        <v>0.10038610038610038</v>
      </c>
      <c r="AT283" s="38">
        <f t="shared" si="390"/>
        <v>0.89568014705882382</v>
      </c>
      <c r="AU283" s="38">
        <f t="shared" si="390"/>
        <v>0.80061141304347794</v>
      </c>
      <c r="AV283" s="38">
        <f t="shared" si="390"/>
        <v>1.4054644808743182</v>
      </c>
      <c r="AW283" s="38">
        <f t="shared" si="390"/>
        <v>0.95755894590846069</v>
      </c>
      <c r="AX283" s="38">
        <f t="shared" si="390"/>
        <v>1.249617151607965</v>
      </c>
      <c r="AY283" s="38">
        <f t="shared" si="390"/>
        <v>0.61564182865977313</v>
      </c>
      <c r="AZ283" s="38">
        <f t="shared" si="390"/>
        <v>0.86750627593007779</v>
      </c>
      <c r="BA283" s="38">
        <f t="shared" si="390"/>
        <v>1.2941444520391885</v>
      </c>
      <c r="BB283" s="38">
        <f t="shared" si="390"/>
        <v>0.92958791202875979</v>
      </c>
      <c r="BC283" s="38">
        <f t="shared" si="390"/>
        <v>1.1743534092964407</v>
      </c>
      <c r="BD283" s="38">
        <f t="shared" si="390"/>
        <v>0.14303049250603406</v>
      </c>
      <c r="BE283" s="38">
        <f t="shared" si="390"/>
        <v>0.63488298182286484</v>
      </c>
      <c r="BF283" s="38">
        <f t="shared" si="390"/>
        <v>1.3611946998082252</v>
      </c>
      <c r="BG283" s="38">
        <f t="shared" si="390"/>
        <v>0.67526102931499743</v>
      </c>
      <c r="BH283" s="38">
        <f t="shared" si="390"/>
        <v>-9.9308589015894691E-2</v>
      </c>
      <c r="BI283" s="38">
        <f t="shared" si="390"/>
        <v>0.68550947484158964</v>
      </c>
      <c r="BJ283" s="38">
        <f t="shared" si="390"/>
        <v>0.65438055322558097</v>
      </c>
      <c r="BK283" s="38">
        <f t="shared" si="390"/>
        <v>1.2571461750000819</v>
      </c>
      <c r="BL283" s="38">
        <f t="shared" si="390"/>
        <v>0.72593674349150406</v>
      </c>
      <c r="BM283" s="38">
        <f t="shared" si="390"/>
        <v>-0.2546338577106621</v>
      </c>
      <c r="BN283" s="38">
        <f t="shared" si="390"/>
        <v>-0.42484731118724861</v>
      </c>
      <c r="BO283" s="38">
        <f t="shared" ref="BO283:BX283" si="391">IF(AND(ISNUMBER(BO280),ISNUMBER(BO229)),IFERROR(BO280/BO229,""),"")</f>
        <v>0.8694813750149718</v>
      </c>
      <c r="BP283" s="38">
        <f t="shared" si="391"/>
        <v>1.5364637380375881</v>
      </c>
      <c r="BQ283" s="38">
        <f t="shared" si="391"/>
        <v>0.57185955452853199</v>
      </c>
      <c r="BR283" s="38">
        <f t="shared" si="391"/>
        <v>-0.14464802314368369</v>
      </c>
      <c r="BS283" s="38">
        <f t="shared" si="391"/>
        <v>0.711510043237918</v>
      </c>
      <c r="BT283" s="38">
        <f t="shared" si="391"/>
        <v>0.97402597402597402</v>
      </c>
      <c r="BU283" s="38">
        <f t="shared" si="391"/>
        <v>1.6646169000211075</v>
      </c>
      <c r="BV283" s="38">
        <f t="shared" si="391"/>
        <v>0.95817990026850786</v>
      </c>
      <c r="BW283" s="38">
        <f t="shared" si="391"/>
        <v>0.35171401376149813</v>
      </c>
      <c r="BX283" s="38">
        <f t="shared" si="391"/>
        <v>-5.3156146179401995E-2</v>
      </c>
      <c r="BY283" s="6"/>
      <c r="BZ283" s="6"/>
      <c r="CA283" s="25">
        <f>IFERROR(CA280/CA229,"")</f>
        <v>0.86196814364117103</v>
      </c>
      <c r="CB283" s="25">
        <f>IFERROR(CB280/CB229,"")</f>
        <v>1.1616214464698815</v>
      </c>
      <c r="CC283" s="25">
        <f>IFERROR(CC280/CC229,"")</f>
        <v>1.1189096332404069</v>
      </c>
      <c r="CD283" s="25">
        <f>IFERROR(CD280/CD229,"")</f>
        <v>1.0881548684767559</v>
      </c>
      <c r="CE283" s="25">
        <f>IFERROR(CE280/CE229,"")</f>
        <v>1.0727910151078659</v>
      </c>
      <c r="CF283" s="163" t="str">
        <f>"Hist. 2006–2025 (annual): avg "&amp;TEXT(AVERAGE(C283,D283,E283,F283,G283,H283,I283,N283,S283,X283,AC283,AH283,AM283,AR283,AW283,BB283,BG283,BL283,BQ283,BV283),"0.0%")&amp;" | min "&amp;TEXT(MIN(C283,D283,E283,F283,G283,H283,I283,N283,S283,X283,AC283,AH283,AM283,AR283,AW283,BB283,BG283,BL283,BQ283,BV283),"0.0%")&amp;" | max "&amp;TEXT(MAX(C283,D283,E283,F283,G283,H283,I283,N283,S283,X283,AC283,AH283,AM283,AR283,AW283,BB283,BG283,BL283,BQ283,BV283),"0.0%")</f>
        <v>Hist. 2006–2025 (annual): avg 85.0% | min 29.5% | max 210.3%</v>
      </c>
    </row>
    <row r="284" spans="2:89" ht="15" customHeight="1" x14ac:dyDescent="0.25">
      <c r="B284" s="26" t="s">
        <v>462</v>
      </c>
      <c r="C284" s="40">
        <f t="shared" ref="C284:AH284" si="392">IF(AND(ISNUMBER(C280),ISNUMBER(C186)),IFERROR(C280/C186,""),"")</f>
        <v>1.5563793103448278</v>
      </c>
      <c r="D284" s="40">
        <f t="shared" si="392"/>
        <v>3.0172055427251729</v>
      </c>
      <c r="E284" s="40">
        <f t="shared" si="392"/>
        <v>2.0806666666666676</v>
      </c>
      <c r="F284" s="40">
        <f t="shared" si="392"/>
        <v>4.0528959276018099</v>
      </c>
      <c r="G284" s="40">
        <f t="shared" si="392"/>
        <v>2.9298030634573302</v>
      </c>
      <c r="H284" s="40">
        <f t="shared" si="392"/>
        <v>2.2648689956331878</v>
      </c>
      <c r="I284" s="40">
        <f t="shared" si="392"/>
        <v>1.5579565217391305</v>
      </c>
      <c r="J284" s="40">
        <f t="shared" si="392"/>
        <v>-7.1847826086956515E-2</v>
      </c>
      <c r="K284" s="40">
        <f t="shared" si="392"/>
        <v>3.833693304535634E-2</v>
      </c>
      <c r="L284" s="40">
        <f t="shared" si="392"/>
        <v>1.400280777537797</v>
      </c>
      <c r="M284" s="40">
        <f t="shared" si="392"/>
        <v>1.948599137931035</v>
      </c>
      <c r="N284" s="40">
        <f t="shared" si="392"/>
        <v>3.3200431965442769</v>
      </c>
      <c r="O284" s="40">
        <f t="shared" si="392"/>
        <v>-0.65444924406047511</v>
      </c>
      <c r="P284" s="40">
        <f t="shared" si="392"/>
        <v>0.34251612903225803</v>
      </c>
      <c r="Q284" s="40">
        <f t="shared" si="392"/>
        <v>1.1471407407407406</v>
      </c>
      <c r="R284" s="40">
        <f t="shared" si="392"/>
        <v>1.2783579881656806</v>
      </c>
      <c r="S284" s="40">
        <f t="shared" si="392"/>
        <v>2.6177758318739057</v>
      </c>
      <c r="T284" s="40">
        <f t="shared" si="392"/>
        <v>-0.30960118168389955</v>
      </c>
      <c r="U284" s="40">
        <f t="shared" si="392"/>
        <v>0.29643491124260357</v>
      </c>
      <c r="V284" s="40">
        <f t="shared" si="392"/>
        <v>1.6103278688524592</v>
      </c>
      <c r="W284" s="40">
        <f t="shared" si="392"/>
        <v>2.2494216133942162</v>
      </c>
      <c r="X284" s="40">
        <f t="shared" si="392"/>
        <v>3.8047611940298496</v>
      </c>
      <c r="Y284" s="40">
        <f t="shared" si="392"/>
        <v>-0.42267080745341612</v>
      </c>
      <c r="Z284" s="40">
        <f t="shared" si="392"/>
        <v>0.31398119122257051</v>
      </c>
      <c r="AA284" s="40">
        <f t="shared" si="392"/>
        <v>2.1314756671899531</v>
      </c>
      <c r="AB284" s="40">
        <f t="shared" si="392"/>
        <v>2.5637795275590554</v>
      </c>
      <c r="AC284" s="40">
        <f t="shared" si="392"/>
        <v>4.560046948356808</v>
      </c>
      <c r="AD284" s="40">
        <f t="shared" si="392"/>
        <v>-0.44311216429699835</v>
      </c>
      <c r="AE284" s="40">
        <f t="shared" si="392"/>
        <v>0.65862123613312196</v>
      </c>
      <c r="AF284" s="40">
        <f t="shared" si="392"/>
        <v>1.52125</v>
      </c>
      <c r="AG284" s="40">
        <f t="shared" si="392"/>
        <v>2.1819620253164551</v>
      </c>
      <c r="AH284" s="40">
        <f t="shared" si="392"/>
        <v>3.9169778481012667</v>
      </c>
      <c r="AI284" s="40">
        <f t="shared" ref="AI284:BN284" si="393">IF(AND(ISNUMBER(AI280),ISNUMBER(AI186)),IFERROR(AI280/AI186,""),"")</f>
        <v>0.13849683544303798</v>
      </c>
      <c r="AJ284" s="40">
        <f t="shared" si="393"/>
        <v>0.64802085802322817</v>
      </c>
      <c r="AK284" s="40">
        <f t="shared" si="393"/>
        <v>2.0520208336631471</v>
      </c>
      <c r="AL284" s="40">
        <f t="shared" si="393"/>
        <v>2.3810515273848503</v>
      </c>
      <c r="AM284" s="40">
        <f t="shared" si="393"/>
        <v>5.2131375995692597</v>
      </c>
      <c r="AN284" s="40">
        <f t="shared" si="393"/>
        <v>-0.19421125571467268</v>
      </c>
      <c r="AO284" s="40">
        <f t="shared" si="393"/>
        <v>2.2077646683673469</v>
      </c>
      <c r="AP284" s="40">
        <f t="shared" si="393"/>
        <v>3.8373458415099155</v>
      </c>
      <c r="AQ284" s="40">
        <f t="shared" si="393"/>
        <v>3.2840250849729524</v>
      </c>
      <c r="AR284" s="40">
        <f t="shared" si="393"/>
        <v>9.1309201084356566</v>
      </c>
      <c r="AS284" s="40">
        <f t="shared" si="393"/>
        <v>4.1600000000000137E-2</v>
      </c>
      <c r="AT284" s="40">
        <f t="shared" si="393"/>
        <v>3.1284109149277692</v>
      </c>
      <c r="AU284" s="40">
        <f t="shared" si="393"/>
        <v>3.7772435897435903</v>
      </c>
      <c r="AV284" s="40">
        <f t="shared" si="393"/>
        <v>4.1152000000000006</v>
      </c>
      <c r="AW284" s="40">
        <f t="shared" si="393"/>
        <v>11.064102564102562</v>
      </c>
      <c r="AX284" s="40">
        <f t="shared" si="393"/>
        <v>1.3056000000000001</v>
      </c>
      <c r="AY284" s="40">
        <f t="shared" si="393"/>
        <v>2.3456000000000006</v>
      </c>
      <c r="AZ284" s="40">
        <f t="shared" si="393"/>
        <v>3.6869009584664538</v>
      </c>
      <c r="BA284" s="40">
        <f t="shared" si="393"/>
        <v>4.0765550239234445</v>
      </c>
      <c r="BB284" s="40">
        <f t="shared" si="393"/>
        <v>11.415335463258787</v>
      </c>
      <c r="BC284" s="40">
        <f t="shared" si="393"/>
        <v>0.48083067092651749</v>
      </c>
      <c r="BD284" s="40">
        <f t="shared" si="393"/>
        <v>0.5663999999999999</v>
      </c>
      <c r="BE284" s="40">
        <f t="shared" si="393"/>
        <v>2.9775999999999998</v>
      </c>
      <c r="BF284" s="40">
        <f t="shared" si="393"/>
        <v>4.1380417335473521</v>
      </c>
      <c r="BG284" s="40">
        <f t="shared" si="393"/>
        <v>8.1504000000000012</v>
      </c>
      <c r="BH284" s="40">
        <f t="shared" si="393"/>
        <v>-0.21543408360128624</v>
      </c>
      <c r="BI284" s="40">
        <f t="shared" si="393"/>
        <v>3.8405797101449273</v>
      </c>
      <c r="BJ284" s="40">
        <f t="shared" si="393"/>
        <v>4.5693548387096774</v>
      </c>
      <c r="BK284" s="40">
        <f t="shared" si="393"/>
        <v>5.9629032258064516</v>
      </c>
      <c r="BL284" s="40">
        <f t="shared" si="393"/>
        <v>14.140096618357489</v>
      </c>
      <c r="BM284" s="40">
        <f t="shared" si="393"/>
        <v>-0.45161290322580644</v>
      </c>
      <c r="BN284" s="40">
        <f t="shared" si="393"/>
        <v>-2.2402597402597402</v>
      </c>
      <c r="BO284" s="40">
        <f t="shared" ref="BO284:BX284" si="394">IF(AND(ISNUMBER(BO280),ISNUMBER(BO186)),IFERROR(BO280/BO186,""),"")</f>
        <v>5.1712887438825454</v>
      </c>
      <c r="BP284" s="40">
        <f t="shared" si="394"/>
        <v>7.3898858075040783</v>
      </c>
      <c r="BQ284" s="40">
        <f t="shared" si="394"/>
        <v>9.8051948051948052</v>
      </c>
      <c r="BR284" s="40">
        <f t="shared" si="394"/>
        <v>-0.24590163934426229</v>
      </c>
      <c r="BS284" s="40">
        <f t="shared" si="394"/>
        <v>3.4437086092715234</v>
      </c>
      <c r="BT284" s="40">
        <f t="shared" si="394"/>
        <v>5.9768211920529799</v>
      </c>
      <c r="BU284" s="40">
        <f t="shared" si="394"/>
        <v>7.0082644628099171</v>
      </c>
      <c r="BV284" s="40">
        <f t="shared" si="394"/>
        <v>16.138613861386137</v>
      </c>
      <c r="BW284" s="40">
        <f t="shared" si="394"/>
        <v>0.67880794701986757</v>
      </c>
      <c r="BX284" s="40">
        <f t="shared" si="394"/>
        <v>-0.26578073089700993</v>
      </c>
      <c r="BY284" s="6"/>
      <c r="BZ284" s="6"/>
      <c r="CA284" s="29">
        <f>IFERROR(CA280/CA186,"")</f>
        <v>14.608078917532469</v>
      </c>
      <c r="CB284" s="29">
        <f>IFERROR(CB280/CB186,"")</f>
        <v>21.334882451157888</v>
      </c>
      <c r="CC284" s="29">
        <f>IFERROR(CC280/CC186,"")</f>
        <v>26.655303582915952</v>
      </c>
      <c r="CD284" s="29">
        <f>IFERROR(CD280/CD186,"")</f>
        <v>31.799191983558554</v>
      </c>
      <c r="CE284" s="29">
        <f>IFERROR(CE280/CE186,"")</f>
        <v>38.141914984147881</v>
      </c>
      <c r="CF284" s="6"/>
    </row>
    <row r="285" spans="2:89" ht="15" customHeight="1" x14ac:dyDescent="0.25">
      <c r="B285" s="26" t="s">
        <v>463</v>
      </c>
      <c r="CF285" s="6"/>
    </row>
    <row r="286" spans="2:89" ht="15" customHeight="1" x14ac:dyDescent="0.25">
      <c r="B286" s="26" t="s">
        <v>464</v>
      </c>
      <c r="C286" s="38">
        <f t="shared" ref="C286:AH286" si="395">IFERROR(-N(C262)/C158,"")</f>
        <v>0.12054749818709209</v>
      </c>
      <c r="D286" s="38">
        <f t="shared" si="395"/>
        <v>0.12003216890942867</v>
      </c>
      <c r="E286" s="38">
        <f t="shared" si="395"/>
        <v>0.12180840526390264</v>
      </c>
      <c r="F286" s="38">
        <f t="shared" si="395"/>
        <v>8.1774932456243385E-2</v>
      </c>
      <c r="G286" s="38">
        <f t="shared" si="395"/>
        <v>7.6233103370912547E-2</v>
      </c>
      <c r="H286" s="38">
        <f t="shared" si="395"/>
        <v>9.06488126495128E-2</v>
      </c>
      <c r="I286" s="38">
        <f t="shared" si="395"/>
        <v>7.4118080094228503E-2</v>
      </c>
      <c r="J286" s="38">
        <f t="shared" si="395"/>
        <v>5.683116883116883E-2</v>
      </c>
      <c r="K286" s="38">
        <f t="shared" si="395"/>
        <v>4.997689710325217E-2</v>
      </c>
      <c r="L286" s="38">
        <f t="shared" si="395"/>
        <v>7.8671276116037886E-2</v>
      </c>
      <c r="M286" s="38">
        <f t="shared" si="395"/>
        <v>9.7047706422018348E-2</v>
      </c>
      <c r="N286" s="38">
        <f t="shared" si="395"/>
        <v>7.2017165390860588E-2</v>
      </c>
      <c r="O286" s="38">
        <f t="shared" si="395"/>
        <v>8.6104501982738502E-2</v>
      </c>
      <c r="P286" s="38">
        <f t="shared" si="395"/>
        <v>7.1464435146443503E-2</v>
      </c>
      <c r="Q286" s="38">
        <f t="shared" si="395"/>
        <v>5.3634552157019025E-2</v>
      </c>
      <c r="R286" s="38">
        <f t="shared" si="395"/>
        <v>0.10932266728950135</v>
      </c>
      <c r="S286" s="38">
        <f t="shared" si="395"/>
        <v>7.8493238674780252E-2</v>
      </c>
      <c r="T286" s="38">
        <f t="shared" si="395"/>
        <v>8.1118021405843219E-2</v>
      </c>
      <c r="U286" s="38">
        <f t="shared" si="395"/>
        <v>7.8038853917950943E-2</v>
      </c>
      <c r="V286" s="38">
        <f t="shared" si="395"/>
        <v>7.8041951580114566E-2</v>
      </c>
      <c r="W286" s="38">
        <f t="shared" si="395"/>
        <v>0.12524863840871417</v>
      </c>
      <c r="X286" s="38">
        <f t="shared" si="395"/>
        <v>8.9906204090857728E-2</v>
      </c>
      <c r="Y286" s="38">
        <f t="shared" si="395"/>
        <v>0.11945740365111562</v>
      </c>
      <c r="Z286" s="38">
        <f t="shared" si="395"/>
        <v>0.11903305024045842</v>
      </c>
      <c r="AA286" s="38">
        <f t="shared" si="395"/>
        <v>6.7870278104900802E-2</v>
      </c>
      <c r="AB286" s="38">
        <f t="shared" si="395"/>
        <v>0.10727866779089376</v>
      </c>
      <c r="AC286" s="38">
        <f t="shared" si="395"/>
        <v>0.10141065256101392</v>
      </c>
      <c r="AD286" s="38">
        <f t="shared" si="395"/>
        <v>0.12097997393056049</v>
      </c>
      <c r="AE286" s="38">
        <f t="shared" si="395"/>
        <v>0.10718758815232722</v>
      </c>
      <c r="AF286" s="38">
        <f t="shared" si="395"/>
        <v>8.5185253286751861E-2</v>
      </c>
      <c r="AG286" s="38">
        <f t="shared" si="395"/>
        <v>0.1046676970633694</v>
      </c>
      <c r="AH286" s="38">
        <f t="shared" si="395"/>
        <v>0.10347110147266492</v>
      </c>
      <c r="AI286" s="38">
        <f t="shared" ref="AI286:BN286" si="396">IFERROR(-N(AI262)/AI158,"")</f>
        <v>0.12002369077306733</v>
      </c>
      <c r="AJ286" s="38">
        <f t="shared" si="396"/>
        <v>7.6522596833174902E-2</v>
      </c>
      <c r="AK286" s="38">
        <f t="shared" si="396"/>
        <v>6.0579351283985436E-2</v>
      </c>
      <c r="AL286" s="38">
        <f t="shared" si="396"/>
        <v>0.11154380730392917</v>
      </c>
      <c r="AM286" s="38">
        <f t="shared" si="396"/>
        <v>8.8579294648189963E-2</v>
      </c>
      <c r="AN286" s="38">
        <f t="shared" si="396"/>
        <v>0.13851143026023613</v>
      </c>
      <c r="AO286" s="38">
        <f t="shared" si="396"/>
        <v>6.0490766474816091E-2</v>
      </c>
      <c r="AP286" s="38">
        <f t="shared" si="396"/>
        <v>5.3192193465075768E-2</v>
      </c>
      <c r="AQ286" s="38">
        <f t="shared" si="396"/>
        <v>0.10041710967530873</v>
      </c>
      <c r="AR286" s="38">
        <f t="shared" si="396"/>
        <v>8.3032678370440954E-2</v>
      </c>
      <c r="AS286" s="38">
        <f t="shared" si="396"/>
        <v>0.10864120225422666</v>
      </c>
      <c r="AT286" s="38">
        <f t="shared" si="396"/>
        <v>5.6351330080277033E-2</v>
      </c>
      <c r="AU286" s="38">
        <f t="shared" si="396"/>
        <v>5.6833661268351737E-2</v>
      </c>
      <c r="AV286" s="38">
        <f t="shared" si="396"/>
        <v>9.2319430315361148E-2</v>
      </c>
      <c r="AW286" s="38">
        <f t="shared" si="396"/>
        <v>7.6048119410558362E-2</v>
      </c>
      <c r="AX286" s="38">
        <f t="shared" si="396"/>
        <v>0.11227605863192182</v>
      </c>
      <c r="AY286" s="38">
        <f t="shared" si="396"/>
        <v>7.4533710719210389E-2</v>
      </c>
      <c r="AZ286" s="38">
        <f t="shared" si="396"/>
        <v>6.9543440570217691E-2</v>
      </c>
      <c r="BA286" s="38">
        <f t="shared" si="396"/>
        <v>6.8029938519112529E-2</v>
      </c>
      <c r="BB286" s="38">
        <f t="shared" si="396"/>
        <v>7.814924270410048E-2</v>
      </c>
      <c r="BC286" s="38">
        <f t="shared" si="396"/>
        <v>0.11358466038349042</v>
      </c>
      <c r="BD286" s="38">
        <f t="shared" si="396"/>
        <v>4.9278187244929036E-2</v>
      </c>
      <c r="BE286" s="38">
        <f t="shared" si="396"/>
        <v>4.8793950433294694E-2</v>
      </c>
      <c r="BF286" s="38">
        <f t="shared" si="396"/>
        <v>0.11696579749407382</v>
      </c>
      <c r="BG286" s="38">
        <f t="shared" si="396"/>
        <v>7.8205398737156498E-2</v>
      </c>
      <c r="BH286" s="38">
        <f t="shared" si="396"/>
        <v>0.12842478398936563</v>
      </c>
      <c r="BI286" s="38">
        <f t="shared" si="396"/>
        <v>6.5630492091388395E-2</v>
      </c>
      <c r="BJ286" s="38">
        <f t="shared" si="396"/>
        <v>8.5602527455995184E-2</v>
      </c>
      <c r="BK286" s="38">
        <f t="shared" si="396"/>
        <v>0.11578161920159183</v>
      </c>
      <c r="BL286" s="38">
        <f t="shared" si="396"/>
        <v>9.5954081331523333E-2</v>
      </c>
      <c r="BM286" s="38">
        <f t="shared" si="396"/>
        <v>0.15987210231814547</v>
      </c>
      <c r="BN286" s="38">
        <f t="shared" si="396"/>
        <v>7.8798185941043083E-2</v>
      </c>
      <c r="BO286" s="38">
        <f t="shared" ref="BO286:BX286" si="397">IFERROR(-N(BO262)/BO158,"")</f>
        <v>0.14981471678136579</v>
      </c>
      <c r="BP286" s="38">
        <f t="shared" si="397"/>
        <v>0.14276960784313725</v>
      </c>
      <c r="BQ286" s="38">
        <f t="shared" si="397"/>
        <v>0.1308139534883721</v>
      </c>
      <c r="BR286" s="38">
        <f t="shared" si="397"/>
        <v>0.20051635111876076</v>
      </c>
      <c r="BS286" s="38">
        <f t="shared" si="397"/>
        <v>0.11124922311995028</v>
      </c>
      <c r="BT286" s="38">
        <f t="shared" si="397"/>
        <v>0.10292524377031419</v>
      </c>
      <c r="BU286" s="38">
        <f t="shared" si="397"/>
        <v>0.13363754889178617</v>
      </c>
      <c r="BV286" s="38">
        <f t="shared" si="397"/>
        <v>0.13121951219512196</v>
      </c>
      <c r="BW286" s="38">
        <f t="shared" si="397"/>
        <v>0.13656387665198239</v>
      </c>
      <c r="BX286" s="38">
        <f t="shared" si="397"/>
        <v>6.5742167437082694E-2</v>
      </c>
      <c r="BY286" s="6"/>
      <c r="BZ286" s="6"/>
      <c r="CA286" s="25">
        <f>IFERROR(-N(CA262)/CA158,"")</f>
        <v>7.9710719000790284E-2</v>
      </c>
      <c r="CB286" s="49">
        <v>0.1</v>
      </c>
      <c r="CC286" s="49">
        <v>0.1</v>
      </c>
      <c r="CD286" s="49">
        <v>0.1</v>
      </c>
      <c r="CE286" s="49">
        <v>0.1</v>
      </c>
      <c r="CF286" s="20" t="s">
        <v>465</v>
      </c>
      <c r="CH286" s="39">
        <f>IFERROR(AVERAGE(CA286,CB286,CC286,CD286,CE286),"n/m")</f>
        <v>9.5942143800158045E-2</v>
      </c>
      <c r="CI286" s="39">
        <f>IFERROR(AVERAGE(BB286,BG286,BL286,BQ286,BV286),"n/m")</f>
        <v>0.10286843769125489</v>
      </c>
      <c r="CJ286" s="39">
        <f>IFERROR(AVERAGE(AC286,AH286,AM286,AR286,AW286,BB286,BG286,BL286,BQ286,BV286),"n/m")</f>
        <v>9.6688403491914238E-2</v>
      </c>
      <c r="CK286" s="39">
        <f>IFERROR(AVERAGE(C286,D286,E286,F286,G286,H286,I286,N286,S286,X286,AC286,AH286,AM286,AR286,AW286,BB286,BG286,BL286,BQ286,BV286),"n/m")</f>
        <v>9.4623182200348085E-2</v>
      </c>
    </row>
    <row r="287" spans="2:89" ht="15" customHeight="1" x14ac:dyDescent="0.25">
      <c r="B287" s="26" t="s">
        <v>466</v>
      </c>
      <c r="C287" s="71">
        <f t="shared" ref="C287:AH287" si="398">IFERROR(-N(C262)/C182,"")</f>
        <v>1.8806326849514596</v>
      </c>
      <c r="D287" s="71">
        <f t="shared" si="398"/>
        <v>1.7621825486570262</v>
      </c>
      <c r="E287" s="71">
        <f t="shared" si="398"/>
        <v>1.5090721035008678</v>
      </c>
      <c r="F287" s="71">
        <f t="shared" si="398"/>
        <v>0.77612589260330789</v>
      </c>
      <c r="G287" s="71">
        <f t="shared" si="398"/>
        <v>0.74869585814462059</v>
      </c>
      <c r="H287" s="71">
        <f t="shared" si="398"/>
        <v>0.89594422370492532</v>
      </c>
      <c r="I287" s="71">
        <f t="shared" si="398"/>
        <v>0.85222136323365927</v>
      </c>
      <c r="J287" s="71">
        <f t="shared" si="398"/>
        <v>0.50832888042190372</v>
      </c>
      <c r="K287" s="71">
        <f t="shared" si="398"/>
        <v>0.65477659549698486</v>
      </c>
      <c r="L287" s="71">
        <f t="shared" si="398"/>
        <v>1.1867135245437026</v>
      </c>
      <c r="M287" s="71">
        <f t="shared" si="398"/>
        <v>1.211318248442653</v>
      </c>
      <c r="N287" s="71">
        <f t="shared" si="398"/>
        <v>0.89337077940389387</v>
      </c>
      <c r="O287" s="71">
        <f t="shared" si="398"/>
        <v>0.86923656572316665</v>
      </c>
      <c r="P287" s="71">
        <f t="shared" si="398"/>
        <v>1.0948467296994118</v>
      </c>
      <c r="Q287" s="71">
        <f t="shared" si="398"/>
        <v>0.79245421892480716</v>
      </c>
      <c r="R287" s="71">
        <f t="shared" si="398"/>
        <v>1.3632894985946671</v>
      </c>
      <c r="S287" s="71">
        <f t="shared" si="398"/>
        <v>1.042366641825218</v>
      </c>
      <c r="T287" s="71">
        <f t="shared" si="398"/>
        <v>0.83375453410239642</v>
      </c>
      <c r="U287" s="71">
        <f t="shared" si="398"/>
        <v>1.0622691682671002</v>
      </c>
      <c r="V287" s="71">
        <f t="shared" si="398"/>
        <v>1.2997983901996089</v>
      </c>
      <c r="W287" s="71">
        <f t="shared" si="398"/>
        <v>1.6619273549927731</v>
      </c>
      <c r="X287" s="71">
        <f t="shared" si="398"/>
        <v>1.2073129554947704</v>
      </c>
      <c r="Y287" s="71">
        <f t="shared" si="398"/>
        <v>1.3774009647712322</v>
      </c>
      <c r="Z287" s="71">
        <f t="shared" si="398"/>
        <v>1.6337017428061851</v>
      </c>
      <c r="AA287" s="71">
        <f t="shared" si="398"/>
        <v>1.0351201989499863</v>
      </c>
      <c r="AB287" s="71">
        <f t="shared" si="398"/>
        <v>1.3894561537621493</v>
      </c>
      <c r="AC287" s="71">
        <f t="shared" si="398"/>
        <v>1.3576263878031081</v>
      </c>
      <c r="AD287" s="71">
        <f t="shared" si="398"/>
        <v>1.4507076276003181</v>
      </c>
      <c r="AE287" s="71">
        <f t="shared" si="398"/>
        <v>1.5053482291419065</v>
      </c>
      <c r="AF287" s="71">
        <f t="shared" si="398"/>
        <v>1.2302299644165915</v>
      </c>
      <c r="AG287" s="71">
        <f t="shared" si="398"/>
        <v>1.3410963244613434</v>
      </c>
      <c r="AH287" s="71">
        <f t="shared" si="398"/>
        <v>1.3808124861186828</v>
      </c>
      <c r="AI287" s="71">
        <f t="shared" ref="AI287:BN287" si="399">IFERROR(-N(AI262)/AI182,"")</f>
        <v>1.2530297705054607</v>
      </c>
      <c r="AJ287" s="71">
        <f t="shared" si="399"/>
        <v>1.0609635164429685</v>
      </c>
      <c r="AK287" s="71">
        <f t="shared" si="399"/>
        <v>0.82410350789136133</v>
      </c>
      <c r="AL287" s="71">
        <f t="shared" si="399"/>
        <v>1.2528376250922022</v>
      </c>
      <c r="AM287" s="71">
        <f t="shared" si="399"/>
        <v>1.0927847037929501</v>
      </c>
      <c r="AN287" s="71">
        <f t="shared" si="399"/>
        <v>1.4578471264754349</v>
      </c>
      <c r="AO287" s="71">
        <f t="shared" si="399"/>
        <v>0.83423336028024786</v>
      </c>
      <c r="AP287" s="71">
        <f t="shared" si="399"/>
        <v>0.79532151429654274</v>
      </c>
      <c r="AQ287" s="71">
        <f t="shared" si="399"/>
        <v>1.1690117004845229</v>
      </c>
      <c r="AR287" s="71">
        <f t="shared" si="399"/>
        <v>1.0592193808882908</v>
      </c>
      <c r="AS287" s="71">
        <f t="shared" si="399"/>
        <v>1.0957894736842104</v>
      </c>
      <c r="AT287" s="71">
        <f t="shared" si="399"/>
        <v>0.72764227642276413</v>
      </c>
      <c r="AU287" s="71">
        <f t="shared" si="399"/>
        <v>0.76012145748987847</v>
      </c>
      <c r="AV287" s="71">
        <f t="shared" si="399"/>
        <v>1.07502467917078</v>
      </c>
      <c r="AW287" s="71">
        <f t="shared" si="399"/>
        <v>0.91410419313850055</v>
      </c>
      <c r="AX287" s="71">
        <f t="shared" si="399"/>
        <v>1.1186612576064909</v>
      </c>
      <c r="AY287" s="71">
        <f t="shared" si="399"/>
        <v>0.95180722891566261</v>
      </c>
      <c r="AZ287" s="71">
        <f t="shared" si="399"/>
        <v>0.95418502202643174</v>
      </c>
      <c r="BA287" s="71">
        <f t="shared" si="399"/>
        <v>0.77296886864085046</v>
      </c>
      <c r="BB287" s="71">
        <f t="shared" si="399"/>
        <v>0.93668363958379464</v>
      </c>
      <c r="BC287" s="71">
        <f t="shared" si="399"/>
        <v>1.090483619344774</v>
      </c>
      <c r="BD287" s="71">
        <f t="shared" si="399"/>
        <v>0.6300623052959502</v>
      </c>
      <c r="BE287" s="71">
        <f t="shared" si="399"/>
        <v>0.71463217461600648</v>
      </c>
      <c r="BF287" s="71">
        <f t="shared" si="399"/>
        <v>1.3739061256961016</v>
      </c>
      <c r="BG287" s="71">
        <f t="shared" si="399"/>
        <v>0.95217391304347831</v>
      </c>
      <c r="BH287" s="71">
        <f t="shared" si="399"/>
        <v>1.4069579288025891</v>
      </c>
      <c r="BI287" s="71">
        <f t="shared" si="399"/>
        <v>0.92277992277992282</v>
      </c>
      <c r="BJ287" s="71">
        <f t="shared" si="399"/>
        <v>1.2980988593155893</v>
      </c>
      <c r="BK287" s="71">
        <f t="shared" si="399"/>
        <v>1.447900466562986</v>
      </c>
      <c r="BL287" s="71">
        <f t="shared" si="399"/>
        <v>1.2671473109898672</v>
      </c>
      <c r="BM287" s="71">
        <f t="shared" si="399"/>
        <v>1.5384615384615385</v>
      </c>
      <c r="BN287" s="71">
        <f t="shared" si="399"/>
        <v>0.97887323943661975</v>
      </c>
      <c r="BO287" s="71">
        <f t="shared" ref="BO287:BX287" si="400">IFERROR(-N(BO262)/BO182,"")</f>
        <v>1.861842105263158</v>
      </c>
      <c r="BP287" s="71">
        <f t="shared" si="400"/>
        <v>1.563758389261745</v>
      </c>
      <c r="BQ287" s="71">
        <f t="shared" si="400"/>
        <v>1.4921465968586387</v>
      </c>
      <c r="BR287" s="71">
        <f t="shared" si="400"/>
        <v>1.5129870129870129</v>
      </c>
      <c r="BS287" s="71">
        <f t="shared" si="400"/>
        <v>1.0718562874251496</v>
      </c>
      <c r="BT287" s="71">
        <f t="shared" si="400"/>
        <v>1.1949685534591195</v>
      </c>
      <c r="BU287" s="71">
        <f t="shared" si="400"/>
        <v>1.3057324840764331</v>
      </c>
      <c r="BV287" s="71">
        <f t="shared" si="400"/>
        <v>1.2668759811616954</v>
      </c>
      <c r="BW287" s="71">
        <f t="shared" si="400"/>
        <v>1.1137724550898203</v>
      </c>
      <c r="BX287" s="71">
        <f t="shared" si="400"/>
        <v>0.62745098039215685</v>
      </c>
      <c r="BY287" s="6"/>
      <c r="BZ287" s="6"/>
      <c r="CA287" s="72">
        <f>IFERROR(-N(CA262)/CA182,"")</f>
        <v>0.65405370678070751</v>
      </c>
      <c r="CB287" s="72">
        <f>IFERROR(-N(CB262)/CB182,"")</f>
        <v>0.73777357535865851</v>
      </c>
      <c r="CC287" s="72">
        <f>IFERROR(-N(CC262)/CC182,"")</f>
        <v>0.75120633464781206</v>
      </c>
      <c r="CD287" s="72">
        <f>IFERROR(-N(CD262)/CD182,"")</f>
        <v>0.76345273298125305</v>
      </c>
      <c r="CE287" s="72">
        <f>IFERROR(-N(CE262)/CE182,"")</f>
        <v>0.77505815577478721</v>
      </c>
      <c r="CF287" s="6"/>
    </row>
    <row r="288" spans="2:89" ht="15" customHeight="1" x14ac:dyDescent="0.25"/>
    <row r="289" spans="2:84" ht="15" customHeight="1" x14ac:dyDescent="0.25">
      <c r="B289" s="11" t="s">
        <v>467</v>
      </c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  <c r="BJ289" s="11"/>
      <c r="BK289" s="11"/>
      <c r="BL289" s="11"/>
      <c r="BM289" s="11"/>
      <c r="BN289" s="11"/>
      <c r="BO289" s="11"/>
      <c r="BP289" s="11"/>
      <c r="BQ289" s="11"/>
      <c r="BR289" s="11"/>
      <c r="BS289" s="11"/>
      <c r="BT289" s="11"/>
      <c r="BU289" s="11"/>
      <c r="BV289" s="11"/>
      <c r="BW289" s="11"/>
      <c r="BX289" s="11"/>
      <c r="BY289" s="11"/>
      <c r="BZ289" s="11"/>
      <c r="CA289" s="11"/>
      <c r="CB289" s="11"/>
      <c r="CC289" s="11"/>
      <c r="CD289" s="11"/>
      <c r="CE289" s="11"/>
      <c r="CF289" s="11" t="s">
        <v>468</v>
      </c>
    </row>
    <row r="290" spans="2:84" ht="15" customHeight="1" x14ac:dyDescent="0.25">
      <c r="B290" s="26" t="s">
        <v>469</v>
      </c>
      <c r="BY290" s="6"/>
      <c r="BZ290" s="6"/>
      <c r="CA290" s="29">
        <f>CA433</f>
        <v>485</v>
      </c>
      <c r="CB290" s="29">
        <f>CA290*(1+CB376)</f>
        <v>518.95000000000005</v>
      </c>
      <c r="CC290" s="29">
        <f>CB290*(1+CC376)</f>
        <v>555.27650000000006</v>
      </c>
      <c r="CD290" s="29">
        <f>CC290*(1+CD376)</f>
        <v>594.1458550000001</v>
      </c>
      <c r="CE290" s="29">
        <f>CD290*(1+CE376)</f>
        <v>635.73606485000016</v>
      </c>
      <c r="CF290" s="20" t="s">
        <v>470</v>
      </c>
    </row>
    <row r="291" spans="2:84" ht="15" customHeight="1" x14ac:dyDescent="0.25">
      <c r="B291" s="26" t="s">
        <v>471</v>
      </c>
      <c r="BY291" s="6"/>
      <c r="BZ291" s="6"/>
      <c r="CA291" s="37">
        <f>CHOOSE(MATCH($CF$2,{"Bull","Base","Bear"},0),$CO$21,$CP$21,$CQ$21)</f>
        <v>0</v>
      </c>
      <c r="CB291" s="37">
        <f>-CB270</f>
        <v>0</v>
      </c>
      <c r="CC291" s="37">
        <f>-CC270</f>
        <v>0</v>
      </c>
      <c r="CD291" s="37">
        <f>-CD270</f>
        <v>1673.8346327751387</v>
      </c>
      <c r="CE291" s="37">
        <f>-CE270</f>
        <v>2694.0990484845679</v>
      </c>
      <c r="CF291" s="20" t="s">
        <v>472</v>
      </c>
    </row>
    <row r="292" spans="2:84" ht="15" customHeight="1" x14ac:dyDescent="0.25">
      <c r="B292" s="26" t="s">
        <v>473</v>
      </c>
      <c r="BY292" s="6"/>
      <c r="BZ292" s="6"/>
      <c r="CA292" s="63">
        <f>IFERROR(CA291/CA290,0)</f>
        <v>0</v>
      </c>
      <c r="CB292" s="63">
        <f>IFERROR(CB291/CB290,0)</f>
        <v>0</v>
      </c>
      <c r="CC292" s="63">
        <f>IFERROR(CC291/CC290,0)</f>
        <v>0</v>
      </c>
      <c r="CD292" s="63">
        <f>IFERROR(CD291/CD290,0)</f>
        <v>2.8172116639190197</v>
      </c>
      <c r="CE292" s="63">
        <f>IFERROR(CE291/CE290,0)</f>
        <v>4.2377634327230309</v>
      </c>
      <c r="CF292" s="6"/>
    </row>
    <row r="293" spans="2:84" ht="15" customHeight="1" x14ac:dyDescent="0.25">
      <c r="B293" s="26" t="s">
        <v>474</v>
      </c>
      <c r="BY293" s="6"/>
      <c r="BZ293" s="6"/>
      <c r="CA293" s="73">
        <v>0.1</v>
      </c>
      <c r="CB293" s="73">
        <v>0.15</v>
      </c>
      <c r="CC293" s="73">
        <v>0.15</v>
      </c>
      <c r="CD293" s="73">
        <v>0.15</v>
      </c>
      <c r="CE293" s="73">
        <v>0.15</v>
      </c>
      <c r="CF293" s="6"/>
    </row>
    <row r="294" spans="2:84" ht="15" customHeight="1" x14ac:dyDescent="0.25">
      <c r="B294" s="26" t="s">
        <v>475</v>
      </c>
      <c r="BY294" s="6"/>
      <c r="BZ294" s="6"/>
      <c r="CA294" s="63">
        <f>BX338</f>
        <v>60.050859000000003</v>
      </c>
      <c r="CB294" s="63">
        <f>CA295</f>
        <v>71.104401999999993</v>
      </c>
      <c r="CC294" s="63">
        <f>CB295</f>
        <v>71.254401999999999</v>
      </c>
      <c r="CD294" s="63">
        <f>CC295</f>
        <v>71.404402000000005</v>
      </c>
      <c r="CE294" s="63">
        <f>CD295</f>
        <v>68.737190336080985</v>
      </c>
      <c r="CF294" s="20" t="s">
        <v>476</v>
      </c>
    </row>
    <row r="295" spans="2:84" ht="15" customHeight="1" x14ac:dyDescent="0.25">
      <c r="B295" s="26" t="s">
        <v>477</v>
      </c>
      <c r="BY295" s="6"/>
      <c r="BZ295" s="6"/>
      <c r="CA295" s="63">
        <f>CA294+$CA$356-CA292+CA293</f>
        <v>71.104401999999993</v>
      </c>
      <c r="CB295" s="63">
        <f>CB294-CB292+CB293</f>
        <v>71.254401999999999</v>
      </c>
      <c r="CC295" s="63">
        <f>CC294-CC292+CC293</f>
        <v>71.404402000000005</v>
      </c>
      <c r="CD295" s="63">
        <f>CD294-CD292+CD293</f>
        <v>68.737190336080985</v>
      </c>
      <c r="CE295" s="63">
        <f>CE294-CE292+CE293</f>
        <v>64.649426903357963</v>
      </c>
      <c r="CF295" s="6"/>
    </row>
    <row r="296" spans="2:84" ht="15" customHeight="1" x14ac:dyDescent="0.25">
      <c r="B296" s="26" t="s">
        <v>478</v>
      </c>
      <c r="BY296" s="6"/>
      <c r="BZ296" s="6"/>
      <c r="CA296" s="25">
        <f>IFERROR(CA292/CA294,"")</f>
        <v>0</v>
      </c>
      <c r="CB296" s="25">
        <f>IFERROR(CB292/CB294,"")</f>
        <v>0</v>
      </c>
      <c r="CC296" s="25">
        <f>IFERROR(CC292/CC294,"")</f>
        <v>0</v>
      </c>
      <c r="CD296" s="25">
        <f>IFERROR(CD292/CD294,"")</f>
        <v>3.9454313529843993E-2</v>
      </c>
      <c r="CE296" s="25">
        <f>IFERROR(CE292/CE294,"")</f>
        <v>6.1651682473535398E-2</v>
      </c>
      <c r="CF296" s="6"/>
    </row>
    <row r="297" spans="2:84" ht="15" customHeight="1" x14ac:dyDescent="0.25">
      <c r="B297" s="42" t="s">
        <v>479</v>
      </c>
      <c r="BY297" s="6"/>
      <c r="BZ297" s="6"/>
      <c r="CA297" s="63">
        <f>CA292</f>
        <v>0</v>
      </c>
      <c r="CB297" s="63">
        <f>CA297+CB292</f>
        <v>0</v>
      </c>
      <c r="CC297" s="63">
        <f>CB297+CC292</f>
        <v>0</v>
      </c>
      <c r="CD297" s="63">
        <f>CC297+CD292</f>
        <v>2.8172116639190197</v>
      </c>
      <c r="CE297" s="63">
        <f>CD297+CE292</f>
        <v>7.0549750966420506</v>
      </c>
      <c r="CF297" s="6"/>
    </row>
    <row r="298" spans="2:84" ht="15" customHeight="1" x14ac:dyDescent="0.25"/>
    <row r="299" spans="2:84" ht="15" customHeight="1" x14ac:dyDescent="0.25">
      <c r="B299" s="11" t="s">
        <v>480</v>
      </c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1"/>
      <c r="BA299" s="11"/>
      <c r="BB299" s="11"/>
      <c r="BC299" s="11"/>
      <c r="BD299" s="11"/>
      <c r="BE299" s="11"/>
      <c r="BF299" s="11"/>
      <c r="BG299" s="11"/>
      <c r="BH299" s="11"/>
      <c r="BI299" s="11"/>
      <c r="BJ299" s="11"/>
      <c r="BK299" s="11"/>
      <c r="BL299" s="11"/>
      <c r="BM299" s="11"/>
      <c r="BN299" s="11"/>
      <c r="BO299" s="11"/>
      <c r="BP299" s="11"/>
      <c r="BQ299" s="11"/>
      <c r="BR299" s="11"/>
      <c r="BS299" s="11"/>
      <c r="BT299" s="11"/>
      <c r="BU299" s="11"/>
      <c r="BV299" s="11"/>
      <c r="BW299" s="11"/>
      <c r="BX299" s="11"/>
      <c r="BY299" s="11"/>
      <c r="BZ299" s="11"/>
      <c r="CA299" s="11"/>
      <c r="CB299" s="11"/>
      <c r="CC299" s="11"/>
      <c r="CD299" s="11"/>
      <c r="CE299" s="11"/>
      <c r="CF299" s="11" t="s">
        <v>481</v>
      </c>
    </row>
    <row r="300" spans="2:84" ht="15" customHeight="1" x14ac:dyDescent="0.25">
      <c r="B300" s="26" t="s">
        <v>482</v>
      </c>
      <c r="CF300" s="6"/>
    </row>
    <row r="301" spans="2:84" ht="15" customHeight="1" x14ac:dyDescent="0.25">
      <c r="B301" s="26" t="s">
        <v>483</v>
      </c>
      <c r="C301" s="36">
        <v>32.281999999999996</v>
      </c>
      <c r="D301" s="36">
        <v>20.038</v>
      </c>
      <c r="E301" s="36">
        <v>37.793999999999997</v>
      </c>
      <c r="F301" s="36">
        <v>263.59100000000001</v>
      </c>
      <c r="G301" s="36">
        <v>70.322999999999993</v>
      </c>
      <c r="H301" s="36">
        <v>26.021999999999998</v>
      </c>
      <c r="I301" s="36">
        <v>25.393999999999998</v>
      </c>
      <c r="J301" s="36">
        <v>37.26</v>
      </c>
      <c r="K301" s="36">
        <v>43.712000000000003</v>
      </c>
      <c r="L301" s="36">
        <v>57.241</v>
      </c>
      <c r="M301" s="36">
        <v>42.436999999999998</v>
      </c>
      <c r="N301" s="36">
        <v>42.436999999999998</v>
      </c>
      <c r="O301" s="36">
        <v>35.801000000000002</v>
      </c>
      <c r="P301" s="36">
        <v>34.329000000000001</v>
      </c>
      <c r="Q301" s="36">
        <v>73.596999999999994</v>
      </c>
      <c r="R301" s="36">
        <v>108.651</v>
      </c>
      <c r="S301" s="36">
        <v>108.651</v>
      </c>
      <c r="T301" s="36">
        <v>56.366</v>
      </c>
      <c r="U301" s="36">
        <v>44.168999999999997</v>
      </c>
      <c r="V301" s="36">
        <v>436.42899999999997</v>
      </c>
      <c r="W301" s="36">
        <v>168.40899999999999</v>
      </c>
      <c r="X301" s="36">
        <v>168.40899999999999</v>
      </c>
      <c r="Y301" s="36">
        <v>27.242000000000001</v>
      </c>
      <c r="Z301" s="36">
        <v>28.596</v>
      </c>
      <c r="AA301" s="36">
        <v>60.683999999999997</v>
      </c>
      <c r="AB301" s="36">
        <v>50.037999999999997</v>
      </c>
      <c r="AC301" s="36">
        <v>50.037999999999997</v>
      </c>
      <c r="AD301" s="36">
        <v>55.417999999999999</v>
      </c>
      <c r="AE301" s="36">
        <v>36.722000000000001</v>
      </c>
      <c r="AF301" s="36">
        <v>35.219000000000001</v>
      </c>
      <c r="AG301" s="36">
        <v>1446.364</v>
      </c>
      <c r="AH301" s="36">
        <v>1446.364</v>
      </c>
      <c r="AI301" s="36">
        <v>1422.373</v>
      </c>
      <c r="AJ301" s="36">
        <v>33.779000000000003</v>
      </c>
      <c r="AK301" s="36">
        <v>53.960999999999999</v>
      </c>
      <c r="AL301" s="36">
        <v>44.892000000000003</v>
      </c>
      <c r="AM301" s="36">
        <v>44.892000000000003</v>
      </c>
      <c r="AN301" s="36">
        <v>37.356999999999999</v>
      </c>
      <c r="AO301" s="36">
        <v>53.594999999999999</v>
      </c>
      <c r="AP301" s="36">
        <v>49.087000000000003</v>
      </c>
      <c r="AQ301" s="36">
        <v>21</v>
      </c>
      <c r="AR301" s="36">
        <v>21</v>
      </c>
      <c r="AS301" s="36">
        <v>424</v>
      </c>
      <c r="AT301" s="36">
        <v>70.099999999999994</v>
      </c>
      <c r="AU301" s="36">
        <v>116.6</v>
      </c>
      <c r="AV301" s="36">
        <v>207.3</v>
      </c>
      <c r="AW301" s="36">
        <v>207.3</v>
      </c>
      <c r="AX301" s="36">
        <v>313.89999999999998</v>
      </c>
      <c r="AY301" s="36">
        <v>53.1</v>
      </c>
      <c r="AZ301" s="36">
        <v>2381.4</v>
      </c>
      <c r="BA301" s="36">
        <v>258.39999999999998</v>
      </c>
      <c r="BB301" s="36">
        <v>258.39999999999998</v>
      </c>
      <c r="BC301" s="36">
        <v>189.6</v>
      </c>
      <c r="BD301" s="36">
        <v>772.1</v>
      </c>
      <c r="BE301" s="36">
        <v>135.69999999999999</v>
      </c>
      <c r="BF301" s="36">
        <v>358</v>
      </c>
      <c r="BG301" s="36">
        <v>358</v>
      </c>
      <c r="BH301" s="36">
        <v>229.4</v>
      </c>
      <c r="BI301" s="36">
        <v>421.5</v>
      </c>
      <c r="BJ301" s="36">
        <v>647.6</v>
      </c>
      <c r="BK301" s="36">
        <v>1271.8</v>
      </c>
      <c r="BL301" s="36">
        <v>1271.8</v>
      </c>
      <c r="BM301" s="36">
        <v>2648</v>
      </c>
      <c r="BN301" s="36">
        <v>109</v>
      </c>
      <c r="BO301" s="36">
        <v>52</v>
      </c>
      <c r="BP301" s="36">
        <v>670</v>
      </c>
      <c r="BQ301" s="36">
        <v>670</v>
      </c>
      <c r="BR301" s="36">
        <v>101</v>
      </c>
      <c r="BS301" s="36">
        <v>225</v>
      </c>
      <c r="BT301" s="36">
        <v>57</v>
      </c>
      <c r="BU301" s="36">
        <v>67</v>
      </c>
      <c r="BV301" s="36">
        <v>67</v>
      </c>
      <c r="BW301" s="36">
        <v>273</v>
      </c>
      <c r="BX301" s="36">
        <v>112</v>
      </c>
      <c r="BY301" s="6"/>
      <c r="BZ301" s="6"/>
      <c r="CA301" s="37">
        <f>CA276-CA302</f>
        <v>142</v>
      </c>
      <c r="CB301" s="37">
        <f>CB276-CB302</f>
        <v>142</v>
      </c>
      <c r="CC301" s="37">
        <f>CC276-CC302</f>
        <v>893.58611091357363</v>
      </c>
      <c r="CD301" s="37">
        <f>CD276-CD302</f>
        <v>383.3120555102613</v>
      </c>
      <c r="CE301" s="37">
        <f>CE276-CE302</f>
        <v>142.00000000000011</v>
      </c>
      <c r="CF301" s="6"/>
    </row>
    <row r="302" spans="2:84" ht="15" customHeight="1" x14ac:dyDescent="0.25">
      <c r="B302" s="26" t="s">
        <v>484</v>
      </c>
      <c r="AU302" s="36">
        <v>77.099999999999994</v>
      </c>
      <c r="AV302" s="36">
        <v>97.1</v>
      </c>
      <c r="AW302" s="36">
        <v>97.1</v>
      </c>
      <c r="AX302" s="36">
        <v>40.9</v>
      </c>
      <c r="AY302" s="36">
        <v>17.2</v>
      </c>
      <c r="AZ302" s="36">
        <v>1.7</v>
      </c>
      <c r="BA302" s="36">
        <v>0.5</v>
      </c>
      <c r="BB302" s="36">
        <v>0.5</v>
      </c>
      <c r="BC302" s="36">
        <v>0</v>
      </c>
      <c r="BD302" s="36">
        <v>0</v>
      </c>
      <c r="BE302" s="36">
        <v>0</v>
      </c>
      <c r="BF302" s="36">
        <v>0.8</v>
      </c>
      <c r="BG302" s="36">
        <v>0.8</v>
      </c>
      <c r="BH302" s="36">
        <v>0.1</v>
      </c>
      <c r="BI302" s="36">
        <v>0</v>
      </c>
      <c r="BJ302" s="36">
        <v>0</v>
      </c>
      <c r="BK302" s="36">
        <v>10.5</v>
      </c>
      <c r="BL302" s="36">
        <v>10.5</v>
      </c>
      <c r="BM302" s="36">
        <v>2</v>
      </c>
      <c r="BN302" s="36">
        <v>0</v>
      </c>
      <c r="BO302" s="36">
        <v>0</v>
      </c>
      <c r="BP302" s="36">
        <v>0</v>
      </c>
      <c r="BQ302" s="36">
        <v>0</v>
      </c>
      <c r="BS302" s="36">
        <v>11</v>
      </c>
      <c r="BT302" s="36">
        <v>13</v>
      </c>
      <c r="BX302" s="36">
        <v>8</v>
      </c>
      <c r="BY302" s="6"/>
      <c r="BZ302" s="6"/>
      <c r="CA302" s="37">
        <f>BX302</f>
        <v>8</v>
      </c>
      <c r="CB302" s="37">
        <f>CA302</f>
        <v>8</v>
      </c>
      <c r="CC302" s="37">
        <f>CB302</f>
        <v>8</v>
      </c>
      <c r="CD302" s="37">
        <f>CC302</f>
        <v>8</v>
      </c>
      <c r="CE302" s="37">
        <f>CD302</f>
        <v>8</v>
      </c>
      <c r="CF302" s="6"/>
    </row>
    <row r="303" spans="2:84" ht="15" customHeight="1" x14ac:dyDescent="0.25">
      <c r="B303" s="26" t="s">
        <v>485</v>
      </c>
      <c r="C303" s="36">
        <v>242.399</v>
      </c>
      <c r="D303" s="36">
        <v>245.83799999999999</v>
      </c>
      <c r="E303" s="36">
        <v>211.596</v>
      </c>
      <c r="F303" s="36">
        <v>162.815</v>
      </c>
      <c r="G303" s="36">
        <v>183.36099999999999</v>
      </c>
      <c r="H303" s="36">
        <v>203.74799999999999</v>
      </c>
      <c r="I303" s="36">
        <v>224.05</v>
      </c>
      <c r="J303" s="36">
        <v>202.15</v>
      </c>
      <c r="K303" s="36">
        <v>287.52100000000002</v>
      </c>
      <c r="L303" s="36">
        <v>331.03</v>
      </c>
      <c r="M303" s="36">
        <v>245.42099999999999</v>
      </c>
      <c r="N303" s="36">
        <v>245.42099999999999</v>
      </c>
      <c r="O303" s="36">
        <v>242.58699999999999</v>
      </c>
      <c r="P303" s="36">
        <v>343.78399999999999</v>
      </c>
      <c r="Q303" s="36">
        <v>523.928</v>
      </c>
      <c r="R303" s="36">
        <v>421.00099999999998</v>
      </c>
      <c r="S303" s="36">
        <v>421.00099999999998</v>
      </c>
      <c r="T303" s="36">
        <v>381.38900000000001</v>
      </c>
      <c r="U303" s="36">
        <v>497.46800000000002</v>
      </c>
      <c r="V303" s="36">
        <v>577.42399999999998</v>
      </c>
      <c r="W303" s="36">
        <v>410.92099999999999</v>
      </c>
      <c r="X303" s="36">
        <v>410.92099999999999</v>
      </c>
      <c r="Y303" s="36">
        <v>448.048</v>
      </c>
      <c r="Z303" s="36">
        <v>534.45899999999995</v>
      </c>
      <c r="AA303" s="36">
        <v>566.42499999999995</v>
      </c>
      <c r="AB303" s="36">
        <v>457.91</v>
      </c>
      <c r="AC303" s="36">
        <v>457.91</v>
      </c>
      <c r="AD303" s="36">
        <v>479.21499999999997</v>
      </c>
      <c r="AE303" s="36">
        <v>570.61800000000005</v>
      </c>
      <c r="AF303" s="36">
        <v>582.53200000000004</v>
      </c>
      <c r="AG303" s="36">
        <v>487.24</v>
      </c>
      <c r="AH303" s="36">
        <v>487.24</v>
      </c>
      <c r="AI303" s="36">
        <v>466.46499999999997</v>
      </c>
      <c r="AJ303" s="36">
        <v>675.57</v>
      </c>
      <c r="AK303" s="36">
        <v>644.83500000000004</v>
      </c>
      <c r="AL303" s="36">
        <v>523.27599999999995</v>
      </c>
      <c r="AM303" s="36">
        <v>523.27599999999995</v>
      </c>
      <c r="AN303" s="36">
        <v>550.60699999999997</v>
      </c>
      <c r="AO303" s="36">
        <v>710.60500000000002</v>
      </c>
      <c r="AP303" s="36">
        <v>763.87800000000004</v>
      </c>
      <c r="AQ303" s="36">
        <v>573.70000000000005</v>
      </c>
      <c r="AR303" s="36">
        <v>573.70000000000005</v>
      </c>
      <c r="AS303" s="36">
        <v>562.79999999999995</v>
      </c>
      <c r="AT303" s="36">
        <v>690.4</v>
      </c>
      <c r="AU303" s="36">
        <v>686.3</v>
      </c>
      <c r="AV303" s="36">
        <v>575.1</v>
      </c>
      <c r="AW303" s="36">
        <v>575.1</v>
      </c>
      <c r="AX303" s="36">
        <v>563.6</v>
      </c>
      <c r="AY303" s="36">
        <v>722</v>
      </c>
      <c r="AZ303" s="36">
        <v>801.9</v>
      </c>
      <c r="BA303" s="36">
        <v>774</v>
      </c>
      <c r="BB303" s="36">
        <v>774</v>
      </c>
      <c r="BC303" s="36">
        <v>759.2</v>
      </c>
      <c r="BD303" s="36">
        <v>1026.5999999999999</v>
      </c>
      <c r="BE303" s="36">
        <v>1011.7</v>
      </c>
      <c r="BF303" s="36">
        <v>785.9</v>
      </c>
      <c r="BG303" s="36">
        <v>785.9</v>
      </c>
      <c r="BH303" s="36">
        <v>796.7</v>
      </c>
      <c r="BI303" s="36">
        <v>979.2</v>
      </c>
      <c r="BJ303" s="36">
        <v>1047.5</v>
      </c>
      <c r="BK303" s="36">
        <v>753.3</v>
      </c>
      <c r="BL303" s="36">
        <v>753.3</v>
      </c>
      <c r="BM303" s="36">
        <v>703</v>
      </c>
      <c r="BN303" s="36">
        <v>909</v>
      </c>
      <c r="BO303" s="36">
        <v>916</v>
      </c>
      <c r="BP303" s="36">
        <v>678</v>
      </c>
      <c r="BQ303" s="36">
        <v>678</v>
      </c>
      <c r="BR303" s="36">
        <v>733</v>
      </c>
      <c r="BS303" s="36">
        <v>904</v>
      </c>
      <c r="BT303" s="36">
        <v>984</v>
      </c>
      <c r="BU303" s="36">
        <v>723</v>
      </c>
      <c r="BV303" s="36">
        <v>723</v>
      </c>
      <c r="BW303" s="36">
        <v>780</v>
      </c>
      <c r="BX303" s="36">
        <v>1020</v>
      </c>
      <c r="BY303" s="6"/>
      <c r="BZ303" s="6"/>
      <c r="CA303" s="37">
        <f t="shared" ref="CA303:CE304" si="401">CA341*CA343/365</f>
        <v>1076.4415353438378</v>
      </c>
      <c r="CB303" s="37">
        <f t="shared" si="401"/>
        <v>1156.5019699095435</v>
      </c>
      <c r="CC303" s="37">
        <f t="shared" si="401"/>
        <v>1249.0604743032891</v>
      </c>
      <c r="CD303" s="37">
        <f t="shared" si="401"/>
        <v>1354.0439191855587</v>
      </c>
      <c r="CE303" s="37">
        <f t="shared" si="401"/>
        <v>1470.9265460633239</v>
      </c>
      <c r="CF303" s="20" t="s">
        <v>486</v>
      </c>
    </row>
    <row r="304" spans="2:84" ht="15" customHeight="1" x14ac:dyDescent="0.25">
      <c r="B304" s="26" t="s">
        <v>487</v>
      </c>
      <c r="C304" s="36">
        <v>256.28699999999998</v>
      </c>
      <c r="D304" s="36">
        <v>286.88499999999999</v>
      </c>
      <c r="E304" s="36">
        <v>318.01799999999997</v>
      </c>
      <c r="F304" s="36">
        <v>332.56900000000002</v>
      </c>
      <c r="G304" s="36">
        <v>331.89400000000001</v>
      </c>
      <c r="H304" s="36">
        <v>322.60700000000003</v>
      </c>
      <c r="I304" s="36">
        <v>332.31099999999998</v>
      </c>
      <c r="J304" s="36">
        <v>347.64100000000002</v>
      </c>
      <c r="K304" s="36">
        <v>348.87299999999999</v>
      </c>
      <c r="L304" s="36">
        <v>350.43799999999999</v>
      </c>
      <c r="M304" s="36">
        <v>347.30700000000002</v>
      </c>
      <c r="N304" s="36">
        <v>347.30700000000002</v>
      </c>
      <c r="O304" s="36">
        <v>354.71800000000002</v>
      </c>
      <c r="P304" s="36">
        <v>348.16800000000001</v>
      </c>
      <c r="Q304" s="36">
        <v>475.29300000000001</v>
      </c>
      <c r="R304" s="36">
        <v>484.91899999999998</v>
      </c>
      <c r="S304" s="36">
        <v>484.91899999999998</v>
      </c>
      <c r="T304" s="36">
        <v>505.04700000000003</v>
      </c>
      <c r="U304" s="36">
        <v>479.85599999999999</v>
      </c>
      <c r="V304" s="36">
        <v>464.52499999999998</v>
      </c>
      <c r="W304" s="36">
        <v>469.14100000000002</v>
      </c>
      <c r="X304" s="36">
        <v>469.14100000000002</v>
      </c>
      <c r="Y304" s="36">
        <v>485.36700000000002</v>
      </c>
      <c r="Z304" s="36">
        <v>504.87700000000001</v>
      </c>
      <c r="AA304" s="36">
        <v>508.19900000000001</v>
      </c>
      <c r="AB304" s="36">
        <v>521.62400000000002</v>
      </c>
      <c r="AC304" s="36">
        <v>521.62400000000002</v>
      </c>
      <c r="AD304" s="36">
        <v>537</v>
      </c>
      <c r="AE304" s="36">
        <v>549.86500000000001</v>
      </c>
      <c r="AF304" s="36">
        <v>576.42899999999997</v>
      </c>
      <c r="AG304" s="36">
        <v>600.59100000000001</v>
      </c>
      <c r="AH304" s="36">
        <v>600.59100000000001</v>
      </c>
      <c r="AI304" s="36">
        <v>606.79399999999998</v>
      </c>
      <c r="AJ304" s="36">
        <v>650.91700000000003</v>
      </c>
      <c r="AK304" s="36">
        <v>651.29499999999996</v>
      </c>
      <c r="AL304" s="36">
        <v>663.03499999999997</v>
      </c>
      <c r="AM304" s="36">
        <v>663.03499999999997</v>
      </c>
      <c r="AN304" s="36">
        <v>646.17600000000004</v>
      </c>
      <c r="AO304" s="36">
        <v>646.34199999999998</v>
      </c>
      <c r="AP304" s="36">
        <v>649.71600000000001</v>
      </c>
      <c r="AQ304" s="36">
        <v>690.8</v>
      </c>
      <c r="AR304" s="36">
        <v>690.8</v>
      </c>
      <c r="AS304" s="36">
        <v>700.5</v>
      </c>
      <c r="AT304" s="36">
        <v>712.9</v>
      </c>
      <c r="AU304" s="36">
        <v>714.5</v>
      </c>
      <c r="AV304" s="36">
        <v>709</v>
      </c>
      <c r="AW304" s="36">
        <v>709</v>
      </c>
      <c r="AX304" s="36">
        <v>690</v>
      </c>
      <c r="AY304" s="36">
        <v>729.1</v>
      </c>
      <c r="AZ304" s="36">
        <v>717.5</v>
      </c>
      <c r="BA304" s="36">
        <v>752.6</v>
      </c>
      <c r="BB304" s="36">
        <v>752.6</v>
      </c>
      <c r="BC304" s="36">
        <v>782.4</v>
      </c>
      <c r="BD304" s="36">
        <v>835.2</v>
      </c>
      <c r="BE304" s="36">
        <v>823.4</v>
      </c>
      <c r="BF304" s="36">
        <v>873.7</v>
      </c>
      <c r="BG304" s="36">
        <v>873.7</v>
      </c>
      <c r="BH304" s="36">
        <v>948.7</v>
      </c>
      <c r="BI304" s="36">
        <v>954.7</v>
      </c>
      <c r="BJ304" s="36">
        <v>993.1</v>
      </c>
      <c r="BK304" s="36">
        <v>988.6</v>
      </c>
      <c r="BL304" s="36">
        <v>988.6</v>
      </c>
      <c r="BM304" s="36">
        <v>1077</v>
      </c>
      <c r="BN304" s="36">
        <v>1105</v>
      </c>
      <c r="BO304" s="36">
        <v>1089</v>
      </c>
      <c r="BP304" s="36">
        <v>1115</v>
      </c>
      <c r="BQ304" s="36">
        <v>1115</v>
      </c>
      <c r="BR304" s="36">
        <v>1173</v>
      </c>
      <c r="BS304" s="36">
        <v>1155</v>
      </c>
      <c r="BT304" s="36">
        <v>1034</v>
      </c>
      <c r="BU304" s="36">
        <v>1078</v>
      </c>
      <c r="BV304" s="36">
        <v>1078</v>
      </c>
      <c r="BW304" s="36">
        <v>1213</v>
      </c>
      <c r="BX304" s="36">
        <v>1169</v>
      </c>
      <c r="BY304" s="6"/>
      <c r="BZ304" s="6"/>
      <c r="CA304" s="37">
        <f t="shared" si="401"/>
        <v>1687.2995684197763</v>
      </c>
      <c r="CB304" s="37">
        <f t="shared" si="401"/>
        <v>1730.452201839134</v>
      </c>
      <c r="CC304" s="37">
        <f t="shared" si="401"/>
        <v>1801.2513099076655</v>
      </c>
      <c r="CD304" s="37">
        <f t="shared" si="401"/>
        <v>1906.4398054496703</v>
      </c>
      <c r="CE304" s="37">
        <f t="shared" si="401"/>
        <v>2028.504319761342</v>
      </c>
      <c r="CF304" s="6"/>
    </row>
    <row r="305" spans="2:84" ht="15" customHeight="1" x14ac:dyDescent="0.25">
      <c r="B305" s="26" t="s">
        <v>488</v>
      </c>
      <c r="C305" s="36">
        <v>61.386000000000003</v>
      </c>
      <c r="D305" s="36">
        <v>73.248999999999995</v>
      </c>
      <c r="E305" s="36">
        <v>97.623000000000005</v>
      </c>
      <c r="F305" s="36">
        <v>97.885000000000005</v>
      </c>
      <c r="G305" s="36">
        <v>110.633</v>
      </c>
      <c r="H305" s="36">
        <v>105.473</v>
      </c>
      <c r="I305" s="36">
        <v>118.646</v>
      </c>
      <c r="J305" s="36">
        <v>128.68199999999999</v>
      </c>
      <c r="K305" s="36">
        <v>126.379</v>
      </c>
      <c r="L305" s="36">
        <v>106.96</v>
      </c>
      <c r="M305" s="36">
        <v>120.20099999999999</v>
      </c>
      <c r="N305" s="36">
        <v>120.20099999999999</v>
      </c>
      <c r="O305" s="36">
        <v>125.108</v>
      </c>
      <c r="P305" s="36">
        <v>150.41999999999999</v>
      </c>
      <c r="Q305" s="36">
        <v>139.97999999999999</v>
      </c>
      <c r="R305" s="36">
        <v>274.245</v>
      </c>
      <c r="S305" s="36">
        <v>274.245</v>
      </c>
      <c r="T305" s="36">
        <v>338.92700000000002</v>
      </c>
      <c r="U305" s="36">
        <v>743.75599999999997</v>
      </c>
      <c r="V305" s="36">
        <v>163.59299999999999</v>
      </c>
      <c r="W305" s="36">
        <v>33.697000000000003</v>
      </c>
      <c r="X305" s="36">
        <v>33.697000000000003</v>
      </c>
      <c r="Y305" s="36">
        <v>37.658000000000001</v>
      </c>
      <c r="Z305" s="36">
        <v>53.997</v>
      </c>
      <c r="AA305" s="36">
        <v>56.216999999999999</v>
      </c>
      <c r="AB305" s="36">
        <v>56.813000000000002</v>
      </c>
      <c r="AC305" s="36">
        <v>56.813000000000002</v>
      </c>
      <c r="AD305" s="36">
        <v>51.609000000000002</v>
      </c>
      <c r="AE305" s="36">
        <v>87.091999999999999</v>
      </c>
      <c r="AF305" s="36">
        <v>83.808999999999997</v>
      </c>
      <c r="AG305" s="36">
        <v>96.965000000000003</v>
      </c>
      <c r="AH305" s="36">
        <v>96.965000000000003</v>
      </c>
      <c r="AI305" s="36">
        <v>106.298</v>
      </c>
      <c r="AJ305" s="36">
        <v>96.887</v>
      </c>
      <c r="AK305" s="36">
        <v>104.717</v>
      </c>
      <c r="AL305" s="36">
        <v>134.613</v>
      </c>
      <c r="AM305" s="36">
        <v>134.613</v>
      </c>
      <c r="AN305" s="36">
        <v>135.971</v>
      </c>
      <c r="AO305" s="36">
        <v>122.57899999999999</v>
      </c>
      <c r="AP305" s="36">
        <v>115.717</v>
      </c>
      <c r="AQ305" s="36">
        <v>141.19999999999999</v>
      </c>
      <c r="AR305" s="36">
        <v>141.19999999999999</v>
      </c>
      <c r="AS305" s="36">
        <v>145.69999999999999</v>
      </c>
      <c r="AT305" s="36">
        <v>113.7</v>
      </c>
      <c r="AU305" s="36">
        <v>58.3</v>
      </c>
      <c r="AV305" s="36">
        <v>79.8</v>
      </c>
      <c r="AW305" s="36">
        <v>79.8</v>
      </c>
      <c r="AX305" s="36">
        <v>67.3</v>
      </c>
      <c r="AY305" s="36">
        <v>94.9</v>
      </c>
      <c r="AZ305" s="36">
        <v>98.2</v>
      </c>
      <c r="BA305" s="36">
        <v>240.1</v>
      </c>
      <c r="BB305" s="36">
        <v>240.1</v>
      </c>
      <c r="BC305" s="36">
        <v>256.3</v>
      </c>
      <c r="BD305" s="36">
        <v>126.4</v>
      </c>
      <c r="BE305" s="36">
        <v>876.5</v>
      </c>
      <c r="BF305" s="36">
        <v>858.5</v>
      </c>
      <c r="BG305" s="36">
        <v>858.5</v>
      </c>
      <c r="BH305" s="36">
        <v>837.8</v>
      </c>
      <c r="BI305" s="36">
        <v>836.9</v>
      </c>
      <c r="BJ305" s="36">
        <v>129.19999999999999</v>
      </c>
      <c r="BK305" s="36">
        <v>894.7</v>
      </c>
      <c r="BL305" s="36">
        <v>894.7</v>
      </c>
      <c r="BM305" s="36">
        <v>88</v>
      </c>
      <c r="BN305" s="36">
        <v>106</v>
      </c>
      <c r="BO305" s="36">
        <v>262</v>
      </c>
      <c r="BP305" s="36">
        <v>79</v>
      </c>
      <c r="BQ305" s="36">
        <v>79</v>
      </c>
      <c r="BR305" s="36">
        <v>96</v>
      </c>
      <c r="BS305" s="36">
        <v>98</v>
      </c>
      <c r="BT305" s="36">
        <v>1335</v>
      </c>
      <c r="BU305" s="36">
        <v>1325</v>
      </c>
      <c r="BV305" s="36">
        <v>1325</v>
      </c>
      <c r="BW305" s="36">
        <v>90</v>
      </c>
      <c r="BX305" s="36">
        <v>137</v>
      </c>
      <c r="BY305" s="6"/>
      <c r="BZ305" s="6"/>
      <c r="CA305" s="37">
        <f>BX305+$CA$359</f>
        <v>473</v>
      </c>
      <c r="CB305" s="37">
        <f>CA305</f>
        <v>473</v>
      </c>
      <c r="CC305" s="37">
        <f>CB305</f>
        <v>473</v>
      </c>
      <c r="CD305" s="37">
        <f>CC305</f>
        <v>473</v>
      </c>
      <c r="CE305" s="37">
        <f>CD305</f>
        <v>473</v>
      </c>
      <c r="CF305" s="6"/>
    </row>
    <row r="306" spans="2:84" ht="15" customHeight="1" x14ac:dyDescent="0.25">
      <c r="B306" s="17" t="s">
        <v>489</v>
      </c>
      <c r="C306" s="46">
        <f t="shared" ref="C306:AH306" si="402">IF(ISNUMBER(C301),SUM(C301:C305),"")</f>
        <v>592.35399999999993</v>
      </c>
      <c r="D306" s="46">
        <f t="shared" si="402"/>
        <v>626.01</v>
      </c>
      <c r="E306" s="46">
        <f t="shared" si="402"/>
        <v>665.03099999999995</v>
      </c>
      <c r="F306" s="46">
        <f t="shared" si="402"/>
        <v>856.86</v>
      </c>
      <c r="G306" s="46">
        <f t="shared" si="402"/>
        <v>696.21100000000001</v>
      </c>
      <c r="H306" s="46">
        <f t="shared" si="402"/>
        <v>657.84999999999991</v>
      </c>
      <c r="I306" s="46">
        <f t="shared" si="402"/>
        <v>700.40099999999995</v>
      </c>
      <c r="J306" s="46">
        <f t="shared" si="402"/>
        <v>715.73300000000006</v>
      </c>
      <c r="K306" s="46">
        <f t="shared" si="402"/>
        <v>806.48500000000001</v>
      </c>
      <c r="L306" s="46">
        <f t="shared" si="402"/>
        <v>845.66899999999998</v>
      </c>
      <c r="M306" s="46">
        <f t="shared" si="402"/>
        <v>755.36599999999999</v>
      </c>
      <c r="N306" s="46">
        <f t="shared" si="402"/>
        <v>755.36599999999999</v>
      </c>
      <c r="O306" s="46">
        <f t="shared" si="402"/>
        <v>758.21399999999994</v>
      </c>
      <c r="P306" s="46">
        <f t="shared" si="402"/>
        <v>876.70099999999991</v>
      </c>
      <c r="Q306" s="46">
        <f t="shared" si="402"/>
        <v>1212.798</v>
      </c>
      <c r="R306" s="46">
        <f t="shared" si="402"/>
        <v>1288.8159999999998</v>
      </c>
      <c r="S306" s="46">
        <f t="shared" si="402"/>
        <v>1288.8159999999998</v>
      </c>
      <c r="T306" s="46">
        <f t="shared" si="402"/>
        <v>1281.729</v>
      </c>
      <c r="U306" s="46">
        <f t="shared" si="402"/>
        <v>1765.249</v>
      </c>
      <c r="V306" s="46">
        <f t="shared" si="402"/>
        <v>1641.971</v>
      </c>
      <c r="W306" s="46">
        <f t="shared" si="402"/>
        <v>1082.1680000000001</v>
      </c>
      <c r="X306" s="46">
        <f t="shared" si="402"/>
        <v>1082.1680000000001</v>
      </c>
      <c r="Y306" s="46">
        <f t="shared" si="402"/>
        <v>998.31500000000005</v>
      </c>
      <c r="Z306" s="46">
        <f t="shared" si="402"/>
        <v>1121.9290000000001</v>
      </c>
      <c r="AA306" s="46">
        <f t="shared" si="402"/>
        <v>1191.5250000000001</v>
      </c>
      <c r="AB306" s="46">
        <f t="shared" si="402"/>
        <v>1086.3850000000002</v>
      </c>
      <c r="AC306" s="46">
        <f t="shared" si="402"/>
        <v>1086.3850000000002</v>
      </c>
      <c r="AD306" s="46">
        <f t="shared" si="402"/>
        <v>1123.2419999999997</v>
      </c>
      <c r="AE306" s="46">
        <f t="shared" si="402"/>
        <v>1244.297</v>
      </c>
      <c r="AF306" s="46">
        <f t="shared" si="402"/>
        <v>1277.989</v>
      </c>
      <c r="AG306" s="46">
        <f t="shared" si="402"/>
        <v>2631.1600000000003</v>
      </c>
      <c r="AH306" s="46">
        <f t="shared" si="402"/>
        <v>2631.1600000000003</v>
      </c>
      <c r="AI306" s="46">
        <f t="shared" ref="AI306:BN306" si="403">IF(ISNUMBER(AI301),SUM(AI301:AI305),"")</f>
        <v>2601.9300000000003</v>
      </c>
      <c r="AJ306" s="46">
        <f t="shared" si="403"/>
        <v>1457.153</v>
      </c>
      <c r="AK306" s="46">
        <f t="shared" si="403"/>
        <v>1454.808</v>
      </c>
      <c r="AL306" s="46">
        <f t="shared" si="403"/>
        <v>1365.816</v>
      </c>
      <c r="AM306" s="46">
        <f t="shared" si="403"/>
        <v>1365.816</v>
      </c>
      <c r="AN306" s="46">
        <f t="shared" si="403"/>
        <v>1370.1109999999999</v>
      </c>
      <c r="AO306" s="46">
        <f t="shared" si="403"/>
        <v>1533.1209999999999</v>
      </c>
      <c r="AP306" s="46">
        <f t="shared" si="403"/>
        <v>1578.3980000000001</v>
      </c>
      <c r="AQ306" s="46">
        <f t="shared" si="403"/>
        <v>1426.7</v>
      </c>
      <c r="AR306" s="46">
        <f t="shared" si="403"/>
        <v>1426.7</v>
      </c>
      <c r="AS306" s="46">
        <f t="shared" si="403"/>
        <v>1833</v>
      </c>
      <c r="AT306" s="46">
        <f t="shared" si="403"/>
        <v>1587.1000000000001</v>
      </c>
      <c r="AU306" s="46">
        <f t="shared" si="403"/>
        <v>1652.8</v>
      </c>
      <c r="AV306" s="46">
        <f t="shared" si="403"/>
        <v>1668.3</v>
      </c>
      <c r="AW306" s="46">
        <f t="shared" si="403"/>
        <v>1668.3</v>
      </c>
      <c r="AX306" s="46">
        <f t="shared" si="403"/>
        <v>1675.7</v>
      </c>
      <c r="AY306" s="46">
        <f t="shared" si="403"/>
        <v>1616.3000000000002</v>
      </c>
      <c r="AZ306" s="46">
        <f t="shared" si="403"/>
        <v>4000.7</v>
      </c>
      <c r="BA306" s="46">
        <f t="shared" si="403"/>
        <v>2025.6</v>
      </c>
      <c r="BB306" s="46">
        <f t="shared" si="403"/>
        <v>2025.6</v>
      </c>
      <c r="BC306" s="46">
        <f t="shared" si="403"/>
        <v>1987.5</v>
      </c>
      <c r="BD306" s="46">
        <f t="shared" si="403"/>
        <v>2760.2999999999997</v>
      </c>
      <c r="BE306" s="46">
        <f t="shared" si="403"/>
        <v>2847.3</v>
      </c>
      <c r="BF306" s="46">
        <f t="shared" si="403"/>
        <v>2876.9</v>
      </c>
      <c r="BG306" s="46">
        <f t="shared" si="403"/>
        <v>2876.9</v>
      </c>
      <c r="BH306" s="46">
        <f t="shared" si="403"/>
        <v>2812.7</v>
      </c>
      <c r="BI306" s="46">
        <f t="shared" si="403"/>
        <v>3192.3</v>
      </c>
      <c r="BJ306" s="46">
        <f t="shared" si="403"/>
        <v>2817.3999999999996</v>
      </c>
      <c r="BK306" s="46">
        <f t="shared" si="403"/>
        <v>3918.8999999999996</v>
      </c>
      <c r="BL306" s="46">
        <f t="shared" si="403"/>
        <v>3918.8999999999996</v>
      </c>
      <c r="BM306" s="46">
        <f t="shared" si="403"/>
        <v>4518</v>
      </c>
      <c r="BN306" s="46">
        <f t="shared" si="403"/>
        <v>2229</v>
      </c>
      <c r="BO306" s="46">
        <f t="shared" ref="BO306:BX306" si="404">IF(ISNUMBER(BO301),SUM(BO301:BO305),"")</f>
        <v>2319</v>
      </c>
      <c r="BP306" s="46">
        <f t="shared" si="404"/>
        <v>2542</v>
      </c>
      <c r="BQ306" s="46">
        <f t="shared" si="404"/>
        <v>2542</v>
      </c>
      <c r="BR306" s="46">
        <f t="shared" si="404"/>
        <v>2103</v>
      </c>
      <c r="BS306" s="46">
        <f t="shared" si="404"/>
        <v>2393</v>
      </c>
      <c r="BT306" s="46">
        <f t="shared" si="404"/>
        <v>3423</v>
      </c>
      <c r="BU306" s="46">
        <f t="shared" si="404"/>
        <v>3193</v>
      </c>
      <c r="BV306" s="46">
        <f t="shared" si="404"/>
        <v>3193</v>
      </c>
      <c r="BW306" s="46">
        <f t="shared" si="404"/>
        <v>2356</v>
      </c>
      <c r="BX306" s="46">
        <f t="shared" si="404"/>
        <v>2446</v>
      </c>
      <c r="BY306" s="57"/>
      <c r="BZ306" s="57"/>
      <c r="CA306" s="34">
        <f>IF(ISNUMBER(CA301),SUM(CA301:CA305),"")</f>
        <v>3386.7411037636139</v>
      </c>
      <c r="CB306" s="34">
        <f>IF(ISNUMBER(CB301),SUM(CB301:CB305),"")</f>
        <v>3509.9541717486773</v>
      </c>
      <c r="CC306" s="34">
        <f>IF(ISNUMBER(CC301),SUM(CC301:CC305),"")</f>
        <v>4424.8978951245281</v>
      </c>
      <c r="CD306" s="34">
        <f>IF(ISNUMBER(CD301),SUM(CD301:CD305),"")</f>
        <v>4124.7957801454904</v>
      </c>
      <c r="CE306" s="34">
        <f>IF(ISNUMBER(CE301),SUM(CE301:CE305),"")</f>
        <v>4122.4308658246664</v>
      </c>
      <c r="CF306" s="6"/>
    </row>
    <row r="307" spans="2:84" ht="15" customHeight="1" x14ac:dyDescent="0.25">
      <c r="B307" s="26" t="s">
        <v>490</v>
      </c>
      <c r="C307" s="36">
        <v>1295.491</v>
      </c>
      <c r="D307" s="36">
        <v>1433.5530000000001</v>
      </c>
      <c r="E307" s="36">
        <v>1690.529</v>
      </c>
      <c r="F307" s="36">
        <v>1692.905</v>
      </c>
      <c r="G307" s="36">
        <v>1687.83</v>
      </c>
      <c r="H307" s="36">
        <v>1774.2909999999999</v>
      </c>
      <c r="I307" s="36">
        <v>1753.241</v>
      </c>
      <c r="J307" s="36">
        <v>1732.087</v>
      </c>
      <c r="K307" s="36">
        <v>1717.386</v>
      </c>
      <c r="L307" s="36">
        <v>1782.6179999999999</v>
      </c>
      <c r="M307" s="36">
        <v>1799.241</v>
      </c>
      <c r="N307" s="36">
        <v>1799.241</v>
      </c>
      <c r="O307" s="36">
        <v>1793.5360000000001</v>
      </c>
      <c r="P307" s="36">
        <v>1775.374</v>
      </c>
      <c r="Q307" s="36">
        <v>3377.951</v>
      </c>
      <c r="R307" s="36">
        <v>3402.77</v>
      </c>
      <c r="S307" s="36">
        <v>3402.77</v>
      </c>
      <c r="T307" s="36">
        <v>3365.1060000000002</v>
      </c>
      <c r="U307" s="36">
        <v>3049.5230000000001</v>
      </c>
      <c r="V307" s="36">
        <v>3073.5340000000001</v>
      </c>
      <c r="W307" s="36">
        <v>3156</v>
      </c>
      <c r="X307" s="36">
        <v>3156</v>
      </c>
      <c r="Y307" s="36">
        <v>3262.9810000000002</v>
      </c>
      <c r="Z307" s="36">
        <v>3322.2049999999999</v>
      </c>
      <c r="AA307" s="36">
        <v>3379.6129999999998</v>
      </c>
      <c r="AB307" s="36">
        <v>3423.395</v>
      </c>
      <c r="AC307" s="36">
        <v>3423.395</v>
      </c>
      <c r="AD307" s="36">
        <v>3467.645</v>
      </c>
      <c r="AE307" s="36">
        <v>3505.26</v>
      </c>
      <c r="AF307" s="36">
        <v>3521.5770000000002</v>
      </c>
      <c r="AG307" s="36">
        <v>3592.8130000000001</v>
      </c>
      <c r="AH307" s="36">
        <v>3592.8130000000001</v>
      </c>
      <c r="AI307" s="36">
        <v>3582.4940000000001</v>
      </c>
      <c r="AJ307" s="36">
        <v>5113.4260000000004</v>
      </c>
      <c r="AK307" s="36">
        <v>5103.3950000000004</v>
      </c>
      <c r="AL307" s="36">
        <v>5157.2290000000003</v>
      </c>
      <c r="AM307" s="36">
        <v>5157.2290000000003</v>
      </c>
      <c r="AN307" s="36">
        <v>5146.6819999999998</v>
      </c>
      <c r="AO307" s="36">
        <v>5132.6819999999998</v>
      </c>
      <c r="AP307" s="36">
        <v>5132.1469999999999</v>
      </c>
      <c r="AQ307" s="36">
        <v>5206</v>
      </c>
      <c r="AR307" s="36">
        <v>5206</v>
      </c>
      <c r="AS307" s="36">
        <v>5185.3999999999996</v>
      </c>
      <c r="AT307" s="36">
        <v>5160.5</v>
      </c>
      <c r="AU307" s="36">
        <v>5180.5</v>
      </c>
      <c r="AV307" s="36">
        <v>5242.3</v>
      </c>
      <c r="AW307" s="36">
        <v>5242.3</v>
      </c>
      <c r="AX307" s="36">
        <v>5335.4</v>
      </c>
      <c r="AY307" s="36">
        <v>5549</v>
      </c>
      <c r="AZ307" s="36">
        <v>5610.5</v>
      </c>
      <c r="BA307" s="36">
        <v>6338</v>
      </c>
      <c r="BB307" s="36">
        <v>6338</v>
      </c>
      <c r="BC307" s="36">
        <v>6208.9</v>
      </c>
      <c r="BD307" s="36">
        <v>6164.3</v>
      </c>
      <c r="BE307" s="36">
        <v>6153.8</v>
      </c>
      <c r="BF307" s="36">
        <v>6316.7</v>
      </c>
      <c r="BG307" s="36">
        <v>6316.7</v>
      </c>
      <c r="BH307" s="36">
        <v>6279.5</v>
      </c>
      <c r="BI307" s="36">
        <v>6312.8</v>
      </c>
      <c r="BJ307" s="36">
        <v>6352.7</v>
      </c>
      <c r="BK307" s="36">
        <v>6185.9</v>
      </c>
      <c r="BL307" s="36">
        <v>6185.9</v>
      </c>
      <c r="BM307" s="36">
        <v>6600</v>
      </c>
      <c r="BN307" s="36">
        <v>8610</v>
      </c>
      <c r="BO307" s="36">
        <v>8714</v>
      </c>
      <c r="BP307" s="36">
        <v>10109</v>
      </c>
      <c r="BQ307" s="36">
        <v>10109</v>
      </c>
      <c r="BR307" s="36">
        <v>10095</v>
      </c>
      <c r="BS307" s="36">
        <v>10127</v>
      </c>
      <c r="BT307" s="36">
        <v>10064</v>
      </c>
      <c r="BU307" s="36">
        <v>10290</v>
      </c>
      <c r="BV307" s="36">
        <v>10290</v>
      </c>
      <c r="BW307" s="36">
        <v>12642</v>
      </c>
      <c r="BX307" s="36">
        <v>13101</v>
      </c>
      <c r="BY307" s="6"/>
      <c r="BZ307" s="6"/>
      <c r="CA307" s="37">
        <f>BX307-(CA262-(BW262+BX262))+$CA$360-((BY182+BZ182)-(BY78+BZ78+BY372+BZ372))</f>
        <v>16214.498805585445</v>
      </c>
      <c r="CB307" s="37">
        <f>CA307-CB262-(CB182-CB78-CB372-N(CB111))+CB97*CB107</f>
        <v>16255.580188004176</v>
      </c>
      <c r="CC307" s="37">
        <f>CB307-CC262-(CC182-CC78-CC372-N(CC111))+CC97*CC107</f>
        <v>16571.100672143952</v>
      </c>
      <c r="CD307" s="37">
        <f>CC307-CD262-(CD182-CD78-CD372-N(CD111))+CD97*CD107</f>
        <v>17023.316813164995</v>
      </c>
      <c r="CE307" s="37">
        <f>CD307-CE262-(CE182-CE78-CE372-N(CE111))+CE97*CE107</f>
        <v>17474.280881127852</v>
      </c>
      <c r="CF307" s="20" t="s">
        <v>491</v>
      </c>
    </row>
    <row r="308" spans="2:84" ht="15" customHeight="1" x14ac:dyDescent="0.25">
      <c r="B308" s="26" t="s">
        <v>492</v>
      </c>
      <c r="C308" s="36">
        <v>570.53800000000001</v>
      </c>
      <c r="D308" s="36">
        <v>574.66700000000003</v>
      </c>
      <c r="E308" s="36">
        <v>622.29700000000003</v>
      </c>
      <c r="F308" s="36">
        <v>624.22400000000005</v>
      </c>
      <c r="G308" s="36">
        <v>626.52700000000004</v>
      </c>
      <c r="H308" s="36">
        <v>616.67100000000005</v>
      </c>
      <c r="I308" s="36">
        <v>616.20399999999995</v>
      </c>
      <c r="J308" s="36">
        <v>616.35</v>
      </c>
      <c r="K308" s="36">
        <v>616.303</v>
      </c>
      <c r="L308" s="36">
        <v>616.63400000000001</v>
      </c>
      <c r="M308" s="36">
        <v>616.62099999999998</v>
      </c>
      <c r="N308" s="36">
        <v>616.62099999999998</v>
      </c>
      <c r="O308" s="36">
        <v>616.62099999999998</v>
      </c>
      <c r="P308" s="36">
        <v>616.62099999999998</v>
      </c>
      <c r="Q308" s="36">
        <v>2043.32</v>
      </c>
      <c r="R308" s="36">
        <v>2068.799</v>
      </c>
      <c r="S308" s="36">
        <v>2068.799</v>
      </c>
      <c r="T308" s="36">
        <v>2071.471</v>
      </c>
      <c r="U308" s="36">
        <v>2065.8820000000001</v>
      </c>
      <c r="V308" s="36">
        <v>2065.6439999999998</v>
      </c>
      <c r="W308" s="36">
        <v>2068.2350000000001</v>
      </c>
      <c r="X308" s="36">
        <v>2068.2350000000001</v>
      </c>
      <c r="Y308" s="36">
        <v>2135.2950000000001</v>
      </c>
      <c r="Z308" s="36">
        <v>2136.7829999999999</v>
      </c>
      <c r="AA308" s="36">
        <v>2160.605</v>
      </c>
      <c r="AB308" s="36">
        <v>2159.337</v>
      </c>
      <c r="AC308" s="36">
        <v>2159.337</v>
      </c>
      <c r="AD308" s="36">
        <v>2159.3980000000001</v>
      </c>
      <c r="AE308" s="36">
        <v>2160.06</v>
      </c>
      <c r="AF308" s="36">
        <v>2160.06</v>
      </c>
      <c r="AG308" s="36">
        <v>2160.29</v>
      </c>
      <c r="AH308" s="36">
        <v>2160.29</v>
      </c>
      <c r="AI308" s="36">
        <v>2160.29</v>
      </c>
      <c r="AJ308" s="36">
        <v>2401.5050000000001</v>
      </c>
      <c r="AK308" s="36">
        <v>2399.4340000000002</v>
      </c>
      <c r="AL308" s="36">
        <v>2399.1179999999999</v>
      </c>
      <c r="AM308" s="36">
        <v>2399.1179999999999</v>
      </c>
      <c r="AN308" s="36">
        <v>2397.4830000000002</v>
      </c>
      <c r="AO308" s="36">
        <v>2394.3200000000002</v>
      </c>
      <c r="AP308" s="36">
        <v>2396.9549999999999</v>
      </c>
      <c r="AQ308" s="36">
        <v>2396.8000000000002</v>
      </c>
      <c r="AR308" s="36">
        <v>2396.8000000000002</v>
      </c>
      <c r="AS308" s="36">
        <v>2397.1</v>
      </c>
      <c r="AT308" s="36">
        <v>2397.5</v>
      </c>
      <c r="AU308" s="36">
        <v>2414.5</v>
      </c>
      <c r="AV308" s="36">
        <v>2414</v>
      </c>
      <c r="AW308" s="36">
        <v>2414</v>
      </c>
      <c r="AX308" s="36">
        <v>2414</v>
      </c>
      <c r="AY308" s="36">
        <v>2599.6</v>
      </c>
      <c r="AZ308" s="36">
        <v>2610.6</v>
      </c>
      <c r="BA308" s="36">
        <v>3494.4</v>
      </c>
      <c r="BB308" s="36">
        <v>3494.4</v>
      </c>
      <c r="BC308" s="36">
        <v>3392</v>
      </c>
      <c r="BD308" s="36">
        <v>3400.5</v>
      </c>
      <c r="BE308" s="36">
        <v>3640.4</v>
      </c>
      <c r="BF308" s="36">
        <v>3649.5</v>
      </c>
      <c r="BG308" s="36">
        <v>3649.5</v>
      </c>
      <c r="BH308" s="36">
        <v>3649.5</v>
      </c>
      <c r="BI308" s="36">
        <v>3649.5</v>
      </c>
      <c r="BJ308" s="36">
        <v>3649.5</v>
      </c>
      <c r="BK308" s="36">
        <v>3389.5</v>
      </c>
      <c r="BL308" s="36">
        <v>3389.5</v>
      </c>
      <c r="BM308" s="36">
        <v>3479</v>
      </c>
      <c r="BN308" s="36">
        <v>3842</v>
      </c>
      <c r="BO308" s="36">
        <v>3768</v>
      </c>
      <c r="BP308" s="36">
        <v>3767</v>
      </c>
      <c r="BQ308" s="36">
        <v>3767</v>
      </c>
      <c r="BR308" s="36">
        <v>3773</v>
      </c>
      <c r="BS308" s="36">
        <v>3777</v>
      </c>
      <c r="BT308" s="36">
        <v>3607</v>
      </c>
      <c r="BU308" s="36">
        <v>3614</v>
      </c>
      <c r="BV308" s="36">
        <v>3614</v>
      </c>
      <c r="BW308" s="36">
        <v>3828</v>
      </c>
      <c r="BX308" s="36">
        <v>3959</v>
      </c>
      <c r="BY308" s="6"/>
      <c r="BZ308" s="6"/>
      <c r="CA308" s="37">
        <f>BX308+$CA$363</f>
        <v>9959</v>
      </c>
      <c r="CB308" s="37">
        <f>CA308+CB97*(1-CB107-CB108)</f>
        <v>9959</v>
      </c>
      <c r="CC308" s="37">
        <f>CB308+CC97*(1-CC107-CC108)</f>
        <v>10134</v>
      </c>
      <c r="CD308" s="37">
        <f>CC308+CD97*(1-CD107-CD108)</f>
        <v>10396.5</v>
      </c>
      <c r="CE308" s="37">
        <f>CD308+CE97*(1-CE107-CE108)</f>
        <v>10659</v>
      </c>
      <c r="CF308" s="20" t="s">
        <v>493</v>
      </c>
    </row>
    <row r="309" spans="2:84" ht="15" customHeight="1" x14ac:dyDescent="0.25">
      <c r="B309" s="26" t="s">
        <v>494</v>
      </c>
      <c r="C309" s="36">
        <v>10.948</v>
      </c>
      <c r="D309" s="36">
        <v>9.4260000000000002</v>
      </c>
      <c r="E309" s="36">
        <v>13.89</v>
      </c>
      <c r="F309" s="36">
        <v>12.468999999999999</v>
      </c>
      <c r="G309" s="36">
        <v>17.547999999999998</v>
      </c>
      <c r="H309" s="36">
        <v>54.133000000000003</v>
      </c>
      <c r="I309" s="36">
        <v>50.433</v>
      </c>
      <c r="J309" s="36">
        <v>49.548000000000002</v>
      </c>
      <c r="K309" s="36">
        <v>48.667999999999999</v>
      </c>
      <c r="L309" s="36">
        <v>49.034999999999997</v>
      </c>
      <c r="M309" s="36">
        <v>48.591000000000001</v>
      </c>
      <c r="N309" s="36">
        <v>48.591000000000001</v>
      </c>
      <c r="O309" s="36">
        <v>47.743000000000002</v>
      </c>
      <c r="P309" s="36">
        <v>46.896000000000001</v>
      </c>
      <c r="Q309" s="36">
        <v>97.488</v>
      </c>
      <c r="R309" s="36">
        <v>95.718000000000004</v>
      </c>
      <c r="S309" s="36">
        <v>95.718000000000004</v>
      </c>
      <c r="T309" s="36">
        <v>94.113</v>
      </c>
      <c r="U309" s="36">
        <v>67.242000000000004</v>
      </c>
      <c r="V309" s="36">
        <v>65.555999999999997</v>
      </c>
      <c r="W309" s="36">
        <v>65.826999999999998</v>
      </c>
      <c r="X309" s="36">
        <v>65.826999999999998</v>
      </c>
      <c r="Y309" s="36">
        <v>75.266999999999996</v>
      </c>
      <c r="Z309" s="36">
        <v>64.326999999999998</v>
      </c>
      <c r="AA309" s="36">
        <v>70.927000000000007</v>
      </c>
      <c r="AB309" s="36">
        <v>69.11</v>
      </c>
      <c r="AC309" s="36">
        <v>69.11</v>
      </c>
      <c r="AD309" s="36">
        <v>67.317999999999998</v>
      </c>
      <c r="AE309" s="36">
        <v>65.525999999999996</v>
      </c>
      <c r="AF309" s="36">
        <v>63.74</v>
      </c>
      <c r="AG309" s="36">
        <v>67.233000000000004</v>
      </c>
      <c r="AH309" s="36">
        <v>67.233000000000004</v>
      </c>
      <c r="AI309" s="36">
        <v>61.338000000000001</v>
      </c>
      <c r="AJ309" s="36">
        <v>78.924999999999997</v>
      </c>
      <c r="AK309" s="36">
        <v>74.799000000000007</v>
      </c>
      <c r="AL309" s="36">
        <v>501.28199999999998</v>
      </c>
      <c r="AM309" s="36">
        <v>501.28199999999998</v>
      </c>
      <c r="AN309" s="36">
        <v>498.19499999999999</v>
      </c>
      <c r="AO309" s="36">
        <v>493.82400000000001</v>
      </c>
      <c r="AP309" s="36">
        <v>491.62299999999999</v>
      </c>
      <c r="AQ309" s="36">
        <v>486.8</v>
      </c>
      <c r="AR309" s="36">
        <v>486.8</v>
      </c>
      <c r="AS309" s="36">
        <v>483.3</v>
      </c>
      <c r="AT309" s="36">
        <v>481</v>
      </c>
      <c r="AU309" s="36">
        <v>504.3</v>
      </c>
      <c r="AV309" s="36">
        <v>508</v>
      </c>
      <c r="AW309" s="36">
        <v>508</v>
      </c>
      <c r="AX309" s="36">
        <v>504.4</v>
      </c>
      <c r="AY309" s="36">
        <v>725</v>
      </c>
      <c r="AZ309" s="36">
        <v>787.2</v>
      </c>
      <c r="BA309" s="36">
        <v>1065</v>
      </c>
      <c r="BB309" s="36">
        <v>1065</v>
      </c>
      <c r="BC309" s="36">
        <v>1050.7</v>
      </c>
      <c r="BD309" s="36">
        <v>1043.5999999999999</v>
      </c>
      <c r="BE309" s="36">
        <v>855.7</v>
      </c>
      <c r="BF309" s="36">
        <v>847.8</v>
      </c>
      <c r="BG309" s="36">
        <v>847.8</v>
      </c>
      <c r="BH309" s="36">
        <v>840.8</v>
      </c>
      <c r="BI309" s="36">
        <v>833.8</v>
      </c>
      <c r="BJ309" s="36">
        <v>826.8</v>
      </c>
      <c r="BK309" s="36">
        <v>697.7</v>
      </c>
      <c r="BL309" s="36">
        <v>697.7</v>
      </c>
      <c r="BM309" s="36">
        <v>702</v>
      </c>
      <c r="BN309" s="36">
        <v>713</v>
      </c>
      <c r="BO309" s="36">
        <v>705</v>
      </c>
      <c r="BP309" s="36">
        <v>730</v>
      </c>
      <c r="BQ309" s="36">
        <v>730</v>
      </c>
      <c r="BR309" s="36">
        <v>721</v>
      </c>
      <c r="BS309" s="36">
        <v>713</v>
      </c>
      <c r="BT309" s="36">
        <v>462</v>
      </c>
      <c r="BU309" s="36">
        <v>459</v>
      </c>
      <c r="BV309" s="36">
        <v>459</v>
      </c>
      <c r="BW309" s="36">
        <v>505</v>
      </c>
      <c r="BX309" s="36">
        <v>565</v>
      </c>
      <c r="BY309" s="6"/>
      <c r="BZ309" s="6"/>
      <c r="CA309" s="37">
        <f>BX309+$CA$361-(BY78+BZ78+BY372+BZ372)</f>
        <v>6319.5</v>
      </c>
      <c r="CB309" s="37">
        <f>CA309+CB97*CB108-CB78-CB372-N(CB111)</f>
        <v>5929.5</v>
      </c>
      <c r="CC309" s="37">
        <f>CB309+CC97*CC108-CC78-CC372-N(CC111)</f>
        <v>5587.833333333333</v>
      </c>
      <c r="CD309" s="37">
        <f>CC309+CD97*CD108-CD78-CD372-N(CD111)</f>
        <v>5267</v>
      </c>
      <c r="CE309" s="37">
        <f>CD309+CE97*CE108-CE78-CE372-N(CE111)</f>
        <v>4941.166666666667</v>
      </c>
      <c r="CF309" s="20" t="s">
        <v>495</v>
      </c>
    </row>
    <row r="310" spans="2:84" ht="15" customHeight="1" x14ac:dyDescent="0.25">
      <c r="B310" s="26" t="s">
        <v>496</v>
      </c>
      <c r="AN310" s="36">
        <v>498.233</v>
      </c>
      <c r="AO310" s="36">
        <v>487.36</v>
      </c>
      <c r="AP310" s="36">
        <v>484.85300000000001</v>
      </c>
      <c r="AQ310" s="36">
        <v>481.9</v>
      </c>
      <c r="AR310" s="36">
        <v>481.9</v>
      </c>
      <c r="AS310" s="36">
        <v>477.9</v>
      </c>
      <c r="AT310" s="36">
        <v>468</v>
      </c>
      <c r="AU310" s="36">
        <v>469.2</v>
      </c>
      <c r="AV310" s="36">
        <v>453</v>
      </c>
      <c r="AW310" s="36">
        <v>453</v>
      </c>
      <c r="AX310" s="36">
        <v>440.9</v>
      </c>
      <c r="AY310" s="36">
        <v>434.3</v>
      </c>
      <c r="AZ310" s="36">
        <v>417.8</v>
      </c>
      <c r="BA310" s="36">
        <v>426.7</v>
      </c>
      <c r="BB310" s="36">
        <v>426.7</v>
      </c>
      <c r="BC310" s="36">
        <v>410.7</v>
      </c>
      <c r="BD310" s="36">
        <v>402.3</v>
      </c>
      <c r="BE310" s="36">
        <v>397.3</v>
      </c>
      <c r="BF310" s="36">
        <v>383.5</v>
      </c>
      <c r="BG310" s="36">
        <v>383.5</v>
      </c>
      <c r="BH310" s="36">
        <v>382.9</v>
      </c>
      <c r="BI310" s="36">
        <v>384.4</v>
      </c>
      <c r="BJ310" s="36">
        <v>374.9</v>
      </c>
      <c r="BK310" s="36">
        <v>371.6</v>
      </c>
      <c r="BL310" s="36">
        <v>371.6</v>
      </c>
      <c r="BM310" s="36">
        <v>382</v>
      </c>
      <c r="BN310" s="36">
        <v>378</v>
      </c>
      <c r="BO310" s="36">
        <v>376</v>
      </c>
      <c r="BP310" s="36">
        <v>376</v>
      </c>
      <c r="BQ310" s="36">
        <v>376</v>
      </c>
      <c r="BR310" s="36">
        <v>379</v>
      </c>
      <c r="BS310" s="36">
        <v>379</v>
      </c>
      <c r="BT310" s="36">
        <v>367</v>
      </c>
      <c r="BU310" s="36">
        <v>367</v>
      </c>
      <c r="BV310" s="36">
        <v>367</v>
      </c>
      <c r="BW310" s="36">
        <v>381</v>
      </c>
      <c r="BX310" s="36">
        <v>381</v>
      </c>
      <c r="BY310" s="6"/>
      <c r="BZ310" s="6"/>
      <c r="CA310" s="37">
        <f>BX310</f>
        <v>381</v>
      </c>
      <c r="CB310" s="37">
        <f t="shared" ref="CB310:CE311" si="405">CA310</f>
        <v>381</v>
      </c>
      <c r="CC310" s="37">
        <f t="shared" si="405"/>
        <v>381</v>
      </c>
      <c r="CD310" s="37">
        <f t="shared" si="405"/>
        <v>381</v>
      </c>
      <c r="CE310" s="37">
        <f t="shared" si="405"/>
        <v>381</v>
      </c>
      <c r="CF310" s="6"/>
    </row>
    <row r="311" spans="2:84" ht="15" customHeight="1" x14ac:dyDescent="0.25">
      <c r="B311" s="26" t="s">
        <v>497</v>
      </c>
      <c r="C311" s="36">
        <v>37.090000000000003</v>
      </c>
      <c r="D311" s="36">
        <v>40.149000000000001</v>
      </c>
      <c r="E311" s="36">
        <v>40.755000000000003</v>
      </c>
      <c r="F311" s="36">
        <v>52.825000000000003</v>
      </c>
      <c r="G311" s="36">
        <v>46.627000000000002</v>
      </c>
      <c r="H311" s="36">
        <v>44.877000000000002</v>
      </c>
      <c r="I311" s="36">
        <v>40.646999999999998</v>
      </c>
      <c r="J311" s="36">
        <v>41.057000000000002</v>
      </c>
      <c r="K311" s="36">
        <v>42.277000000000001</v>
      </c>
      <c r="L311" s="36">
        <v>43.149000000000001</v>
      </c>
      <c r="M311" s="36">
        <v>40.006999999999998</v>
      </c>
      <c r="N311" s="36">
        <v>40.006999999999998</v>
      </c>
      <c r="O311" s="36">
        <v>39.143000000000001</v>
      </c>
      <c r="P311" s="36">
        <v>40.451000000000001</v>
      </c>
      <c r="Q311" s="36">
        <v>607.30100000000004</v>
      </c>
      <c r="R311" s="36">
        <v>608.28899999999999</v>
      </c>
      <c r="S311" s="36">
        <v>608.28899999999999</v>
      </c>
      <c r="T311" s="36">
        <v>605.22699999999998</v>
      </c>
      <c r="U311" s="36">
        <v>551.75800000000004</v>
      </c>
      <c r="V311" s="36">
        <v>591.74300000000005</v>
      </c>
      <c r="W311" s="36">
        <v>589.50199999999995</v>
      </c>
      <c r="X311" s="36">
        <v>589.50199999999995</v>
      </c>
      <c r="Y311" s="36">
        <v>586.42899999999997</v>
      </c>
      <c r="Z311" s="36">
        <v>588.06100000000004</v>
      </c>
      <c r="AA311" s="36">
        <v>570.53099999999995</v>
      </c>
      <c r="AB311" s="36">
        <v>562.678</v>
      </c>
      <c r="AC311" s="36">
        <v>562.678</v>
      </c>
      <c r="AD311" s="36">
        <v>576.18799999999999</v>
      </c>
      <c r="AE311" s="36">
        <v>540.71699999999998</v>
      </c>
      <c r="AF311" s="36">
        <v>543.41899999999998</v>
      </c>
      <c r="AG311" s="36">
        <v>541.01499999999999</v>
      </c>
      <c r="AH311" s="36">
        <v>541.01499999999999</v>
      </c>
      <c r="AI311" s="36">
        <v>541.99800000000005</v>
      </c>
      <c r="AJ311" s="36">
        <v>545.74300000000005</v>
      </c>
      <c r="AK311" s="36">
        <v>555.73500000000001</v>
      </c>
      <c r="AL311" s="36">
        <v>127.974</v>
      </c>
      <c r="AM311" s="36">
        <v>127.974</v>
      </c>
      <c r="AN311" s="36">
        <v>137.703</v>
      </c>
      <c r="AO311" s="36">
        <v>122.35</v>
      </c>
      <c r="AP311" s="36">
        <v>139.50899999999999</v>
      </c>
      <c r="AQ311" s="36">
        <v>133.4</v>
      </c>
      <c r="AR311" s="36">
        <v>133.4</v>
      </c>
      <c r="AS311" s="36">
        <v>126.7</v>
      </c>
      <c r="AT311" s="36">
        <v>132.5</v>
      </c>
      <c r="AU311" s="36">
        <v>214.1</v>
      </c>
      <c r="AV311" s="36">
        <v>295.2</v>
      </c>
      <c r="AW311" s="36">
        <v>295.2</v>
      </c>
      <c r="AX311" s="36">
        <v>288.89999999999998</v>
      </c>
      <c r="AY311" s="36">
        <v>298.89999999999998</v>
      </c>
      <c r="AZ311" s="36">
        <v>359.4</v>
      </c>
      <c r="BA311" s="36">
        <v>1043.3</v>
      </c>
      <c r="BB311" s="36">
        <v>1043.3</v>
      </c>
      <c r="BC311" s="36">
        <v>1191.7</v>
      </c>
      <c r="BD311" s="36">
        <v>771.8</v>
      </c>
      <c r="BE311" s="36">
        <v>835.2</v>
      </c>
      <c r="BF311" s="36">
        <v>919.2</v>
      </c>
      <c r="BG311" s="36">
        <v>919.2</v>
      </c>
      <c r="BH311" s="36">
        <v>925.5</v>
      </c>
      <c r="BI311" s="36">
        <v>873.4</v>
      </c>
      <c r="BJ311" s="36">
        <v>896.5</v>
      </c>
      <c r="BK311" s="36">
        <v>561.29999999999995</v>
      </c>
      <c r="BL311" s="36">
        <v>561.29999999999995</v>
      </c>
      <c r="BM311" s="36">
        <v>559</v>
      </c>
      <c r="BN311" s="36">
        <v>561</v>
      </c>
      <c r="BO311" s="36">
        <v>587</v>
      </c>
      <c r="BP311" s="36">
        <v>646</v>
      </c>
      <c r="BQ311" s="36">
        <v>646</v>
      </c>
      <c r="BR311" s="36">
        <v>653</v>
      </c>
      <c r="BS311" s="36">
        <v>681</v>
      </c>
      <c r="BT311" s="36">
        <v>730</v>
      </c>
      <c r="BU311" s="36">
        <v>788</v>
      </c>
      <c r="BV311" s="36">
        <v>788</v>
      </c>
      <c r="BW311" s="36">
        <v>785</v>
      </c>
      <c r="BX311" s="36">
        <v>853</v>
      </c>
      <c r="BY311" s="6"/>
      <c r="BZ311" s="6"/>
      <c r="CA311" s="37">
        <f>BX311+$CA$362</f>
        <v>919</v>
      </c>
      <c r="CB311" s="37">
        <f t="shared" si="405"/>
        <v>919</v>
      </c>
      <c r="CC311" s="37">
        <f t="shared" si="405"/>
        <v>919</v>
      </c>
      <c r="CD311" s="37">
        <f t="shared" si="405"/>
        <v>919</v>
      </c>
      <c r="CE311" s="37">
        <f t="shared" si="405"/>
        <v>919</v>
      </c>
      <c r="CF311" s="6"/>
    </row>
    <row r="312" spans="2:84" ht="15" customHeight="1" x14ac:dyDescent="0.25">
      <c r="B312" s="59" t="s">
        <v>498</v>
      </c>
      <c r="C312" s="60">
        <f t="shared" ref="C312:AH312" si="406">IF(ISNUMBER(C301),C306+SUM(C307:C311),"")</f>
        <v>2506.4209999999998</v>
      </c>
      <c r="D312" s="60">
        <f t="shared" si="406"/>
        <v>2683.8050000000003</v>
      </c>
      <c r="E312" s="60">
        <f t="shared" si="406"/>
        <v>3032.502</v>
      </c>
      <c r="F312" s="60">
        <f t="shared" si="406"/>
        <v>3239.2829999999999</v>
      </c>
      <c r="G312" s="60">
        <f t="shared" si="406"/>
        <v>3074.7429999999995</v>
      </c>
      <c r="H312" s="60">
        <f t="shared" si="406"/>
        <v>3147.8219999999997</v>
      </c>
      <c r="I312" s="60">
        <f t="shared" si="406"/>
        <v>3160.9259999999995</v>
      </c>
      <c r="J312" s="60">
        <f t="shared" si="406"/>
        <v>3154.7749999999996</v>
      </c>
      <c r="K312" s="60">
        <f t="shared" si="406"/>
        <v>3231.1190000000001</v>
      </c>
      <c r="L312" s="60">
        <f t="shared" si="406"/>
        <v>3337.1049999999996</v>
      </c>
      <c r="M312" s="60">
        <f t="shared" si="406"/>
        <v>3259.826</v>
      </c>
      <c r="N312" s="60">
        <f t="shared" si="406"/>
        <v>3259.826</v>
      </c>
      <c r="O312" s="60">
        <f t="shared" si="406"/>
        <v>3255.2570000000001</v>
      </c>
      <c r="P312" s="60">
        <f t="shared" si="406"/>
        <v>3356.0430000000001</v>
      </c>
      <c r="Q312" s="60">
        <f t="shared" si="406"/>
        <v>7338.8580000000002</v>
      </c>
      <c r="R312" s="60">
        <f t="shared" si="406"/>
        <v>7464.3919999999989</v>
      </c>
      <c r="S312" s="60">
        <f t="shared" si="406"/>
        <v>7464.3919999999989</v>
      </c>
      <c r="T312" s="60">
        <f t="shared" si="406"/>
        <v>7417.6460000000006</v>
      </c>
      <c r="U312" s="60">
        <f t="shared" si="406"/>
        <v>7499.6540000000005</v>
      </c>
      <c r="V312" s="60">
        <f t="shared" si="406"/>
        <v>7438.4480000000003</v>
      </c>
      <c r="W312" s="60">
        <f t="shared" si="406"/>
        <v>6961.732</v>
      </c>
      <c r="X312" s="60">
        <f t="shared" si="406"/>
        <v>6961.732</v>
      </c>
      <c r="Y312" s="60">
        <f t="shared" si="406"/>
        <v>7058.2870000000003</v>
      </c>
      <c r="Z312" s="60">
        <f t="shared" si="406"/>
        <v>7233.3049999999994</v>
      </c>
      <c r="AA312" s="60">
        <f t="shared" si="406"/>
        <v>7373.2009999999991</v>
      </c>
      <c r="AB312" s="60">
        <f t="shared" si="406"/>
        <v>7300.9049999999997</v>
      </c>
      <c r="AC312" s="60">
        <f t="shared" si="406"/>
        <v>7300.9049999999997</v>
      </c>
      <c r="AD312" s="60">
        <f t="shared" si="406"/>
        <v>7393.7909999999993</v>
      </c>
      <c r="AE312" s="60">
        <f t="shared" si="406"/>
        <v>7515.8599999999988</v>
      </c>
      <c r="AF312" s="60">
        <f t="shared" si="406"/>
        <v>7566.7849999999999</v>
      </c>
      <c r="AG312" s="60">
        <f t="shared" si="406"/>
        <v>8992.5110000000004</v>
      </c>
      <c r="AH312" s="60">
        <f t="shared" si="406"/>
        <v>8992.5110000000004</v>
      </c>
      <c r="AI312" s="60">
        <f t="shared" ref="AI312:BN312" si="407">IF(ISNUMBER(AI301),AI306+SUM(AI307:AI311),"")</f>
        <v>8948.0499999999993</v>
      </c>
      <c r="AJ312" s="60">
        <f t="shared" si="407"/>
        <v>9596.7520000000004</v>
      </c>
      <c r="AK312" s="60">
        <f t="shared" si="407"/>
        <v>9588.1710000000003</v>
      </c>
      <c r="AL312" s="60">
        <f t="shared" si="407"/>
        <v>9551.4189999999999</v>
      </c>
      <c r="AM312" s="60">
        <f t="shared" si="407"/>
        <v>9551.4189999999999</v>
      </c>
      <c r="AN312" s="60">
        <f t="shared" si="407"/>
        <v>10048.406999999999</v>
      </c>
      <c r="AO312" s="60">
        <f t="shared" si="407"/>
        <v>10163.656999999999</v>
      </c>
      <c r="AP312" s="60">
        <f t="shared" si="407"/>
        <v>10223.485000000001</v>
      </c>
      <c r="AQ312" s="60">
        <f t="shared" si="407"/>
        <v>10131.6</v>
      </c>
      <c r="AR312" s="60">
        <f t="shared" si="407"/>
        <v>10131.6</v>
      </c>
      <c r="AS312" s="60">
        <f t="shared" si="407"/>
        <v>10503.400000000001</v>
      </c>
      <c r="AT312" s="60">
        <f t="shared" si="407"/>
        <v>10226.6</v>
      </c>
      <c r="AU312" s="60">
        <f t="shared" si="407"/>
        <v>10435.4</v>
      </c>
      <c r="AV312" s="60">
        <f t="shared" si="407"/>
        <v>10580.8</v>
      </c>
      <c r="AW312" s="60">
        <f t="shared" si="407"/>
        <v>10580.8</v>
      </c>
      <c r="AX312" s="60">
        <f t="shared" si="407"/>
        <v>10659.3</v>
      </c>
      <c r="AY312" s="60">
        <f t="shared" si="407"/>
        <v>11223.099999999999</v>
      </c>
      <c r="AZ312" s="60">
        <f t="shared" si="407"/>
        <v>13786.2</v>
      </c>
      <c r="BA312" s="60">
        <f t="shared" si="407"/>
        <v>14393</v>
      </c>
      <c r="BB312" s="60">
        <f t="shared" si="407"/>
        <v>14393</v>
      </c>
      <c r="BC312" s="60">
        <f t="shared" si="407"/>
        <v>14241.500000000002</v>
      </c>
      <c r="BD312" s="60">
        <f t="shared" si="407"/>
        <v>14542.799999999997</v>
      </c>
      <c r="BE312" s="60">
        <f t="shared" si="407"/>
        <v>14729.7</v>
      </c>
      <c r="BF312" s="60">
        <f t="shared" si="407"/>
        <v>14993.6</v>
      </c>
      <c r="BG312" s="60">
        <f t="shared" si="407"/>
        <v>14993.6</v>
      </c>
      <c r="BH312" s="60">
        <f t="shared" si="407"/>
        <v>14890.899999999998</v>
      </c>
      <c r="BI312" s="60">
        <f t="shared" si="407"/>
        <v>15246.199999999997</v>
      </c>
      <c r="BJ312" s="60">
        <f t="shared" si="407"/>
        <v>14917.8</v>
      </c>
      <c r="BK312" s="60">
        <f t="shared" si="407"/>
        <v>15124.9</v>
      </c>
      <c r="BL312" s="60">
        <f t="shared" si="407"/>
        <v>15124.9</v>
      </c>
      <c r="BM312" s="60">
        <f t="shared" si="407"/>
        <v>16240</v>
      </c>
      <c r="BN312" s="60">
        <f t="shared" si="407"/>
        <v>16333</v>
      </c>
      <c r="BO312" s="60">
        <f t="shared" ref="BO312:BX312" si="408">IF(ISNUMBER(BO301),BO306+SUM(BO307:BO311),"")</f>
        <v>16469</v>
      </c>
      <c r="BP312" s="60">
        <f t="shared" si="408"/>
        <v>18170</v>
      </c>
      <c r="BQ312" s="60">
        <f t="shared" si="408"/>
        <v>18170</v>
      </c>
      <c r="BR312" s="60">
        <f t="shared" si="408"/>
        <v>17724</v>
      </c>
      <c r="BS312" s="60">
        <f t="shared" si="408"/>
        <v>18070</v>
      </c>
      <c r="BT312" s="60">
        <f t="shared" si="408"/>
        <v>18653</v>
      </c>
      <c r="BU312" s="60">
        <f t="shared" si="408"/>
        <v>18711</v>
      </c>
      <c r="BV312" s="60">
        <f t="shared" si="408"/>
        <v>18711</v>
      </c>
      <c r="BW312" s="60">
        <f t="shared" si="408"/>
        <v>20497</v>
      </c>
      <c r="BX312" s="60">
        <f t="shared" si="408"/>
        <v>21305</v>
      </c>
      <c r="BY312" s="70"/>
      <c r="BZ312" s="70"/>
      <c r="CA312" s="60">
        <f>IF(ISNUMBER(CA301),CA306+SUM(CA307:CA311),"")</f>
        <v>37179.73990934906</v>
      </c>
      <c r="CB312" s="60">
        <f>IF(ISNUMBER(CB301),CB306+SUM(CB307:CB311),"")</f>
        <v>36954.034359752855</v>
      </c>
      <c r="CC312" s="60">
        <f>IF(ISNUMBER(CC301),CC306+SUM(CC307:CC311),"")</f>
        <v>38017.831900601814</v>
      </c>
      <c r="CD312" s="60">
        <f>IF(ISNUMBER(CD301),CD306+SUM(CD307:CD311),"")</f>
        <v>38111.612593310485</v>
      </c>
      <c r="CE312" s="60">
        <f>IF(ISNUMBER(CE301),CE306+SUM(CE307:CE311),"")</f>
        <v>38496.878413619183</v>
      </c>
      <c r="CF312" s="6"/>
    </row>
    <row r="313" spans="2:84" ht="15" customHeight="1" x14ac:dyDescent="0.25">
      <c r="B313" s="26" t="s">
        <v>499</v>
      </c>
      <c r="CF313" s="6"/>
    </row>
    <row r="314" spans="2:84" ht="15" customHeight="1" x14ac:dyDescent="0.25">
      <c r="B314" s="26" t="s">
        <v>500</v>
      </c>
      <c r="C314" s="36">
        <v>85.236999999999995</v>
      </c>
      <c r="D314" s="36">
        <v>86.867999999999995</v>
      </c>
      <c r="E314" s="36">
        <v>62.920999999999999</v>
      </c>
      <c r="F314" s="36">
        <v>52.106999999999999</v>
      </c>
      <c r="G314" s="36">
        <v>60.332999999999998</v>
      </c>
      <c r="H314" s="36">
        <v>92.21</v>
      </c>
      <c r="I314" s="36">
        <v>83.537000000000006</v>
      </c>
      <c r="J314" s="36">
        <v>77.08</v>
      </c>
      <c r="K314" s="36">
        <v>99.96</v>
      </c>
      <c r="L314" s="36">
        <v>111.26600000000001</v>
      </c>
      <c r="M314" s="36">
        <v>103.6</v>
      </c>
      <c r="N314" s="36">
        <v>103.6</v>
      </c>
      <c r="O314" s="36">
        <v>98.775000000000006</v>
      </c>
      <c r="P314" s="36">
        <v>139.44200000000001</v>
      </c>
      <c r="Q314" s="36">
        <v>230.20599999999999</v>
      </c>
      <c r="R314" s="36">
        <v>202.476</v>
      </c>
      <c r="S314" s="36">
        <v>202.476</v>
      </c>
      <c r="T314" s="36">
        <v>184.066</v>
      </c>
      <c r="U314" s="36">
        <v>201.23500000000001</v>
      </c>
      <c r="V314" s="36">
        <v>226.83699999999999</v>
      </c>
      <c r="W314" s="36">
        <v>164.71799999999999</v>
      </c>
      <c r="X314" s="36">
        <v>164.71799999999999</v>
      </c>
      <c r="Y314" s="36">
        <v>174.398</v>
      </c>
      <c r="Z314" s="36">
        <v>197.733</v>
      </c>
      <c r="AA314" s="36">
        <v>192.738</v>
      </c>
      <c r="AB314" s="36">
        <v>178.59800000000001</v>
      </c>
      <c r="AC314" s="36">
        <v>178.59800000000001</v>
      </c>
      <c r="AD314" s="36">
        <v>188.399</v>
      </c>
      <c r="AE314" s="36">
        <v>187.227</v>
      </c>
      <c r="AF314" s="36">
        <v>163.59700000000001</v>
      </c>
      <c r="AG314" s="36">
        <v>186.63800000000001</v>
      </c>
      <c r="AH314" s="36">
        <v>186.63800000000001</v>
      </c>
      <c r="AI314" s="36">
        <v>162.328</v>
      </c>
      <c r="AJ314" s="36">
        <v>188.761</v>
      </c>
      <c r="AK314" s="36">
        <v>191.381</v>
      </c>
      <c r="AL314" s="36">
        <v>210.80799999999999</v>
      </c>
      <c r="AM314" s="36">
        <v>210.80799999999999</v>
      </c>
      <c r="AN314" s="36">
        <v>184.84399999999999</v>
      </c>
      <c r="AO314" s="36">
        <v>199.18100000000001</v>
      </c>
      <c r="AP314" s="36">
        <v>238.559</v>
      </c>
      <c r="AQ314" s="36">
        <v>229.6</v>
      </c>
      <c r="AR314" s="36">
        <v>229.6</v>
      </c>
      <c r="AS314" s="36">
        <v>202</v>
      </c>
      <c r="AT314" s="36">
        <v>197.2</v>
      </c>
      <c r="AU314" s="36">
        <v>210.7</v>
      </c>
      <c r="AV314" s="36">
        <v>207.8</v>
      </c>
      <c r="AW314" s="36">
        <v>207.8</v>
      </c>
      <c r="AX314" s="36">
        <v>200</v>
      </c>
      <c r="AY314" s="36">
        <v>243.6</v>
      </c>
      <c r="AZ314" s="36">
        <v>249.3</v>
      </c>
      <c r="BA314" s="36">
        <v>356.2</v>
      </c>
      <c r="BB314" s="36">
        <v>356.2</v>
      </c>
      <c r="BC314" s="36">
        <v>383.8</v>
      </c>
      <c r="BD314" s="36">
        <v>359.7</v>
      </c>
      <c r="BE314" s="36">
        <v>333.5</v>
      </c>
      <c r="BF314" s="36">
        <v>385</v>
      </c>
      <c r="BG314" s="36">
        <v>385</v>
      </c>
      <c r="BH314" s="36">
        <v>302.60000000000002</v>
      </c>
      <c r="BI314" s="36">
        <v>346.9</v>
      </c>
      <c r="BJ314" s="36">
        <v>342.2</v>
      </c>
      <c r="BK314" s="36">
        <v>343.3</v>
      </c>
      <c r="BL314" s="36">
        <v>343.3</v>
      </c>
      <c r="BM314" s="36">
        <v>266</v>
      </c>
      <c r="BN314" s="36">
        <v>304</v>
      </c>
      <c r="BO314" s="36">
        <v>315</v>
      </c>
      <c r="BP314" s="36">
        <v>375</v>
      </c>
      <c r="BQ314" s="36">
        <v>375</v>
      </c>
      <c r="BR314" s="36">
        <v>298</v>
      </c>
      <c r="BS314" s="36">
        <v>336</v>
      </c>
      <c r="BT314" s="36">
        <v>349</v>
      </c>
      <c r="BU314" s="36">
        <v>389</v>
      </c>
      <c r="BV314" s="36">
        <v>389</v>
      </c>
      <c r="BW314" s="36">
        <v>329</v>
      </c>
      <c r="BX314" s="36">
        <v>349</v>
      </c>
      <c r="BY314" s="6"/>
      <c r="BZ314" s="6"/>
      <c r="CA314" s="37">
        <f>CA342*CA345/365</f>
        <v>605.22701910709361</v>
      </c>
      <c r="CB314" s="37">
        <f>CB342*CB345/365</f>
        <v>620.70568109447197</v>
      </c>
      <c r="CC314" s="37">
        <f>CC342*CC345/365</f>
        <v>646.10101333644513</v>
      </c>
      <c r="CD314" s="37">
        <f>CD342*CD345/365</f>
        <v>683.83166934607743</v>
      </c>
      <c r="CE314" s="37">
        <f>CE342*CE345/365</f>
        <v>727.61567991439438</v>
      </c>
      <c r="CF314" s="6"/>
    </row>
    <row r="315" spans="2:84" ht="15" customHeight="1" x14ac:dyDescent="0.25">
      <c r="B315" s="26" t="s">
        <v>501</v>
      </c>
      <c r="C315" s="36">
        <v>25.01</v>
      </c>
      <c r="D315" s="36">
        <v>21.262</v>
      </c>
      <c r="E315" s="36">
        <v>19.231999999999999</v>
      </c>
      <c r="F315" s="36">
        <v>15.222</v>
      </c>
      <c r="G315" s="36">
        <v>17.506</v>
      </c>
      <c r="H315" s="36">
        <v>16.731999999999999</v>
      </c>
      <c r="I315" s="36">
        <v>19.460999999999999</v>
      </c>
      <c r="J315" s="36">
        <v>12.387</v>
      </c>
      <c r="K315" s="36">
        <v>16.259</v>
      </c>
      <c r="L315" s="36">
        <v>20.655000000000001</v>
      </c>
      <c r="M315" s="36">
        <v>18.114000000000001</v>
      </c>
      <c r="N315" s="36">
        <v>18.114000000000001</v>
      </c>
      <c r="O315" s="36">
        <v>12.904</v>
      </c>
      <c r="P315" s="36">
        <v>17.393000000000001</v>
      </c>
      <c r="Q315" s="36">
        <v>54.061999999999998</v>
      </c>
      <c r="R315" s="36">
        <v>36.576000000000001</v>
      </c>
      <c r="S315" s="36">
        <v>36.576000000000001</v>
      </c>
      <c r="T315" s="36">
        <v>23.59</v>
      </c>
      <c r="U315" s="36">
        <v>27.59</v>
      </c>
      <c r="V315" s="36">
        <v>30.529</v>
      </c>
      <c r="W315" s="36">
        <v>30.939</v>
      </c>
      <c r="X315" s="36">
        <v>30.939</v>
      </c>
      <c r="Y315" s="36">
        <v>17.052</v>
      </c>
      <c r="Z315" s="36">
        <v>24.864000000000001</v>
      </c>
      <c r="AA315" s="36">
        <v>33.463000000000001</v>
      </c>
      <c r="AB315" s="36">
        <v>47.427999999999997</v>
      </c>
      <c r="AC315" s="36">
        <v>47.427999999999997</v>
      </c>
      <c r="AD315" s="36">
        <v>22.76</v>
      </c>
      <c r="AE315" s="36">
        <v>36.201999999999998</v>
      </c>
      <c r="AF315" s="36">
        <v>37.884999999999998</v>
      </c>
      <c r="AG315" s="36">
        <v>44.255000000000003</v>
      </c>
      <c r="AH315" s="36">
        <v>44.255000000000003</v>
      </c>
      <c r="AI315" s="36">
        <v>23.329000000000001</v>
      </c>
      <c r="AJ315" s="36">
        <v>38.869999999999997</v>
      </c>
      <c r="AK315" s="36">
        <v>45.234000000000002</v>
      </c>
      <c r="AL315" s="36">
        <v>51.433999999999997</v>
      </c>
      <c r="AM315" s="36">
        <v>51.433999999999997</v>
      </c>
      <c r="AN315" s="36">
        <v>27.312999999999999</v>
      </c>
      <c r="AO315" s="36">
        <v>37.128</v>
      </c>
      <c r="AP315" s="36">
        <v>56.837000000000003</v>
      </c>
      <c r="AQ315" s="36">
        <v>56.7</v>
      </c>
      <c r="AR315" s="36">
        <v>56.7</v>
      </c>
      <c r="AS315" s="36">
        <v>31.6</v>
      </c>
      <c r="AT315" s="36">
        <v>43.4</v>
      </c>
      <c r="AU315" s="36">
        <v>52.2</v>
      </c>
      <c r="AV315" s="36">
        <v>82.6</v>
      </c>
      <c r="AW315" s="36">
        <v>82.6</v>
      </c>
      <c r="AX315" s="36">
        <v>35.9</v>
      </c>
      <c r="AY315" s="36">
        <v>54</v>
      </c>
      <c r="AZ315" s="36">
        <v>65.5</v>
      </c>
      <c r="BA315" s="36">
        <v>86.6</v>
      </c>
      <c r="BB315" s="36">
        <v>86.6</v>
      </c>
      <c r="BC315" s="36">
        <v>43.1</v>
      </c>
      <c r="BD315" s="36">
        <v>57.7</v>
      </c>
      <c r="BE315" s="36">
        <v>77.099999999999994</v>
      </c>
      <c r="BF315" s="36">
        <v>71.599999999999994</v>
      </c>
      <c r="BG315" s="36">
        <v>71.599999999999994</v>
      </c>
      <c r="BH315" s="36">
        <v>37.9</v>
      </c>
      <c r="BI315" s="36">
        <v>63.6</v>
      </c>
      <c r="BJ315" s="36">
        <v>84.5</v>
      </c>
      <c r="BK315" s="36">
        <v>102.3</v>
      </c>
      <c r="BL315" s="36">
        <v>102.3</v>
      </c>
      <c r="BM315" s="36">
        <v>37</v>
      </c>
      <c r="BN315" s="36">
        <v>58</v>
      </c>
      <c r="BO315" s="36">
        <v>67</v>
      </c>
      <c r="BP315" s="36">
        <v>73</v>
      </c>
      <c r="BQ315" s="36">
        <v>73</v>
      </c>
      <c r="BR315" s="36">
        <v>41</v>
      </c>
      <c r="BS315" s="36">
        <v>62</v>
      </c>
      <c r="BT315" s="36">
        <v>88</v>
      </c>
      <c r="BU315" s="36">
        <v>100</v>
      </c>
      <c r="BV315" s="36">
        <v>100</v>
      </c>
      <c r="BW315" s="36">
        <v>53</v>
      </c>
      <c r="BX315" s="36">
        <v>71</v>
      </c>
      <c r="BY315" s="6"/>
      <c r="BZ315" s="6"/>
      <c r="CA315" s="37">
        <f>CA341*CA346</f>
        <v>146.19578061413984</v>
      </c>
      <c r="CB315" s="37">
        <f>CB341*CB346</f>
        <v>157.06910475050546</v>
      </c>
      <c r="CC315" s="37">
        <f>CC341*CC346</f>
        <v>169.6398411611909</v>
      </c>
      <c r="CD315" s="37">
        <f>CD341*CD346</f>
        <v>183.89805786148054</v>
      </c>
      <c r="CE315" s="37">
        <f>CE341*CE346</f>
        <v>199.77234951185611</v>
      </c>
      <c r="CF315" s="6"/>
    </row>
    <row r="316" spans="2:84" ht="15" customHeight="1" x14ac:dyDescent="0.25">
      <c r="B316" s="26" t="s">
        <v>502</v>
      </c>
      <c r="C316" s="36">
        <v>125.956</v>
      </c>
      <c r="D316" s="36">
        <v>276.13600000000002</v>
      </c>
      <c r="E316" s="36">
        <v>202.53</v>
      </c>
      <c r="F316" s="36">
        <v>226.119</v>
      </c>
      <c r="G316" s="36">
        <v>248.714</v>
      </c>
      <c r="H316" s="36">
        <v>7.1820000000000004</v>
      </c>
      <c r="I316" s="36">
        <v>5.6760000000000002</v>
      </c>
      <c r="J316" s="36">
        <v>5.6769999999999996</v>
      </c>
      <c r="K316" s="36">
        <v>6.1689999999999996</v>
      </c>
      <c r="L316" s="36">
        <v>6.1689999999999996</v>
      </c>
      <c r="M316" s="36">
        <v>12.403</v>
      </c>
      <c r="N316" s="36">
        <v>12.403</v>
      </c>
      <c r="O316" s="36">
        <v>12.403</v>
      </c>
      <c r="P316" s="36">
        <v>12.404</v>
      </c>
      <c r="Q316" s="36">
        <v>14.331</v>
      </c>
      <c r="R316" s="36">
        <v>14.336</v>
      </c>
      <c r="S316" s="36">
        <v>14.336</v>
      </c>
      <c r="T316" s="36">
        <v>14.406000000000001</v>
      </c>
      <c r="U316" s="36">
        <v>15.965999999999999</v>
      </c>
      <c r="V316" s="36">
        <v>147.536</v>
      </c>
      <c r="W316" s="36">
        <v>19.245999999999999</v>
      </c>
      <c r="X316" s="36">
        <v>19.245999999999999</v>
      </c>
      <c r="Y316" s="36">
        <v>177.43</v>
      </c>
      <c r="Z316" s="36">
        <v>238.155</v>
      </c>
      <c r="AA316" s="36">
        <v>228.02500000000001</v>
      </c>
      <c r="AB316" s="36">
        <v>180.036</v>
      </c>
      <c r="AC316" s="36">
        <v>180.036</v>
      </c>
      <c r="AD316" s="36">
        <v>290.048</v>
      </c>
      <c r="AE316" s="36">
        <v>140.03700000000001</v>
      </c>
      <c r="AF316" s="36">
        <v>80.037999999999997</v>
      </c>
      <c r="AG316" s="36">
        <v>299.90899999999999</v>
      </c>
      <c r="AH316" s="36">
        <v>299.90899999999999</v>
      </c>
      <c r="AI316" s="36">
        <v>300.00599999999997</v>
      </c>
      <c r="AJ316" s="36">
        <v>320.04599999999999</v>
      </c>
      <c r="AK316" s="36">
        <v>380.041</v>
      </c>
      <c r="AL316" s="36">
        <v>390.04199999999997</v>
      </c>
      <c r="AM316" s="36">
        <v>390.04199999999997</v>
      </c>
      <c r="AN316" s="36">
        <v>360.05599999999998</v>
      </c>
      <c r="AO316" s="36">
        <v>385.04300000000001</v>
      </c>
      <c r="AP316" s="36">
        <v>190.04400000000001</v>
      </c>
      <c r="AQ316" s="36">
        <v>340</v>
      </c>
      <c r="AR316" s="36">
        <v>340</v>
      </c>
      <c r="AS316" s="36">
        <v>639.9</v>
      </c>
      <c r="AT316" s="36">
        <v>130</v>
      </c>
      <c r="AU316" s="36">
        <v>0</v>
      </c>
      <c r="AV316" s="36">
        <v>0</v>
      </c>
      <c r="AW316" s="36">
        <v>0</v>
      </c>
      <c r="AY316" s="36">
        <v>240.1</v>
      </c>
      <c r="AZ316" s="36">
        <v>20.100000000000001</v>
      </c>
      <c r="BJ316" s="36">
        <v>399.5</v>
      </c>
      <c r="BK316" s="36">
        <v>399.6</v>
      </c>
      <c r="BL316" s="36">
        <v>399.6</v>
      </c>
      <c r="BM316" s="36">
        <v>400</v>
      </c>
      <c r="BN316" s="36">
        <v>400</v>
      </c>
      <c r="BO316" s="36">
        <v>95</v>
      </c>
      <c r="BP316" s="36">
        <v>125</v>
      </c>
      <c r="BQ316" s="36">
        <v>125</v>
      </c>
      <c r="BR316" s="36">
        <v>125</v>
      </c>
      <c r="BS316" s="36">
        <v>125</v>
      </c>
      <c r="BT316" s="36">
        <v>230</v>
      </c>
      <c r="BU316" s="36">
        <v>30</v>
      </c>
      <c r="BV316" s="36">
        <v>30</v>
      </c>
      <c r="BW316" s="36">
        <v>0</v>
      </c>
      <c r="BX316" s="36">
        <v>860</v>
      </c>
      <c r="BY316" s="6"/>
      <c r="BZ316" s="6"/>
      <c r="CA316" s="37">
        <f>MIN(CA378,-CB379)</f>
        <v>794</v>
      </c>
      <c r="CB316" s="37">
        <f>MIN(CB378,-CC379)</f>
        <v>0</v>
      </c>
      <c r="CC316" s="37">
        <f>MIN(CC378,-CD379)</f>
        <v>750</v>
      </c>
      <c r="CD316" s="37">
        <f>MIN(CD378,-CE379)</f>
        <v>474</v>
      </c>
      <c r="CE316" s="37">
        <f>0</f>
        <v>0</v>
      </c>
      <c r="CF316" s="20" t="s">
        <v>503</v>
      </c>
    </row>
    <row r="317" spans="2:84" ht="15" customHeight="1" x14ac:dyDescent="0.25">
      <c r="B317" s="26" t="s">
        <v>504</v>
      </c>
      <c r="BJ317" s="36">
        <v>51.5</v>
      </c>
      <c r="BK317" s="36">
        <v>53.3</v>
      </c>
      <c r="BL317" s="36">
        <v>53.3</v>
      </c>
      <c r="BM317" s="36">
        <v>52</v>
      </c>
      <c r="BN317" s="36">
        <v>53</v>
      </c>
      <c r="BO317" s="36">
        <v>54</v>
      </c>
      <c r="BP317" s="36">
        <v>56</v>
      </c>
      <c r="BQ317" s="36">
        <v>56</v>
      </c>
      <c r="BR317" s="36">
        <v>59</v>
      </c>
      <c r="BS317" s="36">
        <v>62</v>
      </c>
      <c r="BT317" s="36">
        <v>61</v>
      </c>
      <c r="BU317" s="36">
        <v>62</v>
      </c>
      <c r="BV317" s="36">
        <v>62</v>
      </c>
      <c r="BW317" s="36">
        <v>65</v>
      </c>
      <c r="BX317" s="36">
        <v>70</v>
      </c>
      <c r="BY317" s="6"/>
      <c r="BZ317" s="6"/>
      <c r="CA317" s="37">
        <f>BX317+$CA$366</f>
        <v>88</v>
      </c>
      <c r="CB317" s="37">
        <f t="shared" ref="CB317:CE318" si="409">CA317</f>
        <v>88</v>
      </c>
      <c r="CC317" s="37">
        <f t="shared" si="409"/>
        <v>88</v>
      </c>
      <c r="CD317" s="37">
        <f t="shared" si="409"/>
        <v>88</v>
      </c>
      <c r="CE317" s="37">
        <f t="shared" si="409"/>
        <v>88</v>
      </c>
      <c r="CF317" s="6"/>
    </row>
    <row r="318" spans="2:84" ht="15" customHeight="1" x14ac:dyDescent="0.25">
      <c r="B318" s="26" t="s">
        <v>505</v>
      </c>
      <c r="C318" s="36">
        <v>78.869</v>
      </c>
      <c r="D318" s="36">
        <v>122.35</v>
      </c>
      <c r="E318" s="36">
        <v>63.956000000000003</v>
      </c>
      <c r="F318" s="36">
        <v>80.105000000000004</v>
      </c>
      <c r="G318" s="36">
        <v>58.94</v>
      </c>
      <c r="H318" s="36">
        <v>57.588000000000001</v>
      </c>
      <c r="I318" s="36">
        <v>64.661000000000001</v>
      </c>
      <c r="J318" s="36">
        <v>73.546000000000006</v>
      </c>
      <c r="K318" s="36">
        <v>70.144999999999996</v>
      </c>
      <c r="L318" s="36">
        <v>88.341999999999999</v>
      </c>
      <c r="M318" s="36">
        <v>76.432000000000002</v>
      </c>
      <c r="N318" s="36">
        <v>76.432000000000002</v>
      </c>
      <c r="O318" s="36">
        <v>69.676000000000002</v>
      </c>
      <c r="P318" s="36">
        <v>75.486000000000004</v>
      </c>
      <c r="Q318" s="36">
        <v>138.399</v>
      </c>
      <c r="R318" s="36">
        <v>143.26</v>
      </c>
      <c r="S318" s="36">
        <v>143.26</v>
      </c>
      <c r="T318" s="36">
        <v>121.49299999999999</v>
      </c>
      <c r="U318" s="36">
        <v>119.04300000000001</v>
      </c>
      <c r="V318" s="36">
        <v>170.49</v>
      </c>
      <c r="W318" s="36">
        <v>152.28800000000001</v>
      </c>
      <c r="X318" s="36">
        <v>152.28800000000001</v>
      </c>
      <c r="Y318" s="36">
        <v>123.251</v>
      </c>
      <c r="Z318" s="36">
        <v>140.852</v>
      </c>
      <c r="AA318" s="36">
        <v>150.68299999999999</v>
      </c>
      <c r="AB318" s="36">
        <v>140.52600000000001</v>
      </c>
      <c r="AC318" s="36">
        <v>140.52600000000001</v>
      </c>
      <c r="AD318" s="36">
        <v>130.351</v>
      </c>
      <c r="AE318" s="36">
        <v>170.85900000000001</v>
      </c>
      <c r="AF318" s="36">
        <v>186.983</v>
      </c>
      <c r="AG318" s="36">
        <v>163.41399999999999</v>
      </c>
      <c r="AH318" s="36">
        <v>163.41399999999999</v>
      </c>
      <c r="AI318" s="36">
        <v>165.316</v>
      </c>
      <c r="AJ318" s="36">
        <v>161.45599999999999</v>
      </c>
      <c r="AK318" s="36">
        <v>156.03</v>
      </c>
      <c r="AL318" s="36">
        <v>134.46600000000001</v>
      </c>
      <c r="AM318" s="36">
        <v>134.46600000000001</v>
      </c>
      <c r="AN318" s="36">
        <v>185.42400000000001</v>
      </c>
      <c r="AO318" s="36">
        <v>200.864</v>
      </c>
      <c r="AP318" s="36">
        <v>203.542</v>
      </c>
      <c r="AQ318" s="36">
        <v>212.2</v>
      </c>
      <c r="AR318" s="36">
        <v>212.2</v>
      </c>
      <c r="AS318" s="36">
        <v>202.1</v>
      </c>
      <c r="AT318" s="36">
        <v>224.7</v>
      </c>
      <c r="AU318" s="36">
        <v>243.3</v>
      </c>
      <c r="AV318" s="36">
        <v>208.9</v>
      </c>
      <c r="AW318" s="36">
        <v>208.9</v>
      </c>
      <c r="AX318" s="36">
        <v>212.9</v>
      </c>
      <c r="AY318" s="36">
        <v>220.3</v>
      </c>
      <c r="AZ318" s="36">
        <v>266.3</v>
      </c>
      <c r="BA318" s="36">
        <v>309.8</v>
      </c>
      <c r="BB318" s="36">
        <v>309.8</v>
      </c>
      <c r="BC318" s="36">
        <v>286</v>
      </c>
      <c r="BD318" s="36">
        <v>344</v>
      </c>
      <c r="BE318" s="36">
        <v>1009.1</v>
      </c>
      <c r="BF318" s="36">
        <v>989</v>
      </c>
      <c r="BG318" s="36">
        <v>989</v>
      </c>
      <c r="BH318" s="36">
        <v>987.5</v>
      </c>
      <c r="BI318" s="36">
        <v>1031.9000000000001</v>
      </c>
      <c r="BJ318" s="36">
        <v>263.39999999999998</v>
      </c>
      <c r="BK318" s="36">
        <v>271.7</v>
      </c>
      <c r="BL318" s="36">
        <v>271.7</v>
      </c>
      <c r="BM318" s="36">
        <v>674</v>
      </c>
      <c r="BN318" s="36">
        <v>381</v>
      </c>
      <c r="BO318" s="36">
        <v>462</v>
      </c>
      <c r="BP318" s="36">
        <v>387</v>
      </c>
      <c r="BQ318" s="36">
        <v>387</v>
      </c>
      <c r="BR318" s="36">
        <v>412</v>
      </c>
      <c r="BS318" s="36">
        <v>434</v>
      </c>
      <c r="BT318" s="36">
        <v>426</v>
      </c>
      <c r="BU318" s="36">
        <v>314</v>
      </c>
      <c r="BV318" s="36">
        <v>314</v>
      </c>
      <c r="BW318" s="36">
        <v>587</v>
      </c>
      <c r="BX318" s="36">
        <v>389</v>
      </c>
      <c r="BY318" s="6"/>
      <c r="BZ318" s="6"/>
      <c r="CA318" s="37">
        <f>BX318+$CA$365</f>
        <v>461</v>
      </c>
      <c r="CB318" s="37">
        <f t="shared" si="409"/>
        <v>461</v>
      </c>
      <c r="CC318" s="37">
        <f t="shared" si="409"/>
        <v>461</v>
      </c>
      <c r="CD318" s="37">
        <f t="shared" si="409"/>
        <v>461</v>
      </c>
      <c r="CE318" s="37">
        <f t="shared" si="409"/>
        <v>461</v>
      </c>
      <c r="CF318" s="6"/>
    </row>
    <row r="319" spans="2:84" ht="15" customHeight="1" x14ac:dyDescent="0.25">
      <c r="B319" s="17" t="s">
        <v>506</v>
      </c>
      <c r="C319" s="46">
        <f t="shared" ref="C319:AH319" si="410">IF(ISNUMBER(C314),SUM(C314:C318),"")</f>
        <v>315.072</v>
      </c>
      <c r="D319" s="46">
        <f t="shared" si="410"/>
        <v>506.61599999999999</v>
      </c>
      <c r="E319" s="46">
        <f t="shared" si="410"/>
        <v>348.63900000000001</v>
      </c>
      <c r="F319" s="46">
        <f t="shared" si="410"/>
        <v>373.553</v>
      </c>
      <c r="G319" s="46">
        <f t="shared" si="410"/>
        <v>385.49299999999999</v>
      </c>
      <c r="H319" s="46">
        <f t="shared" si="410"/>
        <v>173.71199999999999</v>
      </c>
      <c r="I319" s="46">
        <f t="shared" si="410"/>
        <v>173.33500000000001</v>
      </c>
      <c r="J319" s="46">
        <f t="shared" si="410"/>
        <v>168.69</v>
      </c>
      <c r="K319" s="46">
        <f t="shared" si="410"/>
        <v>192.53299999999999</v>
      </c>
      <c r="L319" s="46">
        <f t="shared" si="410"/>
        <v>226.43200000000002</v>
      </c>
      <c r="M319" s="46">
        <f t="shared" si="410"/>
        <v>210.54899999999998</v>
      </c>
      <c r="N319" s="46">
        <f t="shared" si="410"/>
        <v>210.54899999999998</v>
      </c>
      <c r="O319" s="46">
        <f t="shared" si="410"/>
        <v>193.75800000000001</v>
      </c>
      <c r="P319" s="46">
        <f t="shared" si="410"/>
        <v>244.72500000000002</v>
      </c>
      <c r="Q319" s="46">
        <f t="shared" si="410"/>
        <v>436.99799999999999</v>
      </c>
      <c r="R319" s="46">
        <f t="shared" si="410"/>
        <v>396.64800000000002</v>
      </c>
      <c r="S319" s="46">
        <f t="shared" si="410"/>
        <v>396.64800000000002</v>
      </c>
      <c r="T319" s="46">
        <f t="shared" si="410"/>
        <v>343.55500000000001</v>
      </c>
      <c r="U319" s="46">
        <f t="shared" si="410"/>
        <v>363.83400000000006</v>
      </c>
      <c r="V319" s="46">
        <f t="shared" si="410"/>
        <v>575.39200000000005</v>
      </c>
      <c r="W319" s="46">
        <f t="shared" si="410"/>
        <v>367.19100000000003</v>
      </c>
      <c r="X319" s="46">
        <f t="shared" si="410"/>
        <v>367.19100000000003</v>
      </c>
      <c r="Y319" s="46">
        <f t="shared" si="410"/>
        <v>492.13099999999997</v>
      </c>
      <c r="Z319" s="46">
        <f t="shared" si="410"/>
        <v>601.60400000000004</v>
      </c>
      <c r="AA319" s="46">
        <f t="shared" si="410"/>
        <v>604.90899999999999</v>
      </c>
      <c r="AB319" s="46">
        <f t="shared" si="410"/>
        <v>546.58799999999997</v>
      </c>
      <c r="AC319" s="46">
        <f t="shared" si="410"/>
        <v>546.58799999999997</v>
      </c>
      <c r="AD319" s="46">
        <f t="shared" si="410"/>
        <v>631.55799999999999</v>
      </c>
      <c r="AE319" s="46">
        <f t="shared" si="410"/>
        <v>534.32500000000005</v>
      </c>
      <c r="AF319" s="46">
        <f t="shared" si="410"/>
        <v>468.50299999999999</v>
      </c>
      <c r="AG319" s="46">
        <f t="shared" si="410"/>
        <v>694.21600000000001</v>
      </c>
      <c r="AH319" s="46">
        <f t="shared" si="410"/>
        <v>694.21600000000001</v>
      </c>
      <c r="AI319" s="46">
        <f t="shared" ref="AI319:BN319" si="411">IF(ISNUMBER(AI314),SUM(AI314:AI318),"")</f>
        <v>650.97900000000004</v>
      </c>
      <c r="AJ319" s="46">
        <f t="shared" si="411"/>
        <v>709.13300000000004</v>
      </c>
      <c r="AK319" s="46">
        <f t="shared" si="411"/>
        <v>772.68599999999992</v>
      </c>
      <c r="AL319" s="46">
        <f t="shared" si="411"/>
        <v>786.74999999999989</v>
      </c>
      <c r="AM319" s="46">
        <f t="shared" si="411"/>
        <v>786.74999999999989</v>
      </c>
      <c r="AN319" s="46">
        <f t="shared" si="411"/>
        <v>757.63699999999994</v>
      </c>
      <c r="AO319" s="46">
        <f t="shared" si="411"/>
        <v>822.21600000000012</v>
      </c>
      <c r="AP319" s="46">
        <f t="shared" si="411"/>
        <v>688.98200000000008</v>
      </c>
      <c r="AQ319" s="46">
        <f t="shared" si="411"/>
        <v>838.5</v>
      </c>
      <c r="AR319" s="46">
        <f t="shared" si="411"/>
        <v>838.5</v>
      </c>
      <c r="AS319" s="46">
        <f t="shared" si="411"/>
        <v>1075.5999999999999</v>
      </c>
      <c r="AT319" s="46">
        <f t="shared" si="411"/>
        <v>595.29999999999995</v>
      </c>
      <c r="AU319" s="46">
        <f t="shared" si="411"/>
        <v>506.2</v>
      </c>
      <c r="AV319" s="46">
        <f t="shared" si="411"/>
        <v>499.29999999999995</v>
      </c>
      <c r="AW319" s="46">
        <f t="shared" si="411"/>
        <v>499.29999999999995</v>
      </c>
      <c r="AX319" s="46">
        <f t="shared" si="411"/>
        <v>448.8</v>
      </c>
      <c r="AY319" s="46">
        <f t="shared" si="411"/>
        <v>758</v>
      </c>
      <c r="AZ319" s="46">
        <f t="shared" si="411"/>
        <v>601.20000000000005</v>
      </c>
      <c r="BA319" s="46">
        <f t="shared" si="411"/>
        <v>752.59999999999991</v>
      </c>
      <c r="BB319" s="46">
        <f t="shared" si="411"/>
        <v>752.59999999999991</v>
      </c>
      <c r="BC319" s="46">
        <f t="shared" si="411"/>
        <v>712.90000000000009</v>
      </c>
      <c r="BD319" s="46">
        <f t="shared" si="411"/>
        <v>761.4</v>
      </c>
      <c r="BE319" s="46">
        <f t="shared" si="411"/>
        <v>1419.7</v>
      </c>
      <c r="BF319" s="46">
        <f t="shared" si="411"/>
        <v>1445.6</v>
      </c>
      <c r="BG319" s="46">
        <f t="shared" si="411"/>
        <v>1445.6</v>
      </c>
      <c r="BH319" s="46">
        <f t="shared" si="411"/>
        <v>1328</v>
      </c>
      <c r="BI319" s="46">
        <f t="shared" si="411"/>
        <v>1442.4</v>
      </c>
      <c r="BJ319" s="46">
        <f t="shared" si="411"/>
        <v>1141.0999999999999</v>
      </c>
      <c r="BK319" s="46">
        <f t="shared" si="411"/>
        <v>1170.2</v>
      </c>
      <c r="BL319" s="46">
        <f t="shared" si="411"/>
        <v>1170.2</v>
      </c>
      <c r="BM319" s="46">
        <f t="shared" si="411"/>
        <v>1429</v>
      </c>
      <c r="BN319" s="46">
        <f t="shared" si="411"/>
        <v>1196</v>
      </c>
      <c r="BO319" s="46">
        <f t="shared" ref="BO319:BX319" si="412">IF(ISNUMBER(BO314),SUM(BO314:BO318),"")</f>
        <v>993</v>
      </c>
      <c r="BP319" s="46">
        <f t="shared" si="412"/>
        <v>1016</v>
      </c>
      <c r="BQ319" s="46">
        <f t="shared" si="412"/>
        <v>1016</v>
      </c>
      <c r="BR319" s="46">
        <f t="shared" si="412"/>
        <v>935</v>
      </c>
      <c r="BS319" s="46">
        <f t="shared" si="412"/>
        <v>1019</v>
      </c>
      <c r="BT319" s="46">
        <f t="shared" si="412"/>
        <v>1154</v>
      </c>
      <c r="BU319" s="46">
        <f t="shared" si="412"/>
        <v>895</v>
      </c>
      <c r="BV319" s="46">
        <f t="shared" si="412"/>
        <v>895</v>
      </c>
      <c r="BW319" s="46">
        <f t="shared" si="412"/>
        <v>1034</v>
      </c>
      <c r="BX319" s="46">
        <f t="shared" si="412"/>
        <v>1739</v>
      </c>
      <c r="BY319" s="57"/>
      <c r="BZ319" s="57"/>
      <c r="CA319" s="34">
        <f>IF(ISNUMBER(CA314),SUM(CA314:CA318),"")</f>
        <v>2094.4227997212333</v>
      </c>
      <c r="CB319" s="34">
        <f>IF(ISNUMBER(CB314),SUM(CB314:CB318),"")</f>
        <v>1326.7747858449775</v>
      </c>
      <c r="CC319" s="34">
        <f>IF(ISNUMBER(CC314),SUM(CC314:CC318),"")</f>
        <v>2114.7408544976361</v>
      </c>
      <c r="CD319" s="34">
        <f>IF(ISNUMBER(CD314),SUM(CD314:CD318),"")</f>
        <v>1890.729727207558</v>
      </c>
      <c r="CE319" s="34">
        <f>IF(ISNUMBER(CE314),SUM(CE314:CE318),"")</f>
        <v>1476.3880294262503</v>
      </c>
      <c r="CF319" s="6"/>
    </row>
    <row r="320" spans="2:84" ht="15" customHeight="1" x14ac:dyDescent="0.25">
      <c r="B320" s="26" t="s">
        <v>507</v>
      </c>
      <c r="C320" s="36">
        <v>579.30799999999999</v>
      </c>
      <c r="D320" s="36">
        <v>848.18600000000004</v>
      </c>
      <c r="E320" s="36">
        <v>1152.414</v>
      </c>
      <c r="F320" s="36">
        <v>1023.492</v>
      </c>
      <c r="G320" s="36">
        <v>782.04499999999996</v>
      </c>
      <c r="H320" s="36">
        <v>1052.902</v>
      </c>
      <c r="I320" s="36">
        <v>1042.183</v>
      </c>
      <c r="J320" s="36">
        <v>1072.8499999999999</v>
      </c>
      <c r="K320" s="36">
        <v>1087.1500000000001</v>
      </c>
      <c r="L320" s="36">
        <v>1107.192</v>
      </c>
      <c r="M320" s="36">
        <v>1018.518</v>
      </c>
      <c r="N320" s="36">
        <v>1018.518</v>
      </c>
      <c r="O320" s="36">
        <v>1055.5409999999999</v>
      </c>
      <c r="P320" s="36">
        <v>1072.3969999999999</v>
      </c>
      <c r="Q320" s="36">
        <v>1603.944</v>
      </c>
      <c r="R320" s="36">
        <v>1571.059</v>
      </c>
      <c r="S320" s="36">
        <v>1571.059</v>
      </c>
      <c r="T320" s="36">
        <v>1566.617</v>
      </c>
      <c r="U320" s="36">
        <v>1642.0350000000001</v>
      </c>
      <c r="V320" s="36">
        <v>1557.616</v>
      </c>
      <c r="W320" s="36">
        <v>1553.6489999999999</v>
      </c>
      <c r="X320" s="36">
        <v>1553.6489999999999</v>
      </c>
      <c r="Y320" s="36">
        <v>1575.327</v>
      </c>
      <c r="Z320" s="36">
        <v>1541.0619999999999</v>
      </c>
      <c r="AA320" s="36">
        <v>1536.81</v>
      </c>
      <c r="AB320" s="36">
        <v>1506.153</v>
      </c>
      <c r="AC320" s="36">
        <v>1506.153</v>
      </c>
      <c r="AD320" s="36">
        <v>1556.2460000000001</v>
      </c>
      <c r="AE320" s="36">
        <v>1641.944</v>
      </c>
      <c r="AF320" s="36">
        <v>1642.502</v>
      </c>
      <c r="AG320" s="36">
        <v>2727.2939999999999</v>
      </c>
      <c r="AH320" s="36">
        <v>2727.2939999999999</v>
      </c>
      <c r="AI320" s="36">
        <v>2728.1019999999999</v>
      </c>
      <c r="AJ320" s="36">
        <v>2898.8760000000002</v>
      </c>
      <c r="AK320" s="36">
        <v>2829.6570000000002</v>
      </c>
      <c r="AL320" s="36">
        <v>2730.4389999999999</v>
      </c>
      <c r="AM320" s="36">
        <v>2730.4389999999999</v>
      </c>
      <c r="AN320" s="36">
        <v>2801.2280000000001</v>
      </c>
      <c r="AO320" s="36">
        <v>2732.018</v>
      </c>
      <c r="AP320" s="36">
        <v>2732.8150000000001</v>
      </c>
      <c r="AQ320" s="36">
        <v>2433.6</v>
      </c>
      <c r="AR320" s="36">
        <v>2433.6</v>
      </c>
      <c r="AS320" s="36">
        <v>2623.9</v>
      </c>
      <c r="AT320" s="36">
        <v>2624.5</v>
      </c>
      <c r="AU320" s="36">
        <v>2625.2</v>
      </c>
      <c r="AV320" s="36">
        <v>2625.8</v>
      </c>
      <c r="AW320" s="36">
        <v>2625.8</v>
      </c>
      <c r="AX320" s="36">
        <v>2626.5</v>
      </c>
      <c r="AY320" s="36">
        <v>2627.2</v>
      </c>
      <c r="AZ320" s="36">
        <v>5099.3999999999996</v>
      </c>
      <c r="BA320" s="36">
        <v>5100.8</v>
      </c>
      <c r="BB320" s="36">
        <v>5100.8</v>
      </c>
      <c r="BC320" s="36">
        <v>5102.3</v>
      </c>
      <c r="BD320" s="36">
        <v>5044.3</v>
      </c>
      <c r="BE320" s="36">
        <v>4339.8999999999996</v>
      </c>
      <c r="BF320" s="36">
        <v>4340.8999999999996</v>
      </c>
      <c r="BG320" s="36">
        <v>4340.8999999999996</v>
      </c>
      <c r="BH320" s="36">
        <v>4342</v>
      </c>
      <c r="BI320" s="36">
        <v>4343.1000000000004</v>
      </c>
      <c r="BJ320" s="36">
        <v>3944.7</v>
      </c>
      <c r="BK320" s="36">
        <v>3945.6</v>
      </c>
      <c r="BL320" s="36">
        <v>3945.6</v>
      </c>
      <c r="BM320" s="36">
        <v>3947</v>
      </c>
      <c r="BN320" s="36">
        <v>3947</v>
      </c>
      <c r="BO320" s="36">
        <v>3948</v>
      </c>
      <c r="BP320" s="36">
        <v>5288</v>
      </c>
      <c r="BQ320" s="36">
        <v>5288</v>
      </c>
      <c r="BR320" s="36">
        <v>5289</v>
      </c>
      <c r="BS320" s="36">
        <v>5291</v>
      </c>
      <c r="BT320" s="36">
        <v>5292</v>
      </c>
      <c r="BU320" s="36">
        <v>5293</v>
      </c>
      <c r="BV320" s="36">
        <v>5293</v>
      </c>
      <c r="BW320" s="36">
        <v>5294</v>
      </c>
      <c r="BX320" s="36">
        <v>5091</v>
      </c>
      <c r="BY320" s="6"/>
      <c r="BZ320" s="6"/>
      <c r="CA320" s="37">
        <f>CA378-CA316</f>
        <v>11588.587978462001</v>
      </c>
      <c r="CB320" s="37">
        <f>CB378-CB316</f>
        <v>11147.269948286974</v>
      </c>
      <c r="CC320" s="37">
        <f>CC378-CC316</f>
        <v>10046</v>
      </c>
      <c r="CD320" s="37">
        <f>CD378-CD316</f>
        <v>10322</v>
      </c>
      <c r="CE320" s="37">
        <f>CE378-CE316</f>
        <v>11774.564540620177</v>
      </c>
      <c r="CF320" s="6"/>
    </row>
    <row r="321" spans="2:84" ht="15" customHeight="1" x14ac:dyDescent="0.25">
      <c r="B321" s="26" t="s">
        <v>508</v>
      </c>
      <c r="AN321" s="36">
        <v>446.12799999999999</v>
      </c>
      <c r="AO321" s="36">
        <v>438.93200000000002</v>
      </c>
      <c r="AP321" s="36">
        <v>436.69799999999998</v>
      </c>
      <c r="AQ321" s="36">
        <v>433.9</v>
      </c>
      <c r="AR321" s="36">
        <v>433.9</v>
      </c>
      <c r="AS321" s="36">
        <v>429.2</v>
      </c>
      <c r="AT321" s="36">
        <v>420.7</v>
      </c>
      <c r="AU321" s="36">
        <v>422.3</v>
      </c>
      <c r="AV321" s="36">
        <v>410.4</v>
      </c>
      <c r="AW321" s="36">
        <v>410.4</v>
      </c>
      <c r="AX321" s="36">
        <v>399.1</v>
      </c>
      <c r="AY321" s="36">
        <v>391.7</v>
      </c>
      <c r="AZ321" s="36">
        <v>375.9</v>
      </c>
      <c r="BA321" s="36">
        <v>379.4</v>
      </c>
      <c r="BB321" s="36">
        <v>379.4</v>
      </c>
      <c r="BC321" s="36">
        <v>362.1</v>
      </c>
      <c r="BD321" s="36">
        <v>356.3</v>
      </c>
      <c r="BE321" s="36">
        <v>348.4</v>
      </c>
      <c r="BF321" s="36">
        <v>335.9</v>
      </c>
      <c r="BG321" s="36">
        <v>335.9</v>
      </c>
      <c r="BH321" s="36">
        <v>337.3</v>
      </c>
      <c r="BI321" s="36">
        <v>337</v>
      </c>
      <c r="BJ321" s="36">
        <v>330</v>
      </c>
      <c r="BK321" s="36">
        <v>326.7</v>
      </c>
      <c r="BL321" s="36">
        <v>326.7</v>
      </c>
      <c r="BM321" s="36">
        <v>344</v>
      </c>
      <c r="BN321" s="36">
        <v>341</v>
      </c>
      <c r="BO321" s="36">
        <v>337</v>
      </c>
      <c r="BP321" s="36">
        <v>335</v>
      </c>
      <c r="BQ321" s="36">
        <v>335</v>
      </c>
      <c r="BR321" s="36">
        <v>334</v>
      </c>
      <c r="BS321" s="36">
        <v>331</v>
      </c>
      <c r="BT321" s="36">
        <v>320</v>
      </c>
      <c r="BU321" s="36">
        <v>320</v>
      </c>
      <c r="BV321" s="36">
        <v>320</v>
      </c>
      <c r="BW321" s="36">
        <v>329</v>
      </c>
      <c r="BX321" s="36">
        <v>324</v>
      </c>
      <c r="BY321" s="6"/>
      <c r="BZ321" s="6"/>
      <c r="CA321" s="37">
        <f>BX321+$CA$367</f>
        <v>374</v>
      </c>
      <c r="CB321" s="37">
        <f t="shared" ref="CB321:CE322" si="413">CA321</f>
        <v>374</v>
      </c>
      <c r="CC321" s="37">
        <f t="shared" si="413"/>
        <v>374</v>
      </c>
      <c r="CD321" s="37">
        <f t="shared" si="413"/>
        <v>374</v>
      </c>
      <c r="CE321" s="37">
        <f t="shared" si="413"/>
        <v>374</v>
      </c>
      <c r="CF321" s="6"/>
    </row>
    <row r="322" spans="2:84" ht="15" customHeight="1" x14ac:dyDescent="0.25">
      <c r="B322" s="26" t="s">
        <v>509</v>
      </c>
      <c r="C322" s="36">
        <v>106.413</v>
      </c>
      <c r="D322" s="36">
        <v>103.518</v>
      </c>
      <c r="E322" s="36">
        <v>207.83</v>
      </c>
      <c r="F322" s="36">
        <v>160.35400000000001</v>
      </c>
      <c r="G322" s="36">
        <v>127.67100000000001</v>
      </c>
      <c r="H322" s="36">
        <v>158.101</v>
      </c>
      <c r="I322" s="36">
        <v>183.12200000000001</v>
      </c>
      <c r="J322" s="36">
        <v>184.28700000000001</v>
      </c>
      <c r="K322" s="36">
        <v>184.84899999999999</v>
      </c>
      <c r="L322" s="36">
        <v>171.69499999999999</v>
      </c>
      <c r="M322" s="36">
        <v>78.489000000000004</v>
      </c>
      <c r="N322" s="36">
        <v>78.489000000000004</v>
      </c>
      <c r="O322" s="36">
        <v>80.456999999999994</v>
      </c>
      <c r="P322" s="36">
        <v>82.662000000000006</v>
      </c>
      <c r="Q322" s="36">
        <v>144.077</v>
      </c>
      <c r="R322" s="36">
        <v>249.333</v>
      </c>
      <c r="S322" s="36">
        <v>249.333</v>
      </c>
      <c r="T322" s="36">
        <v>252.923</v>
      </c>
      <c r="U322" s="36">
        <v>272.46100000000001</v>
      </c>
      <c r="V322" s="36">
        <v>229.042</v>
      </c>
      <c r="W322" s="36">
        <v>224.53800000000001</v>
      </c>
      <c r="X322" s="36">
        <v>224.53800000000001</v>
      </c>
      <c r="Y322" s="36">
        <v>226.92400000000001</v>
      </c>
      <c r="Z322" s="36">
        <v>236.56200000000001</v>
      </c>
      <c r="AA322" s="36">
        <v>200.15199999999999</v>
      </c>
      <c r="AB322" s="36">
        <v>248.08600000000001</v>
      </c>
      <c r="AC322" s="36">
        <v>248.08600000000001</v>
      </c>
      <c r="AD322" s="36">
        <v>252.56800000000001</v>
      </c>
      <c r="AE322" s="36">
        <v>253.90799999999999</v>
      </c>
      <c r="AF322" s="36">
        <v>230.21199999999999</v>
      </c>
      <c r="AG322" s="36">
        <v>244.04300000000001</v>
      </c>
      <c r="AH322" s="36">
        <v>244.04300000000001</v>
      </c>
      <c r="AI322" s="36">
        <v>248.501</v>
      </c>
      <c r="AJ322" s="36">
        <v>249.96700000000001</v>
      </c>
      <c r="AK322" s="36">
        <v>108.45399999999999</v>
      </c>
      <c r="AL322" s="36">
        <v>134.46899999999999</v>
      </c>
      <c r="AM322" s="36">
        <v>134.46899999999999</v>
      </c>
      <c r="AN322" s="36">
        <v>138.04900000000001</v>
      </c>
      <c r="AO322" s="36">
        <v>140.066</v>
      </c>
      <c r="AP322" s="36">
        <v>100.07599999999999</v>
      </c>
      <c r="BY322" s="6"/>
      <c r="BZ322" s="6"/>
      <c r="CA322" s="37">
        <f>BX322</f>
        <v>0</v>
      </c>
      <c r="CB322" s="37">
        <f t="shared" si="413"/>
        <v>0</v>
      </c>
      <c r="CC322" s="37">
        <f t="shared" si="413"/>
        <v>0</v>
      </c>
      <c r="CD322" s="37">
        <f t="shared" si="413"/>
        <v>0</v>
      </c>
      <c r="CE322" s="37">
        <f t="shared" si="413"/>
        <v>0</v>
      </c>
      <c r="CF322" s="6"/>
    </row>
    <row r="323" spans="2:84" ht="15" customHeight="1" x14ac:dyDescent="0.25">
      <c r="B323" s="26" t="s">
        <v>510</v>
      </c>
      <c r="C323" s="36">
        <v>159.09399999999999</v>
      </c>
      <c r="D323" s="36">
        <v>160.90199999999999</v>
      </c>
      <c r="E323" s="36">
        <v>174.30799999999999</v>
      </c>
      <c r="F323" s="36">
        <v>195.946</v>
      </c>
      <c r="G323" s="36">
        <v>228.69800000000001</v>
      </c>
      <c r="H323" s="36">
        <v>222.06399999999999</v>
      </c>
      <c r="I323" s="36">
        <v>225.59200000000001</v>
      </c>
      <c r="J323" s="36">
        <v>230.10900000000001</v>
      </c>
      <c r="K323" s="36">
        <v>235.505</v>
      </c>
      <c r="L323" s="36">
        <v>243.858</v>
      </c>
      <c r="M323" s="36">
        <v>279.99900000000002</v>
      </c>
      <c r="N323" s="36">
        <v>279.99900000000002</v>
      </c>
      <c r="O323" s="36">
        <v>272.346</v>
      </c>
      <c r="P323" s="36">
        <v>275.279</v>
      </c>
      <c r="Q323" s="36">
        <v>633.95100000000002</v>
      </c>
      <c r="R323" s="36">
        <v>734.58299999999997</v>
      </c>
      <c r="S323" s="36">
        <v>734.58299999999997</v>
      </c>
      <c r="T323" s="36">
        <v>753.72699999999998</v>
      </c>
      <c r="U323" s="36">
        <v>756.52599999999995</v>
      </c>
      <c r="V323" s="36">
        <v>665.71199999999999</v>
      </c>
      <c r="W323" s="36">
        <v>583.45899999999995</v>
      </c>
      <c r="X323" s="36">
        <v>583.45899999999995</v>
      </c>
      <c r="Y323" s="36">
        <v>620.56899999999996</v>
      </c>
      <c r="Z323" s="36">
        <v>639.77599999999995</v>
      </c>
      <c r="AA323" s="36">
        <v>676.14400000000001</v>
      </c>
      <c r="AB323" s="36">
        <v>663.01900000000001</v>
      </c>
      <c r="AC323" s="36">
        <v>663.01900000000001</v>
      </c>
      <c r="AD323" s="36">
        <v>667.16</v>
      </c>
      <c r="AE323" s="36">
        <v>663.41399999999999</v>
      </c>
      <c r="AF323" s="36">
        <v>662.98199999999997</v>
      </c>
      <c r="AG323" s="36">
        <v>410.72300000000001</v>
      </c>
      <c r="AH323" s="36">
        <v>410.72300000000001</v>
      </c>
      <c r="AI323" s="36">
        <v>413.57</v>
      </c>
      <c r="AJ323" s="36">
        <v>644.46900000000005</v>
      </c>
      <c r="AK323" s="36">
        <v>692.88099999999997</v>
      </c>
      <c r="AL323" s="36">
        <v>705.56399999999996</v>
      </c>
      <c r="AM323" s="36">
        <v>705.56399999999996</v>
      </c>
      <c r="AN323" s="36">
        <v>695.77099999999996</v>
      </c>
      <c r="AO323" s="36">
        <v>699.45500000000004</v>
      </c>
      <c r="AP323" s="36">
        <v>725.096</v>
      </c>
      <c r="AQ323" s="36">
        <v>733</v>
      </c>
      <c r="AR323" s="36">
        <v>733</v>
      </c>
      <c r="AS323" s="36">
        <v>737</v>
      </c>
      <c r="AT323" s="36">
        <v>741.2</v>
      </c>
      <c r="AU323" s="36">
        <v>760.4</v>
      </c>
      <c r="AV323" s="36">
        <v>781.5</v>
      </c>
      <c r="AW323" s="36">
        <v>781.5</v>
      </c>
      <c r="AX323" s="36">
        <v>777.6</v>
      </c>
      <c r="AY323" s="36">
        <v>786.3</v>
      </c>
      <c r="AZ323" s="36">
        <v>809.3</v>
      </c>
      <c r="BA323" s="36">
        <v>895.3</v>
      </c>
      <c r="BB323" s="36">
        <v>895.3</v>
      </c>
      <c r="BC323" s="36">
        <v>890</v>
      </c>
      <c r="BD323" s="36">
        <v>852.8</v>
      </c>
      <c r="BE323" s="36">
        <v>886</v>
      </c>
      <c r="BF323" s="36">
        <v>914.3</v>
      </c>
      <c r="BG323" s="36">
        <v>914.3</v>
      </c>
      <c r="BH323" s="36">
        <v>921</v>
      </c>
      <c r="BI323" s="36">
        <v>915.8</v>
      </c>
      <c r="BJ323" s="36">
        <v>913.5</v>
      </c>
      <c r="BK323" s="36">
        <v>874.6</v>
      </c>
      <c r="BL323" s="36">
        <v>874.6</v>
      </c>
      <c r="BM323" s="36">
        <v>865</v>
      </c>
      <c r="BN323" s="36">
        <v>1110</v>
      </c>
      <c r="BO323" s="36">
        <v>1127</v>
      </c>
      <c r="BP323" s="36">
        <v>1169</v>
      </c>
      <c r="BQ323" s="36">
        <v>1169</v>
      </c>
      <c r="BR323" s="36">
        <v>1172</v>
      </c>
      <c r="BS323" s="36">
        <v>1178</v>
      </c>
      <c r="BT323" s="36">
        <v>1250</v>
      </c>
      <c r="BU323" s="36">
        <v>1266</v>
      </c>
      <c r="BV323" s="36">
        <v>1266</v>
      </c>
      <c r="BW323" s="36">
        <v>1627</v>
      </c>
      <c r="BX323" s="36">
        <v>1641</v>
      </c>
      <c r="BY323" s="6"/>
      <c r="BZ323" s="6"/>
      <c r="CA323" s="37">
        <f>BX323+$CA$369+(CA258-(BW258+BX258))</f>
        <v>3647.2820000000002</v>
      </c>
      <c r="CB323" s="37">
        <f>CA323+CB258</f>
        <v>3557.4920000000002</v>
      </c>
      <c r="CC323" s="37">
        <f>CB323+CC258</f>
        <v>3467.7020000000002</v>
      </c>
      <c r="CD323" s="37">
        <f>CC323+CD258</f>
        <v>3377.9120000000003</v>
      </c>
      <c r="CE323" s="37">
        <f>CD323+CE258</f>
        <v>3288.1220000000003</v>
      </c>
      <c r="CF323" s="20" t="s">
        <v>511</v>
      </c>
    </row>
    <row r="324" spans="2:84" ht="15" customHeight="1" x14ac:dyDescent="0.25">
      <c r="B324" s="26" t="s">
        <v>512</v>
      </c>
      <c r="C324" s="36">
        <v>92.561999999999998</v>
      </c>
      <c r="D324" s="36">
        <v>118.592</v>
      </c>
      <c r="E324" s="36">
        <v>82.051000000000002</v>
      </c>
      <c r="F324" s="36">
        <v>79.527000000000001</v>
      </c>
      <c r="G324" s="36">
        <v>82.576999999999998</v>
      </c>
      <c r="H324" s="36">
        <v>92.179000000000002</v>
      </c>
      <c r="I324" s="36">
        <v>86.394999999999996</v>
      </c>
      <c r="J324" s="36">
        <v>88.781999999999996</v>
      </c>
      <c r="K324" s="36">
        <v>90.415000000000006</v>
      </c>
      <c r="L324" s="36">
        <v>89.045000000000002</v>
      </c>
      <c r="M324" s="36">
        <v>97.352000000000004</v>
      </c>
      <c r="N324" s="36">
        <v>97.352000000000004</v>
      </c>
      <c r="O324" s="36">
        <v>108.86199999999999</v>
      </c>
      <c r="P324" s="36">
        <v>113.98099999999999</v>
      </c>
      <c r="Q324" s="36">
        <v>144.27500000000001</v>
      </c>
      <c r="R324" s="36">
        <v>160.02099999999999</v>
      </c>
      <c r="S324" s="36">
        <v>160.02099999999999</v>
      </c>
      <c r="T324" s="36">
        <v>158.64099999999999</v>
      </c>
      <c r="U324" s="36">
        <v>154.36500000000001</v>
      </c>
      <c r="V324" s="36">
        <v>158.10599999999999</v>
      </c>
      <c r="W324" s="36">
        <v>172.71799999999999</v>
      </c>
      <c r="X324" s="36">
        <v>172.71799999999999</v>
      </c>
      <c r="Y324" s="36">
        <v>197.7</v>
      </c>
      <c r="Z324" s="36">
        <v>197.80099999999999</v>
      </c>
      <c r="AA324" s="36">
        <v>196.78800000000001</v>
      </c>
      <c r="AB324" s="36">
        <v>194.46899999999999</v>
      </c>
      <c r="AC324" s="36">
        <v>194.46899999999999</v>
      </c>
      <c r="AD324" s="36">
        <v>210.30500000000001</v>
      </c>
      <c r="AE324" s="36">
        <v>221.738</v>
      </c>
      <c r="AF324" s="36">
        <v>228.60400000000001</v>
      </c>
      <c r="AG324" s="36">
        <v>233.75800000000001</v>
      </c>
      <c r="AH324" s="36">
        <v>233.75800000000001</v>
      </c>
      <c r="AI324" s="36">
        <v>227.06800000000001</v>
      </c>
      <c r="AJ324" s="36">
        <v>238.83699999999999</v>
      </c>
      <c r="AK324" s="36">
        <v>242.16499999999999</v>
      </c>
      <c r="AL324" s="36">
        <v>244.785</v>
      </c>
      <c r="AM324" s="36">
        <v>244.785</v>
      </c>
      <c r="AN324" s="36">
        <v>234.09800000000001</v>
      </c>
      <c r="AO324" s="36">
        <v>233.7</v>
      </c>
      <c r="AP324" s="36">
        <v>235.38</v>
      </c>
      <c r="AQ324" s="36">
        <v>339.3</v>
      </c>
      <c r="AR324" s="36">
        <v>339.3</v>
      </c>
      <c r="AS324" s="36">
        <v>338.3</v>
      </c>
      <c r="AT324" s="36">
        <v>351.3</v>
      </c>
      <c r="AU324" s="36">
        <v>362.4</v>
      </c>
      <c r="AV324" s="36">
        <v>370.5</v>
      </c>
      <c r="AW324" s="36">
        <v>370.5</v>
      </c>
      <c r="AX324" s="36">
        <v>480.6</v>
      </c>
      <c r="AY324" s="36">
        <v>531.70000000000005</v>
      </c>
      <c r="AZ324" s="36">
        <v>542.20000000000005</v>
      </c>
      <c r="BA324" s="36">
        <v>727.3</v>
      </c>
      <c r="BB324" s="36">
        <v>727.3</v>
      </c>
      <c r="BC324" s="36">
        <v>743.1</v>
      </c>
      <c r="BD324" s="36">
        <v>755.9</v>
      </c>
      <c r="BE324" s="36">
        <v>797.9</v>
      </c>
      <c r="BF324" s="36">
        <v>784.1</v>
      </c>
      <c r="BG324" s="36">
        <v>784.1</v>
      </c>
      <c r="BH324" s="36">
        <v>785.1</v>
      </c>
      <c r="BI324" s="36">
        <v>784.5</v>
      </c>
      <c r="BJ324" s="36">
        <v>783.7</v>
      </c>
      <c r="BK324" s="36">
        <v>772.2</v>
      </c>
      <c r="BL324" s="36">
        <v>772.2</v>
      </c>
      <c r="BM324" s="36">
        <v>778</v>
      </c>
      <c r="BN324" s="36">
        <v>899</v>
      </c>
      <c r="BO324" s="36">
        <v>893</v>
      </c>
      <c r="BP324" s="36">
        <v>906</v>
      </c>
      <c r="BQ324" s="36">
        <v>906</v>
      </c>
      <c r="BR324" s="36">
        <v>910</v>
      </c>
      <c r="BS324" s="36">
        <v>885</v>
      </c>
      <c r="BT324" s="36">
        <v>899</v>
      </c>
      <c r="BU324" s="36">
        <v>903</v>
      </c>
      <c r="BV324" s="36">
        <v>903</v>
      </c>
      <c r="BW324" s="36">
        <v>916</v>
      </c>
      <c r="BX324" s="36">
        <v>962</v>
      </c>
      <c r="BY324" s="6"/>
      <c r="BZ324" s="6"/>
      <c r="CA324" s="37">
        <f>BX324+$CA$368</f>
        <v>1110</v>
      </c>
      <c r="CB324" s="37">
        <f>CA324</f>
        <v>1110</v>
      </c>
      <c r="CC324" s="37">
        <f>CB324</f>
        <v>1110</v>
      </c>
      <c r="CD324" s="37">
        <f>CC324</f>
        <v>1110</v>
      </c>
      <c r="CE324" s="37">
        <f>CD324</f>
        <v>1110</v>
      </c>
      <c r="CF324" s="6"/>
    </row>
    <row r="325" spans="2:84" ht="15" customHeight="1" x14ac:dyDescent="0.25">
      <c r="B325" s="17" t="s">
        <v>513</v>
      </c>
      <c r="C325" s="46">
        <f t="shared" ref="C325:AH325" si="414">IF(ISNUMBER(C314),C319+SUM(C320:C324),"")</f>
        <v>1252.4490000000001</v>
      </c>
      <c r="D325" s="46">
        <f t="shared" si="414"/>
        <v>1737.8140000000001</v>
      </c>
      <c r="E325" s="46">
        <f t="shared" si="414"/>
        <v>1965.2419999999997</v>
      </c>
      <c r="F325" s="46">
        <f t="shared" si="414"/>
        <v>1832.8719999999998</v>
      </c>
      <c r="G325" s="46">
        <f t="shared" si="414"/>
        <v>1606.4839999999999</v>
      </c>
      <c r="H325" s="46">
        <f t="shared" si="414"/>
        <v>1698.9580000000003</v>
      </c>
      <c r="I325" s="46">
        <f t="shared" si="414"/>
        <v>1710.6270000000002</v>
      </c>
      <c r="J325" s="46">
        <f t="shared" si="414"/>
        <v>1744.7179999999998</v>
      </c>
      <c r="K325" s="46">
        <f t="shared" si="414"/>
        <v>1790.4519999999998</v>
      </c>
      <c r="L325" s="46">
        <f t="shared" si="414"/>
        <v>1838.222</v>
      </c>
      <c r="M325" s="46">
        <f t="shared" si="414"/>
        <v>1684.9070000000002</v>
      </c>
      <c r="N325" s="46">
        <f t="shared" si="414"/>
        <v>1684.9070000000002</v>
      </c>
      <c r="O325" s="46">
        <f t="shared" si="414"/>
        <v>1710.9640000000002</v>
      </c>
      <c r="P325" s="46">
        <f t="shared" si="414"/>
        <v>1789.0439999999999</v>
      </c>
      <c r="Q325" s="46">
        <f t="shared" si="414"/>
        <v>2963.2449999999999</v>
      </c>
      <c r="R325" s="46">
        <f t="shared" si="414"/>
        <v>3111.6440000000002</v>
      </c>
      <c r="S325" s="46">
        <f t="shared" si="414"/>
        <v>3111.6440000000002</v>
      </c>
      <c r="T325" s="46">
        <f t="shared" si="414"/>
        <v>3075.4629999999997</v>
      </c>
      <c r="U325" s="46">
        <f t="shared" si="414"/>
        <v>3189.2209999999995</v>
      </c>
      <c r="V325" s="46">
        <f t="shared" si="414"/>
        <v>3185.8679999999995</v>
      </c>
      <c r="W325" s="46">
        <f t="shared" si="414"/>
        <v>2901.5549999999994</v>
      </c>
      <c r="X325" s="46">
        <f t="shared" si="414"/>
        <v>2901.5549999999994</v>
      </c>
      <c r="Y325" s="46">
        <f t="shared" si="414"/>
        <v>3112.6509999999994</v>
      </c>
      <c r="Z325" s="46">
        <f t="shared" si="414"/>
        <v>3216.8049999999994</v>
      </c>
      <c r="AA325" s="46">
        <f t="shared" si="414"/>
        <v>3214.8029999999999</v>
      </c>
      <c r="AB325" s="46">
        <f t="shared" si="414"/>
        <v>3158.3149999999996</v>
      </c>
      <c r="AC325" s="46">
        <f t="shared" si="414"/>
        <v>3158.3149999999996</v>
      </c>
      <c r="AD325" s="46">
        <f t="shared" si="414"/>
        <v>3317.837</v>
      </c>
      <c r="AE325" s="46">
        <f t="shared" si="414"/>
        <v>3315.3289999999997</v>
      </c>
      <c r="AF325" s="46">
        <f t="shared" si="414"/>
        <v>3232.8029999999999</v>
      </c>
      <c r="AG325" s="46">
        <f t="shared" si="414"/>
        <v>4310.0339999999997</v>
      </c>
      <c r="AH325" s="46">
        <f t="shared" si="414"/>
        <v>4310.0339999999997</v>
      </c>
      <c r="AI325" s="46">
        <f t="shared" ref="AI325:BN325" si="415">IF(ISNUMBER(AI314),AI319+SUM(AI320:AI324),"")</f>
        <v>4268.22</v>
      </c>
      <c r="AJ325" s="46">
        <f t="shared" si="415"/>
        <v>4741.2820000000002</v>
      </c>
      <c r="AK325" s="46">
        <f t="shared" si="415"/>
        <v>4645.8429999999998</v>
      </c>
      <c r="AL325" s="46">
        <f t="shared" si="415"/>
        <v>4602.0069999999996</v>
      </c>
      <c r="AM325" s="46">
        <f t="shared" si="415"/>
        <v>4602.0069999999996</v>
      </c>
      <c r="AN325" s="46">
        <f t="shared" si="415"/>
        <v>5072.9110000000001</v>
      </c>
      <c r="AO325" s="46">
        <f t="shared" si="415"/>
        <v>5066.3869999999997</v>
      </c>
      <c r="AP325" s="46">
        <f t="shared" si="415"/>
        <v>4919.0469999999996</v>
      </c>
      <c r="AQ325" s="46">
        <f t="shared" si="415"/>
        <v>4778.3</v>
      </c>
      <c r="AR325" s="46">
        <f t="shared" si="415"/>
        <v>4778.3</v>
      </c>
      <c r="AS325" s="46">
        <f t="shared" si="415"/>
        <v>5204</v>
      </c>
      <c r="AT325" s="46">
        <f t="shared" si="415"/>
        <v>4733</v>
      </c>
      <c r="AU325" s="46">
        <f t="shared" si="415"/>
        <v>4676.5</v>
      </c>
      <c r="AV325" s="46">
        <f t="shared" si="415"/>
        <v>4687.5000000000009</v>
      </c>
      <c r="AW325" s="46">
        <f t="shared" si="415"/>
        <v>4687.5000000000009</v>
      </c>
      <c r="AX325" s="46">
        <f t="shared" si="415"/>
        <v>4732.6000000000004</v>
      </c>
      <c r="AY325" s="46">
        <f t="shared" si="415"/>
        <v>5094.8999999999996</v>
      </c>
      <c r="AZ325" s="46">
        <f t="shared" si="415"/>
        <v>7427.9999999999991</v>
      </c>
      <c r="BA325" s="46">
        <f t="shared" si="415"/>
        <v>7855.4</v>
      </c>
      <c r="BB325" s="46">
        <f t="shared" si="415"/>
        <v>7855.4</v>
      </c>
      <c r="BC325" s="46">
        <f t="shared" si="415"/>
        <v>7810.4000000000015</v>
      </c>
      <c r="BD325" s="46">
        <f t="shared" si="415"/>
        <v>7770.7</v>
      </c>
      <c r="BE325" s="46">
        <f t="shared" si="415"/>
        <v>7791.8999999999987</v>
      </c>
      <c r="BF325" s="46">
        <f t="shared" si="415"/>
        <v>7820.7999999999993</v>
      </c>
      <c r="BG325" s="46">
        <f t="shared" si="415"/>
        <v>7820.7999999999993</v>
      </c>
      <c r="BH325" s="46">
        <f t="shared" si="415"/>
        <v>7713.4000000000005</v>
      </c>
      <c r="BI325" s="46">
        <f t="shared" si="415"/>
        <v>7822.8000000000011</v>
      </c>
      <c r="BJ325" s="46">
        <f t="shared" si="415"/>
        <v>7113</v>
      </c>
      <c r="BK325" s="46">
        <f t="shared" si="415"/>
        <v>7089.3</v>
      </c>
      <c r="BL325" s="46">
        <f t="shared" si="415"/>
        <v>7089.3</v>
      </c>
      <c r="BM325" s="46">
        <f t="shared" si="415"/>
        <v>7363</v>
      </c>
      <c r="BN325" s="46">
        <f t="shared" si="415"/>
        <v>7493</v>
      </c>
      <c r="BO325" s="46">
        <f t="shared" ref="BO325:BX325" si="416">IF(ISNUMBER(BO314),BO319+SUM(BO320:BO324),"")</f>
        <v>7298</v>
      </c>
      <c r="BP325" s="46">
        <f t="shared" si="416"/>
        <v>8714</v>
      </c>
      <c r="BQ325" s="46">
        <f t="shared" si="416"/>
        <v>8714</v>
      </c>
      <c r="BR325" s="46">
        <f t="shared" si="416"/>
        <v>8640</v>
      </c>
      <c r="BS325" s="46">
        <f t="shared" si="416"/>
        <v>8704</v>
      </c>
      <c r="BT325" s="46">
        <f t="shared" si="416"/>
        <v>8915</v>
      </c>
      <c r="BU325" s="46">
        <f t="shared" si="416"/>
        <v>8677</v>
      </c>
      <c r="BV325" s="46">
        <f t="shared" si="416"/>
        <v>8677</v>
      </c>
      <c r="BW325" s="46">
        <f t="shared" si="416"/>
        <v>9200</v>
      </c>
      <c r="BX325" s="46">
        <f t="shared" si="416"/>
        <v>9757</v>
      </c>
      <c r="BY325" s="57"/>
      <c r="BZ325" s="57"/>
      <c r="CA325" s="34">
        <f>IF(ISNUMBER(CA314),CA319+SUM(CA320:CA324),"")</f>
        <v>18814.292778183233</v>
      </c>
      <c r="CB325" s="34">
        <f>IF(ISNUMBER(CB314),CB319+SUM(CB320:CB324),"")</f>
        <v>17515.536734131951</v>
      </c>
      <c r="CC325" s="34">
        <f>IF(ISNUMBER(CC314),CC319+SUM(CC320:CC324),"")</f>
        <v>17112.442854497636</v>
      </c>
      <c r="CD325" s="34">
        <f>IF(ISNUMBER(CD314),CD319+SUM(CD320:CD324),"")</f>
        <v>17074.64172720756</v>
      </c>
      <c r="CE325" s="34">
        <f>IF(ISNUMBER(CE314),CE319+SUM(CE320:CE324),"")</f>
        <v>18023.074570046425</v>
      </c>
      <c r="CF325" s="6"/>
    </row>
    <row r="326" spans="2:84" ht="15" customHeight="1" x14ac:dyDescent="0.25">
      <c r="B326" s="26" t="s">
        <v>514</v>
      </c>
      <c r="CF326" s="6"/>
    </row>
    <row r="327" spans="2:84" ht="15" customHeight="1" x14ac:dyDescent="0.25">
      <c r="B327" s="26" t="s">
        <v>515</v>
      </c>
      <c r="C327" s="36">
        <v>147.93899999999999</v>
      </c>
      <c r="D327" s="36">
        <v>51.366999999999997</v>
      </c>
      <c r="E327" s="36">
        <v>78.959000000000003</v>
      </c>
      <c r="F327" s="36">
        <v>381.62599999999998</v>
      </c>
      <c r="G327" s="36">
        <v>396.94</v>
      </c>
      <c r="H327" s="36">
        <v>402.32</v>
      </c>
      <c r="I327" s="36">
        <v>415.11599999999999</v>
      </c>
      <c r="J327" s="36">
        <v>421.483</v>
      </c>
      <c r="K327" s="36">
        <v>430.39699999999999</v>
      </c>
      <c r="L327" s="36">
        <v>431.58300000000003</v>
      </c>
      <c r="M327" s="36">
        <v>433.25299999999999</v>
      </c>
      <c r="N327" s="36">
        <v>433.25299999999999</v>
      </c>
      <c r="O327" s="36">
        <v>443.01299999999998</v>
      </c>
      <c r="P327" s="36">
        <v>457.452</v>
      </c>
      <c r="Q327" s="36">
        <v>3240.38</v>
      </c>
      <c r="R327" s="36">
        <v>3244.29</v>
      </c>
      <c r="S327" s="36">
        <v>3244.29</v>
      </c>
      <c r="T327" s="36">
        <v>3256.482</v>
      </c>
      <c r="U327" s="36">
        <v>3274.7660000000001</v>
      </c>
      <c r="V327" s="36">
        <v>3283.86</v>
      </c>
      <c r="W327" s="36">
        <v>3288.47</v>
      </c>
      <c r="X327" s="36">
        <v>3288.47</v>
      </c>
      <c r="Y327" s="36">
        <v>3302.8910000000001</v>
      </c>
      <c r="Z327" s="36">
        <v>3319.4920000000002</v>
      </c>
      <c r="AA327" s="36">
        <v>3327.1640000000002</v>
      </c>
      <c r="AB327" s="36">
        <v>3335.0909999999999</v>
      </c>
      <c r="AC327" s="36">
        <v>3335.0909999999999</v>
      </c>
      <c r="AD327" s="36">
        <v>3350.4389999999999</v>
      </c>
      <c r="AE327" s="36">
        <v>3356.6190000000001</v>
      </c>
      <c r="AF327" s="36">
        <v>3363.3710000000001</v>
      </c>
      <c r="AG327" s="36">
        <v>3368.6350000000002</v>
      </c>
      <c r="AH327" s="36">
        <v>3368.6350000000002</v>
      </c>
      <c r="AI327" s="36">
        <v>3381.9079999999999</v>
      </c>
      <c r="AJ327" s="36">
        <v>3389.6570000000002</v>
      </c>
      <c r="AK327" s="36">
        <v>3391.759</v>
      </c>
      <c r="AL327" s="36">
        <v>3396.683</v>
      </c>
      <c r="AM327" s="36">
        <v>3396.683</v>
      </c>
      <c r="AN327" s="36">
        <v>3407.0810000000001</v>
      </c>
      <c r="AO327" s="36">
        <v>3417.2130000000002</v>
      </c>
      <c r="AP327" s="36">
        <v>3415.09</v>
      </c>
      <c r="AQ327" s="36">
        <v>3419.4</v>
      </c>
      <c r="AR327" s="36">
        <v>3419.4</v>
      </c>
      <c r="AS327" s="36">
        <v>3423.7</v>
      </c>
      <c r="AT327" s="36">
        <v>3431.6</v>
      </c>
      <c r="AU327" s="36">
        <v>3434.5</v>
      </c>
      <c r="AV327" s="36">
        <v>3441.4</v>
      </c>
      <c r="AW327" s="36">
        <v>3441.4</v>
      </c>
      <c r="AX327" s="36">
        <v>3442.3</v>
      </c>
      <c r="AY327" s="36">
        <v>3451.7</v>
      </c>
      <c r="AZ327" s="36">
        <v>3463.9</v>
      </c>
      <c r="BA327" s="36">
        <v>3471</v>
      </c>
      <c r="BB327" s="36">
        <v>3471</v>
      </c>
      <c r="BC327" s="36">
        <v>3463.2</v>
      </c>
      <c r="BD327" s="36">
        <v>3475</v>
      </c>
      <c r="BE327" s="36">
        <v>3483.8</v>
      </c>
      <c r="BF327" s="36">
        <v>3489.6</v>
      </c>
      <c r="BG327" s="36">
        <v>3489.6</v>
      </c>
      <c r="BH327" s="36">
        <v>3487.8</v>
      </c>
      <c r="BI327" s="36">
        <v>3501.4</v>
      </c>
      <c r="BJ327" s="36">
        <v>3511.8</v>
      </c>
      <c r="BK327" s="36">
        <v>3519.8</v>
      </c>
      <c r="BL327" s="36">
        <v>3519.8</v>
      </c>
      <c r="BM327" s="36">
        <v>3513</v>
      </c>
      <c r="BN327" s="36">
        <v>3530</v>
      </c>
      <c r="BO327" s="36">
        <v>3545</v>
      </c>
      <c r="BP327" s="36">
        <v>3551</v>
      </c>
      <c r="BQ327" s="36">
        <v>3551</v>
      </c>
      <c r="BR327" s="36">
        <v>3564</v>
      </c>
      <c r="BS327" s="36">
        <v>3563</v>
      </c>
      <c r="BT327" s="36">
        <v>3568</v>
      </c>
      <c r="BU327" s="36">
        <v>3570</v>
      </c>
      <c r="BV327" s="36">
        <v>3570</v>
      </c>
      <c r="BW327" s="36">
        <v>3579</v>
      </c>
      <c r="BX327" s="36">
        <v>3588</v>
      </c>
      <c r="BY327" s="6"/>
      <c r="BZ327" s="6"/>
      <c r="CA327" s="37">
        <f>BX327+(CA256-(BW256+BX256))+(CA271-(BW271+BX271))+$CA$355</f>
        <v>9962.7451818664376</v>
      </c>
      <c r="CB327" s="37">
        <f>CA327+CB256+CB271</f>
        <v>10001.462915194783</v>
      </c>
      <c r="CC327" s="37">
        <f>CB327+CC256+CC271</f>
        <v>10045.680345702804</v>
      </c>
      <c r="CD327" s="37">
        <f>CC327+CD256+CD271</f>
        <v>10096.135746017202</v>
      </c>
      <c r="CE327" s="37">
        <f>CD327+CE256+CE271</f>
        <v>10153.536148928639</v>
      </c>
      <c r="CF327" s="20" t="s">
        <v>516</v>
      </c>
    </row>
    <row r="328" spans="2:84" ht="15" customHeight="1" x14ac:dyDescent="0.25">
      <c r="B328" s="26" t="s">
        <v>517</v>
      </c>
      <c r="C328" s="36">
        <v>1142.0840000000001</v>
      </c>
      <c r="D328" s="36">
        <v>931.65599999999995</v>
      </c>
      <c r="E328" s="36">
        <v>1044.4169999999999</v>
      </c>
      <c r="F328" s="36">
        <v>1058.6980000000001</v>
      </c>
      <c r="G328" s="36">
        <v>1082.1600000000001</v>
      </c>
      <c r="H328" s="36">
        <v>1090.8910000000001</v>
      </c>
      <c r="I328" s="36">
        <v>1101.598</v>
      </c>
      <c r="J328" s="36">
        <v>1055.2560000000001</v>
      </c>
      <c r="K328" s="36">
        <v>1077.998</v>
      </c>
      <c r="L328" s="36">
        <v>1131.2760000000001</v>
      </c>
      <c r="M328" s="36">
        <v>1148.7380000000001</v>
      </c>
      <c r="N328" s="36">
        <v>1148.7380000000001</v>
      </c>
      <c r="O328" s="36">
        <v>1108.5160000000001</v>
      </c>
      <c r="P328" s="36">
        <v>1149.3879999999999</v>
      </c>
      <c r="Q328" s="36">
        <v>1176.1210000000001</v>
      </c>
      <c r="R328" s="36">
        <v>1213.0350000000001</v>
      </c>
      <c r="S328" s="36">
        <v>1213.0350000000001</v>
      </c>
      <c r="T328" s="36">
        <v>1190.807</v>
      </c>
      <c r="U328" s="36">
        <v>1146.8209999999999</v>
      </c>
      <c r="V328" s="36">
        <v>1079.7639999999999</v>
      </c>
      <c r="W328" s="36">
        <v>874.43600000000004</v>
      </c>
      <c r="X328" s="36">
        <v>874.43600000000004</v>
      </c>
      <c r="Y328" s="36">
        <v>743.59299999999996</v>
      </c>
      <c r="Z328" s="36">
        <v>800.02800000000002</v>
      </c>
      <c r="AA328" s="36">
        <v>932.67899999999997</v>
      </c>
      <c r="AB328" s="36">
        <v>935.57399999999996</v>
      </c>
      <c r="AC328" s="36">
        <v>935.57399999999996</v>
      </c>
      <c r="AD328" s="36">
        <v>851.35400000000004</v>
      </c>
      <c r="AE328" s="36">
        <v>967.05799999999999</v>
      </c>
      <c r="AF328" s="36">
        <v>1090.778</v>
      </c>
      <c r="AG328" s="36">
        <v>1440.069</v>
      </c>
      <c r="AH328" s="36">
        <v>1440.069</v>
      </c>
      <c r="AI328" s="36">
        <v>1422.2070000000001</v>
      </c>
      <c r="AJ328" s="36">
        <v>1579.674</v>
      </c>
      <c r="AK328" s="36">
        <v>1669.126</v>
      </c>
      <c r="AL328" s="36">
        <v>1693.259</v>
      </c>
      <c r="AM328" s="36">
        <v>1693.259</v>
      </c>
      <c r="AN328" s="36">
        <v>1705.7170000000001</v>
      </c>
      <c r="AO328" s="36">
        <v>1814.9739999999999</v>
      </c>
      <c r="AP328" s="36">
        <v>2021.6469999999999</v>
      </c>
      <c r="AQ328" s="36">
        <v>2077.1999999999998</v>
      </c>
      <c r="AR328" s="36">
        <v>2077.1999999999998</v>
      </c>
      <c r="AS328" s="36">
        <v>2018.6</v>
      </c>
      <c r="AT328" s="36">
        <v>2201.6999999999998</v>
      </c>
      <c r="AU328" s="36">
        <v>2460.5</v>
      </c>
      <c r="AV328" s="36">
        <v>2607.6999999999998</v>
      </c>
      <c r="AW328" s="36">
        <v>2607.6999999999998</v>
      </c>
      <c r="AX328" s="36">
        <v>2637.2</v>
      </c>
      <c r="AY328" s="36">
        <v>2827.2</v>
      </c>
      <c r="AZ328" s="36">
        <v>3043.4</v>
      </c>
      <c r="BA328" s="36">
        <v>3161.9</v>
      </c>
      <c r="BB328" s="36">
        <v>3161.9</v>
      </c>
      <c r="BC328" s="36">
        <v>3094.9</v>
      </c>
      <c r="BD328" s="36">
        <v>3423.1</v>
      </c>
      <c r="BE328" s="36">
        <v>3577</v>
      </c>
      <c r="BF328" s="36">
        <v>3719.4</v>
      </c>
      <c r="BG328" s="36">
        <v>3719.4</v>
      </c>
      <c r="BH328" s="36">
        <v>3724.6</v>
      </c>
      <c r="BI328" s="36">
        <v>3955.4</v>
      </c>
      <c r="BJ328" s="36">
        <v>4326</v>
      </c>
      <c r="BK328" s="36">
        <v>4562.6000000000004</v>
      </c>
      <c r="BL328" s="36">
        <v>4562.6000000000004</v>
      </c>
      <c r="BM328" s="36">
        <v>5411</v>
      </c>
      <c r="BN328" s="36">
        <v>5356</v>
      </c>
      <c r="BO328" s="36">
        <v>5670</v>
      </c>
      <c r="BP328" s="36">
        <v>5915</v>
      </c>
      <c r="BQ328" s="36">
        <v>5915</v>
      </c>
      <c r="BR328" s="36">
        <v>5529</v>
      </c>
      <c r="BS328" s="36">
        <v>5809</v>
      </c>
      <c r="BT328" s="36">
        <v>6172</v>
      </c>
      <c r="BU328" s="36">
        <v>6402</v>
      </c>
      <c r="BV328" s="36">
        <v>6402</v>
      </c>
      <c r="BW328" s="36">
        <v>7663</v>
      </c>
      <c r="BX328" s="36">
        <v>7864</v>
      </c>
      <c r="BY328" s="6"/>
      <c r="BZ328" s="6"/>
      <c r="CA328" s="37">
        <f>BX328+BY178+BZ178+(CA269-(BW269+BX269))+(CA270-(BW270+BX270))</f>
        <v>8306.7019492993859</v>
      </c>
      <c r="CB328" s="37">
        <f>CA328+CB178+CB269+CB270</f>
        <v>9341.0347104261145</v>
      </c>
      <c r="CC328" s="37">
        <f>CB328+CC178+CC269+CC270</f>
        <v>10763.708700401368</v>
      </c>
      <c r="CD328" s="37">
        <f>CC328+CD178+CD269+CD270</f>
        <v>10844.83512008572</v>
      </c>
      <c r="CE328" s="37">
        <f>CD328+CE178+CE269+CE270</f>
        <v>10224.267694644115</v>
      </c>
      <c r="CF328" s="20" t="s">
        <v>518</v>
      </c>
    </row>
    <row r="329" spans="2:84" ht="15" customHeight="1" x14ac:dyDescent="0.25">
      <c r="B329" s="26" t="s">
        <v>519</v>
      </c>
      <c r="C329" s="36">
        <v>-36.051000000000002</v>
      </c>
      <c r="D329" s="36">
        <v>-37.031999999999996</v>
      </c>
      <c r="E329" s="36">
        <v>-101.672</v>
      </c>
      <c r="F329" s="36">
        <v>-75.084000000000003</v>
      </c>
      <c r="G329" s="36">
        <v>-53.66</v>
      </c>
      <c r="H329" s="36">
        <v>-83.89</v>
      </c>
      <c r="I329" s="36">
        <v>-106.169</v>
      </c>
      <c r="J329" s="36">
        <v>-104.94799999999999</v>
      </c>
      <c r="K329" s="36">
        <v>-106.25700000000001</v>
      </c>
      <c r="L329" s="36">
        <v>-102.71</v>
      </c>
      <c r="M329" s="36">
        <v>-44.113999999999997</v>
      </c>
      <c r="N329" s="36">
        <v>-44.113999999999997</v>
      </c>
      <c r="O329" s="36">
        <v>-42.744</v>
      </c>
      <c r="P329" s="36">
        <v>-42.140999999999998</v>
      </c>
      <c r="Q329" s="36">
        <v>-43.280999999999999</v>
      </c>
      <c r="R329" s="36">
        <v>-106.15900000000001</v>
      </c>
      <c r="S329" s="36">
        <v>-106.15900000000001</v>
      </c>
      <c r="T329" s="36">
        <v>-106.723</v>
      </c>
      <c r="U329" s="36">
        <v>-112.81399999999999</v>
      </c>
      <c r="V329" s="36">
        <v>-112.742</v>
      </c>
      <c r="W329" s="36">
        <v>-105.622</v>
      </c>
      <c r="X329" s="36">
        <v>-105.622</v>
      </c>
      <c r="Y329" s="36">
        <v>-103.833</v>
      </c>
      <c r="Z329" s="36">
        <v>-106.068</v>
      </c>
      <c r="AA329" s="36">
        <v>-104.511</v>
      </c>
      <c r="AB329" s="36">
        <v>-130.68700000000001</v>
      </c>
      <c r="AC329" s="36">
        <v>-130.68700000000001</v>
      </c>
      <c r="AD329" s="36">
        <v>-128.42500000000001</v>
      </c>
      <c r="AE329" s="36">
        <v>-125.90600000000001</v>
      </c>
      <c r="AF329" s="36">
        <v>-122.928</v>
      </c>
      <c r="AG329" s="36">
        <v>-129.10400000000001</v>
      </c>
      <c r="AH329" s="36">
        <v>-129.10400000000001</v>
      </c>
      <c r="AI329" s="36">
        <v>-127.485</v>
      </c>
      <c r="AJ329" s="36">
        <v>-125.883</v>
      </c>
      <c r="AK329" s="36">
        <v>-121.491</v>
      </c>
      <c r="AL329" s="36">
        <v>-143.57900000000001</v>
      </c>
      <c r="AM329" s="36">
        <v>-143.57900000000001</v>
      </c>
      <c r="AN329" s="36">
        <v>-140.32400000000001</v>
      </c>
      <c r="AO329" s="36">
        <v>-137.334</v>
      </c>
      <c r="AP329" s="36">
        <v>-134.76499999999999</v>
      </c>
      <c r="AQ329" s="36">
        <v>-145.80000000000001</v>
      </c>
      <c r="AR329" s="36">
        <v>-145.80000000000001</v>
      </c>
      <c r="AS329" s="36">
        <v>-145.4</v>
      </c>
      <c r="AT329" s="36">
        <v>-142.19999999999999</v>
      </c>
      <c r="AU329" s="36">
        <v>-138.6</v>
      </c>
      <c r="AV329" s="36">
        <v>-158.4</v>
      </c>
      <c r="AW329" s="36">
        <v>-158.4</v>
      </c>
      <c r="AX329" s="36">
        <v>-155.6</v>
      </c>
      <c r="AY329" s="36">
        <v>-153</v>
      </c>
      <c r="AZ329" s="36">
        <v>-151.4</v>
      </c>
      <c r="BA329" s="36">
        <v>-97.6</v>
      </c>
      <c r="BB329" s="36">
        <v>-97.6</v>
      </c>
      <c r="BC329" s="36">
        <v>-129.19999999999999</v>
      </c>
      <c r="BD329" s="36">
        <v>-128.1</v>
      </c>
      <c r="BE329" s="36">
        <v>-125.1</v>
      </c>
      <c r="BF329" s="36">
        <v>-38.5</v>
      </c>
      <c r="BG329" s="36">
        <v>-38.5</v>
      </c>
      <c r="BH329" s="36">
        <v>-37.4</v>
      </c>
      <c r="BI329" s="36">
        <v>-35.700000000000003</v>
      </c>
      <c r="BJ329" s="36">
        <v>-35.299999999999997</v>
      </c>
      <c r="BK329" s="36">
        <v>-49.2</v>
      </c>
      <c r="BL329" s="36">
        <v>-49.2</v>
      </c>
      <c r="BM329" s="36">
        <v>-49</v>
      </c>
      <c r="BN329" s="36">
        <v>-48</v>
      </c>
      <c r="BO329" s="36">
        <v>-46</v>
      </c>
      <c r="BP329" s="36">
        <v>-13</v>
      </c>
      <c r="BQ329" s="36">
        <v>-13</v>
      </c>
      <c r="BR329" s="36">
        <v>-12</v>
      </c>
      <c r="BS329" s="36">
        <v>-9</v>
      </c>
      <c r="BT329" s="36">
        <v>-5</v>
      </c>
      <c r="BU329" s="36">
        <v>60</v>
      </c>
      <c r="BV329" s="36">
        <v>60</v>
      </c>
      <c r="BW329" s="36">
        <v>53</v>
      </c>
      <c r="BX329" s="36">
        <v>94</v>
      </c>
      <c r="BY329" s="6"/>
      <c r="BZ329" s="6"/>
      <c r="CA329" s="37">
        <f>BX329</f>
        <v>94</v>
      </c>
      <c r="CB329" s="37">
        <f>CA329</f>
        <v>94</v>
      </c>
      <c r="CC329" s="37">
        <f>CB329</f>
        <v>94</v>
      </c>
      <c r="CD329" s="37">
        <f>CC329</f>
        <v>94</v>
      </c>
      <c r="CE329" s="37">
        <f>CD329</f>
        <v>94</v>
      </c>
      <c r="CF329" s="6"/>
    </row>
    <row r="330" spans="2:84" ht="15" customHeight="1" x14ac:dyDescent="0.25">
      <c r="B330" s="17" t="s">
        <v>520</v>
      </c>
      <c r="C330" s="46">
        <f t="shared" ref="C330:AH330" si="417">IF(ISNUMBER(C327),SUM(C327:C329),"")</f>
        <v>1253.9720000000002</v>
      </c>
      <c r="D330" s="46">
        <f t="shared" si="417"/>
        <v>945.99099999999987</v>
      </c>
      <c r="E330" s="46">
        <f t="shared" si="417"/>
        <v>1021.704</v>
      </c>
      <c r="F330" s="46">
        <f t="shared" si="417"/>
        <v>1365.24</v>
      </c>
      <c r="G330" s="46">
        <f t="shared" si="417"/>
        <v>1425.44</v>
      </c>
      <c r="H330" s="46">
        <f t="shared" si="417"/>
        <v>1409.3209999999999</v>
      </c>
      <c r="I330" s="46">
        <f t="shared" si="417"/>
        <v>1410.5449999999998</v>
      </c>
      <c r="J330" s="46">
        <f t="shared" si="417"/>
        <v>1371.7909999999999</v>
      </c>
      <c r="K330" s="46">
        <f t="shared" si="417"/>
        <v>1402.1379999999999</v>
      </c>
      <c r="L330" s="46">
        <f t="shared" si="417"/>
        <v>1460.1490000000001</v>
      </c>
      <c r="M330" s="46">
        <f t="shared" si="417"/>
        <v>1537.877</v>
      </c>
      <c r="N330" s="46">
        <f t="shared" si="417"/>
        <v>1537.877</v>
      </c>
      <c r="O330" s="46">
        <f t="shared" si="417"/>
        <v>1508.7850000000001</v>
      </c>
      <c r="P330" s="46">
        <f t="shared" si="417"/>
        <v>1564.6989999999998</v>
      </c>
      <c r="Q330" s="46">
        <f t="shared" si="417"/>
        <v>4373.22</v>
      </c>
      <c r="R330" s="46">
        <f t="shared" si="417"/>
        <v>4351.1660000000002</v>
      </c>
      <c r="S330" s="46">
        <f t="shared" si="417"/>
        <v>4351.1660000000002</v>
      </c>
      <c r="T330" s="46">
        <f t="shared" si="417"/>
        <v>4340.5659999999998</v>
      </c>
      <c r="U330" s="46">
        <f t="shared" si="417"/>
        <v>4308.7729999999992</v>
      </c>
      <c r="V330" s="46">
        <f t="shared" si="417"/>
        <v>4250.8819999999996</v>
      </c>
      <c r="W330" s="46">
        <f t="shared" si="417"/>
        <v>4057.2840000000001</v>
      </c>
      <c r="X330" s="46">
        <f t="shared" si="417"/>
        <v>4057.2840000000001</v>
      </c>
      <c r="Y330" s="46">
        <f t="shared" si="417"/>
        <v>3942.6509999999998</v>
      </c>
      <c r="Z330" s="46">
        <f t="shared" si="417"/>
        <v>4013.4520000000002</v>
      </c>
      <c r="AA330" s="46">
        <f t="shared" si="417"/>
        <v>4155.3319999999994</v>
      </c>
      <c r="AB330" s="46">
        <f t="shared" si="417"/>
        <v>4139.9780000000001</v>
      </c>
      <c r="AC330" s="46">
        <f t="shared" si="417"/>
        <v>4139.9780000000001</v>
      </c>
      <c r="AD330" s="46">
        <f t="shared" si="417"/>
        <v>4073.3679999999995</v>
      </c>
      <c r="AE330" s="46">
        <f t="shared" si="417"/>
        <v>4197.7709999999997</v>
      </c>
      <c r="AF330" s="46">
        <f t="shared" si="417"/>
        <v>4331.2210000000005</v>
      </c>
      <c r="AG330" s="46">
        <f t="shared" si="417"/>
        <v>4679.5999999999995</v>
      </c>
      <c r="AH330" s="46">
        <f t="shared" si="417"/>
        <v>4679.5999999999995</v>
      </c>
      <c r="AI330" s="46">
        <f t="shared" ref="AI330:BN330" si="418">IF(ISNUMBER(AI327),SUM(AI327:AI329),"")</f>
        <v>4676.63</v>
      </c>
      <c r="AJ330" s="46">
        <f t="shared" si="418"/>
        <v>4843.4480000000003</v>
      </c>
      <c r="AK330" s="46">
        <f t="shared" si="418"/>
        <v>4939.3940000000002</v>
      </c>
      <c r="AL330" s="46">
        <f t="shared" si="418"/>
        <v>4946.3630000000003</v>
      </c>
      <c r="AM330" s="46">
        <f t="shared" si="418"/>
        <v>4946.3630000000003</v>
      </c>
      <c r="AN330" s="46">
        <f t="shared" si="418"/>
        <v>4972.4740000000011</v>
      </c>
      <c r="AO330" s="46">
        <f t="shared" si="418"/>
        <v>5094.8530000000001</v>
      </c>
      <c r="AP330" s="46">
        <f t="shared" si="418"/>
        <v>5301.9719999999998</v>
      </c>
      <c r="AQ330" s="46">
        <f t="shared" si="418"/>
        <v>5350.8</v>
      </c>
      <c r="AR330" s="46">
        <f t="shared" si="418"/>
        <v>5350.8</v>
      </c>
      <c r="AS330" s="46">
        <f t="shared" si="418"/>
        <v>5296.9</v>
      </c>
      <c r="AT330" s="46">
        <f t="shared" si="418"/>
        <v>5491.0999999999995</v>
      </c>
      <c r="AU330" s="46">
        <f t="shared" si="418"/>
        <v>5756.4</v>
      </c>
      <c r="AV330" s="46">
        <f t="shared" si="418"/>
        <v>5890.7000000000007</v>
      </c>
      <c r="AW330" s="46">
        <f t="shared" si="418"/>
        <v>5890.7000000000007</v>
      </c>
      <c r="AX330" s="46">
        <f t="shared" si="418"/>
        <v>5923.9</v>
      </c>
      <c r="AY330" s="46">
        <f t="shared" si="418"/>
        <v>6125.9</v>
      </c>
      <c r="AZ330" s="46">
        <f t="shared" si="418"/>
        <v>6355.9000000000005</v>
      </c>
      <c r="BA330" s="46">
        <f t="shared" si="418"/>
        <v>6535.2999999999993</v>
      </c>
      <c r="BB330" s="46">
        <f t="shared" si="418"/>
        <v>6535.2999999999993</v>
      </c>
      <c r="BC330" s="46">
        <f t="shared" si="418"/>
        <v>6428.9000000000005</v>
      </c>
      <c r="BD330" s="46">
        <f t="shared" si="418"/>
        <v>6770</v>
      </c>
      <c r="BE330" s="46">
        <f t="shared" si="418"/>
        <v>6935.7</v>
      </c>
      <c r="BF330" s="46">
        <f t="shared" si="418"/>
        <v>7170.5</v>
      </c>
      <c r="BG330" s="46">
        <f t="shared" si="418"/>
        <v>7170.5</v>
      </c>
      <c r="BH330" s="46">
        <f t="shared" si="418"/>
        <v>7175</v>
      </c>
      <c r="BI330" s="46">
        <f t="shared" si="418"/>
        <v>7421.1</v>
      </c>
      <c r="BJ330" s="46">
        <f t="shared" si="418"/>
        <v>7802.5</v>
      </c>
      <c r="BK330" s="46">
        <f t="shared" si="418"/>
        <v>8033.2000000000007</v>
      </c>
      <c r="BL330" s="46">
        <f t="shared" si="418"/>
        <v>8033.2000000000007</v>
      </c>
      <c r="BM330" s="46">
        <f t="shared" si="418"/>
        <v>8875</v>
      </c>
      <c r="BN330" s="46">
        <f t="shared" si="418"/>
        <v>8838</v>
      </c>
      <c r="BO330" s="46">
        <f t="shared" ref="BO330:BX330" si="419">IF(ISNUMBER(BO327),SUM(BO327:BO329),"")</f>
        <v>9169</v>
      </c>
      <c r="BP330" s="46">
        <f t="shared" si="419"/>
        <v>9453</v>
      </c>
      <c r="BQ330" s="46">
        <f t="shared" si="419"/>
        <v>9453</v>
      </c>
      <c r="BR330" s="46">
        <f t="shared" si="419"/>
        <v>9081</v>
      </c>
      <c r="BS330" s="46">
        <f t="shared" si="419"/>
        <v>9363</v>
      </c>
      <c r="BT330" s="46">
        <f t="shared" si="419"/>
        <v>9735</v>
      </c>
      <c r="BU330" s="46">
        <f t="shared" si="419"/>
        <v>10032</v>
      </c>
      <c r="BV330" s="46">
        <f t="shared" si="419"/>
        <v>10032</v>
      </c>
      <c r="BW330" s="46">
        <f t="shared" si="419"/>
        <v>11295</v>
      </c>
      <c r="BX330" s="46">
        <f t="shared" si="419"/>
        <v>11546</v>
      </c>
      <c r="BY330" s="57"/>
      <c r="BZ330" s="57"/>
      <c r="CA330" s="34">
        <f>IF(ISNUMBER(CA327),SUM(CA327:CA329),"")</f>
        <v>18363.447131165824</v>
      </c>
      <c r="CB330" s="34">
        <f>IF(ISNUMBER(CB327),SUM(CB327:CB329),"")</f>
        <v>19436.497625620897</v>
      </c>
      <c r="CC330" s="34">
        <f>IF(ISNUMBER(CC327),SUM(CC327:CC329),"")</f>
        <v>20903.389046104174</v>
      </c>
      <c r="CD330" s="34">
        <f>IF(ISNUMBER(CD327),SUM(CD327:CD329),"")</f>
        <v>21034.970866102922</v>
      </c>
      <c r="CE330" s="34">
        <f>IF(ISNUMBER(CE327),SUM(CE327:CE329),"")</f>
        <v>20471.803843572754</v>
      </c>
      <c r="CF330" s="6"/>
    </row>
    <row r="331" spans="2:84" ht="15" customHeight="1" x14ac:dyDescent="0.25">
      <c r="B331" s="26" t="s">
        <v>521</v>
      </c>
      <c r="E331" s="36">
        <v>45.555999999999997</v>
      </c>
      <c r="F331" s="36">
        <v>41.170999999999999</v>
      </c>
      <c r="G331" s="36">
        <v>42.819000000000003</v>
      </c>
      <c r="H331" s="36">
        <v>39.542999999999999</v>
      </c>
      <c r="I331" s="36">
        <v>39.753999999999998</v>
      </c>
      <c r="J331" s="36">
        <v>38.265999999999998</v>
      </c>
      <c r="K331" s="36">
        <v>38.529000000000003</v>
      </c>
      <c r="L331" s="36">
        <v>38.734000000000002</v>
      </c>
      <c r="M331" s="36">
        <v>37.042000000000002</v>
      </c>
      <c r="N331" s="36">
        <v>37.042000000000002</v>
      </c>
      <c r="O331" s="36">
        <v>35.508000000000003</v>
      </c>
      <c r="P331" s="36">
        <v>2.2999999999999998</v>
      </c>
      <c r="Q331" s="36">
        <v>2.3929999999999998</v>
      </c>
      <c r="R331" s="36">
        <v>1.5820000000000001</v>
      </c>
      <c r="S331" s="36">
        <v>1.5820000000000001</v>
      </c>
      <c r="T331" s="36">
        <v>1.617</v>
      </c>
      <c r="U331" s="36">
        <v>1.66</v>
      </c>
      <c r="V331" s="36">
        <v>1.698</v>
      </c>
      <c r="W331" s="36">
        <v>2.8929999999999998</v>
      </c>
      <c r="X331" s="36">
        <v>2.8929999999999998</v>
      </c>
      <c r="Y331" s="36">
        <v>2.9849999999999999</v>
      </c>
      <c r="Z331" s="36">
        <v>3.048</v>
      </c>
      <c r="AA331" s="36">
        <v>3.0659999999999998</v>
      </c>
      <c r="AB331" s="36">
        <v>2.6120000000000001</v>
      </c>
      <c r="AC331" s="36">
        <v>2.6120000000000001</v>
      </c>
      <c r="AD331" s="36">
        <v>2.5859999999999999</v>
      </c>
      <c r="AE331" s="36">
        <v>2.76</v>
      </c>
      <c r="AF331" s="36">
        <v>2.7610000000000001</v>
      </c>
      <c r="AG331" s="36">
        <v>2.8769999999999998</v>
      </c>
      <c r="AH331" s="36">
        <v>2.8769999999999998</v>
      </c>
      <c r="AI331" s="36">
        <v>3.2</v>
      </c>
      <c r="AJ331" s="36">
        <v>12.022</v>
      </c>
      <c r="AK331" s="36">
        <v>2.9340000000000002</v>
      </c>
      <c r="AL331" s="36">
        <v>3.0489999999999999</v>
      </c>
      <c r="AM331" s="36">
        <v>3.0489999999999999</v>
      </c>
      <c r="AN331" s="36">
        <v>3.0219999999999998</v>
      </c>
      <c r="AO331" s="36">
        <v>2.4169999999999998</v>
      </c>
      <c r="AP331" s="36">
        <v>2.4660000000000002</v>
      </c>
      <c r="AQ331" s="36">
        <v>2.5</v>
      </c>
      <c r="AR331" s="36">
        <v>2.5</v>
      </c>
      <c r="AS331" s="36">
        <v>2.5</v>
      </c>
      <c r="AT331" s="36">
        <v>2.5</v>
      </c>
      <c r="AU331" s="36">
        <v>2.5</v>
      </c>
      <c r="AV331" s="36">
        <v>2.6</v>
      </c>
      <c r="AW331" s="36">
        <v>2.6</v>
      </c>
      <c r="AX331" s="36">
        <v>2.8</v>
      </c>
      <c r="AY331" s="36">
        <v>2.2999999999999998</v>
      </c>
      <c r="AZ331" s="36">
        <v>2.2999999999999998</v>
      </c>
      <c r="BA331" s="36">
        <v>2.2999999999999998</v>
      </c>
      <c r="BB331" s="36">
        <v>2.2999999999999998</v>
      </c>
      <c r="BC331" s="36">
        <v>2.2000000000000002</v>
      </c>
      <c r="BD331" s="36">
        <v>2.1</v>
      </c>
      <c r="BE331" s="36">
        <v>2.1</v>
      </c>
      <c r="BF331" s="36">
        <v>2.2999999999999998</v>
      </c>
      <c r="BG331" s="36">
        <v>2.2999999999999998</v>
      </c>
      <c r="BH331" s="36">
        <v>2.5</v>
      </c>
      <c r="BI331" s="36">
        <v>2.2999999999999998</v>
      </c>
      <c r="BJ331" s="36">
        <v>2.2999999999999998</v>
      </c>
      <c r="BK331" s="36">
        <v>2.4</v>
      </c>
      <c r="BL331" s="36">
        <v>2.4</v>
      </c>
      <c r="BM331" s="36">
        <v>2</v>
      </c>
      <c r="BN331" s="36">
        <v>2</v>
      </c>
      <c r="BO331" s="36">
        <v>2</v>
      </c>
      <c r="BP331" s="36">
        <v>3</v>
      </c>
      <c r="BQ331" s="36">
        <v>3</v>
      </c>
      <c r="BR331" s="36">
        <v>3</v>
      </c>
      <c r="BS331" s="36">
        <v>3</v>
      </c>
      <c r="BT331" s="36">
        <v>3</v>
      </c>
      <c r="BU331" s="36">
        <v>2</v>
      </c>
      <c r="BV331" s="36">
        <v>2</v>
      </c>
      <c r="BW331" s="36">
        <v>2</v>
      </c>
      <c r="BX331" s="36">
        <v>2</v>
      </c>
      <c r="BY331" s="6"/>
      <c r="BZ331" s="6"/>
      <c r="CA331" s="37">
        <f>BX331+BY177+BZ177</f>
        <v>2</v>
      </c>
      <c r="CB331" s="37">
        <f>CA331+CB177</f>
        <v>2</v>
      </c>
      <c r="CC331" s="37">
        <f>CB331+CC177</f>
        <v>2</v>
      </c>
      <c r="CD331" s="37">
        <f>CC331+CD177</f>
        <v>2</v>
      </c>
      <c r="CE331" s="37">
        <f>CD331+CE177</f>
        <v>2</v>
      </c>
      <c r="CF331" s="6"/>
    </row>
    <row r="332" spans="2:84" ht="15" customHeight="1" x14ac:dyDescent="0.25">
      <c r="B332" s="17" t="s">
        <v>522</v>
      </c>
      <c r="C332" s="46">
        <f t="shared" ref="C332:AH332" si="420">IF(ISNUMBER(C330),C330+N(C331),"")</f>
        <v>1253.9720000000002</v>
      </c>
      <c r="D332" s="46">
        <f t="shared" si="420"/>
        <v>945.99099999999987</v>
      </c>
      <c r="E332" s="46">
        <f t="shared" si="420"/>
        <v>1067.26</v>
      </c>
      <c r="F332" s="46">
        <f t="shared" si="420"/>
        <v>1406.4110000000001</v>
      </c>
      <c r="G332" s="46">
        <f t="shared" si="420"/>
        <v>1468.259</v>
      </c>
      <c r="H332" s="46">
        <f t="shared" si="420"/>
        <v>1448.8639999999998</v>
      </c>
      <c r="I332" s="46">
        <f t="shared" si="420"/>
        <v>1450.2989999999998</v>
      </c>
      <c r="J332" s="46">
        <f t="shared" si="420"/>
        <v>1410.057</v>
      </c>
      <c r="K332" s="46">
        <f t="shared" si="420"/>
        <v>1440.6669999999999</v>
      </c>
      <c r="L332" s="46">
        <f t="shared" si="420"/>
        <v>1498.883</v>
      </c>
      <c r="M332" s="46">
        <f t="shared" si="420"/>
        <v>1574.9189999999999</v>
      </c>
      <c r="N332" s="46">
        <f t="shared" si="420"/>
        <v>1574.9189999999999</v>
      </c>
      <c r="O332" s="46">
        <f t="shared" si="420"/>
        <v>1544.2930000000001</v>
      </c>
      <c r="P332" s="46">
        <f t="shared" si="420"/>
        <v>1566.9989999999998</v>
      </c>
      <c r="Q332" s="46">
        <f t="shared" si="420"/>
        <v>4375.6130000000003</v>
      </c>
      <c r="R332" s="46">
        <f t="shared" si="420"/>
        <v>4352.7480000000005</v>
      </c>
      <c r="S332" s="46">
        <f t="shared" si="420"/>
        <v>4352.7480000000005</v>
      </c>
      <c r="T332" s="46">
        <f t="shared" si="420"/>
        <v>4342.183</v>
      </c>
      <c r="U332" s="46">
        <f t="shared" si="420"/>
        <v>4310.4329999999991</v>
      </c>
      <c r="V332" s="46">
        <f t="shared" si="420"/>
        <v>4252.58</v>
      </c>
      <c r="W332" s="46">
        <f t="shared" si="420"/>
        <v>4060.1770000000001</v>
      </c>
      <c r="X332" s="46">
        <f t="shared" si="420"/>
        <v>4060.1770000000001</v>
      </c>
      <c r="Y332" s="46">
        <f t="shared" si="420"/>
        <v>3945.636</v>
      </c>
      <c r="Z332" s="46">
        <f t="shared" si="420"/>
        <v>4016.5</v>
      </c>
      <c r="AA332" s="46">
        <f t="shared" si="420"/>
        <v>4158.3979999999992</v>
      </c>
      <c r="AB332" s="46">
        <f t="shared" si="420"/>
        <v>4142.59</v>
      </c>
      <c r="AC332" s="46">
        <f t="shared" si="420"/>
        <v>4142.59</v>
      </c>
      <c r="AD332" s="46">
        <f t="shared" si="420"/>
        <v>4075.9539999999993</v>
      </c>
      <c r="AE332" s="46">
        <f t="shared" si="420"/>
        <v>4200.5309999999999</v>
      </c>
      <c r="AF332" s="46">
        <f t="shared" si="420"/>
        <v>4333.9820000000009</v>
      </c>
      <c r="AG332" s="46">
        <f t="shared" si="420"/>
        <v>4682.4769999999999</v>
      </c>
      <c r="AH332" s="46">
        <f t="shared" si="420"/>
        <v>4682.4769999999999</v>
      </c>
      <c r="AI332" s="46">
        <f t="shared" ref="AI332:BN332" si="421">IF(ISNUMBER(AI330),AI330+N(AI331),"")</f>
        <v>4679.83</v>
      </c>
      <c r="AJ332" s="46">
        <f t="shared" si="421"/>
        <v>4855.47</v>
      </c>
      <c r="AK332" s="46">
        <f t="shared" si="421"/>
        <v>4942.3280000000004</v>
      </c>
      <c r="AL332" s="46">
        <f t="shared" si="421"/>
        <v>4949.4120000000003</v>
      </c>
      <c r="AM332" s="46">
        <f t="shared" si="421"/>
        <v>4949.4120000000003</v>
      </c>
      <c r="AN332" s="46">
        <f t="shared" si="421"/>
        <v>4975.496000000001</v>
      </c>
      <c r="AO332" s="46">
        <f t="shared" si="421"/>
        <v>5097.2700000000004</v>
      </c>
      <c r="AP332" s="46">
        <f t="shared" si="421"/>
        <v>5304.4380000000001</v>
      </c>
      <c r="AQ332" s="46">
        <f t="shared" si="421"/>
        <v>5353.3</v>
      </c>
      <c r="AR332" s="46">
        <f t="shared" si="421"/>
        <v>5353.3</v>
      </c>
      <c r="AS332" s="46">
        <f t="shared" si="421"/>
        <v>5299.4</v>
      </c>
      <c r="AT332" s="46">
        <f t="shared" si="421"/>
        <v>5493.5999999999995</v>
      </c>
      <c r="AU332" s="46">
        <f t="shared" si="421"/>
        <v>5758.9</v>
      </c>
      <c r="AV332" s="46">
        <f t="shared" si="421"/>
        <v>5893.3000000000011</v>
      </c>
      <c r="AW332" s="46">
        <f t="shared" si="421"/>
        <v>5893.3000000000011</v>
      </c>
      <c r="AX332" s="46">
        <f t="shared" si="421"/>
        <v>5926.7</v>
      </c>
      <c r="AY332" s="46">
        <f t="shared" si="421"/>
        <v>6128.2</v>
      </c>
      <c r="AZ332" s="46">
        <f t="shared" si="421"/>
        <v>6358.2000000000007</v>
      </c>
      <c r="BA332" s="46">
        <f t="shared" si="421"/>
        <v>6537.5999999999995</v>
      </c>
      <c r="BB332" s="46">
        <f t="shared" si="421"/>
        <v>6537.5999999999995</v>
      </c>
      <c r="BC332" s="46">
        <f t="shared" si="421"/>
        <v>6431.1</v>
      </c>
      <c r="BD332" s="46">
        <f t="shared" si="421"/>
        <v>6772.1</v>
      </c>
      <c r="BE332" s="46">
        <f t="shared" si="421"/>
        <v>6937.8</v>
      </c>
      <c r="BF332" s="46">
        <f t="shared" si="421"/>
        <v>7172.8</v>
      </c>
      <c r="BG332" s="46">
        <f t="shared" si="421"/>
        <v>7172.8</v>
      </c>
      <c r="BH332" s="46">
        <f t="shared" si="421"/>
        <v>7177.5</v>
      </c>
      <c r="BI332" s="46">
        <f t="shared" si="421"/>
        <v>7423.4000000000005</v>
      </c>
      <c r="BJ332" s="46">
        <f t="shared" si="421"/>
        <v>7804.8</v>
      </c>
      <c r="BK332" s="46">
        <f t="shared" si="421"/>
        <v>8035.6</v>
      </c>
      <c r="BL332" s="46">
        <f t="shared" si="421"/>
        <v>8035.6</v>
      </c>
      <c r="BM332" s="46">
        <f t="shared" si="421"/>
        <v>8877</v>
      </c>
      <c r="BN332" s="46">
        <f t="shared" si="421"/>
        <v>8840</v>
      </c>
      <c r="BO332" s="46">
        <f t="shared" ref="BO332:BX332" si="422">IF(ISNUMBER(BO330),BO330+N(BO331),"")</f>
        <v>9171</v>
      </c>
      <c r="BP332" s="46">
        <f t="shared" si="422"/>
        <v>9456</v>
      </c>
      <c r="BQ332" s="46">
        <f t="shared" si="422"/>
        <v>9456</v>
      </c>
      <c r="BR332" s="46">
        <f t="shared" si="422"/>
        <v>9084</v>
      </c>
      <c r="BS332" s="46">
        <f t="shared" si="422"/>
        <v>9366</v>
      </c>
      <c r="BT332" s="46">
        <f t="shared" si="422"/>
        <v>9738</v>
      </c>
      <c r="BU332" s="46">
        <f t="shared" si="422"/>
        <v>10034</v>
      </c>
      <c r="BV332" s="46">
        <f t="shared" si="422"/>
        <v>10034</v>
      </c>
      <c r="BW332" s="46">
        <f t="shared" si="422"/>
        <v>11297</v>
      </c>
      <c r="BX332" s="46">
        <f t="shared" si="422"/>
        <v>11548</v>
      </c>
      <c r="BY332" s="57"/>
      <c r="BZ332" s="57"/>
      <c r="CA332" s="34">
        <f>IF(ISNUMBER(CA330),CA330+N(CA331),"")</f>
        <v>18365.447131165824</v>
      </c>
      <c r="CB332" s="34">
        <f>IF(ISNUMBER(CB330),CB330+N(CB331),"")</f>
        <v>19438.497625620897</v>
      </c>
      <c r="CC332" s="34">
        <f>IF(ISNUMBER(CC330),CC330+N(CC331),"")</f>
        <v>20905.389046104174</v>
      </c>
      <c r="CD332" s="34">
        <f>IF(ISNUMBER(CD330),CD330+N(CD331),"")</f>
        <v>21036.970866102922</v>
      </c>
      <c r="CE332" s="34">
        <f>IF(ISNUMBER(CE330),CE330+N(CE331),"")</f>
        <v>20473.803843572754</v>
      </c>
      <c r="CF332" s="6"/>
    </row>
    <row r="333" spans="2:84" ht="15" customHeight="1" x14ac:dyDescent="0.25">
      <c r="B333" s="59" t="s">
        <v>523</v>
      </c>
      <c r="C333" s="60">
        <f t="shared" ref="C333:AH333" si="423">IF(ISNUMBER(C325),C325+C332,"")</f>
        <v>2506.4210000000003</v>
      </c>
      <c r="D333" s="60">
        <f t="shared" si="423"/>
        <v>2683.8049999999998</v>
      </c>
      <c r="E333" s="60">
        <f t="shared" si="423"/>
        <v>3032.5019999999995</v>
      </c>
      <c r="F333" s="60">
        <f t="shared" si="423"/>
        <v>3239.2829999999999</v>
      </c>
      <c r="G333" s="60">
        <f t="shared" si="423"/>
        <v>3074.7429999999999</v>
      </c>
      <c r="H333" s="60">
        <f t="shared" si="423"/>
        <v>3147.8220000000001</v>
      </c>
      <c r="I333" s="60">
        <f t="shared" si="423"/>
        <v>3160.9259999999999</v>
      </c>
      <c r="J333" s="60">
        <f t="shared" si="423"/>
        <v>3154.7749999999996</v>
      </c>
      <c r="K333" s="60">
        <f t="shared" si="423"/>
        <v>3231.1189999999997</v>
      </c>
      <c r="L333" s="60">
        <f t="shared" si="423"/>
        <v>3337.105</v>
      </c>
      <c r="M333" s="60">
        <f t="shared" si="423"/>
        <v>3259.826</v>
      </c>
      <c r="N333" s="60">
        <f t="shared" si="423"/>
        <v>3259.826</v>
      </c>
      <c r="O333" s="60">
        <f t="shared" si="423"/>
        <v>3255.2570000000005</v>
      </c>
      <c r="P333" s="60">
        <f t="shared" si="423"/>
        <v>3356.0429999999997</v>
      </c>
      <c r="Q333" s="60">
        <f t="shared" si="423"/>
        <v>7338.8580000000002</v>
      </c>
      <c r="R333" s="60">
        <f t="shared" si="423"/>
        <v>7464.3920000000007</v>
      </c>
      <c r="S333" s="60">
        <f t="shared" si="423"/>
        <v>7464.3920000000007</v>
      </c>
      <c r="T333" s="60">
        <f t="shared" si="423"/>
        <v>7417.6459999999997</v>
      </c>
      <c r="U333" s="60">
        <f t="shared" si="423"/>
        <v>7499.6539999999986</v>
      </c>
      <c r="V333" s="60">
        <f t="shared" si="423"/>
        <v>7438.4479999999994</v>
      </c>
      <c r="W333" s="60">
        <f t="shared" si="423"/>
        <v>6961.732</v>
      </c>
      <c r="X333" s="60">
        <f t="shared" si="423"/>
        <v>6961.732</v>
      </c>
      <c r="Y333" s="60">
        <f t="shared" si="423"/>
        <v>7058.2869999999994</v>
      </c>
      <c r="Z333" s="60">
        <f t="shared" si="423"/>
        <v>7233.3049999999994</v>
      </c>
      <c r="AA333" s="60">
        <f t="shared" si="423"/>
        <v>7373.2009999999991</v>
      </c>
      <c r="AB333" s="60">
        <f t="shared" si="423"/>
        <v>7300.9049999999997</v>
      </c>
      <c r="AC333" s="60">
        <f t="shared" si="423"/>
        <v>7300.9049999999997</v>
      </c>
      <c r="AD333" s="60">
        <f t="shared" si="423"/>
        <v>7393.7909999999993</v>
      </c>
      <c r="AE333" s="60">
        <f t="shared" si="423"/>
        <v>7515.86</v>
      </c>
      <c r="AF333" s="60">
        <f t="shared" si="423"/>
        <v>7566.7850000000008</v>
      </c>
      <c r="AG333" s="60">
        <f t="shared" si="423"/>
        <v>8992.5109999999986</v>
      </c>
      <c r="AH333" s="60">
        <f t="shared" si="423"/>
        <v>8992.5109999999986</v>
      </c>
      <c r="AI333" s="60">
        <f t="shared" ref="AI333:BN333" si="424">IF(ISNUMBER(AI325),AI325+AI332,"")</f>
        <v>8948.0499999999993</v>
      </c>
      <c r="AJ333" s="60">
        <f t="shared" si="424"/>
        <v>9596.7520000000004</v>
      </c>
      <c r="AK333" s="60">
        <f t="shared" si="424"/>
        <v>9588.1710000000003</v>
      </c>
      <c r="AL333" s="60">
        <f t="shared" si="424"/>
        <v>9551.4189999999999</v>
      </c>
      <c r="AM333" s="60">
        <f t="shared" si="424"/>
        <v>9551.4189999999999</v>
      </c>
      <c r="AN333" s="60">
        <f t="shared" si="424"/>
        <v>10048.407000000001</v>
      </c>
      <c r="AO333" s="60">
        <f t="shared" si="424"/>
        <v>10163.656999999999</v>
      </c>
      <c r="AP333" s="60">
        <f t="shared" si="424"/>
        <v>10223.485000000001</v>
      </c>
      <c r="AQ333" s="60">
        <f t="shared" si="424"/>
        <v>10131.6</v>
      </c>
      <c r="AR333" s="60">
        <f t="shared" si="424"/>
        <v>10131.6</v>
      </c>
      <c r="AS333" s="60">
        <f t="shared" si="424"/>
        <v>10503.4</v>
      </c>
      <c r="AT333" s="60">
        <f t="shared" si="424"/>
        <v>10226.599999999999</v>
      </c>
      <c r="AU333" s="60">
        <f t="shared" si="424"/>
        <v>10435.4</v>
      </c>
      <c r="AV333" s="60">
        <f t="shared" si="424"/>
        <v>10580.800000000003</v>
      </c>
      <c r="AW333" s="60">
        <f t="shared" si="424"/>
        <v>10580.800000000003</v>
      </c>
      <c r="AX333" s="60">
        <f t="shared" si="424"/>
        <v>10659.3</v>
      </c>
      <c r="AY333" s="60">
        <f t="shared" si="424"/>
        <v>11223.099999999999</v>
      </c>
      <c r="AZ333" s="60">
        <f t="shared" si="424"/>
        <v>13786.2</v>
      </c>
      <c r="BA333" s="60">
        <f t="shared" si="424"/>
        <v>14393</v>
      </c>
      <c r="BB333" s="60">
        <f t="shared" si="424"/>
        <v>14393</v>
      </c>
      <c r="BC333" s="60">
        <f t="shared" si="424"/>
        <v>14241.500000000002</v>
      </c>
      <c r="BD333" s="60">
        <f t="shared" si="424"/>
        <v>14542.8</v>
      </c>
      <c r="BE333" s="60">
        <f t="shared" si="424"/>
        <v>14729.699999999999</v>
      </c>
      <c r="BF333" s="60">
        <f t="shared" si="424"/>
        <v>14993.599999999999</v>
      </c>
      <c r="BG333" s="60">
        <f t="shared" si="424"/>
        <v>14993.599999999999</v>
      </c>
      <c r="BH333" s="60">
        <f t="shared" si="424"/>
        <v>14890.900000000001</v>
      </c>
      <c r="BI333" s="60">
        <f t="shared" si="424"/>
        <v>15246.2</v>
      </c>
      <c r="BJ333" s="60">
        <f t="shared" si="424"/>
        <v>14917.8</v>
      </c>
      <c r="BK333" s="60">
        <f t="shared" si="424"/>
        <v>15124.900000000001</v>
      </c>
      <c r="BL333" s="60">
        <f t="shared" si="424"/>
        <v>15124.900000000001</v>
      </c>
      <c r="BM333" s="60">
        <f t="shared" si="424"/>
        <v>16240</v>
      </c>
      <c r="BN333" s="60">
        <f t="shared" si="424"/>
        <v>16333</v>
      </c>
      <c r="BO333" s="60">
        <f t="shared" ref="BO333:BX333" si="425">IF(ISNUMBER(BO325),BO325+BO332,"")</f>
        <v>16469</v>
      </c>
      <c r="BP333" s="60">
        <f t="shared" si="425"/>
        <v>18170</v>
      </c>
      <c r="BQ333" s="60">
        <f t="shared" si="425"/>
        <v>18170</v>
      </c>
      <c r="BR333" s="60">
        <f t="shared" si="425"/>
        <v>17724</v>
      </c>
      <c r="BS333" s="60">
        <f t="shared" si="425"/>
        <v>18070</v>
      </c>
      <c r="BT333" s="60">
        <f t="shared" si="425"/>
        <v>18653</v>
      </c>
      <c r="BU333" s="60">
        <f t="shared" si="425"/>
        <v>18711</v>
      </c>
      <c r="BV333" s="60">
        <f t="shared" si="425"/>
        <v>18711</v>
      </c>
      <c r="BW333" s="60">
        <f t="shared" si="425"/>
        <v>20497</v>
      </c>
      <c r="BX333" s="60">
        <f t="shared" si="425"/>
        <v>21305</v>
      </c>
      <c r="BY333" s="70"/>
      <c r="BZ333" s="70"/>
      <c r="CA333" s="60">
        <f>IF(ISNUMBER(CA325),CA325+CA332,"")</f>
        <v>37179.739909349053</v>
      </c>
      <c r="CB333" s="60">
        <f>IF(ISNUMBER(CB325),CB325+CB332,"")</f>
        <v>36954.034359752848</v>
      </c>
      <c r="CC333" s="60">
        <f>IF(ISNUMBER(CC325),CC325+CC332,"")</f>
        <v>38017.831900601814</v>
      </c>
      <c r="CD333" s="60">
        <f>IF(ISNUMBER(CD325),CD325+CD332,"")</f>
        <v>38111.612593310478</v>
      </c>
      <c r="CE333" s="60">
        <f>IF(ISNUMBER(CE325),CE325+CE332,"")</f>
        <v>38496.878413619183</v>
      </c>
      <c r="CF333" s="6"/>
    </row>
    <row r="334" spans="2:84" ht="15" customHeight="1" x14ac:dyDescent="0.25">
      <c r="B334" s="61" t="s">
        <v>524</v>
      </c>
      <c r="C334" s="47">
        <f t="shared" ref="C334:AH334" si="426">IF(ISNUMBER(C312),ROUND(C312-C333,1),"")</f>
        <v>0</v>
      </c>
      <c r="D334" s="47">
        <f t="shared" si="426"/>
        <v>0</v>
      </c>
      <c r="E334" s="47">
        <f t="shared" si="426"/>
        <v>0</v>
      </c>
      <c r="F334" s="47">
        <f t="shared" si="426"/>
        <v>0</v>
      </c>
      <c r="G334" s="47">
        <f t="shared" si="426"/>
        <v>0</v>
      </c>
      <c r="H334" s="47">
        <f t="shared" si="426"/>
        <v>0</v>
      </c>
      <c r="I334" s="47">
        <f t="shared" si="426"/>
        <v>0</v>
      </c>
      <c r="J334" s="47">
        <f t="shared" si="426"/>
        <v>0</v>
      </c>
      <c r="K334" s="47">
        <f t="shared" si="426"/>
        <v>0</v>
      </c>
      <c r="L334" s="47">
        <f t="shared" si="426"/>
        <v>0</v>
      </c>
      <c r="M334" s="47">
        <f t="shared" si="426"/>
        <v>0</v>
      </c>
      <c r="N334" s="47">
        <f t="shared" si="426"/>
        <v>0</v>
      </c>
      <c r="O334" s="47">
        <f t="shared" si="426"/>
        <v>0</v>
      </c>
      <c r="P334" s="47">
        <f t="shared" si="426"/>
        <v>0</v>
      </c>
      <c r="Q334" s="47">
        <f t="shared" si="426"/>
        <v>0</v>
      </c>
      <c r="R334" s="47">
        <f t="shared" si="426"/>
        <v>0</v>
      </c>
      <c r="S334" s="47">
        <f t="shared" si="426"/>
        <v>0</v>
      </c>
      <c r="T334" s="47">
        <f t="shared" si="426"/>
        <v>0</v>
      </c>
      <c r="U334" s="47">
        <f t="shared" si="426"/>
        <v>0</v>
      </c>
      <c r="V334" s="47">
        <f t="shared" si="426"/>
        <v>0</v>
      </c>
      <c r="W334" s="47">
        <f t="shared" si="426"/>
        <v>0</v>
      </c>
      <c r="X334" s="47">
        <f t="shared" si="426"/>
        <v>0</v>
      </c>
      <c r="Y334" s="47">
        <f t="shared" si="426"/>
        <v>0</v>
      </c>
      <c r="Z334" s="47">
        <f t="shared" si="426"/>
        <v>0</v>
      </c>
      <c r="AA334" s="47">
        <f t="shared" si="426"/>
        <v>0</v>
      </c>
      <c r="AB334" s="47">
        <f t="shared" si="426"/>
        <v>0</v>
      </c>
      <c r="AC334" s="47">
        <f t="shared" si="426"/>
        <v>0</v>
      </c>
      <c r="AD334" s="47">
        <f t="shared" si="426"/>
        <v>0</v>
      </c>
      <c r="AE334" s="47">
        <f t="shared" si="426"/>
        <v>0</v>
      </c>
      <c r="AF334" s="47">
        <f t="shared" si="426"/>
        <v>0</v>
      </c>
      <c r="AG334" s="47">
        <f t="shared" si="426"/>
        <v>0</v>
      </c>
      <c r="AH334" s="47">
        <f t="shared" si="426"/>
        <v>0</v>
      </c>
      <c r="AI334" s="47">
        <f t="shared" ref="AI334:BN334" si="427">IF(ISNUMBER(AI312),ROUND(AI312-AI333,1),"")</f>
        <v>0</v>
      </c>
      <c r="AJ334" s="47">
        <f t="shared" si="427"/>
        <v>0</v>
      </c>
      <c r="AK334" s="47">
        <f t="shared" si="427"/>
        <v>0</v>
      </c>
      <c r="AL334" s="47">
        <f t="shared" si="427"/>
        <v>0</v>
      </c>
      <c r="AM334" s="47">
        <f t="shared" si="427"/>
        <v>0</v>
      </c>
      <c r="AN334" s="47">
        <f t="shared" si="427"/>
        <v>0</v>
      </c>
      <c r="AO334" s="47">
        <f t="shared" si="427"/>
        <v>0</v>
      </c>
      <c r="AP334" s="47">
        <f t="shared" si="427"/>
        <v>0</v>
      </c>
      <c r="AQ334" s="47">
        <f t="shared" si="427"/>
        <v>0</v>
      </c>
      <c r="AR334" s="47">
        <f t="shared" si="427"/>
        <v>0</v>
      </c>
      <c r="AS334" s="47">
        <f t="shared" si="427"/>
        <v>0</v>
      </c>
      <c r="AT334" s="47">
        <f t="shared" si="427"/>
        <v>0</v>
      </c>
      <c r="AU334" s="47">
        <f t="shared" si="427"/>
        <v>0</v>
      </c>
      <c r="AV334" s="47">
        <f t="shared" si="427"/>
        <v>0</v>
      </c>
      <c r="AW334" s="47">
        <f t="shared" si="427"/>
        <v>0</v>
      </c>
      <c r="AX334" s="47">
        <f t="shared" si="427"/>
        <v>0</v>
      </c>
      <c r="AY334" s="47">
        <f t="shared" si="427"/>
        <v>0</v>
      </c>
      <c r="AZ334" s="47">
        <f t="shared" si="427"/>
        <v>0</v>
      </c>
      <c r="BA334" s="47">
        <f t="shared" si="427"/>
        <v>0</v>
      </c>
      <c r="BB334" s="47">
        <f t="shared" si="427"/>
        <v>0</v>
      </c>
      <c r="BC334" s="47">
        <f t="shared" si="427"/>
        <v>0</v>
      </c>
      <c r="BD334" s="47">
        <f t="shared" si="427"/>
        <v>0</v>
      </c>
      <c r="BE334" s="47">
        <f t="shared" si="427"/>
        <v>0</v>
      </c>
      <c r="BF334" s="47">
        <f t="shared" si="427"/>
        <v>0</v>
      </c>
      <c r="BG334" s="47">
        <f t="shared" si="427"/>
        <v>0</v>
      </c>
      <c r="BH334" s="47">
        <f t="shared" si="427"/>
        <v>0</v>
      </c>
      <c r="BI334" s="47">
        <f t="shared" si="427"/>
        <v>0</v>
      </c>
      <c r="BJ334" s="47">
        <f t="shared" si="427"/>
        <v>0</v>
      </c>
      <c r="BK334" s="47">
        <f t="shared" si="427"/>
        <v>0</v>
      </c>
      <c r="BL334" s="47">
        <f t="shared" si="427"/>
        <v>0</v>
      </c>
      <c r="BM334" s="47">
        <f t="shared" si="427"/>
        <v>0</v>
      </c>
      <c r="BN334" s="47">
        <f t="shared" si="427"/>
        <v>0</v>
      </c>
      <c r="BO334" s="47">
        <f t="shared" ref="BO334:BX334" si="428">IF(ISNUMBER(BO312),ROUND(BO312-BO333,1),"")</f>
        <v>0</v>
      </c>
      <c r="BP334" s="47">
        <f t="shared" si="428"/>
        <v>0</v>
      </c>
      <c r="BQ334" s="47">
        <f t="shared" si="428"/>
        <v>0</v>
      </c>
      <c r="BR334" s="47">
        <f t="shared" si="428"/>
        <v>0</v>
      </c>
      <c r="BS334" s="47">
        <f t="shared" si="428"/>
        <v>0</v>
      </c>
      <c r="BT334" s="47">
        <f t="shared" si="428"/>
        <v>0</v>
      </c>
      <c r="BU334" s="47">
        <f t="shared" si="428"/>
        <v>0</v>
      </c>
      <c r="BV334" s="47">
        <f t="shared" si="428"/>
        <v>0</v>
      </c>
      <c r="BW334" s="47">
        <f t="shared" si="428"/>
        <v>0</v>
      </c>
      <c r="BX334" s="47">
        <f t="shared" si="428"/>
        <v>0</v>
      </c>
      <c r="BY334" s="6"/>
      <c r="BZ334" s="6"/>
      <c r="CA334" s="37">
        <f>IF(ISNUMBER(CA312),ROUND(CA312-CA333,1),"")</f>
        <v>0</v>
      </c>
      <c r="CB334" s="37">
        <f>IF(ISNUMBER(CB312),ROUND(CB312-CB333,1),"")</f>
        <v>0</v>
      </c>
      <c r="CC334" s="37">
        <f>IF(ISNUMBER(CC312),ROUND(CC312-CC333,1),"")</f>
        <v>0</v>
      </c>
      <c r="CD334" s="37">
        <f>IF(ISNUMBER(CD312),ROUND(CD312-CD333,1),"")</f>
        <v>0</v>
      </c>
      <c r="CE334" s="37">
        <f>IF(ISNUMBER(CE312),ROUND(CE312-CE333,1),"")</f>
        <v>0</v>
      </c>
      <c r="CF334" s="6"/>
    </row>
    <row r="335" spans="2:84" ht="15" customHeight="1" x14ac:dyDescent="0.25">
      <c r="B335" s="61" t="s">
        <v>525</v>
      </c>
      <c r="C335" s="47">
        <f t="shared" ref="C335:AH335" si="429">IF(ISNUMBER(C336),ROUND(C312-C336,1),"")</f>
        <v>0</v>
      </c>
      <c r="D335" s="47">
        <f t="shared" si="429"/>
        <v>0</v>
      </c>
      <c r="E335" s="47">
        <f t="shared" si="429"/>
        <v>0</v>
      </c>
      <c r="F335" s="47">
        <f t="shared" si="429"/>
        <v>0</v>
      </c>
      <c r="G335" s="47">
        <f t="shared" si="429"/>
        <v>0</v>
      </c>
      <c r="H335" s="47">
        <f t="shared" si="429"/>
        <v>0</v>
      </c>
      <c r="I335" s="47">
        <f t="shared" si="429"/>
        <v>0</v>
      </c>
      <c r="J335" s="47">
        <f t="shared" si="429"/>
        <v>0</v>
      </c>
      <c r="K335" s="47">
        <f t="shared" si="429"/>
        <v>0</v>
      </c>
      <c r="L335" s="47">
        <f t="shared" si="429"/>
        <v>0</v>
      </c>
      <c r="M335" s="47">
        <f t="shared" si="429"/>
        <v>0</v>
      </c>
      <c r="N335" s="47">
        <f t="shared" si="429"/>
        <v>0</v>
      </c>
      <c r="O335" s="47">
        <f t="shared" si="429"/>
        <v>0</v>
      </c>
      <c r="P335" s="47">
        <f t="shared" si="429"/>
        <v>0</v>
      </c>
      <c r="Q335" s="47">
        <f t="shared" si="429"/>
        <v>0</v>
      </c>
      <c r="R335" s="47">
        <f t="shared" si="429"/>
        <v>0</v>
      </c>
      <c r="S335" s="47">
        <f t="shared" si="429"/>
        <v>0</v>
      </c>
      <c r="T335" s="47">
        <f t="shared" si="429"/>
        <v>0</v>
      </c>
      <c r="U335" s="47">
        <f t="shared" si="429"/>
        <v>0</v>
      </c>
      <c r="V335" s="47">
        <f t="shared" si="429"/>
        <v>0</v>
      </c>
      <c r="W335" s="47">
        <f t="shared" si="429"/>
        <v>0</v>
      </c>
      <c r="X335" s="47">
        <f t="shared" si="429"/>
        <v>0</v>
      </c>
      <c r="Y335" s="47">
        <f t="shared" si="429"/>
        <v>0</v>
      </c>
      <c r="Z335" s="47">
        <f t="shared" si="429"/>
        <v>0</v>
      </c>
      <c r="AA335" s="47">
        <f t="shared" si="429"/>
        <v>0</v>
      </c>
      <c r="AB335" s="47">
        <f t="shared" si="429"/>
        <v>0</v>
      </c>
      <c r="AC335" s="47">
        <f t="shared" si="429"/>
        <v>0</v>
      </c>
      <c r="AD335" s="47">
        <f t="shared" si="429"/>
        <v>0</v>
      </c>
      <c r="AE335" s="47">
        <f t="shared" si="429"/>
        <v>0</v>
      </c>
      <c r="AF335" s="47">
        <f t="shared" si="429"/>
        <v>0</v>
      </c>
      <c r="AG335" s="47">
        <f t="shared" si="429"/>
        <v>0</v>
      </c>
      <c r="AH335" s="47">
        <f t="shared" si="429"/>
        <v>0</v>
      </c>
      <c r="AI335" s="47">
        <f t="shared" ref="AI335:BN335" si="430">IF(ISNUMBER(AI336),ROUND(AI312-AI336,1),"")</f>
        <v>0</v>
      </c>
      <c r="AJ335" s="47">
        <f t="shared" si="430"/>
        <v>0</v>
      </c>
      <c r="AK335" s="47">
        <f t="shared" si="430"/>
        <v>0</v>
      </c>
      <c r="AL335" s="47">
        <f t="shared" si="430"/>
        <v>0</v>
      </c>
      <c r="AM335" s="47">
        <f t="shared" si="430"/>
        <v>0</v>
      </c>
      <c r="AN335" s="47">
        <f t="shared" si="430"/>
        <v>0</v>
      </c>
      <c r="AO335" s="47">
        <f t="shared" si="430"/>
        <v>0</v>
      </c>
      <c r="AP335" s="47">
        <f t="shared" si="430"/>
        <v>0</v>
      </c>
      <c r="AQ335" s="47">
        <f t="shared" si="430"/>
        <v>0</v>
      </c>
      <c r="AR335" s="47">
        <f t="shared" si="430"/>
        <v>0</v>
      </c>
      <c r="AS335" s="47">
        <f t="shared" si="430"/>
        <v>0</v>
      </c>
      <c r="AT335" s="47">
        <f t="shared" si="430"/>
        <v>0</v>
      </c>
      <c r="AU335" s="47">
        <f t="shared" si="430"/>
        <v>0</v>
      </c>
      <c r="AV335" s="47">
        <f t="shared" si="430"/>
        <v>0</v>
      </c>
      <c r="AW335" s="47">
        <f t="shared" si="430"/>
        <v>0</v>
      </c>
      <c r="AX335" s="47">
        <f t="shared" si="430"/>
        <v>0</v>
      </c>
      <c r="AY335" s="47">
        <f t="shared" si="430"/>
        <v>0</v>
      </c>
      <c r="AZ335" s="47">
        <f t="shared" si="430"/>
        <v>0</v>
      </c>
      <c r="BA335" s="47">
        <f t="shared" si="430"/>
        <v>0</v>
      </c>
      <c r="BB335" s="47">
        <f t="shared" si="430"/>
        <v>0</v>
      </c>
      <c r="BC335" s="47">
        <f t="shared" si="430"/>
        <v>0</v>
      </c>
      <c r="BD335" s="47">
        <f t="shared" si="430"/>
        <v>0</v>
      </c>
      <c r="BE335" s="47">
        <f t="shared" si="430"/>
        <v>0</v>
      </c>
      <c r="BF335" s="47">
        <f t="shared" si="430"/>
        <v>0</v>
      </c>
      <c r="BG335" s="47">
        <f t="shared" si="430"/>
        <v>0</v>
      </c>
      <c r="BH335" s="47">
        <f t="shared" si="430"/>
        <v>0</v>
      </c>
      <c r="BI335" s="47">
        <f t="shared" si="430"/>
        <v>0</v>
      </c>
      <c r="BJ335" s="47">
        <f t="shared" si="430"/>
        <v>0</v>
      </c>
      <c r="BK335" s="47">
        <f t="shared" si="430"/>
        <v>0</v>
      </c>
      <c r="BL335" s="47">
        <f t="shared" si="430"/>
        <v>0</v>
      </c>
      <c r="BM335" s="47">
        <f t="shared" si="430"/>
        <v>0</v>
      </c>
      <c r="BN335" s="47">
        <f t="shared" si="430"/>
        <v>0</v>
      </c>
      <c r="BO335" s="47">
        <f t="shared" ref="BO335:BX335" si="431">IF(ISNUMBER(BO336),ROUND(BO312-BO336,1),"")</f>
        <v>0</v>
      </c>
      <c r="BP335" s="47">
        <f t="shared" si="431"/>
        <v>0</v>
      </c>
      <c r="BQ335" s="47">
        <f t="shared" si="431"/>
        <v>0</v>
      </c>
      <c r="BR335" s="47">
        <f t="shared" si="431"/>
        <v>0</v>
      </c>
      <c r="BS335" s="47">
        <f t="shared" si="431"/>
        <v>0</v>
      </c>
      <c r="BT335" s="47">
        <f t="shared" si="431"/>
        <v>0</v>
      </c>
      <c r="BU335" s="47">
        <f t="shared" si="431"/>
        <v>0</v>
      </c>
      <c r="BV335" s="47">
        <f t="shared" si="431"/>
        <v>0</v>
      </c>
      <c r="BW335" s="47">
        <f t="shared" si="431"/>
        <v>0</v>
      </c>
      <c r="BX335" s="47">
        <f t="shared" si="431"/>
        <v>0</v>
      </c>
      <c r="BY335" s="6"/>
      <c r="BZ335" s="6"/>
      <c r="CA335" s="6"/>
      <c r="CB335" s="6"/>
      <c r="CC335" s="6"/>
      <c r="CD335" s="6"/>
      <c r="CE335" s="6"/>
      <c r="CF335" s="6"/>
    </row>
    <row r="336" spans="2:84" ht="15" customHeight="1" x14ac:dyDescent="0.25">
      <c r="B336" s="42" t="s">
        <v>526</v>
      </c>
      <c r="C336" s="36">
        <v>2506.4209999999998</v>
      </c>
      <c r="D336" s="36">
        <v>2683.8049999999998</v>
      </c>
      <c r="E336" s="36">
        <v>3032.502</v>
      </c>
      <c r="F336" s="36">
        <v>3239.2829999999999</v>
      </c>
      <c r="G336" s="36">
        <v>3074.7429999999999</v>
      </c>
      <c r="H336" s="36">
        <v>3147.8220000000001</v>
      </c>
      <c r="I336" s="36">
        <v>3160.9259999999999</v>
      </c>
      <c r="J336" s="36">
        <v>3154.7750000000001</v>
      </c>
      <c r="K336" s="36">
        <v>3231.1190000000001</v>
      </c>
      <c r="L336" s="36">
        <v>3337.105</v>
      </c>
      <c r="M336" s="36">
        <v>3259.826</v>
      </c>
      <c r="N336" s="36">
        <v>3259.826</v>
      </c>
      <c r="O336" s="36">
        <v>3255.2570000000001</v>
      </c>
      <c r="P336" s="36">
        <v>3356.0430000000001</v>
      </c>
      <c r="Q336" s="36">
        <v>7338.8580000000002</v>
      </c>
      <c r="R336" s="36">
        <v>7464.3919999999998</v>
      </c>
      <c r="S336" s="36">
        <v>7464.3919999999998</v>
      </c>
      <c r="T336" s="36">
        <v>7417.6459999999997</v>
      </c>
      <c r="U336" s="36">
        <v>7499.6540000000005</v>
      </c>
      <c r="V336" s="36">
        <v>7438.4480000000003</v>
      </c>
      <c r="W336" s="36">
        <v>6961.732</v>
      </c>
      <c r="X336" s="36">
        <v>6961.732</v>
      </c>
      <c r="Y336" s="36">
        <v>7058.2870000000003</v>
      </c>
      <c r="Z336" s="36">
        <v>7233.3050000000003</v>
      </c>
      <c r="AA336" s="36">
        <v>7373.201</v>
      </c>
      <c r="AB336" s="36">
        <v>7300.9049999999997</v>
      </c>
      <c r="AC336" s="36">
        <v>7300.9049999999997</v>
      </c>
      <c r="AD336" s="36">
        <v>7393.7910000000002</v>
      </c>
      <c r="AE336" s="36">
        <v>7515.86</v>
      </c>
      <c r="AF336" s="36">
        <v>7566.7849999999999</v>
      </c>
      <c r="AG336" s="36">
        <v>8992.5110000000004</v>
      </c>
      <c r="AH336" s="36">
        <v>8992.5110000000004</v>
      </c>
      <c r="AI336" s="36">
        <v>8948.0499999999993</v>
      </c>
      <c r="AJ336" s="36">
        <v>9596.7520000000004</v>
      </c>
      <c r="AK336" s="36">
        <v>9588.1710000000003</v>
      </c>
      <c r="AL336" s="36">
        <v>9551.4189999999999</v>
      </c>
      <c r="AM336" s="36">
        <v>9551.4189999999999</v>
      </c>
      <c r="AN336" s="36">
        <v>10048.406999999999</v>
      </c>
      <c r="AO336" s="36">
        <v>10163.656999999999</v>
      </c>
      <c r="AP336" s="36">
        <v>10223.485000000001</v>
      </c>
      <c r="AQ336" s="36">
        <v>10131.6</v>
      </c>
      <c r="AR336" s="36">
        <v>10131.6</v>
      </c>
      <c r="AS336" s="36">
        <v>10503.4</v>
      </c>
      <c r="AT336" s="36">
        <v>10226.6</v>
      </c>
      <c r="AU336" s="36">
        <v>10435.4</v>
      </c>
      <c r="AV336" s="36">
        <v>10580.8</v>
      </c>
      <c r="AW336" s="36">
        <v>10580.8</v>
      </c>
      <c r="AX336" s="36">
        <v>10659.3</v>
      </c>
      <c r="AY336" s="36">
        <v>11223.1</v>
      </c>
      <c r="AZ336" s="36">
        <v>13786.2</v>
      </c>
      <c r="BA336" s="36">
        <v>14393</v>
      </c>
      <c r="BB336" s="36">
        <v>14393</v>
      </c>
      <c r="BC336" s="36">
        <v>14241.5</v>
      </c>
      <c r="BD336" s="36">
        <v>14542.8</v>
      </c>
      <c r="BE336" s="36">
        <v>14729.7</v>
      </c>
      <c r="BF336" s="36">
        <v>14993.6</v>
      </c>
      <c r="BG336" s="36">
        <v>14993.6</v>
      </c>
      <c r="BH336" s="36">
        <v>14890.9</v>
      </c>
      <c r="BI336" s="36">
        <v>15246.2</v>
      </c>
      <c r="BJ336" s="36">
        <v>14917.8</v>
      </c>
      <c r="BK336" s="36">
        <v>15124.9</v>
      </c>
      <c r="BL336" s="36">
        <v>15124.9</v>
      </c>
      <c r="BM336" s="36">
        <v>16240</v>
      </c>
      <c r="BN336" s="36">
        <v>16333</v>
      </c>
      <c r="BO336" s="36">
        <v>16469</v>
      </c>
      <c r="BP336" s="36">
        <v>18170</v>
      </c>
      <c r="BQ336" s="36">
        <v>18170</v>
      </c>
      <c r="BR336" s="36">
        <v>17724</v>
      </c>
      <c r="BS336" s="36">
        <v>18070</v>
      </c>
      <c r="BT336" s="36">
        <v>18653</v>
      </c>
      <c r="BU336" s="36">
        <v>18711</v>
      </c>
      <c r="BV336" s="36">
        <v>18711</v>
      </c>
      <c r="BW336" s="36">
        <v>20497</v>
      </c>
      <c r="BX336" s="36">
        <v>21305</v>
      </c>
      <c r="BY336" s="6"/>
      <c r="BZ336" s="6"/>
      <c r="CA336" s="6"/>
      <c r="CB336" s="6"/>
      <c r="CC336" s="6"/>
      <c r="CD336" s="6"/>
      <c r="CE336" s="6"/>
      <c r="CF336" s="6"/>
    </row>
    <row r="337" spans="2:84" ht="15" customHeight="1" x14ac:dyDescent="0.25">
      <c r="B337" s="61" t="s">
        <v>527</v>
      </c>
      <c r="C337" s="47">
        <f t="shared" ref="C337:AH337" si="432">IF(AND(ISNUMBER(C301),ISNUMBER(C276)),ROUND(C301-C276,1),"")</f>
        <v>0</v>
      </c>
      <c r="D337" s="47">
        <f t="shared" si="432"/>
        <v>0</v>
      </c>
      <c r="E337" s="47">
        <f t="shared" si="432"/>
        <v>0</v>
      </c>
      <c r="F337" s="47">
        <f t="shared" si="432"/>
        <v>0</v>
      </c>
      <c r="G337" s="47">
        <f t="shared" si="432"/>
        <v>0</v>
      </c>
      <c r="H337" s="47">
        <f t="shared" si="432"/>
        <v>0</v>
      </c>
      <c r="I337" s="47">
        <f t="shared" si="432"/>
        <v>0</v>
      </c>
      <c r="J337" s="47">
        <f t="shared" si="432"/>
        <v>0</v>
      </c>
      <c r="K337" s="47">
        <f t="shared" si="432"/>
        <v>0</v>
      </c>
      <c r="L337" s="47">
        <f t="shared" si="432"/>
        <v>0</v>
      </c>
      <c r="M337" s="47">
        <f t="shared" si="432"/>
        <v>0</v>
      </c>
      <c r="N337" s="47">
        <f t="shared" si="432"/>
        <v>0</v>
      </c>
      <c r="O337" s="47">
        <f t="shared" si="432"/>
        <v>0</v>
      </c>
      <c r="P337" s="47">
        <f t="shared" si="432"/>
        <v>0</v>
      </c>
      <c r="Q337" s="47">
        <f t="shared" si="432"/>
        <v>0</v>
      </c>
      <c r="R337" s="47">
        <f t="shared" si="432"/>
        <v>0</v>
      </c>
      <c r="S337" s="47">
        <f t="shared" si="432"/>
        <v>0</v>
      </c>
      <c r="T337" s="47">
        <f t="shared" si="432"/>
        <v>0</v>
      </c>
      <c r="U337" s="47">
        <f t="shared" si="432"/>
        <v>0</v>
      </c>
      <c r="V337" s="47">
        <f t="shared" si="432"/>
        <v>0</v>
      </c>
      <c r="W337" s="47">
        <f t="shared" si="432"/>
        <v>0</v>
      </c>
      <c r="X337" s="47">
        <f t="shared" si="432"/>
        <v>0</v>
      </c>
      <c r="Y337" s="47">
        <f t="shared" si="432"/>
        <v>0</v>
      </c>
      <c r="Z337" s="47">
        <f t="shared" si="432"/>
        <v>0</v>
      </c>
      <c r="AA337" s="47">
        <f t="shared" si="432"/>
        <v>0</v>
      </c>
      <c r="AB337" s="47">
        <f t="shared" si="432"/>
        <v>0</v>
      </c>
      <c r="AC337" s="47">
        <f t="shared" si="432"/>
        <v>0</v>
      </c>
      <c r="AD337" s="47">
        <f t="shared" si="432"/>
        <v>0</v>
      </c>
      <c r="AE337" s="47">
        <f t="shared" si="432"/>
        <v>0</v>
      </c>
      <c r="AF337" s="47">
        <f t="shared" si="432"/>
        <v>0</v>
      </c>
      <c r="AG337" s="47">
        <f t="shared" si="432"/>
        <v>0</v>
      </c>
      <c r="AH337" s="47">
        <f t="shared" si="432"/>
        <v>0</v>
      </c>
      <c r="AI337" s="47">
        <f t="shared" ref="AI337:BX337" si="433">IF(AND(ISNUMBER(AI301),ISNUMBER(AI276)),ROUND(AI301+N(AI302)-AI276,1),"")</f>
        <v>0</v>
      </c>
      <c r="AJ337" s="47">
        <f t="shared" si="433"/>
        <v>0</v>
      </c>
      <c r="AK337" s="47">
        <f t="shared" si="433"/>
        <v>0</v>
      </c>
      <c r="AL337" s="47">
        <f t="shared" si="433"/>
        <v>0</v>
      </c>
      <c r="AM337" s="47">
        <f t="shared" si="433"/>
        <v>0</v>
      </c>
      <c r="AN337" s="47">
        <f t="shared" si="433"/>
        <v>0</v>
      </c>
      <c r="AO337" s="47">
        <f t="shared" si="433"/>
        <v>0</v>
      </c>
      <c r="AP337" s="47">
        <f t="shared" si="433"/>
        <v>0</v>
      </c>
      <c r="AQ337" s="47">
        <f t="shared" si="433"/>
        <v>0</v>
      </c>
      <c r="AR337" s="47">
        <f t="shared" si="433"/>
        <v>0</v>
      </c>
      <c r="AS337" s="47">
        <f t="shared" si="433"/>
        <v>0</v>
      </c>
      <c r="AT337" s="47">
        <f t="shared" si="433"/>
        <v>0</v>
      </c>
      <c r="AU337" s="47">
        <f t="shared" si="433"/>
        <v>0</v>
      </c>
      <c r="AV337" s="47">
        <f t="shared" si="433"/>
        <v>0</v>
      </c>
      <c r="AW337" s="47">
        <f t="shared" si="433"/>
        <v>0</v>
      </c>
      <c r="AX337" s="47">
        <f t="shared" si="433"/>
        <v>0</v>
      </c>
      <c r="AY337" s="47">
        <f t="shared" si="433"/>
        <v>0</v>
      </c>
      <c r="AZ337" s="47">
        <f t="shared" si="433"/>
        <v>0</v>
      </c>
      <c r="BA337" s="47">
        <f t="shared" si="433"/>
        <v>0</v>
      </c>
      <c r="BB337" s="47">
        <f t="shared" si="433"/>
        <v>0</v>
      </c>
      <c r="BC337" s="47">
        <f t="shared" si="433"/>
        <v>0</v>
      </c>
      <c r="BD337" s="47">
        <f t="shared" si="433"/>
        <v>0</v>
      </c>
      <c r="BE337" s="47">
        <f t="shared" si="433"/>
        <v>0</v>
      </c>
      <c r="BF337" s="47">
        <f t="shared" si="433"/>
        <v>0</v>
      </c>
      <c r="BG337" s="47">
        <f t="shared" si="433"/>
        <v>0</v>
      </c>
      <c r="BH337" s="47">
        <f t="shared" si="433"/>
        <v>0</v>
      </c>
      <c r="BI337" s="47">
        <f t="shared" si="433"/>
        <v>0</v>
      </c>
      <c r="BJ337" s="47">
        <f t="shared" si="433"/>
        <v>0</v>
      </c>
      <c r="BK337" s="47">
        <f t="shared" si="433"/>
        <v>0</v>
      </c>
      <c r="BL337" s="47">
        <f t="shared" si="433"/>
        <v>0</v>
      </c>
      <c r="BM337" s="47">
        <f t="shared" si="433"/>
        <v>0</v>
      </c>
      <c r="BN337" s="47">
        <f t="shared" si="433"/>
        <v>0</v>
      </c>
      <c r="BO337" s="47">
        <f t="shared" si="433"/>
        <v>0</v>
      </c>
      <c r="BP337" s="47">
        <f t="shared" si="433"/>
        <v>0</v>
      </c>
      <c r="BQ337" s="47">
        <f t="shared" si="433"/>
        <v>0</v>
      </c>
      <c r="BR337" s="47">
        <f t="shared" si="433"/>
        <v>0</v>
      </c>
      <c r="BS337" s="47">
        <f t="shared" si="433"/>
        <v>0</v>
      </c>
      <c r="BT337" s="47">
        <f t="shared" si="433"/>
        <v>0</v>
      </c>
      <c r="BU337" s="47">
        <f t="shared" si="433"/>
        <v>0</v>
      </c>
      <c r="BV337" s="47">
        <f t="shared" si="433"/>
        <v>0</v>
      </c>
      <c r="BW337" s="47">
        <f t="shared" si="433"/>
        <v>0</v>
      </c>
      <c r="BX337" s="47">
        <f t="shared" si="433"/>
        <v>0</v>
      </c>
      <c r="BY337" s="6"/>
      <c r="BZ337" s="6"/>
      <c r="CA337" s="37">
        <f>IF(AND(ISNUMBER(CA301),ISNUMBER(CA276)),ROUND(CA301+N(CA302)-CA276,1),"")</f>
        <v>0</v>
      </c>
      <c r="CB337" s="37">
        <f>IF(AND(ISNUMBER(CB301),ISNUMBER(CB276)),ROUND(CB301+N(CB302)-CB276,1),"")</f>
        <v>0</v>
      </c>
      <c r="CC337" s="37">
        <f>IF(AND(ISNUMBER(CC301),ISNUMBER(CC276)),ROUND(CC301+N(CC302)-CC276,1),"")</f>
        <v>0</v>
      </c>
      <c r="CD337" s="37">
        <f>IF(AND(ISNUMBER(CD301),ISNUMBER(CD276)),ROUND(CD301+N(CD302)-CD276,1),"")</f>
        <v>0</v>
      </c>
      <c r="CE337" s="37">
        <f>IF(AND(ISNUMBER(CE301),ISNUMBER(CE276)),ROUND(CE301+N(CE302)-CE276,1),"")</f>
        <v>0</v>
      </c>
      <c r="CF337" s="6"/>
    </row>
    <row r="338" spans="2:84" ht="15" customHeight="1" x14ac:dyDescent="0.25">
      <c r="B338" s="42" t="s">
        <v>528</v>
      </c>
      <c r="F338" s="48">
        <v>45.399000000000001</v>
      </c>
      <c r="G338" s="48">
        <v>45.579000000000001</v>
      </c>
      <c r="H338" s="48">
        <v>45.725999999999999</v>
      </c>
      <c r="I338" s="48">
        <v>46.002000000000002</v>
      </c>
      <c r="M338" s="48">
        <v>46.261000000000003</v>
      </c>
      <c r="N338" s="48">
        <v>46.261000000000003</v>
      </c>
      <c r="R338" s="48">
        <v>67.293000000000006</v>
      </c>
      <c r="S338" s="48">
        <v>67.293000000000006</v>
      </c>
      <c r="W338" s="48">
        <v>64.478999999999999</v>
      </c>
      <c r="X338" s="48">
        <v>64.478999999999999</v>
      </c>
      <c r="AB338" s="48">
        <v>63.176000000000002</v>
      </c>
      <c r="AC338" s="48">
        <v>63.176000000000002</v>
      </c>
      <c r="AG338" s="48">
        <v>62.872999999999998</v>
      </c>
      <c r="AH338" s="48">
        <v>62.872999999999998</v>
      </c>
      <c r="AL338" s="48">
        <v>62.515000000000001</v>
      </c>
      <c r="AM338" s="48">
        <v>62.515000000000001</v>
      </c>
      <c r="AQ338" s="48">
        <v>62.4</v>
      </c>
      <c r="AR338" s="48">
        <v>62.4</v>
      </c>
      <c r="AV338" s="48">
        <v>62.3</v>
      </c>
      <c r="AW338" s="48">
        <v>62.3</v>
      </c>
      <c r="AZ338" s="48">
        <v>62.4</v>
      </c>
      <c r="BA338" s="48">
        <v>62.4</v>
      </c>
      <c r="BB338" s="48">
        <v>62.4</v>
      </c>
      <c r="BC338" s="48">
        <v>62.4</v>
      </c>
      <c r="BD338" s="48">
        <v>62.4</v>
      </c>
      <c r="BE338" s="48">
        <v>62.1</v>
      </c>
      <c r="BF338" s="48">
        <v>62.1</v>
      </c>
      <c r="BG338" s="48">
        <v>62.1</v>
      </c>
      <c r="BH338" s="48">
        <v>62</v>
      </c>
      <c r="BI338" s="48">
        <v>61.8</v>
      </c>
      <c r="BJ338" s="48">
        <v>61.807161000000001</v>
      </c>
      <c r="BK338" s="48">
        <v>61.821421000000001</v>
      </c>
      <c r="BL338" s="48">
        <v>61.821421000000001</v>
      </c>
      <c r="BM338" s="48">
        <v>61.639964999999997</v>
      </c>
      <c r="BN338" s="48">
        <v>61.117052999999999</v>
      </c>
      <c r="BO338" s="48">
        <v>61.118057</v>
      </c>
      <c r="BP338" s="48">
        <v>61.126646000000001</v>
      </c>
      <c r="BQ338" s="48">
        <v>61.126646000000001</v>
      </c>
      <c r="BR338" s="48">
        <v>60.278790000000001</v>
      </c>
      <c r="BS338" s="48">
        <v>60.305739000000003</v>
      </c>
      <c r="BT338" s="48">
        <v>60.307143000000003</v>
      </c>
      <c r="BU338" s="48">
        <v>60.309739</v>
      </c>
      <c r="BV338" s="48">
        <v>60.309739</v>
      </c>
      <c r="BW338" s="48">
        <v>60.045900000000003</v>
      </c>
      <c r="BX338" s="48">
        <v>60.050859000000003</v>
      </c>
      <c r="BY338" s="6"/>
      <c r="BZ338" s="6"/>
      <c r="CA338" s="63">
        <f>CA295</f>
        <v>71.104401999999993</v>
      </c>
      <c r="CB338" s="63">
        <f>CB295</f>
        <v>71.254401999999999</v>
      </c>
      <c r="CC338" s="63">
        <f>CC295</f>
        <v>71.404402000000005</v>
      </c>
      <c r="CD338" s="63">
        <f>CD295</f>
        <v>68.737190336080985</v>
      </c>
      <c r="CE338" s="63">
        <f>CE295</f>
        <v>64.649426903357963</v>
      </c>
      <c r="CF338" s="6"/>
    </row>
    <row r="339" spans="2:84" ht="15" customHeight="1" x14ac:dyDescent="0.25"/>
    <row r="340" spans="2:84" ht="15" customHeight="1" x14ac:dyDescent="0.25">
      <c r="B340" s="11" t="s">
        <v>529</v>
      </c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/>
      <c r="AZ340" s="11"/>
      <c r="BA340" s="11"/>
      <c r="BB340" s="11"/>
      <c r="BC340" s="11"/>
      <c r="BD340" s="11"/>
      <c r="BE340" s="11"/>
      <c r="BF340" s="11"/>
      <c r="BG340" s="11"/>
      <c r="BH340" s="11"/>
      <c r="BI340" s="11"/>
      <c r="BJ340" s="11"/>
      <c r="BK340" s="11"/>
      <c r="BL340" s="11"/>
      <c r="BM340" s="11"/>
      <c r="BN340" s="11"/>
      <c r="BO340" s="11"/>
      <c r="BP340" s="11"/>
      <c r="BQ340" s="11"/>
      <c r="BR340" s="11"/>
      <c r="BS340" s="11"/>
      <c r="BT340" s="11"/>
      <c r="BU340" s="11"/>
      <c r="BV340" s="11"/>
      <c r="BW340" s="11"/>
      <c r="BX340" s="11"/>
      <c r="BY340" s="11"/>
      <c r="BZ340" s="11"/>
      <c r="CA340" s="11"/>
      <c r="CB340" s="11"/>
      <c r="CC340" s="11"/>
      <c r="CD340" s="11"/>
      <c r="CE340" s="11"/>
      <c r="CF340" s="11" t="s">
        <v>530</v>
      </c>
    </row>
    <row r="341" spans="2:84" ht="15" customHeight="1" x14ac:dyDescent="0.25">
      <c r="B341" s="26" t="s">
        <v>531</v>
      </c>
      <c r="C341" s="47">
        <f t="shared" ref="C341:AH341" si="434">C158</f>
        <v>2206.4</v>
      </c>
      <c r="D341" s="47">
        <f t="shared" si="434"/>
        <v>2207.1</v>
      </c>
      <c r="E341" s="47">
        <f t="shared" si="434"/>
        <v>2120.1</v>
      </c>
      <c r="F341" s="47">
        <f t="shared" si="434"/>
        <v>1702.6</v>
      </c>
      <c r="G341" s="47">
        <f t="shared" si="434"/>
        <v>1782.9</v>
      </c>
      <c r="H341" s="47">
        <f t="shared" si="434"/>
        <v>1713.9</v>
      </c>
      <c r="I341" s="47">
        <f t="shared" si="434"/>
        <v>2037.6</v>
      </c>
      <c r="J341" s="47">
        <f t="shared" si="434"/>
        <v>385</v>
      </c>
      <c r="K341" s="47">
        <f t="shared" si="434"/>
        <v>562.70000000000005</v>
      </c>
      <c r="L341" s="47">
        <f t="shared" si="434"/>
        <v>665.3</v>
      </c>
      <c r="M341" s="47">
        <f t="shared" si="434"/>
        <v>545</v>
      </c>
      <c r="N341" s="47">
        <f t="shared" si="434"/>
        <v>2155.5</v>
      </c>
      <c r="O341" s="47">
        <f t="shared" si="434"/>
        <v>428.7</v>
      </c>
      <c r="P341" s="47">
        <f t="shared" si="434"/>
        <v>669.2</v>
      </c>
      <c r="Q341" s="47">
        <f t="shared" si="434"/>
        <v>1003.7</v>
      </c>
      <c r="R341" s="47">
        <f t="shared" si="434"/>
        <v>856.3</v>
      </c>
      <c r="S341" s="47">
        <f t="shared" si="434"/>
        <v>2958</v>
      </c>
      <c r="T341" s="47">
        <f t="shared" si="434"/>
        <v>691.4</v>
      </c>
      <c r="U341" s="47">
        <f t="shared" si="434"/>
        <v>921.4</v>
      </c>
      <c r="V341" s="47">
        <f t="shared" si="434"/>
        <v>1082.2</v>
      </c>
      <c r="W341" s="47">
        <f t="shared" si="434"/>
        <v>844.6</v>
      </c>
      <c r="X341" s="47">
        <f t="shared" si="434"/>
        <v>3539.6</v>
      </c>
      <c r="Y341" s="47">
        <f t="shared" si="434"/>
        <v>788.8</v>
      </c>
      <c r="Z341" s="47">
        <f t="shared" si="434"/>
        <v>977.3</v>
      </c>
      <c r="AA341" s="47">
        <f t="shared" si="434"/>
        <v>1103.9000000000001</v>
      </c>
      <c r="AB341" s="47">
        <f t="shared" si="434"/>
        <v>948.8</v>
      </c>
      <c r="AC341" s="47">
        <f t="shared" si="434"/>
        <v>3818.8</v>
      </c>
      <c r="AD341" s="47">
        <f t="shared" si="434"/>
        <v>843.9</v>
      </c>
      <c r="AE341" s="47">
        <f t="shared" si="434"/>
        <v>1063.5</v>
      </c>
      <c r="AF341" s="47">
        <f t="shared" si="434"/>
        <v>1087.7</v>
      </c>
      <c r="AG341" s="47">
        <f t="shared" si="434"/>
        <v>970.5</v>
      </c>
      <c r="AH341" s="47">
        <f t="shared" si="434"/>
        <v>3965.6</v>
      </c>
      <c r="AI341" s="47">
        <f t="shared" ref="AI341:BN341" si="435">AI158</f>
        <v>802</v>
      </c>
      <c r="AJ341" s="47">
        <f t="shared" si="435"/>
        <v>1202.403</v>
      </c>
      <c r="AK341" s="47">
        <f t="shared" si="435"/>
        <v>1219.6400000000001</v>
      </c>
      <c r="AL341" s="47">
        <f t="shared" si="435"/>
        <v>1020.218</v>
      </c>
      <c r="AM341" s="47">
        <f t="shared" si="435"/>
        <v>4244.2650000000003</v>
      </c>
      <c r="AN341" s="47">
        <f t="shared" si="435"/>
        <v>938.95500000000004</v>
      </c>
      <c r="AO341" s="47">
        <f t="shared" si="435"/>
        <v>1279.4680000000001</v>
      </c>
      <c r="AP341" s="47">
        <f t="shared" si="435"/>
        <v>1420.2460000000001</v>
      </c>
      <c r="AQ341" s="47">
        <f t="shared" si="435"/>
        <v>1100.43</v>
      </c>
      <c r="AR341" s="47">
        <f t="shared" si="435"/>
        <v>4739.098</v>
      </c>
      <c r="AS341" s="47">
        <f t="shared" si="435"/>
        <v>958.2</v>
      </c>
      <c r="AT341" s="47">
        <f t="shared" si="435"/>
        <v>1270.5999999999999</v>
      </c>
      <c r="AU341" s="47">
        <f t="shared" si="435"/>
        <v>1321.4</v>
      </c>
      <c r="AV341" s="47">
        <f t="shared" si="435"/>
        <v>1179.5999999999999</v>
      </c>
      <c r="AW341" s="47">
        <f t="shared" si="435"/>
        <v>4729.8999999999996</v>
      </c>
      <c r="AX341" s="47">
        <f t="shared" si="435"/>
        <v>982.4</v>
      </c>
      <c r="AY341" s="47">
        <f t="shared" si="435"/>
        <v>1377.9</v>
      </c>
      <c r="AZ341" s="47">
        <f t="shared" si="435"/>
        <v>1557.3</v>
      </c>
      <c r="BA341" s="47">
        <f t="shared" si="435"/>
        <v>1496.4</v>
      </c>
      <c r="BB341" s="47">
        <f t="shared" si="435"/>
        <v>5414</v>
      </c>
      <c r="BC341" s="47">
        <f t="shared" si="435"/>
        <v>1230.8</v>
      </c>
      <c r="BD341" s="47">
        <f t="shared" si="435"/>
        <v>1641.7</v>
      </c>
      <c r="BE341" s="47">
        <f t="shared" si="435"/>
        <v>1811.7</v>
      </c>
      <c r="BF341" s="47">
        <f t="shared" si="435"/>
        <v>1476.5</v>
      </c>
      <c r="BG341" s="47">
        <f t="shared" si="435"/>
        <v>6160.7</v>
      </c>
      <c r="BH341" s="47">
        <f t="shared" si="435"/>
        <v>1354.1</v>
      </c>
      <c r="BI341" s="47">
        <f t="shared" si="435"/>
        <v>1820.8</v>
      </c>
      <c r="BJ341" s="47">
        <f t="shared" si="435"/>
        <v>1994.1</v>
      </c>
      <c r="BK341" s="47">
        <f t="shared" si="435"/>
        <v>1608.2</v>
      </c>
      <c r="BL341" s="47">
        <f t="shared" si="435"/>
        <v>6777.2</v>
      </c>
      <c r="BM341" s="47">
        <f t="shared" si="435"/>
        <v>1251</v>
      </c>
      <c r="BN341" s="47">
        <f t="shared" si="435"/>
        <v>1764</v>
      </c>
      <c r="BO341" s="47">
        <f t="shared" ref="BO341:BX341" si="436">BO158</f>
        <v>1889</v>
      </c>
      <c r="BP341" s="47">
        <f t="shared" si="436"/>
        <v>1632</v>
      </c>
      <c r="BQ341" s="47">
        <f t="shared" si="436"/>
        <v>6536</v>
      </c>
      <c r="BR341" s="47">
        <f t="shared" si="436"/>
        <v>1162</v>
      </c>
      <c r="BS341" s="47">
        <f t="shared" si="436"/>
        <v>1609</v>
      </c>
      <c r="BT341" s="47">
        <f t="shared" si="436"/>
        <v>1846</v>
      </c>
      <c r="BU341" s="47">
        <f t="shared" si="436"/>
        <v>1534</v>
      </c>
      <c r="BV341" s="47">
        <f t="shared" si="436"/>
        <v>6150</v>
      </c>
      <c r="BW341" s="47">
        <f t="shared" si="436"/>
        <v>1362</v>
      </c>
      <c r="BX341" s="47">
        <f t="shared" si="436"/>
        <v>1947</v>
      </c>
      <c r="BY341" s="6"/>
      <c r="BZ341" s="6"/>
      <c r="CA341" s="37">
        <f>CA158+CA72*(365-CA71)/365</f>
        <v>9137.2362883837395</v>
      </c>
      <c r="CB341" s="37">
        <f>CB158</f>
        <v>9816.8190469065903</v>
      </c>
      <c r="CC341" s="37">
        <f>CC158</f>
        <v>10602.490072574432</v>
      </c>
      <c r="CD341" s="37">
        <f>CD158</f>
        <v>11493.628616342534</v>
      </c>
      <c r="CE341" s="37">
        <f>CE158</f>
        <v>12485.771844491006</v>
      </c>
      <c r="CF341" s="20" t="s">
        <v>532</v>
      </c>
    </row>
    <row r="342" spans="2:84" ht="15" customHeight="1" x14ac:dyDescent="0.25">
      <c r="B342" s="26" t="s">
        <v>533</v>
      </c>
      <c r="C342" s="47">
        <f t="shared" ref="C342:AH342" si="437">C341*C161/C158</f>
        <v>1683.9</v>
      </c>
      <c r="D342" s="47">
        <f t="shared" si="437"/>
        <v>1636.1</v>
      </c>
      <c r="E342" s="47">
        <f t="shared" si="437"/>
        <v>1649.7</v>
      </c>
      <c r="F342" s="47">
        <f t="shared" si="437"/>
        <v>1364.9</v>
      </c>
      <c r="G342" s="47">
        <f t="shared" si="437"/>
        <v>1460.9</v>
      </c>
      <c r="H342" s="47">
        <f t="shared" si="437"/>
        <v>1411.9</v>
      </c>
      <c r="I342" s="47">
        <f t="shared" si="437"/>
        <v>1711.7</v>
      </c>
      <c r="J342" s="47">
        <f t="shared" si="437"/>
        <v>372.4</v>
      </c>
      <c r="K342" s="47">
        <f t="shared" si="437"/>
        <v>455.9</v>
      </c>
      <c r="L342" s="47">
        <f t="shared" si="437"/>
        <v>522.20000000000005</v>
      </c>
      <c r="M342" s="47">
        <f t="shared" si="437"/>
        <v>444</v>
      </c>
      <c r="N342" s="47">
        <f t="shared" si="437"/>
        <v>1791.5</v>
      </c>
      <c r="O342" s="47">
        <f t="shared" si="437"/>
        <v>402.9</v>
      </c>
      <c r="P342" s="47">
        <f t="shared" si="437"/>
        <v>533.6</v>
      </c>
      <c r="Q342" s="47">
        <f t="shared" si="437"/>
        <v>808.1</v>
      </c>
      <c r="R342" s="47">
        <f t="shared" si="437"/>
        <v>691</v>
      </c>
      <c r="S342" s="47">
        <f t="shared" si="437"/>
        <v>2435.6</v>
      </c>
      <c r="T342" s="47">
        <f t="shared" si="437"/>
        <v>617.1</v>
      </c>
      <c r="U342" s="47">
        <f t="shared" si="437"/>
        <v>721.2</v>
      </c>
      <c r="V342" s="47">
        <f t="shared" si="437"/>
        <v>819.7</v>
      </c>
      <c r="W342" s="47">
        <f t="shared" si="437"/>
        <v>659.8</v>
      </c>
      <c r="X342" s="47">
        <f t="shared" si="437"/>
        <v>2817.8</v>
      </c>
      <c r="Y342" s="47">
        <f t="shared" si="437"/>
        <v>644.20000000000005</v>
      </c>
      <c r="Z342" s="47">
        <f t="shared" si="437"/>
        <v>730.6</v>
      </c>
      <c r="AA342" s="47">
        <f t="shared" si="437"/>
        <v>811.3</v>
      </c>
      <c r="AB342" s="47">
        <f t="shared" si="437"/>
        <v>723.7</v>
      </c>
      <c r="AC342" s="47">
        <f t="shared" si="437"/>
        <v>2909.8</v>
      </c>
      <c r="AD342" s="47">
        <f t="shared" si="437"/>
        <v>696.8</v>
      </c>
      <c r="AE342" s="47">
        <f t="shared" si="437"/>
        <v>789.4</v>
      </c>
      <c r="AF342" s="47">
        <f t="shared" si="437"/>
        <v>796</v>
      </c>
      <c r="AG342" s="47">
        <f t="shared" si="437"/>
        <v>711.4</v>
      </c>
      <c r="AH342" s="47">
        <f t="shared" si="437"/>
        <v>2993.7</v>
      </c>
      <c r="AI342" s="47">
        <f t="shared" ref="AI342:BN342" si="438">AI341*AI161/AI158</f>
        <v>691.60000000000014</v>
      </c>
      <c r="AJ342" s="47">
        <f t="shared" si="438"/>
        <v>886.48599999999999</v>
      </c>
      <c r="AK342" s="47">
        <f t="shared" si="438"/>
        <v>906.65599999999995</v>
      </c>
      <c r="AL342" s="47">
        <f t="shared" si="438"/>
        <v>792.93399999999997</v>
      </c>
      <c r="AM342" s="47">
        <f t="shared" si="438"/>
        <v>3277.6880000000001</v>
      </c>
      <c r="AN342" s="47">
        <f t="shared" si="438"/>
        <v>796.048</v>
      </c>
      <c r="AO342" s="47">
        <f t="shared" si="438"/>
        <v>922.60100000000011</v>
      </c>
      <c r="AP342" s="47">
        <f t="shared" si="438"/>
        <v>999.601</v>
      </c>
      <c r="AQ342" s="47">
        <f t="shared" si="438"/>
        <v>841.84100000000001</v>
      </c>
      <c r="AR342" s="47">
        <f t="shared" si="438"/>
        <v>3560.0909999999999</v>
      </c>
      <c r="AS342" s="47">
        <f t="shared" si="438"/>
        <v>815.8</v>
      </c>
      <c r="AT342" s="47">
        <f t="shared" si="438"/>
        <v>890.10000000000014</v>
      </c>
      <c r="AU342" s="47">
        <f t="shared" si="438"/>
        <v>916.90000000000009</v>
      </c>
      <c r="AV342" s="47">
        <f t="shared" si="438"/>
        <v>854.2</v>
      </c>
      <c r="AW342" s="47">
        <f t="shared" si="438"/>
        <v>3477.1</v>
      </c>
      <c r="AX342" s="47">
        <f t="shared" si="438"/>
        <v>807.7</v>
      </c>
      <c r="AY342" s="47">
        <f t="shared" si="438"/>
        <v>992.80000000000007</v>
      </c>
      <c r="AZ342" s="47">
        <f t="shared" si="438"/>
        <v>1115.4000000000001</v>
      </c>
      <c r="BA342" s="47">
        <f t="shared" si="438"/>
        <v>1149.7</v>
      </c>
      <c r="BB342" s="47">
        <f t="shared" si="438"/>
        <v>4065.6</v>
      </c>
      <c r="BC342" s="47">
        <f t="shared" si="438"/>
        <v>1074.7</v>
      </c>
      <c r="BD342" s="47">
        <f t="shared" si="438"/>
        <v>1216.5</v>
      </c>
      <c r="BE342" s="47">
        <f t="shared" si="438"/>
        <v>1323.9</v>
      </c>
      <c r="BF342" s="47">
        <f t="shared" si="438"/>
        <v>1122.3</v>
      </c>
      <c r="BG342" s="47">
        <f t="shared" si="438"/>
        <v>4737.3999999999996</v>
      </c>
      <c r="BH342" s="47">
        <f t="shared" si="438"/>
        <v>1051.3</v>
      </c>
      <c r="BI342" s="47">
        <f t="shared" si="438"/>
        <v>1260.4000000000001</v>
      </c>
      <c r="BJ342" s="47">
        <f t="shared" si="438"/>
        <v>1318.1</v>
      </c>
      <c r="BK342" s="47">
        <f t="shared" si="438"/>
        <v>1124.7</v>
      </c>
      <c r="BL342" s="47">
        <f t="shared" si="438"/>
        <v>4754.6000000000004</v>
      </c>
      <c r="BM342" s="47">
        <f t="shared" si="438"/>
        <v>979</v>
      </c>
      <c r="BN342" s="47">
        <f t="shared" si="438"/>
        <v>1247</v>
      </c>
      <c r="BO342" s="47">
        <f t="shared" ref="BO342:BX342" si="439">BO341*BO161/BO158</f>
        <v>1290</v>
      </c>
      <c r="BP342" s="47">
        <f t="shared" si="439"/>
        <v>1143</v>
      </c>
      <c r="BQ342" s="47">
        <f t="shared" si="439"/>
        <v>4658</v>
      </c>
      <c r="BR342" s="47">
        <f t="shared" si="439"/>
        <v>847</v>
      </c>
      <c r="BS342" s="47">
        <f t="shared" si="439"/>
        <v>1113</v>
      </c>
      <c r="BT342" s="47">
        <f t="shared" si="439"/>
        <v>1235</v>
      </c>
      <c r="BU342" s="47">
        <f t="shared" si="439"/>
        <v>1066</v>
      </c>
      <c r="BV342" s="47">
        <f t="shared" si="439"/>
        <v>4261</v>
      </c>
      <c r="BW342" s="47">
        <f t="shared" si="439"/>
        <v>1052</v>
      </c>
      <c r="BX342" s="47">
        <f t="shared" si="439"/>
        <v>1452</v>
      </c>
      <c r="BY342" s="6"/>
      <c r="BZ342" s="6"/>
      <c r="CA342" s="37">
        <f>CA341*CA161/CA158</f>
        <v>6694.1776355784596</v>
      </c>
      <c r="CB342" s="37">
        <f>CB341*CB161/CB158</f>
        <v>6865.3810181661293</v>
      </c>
      <c r="CC342" s="37">
        <f>CC341*CC161/CC158</f>
        <v>7146.2687838728025</v>
      </c>
      <c r="CD342" s="37">
        <f>CD341*CD161/CD158</f>
        <v>7563.5927064035841</v>
      </c>
      <c r="CE342" s="37">
        <f>CE341*CE161/CE158</f>
        <v>8047.8703990531503</v>
      </c>
      <c r="CF342" s="6"/>
    </row>
    <row r="343" spans="2:84" ht="15" customHeight="1" x14ac:dyDescent="0.25">
      <c r="B343" s="26" t="s">
        <v>534</v>
      </c>
      <c r="C343" s="74">
        <f t="shared" ref="C343:I344" si="440">IFERROR(C303/C341*365,"n/a")</f>
        <v>40.099544506889053</v>
      </c>
      <c r="D343" s="74">
        <f t="shared" si="440"/>
        <v>40.65555253500068</v>
      </c>
      <c r="E343" s="74">
        <f t="shared" si="440"/>
        <v>36.428725060138675</v>
      </c>
      <c r="F343" s="74">
        <f t="shared" si="440"/>
        <v>34.903955714789149</v>
      </c>
      <c r="G343" s="74">
        <f t="shared" si="440"/>
        <v>37.538148522070784</v>
      </c>
      <c r="H343" s="74">
        <f t="shared" si="440"/>
        <v>43.391107999299841</v>
      </c>
      <c r="I343" s="74">
        <f t="shared" si="440"/>
        <v>40.134594621122893</v>
      </c>
      <c r="J343" s="74">
        <f t="shared" ref="J343:M344" si="441">IFERROR(J303/J341*91.25,"n/a")</f>
        <v>47.912175324675331</v>
      </c>
      <c r="K343" s="74">
        <f t="shared" si="441"/>
        <v>46.625717522658611</v>
      </c>
      <c r="L343" s="74">
        <f t="shared" si="441"/>
        <v>45.402807004358934</v>
      </c>
      <c r="M343" s="74">
        <f t="shared" si="441"/>
        <v>41.091130733944951</v>
      </c>
      <c r="N343" s="74">
        <f>IFERROR(N303/N341*365,"n/a")</f>
        <v>41.558183716075156</v>
      </c>
      <c r="O343" s="74">
        <f t="shared" ref="O343:R344" si="442">IFERROR(O303/O341*91.25,"n/a")</f>
        <v>51.635324819220905</v>
      </c>
      <c r="P343" s="74">
        <f t="shared" si="442"/>
        <v>46.877301255230122</v>
      </c>
      <c r="Q343" s="74">
        <f t="shared" si="442"/>
        <v>47.632190893693327</v>
      </c>
      <c r="R343" s="74">
        <f t="shared" si="442"/>
        <v>44.863180252248043</v>
      </c>
      <c r="S343" s="74">
        <f>IFERROR(S303/S341*365,"n/a")</f>
        <v>51.949075388776194</v>
      </c>
      <c r="T343" s="74">
        <f t="shared" ref="T343:W344" si="443">IFERROR(T303/T341*91.25,"n/a")</f>
        <v>50.335184046861443</v>
      </c>
      <c r="U343" s="74">
        <f t="shared" si="443"/>
        <v>49.266285001085308</v>
      </c>
      <c r="V343" s="74">
        <f t="shared" si="443"/>
        <v>48.687802624283862</v>
      </c>
      <c r="W343" s="74">
        <f t="shared" si="443"/>
        <v>44.395620708027465</v>
      </c>
      <c r="X343" s="74">
        <f>IFERROR(X303/X341*365,"n/a")</f>
        <v>42.373761159453046</v>
      </c>
      <c r="Y343" s="74">
        <f t="shared" ref="Y343:AB344" si="444">IFERROR(Y303/Y341*91.25,"n/a")</f>
        <v>51.831110547667343</v>
      </c>
      <c r="Z343" s="74">
        <f t="shared" si="444"/>
        <v>49.902162846618232</v>
      </c>
      <c r="AA343" s="74">
        <f t="shared" si="444"/>
        <v>46.821524821088857</v>
      </c>
      <c r="AB343" s="74">
        <f t="shared" si="444"/>
        <v>44.039088849072513</v>
      </c>
      <c r="AC343" s="74">
        <f>IFERROR(AC303/AC341*365,"n/a")</f>
        <v>43.76692940190636</v>
      </c>
      <c r="AD343" s="74">
        <f t="shared" ref="AD343:AG344" si="445">IFERROR(AD303/AD341*91.25,"n/a")</f>
        <v>51.817002903187579</v>
      </c>
      <c r="AE343" s="74">
        <f t="shared" si="445"/>
        <v>48.959936530324406</v>
      </c>
      <c r="AF343" s="74">
        <f t="shared" si="445"/>
        <v>48.870134228187915</v>
      </c>
      <c r="AG343" s="74">
        <f t="shared" si="445"/>
        <v>45.812107161257082</v>
      </c>
      <c r="AH343" s="74">
        <f>IFERROR(AH303/AH341*365,"n/a")</f>
        <v>44.846328424450277</v>
      </c>
      <c r="AI343" s="74">
        <f t="shared" ref="AI343:AL344" si="446">IFERROR(AI303/AI341*91.25,"n/a")</f>
        <v>53.073480361596005</v>
      </c>
      <c r="AJ343" s="74">
        <f t="shared" si="446"/>
        <v>51.268802972048476</v>
      </c>
      <c r="AK343" s="74">
        <f t="shared" si="446"/>
        <v>48.244722828047621</v>
      </c>
      <c r="AL343" s="74">
        <f t="shared" si="446"/>
        <v>46.802678447155408</v>
      </c>
      <c r="AM343" s="74">
        <f>IFERROR(AM303/AM341*365,"n/a")</f>
        <v>45.000898859991068</v>
      </c>
      <c r="AN343" s="74">
        <f t="shared" ref="AN343:AQ344" si="447">IFERROR(AN303/AN341*91.25,"n/a")</f>
        <v>53.50936812733304</v>
      </c>
      <c r="AO343" s="74">
        <f t="shared" si="447"/>
        <v>50.679427895031374</v>
      </c>
      <c r="AP343" s="74">
        <f t="shared" si="447"/>
        <v>49.078728262568596</v>
      </c>
      <c r="AQ343" s="74">
        <f t="shared" si="447"/>
        <v>47.572426233381499</v>
      </c>
      <c r="AR343" s="74">
        <f>IFERROR(AR303/AR341*365,"n/a")</f>
        <v>44.185729014255458</v>
      </c>
      <c r="AS343" s="74">
        <f t="shared" ref="AS343:AV344" si="448">IFERROR(AS303/AS341*91.25,"n/a")</f>
        <v>53.595804633688154</v>
      </c>
      <c r="AT343" s="74">
        <f t="shared" si="448"/>
        <v>49.582087202896268</v>
      </c>
      <c r="AU343" s="74">
        <f t="shared" si="448"/>
        <v>47.392822006962305</v>
      </c>
      <c r="AV343" s="74">
        <f t="shared" si="448"/>
        <v>44.487856052899296</v>
      </c>
      <c r="AW343" s="74">
        <f>IFERROR(AW303/AW341*365,"n/a")</f>
        <v>44.379690902556085</v>
      </c>
      <c r="AX343" s="74">
        <f t="shared" ref="AX343:BA344" si="449">IFERROR(AX303/AX341*91.25,"n/a")</f>
        <v>52.349857491856689</v>
      </c>
      <c r="AY343" s="74">
        <f t="shared" si="449"/>
        <v>47.813702010305541</v>
      </c>
      <c r="AZ343" s="74">
        <f t="shared" si="449"/>
        <v>46.987333847042962</v>
      </c>
      <c r="BA343" s="74">
        <f t="shared" si="449"/>
        <v>47.198275862068961</v>
      </c>
      <c r="BB343" s="74">
        <f>IFERROR(BB303/BB341*365,"n/a")</f>
        <v>52.181381603250834</v>
      </c>
      <c r="BC343" s="74">
        <f t="shared" ref="BC343:BF344" si="450">IFERROR(BC303/BC341*91.25,"n/a")</f>
        <v>56.286155346116352</v>
      </c>
      <c r="BD343" s="74">
        <f t="shared" si="450"/>
        <v>57.061125662423095</v>
      </c>
      <c r="BE343" s="74">
        <f t="shared" si="450"/>
        <v>50.956353148976099</v>
      </c>
      <c r="BF343" s="74">
        <f t="shared" si="450"/>
        <v>48.569844226210627</v>
      </c>
      <c r="BG343" s="74">
        <f>IFERROR(BG303/BG341*365,"n/a")</f>
        <v>46.561835505705524</v>
      </c>
      <c r="BH343" s="74">
        <f t="shared" ref="BH343:BK344" si="451">IFERROR(BH303/BH341*91.25,"n/a")</f>
        <v>53.687966176796408</v>
      </c>
      <c r="BI343" s="74">
        <f t="shared" si="451"/>
        <v>49.072934973637963</v>
      </c>
      <c r="BJ343" s="74">
        <f t="shared" si="451"/>
        <v>47.933591595205854</v>
      </c>
      <c r="BK343" s="74">
        <f t="shared" si="451"/>
        <v>42.742584877502793</v>
      </c>
      <c r="BL343" s="74">
        <f>IFERROR(BL303/BL341*365,"n/a")</f>
        <v>40.570515847252551</v>
      </c>
      <c r="BM343" s="74">
        <f t="shared" ref="BM343:BP344" si="452">IFERROR(BM303/BM341*91.25,"n/a")</f>
        <v>51.277977617905677</v>
      </c>
      <c r="BN343" s="74">
        <f t="shared" si="452"/>
        <v>47.021683673469383</v>
      </c>
      <c r="BO343" s="74">
        <f t="shared" si="452"/>
        <v>44.248279512969823</v>
      </c>
      <c r="BP343" s="74">
        <f t="shared" si="452"/>
        <v>37.909007352941181</v>
      </c>
      <c r="BQ343" s="74">
        <f>IFERROR(BQ303/BQ341*365,"n/a")</f>
        <v>37.862607099143204</v>
      </c>
      <c r="BR343" s="74">
        <f t="shared" ref="BR343:BU344" si="453">IFERROR(BR303/BR341*91.25,"n/a")</f>
        <v>57.561316695352843</v>
      </c>
      <c r="BS343" s="74">
        <f t="shared" si="453"/>
        <v>51.267868241143574</v>
      </c>
      <c r="BT343" s="74">
        <f t="shared" si="453"/>
        <v>48.640303358613224</v>
      </c>
      <c r="BU343" s="74">
        <f t="shared" si="453"/>
        <v>43.007659713168188</v>
      </c>
      <c r="BV343" s="74">
        <f>IFERROR(BV303/BV341*365,"n/a")</f>
        <v>42.909756097560972</v>
      </c>
      <c r="BW343" s="74">
        <f>IFERROR(BW303/BW341*91.25,"n/a")</f>
        <v>52.257709251101325</v>
      </c>
      <c r="BX343" s="74">
        <f>IFERROR(BX303/BX341*91.25,"n/a")</f>
        <v>47.804314329738062</v>
      </c>
      <c r="BY343" s="6"/>
      <c r="BZ343" s="6"/>
      <c r="CA343" s="75">
        <v>43</v>
      </c>
      <c r="CB343" s="75">
        <v>43</v>
      </c>
      <c r="CC343" s="75">
        <v>43</v>
      </c>
      <c r="CD343" s="75">
        <v>43</v>
      </c>
      <c r="CE343" s="75">
        <v>43</v>
      </c>
      <c r="CF343" s="6"/>
    </row>
    <row r="344" spans="2:84" ht="15" customHeight="1" x14ac:dyDescent="0.25">
      <c r="B344" s="26" t="s">
        <v>535</v>
      </c>
      <c r="C344" s="74">
        <f t="shared" si="440"/>
        <v>55.552440762515573</v>
      </c>
      <c r="D344" s="74">
        <f t="shared" si="440"/>
        <v>64.001604425157382</v>
      </c>
      <c r="E344" s="74">
        <f t="shared" si="440"/>
        <v>70.362229496272036</v>
      </c>
      <c r="F344" s="74">
        <f t="shared" si="440"/>
        <v>88.935222360612499</v>
      </c>
      <c r="G344" s="74">
        <f t="shared" si="440"/>
        <v>82.9223834622493</v>
      </c>
      <c r="H344" s="74">
        <f t="shared" si="440"/>
        <v>83.39935901976061</v>
      </c>
      <c r="I344" s="74">
        <f t="shared" si="440"/>
        <v>70.861433078226312</v>
      </c>
      <c r="J344" s="74">
        <f t="shared" si="441"/>
        <v>85.183247180451133</v>
      </c>
      <c r="K344" s="74">
        <f t="shared" si="441"/>
        <v>69.828166812897564</v>
      </c>
      <c r="L344" s="74">
        <f t="shared" si="441"/>
        <v>61.236054193795468</v>
      </c>
      <c r="M344" s="74">
        <f t="shared" si="441"/>
        <v>71.377846283783796</v>
      </c>
      <c r="N344" s="74">
        <f>IFERROR(N304/N342*365,"n/a")</f>
        <v>70.760287468601732</v>
      </c>
      <c r="O344" s="74">
        <f t="shared" si="442"/>
        <v>80.337596177711603</v>
      </c>
      <c r="P344" s="74">
        <f t="shared" si="442"/>
        <v>59.539598950524734</v>
      </c>
      <c r="Q344" s="74">
        <f t="shared" si="442"/>
        <v>53.669702078950621</v>
      </c>
      <c r="R344" s="74">
        <f t="shared" si="442"/>
        <v>64.035975036179451</v>
      </c>
      <c r="S344" s="74">
        <f>IFERROR(S304/S342*365,"n/a")</f>
        <v>72.670157250780093</v>
      </c>
      <c r="T344" s="74">
        <f t="shared" si="443"/>
        <v>74.680827661643164</v>
      </c>
      <c r="U344" s="74">
        <f t="shared" si="443"/>
        <v>60.713893510815304</v>
      </c>
      <c r="V344" s="74">
        <f t="shared" si="443"/>
        <v>51.71148743442722</v>
      </c>
      <c r="W344" s="74">
        <f t="shared" si="443"/>
        <v>64.881958548044878</v>
      </c>
      <c r="X344" s="74">
        <f>IFERROR(X304/X342*365,"n/a")</f>
        <v>60.769559585492225</v>
      </c>
      <c r="Y344" s="74">
        <f t="shared" si="444"/>
        <v>68.751534849425639</v>
      </c>
      <c r="Z344" s="74">
        <f t="shared" si="444"/>
        <v>63.0577966739666</v>
      </c>
      <c r="AA344" s="74">
        <f t="shared" si="444"/>
        <v>57.159076482189086</v>
      </c>
      <c r="AB344" s="74">
        <f t="shared" si="444"/>
        <v>65.770609368522869</v>
      </c>
      <c r="AC344" s="74">
        <f>IFERROR(AC304/AC342*365,"n/a")</f>
        <v>65.431562306687738</v>
      </c>
      <c r="AD344" s="74">
        <f t="shared" si="445"/>
        <v>70.323263490241104</v>
      </c>
      <c r="AE344" s="74">
        <f t="shared" si="445"/>
        <v>63.561161958449453</v>
      </c>
      <c r="AF344" s="74">
        <f t="shared" si="445"/>
        <v>66.079329459798998</v>
      </c>
      <c r="AG344" s="74">
        <f t="shared" si="445"/>
        <v>77.03672863368007</v>
      </c>
      <c r="AH344" s="74">
        <f>IFERROR(AH304/AH342*365,"n/a")</f>
        <v>73.225678925744063</v>
      </c>
      <c r="AI344" s="74">
        <f t="shared" si="446"/>
        <v>80.060660063620574</v>
      </c>
      <c r="AJ344" s="74">
        <f t="shared" si="446"/>
        <v>67.001820953743206</v>
      </c>
      <c r="AK344" s="74">
        <f t="shared" si="446"/>
        <v>65.549302877827969</v>
      </c>
      <c r="AL344" s="74">
        <f t="shared" si="446"/>
        <v>76.301361462618587</v>
      </c>
      <c r="AM344" s="74">
        <f>IFERROR(AM304/AM342*365,"n/a")</f>
        <v>73.834902833948803</v>
      </c>
      <c r="AN344" s="74">
        <f t="shared" si="447"/>
        <v>74.070357566377908</v>
      </c>
      <c r="AO344" s="74">
        <f t="shared" si="447"/>
        <v>63.92655926017855</v>
      </c>
      <c r="AP344" s="74">
        <f t="shared" si="447"/>
        <v>59.310249789666074</v>
      </c>
      <c r="AQ344" s="74">
        <f t="shared" si="447"/>
        <v>74.878153950686638</v>
      </c>
      <c r="AR344" s="74">
        <f>IFERROR(AR304/AR342*365,"n/a")</f>
        <v>70.824594090431958</v>
      </c>
      <c r="AS344" s="74">
        <f t="shared" si="448"/>
        <v>78.353303505761218</v>
      </c>
      <c r="AT344" s="74">
        <f t="shared" si="448"/>
        <v>73.084063588360848</v>
      </c>
      <c r="AU344" s="74">
        <f t="shared" si="448"/>
        <v>71.107127276693191</v>
      </c>
      <c r="AV344" s="74">
        <f t="shared" si="448"/>
        <v>75.738995551393117</v>
      </c>
      <c r="AW344" s="74">
        <f>IFERROR(AW304/AW342*365,"n/a")</f>
        <v>74.425527019642814</v>
      </c>
      <c r="AX344" s="74">
        <f t="shared" si="449"/>
        <v>77.952829020675992</v>
      </c>
      <c r="AY344" s="74">
        <f t="shared" si="449"/>
        <v>67.012867647058826</v>
      </c>
      <c r="AZ344" s="74">
        <f t="shared" si="449"/>
        <v>58.698112784651236</v>
      </c>
      <c r="BA344" s="74">
        <f t="shared" si="449"/>
        <v>59.732756371227282</v>
      </c>
      <c r="BB344" s="74">
        <f>IFERROR(BB304/BB342*365,"n/a")</f>
        <v>67.56665682802047</v>
      </c>
      <c r="BC344" s="74">
        <f t="shared" si="450"/>
        <v>66.431562296454814</v>
      </c>
      <c r="BD344" s="74">
        <f t="shared" si="450"/>
        <v>62.648581997533917</v>
      </c>
      <c r="BE344" s="74">
        <f t="shared" si="450"/>
        <v>56.752964725432427</v>
      </c>
      <c r="BF344" s="74">
        <f t="shared" si="450"/>
        <v>71.037267219103626</v>
      </c>
      <c r="BG344" s="74">
        <f>IFERROR(BG304/BG342*365,"n/a")</f>
        <v>67.315510617638381</v>
      </c>
      <c r="BH344" s="74">
        <f t="shared" si="451"/>
        <v>82.344597165414257</v>
      </c>
      <c r="BI344" s="74">
        <f t="shared" si="451"/>
        <v>69.118037924468425</v>
      </c>
      <c r="BJ344" s="74">
        <f t="shared" si="451"/>
        <v>68.75075866777938</v>
      </c>
      <c r="BK344" s="74">
        <f t="shared" si="451"/>
        <v>80.207833199964426</v>
      </c>
      <c r="BL344" s="74">
        <f>IFERROR(BL304/BL342*365,"n/a")</f>
        <v>75.892609262608843</v>
      </c>
      <c r="BM344" s="74">
        <f t="shared" si="452"/>
        <v>100.38432073544433</v>
      </c>
      <c r="BN344" s="74">
        <f t="shared" si="452"/>
        <v>80.859061748195671</v>
      </c>
      <c r="BO344" s="74">
        <f t="shared" si="452"/>
        <v>77.031976744186039</v>
      </c>
      <c r="BP344" s="74">
        <f t="shared" si="452"/>
        <v>89.014654418197722</v>
      </c>
      <c r="BQ344" s="74">
        <f>IFERROR(BQ304/BQ342*365,"n/a")</f>
        <v>87.371189351653072</v>
      </c>
      <c r="BR344" s="74">
        <f t="shared" si="453"/>
        <v>126.37101534828807</v>
      </c>
      <c r="BS344" s="74">
        <f t="shared" si="453"/>
        <v>94.693396226415089</v>
      </c>
      <c r="BT344" s="74">
        <f t="shared" si="453"/>
        <v>76.398785425101224</v>
      </c>
      <c r="BU344" s="74">
        <f t="shared" si="453"/>
        <v>92.277204502814271</v>
      </c>
      <c r="BV344" s="74">
        <f>IFERROR(BV304/BV342*365,"n/a")</f>
        <v>92.342173198779633</v>
      </c>
      <c r="BW344" s="74">
        <f>IFERROR(BW304/BW342*91.25,"n/a")</f>
        <v>105.21506653992394</v>
      </c>
      <c r="BX344" s="74">
        <f>IFERROR(BX304/BX342*91.25,"n/a")</f>
        <v>73.465048209366387</v>
      </c>
      <c r="BY344" s="6"/>
      <c r="BZ344" s="6"/>
      <c r="CA344" s="75">
        <v>92</v>
      </c>
      <c r="CB344" s="75">
        <v>92</v>
      </c>
      <c r="CC344" s="75">
        <v>92</v>
      </c>
      <c r="CD344" s="75">
        <v>92</v>
      </c>
      <c r="CE344" s="75">
        <v>92</v>
      </c>
      <c r="CF344" s="6"/>
    </row>
    <row r="345" spans="2:84" ht="15" customHeight="1" x14ac:dyDescent="0.25">
      <c r="B345" s="26" t="s">
        <v>536</v>
      </c>
      <c r="C345" s="74">
        <f t="shared" ref="C345:I345" si="454">IFERROR(C314/C342*365,"n/a")</f>
        <v>18.475862580913354</v>
      </c>
      <c r="D345" s="74">
        <f t="shared" si="454"/>
        <v>19.379512254752154</v>
      </c>
      <c r="E345" s="74">
        <f t="shared" si="454"/>
        <v>13.921419045887131</v>
      </c>
      <c r="F345" s="74">
        <f t="shared" si="454"/>
        <v>13.934394461132682</v>
      </c>
      <c r="G345" s="74">
        <f t="shared" si="454"/>
        <v>15.073957834211786</v>
      </c>
      <c r="H345" s="74">
        <f t="shared" si="454"/>
        <v>23.837842623415252</v>
      </c>
      <c r="I345" s="74">
        <f t="shared" si="454"/>
        <v>17.81328795933867</v>
      </c>
      <c r="J345" s="74">
        <f>IFERROR(J314/J342*91.25,"n/a")</f>
        <v>18.887083780880772</v>
      </c>
      <c r="K345" s="74">
        <f>IFERROR(K314/K342*91.25,"n/a")</f>
        <v>20.007348102654092</v>
      </c>
      <c r="L345" s="74">
        <f>IFERROR(L314/L342*91.25,"n/a")</f>
        <v>19.442785331290693</v>
      </c>
      <c r="M345" s="74">
        <f>IFERROR(M314/M342*91.25,"n/a")</f>
        <v>21.291666666666664</v>
      </c>
      <c r="N345" s="74">
        <f>IFERROR(N314/N342*365,"n/a")</f>
        <v>21.1074518559866</v>
      </c>
      <c r="O345" s="74">
        <f>IFERROR(O314/O342*91.25,"n/a")</f>
        <v>22.370858153387939</v>
      </c>
      <c r="P345" s="74">
        <f>IFERROR(P314/P342*91.25,"n/a")</f>
        <v>23.845731821589208</v>
      </c>
      <c r="Q345" s="74">
        <f>IFERROR(Q314/Q342*91.25,"n/a")</f>
        <v>25.994675782700156</v>
      </c>
      <c r="R345" s="74">
        <f>IFERROR(R314/R342*91.25,"n/a")</f>
        <v>26.737966714905934</v>
      </c>
      <c r="S345" s="74">
        <f>IFERROR(S314/S342*365,"n/a")</f>
        <v>30.343135161767123</v>
      </c>
      <c r="T345" s="74">
        <f>IFERROR(T314/T342*91.25,"n/a")</f>
        <v>27.217667314859828</v>
      </c>
      <c r="U345" s="74">
        <f>IFERROR(U314/U342*91.25,"n/a")</f>
        <v>25.461305809761509</v>
      </c>
      <c r="V345" s="74">
        <f>IFERROR(V314/V342*91.25,"n/a")</f>
        <v>25.251770464804196</v>
      </c>
      <c r="W345" s="74">
        <f>IFERROR(W314/W342*91.25,"n/a")</f>
        <v>22.780414519551378</v>
      </c>
      <c r="X345" s="74">
        <f>IFERROR(X314/X342*365,"n/a")</f>
        <v>21.336528497409322</v>
      </c>
      <c r="Y345" s="74">
        <f>IFERROR(Y314/Y342*91.25,"n/a")</f>
        <v>24.703224930145915</v>
      </c>
      <c r="Z345" s="74">
        <f>IFERROR(Z314/Z342*91.25,"n/a")</f>
        <v>24.696326649329315</v>
      </c>
      <c r="AA345" s="74">
        <f>IFERROR(AA314/AA342*91.25,"n/a")</f>
        <v>21.677976704055222</v>
      </c>
      <c r="AB345" s="74">
        <f>IFERROR(AB314/AB342*91.25,"n/a")</f>
        <v>22.519092856155865</v>
      </c>
      <c r="AC345" s="74">
        <f>IFERROR(AC314/AC342*365,"n/a")</f>
        <v>22.403007079524365</v>
      </c>
      <c r="AD345" s="74">
        <f>IFERROR(AD314/AD342*91.25,"n/a")</f>
        <v>24.671941374856488</v>
      </c>
      <c r="AE345" s="74">
        <f>IFERROR(AE314/AE342*91.25,"n/a")</f>
        <v>21.642340701798837</v>
      </c>
      <c r="AF345" s="74">
        <f>IFERROR(AF314/AF342*91.25,"n/a")</f>
        <v>18.754053077889449</v>
      </c>
      <c r="AG345" s="74">
        <f>IFERROR(AG314/AG342*91.25,"n/a")</f>
        <v>23.93972097272983</v>
      </c>
      <c r="AH345" s="74">
        <f>IFERROR(AH314/AH342*365,"n/a")</f>
        <v>22.755409693690083</v>
      </c>
      <c r="AI345" s="74">
        <f>IFERROR(AI314/AI342*91.25,"n/a")</f>
        <v>21.417625795257369</v>
      </c>
      <c r="AJ345" s="74">
        <f>IFERROR(AJ314/AJ342*91.25,"n/a")</f>
        <v>19.430020609462527</v>
      </c>
      <c r="AK345" s="74">
        <f>IFERROR(AK314/AK342*91.25,"n/a")</f>
        <v>19.26145776347369</v>
      </c>
      <c r="AL345" s="74">
        <f>IFERROR(AL314/AL342*91.25,"n/a")</f>
        <v>24.259560064267646</v>
      </c>
      <c r="AM345" s="74">
        <f>IFERROR(AM314/AM342*365,"n/a")</f>
        <v>23.475364342182658</v>
      </c>
      <c r="AN345" s="74">
        <f>IFERROR(AN314/AN342*91.25,"n/a")</f>
        <v>21.188439641830644</v>
      </c>
      <c r="AO345" s="74">
        <f>IFERROR(AO314/AO342*91.25,"n/a")</f>
        <v>19.700028777337117</v>
      </c>
      <c r="AP345" s="74">
        <f>IFERROR(AP314/AP342*91.25,"n/a")</f>
        <v>21.777197851942926</v>
      </c>
      <c r="AQ345" s="74">
        <f>IFERROR(AQ314/AQ342*91.25,"n/a")</f>
        <v>24.88712239009504</v>
      </c>
      <c r="AR345" s="74">
        <f>IFERROR(AR314/AR342*365,"n/a")</f>
        <v>23.539847717375764</v>
      </c>
      <c r="AS345" s="74">
        <f>IFERROR(AS314/AS342*91.25,"n/a")</f>
        <v>22.594385878891888</v>
      </c>
      <c r="AT345" s="74">
        <f>IFERROR(AT314/AT342*91.25,"n/a")</f>
        <v>20.216267835074706</v>
      </c>
      <c r="AU345" s="74">
        <f>IFERROR(AU314/AU342*91.25,"n/a")</f>
        <v>20.968889737157809</v>
      </c>
      <c r="AV345" s="74">
        <f>IFERROR(AV314/AV342*91.25,"n/a")</f>
        <v>22.198255677827209</v>
      </c>
      <c r="AW345" s="74">
        <f>IFERROR(AW314/AW342*365,"n/a")</f>
        <v>21.813292686434099</v>
      </c>
      <c r="AX345" s="74">
        <f>IFERROR(AX314/AX342*91.25,"n/a")</f>
        <v>22.595022904543764</v>
      </c>
      <c r="AY345" s="74">
        <f>IFERROR(AY314/AY342*91.25,"n/a")</f>
        <v>22.389705882352938</v>
      </c>
      <c r="AZ345" s="74">
        <f>IFERROR(AZ314/AZ342*91.25,"n/a")</f>
        <v>20.395037654653038</v>
      </c>
      <c r="BA345" s="74">
        <f>IFERROR(BA314/BA342*91.25,"n/a")</f>
        <v>28.271070714099327</v>
      </c>
      <c r="BB345" s="74">
        <f>IFERROR(BB314/BB342*365,"n/a")</f>
        <v>31.97879771743408</v>
      </c>
      <c r="BC345" s="74">
        <f>IFERROR(BC314/BC342*91.25,"n/a")</f>
        <v>32.587466269656645</v>
      </c>
      <c r="BD345" s="74">
        <f>IFERROR(BD314/BD342*91.25,"n/a")</f>
        <v>26.98119605425401</v>
      </c>
      <c r="BE345" s="74">
        <f>IFERROR(BE314/BE342*91.25,"n/a")</f>
        <v>22.986535992144418</v>
      </c>
      <c r="BF345" s="74">
        <f>IFERROR(BF314/BF342*91.25,"n/a")</f>
        <v>31.302904749175802</v>
      </c>
      <c r="BG345" s="74">
        <f>IFERROR(BG314/BG342*365,"n/a")</f>
        <v>29.662895259002831</v>
      </c>
      <c r="BH345" s="74">
        <f>IFERROR(BH314/BH342*91.25,"n/a")</f>
        <v>26.26486255112718</v>
      </c>
      <c r="BI345" s="74">
        <f>IFERROR(BI314/BI342*91.25,"n/a")</f>
        <v>25.114745318946362</v>
      </c>
      <c r="BJ345" s="74">
        <f>IFERROR(BJ314/BJ342*91.25,"n/a")</f>
        <v>23.689970411956608</v>
      </c>
      <c r="BK345" s="74">
        <f>IFERROR(BK314/BK342*91.25,"n/a")</f>
        <v>27.852871876944963</v>
      </c>
      <c r="BL345" s="74">
        <f>IFERROR(BL314/BL342*365,"n/a")</f>
        <v>26.354372607580025</v>
      </c>
      <c r="BM345" s="74">
        <f>IFERROR(BM314/BM342*91.25,"n/a")</f>
        <v>24.793156281920329</v>
      </c>
      <c r="BN345" s="74">
        <f>IFERROR(BN314/BN342*91.25,"n/a")</f>
        <v>22.245388933440257</v>
      </c>
      <c r="BO345" s="74">
        <f>IFERROR(BO314/BO342*91.25,"n/a")</f>
        <v>22.281976744186046</v>
      </c>
      <c r="BP345" s="74">
        <f>IFERROR(BP314/BP342*91.25,"n/a")</f>
        <v>29.937664041994751</v>
      </c>
      <c r="BQ345" s="74">
        <f>IFERROR(BQ314/BQ342*365,"n/a")</f>
        <v>29.384929154143411</v>
      </c>
      <c r="BR345" s="74">
        <f>IFERROR(BR314/BR342*91.25,"n/a")</f>
        <v>32.104486422668238</v>
      </c>
      <c r="BS345" s="74">
        <f>IFERROR(BS314/BS342*91.25,"n/a")</f>
        <v>27.547169811320753</v>
      </c>
      <c r="BT345" s="74">
        <f>IFERROR(BT314/BT342*91.25,"n/a")</f>
        <v>25.786437246963565</v>
      </c>
      <c r="BU345" s="74">
        <f>IFERROR(BU314/BU342*91.25,"n/a")</f>
        <v>33.298545966228893</v>
      </c>
      <c r="BV345" s="74">
        <f>IFERROR(BV314/BV342*365,"n/a")</f>
        <v>33.321990143158878</v>
      </c>
      <c r="BW345" s="74">
        <f>IFERROR(BW314/BW342*91.25,"n/a")</f>
        <v>28.537309885931556</v>
      </c>
      <c r="BX345" s="74">
        <f>IFERROR(BX314/BX342*91.25,"n/a")</f>
        <v>21.932679063360883</v>
      </c>
      <c r="BY345" s="6"/>
      <c r="BZ345" s="6"/>
      <c r="CA345" s="75">
        <v>33</v>
      </c>
      <c r="CB345" s="75">
        <v>33</v>
      </c>
      <c r="CC345" s="75">
        <v>33</v>
      </c>
      <c r="CD345" s="75">
        <v>33</v>
      </c>
      <c r="CE345" s="75">
        <v>33</v>
      </c>
      <c r="CF345" s="6"/>
    </row>
    <row r="346" spans="2:84" ht="15" customHeight="1" x14ac:dyDescent="0.25">
      <c r="B346" s="26" t="s">
        <v>537</v>
      </c>
      <c r="C346" s="38">
        <f t="shared" ref="C346:I346" si="455">IFERROR(C315/(C341*1),"n/a")</f>
        <v>1.1335206671501088E-2</v>
      </c>
      <c r="D346" s="38">
        <f t="shared" si="455"/>
        <v>9.6334556658058089E-3</v>
      </c>
      <c r="E346" s="38">
        <f t="shared" si="455"/>
        <v>9.0712702231026832E-3</v>
      </c>
      <c r="F346" s="38">
        <f t="shared" si="455"/>
        <v>8.940444026782568E-3</v>
      </c>
      <c r="G346" s="38">
        <f t="shared" si="455"/>
        <v>9.8188344831454371E-3</v>
      </c>
      <c r="H346" s="38">
        <f t="shared" si="455"/>
        <v>9.7625299025614082E-3</v>
      </c>
      <c r="I346" s="38">
        <f t="shared" si="455"/>
        <v>9.5509422850412248E-3</v>
      </c>
      <c r="J346" s="38">
        <f>IFERROR(J315/(J341*4),"n/a")</f>
        <v>8.0435064935064932E-3</v>
      </c>
      <c r="K346" s="38">
        <f>IFERROR(K315/(K341*4),"n/a")</f>
        <v>7.2236538119779632E-3</v>
      </c>
      <c r="L346" s="38">
        <f>IFERROR(L315/(L341*4),"n/a")</f>
        <v>7.7615361491056674E-3</v>
      </c>
      <c r="M346" s="38">
        <f>IFERROR(M315/(M341*4),"n/a")</f>
        <v>8.3091743119266051E-3</v>
      </c>
      <c r="N346" s="38">
        <f>IFERROR(N315/(N341*1),"n/a")</f>
        <v>8.4036186499652065E-3</v>
      </c>
      <c r="O346" s="38">
        <f>IFERROR(O315/(O341*4),"n/a")</f>
        <v>7.5250758105901566E-3</v>
      </c>
      <c r="P346" s="38">
        <f>IFERROR(P315/(P341*4),"n/a")</f>
        <v>6.4976838015540946E-3</v>
      </c>
      <c r="Q346" s="38">
        <f>IFERROR(Q315/(Q341*4),"n/a")</f>
        <v>1.3465676995118062E-2</v>
      </c>
      <c r="R346" s="38">
        <f>IFERROR(R315/(R341*4),"n/a")</f>
        <v>1.0678500525516759E-2</v>
      </c>
      <c r="S346" s="38">
        <f>IFERROR(S315/(S341*1),"n/a")</f>
        <v>1.2365111561866126E-2</v>
      </c>
      <c r="T346" s="38">
        <f>IFERROR(T315/(T341*4),"n/a")</f>
        <v>8.5297946196123808E-3</v>
      </c>
      <c r="U346" s="38">
        <f>IFERROR(U315/(U341*4),"n/a")</f>
        <v>7.4858910353809418E-3</v>
      </c>
      <c r="V346" s="38">
        <f>IFERROR(V315/(V341*4),"n/a")</f>
        <v>7.052531879504712E-3</v>
      </c>
      <c r="W346" s="38">
        <f>IFERROR(W315/(W341*4),"n/a")</f>
        <v>9.1578853895335072E-3</v>
      </c>
      <c r="X346" s="38">
        <f>IFERROR(X315/(X341*1),"n/a")</f>
        <v>8.740818171544807E-3</v>
      </c>
      <c r="Y346" s="38">
        <f>IFERROR(Y315/(Y341*4),"n/a")</f>
        <v>5.4044117647058824E-3</v>
      </c>
      <c r="Z346" s="38">
        <f>IFERROR(Z315/(Z341*4),"n/a")</f>
        <v>6.3603806405402646E-3</v>
      </c>
      <c r="AA346" s="38">
        <f>IFERROR(AA315/(AA341*4),"n/a")</f>
        <v>7.5783585469698335E-3</v>
      </c>
      <c r="AB346" s="38">
        <f>IFERROR(AB315/(AB341*4),"n/a")</f>
        <v>1.2496838111298482E-2</v>
      </c>
      <c r="AC346" s="38">
        <f>IFERROR(AC315/(AC341*1),"n/a")</f>
        <v>1.2419608253901747E-2</v>
      </c>
      <c r="AD346" s="38">
        <f>IFERROR(AD315/(AD341*4),"n/a")</f>
        <v>6.7425050361417235E-3</v>
      </c>
      <c r="AE346" s="38">
        <f>IFERROR(AE315/(AE341*4),"n/a")</f>
        <v>8.5101081335213907E-3</v>
      </c>
      <c r="AF346" s="38">
        <f>IFERROR(AF315/(AF341*4),"n/a")</f>
        <v>8.7075940057001009E-3</v>
      </c>
      <c r="AG346" s="38">
        <f>IFERROR(AG315/(AG341*4),"n/a")</f>
        <v>1.1400051519835136E-2</v>
      </c>
      <c r="AH346" s="38">
        <f>IFERROR(AH315/(AH341*1),"n/a")</f>
        <v>1.115972362315917E-2</v>
      </c>
      <c r="AI346" s="38">
        <f>IFERROR(AI315/(AI341*4),"n/a")</f>
        <v>7.2721321695760604E-3</v>
      </c>
      <c r="AJ346" s="38">
        <f>IFERROR(AJ315/(AJ341*4),"n/a")</f>
        <v>8.0817329963414914E-3</v>
      </c>
      <c r="AK346" s="38">
        <f>IFERROR(AK315/(AK341*4),"n/a")</f>
        <v>9.2719982945787278E-3</v>
      </c>
      <c r="AL346" s="38">
        <f>IFERROR(AL315/(AL341*4),"n/a")</f>
        <v>1.2603678821585191E-2</v>
      </c>
      <c r="AM346" s="38">
        <f>IFERROR(AM315/(AM341*1),"n/a")</f>
        <v>1.2118470453659231E-2</v>
      </c>
      <c r="AN346" s="38">
        <f>IFERROR(AN315/(AN341*4),"n/a")</f>
        <v>7.2721802429296396E-3</v>
      </c>
      <c r="AO346" s="38">
        <f>IFERROR(AO315/(AO341*4),"n/a")</f>
        <v>7.2545776838498499E-3</v>
      </c>
      <c r="AP346" s="38">
        <f>IFERROR(AP315/(AP341*4),"n/a")</f>
        <v>1.0004780861907021E-2</v>
      </c>
      <c r="AQ346" s="38">
        <f>IFERROR(AQ315/(AQ341*4),"n/a")</f>
        <v>1.2881328208064121E-2</v>
      </c>
      <c r="AR346" s="38">
        <f>IFERROR(AR315/(AR341*1),"n/a")</f>
        <v>1.1964302067608647E-2</v>
      </c>
      <c r="AS346" s="38">
        <f>IFERROR(AS315/(AS341*4),"n/a")</f>
        <v>8.2446253391776254E-3</v>
      </c>
      <c r="AT346" s="38">
        <f>IFERROR(AT315/(AT341*4),"n/a")</f>
        <v>8.5392727845112551E-3</v>
      </c>
      <c r="AU346" s="38">
        <f>IFERROR(AU315/(AU341*4),"n/a")</f>
        <v>9.8758892084153168E-3</v>
      </c>
      <c r="AV346" s="38">
        <f>IFERROR(AV315/(AV341*4),"n/a")</f>
        <v>1.7505934214988132E-2</v>
      </c>
      <c r="AW346" s="38">
        <f>IFERROR(AW315/(AW341*1),"n/a")</f>
        <v>1.7463371318632528E-2</v>
      </c>
      <c r="AX346" s="38">
        <f>IFERROR(AX315/(AX341*4),"n/a")</f>
        <v>9.1357899022801309E-3</v>
      </c>
      <c r="AY346" s="38">
        <f>IFERROR(AY315/(AY341*4),"n/a")</f>
        <v>9.7975179621162638E-3</v>
      </c>
      <c r="AZ346" s="38">
        <f>IFERROR(AZ315/(AZ341*4),"n/a")</f>
        <v>1.0514993899698196E-2</v>
      </c>
      <c r="BA346" s="38">
        <f>IFERROR(BA315/(BA341*4),"n/a")</f>
        <v>1.4468056669339747E-2</v>
      </c>
      <c r="BB346" s="38">
        <f>IFERROR(BB315/(BB341*1),"n/a")</f>
        <v>1.5995567048393056E-2</v>
      </c>
      <c r="BC346" s="38">
        <f>IFERROR(BC315/(BC341*4),"n/a")</f>
        <v>8.7544686382840433E-3</v>
      </c>
      <c r="BD346" s="38">
        <f>IFERROR(BD315/(BD341*4),"n/a")</f>
        <v>8.7866236218553939E-3</v>
      </c>
      <c r="BE346" s="38">
        <f>IFERROR(BE315/(BE341*4),"n/a")</f>
        <v>1.0639178671965557E-2</v>
      </c>
      <c r="BF346" s="38">
        <f>IFERROR(BF315/(BF341*4),"n/a")</f>
        <v>1.212326447680325E-2</v>
      </c>
      <c r="BG346" s="38">
        <f>IFERROR(BG315/(BG341*1),"n/a")</f>
        <v>1.1622055935202168E-2</v>
      </c>
      <c r="BH346" s="38">
        <f>IFERROR(BH315/(BH341*4),"n/a")</f>
        <v>6.9972675577874609E-3</v>
      </c>
      <c r="BI346" s="38">
        <f>IFERROR(BI315/(BI341*4),"n/a")</f>
        <v>8.7324253075571189E-3</v>
      </c>
      <c r="BJ346" s="38">
        <f>IFERROR(BJ315/(BJ341*4),"n/a")</f>
        <v>1.0593751567123014E-2</v>
      </c>
      <c r="BK346" s="38">
        <f>IFERROR(BK315/(BK341*4),"n/a")</f>
        <v>1.5902872777017782E-2</v>
      </c>
      <c r="BL346" s="38">
        <f>IFERROR(BL315/(BL341*1),"n/a")</f>
        <v>1.5094729386767397E-2</v>
      </c>
      <c r="BM346" s="38">
        <f>IFERROR(BM315/(BM341*4),"n/a")</f>
        <v>7.3940847322142289E-3</v>
      </c>
      <c r="BN346" s="38">
        <f>IFERROR(BN315/(BN341*4),"n/a")</f>
        <v>8.2199546485260764E-3</v>
      </c>
      <c r="BO346" s="38">
        <f>IFERROR(BO315/(BO341*4),"n/a")</f>
        <v>8.8671254632080466E-3</v>
      </c>
      <c r="BP346" s="38">
        <f>IFERROR(BP315/(BP341*4),"n/a")</f>
        <v>1.1182598039215686E-2</v>
      </c>
      <c r="BQ346" s="38">
        <f>IFERROR(BQ315/(BQ341*1),"n/a")</f>
        <v>1.116891064871481E-2</v>
      </c>
      <c r="BR346" s="38">
        <f>IFERROR(BR315/(BR341*4),"n/a")</f>
        <v>8.8209982788296035E-3</v>
      </c>
      <c r="BS346" s="38">
        <f>IFERROR(BS315/(BS341*4),"n/a")</f>
        <v>9.6333126165320075E-3</v>
      </c>
      <c r="BT346" s="38">
        <f>IFERROR(BT315/(BT341*4),"n/a")</f>
        <v>1.1917659804983749E-2</v>
      </c>
      <c r="BU346" s="38">
        <f>IFERROR(BU315/(BU341*4),"n/a")</f>
        <v>1.6297262059973925E-2</v>
      </c>
      <c r="BV346" s="38">
        <f>IFERROR(BV315/(BV341*1),"n/a")</f>
        <v>1.6260162601626018E-2</v>
      </c>
      <c r="BW346" s="38">
        <f>IFERROR(BW315/(BW341*4),"n/a")</f>
        <v>9.7283406754772386E-3</v>
      </c>
      <c r="BX346" s="38">
        <f>IFERROR(BX315/(BX341*4),"n/a")</f>
        <v>9.1165896250642014E-3</v>
      </c>
      <c r="BY346" s="6"/>
      <c r="BZ346" s="6"/>
      <c r="CA346" s="49">
        <v>1.6E-2</v>
      </c>
      <c r="CB346" s="49">
        <v>1.6E-2</v>
      </c>
      <c r="CC346" s="49">
        <v>1.6E-2</v>
      </c>
      <c r="CD346" s="49">
        <v>1.6E-2</v>
      </c>
      <c r="CE346" s="49">
        <v>1.6E-2</v>
      </c>
      <c r="CF346" s="20" t="s">
        <v>538</v>
      </c>
    </row>
    <row r="347" spans="2:84" ht="15" customHeight="1" x14ac:dyDescent="0.25">
      <c r="B347" s="26" t="s">
        <v>539</v>
      </c>
      <c r="C347" s="47">
        <f t="shared" ref="C347:AH347" si="456">IF(ISNUMBER(C303),C303+C304-C314-C315,"n/a")</f>
        <v>388.43899999999996</v>
      </c>
      <c r="D347" s="47">
        <f t="shared" si="456"/>
        <v>424.59299999999996</v>
      </c>
      <c r="E347" s="47">
        <f t="shared" si="456"/>
        <v>447.46100000000001</v>
      </c>
      <c r="F347" s="47">
        <f t="shared" si="456"/>
        <v>428.05500000000006</v>
      </c>
      <c r="G347" s="47">
        <f t="shared" si="456"/>
        <v>437.41600000000005</v>
      </c>
      <c r="H347" s="47">
        <f t="shared" si="456"/>
        <v>417.41300000000001</v>
      </c>
      <c r="I347" s="47">
        <f t="shared" si="456"/>
        <v>453.36299999999994</v>
      </c>
      <c r="J347" s="47">
        <f t="shared" si="456"/>
        <v>460.32400000000007</v>
      </c>
      <c r="K347" s="47">
        <f t="shared" si="456"/>
        <v>520.17499999999995</v>
      </c>
      <c r="L347" s="47">
        <f t="shared" si="456"/>
        <v>549.54700000000003</v>
      </c>
      <c r="M347" s="47">
        <f t="shared" si="456"/>
        <v>471.01400000000007</v>
      </c>
      <c r="N347" s="47">
        <f t="shared" si="456"/>
        <v>471.01400000000007</v>
      </c>
      <c r="O347" s="47">
        <f t="shared" si="456"/>
        <v>485.62600000000009</v>
      </c>
      <c r="P347" s="47">
        <f t="shared" si="456"/>
        <v>535.11699999999996</v>
      </c>
      <c r="Q347" s="47">
        <f t="shared" si="456"/>
        <v>714.95299999999997</v>
      </c>
      <c r="R347" s="47">
        <f t="shared" si="456"/>
        <v>666.86799999999994</v>
      </c>
      <c r="S347" s="47">
        <f t="shared" si="456"/>
        <v>666.86799999999994</v>
      </c>
      <c r="T347" s="47">
        <f t="shared" si="456"/>
        <v>678.78</v>
      </c>
      <c r="U347" s="47">
        <f t="shared" si="456"/>
        <v>748.49900000000002</v>
      </c>
      <c r="V347" s="47">
        <f t="shared" si="456"/>
        <v>784.58300000000008</v>
      </c>
      <c r="W347" s="47">
        <f t="shared" si="456"/>
        <v>684.40500000000009</v>
      </c>
      <c r="X347" s="47">
        <f t="shared" si="456"/>
        <v>684.40500000000009</v>
      </c>
      <c r="Y347" s="47">
        <f t="shared" si="456"/>
        <v>741.96499999999992</v>
      </c>
      <c r="Z347" s="47">
        <f t="shared" si="456"/>
        <v>816.73900000000003</v>
      </c>
      <c r="AA347" s="47">
        <f t="shared" si="456"/>
        <v>848.423</v>
      </c>
      <c r="AB347" s="47">
        <f t="shared" si="456"/>
        <v>753.50800000000015</v>
      </c>
      <c r="AC347" s="47">
        <f t="shared" si="456"/>
        <v>753.50800000000015</v>
      </c>
      <c r="AD347" s="47">
        <f t="shared" si="456"/>
        <v>805.05599999999993</v>
      </c>
      <c r="AE347" s="47">
        <f t="shared" si="456"/>
        <v>897.0540000000002</v>
      </c>
      <c r="AF347" s="47">
        <f t="shared" si="456"/>
        <v>957.47900000000004</v>
      </c>
      <c r="AG347" s="47">
        <f t="shared" si="456"/>
        <v>856.9380000000001</v>
      </c>
      <c r="AH347" s="47">
        <f t="shared" si="456"/>
        <v>856.9380000000001</v>
      </c>
      <c r="AI347" s="47">
        <f t="shared" ref="AI347:BN347" si="457">IF(ISNUMBER(AI303),AI303+AI304-AI314-AI315,"n/a")</f>
        <v>887.60200000000009</v>
      </c>
      <c r="AJ347" s="47">
        <f t="shared" si="457"/>
        <v>1098.8560000000002</v>
      </c>
      <c r="AK347" s="47">
        <f t="shared" si="457"/>
        <v>1059.5150000000001</v>
      </c>
      <c r="AL347" s="47">
        <f t="shared" si="457"/>
        <v>924.06899999999996</v>
      </c>
      <c r="AM347" s="47">
        <f t="shared" si="457"/>
        <v>924.06899999999996</v>
      </c>
      <c r="AN347" s="47">
        <f t="shared" si="457"/>
        <v>984.62599999999986</v>
      </c>
      <c r="AO347" s="47">
        <f t="shared" si="457"/>
        <v>1120.6380000000001</v>
      </c>
      <c r="AP347" s="47">
        <f t="shared" si="457"/>
        <v>1118.1980000000001</v>
      </c>
      <c r="AQ347" s="47">
        <f t="shared" si="457"/>
        <v>978.2</v>
      </c>
      <c r="AR347" s="47">
        <f t="shared" si="457"/>
        <v>978.2</v>
      </c>
      <c r="AS347" s="47">
        <f t="shared" si="457"/>
        <v>1029.7</v>
      </c>
      <c r="AT347" s="47">
        <f t="shared" si="457"/>
        <v>1162.6999999999998</v>
      </c>
      <c r="AU347" s="47">
        <f t="shared" si="457"/>
        <v>1137.8999999999999</v>
      </c>
      <c r="AV347" s="47">
        <f t="shared" si="457"/>
        <v>993.69999999999993</v>
      </c>
      <c r="AW347" s="47">
        <f t="shared" si="457"/>
        <v>993.69999999999993</v>
      </c>
      <c r="AX347" s="47">
        <f t="shared" si="457"/>
        <v>1017.6999999999999</v>
      </c>
      <c r="AY347" s="47">
        <f t="shared" si="457"/>
        <v>1153.5</v>
      </c>
      <c r="AZ347" s="47">
        <f t="shared" si="457"/>
        <v>1204.6000000000001</v>
      </c>
      <c r="BA347" s="47">
        <f t="shared" si="457"/>
        <v>1083.8</v>
      </c>
      <c r="BB347" s="47">
        <f t="shared" si="457"/>
        <v>1083.8</v>
      </c>
      <c r="BC347" s="47">
        <f t="shared" si="457"/>
        <v>1114.7</v>
      </c>
      <c r="BD347" s="47">
        <f t="shared" si="457"/>
        <v>1444.3999999999999</v>
      </c>
      <c r="BE347" s="47">
        <f t="shared" si="457"/>
        <v>1424.5</v>
      </c>
      <c r="BF347" s="47">
        <f t="shared" si="457"/>
        <v>1203</v>
      </c>
      <c r="BG347" s="47">
        <f t="shared" si="457"/>
        <v>1203</v>
      </c>
      <c r="BH347" s="47">
        <f t="shared" si="457"/>
        <v>1404.9</v>
      </c>
      <c r="BI347" s="47">
        <f t="shared" si="457"/>
        <v>1523.4</v>
      </c>
      <c r="BJ347" s="47">
        <f t="shared" si="457"/>
        <v>1613.8999999999999</v>
      </c>
      <c r="BK347" s="47">
        <f t="shared" si="457"/>
        <v>1296.3000000000002</v>
      </c>
      <c r="BL347" s="47">
        <f t="shared" si="457"/>
        <v>1296.3000000000002</v>
      </c>
      <c r="BM347" s="47">
        <f t="shared" si="457"/>
        <v>1477</v>
      </c>
      <c r="BN347" s="47">
        <f t="shared" si="457"/>
        <v>1652</v>
      </c>
      <c r="BO347" s="47">
        <f t="shared" ref="BO347:BX347" si="458">IF(ISNUMBER(BO303),BO303+BO304-BO314-BO315,"n/a")</f>
        <v>1623</v>
      </c>
      <c r="BP347" s="47">
        <f t="shared" si="458"/>
        <v>1345</v>
      </c>
      <c r="BQ347" s="47">
        <f t="shared" si="458"/>
        <v>1345</v>
      </c>
      <c r="BR347" s="47">
        <f t="shared" si="458"/>
        <v>1567</v>
      </c>
      <c r="BS347" s="47">
        <f t="shared" si="458"/>
        <v>1661</v>
      </c>
      <c r="BT347" s="47">
        <f t="shared" si="458"/>
        <v>1581</v>
      </c>
      <c r="BU347" s="47">
        <f t="shared" si="458"/>
        <v>1312</v>
      </c>
      <c r="BV347" s="47">
        <f t="shared" si="458"/>
        <v>1312</v>
      </c>
      <c r="BW347" s="47">
        <f t="shared" si="458"/>
        <v>1611</v>
      </c>
      <c r="BX347" s="47">
        <f t="shared" si="458"/>
        <v>1769</v>
      </c>
      <c r="BY347" s="6"/>
      <c r="BZ347" s="6"/>
      <c r="CA347" s="37">
        <f>IF(ISNUMBER(CA303),CA303+CA304-CA314-CA315,"n/a")</f>
        <v>2012.3183040423801</v>
      </c>
      <c r="CB347" s="37">
        <f>IF(ISNUMBER(CB303),CB303+CB304-CB314-CB315,"n/a")</f>
        <v>2109.1793859036998</v>
      </c>
      <c r="CC347" s="37">
        <f>IF(ISNUMBER(CC303),CC303+CC304-CC314-CC315,"n/a")</f>
        <v>2234.5709297133185</v>
      </c>
      <c r="CD347" s="37">
        <f>IF(ISNUMBER(CD303),CD303+CD304-CD314-CD315,"n/a")</f>
        <v>2392.753997427671</v>
      </c>
      <c r="CE347" s="37">
        <f>IF(ISNUMBER(CE303),CE303+CE304-CE314-CE315,"n/a")</f>
        <v>2572.0428363984156</v>
      </c>
      <c r="CF347" s="6"/>
    </row>
    <row r="348" spans="2:84" ht="15" customHeight="1" x14ac:dyDescent="0.25">
      <c r="B348" s="26" t="s">
        <v>540</v>
      </c>
      <c r="C348" s="38">
        <f t="shared" ref="C348:I348" si="459">IFERROR(C347/(C341*1),"n/a")</f>
        <v>0.17605103335750541</v>
      </c>
      <c r="D348" s="38">
        <f t="shared" si="459"/>
        <v>0.19237596846540708</v>
      </c>
      <c r="E348" s="38">
        <f t="shared" si="459"/>
        <v>0.21105655393613509</v>
      </c>
      <c r="F348" s="38">
        <f t="shared" si="459"/>
        <v>0.25141254551861864</v>
      </c>
      <c r="G348" s="38">
        <f t="shared" si="459"/>
        <v>0.24533961523360817</v>
      </c>
      <c r="H348" s="38">
        <f t="shared" si="459"/>
        <v>0.24354571445241846</v>
      </c>
      <c r="I348" s="38">
        <f t="shared" si="459"/>
        <v>0.22249852767962308</v>
      </c>
      <c r="J348" s="38">
        <f>IFERROR(J347/(J341*4),"n/a")</f>
        <v>0.29891168831168835</v>
      </c>
      <c r="K348" s="38">
        <f>IFERROR(K347/(K341*4),"n/a")</f>
        <v>0.23110671761151586</v>
      </c>
      <c r="L348" s="38">
        <f>IFERROR(L347/(L341*4),"n/a")</f>
        <v>0.20650345708702844</v>
      </c>
      <c r="M348" s="38">
        <f>IFERROR(M347/(M341*4),"n/a")</f>
        <v>0.21606146788990829</v>
      </c>
      <c r="N348" s="38">
        <f>IFERROR(N347/(N341*1),"n/a")</f>
        <v>0.21851728137323129</v>
      </c>
      <c r="O348" s="38">
        <f>IFERROR(O347/(O341*4),"n/a")</f>
        <v>0.28319687427105206</v>
      </c>
      <c r="P348" s="38">
        <f>IFERROR(P347/(P341*4),"n/a")</f>
        <v>0.19990921996413624</v>
      </c>
      <c r="Q348" s="38">
        <f>IFERROR(Q347/(Q341*4),"n/a")</f>
        <v>0.17807935638138886</v>
      </c>
      <c r="R348" s="38">
        <f>IFERROR(R347/(R341*4),"n/a")</f>
        <v>0.19469461637276655</v>
      </c>
      <c r="S348" s="38">
        <f>IFERROR(S347/(S341*1),"n/a")</f>
        <v>0.22544557133198104</v>
      </c>
      <c r="T348" s="38">
        <f>IFERROR(T347/(T341*4),"n/a")</f>
        <v>0.24543679490888054</v>
      </c>
      <c r="U348" s="38">
        <f>IFERROR(U347/(U341*4),"n/a")</f>
        <v>0.20308742131538965</v>
      </c>
      <c r="V348" s="38">
        <f>IFERROR(V347/(V341*4),"n/a")</f>
        <v>0.18124722786915543</v>
      </c>
      <c r="W348" s="38">
        <f>IFERROR(W347/(W341*4),"n/a")</f>
        <v>0.20258258347146579</v>
      </c>
      <c r="X348" s="38">
        <f>IFERROR(X347/(X341*1),"n/a")</f>
        <v>0.19335659396541985</v>
      </c>
      <c r="Y348" s="38">
        <f>IFERROR(Y347/(Y341*4),"n/a")</f>
        <v>0.23515624999999998</v>
      </c>
      <c r="Z348" s="38">
        <f>IFERROR(Z347/(Z341*4),"n/a")</f>
        <v>0.20892740202599</v>
      </c>
      <c r="AA348" s="38">
        <f>IFERROR(AA347/(AA341*4),"n/a")</f>
        <v>0.19214217773349035</v>
      </c>
      <c r="AB348" s="38">
        <f>IFERROR(AB347/(AB341*4),"n/a")</f>
        <v>0.19854236930860039</v>
      </c>
      <c r="AC348" s="38">
        <f>IFERROR(AC347/(AC341*1),"n/a")</f>
        <v>0.1973153870325757</v>
      </c>
      <c r="AD348" s="38">
        <f>IFERROR(AD347/(AD341*4),"n/a")</f>
        <v>0.23849271240668324</v>
      </c>
      <c r="AE348" s="38">
        <f>IFERROR(AE347/(AE341*4),"n/a")</f>
        <v>0.21087306064880118</v>
      </c>
      <c r="AF348" s="38">
        <f>IFERROR(AF347/(AF341*4),"n/a")</f>
        <v>0.22006964236462259</v>
      </c>
      <c r="AG348" s="38">
        <f>IFERROR(AG347/(AG341*4),"n/a")</f>
        <v>0.2207465224111283</v>
      </c>
      <c r="AH348" s="38">
        <f>IFERROR(AH347/(AH341*1),"n/a")</f>
        <v>0.21609289893080497</v>
      </c>
      <c r="AI348" s="38">
        <f>IFERROR(AI347/(AI341*4),"n/a")</f>
        <v>0.27668391521197011</v>
      </c>
      <c r="AJ348" s="38">
        <f>IFERROR(AJ347/(AJ341*4),"n/a")</f>
        <v>0.22847082051525158</v>
      </c>
      <c r="AK348" s="38">
        <f>IFERROR(AK347/(AK341*4),"n/a")</f>
        <v>0.21717781476501263</v>
      </c>
      <c r="AL348" s="38">
        <f>IFERROR(AL347/(AL341*4),"n/a")</f>
        <v>0.22643910419145713</v>
      </c>
      <c r="AM348" s="38">
        <f>IFERROR(AM347/(AM341*1),"n/a")</f>
        <v>0.2177217963534322</v>
      </c>
      <c r="AN348" s="38">
        <f>IFERROR(AN347/(AN341*4),"n/a")</f>
        <v>0.26216006091878735</v>
      </c>
      <c r="AO348" s="38">
        <f>IFERROR(AO347/(AO341*4),"n/a")</f>
        <v>0.21896561695954883</v>
      </c>
      <c r="AP348" s="38">
        <f>IFERROR(AP347/(AP341*4),"n/a")</f>
        <v>0.19683174604962803</v>
      </c>
      <c r="AQ348" s="38">
        <f>IFERROR(AQ347/(AQ341*4),"n/a")</f>
        <v>0.22223130957898277</v>
      </c>
      <c r="AR348" s="38">
        <f>IFERROR(AR347/(AR341*1),"n/a")</f>
        <v>0.20641058699355871</v>
      </c>
      <c r="AS348" s="38">
        <f>IFERROR(AS347/(AS341*4),"n/a")</f>
        <v>0.26865476935921517</v>
      </c>
      <c r="AT348" s="38">
        <f>IFERROR(AT347/(AT341*4),"n/a")</f>
        <v>0.22876987250118053</v>
      </c>
      <c r="AU348" s="38">
        <f>IFERROR(AU347/(AU341*4),"n/a")</f>
        <v>0.21528303314666258</v>
      </c>
      <c r="AV348" s="38">
        <f>IFERROR(AV347/(AV341*4),"n/a")</f>
        <v>0.21060105120379791</v>
      </c>
      <c r="AW348" s="38">
        <f>IFERROR(AW347/(AW341*1),"n/a")</f>
        <v>0.21008900822427537</v>
      </c>
      <c r="AX348" s="38">
        <f>IFERROR(AX347/(AX341*4),"n/a")</f>
        <v>0.25898310260586316</v>
      </c>
      <c r="AY348" s="38">
        <f>IFERROR(AY347/(AY341*4),"n/a")</f>
        <v>0.20928586980187239</v>
      </c>
      <c r="AZ348" s="38">
        <f>IFERROR(AZ347/(AZ341*4),"n/a")</f>
        <v>0.19337956719964042</v>
      </c>
      <c r="BA348" s="38">
        <f>IFERROR(BA347/(BA341*4),"n/a")</f>
        <v>0.18106789628441591</v>
      </c>
      <c r="BB348" s="38">
        <f>IFERROR(BB347/(BB341*1),"n/a")</f>
        <v>0.20018470631695603</v>
      </c>
      <c r="BC348" s="38">
        <f>IFERROR(BC347/(BC341*4),"n/a")</f>
        <v>0.22641777705557362</v>
      </c>
      <c r="BD348" s="38">
        <f>IFERROR(BD347/(BD341*4),"n/a")</f>
        <v>0.21995492477310102</v>
      </c>
      <c r="BE348" s="38">
        <f>IFERROR(BE347/(BE341*4),"n/a")</f>
        <v>0.19656952034001213</v>
      </c>
      <c r="BF348" s="38">
        <f>IFERROR(BF347/(BF341*4),"n/a")</f>
        <v>0.20369116153064681</v>
      </c>
      <c r="BG348" s="38">
        <f>IFERROR(BG347/(BG341*1),"n/a")</f>
        <v>0.1952700180174331</v>
      </c>
      <c r="BH348" s="38">
        <f>IFERROR(BH347/(BH341*4),"n/a")</f>
        <v>0.25937892327006873</v>
      </c>
      <c r="BI348" s="38">
        <f>IFERROR(BI347/(BI341*4),"n/a")</f>
        <v>0.20916630052724078</v>
      </c>
      <c r="BJ348" s="38">
        <f>IFERROR(BJ347/(BJ341*4),"n/a")</f>
        <v>0.20233438643999799</v>
      </c>
      <c r="BK348" s="38">
        <f>IFERROR(BK347/(BK341*4),"n/a")</f>
        <v>0.20151411515980602</v>
      </c>
      <c r="BL348" s="38">
        <f>IFERROR(BL347/(BL341*1),"n/a")</f>
        <v>0.19127368234669187</v>
      </c>
      <c r="BM348" s="38">
        <f>IFERROR(BM347/(BM341*4),"n/a")</f>
        <v>0.29516386890487611</v>
      </c>
      <c r="BN348" s="38">
        <f>IFERROR(BN347/(BN341*4),"n/a")</f>
        <v>0.23412698412698413</v>
      </c>
      <c r="BO348" s="38">
        <f>IFERROR(BO347/(BO341*4),"n/a")</f>
        <v>0.21479618845950238</v>
      </c>
      <c r="BP348" s="38">
        <f>IFERROR(BP347/(BP341*4),"n/a")</f>
        <v>0.20603553921568626</v>
      </c>
      <c r="BQ348" s="38">
        <f>IFERROR(BQ347/(BQ341*1),"n/a")</f>
        <v>0.20578335373317014</v>
      </c>
      <c r="BR348" s="38">
        <f>IFERROR(BR347/(BR341*4),"n/a")</f>
        <v>0.33713425129087782</v>
      </c>
      <c r="BS348" s="38">
        <f>IFERROR(BS347/(BS341*4),"n/a")</f>
        <v>0.25807955251709136</v>
      </c>
      <c r="BT348" s="38">
        <f>IFERROR(BT347/(BT341*4),"n/a")</f>
        <v>0.21411159263271939</v>
      </c>
      <c r="BU348" s="38">
        <f>IFERROR(BU347/(BU341*4),"n/a")</f>
        <v>0.21382007822685789</v>
      </c>
      <c r="BV348" s="38">
        <f>IFERROR(BV347/(BV341*1),"n/a")</f>
        <v>0.21333333333333335</v>
      </c>
      <c r="BW348" s="38">
        <f>IFERROR(BW347/(BW341*4),"n/a")</f>
        <v>0.29570484581497797</v>
      </c>
      <c r="BX348" s="38">
        <f>IFERROR(BX347/(BX341*4),"n/a")</f>
        <v>0.22714432460195172</v>
      </c>
      <c r="BY348" s="6"/>
      <c r="BZ348" s="6"/>
      <c r="CA348" s="25">
        <f>IFERROR(CA347/(CA341*1),"n/a")</f>
        <v>0.22023270938069758</v>
      </c>
      <c r="CB348" s="25">
        <f>IFERROR(CB347/(CB341*1),"n/a")</f>
        <v>0.21485364819557615</v>
      </c>
      <c r="CC348" s="25">
        <f>IFERROR(CC347/(CC341*1),"n/a")</f>
        <v>0.21075906833372149</v>
      </c>
      <c r="CD348" s="25">
        <f>IFERROR(CD347/(CD341*1),"n/a")</f>
        <v>0.20818090415984622</v>
      </c>
      <c r="CE348" s="25">
        <f>IFERROR(CE347/(CE341*1),"n/a")</f>
        <v>0.20599790452948705</v>
      </c>
      <c r="CF348" s="6"/>
    </row>
    <row r="349" spans="2:84" ht="15" customHeight="1" x14ac:dyDescent="0.25">
      <c r="B349" s="26" t="s">
        <v>541</v>
      </c>
      <c r="D349" s="47">
        <f t="shared" ref="D349:I349" si="460">IFERROR(D347-C347,"n/a")</f>
        <v>36.153999999999996</v>
      </c>
      <c r="E349" s="47">
        <f t="shared" si="460"/>
        <v>22.868000000000052</v>
      </c>
      <c r="F349" s="47">
        <f t="shared" si="460"/>
        <v>-19.405999999999949</v>
      </c>
      <c r="G349" s="47">
        <f t="shared" si="460"/>
        <v>9.36099999999999</v>
      </c>
      <c r="H349" s="47">
        <f t="shared" si="460"/>
        <v>-20.003000000000043</v>
      </c>
      <c r="I349" s="47">
        <f t="shared" si="460"/>
        <v>35.949999999999932</v>
      </c>
      <c r="N349" s="47">
        <f t="shared" ref="N349:AS349" si="461">IFERROR(N347-I347,"n/a")</f>
        <v>17.651000000000124</v>
      </c>
      <c r="O349" s="47">
        <f t="shared" si="461"/>
        <v>25.302000000000021</v>
      </c>
      <c r="P349" s="47">
        <f t="shared" si="461"/>
        <v>14.942000000000007</v>
      </c>
      <c r="Q349" s="47">
        <f t="shared" si="461"/>
        <v>165.40599999999995</v>
      </c>
      <c r="R349" s="47">
        <f t="shared" si="461"/>
        <v>195.85399999999987</v>
      </c>
      <c r="S349" s="47">
        <f t="shared" si="461"/>
        <v>195.85399999999987</v>
      </c>
      <c r="T349" s="47">
        <f t="shared" si="461"/>
        <v>193.15399999999988</v>
      </c>
      <c r="U349" s="47">
        <f t="shared" si="461"/>
        <v>213.38200000000006</v>
      </c>
      <c r="V349" s="47">
        <f t="shared" si="461"/>
        <v>69.630000000000109</v>
      </c>
      <c r="W349" s="47">
        <f t="shared" si="461"/>
        <v>17.537000000000148</v>
      </c>
      <c r="X349" s="47">
        <f t="shared" si="461"/>
        <v>17.537000000000148</v>
      </c>
      <c r="Y349" s="47">
        <f t="shared" si="461"/>
        <v>63.184999999999945</v>
      </c>
      <c r="Z349" s="47">
        <f t="shared" si="461"/>
        <v>68.240000000000009</v>
      </c>
      <c r="AA349" s="47">
        <f t="shared" si="461"/>
        <v>63.839999999999918</v>
      </c>
      <c r="AB349" s="47">
        <f t="shared" si="461"/>
        <v>69.103000000000065</v>
      </c>
      <c r="AC349" s="47">
        <f t="shared" si="461"/>
        <v>69.103000000000065</v>
      </c>
      <c r="AD349" s="47">
        <f t="shared" si="461"/>
        <v>63.091000000000008</v>
      </c>
      <c r="AE349" s="47">
        <f t="shared" si="461"/>
        <v>80.315000000000168</v>
      </c>
      <c r="AF349" s="47">
        <f t="shared" si="461"/>
        <v>109.05600000000004</v>
      </c>
      <c r="AG349" s="47">
        <f t="shared" si="461"/>
        <v>103.42999999999995</v>
      </c>
      <c r="AH349" s="47">
        <f t="shared" si="461"/>
        <v>103.42999999999995</v>
      </c>
      <c r="AI349" s="47">
        <f t="shared" si="461"/>
        <v>82.546000000000163</v>
      </c>
      <c r="AJ349" s="47">
        <f t="shared" si="461"/>
        <v>201.80200000000002</v>
      </c>
      <c r="AK349" s="47">
        <f t="shared" si="461"/>
        <v>102.03600000000006</v>
      </c>
      <c r="AL349" s="47">
        <f t="shared" si="461"/>
        <v>67.130999999999858</v>
      </c>
      <c r="AM349" s="47">
        <f t="shared" si="461"/>
        <v>67.130999999999858</v>
      </c>
      <c r="AN349" s="47">
        <f t="shared" si="461"/>
        <v>97.023999999999774</v>
      </c>
      <c r="AO349" s="47">
        <f t="shared" si="461"/>
        <v>21.781999999999925</v>
      </c>
      <c r="AP349" s="47">
        <f t="shared" si="461"/>
        <v>58.682999999999993</v>
      </c>
      <c r="AQ349" s="47">
        <f t="shared" si="461"/>
        <v>54.131000000000085</v>
      </c>
      <c r="AR349" s="47">
        <f t="shared" si="461"/>
        <v>54.131000000000085</v>
      </c>
      <c r="AS349" s="47">
        <f t="shared" si="461"/>
        <v>45.074000000000183</v>
      </c>
      <c r="AT349" s="47">
        <f t="shared" ref="AT349:BX349" si="462">IFERROR(AT347-AO347,"n/a")</f>
        <v>42.061999999999671</v>
      </c>
      <c r="AU349" s="47">
        <f t="shared" si="462"/>
        <v>19.701999999999771</v>
      </c>
      <c r="AV349" s="47">
        <f t="shared" si="462"/>
        <v>15.499999999999886</v>
      </c>
      <c r="AW349" s="47">
        <f t="shared" si="462"/>
        <v>15.499999999999886</v>
      </c>
      <c r="AX349" s="47">
        <f t="shared" si="462"/>
        <v>-12.000000000000114</v>
      </c>
      <c r="AY349" s="47">
        <f t="shared" si="462"/>
        <v>-9.1999999999998181</v>
      </c>
      <c r="AZ349" s="47">
        <f t="shared" si="462"/>
        <v>66.700000000000273</v>
      </c>
      <c r="BA349" s="47">
        <f t="shared" si="462"/>
        <v>90.100000000000023</v>
      </c>
      <c r="BB349" s="47">
        <f t="shared" si="462"/>
        <v>90.100000000000023</v>
      </c>
      <c r="BC349" s="47">
        <f t="shared" si="462"/>
        <v>97.000000000000114</v>
      </c>
      <c r="BD349" s="47">
        <f t="shared" si="462"/>
        <v>290.89999999999986</v>
      </c>
      <c r="BE349" s="47">
        <f t="shared" si="462"/>
        <v>219.89999999999986</v>
      </c>
      <c r="BF349" s="47">
        <f t="shared" si="462"/>
        <v>119.20000000000005</v>
      </c>
      <c r="BG349" s="47">
        <f t="shared" si="462"/>
        <v>119.20000000000005</v>
      </c>
      <c r="BH349" s="47">
        <f t="shared" si="462"/>
        <v>290.20000000000005</v>
      </c>
      <c r="BI349" s="47">
        <f t="shared" si="462"/>
        <v>79.000000000000227</v>
      </c>
      <c r="BJ349" s="47">
        <f t="shared" si="462"/>
        <v>189.39999999999986</v>
      </c>
      <c r="BK349" s="47">
        <f t="shared" si="462"/>
        <v>93.300000000000182</v>
      </c>
      <c r="BL349" s="47">
        <f t="shared" si="462"/>
        <v>93.300000000000182</v>
      </c>
      <c r="BM349" s="47">
        <f t="shared" si="462"/>
        <v>72.099999999999909</v>
      </c>
      <c r="BN349" s="47">
        <f t="shared" si="462"/>
        <v>128.59999999999991</v>
      </c>
      <c r="BO349" s="47">
        <f t="shared" si="462"/>
        <v>9.1000000000001364</v>
      </c>
      <c r="BP349" s="47">
        <f t="shared" si="462"/>
        <v>48.699999999999818</v>
      </c>
      <c r="BQ349" s="47">
        <f t="shared" si="462"/>
        <v>48.699999999999818</v>
      </c>
      <c r="BR349" s="47">
        <f t="shared" si="462"/>
        <v>90</v>
      </c>
      <c r="BS349" s="47">
        <f t="shared" si="462"/>
        <v>9</v>
      </c>
      <c r="BT349" s="47">
        <f t="shared" si="462"/>
        <v>-42</v>
      </c>
      <c r="BU349" s="47">
        <f t="shared" si="462"/>
        <v>-33</v>
      </c>
      <c r="BV349" s="47">
        <f t="shared" si="462"/>
        <v>-33</v>
      </c>
      <c r="BW349" s="47">
        <f t="shared" si="462"/>
        <v>44</v>
      </c>
      <c r="BX349" s="47">
        <f t="shared" si="462"/>
        <v>108</v>
      </c>
      <c r="BY349" s="6"/>
      <c r="BZ349" s="6"/>
      <c r="CA349" s="37">
        <f>IFERROR(CA347-BV347,"n/a")</f>
        <v>700.31830404238008</v>
      </c>
      <c r="CB349" s="37">
        <f>IFERROR(CB347-CA347,"n/a")</f>
        <v>96.86108186131969</v>
      </c>
      <c r="CC349" s="37">
        <f>IFERROR(CC347-CB347,"n/a")</f>
        <v>125.39154380961872</v>
      </c>
      <c r="CD349" s="37">
        <f>IFERROR(CD347-CC347,"n/a")</f>
        <v>158.18306771435255</v>
      </c>
      <c r="CE349" s="37">
        <f>IFERROR(CE347-CD347,"n/a")</f>
        <v>179.28883897074456</v>
      </c>
      <c r="CF349" s="6"/>
    </row>
    <row r="350" spans="2:84" ht="15" customHeight="1" x14ac:dyDescent="0.25"/>
    <row r="351" spans="2:84" ht="15" hidden="1" customHeight="1" outlineLevel="1" x14ac:dyDescent="0.25">
      <c r="B351" s="11" t="s">
        <v>542</v>
      </c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  <c r="AZ351" s="11"/>
      <c r="BA351" s="11"/>
      <c r="BB351" s="11"/>
      <c r="BC351" s="11"/>
      <c r="BD351" s="11"/>
      <c r="BE351" s="11"/>
      <c r="BF351" s="11"/>
      <c r="BG351" s="11"/>
      <c r="BH351" s="11"/>
      <c r="BI351" s="11"/>
      <c r="BJ351" s="11"/>
      <c r="BK351" s="11"/>
      <c r="BL351" s="11"/>
      <c r="BM351" s="11"/>
      <c r="BN351" s="11"/>
      <c r="BO351" s="11"/>
      <c r="BP351" s="11"/>
      <c r="BQ351" s="11"/>
      <c r="BR351" s="11"/>
      <c r="BS351" s="11"/>
      <c r="BT351" s="11"/>
      <c r="BU351" s="11"/>
      <c r="BV351" s="11"/>
      <c r="BW351" s="11"/>
      <c r="BX351" s="11"/>
      <c r="BY351" s="11"/>
      <c r="BZ351" s="11"/>
      <c r="CA351" s="11"/>
      <c r="CB351" s="11"/>
      <c r="CC351" s="11"/>
      <c r="CD351" s="11"/>
      <c r="CE351" s="11"/>
      <c r="CF351" s="11" t="s">
        <v>543</v>
      </c>
    </row>
    <row r="352" spans="2:84" ht="15" hidden="1" customHeight="1" outlineLevel="1" x14ac:dyDescent="0.25">
      <c r="B352" s="15" t="s">
        <v>544</v>
      </c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  <c r="AW352" s="15"/>
      <c r="AX352" s="15"/>
      <c r="AY352" s="15"/>
      <c r="AZ352" s="15"/>
      <c r="BA352" s="15"/>
      <c r="BB352" s="15"/>
      <c r="BC352" s="15"/>
      <c r="BD352" s="15"/>
      <c r="BE352" s="15"/>
      <c r="BF352" s="15"/>
      <c r="BG352" s="15"/>
      <c r="BH352" s="15"/>
      <c r="BI352" s="15"/>
      <c r="BJ352" s="15"/>
      <c r="BK352" s="15"/>
      <c r="BL352" s="15"/>
      <c r="BM352" s="15"/>
      <c r="BN352" s="15"/>
      <c r="BO352" s="15"/>
      <c r="BP352" s="15"/>
      <c r="BQ352" s="15"/>
      <c r="BR352" s="15"/>
      <c r="BS352" s="15"/>
      <c r="BT352" s="15"/>
      <c r="BU352" s="15"/>
      <c r="BV352" s="15"/>
      <c r="BW352" s="15"/>
      <c r="BX352" s="15"/>
      <c r="BY352" s="15"/>
      <c r="BZ352" s="15"/>
      <c r="CA352" s="15"/>
      <c r="CB352" s="15"/>
      <c r="CC352" s="15"/>
      <c r="CD352" s="15"/>
      <c r="CE352" s="15"/>
      <c r="CF352" s="16"/>
    </row>
    <row r="353" spans="2:84" ht="15" hidden="1" customHeight="1" outlineLevel="1" x14ac:dyDescent="0.25">
      <c r="B353" s="76" t="s">
        <v>545</v>
      </c>
      <c r="BY353" s="6"/>
      <c r="BZ353" s="6"/>
      <c r="CA353" s="52">
        <v>7222</v>
      </c>
      <c r="CB353" s="6"/>
      <c r="CC353" s="6"/>
      <c r="CD353" s="6"/>
      <c r="CE353" s="6"/>
      <c r="CF353" s="6"/>
    </row>
    <row r="354" spans="2:84" ht="15" hidden="1" customHeight="1" outlineLevel="1" x14ac:dyDescent="0.25">
      <c r="B354" s="76" t="s">
        <v>546</v>
      </c>
      <c r="BY354" s="6"/>
      <c r="BZ354" s="6"/>
      <c r="CA354" s="52">
        <v>26</v>
      </c>
      <c r="CB354" s="6"/>
      <c r="CC354" s="6"/>
      <c r="CD354" s="6"/>
      <c r="CE354" s="6"/>
      <c r="CF354" s="6"/>
    </row>
    <row r="355" spans="2:84" ht="15" hidden="1" customHeight="1" outlineLevel="1" x14ac:dyDescent="0.25">
      <c r="B355" s="76" t="s">
        <v>547</v>
      </c>
      <c r="BY355" s="6"/>
      <c r="BZ355" s="6"/>
      <c r="CA355" s="52">
        <v>6317</v>
      </c>
      <c r="CB355" s="6"/>
      <c r="CC355" s="6"/>
      <c r="CD355" s="6"/>
      <c r="CE355" s="6"/>
      <c r="CF355" s="6"/>
    </row>
    <row r="356" spans="2:84" ht="15" hidden="1" customHeight="1" outlineLevel="1" x14ac:dyDescent="0.25">
      <c r="B356" s="76" t="s">
        <v>548</v>
      </c>
      <c r="BY356" s="6"/>
      <c r="BZ356" s="6"/>
      <c r="CA356" s="73">
        <v>10.953543</v>
      </c>
      <c r="CB356" s="6"/>
      <c r="CC356" s="6"/>
      <c r="CD356" s="6"/>
      <c r="CE356" s="6"/>
      <c r="CF356" s="6"/>
    </row>
    <row r="357" spans="2:84" ht="15" hidden="1" customHeight="1" outlineLevel="1" x14ac:dyDescent="0.25">
      <c r="B357" s="76" t="s">
        <v>549</v>
      </c>
      <c r="BY357" s="6"/>
      <c r="BZ357" s="6"/>
      <c r="CA357" s="52">
        <v>224</v>
      </c>
      <c r="CB357" s="6"/>
      <c r="CC357" s="6"/>
      <c r="CD357" s="6"/>
      <c r="CE357" s="6"/>
      <c r="CF357" s="6"/>
    </row>
    <row r="358" spans="2:84" ht="15" hidden="1" customHeight="1" outlineLevel="1" x14ac:dyDescent="0.25">
      <c r="B358" s="76" t="s">
        <v>550</v>
      </c>
      <c r="BY358" s="6"/>
      <c r="BZ358" s="6"/>
      <c r="CA358" s="52">
        <v>152</v>
      </c>
      <c r="CB358" s="6"/>
      <c r="CC358" s="6"/>
      <c r="CD358" s="6"/>
      <c r="CE358" s="6"/>
      <c r="CF358" s="6"/>
    </row>
    <row r="359" spans="2:84" ht="15" hidden="1" customHeight="1" outlineLevel="1" x14ac:dyDescent="0.25">
      <c r="B359" s="76" t="s">
        <v>551</v>
      </c>
      <c r="BY359" s="6"/>
      <c r="BZ359" s="6"/>
      <c r="CA359" s="52">
        <v>336</v>
      </c>
      <c r="CB359" s="6"/>
      <c r="CC359" s="6"/>
      <c r="CD359" s="6"/>
      <c r="CE359" s="6"/>
      <c r="CF359" s="6"/>
    </row>
    <row r="360" spans="2:84" ht="15" hidden="1" customHeight="1" outlineLevel="1" x14ac:dyDescent="0.25">
      <c r="B360" s="76" t="s">
        <v>552</v>
      </c>
      <c r="BY360" s="6"/>
      <c r="BZ360" s="6"/>
      <c r="CA360" s="52">
        <v>3247</v>
      </c>
      <c r="CB360" s="6"/>
      <c r="CC360" s="6"/>
      <c r="CD360" s="6"/>
      <c r="CE360" s="6"/>
      <c r="CF360" s="6"/>
    </row>
    <row r="361" spans="2:84" ht="15" hidden="1" customHeight="1" outlineLevel="1" x14ac:dyDescent="0.25">
      <c r="B361" s="76" t="s">
        <v>553</v>
      </c>
      <c r="BY361" s="6"/>
      <c r="BZ361" s="6"/>
      <c r="CA361" s="52">
        <v>5900</v>
      </c>
      <c r="CB361" s="6"/>
      <c r="CC361" s="6"/>
      <c r="CD361" s="6"/>
      <c r="CE361" s="6"/>
      <c r="CF361" s="6"/>
    </row>
    <row r="362" spans="2:84" ht="15" hidden="1" customHeight="1" outlineLevel="1" x14ac:dyDescent="0.25">
      <c r="B362" s="76" t="s">
        <v>554</v>
      </c>
      <c r="BY362" s="6"/>
      <c r="BZ362" s="6"/>
      <c r="CA362" s="52">
        <v>66</v>
      </c>
      <c r="CB362" s="6"/>
      <c r="CC362" s="6"/>
      <c r="CD362" s="6"/>
      <c r="CE362" s="6"/>
      <c r="CF362" s="6"/>
    </row>
    <row r="363" spans="2:84" ht="15" hidden="1" customHeight="1" outlineLevel="1" x14ac:dyDescent="0.25">
      <c r="B363" s="76" t="s">
        <v>492</v>
      </c>
      <c r="BY363" s="6"/>
      <c r="BZ363" s="6"/>
      <c r="CA363" s="52">
        <v>6000</v>
      </c>
      <c r="CB363" s="6"/>
      <c r="CC363" s="6"/>
      <c r="CD363" s="6"/>
      <c r="CE363" s="6"/>
      <c r="CF363" s="6"/>
    </row>
    <row r="364" spans="2:84" ht="15" hidden="1" customHeight="1" outlineLevel="1" x14ac:dyDescent="0.25">
      <c r="B364" s="76" t="s">
        <v>555</v>
      </c>
      <c r="BY364" s="6"/>
      <c r="BZ364" s="6"/>
      <c r="CA364" s="52">
        <v>85</v>
      </c>
      <c r="CB364" s="6"/>
      <c r="CC364" s="6"/>
      <c r="CD364" s="6"/>
      <c r="CE364" s="6"/>
      <c r="CF364" s="6"/>
    </row>
    <row r="365" spans="2:84" ht="15" hidden="1" customHeight="1" outlineLevel="1" x14ac:dyDescent="0.25">
      <c r="B365" s="76" t="s">
        <v>556</v>
      </c>
      <c r="BY365" s="6"/>
      <c r="BZ365" s="6"/>
      <c r="CA365" s="52">
        <v>72</v>
      </c>
      <c r="CB365" s="6"/>
      <c r="CC365" s="6"/>
      <c r="CD365" s="6"/>
      <c r="CE365" s="6"/>
      <c r="CF365" s="6"/>
    </row>
    <row r="366" spans="2:84" ht="15" hidden="1" customHeight="1" outlineLevel="1" x14ac:dyDescent="0.25">
      <c r="B366" s="76" t="s">
        <v>504</v>
      </c>
      <c r="BY366" s="6"/>
      <c r="BZ366" s="6"/>
      <c r="CA366" s="52">
        <v>18</v>
      </c>
      <c r="CB366" s="6"/>
      <c r="CC366" s="6"/>
      <c r="CD366" s="6"/>
      <c r="CE366" s="6"/>
      <c r="CF366" s="6"/>
    </row>
    <row r="367" spans="2:84" ht="15" hidden="1" customHeight="1" outlineLevel="1" x14ac:dyDescent="0.25">
      <c r="B367" s="76" t="s">
        <v>508</v>
      </c>
      <c r="BY367" s="6"/>
      <c r="BZ367" s="6"/>
      <c r="CA367" s="52">
        <v>50</v>
      </c>
      <c r="CB367" s="6"/>
      <c r="CC367" s="6"/>
      <c r="CD367" s="6"/>
      <c r="CE367" s="6"/>
      <c r="CF367" s="6"/>
    </row>
    <row r="368" spans="2:84" ht="15" hidden="1" customHeight="1" outlineLevel="1" x14ac:dyDescent="0.25">
      <c r="B368" s="76" t="s">
        <v>557</v>
      </c>
      <c r="BY368" s="6"/>
      <c r="BZ368" s="6"/>
      <c r="CA368" s="52">
        <v>148</v>
      </c>
      <c r="CB368" s="6"/>
      <c r="CC368" s="6"/>
      <c r="CD368" s="6"/>
      <c r="CE368" s="6"/>
      <c r="CF368" s="6"/>
    </row>
    <row r="369" spans="2:84" ht="15" hidden="1" customHeight="1" outlineLevel="1" x14ac:dyDescent="0.25">
      <c r="B369" s="76" t="s">
        <v>428</v>
      </c>
      <c r="BY369" s="6"/>
      <c r="BZ369" s="6"/>
      <c r="CA369" s="52">
        <v>2039</v>
      </c>
      <c r="CB369" s="6"/>
      <c r="CC369" s="6"/>
      <c r="CD369" s="6"/>
      <c r="CE369" s="6"/>
      <c r="CF369" s="6"/>
    </row>
    <row r="370" spans="2:84" ht="15" hidden="1" customHeight="1" outlineLevel="1" x14ac:dyDescent="0.25">
      <c r="B370" s="61" t="s">
        <v>558</v>
      </c>
      <c r="BY370" s="6"/>
      <c r="BZ370" s="6"/>
      <c r="CA370" s="37">
        <f>ROUND($CA$354+$CA$357+$CA$358+$CA$359+$CA$360+$CA$361+$CA$362+$CA$363-($CA$364+$CA$365+$CA$366+$CA$367+$CA$368+$CA$369)-($CA$353+$CA$355),1)</f>
        <v>0</v>
      </c>
      <c r="CB370" s="6"/>
      <c r="CC370" s="6"/>
      <c r="CD370" s="6"/>
      <c r="CE370" s="6"/>
      <c r="CF370" s="6"/>
    </row>
    <row r="371" spans="2:84" ht="15" hidden="1" customHeight="1" outlineLevel="1" x14ac:dyDescent="0.25">
      <c r="B371" s="15" t="s">
        <v>559</v>
      </c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  <c r="AZ371" s="15"/>
      <c r="BA371" s="15"/>
      <c r="BB371" s="15"/>
      <c r="BC371" s="15"/>
      <c r="BD371" s="15"/>
      <c r="BE371" s="15"/>
      <c r="BF371" s="15"/>
      <c r="BG371" s="15"/>
      <c r="BH371" s="15"/>
      <c r="BI371" s="15"/>
      <c r="BJ371" s="15"/>
      <c r="BK371" s="15"/>
      <c r="BL371" s="15"/>
      <c r="BM371" s="15"/>
      <c r="BN371" s="15"/>
      <c r="BO371" s="15"/>
      <c r="BP371" s="15"/>
      <c r="BQ371" s="15"/>
      <c r="BR371" s="15"/>
      <c r="BS371" s="15"/>
      <c r="BT371" s="15"/>
      <c r="BU371" s="15"/>
      <c r="BV371" s="15"/>
      <c r="BW371" s="15"/>
      <c r="BX371" s="15"/>
      <c r="BY371" s="15"/>
      <c r="BZ371" s="15"/>
      <c r="CA371" s="15"/>
      <c r="CB371" s="15"/>
      <c r="CC371" s="15"/>
      <c r="CD371" s="15"/>
      <c r="CE371" s="15"/>
      <c r="CF371" s="16"/>
    </row>
    <row r="372" spans="2:84" ht="15" hidden="1" customHeight="1" outlineLevel="1" x14ac:dyDescent="0.25">
      <c r="B372" s="76" t="s">
        <v>560</v>
      </c>
      <c r="BY372" s="52">
        <v>6.25</v>
      </c>
      <c r="BZ372" s="52">
        <v>6.25</v>
      </c>
      <c r="CA372" s="37">
        <f>SUM(BW372,BX372,BY372,BZ372)</f>
        <v>12.5</v>
      </c>
      <c r="CB372" s="52">
        <v>25</v>
      </c>
      <c r="CC372" s="52">
        <v>25</v>
      </c>
      <c r="CD372" s="52">
        <v>25</v>
      </c>
      <c r="CE372" s="52">
        <v>25</v>
      </c>
      <c r="CF372" s="20" t="s">
        <v>561</v>
      </c>
    </row>
    <row r="373" spans="2:84" ht="15" hidden="1" customHeight="1" outlineLevel="1" x14ac:dyDescent="0.25">
      <c r="B373" s="76" t="s">
        <v>562</v>
      </c>
      <c r="BY373" s="6"/>
      <c r="BZ373" s="6"/>
      <c r="CA373" s="49">
        <v>0.246</v>
      </c>
      <c r="CB373" s="6"/>
      <c r="CC373" s="6"/>
      <c r="CD373" s="6"/>
      <c r="CE373" s="6"/>
      <c r="CF373" s="20" t="s">
        <v>563</v>
      </c>
    </row>
    <row r="374" spans="2:84" ht="15" hidden="1" customHeight="1" outlineLevel="1" x14ac:dyDescent="0.25">
      <c r="B374" s="76" t="s">
        <v>564</v>
      </c>
      <c r="BY374" s="6"/>
      <c r="BZ374" s="6"/>
      <c r="CA374" s="49">
        <v>0.09</v>
      </c>
      <c r="CB374" s="6"/>
      <c r="CC374" s="6"/>
      <c r="CD374" s="6"/>
      <c r="CE374" s="6"/>
      <c r="CF374" s="20" t="s">
        <v>565</v>
      </c>
    </row>
    <row r="375" spans="2:84" ht="15" hidden="1" customHeight="1" outlineLevel="1" x14ac:dyDescent="0.25">
      <c r="B375" s="76" t="s">
        <v>566</v>
      </c>
      <c r="BY375" s="6"/>
      <c r="BZ375" s="6"/>
      <c r="CA375" s="6"/>
      <c r="CB375" s="73">
        <v>0.15</v>
      </c>
      <c r="CC375" s="73">
        <v>0.15</v>
      </c>
      <c r="CD375" s="73">
        <v>0.15</v>
      </c>
      <c r="CE375" s="73">
        <v>0.15</v>
      </c>
      <c r="CF375" s="6"/>
    </row>
    <row r="376" spans="2:84" ht="15" hidden="1" customHeight="1" outlineLevel="1" x14ac:dyDescent="0.25">
      <c r="B376" s="76" t="s">
        <v>567</v>
      </c>
      <c r="BY376" s="6"/>
      <c r="BZ376" s="6"/>
      <c r="CA376" s="6"/>
      <c r="CB376" s="49">
        <v>7.0000000000000007E-2</v>
      </c>
      <c r="CC376" s="49">
        <v>7.0000000000000007E-2</v>
      </c>
      <c r="CD376" s="49">
        <v>7.0000000000000007E-2</v>
      </c>
      <c r="CE376" s="49">
        <v>7.0000000000000007E-2</v>
      </c>
      <c r="CF376" s="6"/>
    </row>
    <row r="377" spans="2:84" ht="15" hidden="1" customHeight="1" outlineLevel="1" x14ac:dyDescent="0.25">
      <c r="B377" s="15" t="s">
        <v>568</v>
      </c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  <c r="AZ377" s="15"/>
      <c r="BA377" s="15"/>
      <c r="BB377" s="15"/>
      <c r="BC377" s="15"/>
      <c r="BD377" s="15"/>
      <c r="BE377" s="15"/>
      <c r="BF377" s="15"/>
      <c r="BG377" s="15"/>
      <c r="BH377" s="15"/>
      <c r="BI377" s="15"/>
      <c r="BJ377" s="15"/>
      <c r="BK377" s="15"/>
      <c r="BL377" s="15"/>
      <c r="BM377" s="15"/>
      <c r="BN377" s="15"/>
      <c r="BO377" s="15"/>
      <c r="BP377" s="15"/>
      <c r="BQ377" s="15"/>
      <c r="BR377" s="15"/>
      <c r="BS377" s="15"/>
      <c r="BT377" s="15"/>
      <c r="BU377" s="15"/>
      <c r="BV377" s="15"/>
      <c r="BW377" s="15"/>
      <c r="BX377" s="15"/>
      <c r="BY377" s="15"/>
      <c r="BZ377" s="15"/>
      <c r="CA377" s="15"/>
      <c r="CB377" s="15"/>
      <c r="CC377" s="15"/>
      <c r="CD377" s="15"/>
      <c r="CE377" s="15"/>
      <c r="CF377" s="16"/>
    </row>
    <row r="378" spans="2:84" ht="15" hidden="1" customHeight="1" outlineLevel="1" x14ac:dyDescent="0.25">
      <c r="B378" s="76" t="s">
        <v>569</v>
      </c>
      <c r="C378" s="47">
        <f t="shared" ref="C378:AH378" si="463">IF(ISNUMBER(C320),N(C316)+C320,"")</f>
        <v>705.26400000000001</v>
      </c>
      <c r="D378" s="47">
        <f t="shared" si="463"/>
        <v>1124.3220000000001</v>
      </c>
      <c r="E378" s="47">
        <f t="shared" si="463"/>
        <v>1354.944</v>
      </c>
      <c r="F378" s="47">
        <f t="shared" si="463"/>
        <v>1249.6109999999999</v>
      </c>
      <c r="G378" s="47">
        <f t="shared" si="463"/>
        <v>1030.759</v>
      </c>
      <c r="H378" s="47">
        <f t="shared" si="463"/>
        <v>1060.0840000000001</v>
      </c>
      <c r="I378" s="47">
        <f t="shared" si="463"/>
        <v>1047.8589999999999</v>
      </c>
      <c r="J378" s="47">
        <f t="shared" si="463"/>
        <v>1078.5269999999998</v>
      </c>
      <c r="K378" s="47">
        <f t="shared" si="463"/>
        <v>1093.3190000000002</v>
      </c>
      <c r="L378" s="47">
        <f t="shared" si="463"/>
        <v>1113.3610000000001</v>
      </c>
      <c r="M378" s="47">
        <f t="shared" si="463"/>
        <v>1030.921</v>
      </c>
      <c r="N378" s="47">
        <f t="shared" si="463"/>
        <v>1030.921</v>
      </c>
      <c r="O378" s="47">
        <f t="shared" si="463"/>
        <v>1067.944</v>
      </c>
      <c r="P378" s="47">
        <f t="shared" si="463"/>
        <v>1084.8009999999999</v>
      </c>
      <c r="Q378" s="47">
        <f t="shared" si="463"/>
        <v>1618.2749999999999</v>
      </c>
      <c r="R378" s="47">
        <f t="shared" si="463"/>
        <v>1585.395</v>
      </c>
      <c r="S378" s="47">
        <f t="shared" si="463"/>
        <v>1585.395</v>
      </c>
      <c r="T378" s="47">
        <f t="shared" si="463"/>
        <v>1581.0229999999999</v>
      </c>
      <c r="U378" s="47">
        <f t="shared" si="463"/>
        <v>1658.001</v>
      </c>
      <c r="V378" s="47">
        <f t="shared" si="463"/>
        <v>1705.152</v>
      </c>
      <c r="W378" s="47">
        <f t="shared" si="463"/>
        <v>1572.895</v>
      </c>
      <c r="X378" s="47">
        <f t="shared" si="463"/>
        <v>1572.895</v>
      </c>
      <c r="Y378" s="47">
        <f t="shared" si="463"/>
        <v>1752.7570000000001</v>
      </c>
      <c r="Z378" s="47">
        <f t="shared" si="463"/>
        <v>1779.2169999999999</v>
      </c>
      <c r="AA378" s="47">
        <f t="shared" si="463"/>
        <v>1764.835</v>
      </c>
      <c r="AB378" s="47">
        <f t="shared" si="463"/>
        <v>1686.1890000000001</v>
      </c>
      <c r="AC378" s="47">
        <f t="shared" si="463"/>
        <v>1686.1890000000001</v>
      </c>
      <c r="AD378" s="47">
        <f t="shared" si="463"/>
        <v>1846.2940000000001</v>
      </c>
      <c r="AE378" s="47">
        <f t="shared" si="463"/>
        <v>1781.981</v>
      </c>
      <c r="AF378" s="47">
        <f t="shared" si="463"/>
        <v>1722.54</v>
      </c>
      <c r="AG378" s="47">
        <f t="shared" si="463"/>
        <v>3027.203</v>
      </c>
      <c r="AH378" s="47">
        <f t="shared" si="463"/>
        <v>3027.203</v>
      </c>
      <c r="AI378" s="47">
        <f t="shared" ref="AI378:BN378" si="464">IF(ISNUMBER(AI320),N(AI316)+AI320,"")</f>
        <v>3028.1079999999997</v>
      </c>
      <c r="AJ378" s="47">
        <f t="shared" si="464"/>
        <v>3218.922</v>
      </c>
      <c r="AK378" s="47">
        <f t="shared" si="464"/>
        <v>3209.6980000000003</v>
      </c>
      <c r="AL378" s="47">
        <f t="shared" si="464"/>
        <v>3120.4809999999998</v>
      </c>
      <c r="AM378" s="47">
        <f t="shared" si="464"/>
        <v>3120.4809999999998</v>
      </c>
      <c r="AN378" s="47">
        <f t="shared" si="464"/>
        <v>3161.2840000000001</v>
      </c>
      <c r="AO378" s="47">
        <f t="shared" si="464"/>
        <v>3117.0610000000001</v>
      </c>
      <c r="AP378" s="47">
        <f t="shared" si="464"/>
        <v>2922.8589999999999</v>
      </c>
      <c r="AQ378" s="47">
        <f t="shared" si="464"/>
        <v>2773.6</v>
      </c>
      <c r="AR378" s="47">
        <f t="shared" si="464"/>
        <v>2773.6</v>
      </c>
      <c r="AS378" s="47">
        <f t="shared" si="464"/>
        <v>3263.8</v>
      </c>
      <c r="AT378" s="47">
        <f t="shared" si="464"/>
        <v>2754.5</v>
      </c>
      <c r="AU378" s="47">
        <f t="shared" si="464"/>
        <v>2625.2</v>
      </c>
      <c r="AV378" s="47">
        <f t="shared" si="464"/>
        <v>2625.8</v>
      </c>
      <c r="AW378" s="47">
        <f t="shared" si="464"/>
        <v>2625.8</v>
      </c>
      <c r="AX378" s="47">
        <f t="shared" si="464"/>
        <v>2626.5</v>
      </c>
      <c r="AY378" s="47">
        <f t="shared" si="464"/>
        <v>2867.2999999999997</v>
      </c>
      <c r="AZ378" s="47">
        <f t="shared" si="464"/>
        <v>5119.5</v>
      </c>
      <c r="BA378" s="47">
        <f t="shared" si="464"/>
        <v>5100.8</v>
      </c>
      <c r="BB378" s="47">
        <f t="shared" si="464"/>
        <v>5100.8</v>
      </c>
      <c r="BC378" s="47">
        <f t="shared" si="464"/>
        <v>5102.3</v>
      </c>
      <c r="BD378" s="47">
        <f t="shared" si="464"/>
        <v>5044.3</v>
      </c>
      <c r="BE378" s="47">
        <f t="shared" si="464"/>
        <v>4339.8999999999996</v>
      </c>
      <c r="BF378" s="47">
        <f t="shared" si="464"/>
        <v>4340.8999999999996</v>
      </c>
      <c r="BG378" s="47">
        <f t="shared" si="464"/>
        <v>4340.8999999999996</v>
      </c>
      <c r="BH378" s="47">
        <f t="shared" si="464"/>
        <v>4342</v>
      </c>
      <c r="BI378" s="47">
        <f t="shared" si="464"/>
        <v>4343.1000000000004</v>
      </c>
      <c r="BJ378" s="47">
        <f t="shared" si="464"/>
        <v>4344.2</v>
      </c>
      <c r="BK378" s="47">
        <f t="shared" si="464"/>
        <v>4345.2</v>
      </c>
      <c r="BL378" s="47">
        <f t="shared" si="464"/>
        <v>4345.2</v>
      </c>
      <c r="BM378" s="47">
        <f t="shared" si="464"/>
        <v>4347</v>
      </c>
      <c r="BN378" s="47">
        <f t="shared" si="464"/>
        <v>4347</v>
      </c>
      <c r="BO378" s="47">
        <f t="shared" ref="BO378:BX378" si="465">IF(ISNUMBER(BO320),N(BO316)+BO320,"")</f>
        <v>4043</v>
      </c>
      <c r="BP378" s="47">
        <f t="shared" si="465"/>
        <v>5413</v>
      </c>
      <c r="BQ378" s="47">
        <f t="shared" si="465"/>
        <v>5413</v>
      </c>
      <c r="BR378" s="47">
        <f t="shared" si="465"/>
        <v>5414</v>
      </c>
      <c r="BS378" s="47">
        <f t="shared" si="465"/>
        <v>5416</v>
      </c>
      <c r="BT378" s="47">
        <f t="shared" si="465"/>
        <v>5522</v>
      </c>
      <c r="BU378" s="47">
        <f t="shared" si="465"/>
        <v>5323</v>
      </c>
      <c r="BV378" s="47">
        <f t="shared" si="465"/>
        <v>5323</v>
      </c>
      <c r="BW378" s="47">
        <f t="shared" si="465"/>
        <v>5294</v>
      </c>
      <c r="BX378" s="47">
        <f t="shared" si="465"/>
        <v>5951</v>
      </c>
      <c r="BY378" s="6"/>
      <c r="BZ378" s="6"/>
      <c r="CA378" s="37">
        <f>CA382+CA389</f>
        <v>12382.587978462001</v>
      </c>
      <c r="CB378" s="37">
        <f>CB382+CB389</f>
        <v>11147.269948286974</v>
      </c>
      <c r="CC378" s="37">
        <f>CC382+CC389</f>
        <v>10796</v>
      </c>
      <c r="CD378" s="37">
        <f>CD382+CD389</f>
        <v>10796</v>
      </c>
      <c r="CE378" s="37">
        <f>CE382+CE389</f>
        <v>11774.564540620177</v>
      </c>
      <c r="CF378" s="20" t="s">
        <v>570</v>
      </c>
    </row>
    <row r="379" spans="2:84" ht="15" hidden="1" customHeight="1" outlineLevel="1" x14ac:dyDescent="0.25">
      <c r="B379" s="76" t="s">
        <v>571</v>
      </c>
      <c r="BY379" s="6"/>
      <c r="BZ379" s="6"/>
      <c r="CA379" s="52">
        <v>0</v>
      </c>
      <c r="CB379" s="52">
        <v>-794</v>
      </c>
      <c r="CC379" s="52">
        <v>0</v>
      </c>
      <c r="CD379" s="52">
        <v>-750</v>
      </c>
      <c r="CE379" s="52">
        <v>-474</v>
      </c>
      <c r="CF379" s="20" t="s">
        <v>572</v>
      </c>
    </row>
    <row r="380" spans="2:84" ht="15" hidden="1" customHeight="1" outlineLevel="1" x14ac:dyDescent="0.25">
      <c r="B380" s="76" t="s">
        <v>573</v>
      </c>
      <c r="BY380" s="6"/>
      <c r="BZ380" s="6"/>
      <c r="CA380" s="6"/>
      <c r="CB380" s="49">
        <v>1</v>
      </c>
      <c r="CC380" s="49">
        <v>1</v>
      </c>
      <c r="CD380" s="49">
        <v>1</v>
      </c>
      <c r="CE380" s="49">
        <v>1</v>
      </c>
      <c r="CF380" s="20" t="s">
        <v>574</v>
      </c>
    </row>
    <row r="381" spans="2:84" ht="15" hidden="1" customHeight="1" outlineLevel="1" x14ac:dyDescent="0.25">
      <c r="B381" s="76" t="s">
        <v>575</v>
      </c>
      <c r="BY381" s="6"/>
      <c r="BZ381" s="6"/>
      <c r="CA381" s="6"/>
      <c r="CB381" s="37">
        <f>-CB379*CB380</f>
        <v>794</v>
      </c>
      <c r="CC381" s="37">
        <f>-CC379*CC380</f>
        <v>0</v>
      </c>
      <c r="CD381" s="37">
        <f>-CD379*CD380</f>
        <v>750</v>
      </c>
      <c r="CE381" s="37">
        <f>-CE379*CE380</f>
        <v>474</v>
      </c>
      <c r="CF381" s="6"/>
    </row>
    <row r="382" spans="2:84" ht="15" hidden="1" customHeight="1" outlineLevel="1" x14ac:dyDescent="0.25">
      <c r="B382" s="76" t="s">
        <v>576</v>
      </c>
      <c r="BX382" s="36">
        <v>5296</v>
      </c>
      <c r="BY382" s="6"/>
      <c r="BZ382" s="6"/>
      <c r="CA382" s="37">
        <f>BX382+CA383+CA379</f>
        <v>10796</v>
      </c>
      <c r="CB382" s="37">
        <f>CA382+CB379+CB381</f>
        <v>10796</v>
      </c>
      <c r="CC382" s="37">
        <f>CB382+CC379+CC381</f>
        <v>10796</v>
      </c>
      <c r="CD382" s="37">
        <f>CC382+CD379+CD381</f>
        <v>10796</v>
      </c>
      <c r="CE382" s="37">
        <f>CD382+CE379+CE381</f>
        <v>10796</v>
      </c>
      <c r="CF382" s="6"/>
    </row>
    <row r="383" spans="2:84" ht="15" hidden="1" customHeight="1" outlineLevel="1" x14ac:dyDescent="0.25">
      <c r="B383" s="76" t="s">
        <v>577</v>
      </c>
      <c r="BY383" s="6"/>
      <c r="BZ383" s="6"/>
      <c r="CA383" s="52">
        <v>5500</v>
      </c>
      <c r="CB383" s="6"/>
      <c r="CC383" s="6"/>
      <c r="CD383" s="6"/>
      <c r="CE383" s="6"/>
      <c r="CF383" s="20" t="s">
        <v>578</v>
      </c>
    </row>
    <row r="384" spans="2:84" ht="15" hidden="1" customHeight="1" outlineLevel="1" x14ac:dyDescent="0.25">
      <c r="B384" s="76" t="s">
        <v>579</v>
      </c>
      <c r="BY384" s="6"/>
      <c r="BZ384" s="6"/>
      <c r="CA384" s="25">
        <f>(750*4.85%+1250*5.2%+1000*5.4%+1500*5.625%+1000*6.375%)/5500</f>
        <v>5.5181818181818179E-2</v>
      </c>
      <c r="CB384" s="6"/>
      <c r="CC384" s="6"/>
      <c r="CD384" s="6"/>
      <c r="CE384" s="6"/>
      <c r="CF384" s="6"/>
    </row>
    <row r="385" spans="2:84" ht="15" hidden="1" customHeight="1" outlineLevel="1" x14ac:dyDescent="0.25">
      <c r="B385" s="76" t="s">
        <v>580</v>
      </c>
      <c r="BY385" s="6"/>
      <c r="BZ385" s="6"/>
      <c r="CA385" s="52">
        <v>1500</v>
      </c>
      <c r="CB385" s="6"/>
      <c r="CC385" s="6"/>
      <c r="CD385" s="6"/>
      <c r="CE385" s="6"/>
      <c r="CF385" s="20" t="s">
        <v>581</v>
      </c>
    </row>
    <row r="386" spans="2:84" ht="15" hidden="1" customHeight="1" outlineLevel="1" x14ac:dyDescent="0.25">
      <c r="B386" s="76" t="s">
        <v>582</v>
      </c>
      <c r="BY386" s="6"/>
      <c r="BZ386" s="6"/>
      <c r="CA386" s="49">
        <v>0.05</v>
      </c>
      <c r="CB386" s="6"/>
      <c r="CC386" s="6"/>
      <c r="CD386" s="6"/>
      <c r="CE386" s="6"/>
      <c r="CF386" s="20" t="s">
        <v>583</v>
      </c>
    </row>
    <row r="387" spans="2:84" ht="15" hidden="1" customHeight="1" outlineLevel="1" x14ac:dyDescent="0.25">
      <c r="B387" s="76" t="s">
        <v>584</v>
      </c>
      <c r="BY387" s="6"/>
      <c r="BZ387" s="6"/>
      <c r="CA387" s="37">
        <f>CA275+CA261+CA266+CA269+CA270+CA271+CA272+(BW267+BX267)+(BW268+BX268)+CA383+CA379</f>
        <v>-781.58797846200105</v>
      </c>
      <c r="CB387" s="37">
        <f>CB275+CB261+CB266+CB269+CB270+CB271+CB272+CB379+CB381</f>
        <v>1385.3180301750265</v>
      </c>
      <c r="CC387" s="37">
        <f>CC275+CC261+CC266+CC269+CC270+CC271+CC272+CC379+CC381</f>
        <v>1252.8560592005483</v>
      </c>
      <c r="CD387" s="37">
        <f>CD275+CD261+CD266+CD269+CD270+CD271+CD272+CD379+CD381</f>
        <v>391.31205551026142</v>
      </c>
      <c r="CE387" s="37">
        <f>CE275+CE261+CE266+CE269+CE270+CE271+CE272+CE379+CE381</f>
        <v>-828.56454062017588</v>
      </c>
      <c r="CF387" s="6"/>
    </row>
    <row r="388" spans="2:84" ht="15" hidden="1" customHeight="1" outlineLevel="1" x14ac:dyDescent="0.25">
      <c r="B388" s="76" t="s">
        <v>585</v>
      </c>
      <c r="BY388" s="6"/>
      <c r="BZ388" s="6"/>
      <c r="CA388" s="52">
        <v>150</v>
      </c>
      <c r="CB388" s="52">
        <v>150</v>
      </c>
      <c r="CC388" s="52">
        <v>150</v>
      </c>
      <c r="CD388" s="52">
        <v>150</v>
      </c>
      <c r="CE388" s="52">
        <v>150</v>
      </c>
      <c r="CF388" s="6"/>
    </row>
    <row r="389" spans="2:84" ht="15" hidden="1" customHeight="1" outlineLevel="1" x14ac:dyDescent="0.25">
      <c r="B389" s="76" t="s">
        <v>586</v>
      </c>
      <c r="BX389" s="47">
        <f>BX378-BX382</f>
        <v>655</v>
      </c>
      <c r="BY389" s="6"/>
      <c r="BZ389" s="6"/>
      <c r="CA389" s="37">
        <f>MAX(0,BX389+CA388-CA387)</f>
        <v>1586.587978462001</v>
      </c>
      <c r="CB389" s="37">
        <f>MAX(0,CA389+CB388-CB387)</f>
        <v>351.26994828697457</v>
      </c>
      <c r="CC389" s="37">
        <f>MAX(0,CB389+CC388-CC387)</f>
        <v>0</v>
      </c>
      <c r="CD389" s="37">
        <f>MAX(0,CC389+CD388-CD387)</f>
        <v>0</v>
      </c>
      <c r="CE389" s="37">
        <f>MAX(0,CD389+CE388-CE387)</f>
        <v>978.56454062017588</v>
      </c>
      <c r="CF389" s="20" t="s">
        <v>587</v>
      </c>
    </row>
    <row r="390" spans="2:84" ht="15" hidden="1" customHeight="1" outlineLevel="1" x14ac:dyDescent="0.25">
      <c r="B390" s="76" t="s">
        <v>588</v>
      </c>
      <c r="D390" s="47">
        <f t="shared" ref="D390:I390" si="466">IFERROR(D378-C378,"")</f>
        <v>419.05800000000011</v>
      </c>
      <c r="E390" s="47">
        <f t="shared" si="466"/>
        <v>230.62199999999984</v>
      </c>
      <c r="F390" s="47">
        <f t="shared" si="466"/>
        <v>-105.33300000000008</v>
      </c>
      <c r="G390" s="47">
        <f t="shared" si="466"/>
        <v>-218.85199999999986</v>
      </c>
      <c r="H390" s="47">
        <f t="shared" si="466"/>
        <v>29.325000000000045</v>
      </c>
      <c r="I390" s="47">
        <f t="shared" si="466"/>
        <v>-12.225000000000136</v>
      </c>
      <c r="N390" s="47">
        <f t="shared" ref="N390:AS390" si="467">IFERROR(N378-I378,"")</f>
        <v>-16.937999999999874</v>
      </c>
      <c r="O390" s="47">
        <f t="shared" si="467"/>
        <v>-10.582999999999856</v>
      </c>
      <c r="P390" s="47">
        <f t="shared" si="467"/>
        <v>-8.5180000000002565</v>
      </c>
      <c r="Q390" s="47">
        <f t="shared" si="467"/>
        <v>504.91399999999976</v>
      </c>
      <c r="R390" s="47">
        <f t="shared" si="467"/>
        <v>554.47399999999993</v>
      </c>
      <c r="S390" s="47">
        <f t="shared" si="467"/>
        <v>554.47399999999993</v>
      </c>
      <c r="T390" s="47">
        <f t="shared" si="467"/>
        <v>513.07899999999995</v>
      </c>
      <c r="U390" s="47">
        <f t="shared" si="467"/>
        <v>573.20000000000005</v>
      </c>
      <c r="V390" s="47">
        <f t="shared" si="467"/>
        <v>86.87700000000018</v>
      </c>
      <c r="W390" s="47">
        <f t="shared" si="467"/>
        <v>-12.5</v>
      </c>
      <c r="X390" s="47">
        <f t="shared" si="467"/>
        <v>-12.5</v>
      </c>
      <c r="Y390" s="47">
        <f t="shared" si="467"/>
        <v>171.73400000000015</v>
      </c>
      <c r="Z390" s="47">
        <f t="shared" si="467"/>
        <v>121.21599999999989</v>
      </c>
      <c r="AA390" s="47">
        <f t="shared" si="467"/>
        <v>59.682999999999993</v>
      </c>
      <c r="AB390" s="47">
        <f t="shared" si="467"/>
        <v>113.2940000000001</v>
      </c>
      <c r="AC390" s="47">
        <f t="shared" si="467"/>
        <v>113.2940000000001</v>
      </c>
      <c r="AD390" s="47">
        <f t="shared" si="467"/>
        <v>93.537000000000035</v>
      </c>
      <c r="AE390" s="47">
        <f t="shared" si="467"/>
        <v>2.7640000000001237</v>
      </c>
      <c r="AF390" s="47">
        <f t="shared" si="467"/>
        <v>-42.295000000000073</v>
      </c>
      <c r="AG390" s="47">
        <f t="shared" si="467"/>
        <v>1341.0139999999999</v>
      </c>
      <c r="AH390" s="47">
        <f t="shared" si="467"/>
        <v>1341.0139999999999</v>
      </c>
      <c r="AI390" s="47">
        <f t="shared" si="467"/>
        <v>1181.8139999999996</v>
      </c>
      <c r="AJ390" s="47">
        <f t="shared" si="467"/>
        <v>1436.941</v>
      </c>
      <c r="AK390" s="47">
        <f t="shared" si="467"/>
        <v>1487.1580000000004</v>
      </c>
      <c r="AL390" s="47">
        <f t="shared" si="467"/>
        <v>93.277999999999793</v>
      </c>
      <c r="AM390" s="47">
        <f t="shared" si="467"/>
        <v>93.277999999999793</v>
      </c>
      <c r="AN390" s="47">
        <f t="shared" si="467"/>
        <v>133.17600000000039</v>
      </c>
      <c r="AO390" s="47">
        <f t="shared" si="467"/>
        <v>-101.86099999999988</v>
      </c>
      <c r="AP390" s="47">
        <f t="shared" si="467"/>
        <v>-286.8390000000004</v>
      </c>
      <c r="AQ390" s="47">
        <f t="shared" si="467"/>
        <v>-346.88099999999986</v>
      </c>
      <c r="AR390" s="47">
        <f t="shared" si="467"/>
        <v>-346.88099999999986</v>
      </c>
      <c r="AS390" s="47">
        <f t="shared" si="467"/>
        <v>102.51600000000008</v>
      </c>
      <c r="AT390" s="47">
        <f t="shared" ref="AT390:BX390" si="468">IFERROR(AT378-AO378,"")</f>
        <v>-362.56100000000015</v>
      </c>
      <c r="AU390" s="47">
        <f t="shared" si="468"/>
        <v>-297.65900000000011</v>
      </c>
      <c r="AV390" s="47">
        <f t="shared" si="468"/>
        <v>-147.79999999999973</v>
      </c>
      <c r="AW390" s="47">
        <f t="shared" si="468"/>
        <v>-147.79999999999973</v>
      </c>
      <c r="AX390" s="47">
        <f t="shared" si="468"/>
        <v>-637.30000000000018</v>
      </c>
      <c r="AY390" s="47">
        <f t="shared" si="468"/>
        <v>112.79999999999973</v>
      </c>
      <c r="AZ390" s="47">
        <f t="shared" si="468"/>
        <v>2494.3000000000002</v>
      </c>
      <c r="BA390" s="47">
        <f t="shared" si="468"/>
        <v>2475</v>
      </c>
      <c r="BB390" s="47">
        <f t="shared" si="468"/>
        <v>2475</v>
      </c>
      <c r="BC390" s="47">
        <f t="shared" si="468"/>
        <v>2475.8000000000002</v>
      </c>
      <c r="BD390" s="47">
        <f t="shared" si="468"/>
        <v>2177.0000000000005</v>
      </c>
      <c r="BE390" s="47">
        <f t="shared" si="468"/>
        <v>-779.60000000000036</v>
      </c>
      <c r="BF390" s="47">
        <f t="shared" si="468"/>
        <v>-759.90000000000055</v>
      </c>
      <c r="BG390" s="47">
        <f t="shared" si="468"/>
        <v>-759.90000000000055</v>
      </c>
      <c r="BH390" s="47">
        <f t="shared" si="468"/>
        <v>-760.30000000000018</v>
      </c>
      <c r="BI390" s="47">
        <f t="shared" si="468"/>
        <v>-701.19999999999982</v>
      </c>
      <c r="BJ390" s="47">
        <f t="shared" si="468"/>
        <v>4.3000000000001819</v>
      </c>
      <c r="BK390" s="47">
        <f t="shared" si="468"/>
        <v>4.3000000000001819</v>
      </c>
      <c r="BL390" s="47">
        <f t="shared" si="468"/>
        <v>4.3000000000001819</v>
      </c>
      <c r="BM390" s="47">
        <f t="shared" si="468"/>
        <v>5</v>
      </c>
      <c r="BN390" s="47">
        <f t="shared" si="468"/>
        <v>3.8999999999996362</v>
      </c>
      <c r="BO390" s="47">
        <f t="shared" si="468"/>
        <v>-301.19999999999982</v>
      </c>
      <c r="BP390" s="47">
        <f t="shared" si="468"/>
        <v>1067.8000000000002</v>
      </c>
      <c r="BQ390" s="47">
        <f t="shared" si="468"/>
        <v>1067.8000000000002</v>
      </c>
      <c r="BR390" s="47">
        <f t="shared" si="468"/>
        <v>1067</v>
      </c>
      <c r="BS390" s="47">
        <f t="shared" si="468"/>
        <v>1069</v>
      </c>
      <c r="BT390" s="47">
        <f t="shared" si="468"/>
        <v>1479</v>
      </c>
      <c r="BU390" s="47">
        <f t="shared" si="468"/>
        <v>-90</v>
      </c>
      <c r="BV390" s="47">
        <f t="shared" si="468"/>
        <v>-90</v>
      </c>
      <c r="BW390" s="47">
        <f t="shared" si="468"/>
        <v>-120</v>
      </c>
      <c r="BX390" s="47">
        <f t="shared" si="468"/>
        <v>535</v>
      </c>
      <c r="BY390" s="6"/>
      <c r="BZ390" s="6"/>
      <c r="CA390" s="37">
        <f>IFERROR(CA378-BV378,"")</f>
        <v>7059.587978462001</v>
      </c>
      <c r="CB390" s="37">
        <f>IFERROR(CB378-CA378,"")</f>
        <v>-1235.3180301750272</v>
      </c>
      <c r="CC390" s="37">
        <f>IFERROR(CC378-CB378,"")</f>
        <v>-351.26994828697389</v>
      </c>
      <c r="CD390" s="37">
        <f>IFERROR(CD378-CC378,"")</f>
        <v>0</v>
      </c>
      <c r="CE390" s="37">
        <f>IFERROR(CE378-CD378,"")</f>
        <v>978.56454062017656</v>
      </c>
      <c r="CF390" s="6"/>
    </row>
    <row r="391" spans="2:84" ht="15" hidden="1" customHeight="1" outlineLevel="1" x14ac:dyDescent="0.25">
      <c r="B391" s="76" t="s">
        <v>589</v>
      </c>
      <c r="D391" s="38">
        <f t="shared" ref="D391:I391" si="469">IF(AND(ISNUMBER(D167),ISNUMBER(C378)),IFERROR(D167/C378,""),"")</f>
        <v>8.635064316341115E-2</v>
      </c>
      <c r="E391" s="38">
        <f t="shared" si="469"/>
        <v>6.6084271231906869E-2</v>
      </c>
      <c r="F391" s="38">
        <f t="shared" si="469"/>
        <v>5.4245784327617973E-2</v>
      </c>
      <c r="G391" s="38">
        <f t="shared" si="469"/>
        <v>5.481705906878221E-2</v>
      </c>
      <c r="H391" s="38">
        <f t="shared" si="469"/>
        <v>5.6851310539126995E-2</v>
      </c>
      <c r="I391" s="38">
        <f t="shared" si="469"/>
        <v>5.0279034491606318E-2</v>
      </c>
      <c r="N391" s="38">
        <f>IF(AND(ISNUMBER(N167),ISNUMBER(I378)),IFERROR(N167/I378,""),"")</f>
        <v>5.1056487561780738E-2</v>
      </c>
      <c r="S391" s="38">
        <f>IF(AND(ISNUMBER(S167),ISNUMBER(N378)),IFERROR(S167/N378,""),"")</f>
        <v>6.4117425098528399E-2</v>
      </c>
      <c r="X391" s="38">
        <f>IF(AND(ISNUMBER(X167),ISNUMBER(S378)),IFERROR(X167/S378,""),"")</f>
        <v>4.8126807514846458E-2</v>
      </c>
      <c r="AC391" s="38">
        <f>IF(AND(ISNUMBER(AC167),ISNUMBER(X378)),IFERROR(AC167/X378,""),"")</f>
        <v>5.1942437352779432E-2</v>
      </c>
      <c r="AH391" s="38">
        <f>IF(AND(ISNUMBER(AH167),ISNUMBER(AC378)),IFERROR(AH167/AC378,""),"")</f>
        <v>5.4264379615808191E-2</v>
      </c>
      <c r="AM391" s="38">
        <f>IF(AND(ISNUMBER(AM167),ISNUMBER(AH378)),IFERROR(AM167/AH378,""),"")</f>
        <v>4.5279090962845894E-2</v>
      </c>
      <c r="AR391" s="38">
        <f>IF(AND(ISNUMBER(AR167),ISNUMBER(AM378)),IFERROR(AR167/AM378,""),"")</f>
        <v>4.1450340508402392E-2</v>
      </c>
      <c r="AW391" s="38">
        <f>IF(AND(ISNUMBER(AW167),ISNUMBER(AR378)),IFERROR(AW167/AR378,""),"")</f>
        <v>4.2580040380732619E-2</v>
      </c>
      <c r="BB391" s="38">
        <f>IF(AND(ISNUMBER(BB167),ISNUMBER(AW378)),IFERROR(BB167/AW378,""),"")</f>
        <v>5.4345342371848571E-2</v>
      </c>
      <c r="BG391" s="38">
        <f>IF(AND(ISNUMBER(BG167),ISNUMBER(BB378)),IFERROR(BG167/BB378,""),"")</f>
        <v>3.3132057716436639E-2</v>
      </c>
      <c r="BL391" s="38">
        <f>IF(AND(ISNUMBER(BL167),ISNUMBER(BG378)),IFERROR(BL167/BG378,""),"")</f>
        <v>3.8079660899813406E-2</v>
      </c>
      <c r="BQ391" s="38">
        <f>IF(AND(ISNUMBER(BQ167),ISNUMBER(BL378)),IFERROR(BQ167/BL378,""),"")</f>
        <v>3.8893491668968057E-2</v>
      </c>
      <c r="BV391" s="38">
        <f>IF(AND(ISNUMBER(BV167),ISNUMBER(BQ378)),IFERROR(BV167/BQ378,""),"")</f>
        <v>4.249030112691668E-2</v>
      </c>
      <c r="BY391" s="6"/>
      <c r="BZ391" s="6"/>
      <c r="CA391" s="6"/>
      <c r="CB391" s="49">
        <v>4.7199999999999999E-2</v>
      </c>
      <c r="CC391" s="49">
        <v>4.7800000000000002E-2</v>
      </c>
      <c r="CD391" s="49">
        <v>4.8000000000000001E-2</v>
      </c>
      <c r="CE391" s="49">
        <v>4.8500000000000001E-2</v>
      </c>
      <c r="CF391" s="20" t="s">
        <v>590</v>
      </c>
    </row>
    <row r="392" spans="2:84" ht="15" hidden="1" customHeight="1" outlineLevel="1" x14ac:dyDescent="0.25">
      <c r="B392" s="76" t="s">
        <v>591</v>
      </c>
      <c r="BY392" s="6"/>
      <c r="BZ392" s="6"/>
      <c r="CA392" s="6"/>
      <c r="CB392" s="49">
        <v>0.05</v>
      </c>
      <c r="CC392" s="49">
        <v>0.05</v>
      </c>
      <c r="CD392" s="49">
        <v>0.05</v>
      </c>
      <c r="CE392" s="49">
        <v>0.05</v>
      </c>
      <c r="CF392" s="6"/>
    </row>
    <row r="393" spans="2:84" ht="15" hidden="1" customHeight="1" outlineLevel="1" x14ac:dyDescent="0.25">
      <c r="B393" s="76" t="s">
        <v>592</v>
      </c>
      <c r="BY393" s="6"/>
      <c r="BZ393" s="6"/>
      <c r="CA393" s="6"/>
      <c r="CB393" s="49">
        <v>0.03</v>
      </c>
      <c r="CC393" s="49">
        <v>0.03</v>
      </c>
      <c r="CD393" s="49">
        <v>0.03</v>
      </c>
      <c r="CE393" s="49">
        <v>0.03</v>
      </c>
      <c r="CF393" s="6"/>
    </row>
    <row r="394" spans="2:84" ht="15" hidden="1" customHeight="1" outlineLevel="1" x14ac:dyDescent="0.25">
      <c r="B394" s="15" t="s">
        <v>593</v>
      </c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  <c r="AW394" s="15"/>
      <c r="AX394" s="15"/>
      <c r="AY394" s="15"/>
      <c r="AZ394" s="15"/>
      <c r="BA394" s="15"/>
      <c r="BB394" s="15"/>
      <c r="BC394" s="15"/>
      <c r="BD394" s="15"/>
      <c r="BE394" s="15"/>
      <c r="BF394" s="15"/>
      <c r="BG394" s="15"/>
      <c r="BH394" s="15"/>
      <c r="BI394" s="15"/>
      <c r="BJ394" s="15"/>
      <c r="BK394" s="15"/>
      <c r="BL394" s="15"/>
      <c r="BM394" s="15"/>
      <c r="BN394" s="15"/>
      <c r="BO394" s="15"/>
      <c r="BP394" s="15"/>
      <c r="BQ394" s="15"/>
      <c r="BR394" s="15"/>
      <c r="BS394" s="15"/>
      <c r="BT394" s="15"/>
      <c r="BU394" s="15"/>
      <c r="BV394" s="15"/>
      <c r="BW394" s="15"/>
      <c r="BX394" s="15"/>
      <c r="BY394" s="15"/>
      <c r="BZ394" s="15"/>
      <c r="CA394" s="15"/>
      <c r="CB394" s="15"/>
      <c r="CC394" s="15"/>
      <c r="CD394" s="15"/>
      <c r="CE394" s="15"/>
      <c r="CF394" s="16"/>
    </row>
    <row r="395" spans="2:84" ht="15" hidden="1" customHeight="1" outlineLevel="1" x14ac:dyDescent="0.25">
      <c r="B395" s="76" t="s">
        <v>594</v>
      </c>
      <c r="BY395" s="6"/>
      <c r="BZ395" s="6"/>
      <c r="CA395" s="6"/>
      <c r="CB395" s="56">
        <f>CHOOSE(MATCH($CF$2,{"Bull","Base","Bear"},0),$CO$28,$CP$28,$CQ$28)</f>
        <v>2.25</v>
      </c>
      <c r="CC395" s="56">
        <f>CHOOSE(MATCH($CF$2,{"Bull","Base","Bear"},0),$CO$28,$CP$28,$CQ$28)</f>
        <v>2.25</v>
      </c>
      <c r="CD395" s="56">
        <f>CHOOSE(MATCH($CF$2,{"Bull","Base","Bear"},0),$CO$28,$CP$28,$CQ$28)</f>
        <v>2.25</v>
      </c>
      <c r="CE395" s="56">
        <f>CHOOSE(MATCH($CF$2,{"Bull","Base","Bear"},0),$CO$28,$CP$28,$CQ$28)</f>
        <v>2.25</v>
      </c>
      <c r="CF395" s="20" t="s">
        <v>595</v>
      </c>
    </row>
    <row r="396" spans="2:84" ht="15" hidden="1" customHeight="1" outlineLevel="1" x14ac:dyDescent="0.25">
      <c r="B396" s="76" t="s">
        <v>596</v>
      </c>
      <c r="BY396" s="6"/>
      <c r="BZ396" s="6"/>
      <c r="CA396" s="6"/>
      <c r="CB396" s="37">
        <f>CA382+CA389-CA301-CB261-CB266-CB269-CB271-CB272</f>
        <v>11005.269948286976</v>
      </c>
      <c r="CC396" s="37">
        <f>CB382+CB389-CB301-CC261-CC266-CC269-CC271-CC272</f>
        <v>9902.4138890864251</v>
      </c>
      <c r="CD396" s="37">
        <f>CC382+CC389-CC301-CD261-CD266-CD269-CD271-CD272</f>
        <v>8738.8533117146017</v>
      </c>
      <c r="CE396" s="37">
        <f>CD382+CD389-CD301-CE261-CE266-CE269-CE271-CE272</f>
        <v>8938.4654921356087</v>
      </c>
      <c r="CF396" s="6"/>
    </row>
    <row r="397" spans="2:84" ht="15" hidden="1" customHeight="1" outlineLevel="1" x14ac:dyDescent="0.25">
      <c r="B397" s="76" t="s">
        <v>597</v>
      </c>
      <c r="BY397" s="6"/>
      <c r="BZ397" s="6"/>
      <c r="CA397" s="6"/>
      <c r="CB397" s="37">
        <f>CB395*CB211</f>
        <v>8089.0592667265728</v>
      </c>
      <c r="CC397" s="37">
        <f>CC395*CC211</f>
        <v>9278.9599933412537</v>
      </c>
      <c r="CD397" s="37">
        <f>CD395*CD211</f>
        <v>10412.68794448974</v>
      </c>
      <c r="CE397" s="37">
        <f>CE395*CE211</f>
        <v>11632.564540620177</v>
      </c>
      <c r="CF397" s="6"/>
    </row>
    <row r="398" spans="2:84" ht="15" hidden="1" customHeight="1" outlineLevel="1" x14ac:dyDescent="0.25">
      <c r="B398" s="76" t="s">
        <v>598</v>
      </c>
      <c r="BY398" s="6"/>
      <c r="BZ398" s="6"/>
      <c r="CA398" s="6"/>
      <c r="CB398" s="37">
        <f>MAX(0,CB397-CB396)</f>
        <v>0</v>
      </c>
      <c r="CC398" s="37">
        <f>MAX(0,CC397-CC396)</f>
        <v>0</v>
      </c>
      <c r="CD398" s="37">
        <f>MAX(0,CD397-CD396)</f>
        <v>1673.8346327751387</v>
      </c>
      <c r="CE398" s="37">
        <f>MAX(0,CE397-CE396)</f>
        <v>2694.0990484845679</v>
      </c>
      <c r="CF398" s="20" t="s">
        <v>599</v>
      </c>
    </row>
    <row r="399" spans="2:84" ht="15" hidden="1" customHeight="1" outlineLevel="1" x14ac:dyDescent="0.25">
      <c r="B399" s="15" t="s">
        <v>600</v>
      </c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  <c r="AZ399" s="15"/>
      <c r="BA399" s="15"/>
      <c r="BB399" s="15"/>
      <c r="BC399" s="15"/>
      <c r="BD399" s="15"/>
      <c r="BE399" s="15"/>
      <c r="BF399" s="15"/>
      <c r="BG399" s="15"/>
      <c r="BH399" s="15"/>
      <c r="BI399" s="15"/>
      <c r="BJ399" s="15"/>
      <c r="BK399" s="15"/>
      <c r="BL399" s="15"/>
      <c r="BM399" s="15"/>
      <c r="BN399" s="15"/>
      <c r="BO399" s="15"/>
      <c r="BP399" s="15"/>
      <c r="BQ399" s="15"/>
      <c r="BR399" s="15"/>
      <c r="BS399" s="15"/>
      <c r="BT399" s="15"/>
      <c r="BU399" s="15"/>
      <c r="BV399" s="15"/>
      <c r="BW399" s="15"/>
      <c r="BX399" s="15"/>
      <c r="BY399" s="15"/>
      <c r="BZ399" s="15"/>
      <c r="CA399" s="15"/>
      <c r="CB399" s="15"/>
      <c r="CC399" s="15"/>
      <c r="CD399" s="15"/>
      <c r="CE399" s="15"/>
      <c r="CF399" s="16"/>
    </row>
    <row r="400" spans="2:84" ht="15" hidden="1" customHeight="1" outlineLevel="1" x14ac:dyDescent="0.25">
      <c r="B400" s="26" t="s">
        <v>601</v>
      </c>
      <c r="C400" s="38">
        <f t="shared" ref="C400:AH400" si="470">IF(AND(ISNUMBER(C182),ISNUMBER(C158)),IFERROR(C182/C158,""),"")</f>
        <v>6.4099437998549669E-2</v>
      </c>
      <c r="D400" s="38">
        <f t="shared" si="470"/>
        <v>6.8115626840650631E-2</v>
      </c>
      <c r="E400" s="38">
        <f t="shared" si="470"/>
        <v>8.0717418989670303E-2</v>
      </c>
      <c r="F400" s="38">
        <f t="shared" si="470"/>
        <v>0.10536297427463878</v>
      </c>
      <c r="G400" s="38">
        <f t="shared" si="470"/>
        <v>0.10182119019574849</v>
      </c>
      <c r="H400" s="38">
        <f t="shared" si="470"/>
        <v>0.10117684812416126</v>
      </c>
      <c r="I400" s="38">
        <f t="shared" si="470"/>
        <v>8.6970455437769933E-2</v>
      </c>
      <c r="J400" s="38">
        <f t="shared" si="470"/>
        <v>0.1118</v>
      </c>
      <c r="K400" s="38">
        <f t="shared" si="470"/>
        <v>7.6326639417096137E-2</v>
      </c>
      <c r="L400" s="38">
        <f t="shared" si="470"/>
        <v>6.6293401473019695E-2</v>
      </c>
      <c r="M400" s="38">
        <f t="shared" si="470"/>
        <v>8.0117431192660557E-2</v>
      </c>
      <c r="N400" s="38">
        <f t="shared" si="470"/>
        <v>8.0612850846671302E-2</v>
      </c>
      <c r="O400" s="38">
        <f t="shared" si="470"/>
        <v>9.9057616048518787E-2</v>
      </c>
      <c r="P400" s="38">
        <f t="shared" si="470"/>
        <v>6.5273460848774653E-2</v>
      </c>
      <c r="Q400" s="38">
        <f t="shared" si="470"/>
        <v>6.7681578160805014E-2</v>
      </c>
      <c r="R400" s="38">
        <f t="shared" si="470"/>
        <v>8.0190353847950493E-2</v>
      </c>
      <c r="S400" s="38">
        <f t="shared" si="470"/>
        <v>7.5302907369844491E-2</v>
      </c>
      <c r="T400" s="38">
        <f t="shared" si="470"/>
        <v>9.7292450101243863E-2</v>
      </c>
      <c r="U400" s="38">
        <f t="shared" si="470"/>
        <v>7.3464293466464076E-2</v>
      </c>
      <c r="V400" s="38">
        <f t="shared" si="470"/>
        <v>6.0041581962668636E-2</v>
      </c>
      <c r="W400" s="38">
        <f t="shared" si="470"/>
        <v>7.5363485673691694E-2</v>
      </c>
      <c r="X400" s="38">
        <f t="shared" si="470"/>
        <v>7.4468018985196061E-2</v>
      </c>
      <c r="Y400" s="38">
        <f t="shared" si="470"/>
        <v>8.6726673427991882E-2</v>
      </c>
      <c r="Z400" s="38">
        <f t="shared" si="470"/>
        <v>7.2860943415532592E-2</v>
      </c>
      <c r="AA400" s="38">
        <f t="shared" si="470"/>
        <v>6.5567533291058966E-2</v>
      </c>
      <c r="AB400" s="38">
        <f t="shared" si="470"/>
        <v>7.7209106239460382E-2</v>
      </c>
      <c r="AC400" s="38">
        <f t="shared" si="470"/>
        <v>7.4697025243531986E-2</v>
      </c>
      <c r="AD400" s="38">
        <f t="shared" si="470"/>
        <v>8.3393767034008776E-2</v>
      </c>
      <c r="AE400" s="38">
        <f t="shared" si="470"/>
        <v>7.1204513399153735E-2</v>
      </c>
      <c r="AF400" s="38">
        <f t="shared" si="470"/>
        <v>6.9243357543440284E-2</v>
      </c>
      <c r="AG400" s="38">
        <f t="shared" si="470"/>
        <v>7.8046367851622875E-2</v>
      </c>
      <c r="AH400" s="38">
        <f t="shared" si="470"/>
        <v>7.4934940488198501E-2</v>
      </c>
      <c r="AI400" s="38">
        <f t="shared" ref="AI400:BN400" si="471">IF(AND(ISNUMBER(AI182),ISNUMBER(AI158)),IFERROR(AI182/AI158,""),"")</f>
        <v>9.5786783042394019E-2</v>
      </c>
      <c r="AJ400" s="38">
        <f t="shared" si="471"/>
        <v>7.2125568548980667E-2</v>
      </c>
      <c r="AK400" s="38">
        <f t="shared" si="471"/>
        <v>7.3509396215276634E-2</v>
      </c>
      <c r="AL400" s="38">
        <f t="shared" si="471"/>
        <v>8.9032932177240551E-2</v>
      </c>
      <c r="AM400" s="38">
        <f t="shared" si="471"/>
        <v>8.1058322230115221E-2</v>
      </c>
      <c r="AN400" s="38">
        <f t="shared" si="471"/>
        <v>9.5010943016438476E-2</v>
      </c>
      <c r="AO400" s="38">
        <f t="shared" si="471"/>
        <v>7.2510605970606531E-2</v>
      </c>
      <c r="AP400" s="38">
        <f t="shared" si="471"/>
        <v>6.6881371255402222E-2</v>
      </c>
      <c r="AQ400" s="38">
        <f t="shared" si="471"/>
        <v>8.5899148514671522E-2</v>
      </c>
      <c r="AR400" s="38">
        <f t="shared" si="471"/>
        <v>7.8390444763961412E-2</v>
      </c>
      <c r="AS400" s="38">
        <f t="shared" si="471"/>
        <v>9.9144228762262573E-2</v>
      </c>
      <c r="AT400" s="38">
        <f t="shared" si="471"/>
        <v>7.7443727372894705E-2</v>
      </c>
      <c r="AU400" s="38">
        <f t="shared" si="471"/>
        <v>7.4769184198577254E-2</v>
      </c>
      <c r="AV400" s="38">
        <f t="shared" si="471"/>
        <v>8.5876568328246874E-2</v>
      </c>
      <c r="AW400" s="38">
        <f t="shared" si="471"/>
        <v>8.3194147867819618E-2</v>
      </c>
      <c r="AX400" s="38">
        <f t="shared" si="471"/>
        <v>0.10036644951140065</v>
      </c>
      <c r="AY400" s="38">
        <f t="shared" si="471"/>
        <v>7.8307569489803316E-2</v>
      </c>
      <c r="AZ400" s="38">
        <f t="shared" si="471"/>
        <v>7.2882553136839404E-2</v>
      </c>
      <c r="BA400" s="38">
        <f t="shared" si="471"/>
        <v>8.801122694466719E-2</v>
      </c>
      <c r="BB400" s="38">
        <f t="shared" si="471"/>
        <v>8.3431843369043218E-2</v>
      </c>
      <c r="BC400" s="38">
        <f t="shared" si="471"/>
        <v>0.10415989600259994</v>
      </c>
      <c r="BD400" s="38">
        <f t="shared" si="471"/>
        <v>7.8211609916549921E-2</v>
      </c>
      <c r="BE400" s="38">
        <f t="shared" si="471"/>
        <v>6.8278412540707628E-2</v>
      </c>
      <c r="BF400" s="38">
        <f t="shared" si="471"/>
        <v>8.5133762275651878E-2</v>
      </c>
      <c r="BG400" s="38">
        <f t="shared" si="471"/>
        <v>8.2133523787881246E-2</v>
      </c>
      <c r="BH400" s="38">
        <f t="shared" si="471"/>
        <v>9.1278339856731408E-2</v>
      </c>
      <c r="BI400" s="38">
        <f t="shared" si="471"/>
        <v>7.11225834797891E-2</v>
      </c>
      <c r="BJ400" s="38">
        <f t="shared" si="471"/>
        <v>6.5944536382327876E-2</v>
      </c>
      <c r="BK400" s="38">
        <f t="shared" si="471"/>
        <v>7.9965178460390487E-2</v>
      </c>
      <c r="BL400" s="38">
        <f t="shared" si="471"/>
        <v>7.5724487989140069E-2</v>
      </c>
      <c r="BM400" s="38">
        <f t="shared" si="471"/>
        <v>0.10391686650679456</v>
      </c>
      <c r="BN400" s="38">
        <f t="shared" si="471"/>
        <v>8.0498866213151929E-2</v>
      </c>
      <c r="BO400" s="38">
        <f t="shared" ref="BO400:BX400" si="472">IF(AND(ISNUMBER(BO182),ISNUMBER(BO158)),IFERROR(BO182/BO158,""),"")</f>
        <v>8.0465854949708843E-2</v>
      </c>
      <c r="BP400" s="38">
        <f t="shared" si="472"/>
        <v>9.1299019607843132E-2</v>
      </c>
      <c r="BQ400" s="38">
        <f t="shared" si="472"/>
        <v>8.7668298653610768E-2</v>
      </c>
      <c r="BR400" s="38">
        <f t="shared" si="472"/>
        <v>0.13253012048192772</v>
      </c>
      <c r="BS400" s="38">
        <f t="shared" si="472"/>
        <v>0.10379117464263518</v>
      </c>
      <c r="BT400" s="38">
        <f t="shared" si="472"/>
        <v>8.6132177681473451E-2</v>
      </c>
      <c r="BU400" s="38">
        <f t="shared" si="472"/>
        <v>0.10234680573663625</v>
      </c>
      <c r="BV400" s="38">
        <f t="shared" si="472"/>
        <v>0.10357723577235772</v>
      </c>
      <c r="BW400" s="38">
        <f t="shared" si="472"/>
        <v>0.12261380323054331</v>
      </c>
      <c r="BX400" s="38">
        <f t="shared" si="472"/>
        <v>0.10477657935285054</v>
      </c>
      <c r="BY400" s="6"/>
      <c r="BZ400" s="6"/>
      <c r="CA400" s="25">
        <f>IFERROR(CA182/CA158,"")</f>
        <v>0.12187182516422287</v>
      </c>
      <c r="CB400" s="25">
        <f>IFERROR(CB182/CB158,"")</f>
        <v>0.13554294073406786</v>
      </c>
      <c r="CC400" s="25">
        <f>IFERROR(CC182/CC158,"")</f>
        <v>0.13311921823300785</v>
      </c>
      <c r="CD400" s="25">
        <f>IFERROR(CD182/CD158,"")</f>
        <v>0.13098387847732751</v>
      </c>
      <c r="CE400" s="25">
        <f>IFERROR(CE182/CE158,"")</f>
        <v>0.1290225762478881</v>
      </c>
      <c r="CF400" s="6"/>
    </row>
    <row r="401" spans="2:89" ht="15" hidden="1" customHeight="1" outlineLevel="1" x14ac:dyDescent="0.25">
      <c r="B401" s="26" t="s">
        <v>464</v>
      </c>
      <c r="C401" s="38">
        <f t="shared" ref="C401:AH401" si="473">IFERROR(-N(C262)/C158,"")</f>
        <v>0.12054749818709209</v>
      </c>
      <c r="D401" s="38">
        <f t="shared" si="473"/>
        <v>0.12003216890942867</v>
      </c>
      <c r="E401" s="38">
        <f t="shared" si="473"/>
        <v>0.12180840526390264</v>
      </c>
      <c r="F401" s="38">
        <f t="shared" si="473"/>
        <v>8.1774932456243385E-2</v>
      </c>
      <c r="G401" s="38">
        <f t="shared" si="473"/>
        <v>7.6233103370912547E-2</v>
      </c>
      <c r="H401" s="38">
        <f t="shared" si="473"/>
        <v>9.06488126495128E-2</v>
      </c>
      <c r="I401" s="38">
        <f t="shared" si="473"/>
        <v>7.4118080094228503E-2</v>
      </c>
      <c r="J401" s="38">
        <f t="shared" si="473"/>
        <v>5.683116883116883E-2</v>
      </c>
      <c r="K401" s="38">
        <f t="shared" si="473"/>
        <v>4.997689710325217E-2</v>
      </c>
      <c r="L401" s="38">
        <f t="shared" si="473"/>
        <v>7.8671276116037886E-2</v>
      </c>
      <c r="M401" s="38">
        <f t="shared" si="473"/>
        <v>9.7047706422018348E-2</v>
      </c>
      <c r="N401" s="38">
        <f t="shared" si="473"/>
        <v>7.2017165390860588E-2</v>
      </c>
      <c r="O401" s="38">
        <f t="shared" si="473"/>
        <v>8.6104501982738502E-2</v>
      </c>
      <c r="P401" s="38">
        <f t="shared" si="473"/>
        <v>7.1464435146443503E-2</v>
      </c>
      <c r="Q401" s="38">
        <f t="shared" si="473"/>
        <v>5.3634552157019025E-2</v>
      </c>
      <c r="R401" s="38">
        <f t="shared" si="473"/>
        <v>0.10932266728950135</v>
      </c>
      <c r="S401" s="38">
        <f t="shared" si="473"/>
        <v>7.8493238674780252E-2</v>
      </c>
      <c r="T401" s="38">
        <f t="shared" si="473"/>
        <v>8.1118021405843219E-2</v>
      </c>
      <c r="U401" s="38">
        <f t="shared" si="473"/>
        <v>7.8038853917950943E-2</v>
      </c>
      <c r="V401" s="38">
        <f t="shared" si="473"/>
        <v>7.8041951580114566E-2</v>
      </c>
      <c r="W401" s="38">
        <f t="shared" si="473"/>
        <v>0.12524863840871417</v>
      </c>
      <c r="X401" s="38">
        <f t="shared" si="473"/>
        <v>8.9906204090857728E-2</v>
      </c>
      <c r="Y401" s="38">
        <f t="shared" si="473"/>
        <v>0.11945740365111562</v>
      </c>
      <c r="Z401" s="38">
        <f t="shared" si="473"/>
        <v>0.11903305024045842</v>
      </c>
      <c r="AA401" s="38">
        <f t="shared" si="473"/>
        <v>6.7870278104900802E-2</v>
      </c>
      <c r="AB401" s="38">
        <f t="shared" si="473"/>
        <v>0.10727866779089376</v>
      </c>
      <c r="AC401" s="38">
        <f t="shared" si="473"/>
        <v>0.10141065256101392</v>
      </c>
      <c r="AD401" s="38">
        <f t="shared" si="473"/>
        <v>0.12097997393056049</v>
      </c>
      <c r="AE401" s="38">
        <f t="shared" si="473"/>
        <v>0.10718758815232722</v>
      </c>
      <c r="AF401" s="38">
        <f t="shared" si="473"/>
        <v>8.5185253286751861E-2</v>
      </c>
      <c r="AG401" s="38">
        <f t="shared" si="473"/>
        <v>0.1046676970633694</v>
      </c>
      <c r="AH401" s="38">
        <f t="shared" si="473"/>
        <v>0.10347110147266492</v>
      </c>
      <c r="AI401" s="38">
        <f t="shared" ref="AI401:BN401" si="474">IFERROR(-N(AI262)/AI158,"")</f>
        <v>0.12002369077306733</v>
      </c>
      <c r="AJ401" s="38">
        <f t="shared" si="474"/>
        <v>7.6522596833174902E-2</v>
      </c>
      <c r="AK401" s="38">
        <f t="shared" si="474"/>
        <v>6.0579351283985436E-2</v>
      </c>
      <c r="AL401" s="38">
        <f t="shared" si="474"/>
        <v>0.11154380730392917</v>
      </c>
      <c r="AM401" s="38">
        <f t="shared" si="474"/>
        <v>8.8579294648189963E-2</v>
      </c>
      <c r="AN401" s="38">
        <f t="shared" si="474"/>
        <v>0.13851143026023613</v>
      </c>
      <c r="AO401" s="38">
        <f t="shared" si="474"/>
        <v>6.0490766474816091E-2</v>
      </c>
      <c r="AP401" s="38">
        <f t="shared" si="474"/>
        <v>5.3192193465075768E-2</v>
      </c>
      <c r="AQ401" s="38">
        <f t="shared" si="474"/>
        <v>0.10041710967530873</v>
      </c>
      <c r="AR401" s="38">
        <f t="shared" si="474"/>
        <v>8.3032678370440954E-2</v>
      </c>
      <c r="AS401" s="38">
        <f t="shared" si="474"/>
        <v>0.10864120225422666</v>
      </c>
      <c r="AT401" s="38">
        <f t="shared" si="474"/>
        <v>5.6351330080277033E-2</v>
      </c>
      <c r="AU401" s="38">
        <f t="shared" si="474"/>
        <v>5.6833661268351737E-2</v>
      </c>
      <c r="AV401" s="38">
        <f t="shared" si="474"/>
        <v>9.2319430315361148E-2</v>
      </c>
      <c r="AW401" s="38">
        <f t="shared" si="474"/>
        <v>7.6048119410558362E-2</v>
      </c>
      <c r="AX401" s="38">
        <f t="shared" si="474"/>
        <v>0.11227605863192182</v>
      </c>
      <c r="AY401" s="38">
        <f t="shared" si="474"/>
        <v>7.4533710719210389E-2</v>
      </c>
      <c r="AZ401" s="38">
        <f t="shared" si="474"/>
        <v>6.9543440570217691E-2</v>
      </c>
      <c r="BA401" s="38">
        <f t="shared" si="474"/>
        <v>6.8029938519112529E-2</v>
      </c>
      <c r="BB401" s="38">
        <f t="shared" si="474"/>
        <v>7.814924270410048E-2</v>
      </c>
      <c r="BC401" s="38">
        <f t="shared" si="474"/>
        <v>0.11358466038349042</v>
      </c>
      <c r="BD401" s="38">
        <f t="shared" si="474"/>
        <v>4.9278187244929036E-2</v>
      </c>
      <c r="BE401" s="38">
        <f t="shared" si="474"/>
        <v>4.8793950433294694E-2</v>
      </c>
      <c r="BF401" s="38">
        <f t="shared" si="474"/>
        <v>0.11696579749407382</v>
      </c>
      <c r="BG401" s="38">
        <f t="shared" si="474"/>
        <v>7.8205398737156498E-2</v>
      </c>
      <c r="BH401" s="38">
        <f t="shared" si="474"/>
        <v>0.12842478398936563</v>
      </c>
      <c r="BI401" s="38">
        <f t="shared" si="474"/>
        <v>6.5630492091388395E-2</v>
      </c>
      <c r="BJ401" s="38">
        <f t="shared" si="474"/>
        <v>8.5602527455995184E-2</v>
      </c>
      <c r="BK401" s="38">
        <f t="shared" si="474"/>
        <v>0.11578161920159183</v>
      </c>
      <c r="BL401" s="38">
        <f t="shared" si="474"/>
        <v>9.5954081331523333E-2</v>
      </c>
      <c r="BM401" s="38">
        <f t="shared" si="474"/>
        <v>0.15987210231814547</v>
      </c>
      <c r="BN401" s="38">
        <f t="shared" si="474"/>
        <v>7.8798185941043083E-2</v>
      </c>
      <c r="BO401" s="38">
        <f t="shared" ref="BO401:BX401" si="475">IFERROR(-N(BO262)/BO158,"")</f>
        <v>0.14981471678136579</v>
      </c>
      <c r="BP401" s="38">
        <f t="shared" si="475"/>
        <v>0.14276960784313725</v>
      </c>
      <c r="BQ401" s="38">
        <f t="shared" si="475"/>
        <v>0.1308139534883721</v>
      </c>
      <c r="BR401" s="38">
        <f t="shared" si="475"/>
        <v>0.20051635111876076</v>
      </c>
      <c r="BS401" s="38">
        <f t="shared" si="475"/>
        <v>0.11124922311995028</v>
      </c>
      <c r="BT401" s="38">
        <f t="shared" si="475"/>
        <v>0.10292524377031419</v>
      </c>
      <c r="BU401" s="38">
        <f t="shared" si="475"/>
        <v>0.13363754889178617</v>
      </c>
      <c r="BV401" s="38">
        <f t="shared" si="475"/>
        <v>0.13121951219512196</v>
      </c>
      <c r="BW401" s="38">
        <f t="shared" si="475"/>
        <v>0.13656387665198239</v>
      </c>
      <c r="BX401" s="38">
        <f t="shared" si="475"/>
        <v>6.5742167437082694E-2</v>
      </c>
      <c r="BY401" s="6"/>
      <c r="BZ401" s="6"/>
      <c r="CA401" s="25">
        <f>IFERROR(-N(CA262)/CA158,"")</f>
        <v>7.9710719000790284E-2</v>
      </c>
      <c r="CB401" s="25">
        <f>IFERROR(-N(CB262)/CB158,"")</f>
        <v>0.1</v>
      </c>
      <c r="CC401" s="25">
        <f>IFERROR(-N(CC262)/CC158,"")</f>
        <v>0.1</v>
      </c>
      <c r="CD401" s="25">
        <f>IFERROR(-N(CD262)/CD158,"")</f>
        <v>0.1</v>
      </c>
      <c r="CE401" s="25">
        <f>IFERROR(-N(CE262)/CE158,"")</f>
        <v>0.1</v>
      </c>
      <c r="CF401" s="6"/>
    </row>
    <row r="402" spans="2:89" ht="15" customHeight="1" collapsed="1" x14ac:dyDescent="0.25"/>
    <row r="403" spans="2:89" ht="15" customHeight="1" x14ac:dyDescent="0.25">
      <c r="B403" s="11" t="s">
        <v>602</v>
      </c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  <c r="AZ403" s="11"/>
      <c r="BA403" s="11"/>
      <c r="BB403" s="11"/>
      <c r="BC403" s="11"/>
      <c r="BD403" s="11"/>
      <c r="BE403" s="11"/>
      <c r="BF403" s="11"/>
      <c r="BG403" s="11"/>
      <c r="BH403" s="11"/>
      <c r="BI403" s="11"/>
      <c r="BJ403" s="11"/>
      <c r="BK403" s="11"/>
      <c r="BL403" s="11"/>
      <c r="BM403" s="11"/>
      <c r="BN403" s="11"/>
      <c r="BO403" s="11"/>
      <c r="BP403" s="11"/>
      <c r="BQ403" s="11"/>
      <c r="BR403" s="11"/>
      <c r="BS403" s="11"/>
      <c r="BT403" s="11"/>
      <c r="BU403" s="11"/>
      <c r="BV403" s="11"/>
      <c r="BW403" s="11"/>
      <c r="BX403" s="11"/>
      <c r="BY403" s="11"/>
      <c r="BZ403" s="11"/>
      <c r="CA403" s="11"/>
      <c r="CB403" s="11"/>
      <c r="CC403" s="11"/>
      <c r="CD403" s="11"/>
      <c r="CE403" s="11"/>
      <c r="CF403" s="11" t="s">
        <v>603</v>
      </c>
    </row>
    <row r="404" spans="2:89" ht="15" customHeight="1" x14ac:dyDescent="0.25">
      <c r="B404" s="15" t="s">
        <v>604</v>
      </c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  <c r="AX404" s="15"/>
      <c r="AY404" s="15"/>
      <c r="AZ404" s="15"/>
      <c r="BA404" s="15"/>
      <c r="BB404" s="15"/>
      <c r="BC404" s="15"/>
      <c r="BD404" s="15"/>
      <c r="BE404" s="15"/>
      <c r="BF404" s="15"/>
      <c r="BG404" s="15"/>
      <c r="BH404" s="15"/>
      <c r="BI404" s="15"/>
      <c r="BJ404" s="15"/>
      <c r="BK404" s="15"/>
      <c r="BL404" s="15"/>
      <c r="BM404" s="15"/>
      <c r="BN404" s="15"/>
      <c r="BO404" s="15"/>
      <c r="BP404" s="15"/>
      <c r="BQ404" s="15"/>
      <c r="BR404" s="15"/>
      <c r="BS404" s="15"/>
      <c r="BT404" s="15"/>
      <c r="BU404" s="15"/>
      <c r="BV404" s="15"/>
      <c r="BW404" s="15"/>
      <c r="BX404" s="15"/>
      <c r="BY404" s="15"/>
      <c r="BZ404" s="15"/>
      <c r="CA404" s="15"/>
      <c r="CB404" s="15"/>
      <c r="CC404" s="15"/>
      <c r="CD404" s="15"/>
      <c r="CE404" s="15"/>
      <c r="CF404" s="16"/>
    </row>
    <row r="405" spans="2:89" ht="15" customHeight="1" x14ac:dyDescent="0.25">
      <c r="B405" s="26" t="s">
        <v>605</v>
      </c>
      <c r="C405" s="47">
        <f t="shared" ref="C405:I405" si="476">C219</f>
        <v>393.57100000000003</v>
      </c>
      <c r="D405" s="47">
        <f t="shared" si="476"/>
        <v>440.26199999999994</v>
      </c>
      <c r="E405" s="47">
        <f t="shared" si="476"/>
        <v>326.57099999999991</v>
      </c>
      <c r="F405" s="47">
        <f t="shared" si="476"/>
        <v>186.40000000000003</v>
      </c>
      <c r="G405" s="47">
        <f t="shared" si="476"/>
        <v>194.80000000000004</v>
      </c>
      <c r="H405" s="47">
        <f t="shared" si="476"/>
        <v>164.09999999999997</v>
      </c>
      <c r="I405" s="47">
        <f t="shared" si="476"/>
        <v>154.39999999999998</v>
      </c>
      <c r="N405" s="47">
        <f>N219</f>
        <v>218.30000000000004</v>
      </c>
      <c r="S405" s="47">
        <f>S219</f>
        <v>316.50000000000023</v>
      </c>
      <c r="X405" s="47">
        <f>X219</f>
        <v>505.99999999999983</v>
      </c>
      <c r="AC405" s="47">
        <f>AC219</f>
        <v>688.69999999999982</v>
      </c>
      <c r="AH405" s="47">
        <f>AH219</f>
        <v>710.40000000000009</v>
      </c>
      <c r="AM405" s="47">
        <f>AM219</f>
        <v>763.75900000000013</v>
      </c>
      <c r="AR405" s="47">
        <f>AR219</f>
        <v>877.14</v>
      </c>
      <c r="AW405" s="47">
        <f>AW219</f>
        <v>1006.7999999999997</v>
      </c>
      <c r="BB405" s="47">
        <f>BB219</f>
        <v>1086.0000000000002</v>
      </c>
      <c r="BG405" s="47">
        <f>BG219</f>
        <v>1103.7000000000003</v>
      </c>
      <c r="BL405" s="47">
        <f>BL219</f>
        <v>1622.8999999999994</v>
      </c>
      <c r="BQ405" s="47">
        <f>BQ219</f>
        <v>1502</v>
      </c>
      <c r="BV405" s="47">
        <f>BV219</f>
        <v>1484</v>
      </c>
      <c r="BY405" s="6"/>
      <c r="BZ405" s="6"/>
      <c r="CA405" s="37">
        <f>CA219</f>
        <v>1742.3104000806741</v>
      </c>
      <c r="CB405" s="37">
        <f>CB219</f>
        <v>2264.5369296065483</v>
      </c>
      <c r="CC405" s="37">
        <f>CC219</f>
        <v>2712.5870294784449</v>
      </c>
      <c r="CD405" s="37">
        <f>CD219</f>
        <v>3122.381254715563</v>
      </c>
      <c r="CE405" s="37">
        <f>CE219</f>
        <v>3559.0822349005034</v>
      </c>
      <c r="CF405" s="6"/>
    </row>
    <row r="406" spans="2:89" ht="15" customHeight="1" x14ac:dyDescent="0.25">
      <c r="B406" s="26" t="s">
        <v>606</v>
      </c>
      <c r="C406" s="38">
        <f t="shared" ref="C406:I406" si="477">C173</f>
        <v>0.30422374429223742</v>
      </c>
      <c r="D406" s="38">
        <f t="shared" si="477"/>
        <v>0.30665610142630739</v>
      </c>
      <c r="E406" s="38">
        <f t="shared" si="477"/>
        <v>0.29510891903000425</v>
      </c>
      <c r="F406" s="38">
        <f t="shared" si="477"/>
        <v>0.23764093668690414</v>
      </c>
      <c r="G406" s="38">
        <f t="shared" si="477"/>
        <v>0.22866092404072041</v>
      </c>
      <c r="H406" s="38">
        <f t="shared" si="477"/>
        <v>0.20874751491053675</v>
      </c>
      <c r="I406" s="38">
        <f t="shared" si="477"/>
        <v>0.1642371234207971</v>
      </c>
      <c r="N406" s="38">
        <f>N173</f>
        <v>0.26796589524969544</v>
      </c>
      <c r="S406" s="38">
        <f>S173</f>
        <v>0.38081861958266433</v>
      </c>
      <c r="X406" s="38">
        <f>X173</f>
        <v>0.30183663605606592</v>
      </c>
      <c r="AC406" s="38">
        <f>AC173</f>
        <v>0.299176276771005</v>
      </c>
      <c r="AH406" s="38">
        <f>AH173</f>
        <v>-0.15269025690741636</v>
      </c>
      <c r="AM406" s="38">
        <f>AM173</f>
        <v>0.1834898217438172</v>
      </c>
      <c r="AR406" s="38">
        <f>AR173</f>
        <v>0.18220291419896939</v>
      </c>
      <c r="AW406" s="38">
        <f>AW173</f>
        <v>0.18913752389519853</v>
      </c>
      <c r="BB406" s="38">
        <f>BB173</f>
        <v>0.1790765634132086</v>
      </c>
      <c r="BG406" s="38">
        <f>BG173</f>
        <v>0.21519567409036749</v>
      </c>
      <c r="BL406" s="38">
        <f>BL173</f>
        <v>0.19594051446945343</v>
      </c>
      <c r="BQ406" s="38">
        <f>BQ173</f>
        <v>0.23112480739599384</v>
      </c>
      <c r="BV406" s="38">
        <f>BV173</f>
        <v>0.19249592169657423</v>
      </c>
      <c r="BY406" s="6"/>
      <c r="BZ406" s="6"/>
      <c r="CA406" s="25">
        <f>CA173</f>
        <v>0.21955475958179649</v>
      </c>
      <c r="CB406" s="25">
        <f>CB173</f>
        <v>0.22</v>
      </c>
      <c r="CC406" s="25">
        <f>CC173</f>
        <v>0.22</v>
      </c>
      <c r="CD406" s="25">
        <f>CD173</f>
        <v>0.22</v>
      </c>
      <c r="CE406" s="25">
        <f>CE173</f>
        <v>0.22</v>
      </c>
      <c r="CF406" s="6"/>
    </row>
    <row r="407" spans="2:89" ht="15" customHeight="1" x14ac:dyDescent="0.25">
      <c r="B407" s="26" t="s">
        <v>607</v>
      </c>
      <c r="C407" s="47">
        <f t="shared" ref="C407:I407" si="478">IFERROR(C405*(1-C406),"n/a")</f>
        <v>273.83735673515986</v>
      </c>
      <c r="D407" s="47">
        <f t="shared" si="478"/>
        <v>305.25297147385101</v>
      </c>
      <c r="E407" s="47">
        <f t="shared" si="478"/>
        <v>230.19698520345241</v>
      </c>
      <c r="F407" s="47">
        <f t="shared" si="478"/>
        <v>142.10372940156111</v>
      </c>
      <c r="G407" s="47">
        <f t="shared" si="478"/>
        <v>150.25685199686768</v>
      </c>
      <c r="H407" s="47">
        <f t="shared" si="478"/>
        <v>129.8445328031809</v>
      </c>
      <c r="I407" s="47">
        <f t="shared" si="478"/>
        <v>129.04178814382891</v>
      </c>
      <c r="N407" s="47">
        <f>IFERROR(N405*(1-N406),"n/a")</f>
        <v>159.8030450669915</v>
      </c>
      <c r="S407" s="47">
        <f>IFERROR(S405*(1-S406),"n/a")</f>
        <v>195.97090690208685</v>
      </c>
      <c r="X407" s="47">
        <f>IFERROR(X405*(1-X406),"n/a")</f>
        <v>353.27066215563053</v>
      </c>
      <c r="AC407" s="47">
        <f>IFERROR(AC405*(1-AC406),"n/a")</f>
        <v>482.65729818780875</v>
      </c>
      <c r="AH407" s="47">
        <f>IFERROR(AH405*(1-AH406),"n/a")</f>
        <v>818.87115850702878</v>
      </c>
      <c r="AM407" s="47">
        <f>IFERROR(AM405*(1-AM406),"n/a")</f>
        <v>623.61699723476397</v>
      </c>
      <c r="AR407" s="47">
        <f>IFERROR(AR405*(1-AR406),"n/a")</f>
        <v>717.32253583951592</v>
      </c>
      <c r="AW407" s="47">
        <f>IFERROR(AW405*(1-AW406),"n/a")</f>
        <v>816.37634094231385</v>
      </c>
      <c r="BB407" s="47">
        <f>IFERROR(BB405*(1-BB406),"n/a")</f>
        <v>891.5228521332557</v>
      </c>
      <c r="BG407" s="47">
        <f>IFERROR(BG405*(1-BG406),"n/a")</f>
        <v>866.18853450646156</v>
      </c>
      <c r="BL407" s="47">
        <f>IFERROR(BL405*(1-BL406),"n/a")</f>
        <v>1304.9081390675235</v>
      </c>
      <c r="BQ407" s="47">
        <f>IFERROR(BQ405*(1-BQ406),"n/a")</f>
        <v>1154.8505392912173</v>
      </c>
      <c r="BV407" s="47">
        <f>IFERROR(BV405*(1-BV406),"n/a")</f>
        <v>1198.3360522022838</v>
      </c>
      <c r="BY407" s="6"/>
      <c r="BZ407" s="6"/>
      <c r="CA407" s="37">
        <f>IFERROR(CA405*(1-CA406),"n/a")</f>
        <v>1359.7778590740979</v>
      </c>
      <c r="CB407" s="37">
        <f>IFERROR(CB405*(1-CB406),"n/a")</f>
        <v>1766.3388050931078</v>
      </c>
      <c r="CC407" s="37">
        <f>IFERROR(CC405*(1-CC406),"n/a")</f>
        <v>2115.8178829931871</v>
      </c>
      <c r="CD407" s="37">
        <f>IFERROR(CD405*(1-CD406),"n/a")</f>
        <v>2435.4573786781393</v>
      </c>
      <c r="CE407" s="37">
        <f>IFERROR(CE405*(1-CE406),"n/a")</f>
        <v>2776.0841432223929</v>
      </c>
      <c r="CF407" s="6"/>
    </row>
    <row r="408" spans="2:89" ht="15" customHeight="1" x14ac:dyDescent="0.25">
      <c r="B408" s="26" t="s">
        <v>608</v>
      </c>
      <c r="C408" s="47">
        <f t="shared" ref="C408:I408" si="479">IFERROR(C409+C410,"n/a")</f>
        <v>1926.9540000000002</v>
      </c>
      <c r="D408" s="47">
        <f t="shared" si="479"/>
        <v>2050.2750000000001</v>
      </c>
      <c r="E408" s="47">
        <f t="shared" si="479"/>
        <v>2384.41</v>
      </c>
      <c r="F408" s="47">
        <f t="shared" si="479"/>
        <v>2392.431</v>
      </c>
      <c r="G408" s="47">
        <f t="shared" si="479"/>
        <v>2428.6950000000002</v>
      </c>
      <c r="H408" s="47">
        <f t="shared" si="479"/>
        <v>2482.9259999999999</v>
      </c>
      <c r="I408" s="47">
        <f t="shared" si="479"/>
        <v>2472.7639999999997</v>
      </c>
      <c r="N408" s="47">
        <f>IFERROR(N409+N410,"n/a")</f>
        <v>2563.4029999999998</v>
      </c>
      <c r="S408" s="47">
        <f>IFERROR(S409+S410,"n/a")</f>
        <v>5829.4920000000002</v>
      </c>
      <c r="X408" s="47">
        <f>IFERROR(X409+X410,"n/a")</f>
        <v>5464.6630000000005</v>
      </c>
      <c r="AC408" s="47">
        <f>IFERROR(AC409+AC410,"n/a")</f>
        <v>5778.741</v>
      </c>
      <c r="AH408" s="47">
        <f>IFERROR(AH409+AH410,"n/a")</f>
        <v>6263.3159999999998</v>
      </c>
      <c r="AM408" s="47">
        <f>IFERROR(AM409+AM410,"n/a")</f>
        <v>8025.0010000000002</v>
      </c>
      <c r="AR408" s="47">
        <f>IFERROR(AR409+AR410,"n/a")</f>
        <v>8105.9</v>
      </c>
      <c r="AW408" s="47">
        <f>IFERROR(AW409+AW410,"n/a")</f>
        <v>8311.8000000000011</v>
      </c>
      <c r="BB408" s="47">
        <f>IFERROR(BB409+BB410,"n/a")</f>
        <v>11380</v>
      </c>
      <c r="BG408" s="47">
        <f>IFERROR(BG409+BG410,"n/a")</f>
        <v>11155.7</v>
      </c>
      <c r="BL408" s="47">
        <f>IFERROR(BL409+BL410,"n/a")</f>
        <v>11109</v>
      </c>
      <c r="BQ408" s="47">
        <f>IFERROR(BQ409+BQ410,"n/a")</f>
        <v>14199</v>
      </c>
      <c r="BV408" s="47">
        <f>IFERROR(BV409+BV410,"n/a")</f>
        <v>15290</v>
      </c>
      <c r="BY408" s="6"/>
      <c r="BZ408" s="6"/>
      <c r="CA408" s="37">
        <f>IFERROR(CA409+CA410,"n/a")</f>
        <v>30606.035109627825</v>
      </c>
      <c r="CB408" s="37">
        <f>IFERROR(CB409+CB410,"n/a")</f>
        <v>30443.76757390787</v>
      </c>
      <c r="CC408" s="37">
        <f>IFERROR(CC409+CC410,"n/a")</f>
        <v>30807.802935190601</v>
      </c>
      <c r="CD408" s="37">
        <f>IFERROR(CD409+CD410,"n/a")</f>
        <v>31449.65881059266</v>
      </c>
      <c r="CE408" s="37">
        <f>IFERROR(CE409+CE410,"n/a")</f>
        <v>32106.368384192931</v>
      </c>
      <c r="CF408" s="6"/>
    </row>
    <row r="409" spans="2:89" ht="15" customHeight="1" x14ac:dyDescent="0.25">
      <c r="B409" s="26" t="s">
        <v>609</v>
      </c>
      <c r="C409" s="47">
        <f t="shared" ref="C409:I409" si="480">C332</f>
        <v>1253.9720000000002</v>
      </c>
      <c r="D409" s="47">
        <f t="shared" si="480"/>
        <v>945.99099999999987</v>
      </c>
      <c r="E409" s="47">
        <f t="shared" si="480"/>
        <v>1067.26</v>
      </c>
      <c r="F409" s="47">
        <f t="shared" si="480"/>
        <v>1406.4110000000001</v>
      </c>
      <c r="G409" s="47">
        <f t="shared" si="480"/>
        <v>1468.259</v>
      </c>
      <c r="H409" s="47">
        <f t="shared" si="480"/>
        <v>1448.8639999999998</v>
      </c>
      <c r="I409" s="47">
        <f t="shared" si="480"/>
        <v>1450.2989999999998</v>
      </c>
      <c r="N409" s="47">
        <f>N332</f>
        <v>1574.9189999999999</v>
      </c>
      <c r="S409" s="47">
        <f>S332</f>
        <v>4352.7480000000005</v>
      </c>
      <c r="X409" s="47">
        <f>X332</f>
        <v>4060.1770000000001</v>
      </c>
      <c r="AC409" s="47">
        <f>AC332</f>
        <v>4142.59</v>
      </c>
      <c r="AH409" s="47">
        <f>AH332</f>
        <v>4682.4769999999999</v>
      </c>
      <c r="AM409" s="47">
        <f>AM332</f>
        <v>4949.4120000000003</v>
      </c>
      <c r="AR409" s="47">
        <f>AR332</f>
        <v>5353.3</v>
      </c>
      <c r="AW409" s="47">
        <f>AW332</f>
        <v>5893.3000000000011</v>
      </c>
      <c r="BB409" s="47">
        <f>BB332</f>
        <v>6537.5999999999995</v>
      </c>
      <c r="BG409" s="47">
        <f>BG332</f>
        <v>7172.8</v>
      </c>
      <c r="BL409" s="47">
        <f>BL332</f>
        <v>8035.6</v>
      </c>
      <c r="BQ409" s="47">
        <f>BQ332</f>
        <v>9456</v>
      </c>
      <c r="BV409" s="47">
        <f>BV332</f>
        <v>10034</v>
      </c>
      <c r="BY409" s="6"/>
      <c r="BZ409" s="6"/>
      <c r="CA409" s="37">
        <f>CA332</f>
        <v>18365.447131165824</v>
      </c>
      <c r="CB409" s="37">
        <f>CB332</f>
        <v>19438.497625620897</v>
      </c>
      <c r="CC409" s="37">
        <f>CC332</f>
        <v>20905.389046104174</v>
      </c>
      <c r="CD409" s="37">
        <f>CD332</f>
        <v>21036.970866102922</v>
      </c>
      <c r="CE409" s="37">
        <f>CE332</f>
        <v>20473.803843572754</v>
      </c>
      <c r="CF409" s="6"/>
    </row>
    <row r="410" spans="2:89" ht="15" customHeight="1" x14ac:dyDescent="0.25">
      <c r="B410" s="26" t="s">
        <v>610</v>
      </c>
      <c r="C410" s="47">
        <f t="shared" ref="C410:I410" si="481">C378-C301</f>
        <v>672.98199999999997</v>
      </c>
      <c r="D410" s="47">
        <f t="shared" si="481"/>
        <v>1104.2840000000001</v>
      </c>
      <c r="E410" s="47">
        <f t="shared" si="481"/>
        <v>1317.1499999999999</v>
      </c>
      <c r="F410" s="47">
        <f t="shared" si="481"/>
        <v>986.01999999999987</v>
      </c>
      <c r="G410" s="47">
        <f t="shared" si="481"/>
        <v>960.43600000000004</v>
      </c>
      <c r="H410" s="47">
        <f t="shared" si="481"/>
        <v>1034.0620000000001</v>
      </c>
      <c r="I410" s="47">
        <f t="shared" si="481"/>
        <v>1022.4649999999999</v>
      </c>
      <c r="N410" s="47">
        <f>N378-N301</f>
        <v>988.48400000000004</v>
      </c>
      <c r="S410" s="47">
        <f>S378-S301</f>
        <v>1476.7439999999999</v>
      </c>
      <c r="X410" s="47">
        <f>X378-X301</f>
        <v>1404.4859999999999</v>
      </c>
      <c r="AC410" s="47">
        <f>AC378-AC301</f>
        <v>1636.1510000000001</v>
      </c>
      <c r="AH410" s="47">
        <f>AH378-AH301</f>
        <v>1580.8389999999999</v>
      </c>
      <c r="AM410" s="47">
        <f>AM378-AM301</f>
        <v>3075.5889999999999</v>
      </c>
      <c r="AR410" s="47">
        <f>AR378-AR301</f>
        <v>2752.6</v>
      </c>
      <c r="AW410" s="47">
        <f>AW378-AW301</f>
        <v>2418.5</v>
      </c>
      <c r="BB410" s="47">
        <f>BB378-BB301</f>
        <v>4842.4000000000005</v>
      </c>
      <c r="BG410" s="47">
        <f>BG378-BG301</f>
        <v>3982.8999999999996</v>
      </c>
      <c r="BL410" s="47">
        <f>BL378-BL301</f>
        <v>3073.3999999999996</v>
      </c>
      <c r="BQ410" s="47">
        <f>BQ378-BQ301</f>
        <v>4743</v>
      </c>
      <c r="BV410" s="47">
        <f>BV378-BV301</f>
        <v>5256</v>
      </c>
      <c r="BY410" s="6"/>
      <c r="BZ410" s="6"/>
      <c r="CA410" s="37">
        <f>CA378-CA301</f>
        <v>12240.587978462001</v>
      </c>
      <c r="CB410" s="37">
        <f>CB378-CB301</f>
        <v>11005.269948286974</v>
      </c>
      <c r="CC410" s="37">
        <f>CC378-CC301</f>
        <v>9902.4138890864269</v>
      </c>
      <c r="CD410" s="37">
        <f>CD378-CD301</f>
        <v>10412.687944489739</v>
      </c>
      <c r="CE410" s="37">
        <f>CE378-CE301</f>
        <v>11632.564540620177</v>
      </c>
      <c r="CF410" s="6"/>
    </row>
    <row r="411" spans="2:89" ht="15" customHeight="1" x14ac:dyDescent="0.25">
      <c r="B411" s="59" t="s">
        <v>611</v>
      </c>
      <c r="C411" s="77">
        <f t="shared" ref="C411:I411" si="482">IFERROR(C407/C408,"n/a")</f>
        <v>0.14210892254571714</v>
      </c>
      <c r="D411" s="77">
        <f t="shared" si="482"/>
        <v>0.14888391629115655</v>
      </c>
      <c r="E411" s="77">
        <f t="shared" si="482"/>
        <v>9.6542534716534664E-2</v>
      </c>
      <c r="F411" s="77">
        <f t="shared" si="482"/>
        <v>5.9397211205489776E-2</v>
      </c>
      <c r="G411" s="77">
        <f t="shared" si="482"/>
        <v>6.1867320514460512E-2</v>
      </c>
      <c r="H411" s="77">
        <f t="shared" si="482"/>
        <v>5.2294966826712072E-2</v>
      </c>
      <c r="I411" s="77">
        <f t="shared" si="482"/>
        <v>5.2185242159716386E-2</v>
      </c>
      <c r="J411" s="70"/>
      <c r="K411" s="70"/>
      <c r="L411" s="70"/>
      <c r="M411" s="70"/>
      <c r="N411" s="77">
        <f>IFERROR(N407/N408,"n/a")</f>
        <v>6.2340195851760927E-2</v>
      </c>
      <c r="O411" s="70"/>
      <c r="P411" s="70"/>
      <c r="Q411" s="70"/>
      <c r="R411" s="70"/>
      <c r="S411" s="77">
        <f>IFERROR(S407/S408,"n/a")</f>
        <v>3.3617149985296635E-2</v>
      </c>
      <c r="T411" s="70"/>
      <c r="U411" s="70"/>
      <c r="V411" s="70"/>
      <c r="W411" s="70"/>
      <c r="X411" s="77">
        <f>IFERROR(X407/X408,"n/a")</f>
        <v>6.4646376575395501E-2</v>
      </c>
      <c r="Y411" s="70"/>
      <c r="Z411" s="70"/>
      <c r="AA411" s="70"/>
      <c r="AB411" s="70"/>
      <c r="AC411" s="77">
        <f>IFERROR(AC407/AC408,"n/a")</f>
        <v>8.3522915837170891E-2</v>
      </c>
      <c r="AD411" s="70"/>
      <c r="AE411" s="70"/>
      <c r="AF411" s="70"/>
      <c r="AG411" s="70"/>
      <c r="AH411" s="77">
        <f>IFERROR(AH407/AH408,"n/a")</f>
        <v>0.13074083416947649</v>
      </c>
      <c r="AI411" s="70"/>
      <c r="AJ411" s="70"/>
      <c r="AK411" s="70"/>
      <c r="AL411" s="70"/>
      <c r="AM411" s="77">
        <f>IFERROR(AM407/AM408,"n/a")</f>
        <v>7.7709273461120304E-2</v>
      </c>
      <c r="AN411" s="70"/>
      <c r="AO411" s="70"/>
      <c r="AP411" s="70"/>
      <c r="AQ411" s="70"/>
      <c r="AR411" s="77">
        <f>IFERROR(AR407/AR408,"n/a")</f>
        <v>8.8493879253323623E-2</v>
      </c>
      <c r="AS411" s="70"/>
      <c r="AT411" s="70"/>
      <c r="AU411" s="70"/>
      <c r="AV411" s="70"/>
      <c r="AW411" s="77">
        <f>IFERROR(AW407/AW408,"n/a")</f>
        <v>9.8218958702364564E-2</v>
      </c>
      <c r="AX411" s="70"/>
      <c r="AY411" s="70"/>
      <c r="AZ411" s="70"/>
      <c r="BA411" s="70"/>
      <c r="BB411" s="77">
        <f>IFERROR(BB407/BB408,"n/a")</f>
        <v>7.8341199660215785E-2</v>
      </c>
      <c r="BC411" s="70"/>
      <c r="BD411" s="70"/>
      <c r="BE411" s="70"/>
      <c r="BF411" s="70"/>
      <c r="BG411" s="77">
        <f>IFERROR(BG407/BG408,"n/a")</f>
        <v>7.7645377206850441E-2</v>
      </c>
      <c r="BH411" s="70"/>
      <c r="BI411" s="70"/>
      <c r="BJ411" s="70"/>
      <c r="BK411" s="70"/>
      <c r="BL411" s="77">
        <f>IFERROR(BL407/BL408,"n/a")</f>
        <v>0.11746405068570739</v>
      </c>
      <c r="BM411" s="70"/>
      <c r="BN411" s="70"/>
      <c r="BO411" s="70"/>
      <c r="BP411" s="70"/>
      <c r="BQ411" s="77">
        <f>IFERROR(BQ407/BQ408,"n/a")</f>
        <v>8.1333230459273001E-2</v>
      </c>
      <c r="BR411" s="70"/>
      <c r="BS411" s="70"/>
      <c r="BT411" s="70"/>
      <c r="BU411" s="70"/>
      <c r="BV411" s="77">
        <f>IFERROR(BV407/BV408,"n/a")</f>
        <v>7.8373842524675205E-2</v>
      </c>
      <c r="BW411" s="70"/>
      <c r="BX411" s="70"/>
      <c r="BY411" s="70"/>
      <c r="BZ411" s="70"/>
      <c r="CA411" s="77">
        <f>IFERROR(CA407/CA408,"n/a")</f>
        <v>4.4428422505675975E-2</v>
      </c>
      <c r="CB411" s="77">
        <f>IFERROR(CB407/CB408,"n/a")</f>
        <v>5.8019717855386788E-2</v>
      </c>
      <c r="CC411" s="77">
        <f>IFERROR(CC407/CC408,"n/a")</f>
        <v>6.8677986789391188E-2</v>
      </c>
      <c r="CD411" s="77">
        <f>IFERROR(CD407/CD408,"n/a")</f>
        <v>7.7439866465509793E-2</v>
      </c>
      <c r="CE411" s="77">
        <f>IFERROR(CE407/CE408,"n/a")</f>
        <v>8.6465218052788381E-2</v>
      </c>
      <c r="CF411" s="6"/>
      <c r="CH411" s="39">
        <f>IFERROR(AVERAGE(CA411,CB411,CC411,CD411,CE411),"n/m")</f>
        <v>6.7006242333750424E-2</v>
      </c>
      <c r="CI411" s="39">
        <f>IFERROR(AVERAGE(BB411,BG411,BL411,BQ411,BV411),"n/m")</f>
        <v>8.6631540107344363E-2</v>
      </c>
      <c r="CJ411" s="39">
        <f>IFERROR(AVERAGE(AC411,AH411,AM411,AR411,AW411,BB411,BG411,BL411,BQ411,BV411),"n/m")</f>
        <v>9.1184356196017752E-2</v>
      </c>
      <c r="CK411" s="39">
        <f>IFERROR(AVERAGE(C411,D411,E411,F411,G411,H411,I411,N411,S411,X411,AC411,AH411,AM411,AR411,AW411,BB411,BG411,BL411,BQ411,BV411),"n/m")</f>
        <v>8.4286369931620891E-2</v>
      </c>
    </row>
    <row r="412" spans="2:89" ht="15" customHeight="1" x14ac:dyDescent="0.25">
      <c r="B412" s="26" t="s">
        <v>612</v>
      </c>
      <c r="C412" s="38">
        <f t="shared" ref="C412:I412" si="483">IFERROR(C405/C158,"n/a")</f>
        <v>0.17837699419869471</v>
      </c>
      <c r="D412" s="38">
        <f t="shared" si="483"/>
        <v>0.19947532961805081</v>
      </c>
      <c r="E412" s="38">
        <f t="shared" si="483"/>
        <v>0.15403565869534452</v>
      </c>
      <c r="F412" s="38">
        <f t="shared" si="483"/>
        <v>0.10947961940561497</v>
      </c>
      <c r="G412" s="38">
        <f t="shared" si="483"/>
        <v>0.10926019406584779</v>
      </c>
      <c r="H412" s="38">
        <f t="shared" si="483"/>
        <v>9.5746542972168711E-2</v>
      </c>
      <c r="I412" s="38">
        <f t="shared" si="483"/>
        <v>7.5775422065174708E-2</v>
      </c>
      <c r="N412" s="38">
        <f>IFERROR(N405/N158,"n/a")</f>
        <v>0.10127580607747624</v>
      </c>
      <c r="S412" s="38">
        <f>IFERROR(S405/S158,"n/a")</f>
        <v>0.10699797160243416</v>
      </c>
      <c r="X412" s="38">
        <f>IFERROR(X405/X158,"n/a")</f>
        <v>0.1429540061023844</v>
      </c>
      <c r="AC412" s="38">
        <f>IFERROR(AC405/AC158,"n/a")</f>
        <v>0.18034461087252535</v>
      </c>
      <c r="AH412" s="38">
        <f>IFERROR(AH405/AH158,"n/a")</f>
        <v>0.17914060923945938</v>
      </c>
      <c r="AM412" s="38">
        <f>IFERROR(AM405/AM158,"n/a")</f>
        <v>0.17995082776405338</v>
      </c>
      <c r="AR412" s="38">
        <f>IFERROR(AR405/AR158,"n/a")</f>
        <v>0.18508585389033946</v>
      </c>
      <c r="AW412" s="38">
        <f>IFERROR(AW405/AW158,"n/a")</f>
        <v>0.21285862280386472</v>
      </c>
      <c r="BB412" s="38">
        <f>IFERROR(BB405/BB158,"n/a")</f>
        <v>0.20059106021425938</v>
      </c>
      <c r="BG412" s="38">
        <f>IFERROR(BG405/BG158,"n/a")</f>
        <v>0.17915171977210387</v>
      </c>
      <c r="BL412" s="38">
        <f>IFERROR(BL405/BL158,"n/a")</f>
        <v>0.23946467567727076</v>
      </c>
      <c r="BQ412" s="38">
        <f>IFERROR(BQ405/BQ158,"n/a")</f>
        <v>0.22980416156670747</v>
      </c>
      <c r="BV412" s="38">
        <f>IFERROR(BV405/BV158,"n/a")</f>
        <v>0.24130081300813008</v>
      </c>
      <c r="BY412" s="6"/>
      <c r="BZ412" s="6"/>
      <c r="CA412" s="25">
        <f>IFERROR(CA405/CA158,"n/a")</f>
        <v>0.21862343041799487</v>
      </c>
      <c r="CB412" s="25">
        <f>IFERROR(CB405/CB158,"n/a")</f>
        <v>0.23067929833341827</v>
      </c>
      <c r="CC412" s="25">
        <f>IFERROR(CC405/CC158,"n/a")</f>
        <v>0.25584433570894077</v>
      </c>
      <c r="CD412" s="25">
        <f>IFERROR(CD405/CD158,"n/a")</f>
        <v>0.27166192322204658</v>
      </c>
      <c r="CE412" s="25">
        <f>IFERROR(CE405/CE158,"n/a")</f>
        <v>0.28505103883272126</v>
      </c>
      <c r="CF412" s="6"/>
    </row>
    <row r="413" spans="2:89" ht="15" customHeight="1" x14ac:dyDescent="0.25">
      <c r="B413" s="26" t="s">
        <v>613</v>
      </c>
      <c r="C413" s="71">
        <f t="shared" ref="C413:I413" si="484">IFERROR(C158/C408,"n/a")</f>
        <v>1.1450195489876769</v>
      </c>
      <c r="D413" s="71">
        <f t="shared" si="484"/>
        <v>1.0764897391813293</v>
      </c>
      <c r="E413" s="71">
        <f t="shared" si="484"/>
        <v>0.88915077524419039</v>
      </c>
      <c r="F413" s="71">
        <f t="shared" si="484"/>
        <v>0.71166106775911186</v>
      </c>
      <c r="G413" s="71">
        <f t="shared" si="484"/>
        <v>0.73409794148709495</v>
      </c>
      <c r="H413" s="71">
        <f t="shared" si="484"/>
        <v>0.690274297341121</v>
      </c>
      <c r="I413" s="71">
        <f t="shared" si="484"/>
        <v>0.82401717268611163</v>
      </c>
      <c r="N413" s="71">
        <f>IFERROR(N158/N408,"n/a")</f>
        <v>0.84087441576685373</v>
      </c>
      <c r="S413" s="71">
        <f>IFERROR(S158/S408,"n/a")</f>
        <v>0.50741985751074015</v>
      </c>
      <c r="X413" s="71">
        <f>IFERROR(X158/X408,"n/a")</f>
        <v>0.64772521196641031</v>
      </c>
      <c r="AC413" s="71">
        <f>IFERROR(AC158/AC408,"n/a")</f>
        <v>0.66083598486244677</v>
      </c>
      <c r="AH413" s="71">
        <f>IFERROR(AH158/AH408,"n/a")</f>
        <v>0.63314704223769003</v>
      </c>
      <c r="AM413" s="71">
        <f>IFERROR(AM158/AM408,"n/a")</f>
        <v>0.52888030792768748</v>
      </c>
      <c r="AR413" s="71">
        <f>IFERROR(AR158/AR408,"n/a")</f>
        <v>0.58464797246450118</v>
      </c>
      <c r="AW413" s="71">
        <f>IFERROR(AW158/AW408,"n/a")</f>
        <v>0.56905844702711794</v>
      </c>
      <c r="BB413" s="71">
        <f>IFERROR(BB158/BB408,"n/a")</f>
        <v>0.47574692442882249</v>
      </c>
      <c r="BG413" s="71">
        <f>IFERROR(BG158/BG408,"n/a")</f>
        <v>0.55224683345733561</v>
      </c>
      <c r="BL413" s="71">
        <f>IFERROR(BL158/BL408,"n/a")</f>
        <v>0.61006391214330724</v>
      </c>
      <c r="BQ413" s="71">
        <f>IFERROR(BQ158/BQ408,"n/a")</f>
        <v>0.46031410662722727</v>
      </c>
      <c r="BV413" s="71">
        <f>IFERROR(BV158/BV408,"n/a")</f>
        <v>0.40222367560497058</v>
      </c>
      <c r="BY413" s="6"/>
      <c r="BZ413" s="6"/>
      <c r="CA413" s="72">
        <f>IFERROR(CA158/CA408,"n/a")</f>
        <v>0.26038847154807038</v>
      </c>
      <c r="CB413" s="72">
        <f>IFERROR(CB158/CB408,"n/a")</f>
        <v>0.32245742985241393</v>
      </c>
      <c r="CC413" s="72">
        <f>IFERROR(CC158/CC408,"n/a")</f>
        <v>0.34414950312680703</v>
      </c>
      <c r="CD413" s="72">
        <f>IFERROR(CD158/CD408,"n/a")</f>
        <v>0.36546115446159716</v>
      </c>
      <c r="CE413" s="72">
        <f>IFERROR(CE158/CE408,"n/a")</f>
        <v>0.38888770274741447</v>
      </c>
      <c r="CF413" s="6"/>
    </row>
    <row r="414" spans="2:89" ht="15" customHeight="1" x14ac:dyDescent="0.25">
      <c r="B414" s="26" t="s">
        <v>614</v>
      </c>
      <c r="C414" s="38">
        <f t="shared" ref="C414:I414" si="485">IFERROR(1-C406,"n/a")</f>
        <v>0.69577625570776258</v>
      </c>
      <c r="D414" s="38">
        <f t="shared" si="485"/>
        <v>0.69334389857369261</v>
      </c>
      <c r="E414" s="38">
        <f t="shared" si="485"/>
        <v>0.70489108096999575</v>
      </c>
      <c r="F414" s="38">
        <f t="shared" si="485"/>
        <v>0.76235906331309589</v>
      </c>
      <c r="G414" s="38">
        <f t="shared" si="485"/>
        <v>0.77133907595927953</v>
      </c>
      <c r="H414" s="38">
        <f t="shared" si="485"/>
        <v>0.79125248508946322</v>
      </c>
      <c r="I414" s="38">
        <f t="shared" si="485"/>
        <v>0.8357628765792029</v>
      </c>
      <c r="N414" s="38">
        <f>IFERROR(1-N406,"n/a")</f>
        <v>0.7320341047503045</v>
      </c>
      <c r="S414" s="38">
        <f>IFERROR(1-S406,"n/a")</f>
        <v>0.61918138041733561</v>
      </c>
      <c r="X414" s="38">
        <f>IFERROR(1-X406,"n/a")</f>
        <v>0.69816336394393408</v>
      </c>
      <c r="AC414" s="38">
        <f>IFERROR(1-AC406,"n/a")</f>
        <v>0.700823723228995</v>
      </c>
      <c r="AH414" s="38">
        <f>IFERROR(1-AH406,"n/a")</f>
        <v>1.1526902569074164</v>
      </c>
      <c r="AM414" s="38">
        <f>IFERROR(1-AM406,"n/a")</f>
        <v>0.81651017825618277</v>
      </c>
      <c r="AR414" s="38">
        <f>IFERROR(1-AR406,"n/a")</f>
        <v>0.81779708580103061</v>
      </c>
      <c r="AW414" s="38">
        <f>IFERROR(1-AW406,"n/a")</f>
        <v>0.81086247610480144</v>
      </c>
      <c r="BB414" s="38">
        <f>IFERROR(1-BB406,"n/a")</f>
        <v>0.82092343658679146</v>
      </c>
      <c r="BG414" s="38">
        <f>IFERROR(1-BG406,"n/a")</f>
        <v>0.78480432590963245</v>
      </c>
      <c r="BL414" s="38">
        <f>IFERROR(1-BL406,"n/a")</f>
        <v>0.80405948553054651</v>
      </c>
      <c r="BQ414" s="38">
        <f>IFERROR(1-BQ406,"n/a")</f>
        <v>0.76887519260400616</v>
      </c>
      <c r="BV414" s="38">
        <f>IFERROR(1-BV406,"n/a")</f>
        <v>0.80750407830342574</v>
      </c>
      <c r="BY414" s="6"/>
      <c r="BZ414" s="6"/>
      <c r="CA414" s="25">
        <f>IFERROR(1-CA406,"n/a")</f>
        <v>0.78044524041820351</v>
      </c>
      <c r="CB414" s="25">
        <f>IFERROR(1-CB406,"n/a")</f>
        <v>0.78</v>
      </c>
      <c r="CC414" s="25">
        <f>IFERROR(1-CC406,"n/a")</f>
        <v>0.78</v>
      </c>
      <c r="CD414" s="25">
        <f>IFERROR(1-CD406,"n/a")</f>
        <v>0.78</v>
      </c>
      <c r="CE414" s="25">
        <f>IFERROR(1-CE406,"n/a")</f>
        <v>0.78</v>
      </c>
      <c r="CF414" s="6"/>
    </row>
    <row r="415" spans="2:89" ht="15" customHeight="1" x14ac:dyDescent="0.25">
      <c r="B415" s="61" t="s">
        <v>615</v>
      </c>
      <c r="C415" s="38">
        <f t="shared" ref="C415:I415" si="486">IFERROR(C412*C413*C414,"n/a")</f>
        <v>0.14210892254571714</v>
      </c>
      <c r="D415" s="38">
        <f t="shared" si="486"/>
        <v>0.14888391629115655</v>
      </c>
      <c r="E415" s="38">
        <f t="shared" si="486"/>
        <v>9.6542534716534678E-2</v>
      </c>
      <c r="F415" s="38">
        <f t="shared" si="486"/>
        <v>5.9397211205489762E-2</v>
      </c>
      <c r="G415" s="38">
        <f t="shared" si="486"/>
        <v>6.1867320514460512E-2</v>
      </c>
      <c r="H415" s="38">
        <f t="shared" si="486"/>
        <v>5.2294966826712065E-2</v>
      </c>
      <c r="I415" s="38">
        <f t="shared" si="486"/>
        <v>5.2185242159716379E-2</v>
      </c>
      <c r="N415" s="38">
        <f>IFERROR(N412*N413*N414,"n/a")</f>
        <v>6.2340195851760927E-2</v>
      </c>
      <c r="S415" s="38">
        <f>IFERROR(S412*S413*S414,"n/a")</f>
        <v>3.3617149985296635E-2</v>
      </c>
      <c r="X415" s="38">
        <f>IFERROR(X412*X413*X414,"n/a")</f>
        <v>6.4646376575395501E-2</v>
      </c>
      <c r="AC415" s="38">
        <f>IFERROR(AC412*AC413*AC414,"n/a")</f>
        <v>8.3522915837170905E-2</v>
      </c>
      <c r="AH415" s="38">
        <f>IFERROR(AH412*AH413*AH414,"n/a")</f>
        <v>0.13074083416947646</v>
      </c>
      <c r="AM415" s="38">
        <f>IFERROR(AM412*AM413*AM414,"n/a")</f>
        <v>7.7709273461120304E-2</v>
      </c>
      <c r="AR415" s="38">
        <f>IFERROR(AR412*AR413*AR414,"n/a")</f>
        <v>8.8493879253323623E-2</v>
      </c>
      <c r="AW415" s="38">
        <f>IFERROR(AW412*AW413*AW414,"n/a")</f>
        <v>9.8218958702364551E-2</v>
      </c>
      <c r="BB415" s="38">
        <f>IFERROR(BB412*BB413*BB414,"n/a")</f>
        <v>7.8341199660215785E-2</v>
      </c>
      <c r="BG415" s="38">
        <f>IFERROR(BG412*BG413*BG414,"n/a")</f>
        <v>7.7645377206850441E-2</v>
      </c>
      <c r="BL415" s="38">
        <f>IFERROR(BL412*BL413*BL414,"n/a")</f>
        <v>0.11746405068570739</v>
      </c>
      <c r="BQ415" s="38">
        <f>IFERROR(BQ412*BQ413*BQ414,"n/a")</f>
        <v>8.1333230459273001E-2</v>
      </c>
      <c r="BV415" s="38">
        <f>IFERROR(BV412*BV413*BV414,"n/a")</f>
        <v>7.8373842524675205E-2</v>
      </c>
      <c r="BY415" s="6"/>
      <c r="BZ415" s="6"/>
      <c r="CA415" s="25">
        <f>IFERROR(CA412*CA413*CA414,"n/a")</f>
        <v>4.4428422505675982E-2</v>
      </c>
      <c r="CB415" s="25">
        <f>IFERROR(CB412*CB413*CB414,"n/a")</f>
        <v>5.8019717855386781E-2</v>
      </c>
      <c r="CC415" s="25">
        <f>IFERROR(CC412*CC413*CC414,"n/a")</f>
        <v>6.8677986789391188E-2</v>
      </c>
      <c r="CD415" s="25">
        <f>IFERROR(CD412*CD413*CD414,"n/a")</f>
        <v>7.7439866465509793E-2</v>
      </c>
      <c r="CE415" s="25">
        <f>IFERROR(CE412*CE413*CE414,"n/a")</f>
        <v>8.6465218052788381E-2</v>
      </c>
      <c r="CF415" s="6"/>
    </row>
    <row r="416" spans="2:89" ht="15" customHeight="1" x14ac:dyDescent="0.25">
      <c r="B416" s="15" t="s">
        <v>616</v>
      </c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  <c r="AX416" s="15"/>
      <c r="AY416" s="15"/>
      <c r="AZ416" s="15"/>
      <c r="BA416" s="15"/>
      <c r="BB416" s="15"/>
      <c r="BC416" s="15"/>
      <c r="BD416" s="15"/>
      <c r="BE416" s="15"/>
      <c r="BF416" s="15"/>
      <c r="BG416" s="15"/>
      <c r="BH416" s="15"/>
      <c r="BI416" s="15"/>
      <c r="BJ416" s="15"/>
      <c r="BK416" s="15"/>
      <c r="BL416" s="15"/>
      <c r="BM416" s="15"/>
      <c r="BN416" s="15"/>
      <c r="BO416" s="15"/>
      <c r="BP416" s="15"/>
      <c r="BQ416" s="15"/>
      <c r="BR416" s="15"/>
      <c r="BS416" s="15"/>
      <c r="BT416" s="15"/>
      <c r="BU416" s="15"/>
      <c r="BV416" s="15"/>
      <c r="BW416" s="15"/>
      <c r="BX416" s="15"/>
      <c r="BY416" s="15"/>
      <c r="BZ416" s="15"/>
      <c r="CA416" s="15"/>
      <c r="CB416" s="15"/>
      <c r="CC416" s="15"/>
      <c r="CD416" s="15"/>
      <c r="CE416" s="15"/>
      <c r="CF416" s="16"/>
    </row>
    <row r="417" spans="2:89" ht="15" customHeight="1" x14ac:dyDescent="0.25">
      <c r="B417" s="26" t="s">
        <v>607</v>
      </c>
      <c r="C417" s="47">
        <f t="shared" ref="C417:I417" si="487">C407</f>
        <v>273.83735673515986</v>
      </c>
      <c r="D417" s="47">
        <f t="shared" si="487"/>
        <v>305.25297147385101</v>
      </c>
      <c r="E417" s="47">
        <f t="shared" si="487"/>
        <v>230.19698520345241</v>
      </c>
      <c r="F417" s="47">
        <f t="shared" si="487"/>
        <v>142.10372940156111</v>
      </c>
      <c r="G417" s="47">
        <f t="shared" si="487"/>
        <v>150.25685199686768</v>
      </c>
      <c r="H417" s="47">
        <f t="shared" si="487"/>
        <v>129.8445328031809</v>
      </c>
      <c r="I417" s="47">
        <f t="shared" si="487"/>
        <v>129.04178814382891</v>
      </c>
      <c r="N417" s="47">
        <f>N407</f>
        <v>159.8030450669915</v>
      </c>
      <c r="S417" s="47">
        <f>S407</f>
        <v>195.97090690208685</v>
      </c>
      <c r="X417" s="47">
        <f>X407</f>
        <v>353.27066215563053</v>
      </c>
      <c r="AC417" s="47">
        <f>AC407</f>
        <v>482.65729818780875</v>
      </c>
      <c r="AH417" s="47">
        <f>AH407</f>
        <v>818.87115850702878</v>
      </c>
      <c r="AM417" s="47">
        <f>AM407</f>
        <v>623.61699723476397</v>
      </c>
      <c r="AR417" s="47">
        <f>AR407</f>
        <v>717.32253583951592</v>
      </c>
      <c r="AW417" s="47">
        <f>AW407</f>
        <v>816.37634094231385</v>
      </c>
      <c r="BB417" s="47">
        <f>BB407</f>
        <v>891.5228521332557</v>
      </c>
      <c r="BG417" s="47">
        <f>BG407</f>
        <v>866.18853450646156</v>
      </c>
      <c r="BL417" s="47">
        <f>BL407</f>
        <v>1304.9081390675235</v>
      </c>
      <c r="BQ417" s="47">
        <f>BQ407</f>
        <v>1154.8505392912173</v>
      </c>
      <c r="BV417" s="47">
        <f>BV407</f>
        <v>1198.3360522022838</v>
      </c>
      <c r="BY417" s="6"/>
      <c r="BZ417" s="6"/>
      <c r="CA417" s="37">
        <f>CA407</f>
        <v>1359.7778590740979</v>
      </c>
      <c r="CB417" s="37">
        <f>CB407</f>
        <v>1766.3388050931078</v>
      </c>
      <c r="CC417" s="37">
        <f>CC407</f>
        <v>2115.8178829931871</v>
      </c>
      <c r="CD417" s="37">
        <f>CD407</f>
        <v>2435.4573786781393</v>
      </c>
      <c r="CE417" s="37">
        <f>CE407</f>
        <v>2776.0841432223929</v>
      </c>
      <c r="CF417" s="6"/>
    </row>
    <row r="418" spans="2:89" ht="15" customHeight="1" x14ac:dyDescent="0.25">
      <c r="B418" s="26" t="s">
        <v>617</v>
      </c>
      <c r="C418" s="47">
        <f t="shared" ref="C418:I418" si="488">C312</f>
        <v>2506.4209999999998</v>
      </c>
      <c r="D418" s="47">
        <f t="shared" si="488"/>
        <v>2683.8050000000003</v>
      </c>
      <c r="E418" s="47">
        <f t="shared" si="488"/>
        <v>3032.502</v>
      </c>
      <c r="F418" s="47">
        <f t="shared" si="488"/>
        <v>3239.2829999999999</v>
      </c>
      <c r="G418" s="47">
        <f t="shared" si="488"/>
        <v>3074.7429999999995</v>
      </c>
      <c r="H418" s="47">
        <f t="shared" si="488"/>
        <v>3147.8219999999997</v>
      </c>
      <c r="I418" s="47">
        <f t="shared" si="488"/>
        <v>3160.9259999999995</v>
      </c>
      <c r="N418" s="47">
        <f>N312</f>
        <v>3259.826</v>
      </c>
      <c r="S418" s="47">
        <f>S312</f>
        <v>7464.3919999999989</v>
      </c>
      <c r="X418" s="47">
        <f>X312</f>
        <v>6961.732</v>
      </c>
      <c r="AC418" s="47">
        <f>AC312</f>
        <v>7300.9049999999997</v>
      </c>
      <c r="AH418" s="47">
        <f>AH312</f>
        <v>8992.5110000000004</v>
      </c>
      <c r="AM418" s="47">
        <f>AM312</f>
        <v>9551.4189999999999</v>
      </c>
      <c r="AR418" s="47">
        <f>AR312</f>
        <v>10131.6</v>
      </c>
      <c r="AW418" s="47">
        <f>AW312</f>
        <v>10580.8</v>
      </c>
      <c r="BB418" s="47">
        <f>BB312</f>
        <v>14393</v>
      </c>
      <c r="BG418" s="47">
        <f>BG312</f>
        <v>14993.6</v>
      </c>
      <c r="BL418" s="47">
        <f>BL312</f>
        <v>15124.9</v>
      </c>
      <c r="BQ418" s="47">
        <f>BQ312</f>
        <v>18170</v>
      </c>
      <c r="BV418" s="47">
        <f>BV312</f>
        <v>18711</v>
      </c>
      <c r="BY418" s="6"/>
      <c r="BZ418" s="6"/>
      <c r="CA418" s="37">
        <f>CA312</f>
        <v>37179.73990934906</v>
      </c>
      <c r="CB418" s="37">
        <f>CB312</f>
        <v>36954.034359752855</v>
      </c>
      <c r="CC418" s="37">
        <f>CC312</f>
        <v>38017.831900601814</v>
      </c>
      <c r="CD418" s="37">
        <f>CD312</f>
        <v>38111.612593310485</v>
      </c>
      <c r="CE418" s="37">
        <f>CE312</f>
        <v>38496.878413619183</v>
      </c>
      <c r="CF418" s="6"/>
    </row>
    <row r="419" spans="2:89" ht="15" customHeight="1" x14ac:dyDescent="0.25">
      <c r="B419" s="26" t="s">
        <v>618</v>
      </c>
      <c r="C419" s="47">
        <f t="shared" ref="C419:I419" si="489">-(C308+C309)</f>
        <v>-581.48599999999999</v>
      </c>
      <c r="D419" s="47">
        <f t="shared" si="489"/>
        <v>-584.09300000000007</v>
      </c>
      <c r="E419" s="47">
        <f t="shared" si="489"/>
        <v>-636.18700000000001</v>
      </c>
      <c r="F419" s="47">
        <f t="shared" si="489"/>
        <v>-636.6930000000001</v>
      </c>
      <c r="G419" s="47">
        <f t="shared" si="489"/>
        <v>-644.07500000000005</v>
      </c>
      <c r="H419" s="47">
        <f t="shared" si="489"/>
        <v>-670.80400000000009</v>
      </c>
      <c r="I419" s="47">
        <f t="shared" si="489"/>
        <v>-666.63699999999994</v>
      </c>
      <c r="N419" s="47">
        <f>-(N308+N309)</f>
        <v>-665.21199999999999</v>
      </c>
      <c r="S419" s="47">
        <f>-(S308+S309)</f>
        <v>-2164.5169999999998</v>
      </c>
      <c r="X419" s="47">
        <f>-(X308+X309)</f>
        <v>-2134.0619999999999</v>
      </c>
      <c r="AC419" s="47">
        <f>-(AC308+AC309)</f>
        <v>-2228.4470000000001</v>
      </c>
      <c r="AH419" s="47">
        <f>-(AH308+AH309)</f>
        <v>-2227.5230000000001</v>
      </c>
      <c r="AM419" s="47">
        <f>-(AM308+AM309)</f>
        <v>-2900.4</v>
      </c>
      <c r="AR419" s="47">
        <f>-(AR308+AR309)</f>
        <v>-2883.6000000000004</v>
      </c>
      <c r="AW419" s="47">
        <f>-(AW308+AW309)</f>
        <v>-2922</v>
      </c>
      <c r="BB419" s="47">
        <f>-(BB308+BB309)</f>
        <v>-4559.3999999999996</v>
      </c>
      <c r="BG419" s="47">
        <f>-(BG308+BG309)</f>
        <v>-4497.3</v>
      </c>
      <c r="BL419" s="47">
        <f>-(BL308+BL309)</f>
        <v>-4087.2</v>
      </c>
      <c r="BQ419" s="47">
        <f>-(BQ308+BQ309)</f>
        <v>-4497</v>
      </c>
      <c r="BV419" s="47">
        <f>-(BV308+BV309)</f>
        <v>-4073</v>
      </c>
      <c r="BY419" s="6"/>
      <c r="BZ419" s="6"/>
      <c r="CA419" s="37">
        <f>-(CA308+CA309)</f>
        <v>-16278.5</v>
      </c>
      <c r="CB419" s="37">
        <f>-(CB308+CB309)</f>
        <v>-15888.5</v>
      </c>
      <c r="CC419" s="37">
        <f>-(CC308+CC309)</f>
        <v>-15721.833333333332</v>
      </c>
      <c r="CD419" s="37">
        <f>-(CD308+CD309)</f>
        <v>-15663.5</v>
      </c>
      <c r="CE419" s="37">
        <f>-(CE308+CE309)</f>
        <v>-15600.166666666668</v>
      </c>
      <c r="CF419" s="6"/>
    </row>
    <row r="420" spans="2:89" ht="15" customHeight="1" x14ac:dyDescent="0.25">
      <c r="B420" s="26" t="s">
        <v>619</v>
      </c>
      <c r="C420" s="47">
        <f t="shared" ref="C420:I420" si="490">-(C319-N(C316))</f>
        <v>-189.11599999999999</v>
      </c>
      <c r="D420" s="47">
        <f t="shared" si="490"/>
        <v>-230.47999999999996</v>
      </c>
      <c r="E420" s="47">
        <f t="shared" si="490"/>
        <v>-146.10900000000001</v>
      </c>
      <c r="F420" s="47">
        <f t="shared" si="490"/>
        <v>-147.434</v>
      </c>
      <c r="G420" s="47">
        <f t="shared" si="490"/>
        <v>-136.779</v>
      </c>
      <c r="H420" s="47">
        <f t="shared" si="490"/>
        <v>-166.53</v>
      </c>
      <c r="I420" s="47">
        <f t="shared" si="490"/>
        <v>-167.65900000000002</v>
      </c>
      <c r="N420" s="47">
        <f>-(N319-N(N316))</f>
        <v>-198.14599999999999</v>
      </c>
      <c r="S420" s="47">
        <f>-(S319-N(S316))</f>
        <v>-382.31200000000001</v>
      </c>
      <c r="X420" s="47">
        <f>-(X319-N(X316))</f>
        <v>-347.94500000000005</v>
      </c>
      <c r="AC420" s="47">
        <f>-(AC319-N(AC316))</f>
        <v>-366.55199999999996</v>
      </c>
      <c r="AH420" s="47">
        <f>-(AH319-N(AH316))</f>
        <v>-394.30700000000002</v>
      </c>
      <c r="AM420" s="47">
        <f>-(AM319-N(AM316))</f>
        <v>-396.70799999999991</v>
      </c>
      <c r="AR420" s="47">
        <f>-(AR319-N(AR316))</f>
        <v>-498.5</v>
      </c>
      <c r="AW420" s="47">
        <f>-(AW319-N(AW316))</f>
        <v>-499.29999999999995</v>
      </c>
      <c r="BB420" s="47">
        <f>-(BB319-N(BB316))</f>
        <v>-752.59999999999991</v>
      </c>
      <c r="BG420" s="47">
        <f>-(BG319-N(BG316))</f>
        <v>-1445.6</v>
      </c>
      <c r="BL420" s="47">
        <f>-(BL319-N(BL316))</f>
        <v>-770.6</v>
      </c>
      <c r="BQ420" s="47">
        <f>-(BQ319-N(BQ316))</f>
        <v>-891</v>
      </c>
      <c r="BV420" s="47">
        <f>-(BV319-N(BV316))</f>
        <v>-865</v>
      </c>
      <c r="BY420" s="6"/>
      <c r="BZ420" s="6"/>
      <c r="CA420" s="37">
        <f>-(CA319-N(CA316))</f>
        <v>-1300.4227997212333</v>
      </c>
      <c r="CB420" s="37">
        <f>-(CB319-N(CB316))</f>
        <v>-1326.7747858449775</v>
      </c>
      <c r="CC420" s="37">
        <f>-(CC319-N(CC316))</f>
        <v>-1364.7408544976361</v>
      </c>
      <c r="CD420" s="37">
        <f>-(CD319-N(CD316))</f>
        <v>-1416.729727207558</v>
      </c>
      <c r="CE420" s="37">
        <f>-(CE319-N(CE316))</f>
        <v>-1476.3880294262503</v>
      </c>
      <c r="CF420" s="6"/>
    </row>
    <row r="421" spans="2:89" ht="15" customHeight="1" x14ac:dyDescent="0.25">
      <c r="B421" s="26" t="s">
        <v>620</v>
      </c>
      <c r="C421" s="47">
        <f t="shared" ref="C421:I421" si="491">SUM(C418:C420)</f>
        <v>1735.819</v>
      </c>
      <c r="D421" s="47">
        <f t="shared" si="491"/>
        <v>1869.2320000000004</v>
      </c>
      <c r="E421" s="47">
        <f t="shared" si="491"/>
        <v>2250.2060000000001</v>
      </c>
      <c r="F421" s="47">
        <f t="shared" si="491"/>
        <v>2455.1559999999995</v>
      </c>
      <c r="G421" s="47">
        <f t="shared" si="491"/>
        <v>2293.8889999999997</v>
      </c>
      <c r="H421" s="47">
        <f t="shared" si="491"/>
        <v>2310.4879999999994</v>
      </c>
      <c r="I421" s="47">
        <f t="shared" si="491"/>
        <v>2326.6299999999997</v>
      </c>
      <c r="N421" s="47">
        <f>SUM(N418:N420)</f>
        <v>2396.4679999999998</v>
      </c>
      <c r="S421" s="47">
        <f>SUM(S418:S420)</f>
        <v>4917.5629999999992</v>
      </c>
      <c r="X421" s="47">
        <f>SUM(X418:X420)</f>
        <v>4479.7250000000004</v>
      </c>
      <c r="AC421" s="47">
        <f>SUM(AC418:AC420)</f>
        <v>4705.9059999999999</v>
      </c>
      <c r="AH421" s="47">
        <f>SUM(AH418:AH420)</f>
        <v>6370.6810000000005</v>
      </c>
      <c r="AM421" s="47">
        <f>SUM(AM418:AM420)</f>
        <v>6254.3110000000006</v>
      </c>
      <c r="AR421" s="47">
        <f>SUM(AR418:AR420)</f>
        <v>6749.5</v>
      </c>
      <c r="AW421" s="47">
        <f>SUM(AW418:AW420)</f>
        <v>7159.4999999999991</v>
      </c>
      <c r="BB421" s="47">
        <f>SUM(BB418:BB420)</f>
        <v>9081</v>
      </c>
      <c r="BG421" s="47">
        <f>SUM(BG418:BG420)</f>
        <v>9050.6999999999989</v>
      </c>
      <c r="BL421" s="47">
        <f>SUM(BL418:BL420)</f>
        <v>10267.1</v>
      </c>
      <c r="BQ421" s="47">
        <f>SUM(BQ418:BQ420)</f>
        <v>12782</v>
      </c>
      <c r="BV421" s="47">
        <f>SUM(BV418:BV420)</f>
        <v>13773</v>
      </c>
      <c r="BY421" s="6"/>
      <c r="BZ421" s="6"/>
      <c r="CA421" s="37">
        <f>SUM(CA418:CA420)</f>
        <v>19600.817109627827</v>
      </c>
      <c r="CB421" s="37">
        <f>SUM(CB418:CB420)</f>
        <v>19738.759573907879</v>
      </c>
      <c r="CC421" s="37">
        <f>SUM(CC418:CC420)</f>
        <v>20931.257712770846</v>
      </c>
      <c r="CD421" s="37">
        <f>SUM(CD418:CD420)</f>
        <v>21031.382866102926</v>
      </c>
      <c r="CE421" s="37">
        <f>SUM(CE418:CE420)</f>
        <v>21420.323717526266</v>
      </c>
      <c r="CF421" s="6"/>
    </row>
    <row r="422" spans="2:89" ht="15" customHeight="1" x14ac:dyDescent="0.25">
      <c r="B422" s="59" t="s">
        <v>621</v>
      </c>
      <c r="C422" s="77">
        <f t="shared" ref="C422:I422" si="492">IFERROR(C417/C421,"n/a")</f>
        <v>0.15775686101785949</v>
      </c>
      <c r="D422" s="77">
        <f t="shared" si="492"/>
        <v>0.16330395128793587</v>
      </c>
      <c r="E422" s="77">
        <f t="shared" si="492"/>
        <v>0.10230040503111822</v>
      </c>
      <c r="F422" s="77">
        <f t="shared" si="492"/>
        <v>5.7879714935246941E-2</v>
      </c>
      <c r="G422" s="77">
        <f t="shared" si="492"/>
        <v>6.5503104987585575E-2</v>
      </c>
      <c r="H422" s="77">
        <f t="shared" si="492"/>
        <v>5.619788235350321E-2</v>
      </c>
      <c r="I422" s="77">
        <f t="shared" si="492"/>
        <v>5.5462960652888055E-2</v>
      </c>
      <c r="J422" s="70"/>
      <c r="K422" s="70"/>
      <c r="L422" s="70"/>
      <c r="M422" s="70"/>
      <c r="N422" s="77">
        <f>IFERROR(N417/N421,"n/a")</f>
        <v>6.6682736872343593E-2</v>
      </c>
      <c r="O422" s="70"/>
      <c r="P422" s="70"/>
      <c r="Q422" s="70"/>
      <c r="R422" s="70"/>
      <c r="S422" s="77">
        <f>IFERROR(S417/S421,"n/a")</f>
        <v>3.9851224458555365E-2</v>
      </c>
      <c r="T422" s="70"/>
      <c r="U422" s="70"/>
      <c r="V422" s="70"/>
      <c r="W422" s="70"/>
      <c r="X422" s="77">
        <f>IFERROR(X417/X421,"n/a")</f>
        <v>7.8859899247304355E-2</v>
      </c>
      <c r="Y422" s="70"/>
      <c r="Z422" s="70"/>
      <c r="AA422" s="70"/>
      <c r="AB422" s="70"/>
      <c r="AC422" s="77">
        <f>IFERROR(AC417/AC421,"n/a")</f>
        <v>0.10256416048000294</v>
      </c>
      <c r="AD422" s="70"/>
      <c r="AE422" s="70"/>
      <c r="AF422" s="70"/>
      <c r="AG422" s="70"/>
      <c r="AH422" s="77">
        <f>IFERROR(AH417/AH421,"n/a")</f>
        <v>0.12853746067445987</v>
      </c>
      <c r="AI422" s="70"/>
      <c r="AJ422" s="70"/>
      <c r="AK422" s="70"/>
      <c r="AL422" s="70"/>
      <c r="AM422" s="77">
        <f>IFERROR(AM417/AM421,"n/a")</f>
        <v>9.9709943626846168E-2</v>
      </c>
      <c r="AN422" s="70"/>
      <c r="AO422" s="70"/>
      <c r="AP422" s="70"/>
      <c r="AQ422" s="70"/>
      <c r="AR422" s="77">
        <f>IFERROR(AR417/AR421,"n/a")</f>
        <v>0.10627787774494643</v>
      </c>
      <c r="AS422" s="70"/>
      <c r="AT422" s="70"/>
      <c r="AU422" s="70"/>
      <c r="AV422" s="70"/>
      <c r="AW422" s="77">
        <f>IFERROR(AW417/AW421,"n/a")</f>
        <v>0.11402700481071498</v>
      </c>
      <c r="AX422" s="70"/>
      <c r="AY422" s="70"/>
      <c r="AZ422" s="70"/>
      <c r="BA422" s="70"/>
      <c r="BB422" s="77">
        <f>IFERROR(BB417/BB421,"n/a")</f>
        <v>9.817452396578083E-2</v>
      </c>
      <c r="BC422" s="70"/>
      <c r="BD422" s="70"/>
      <c r="BE422" s="70"/>
      <c r="BF422" s="70"/>
      <c r="BG422" s="77">
        <f>IFERROR(BG417/BG421,"n/a")</f>
        <v>9.5704037754699822E-2</v>
      </c>
      <c r="BH422" s="70"/>
      <c r="BI422" s="70"/>
      <c r="BJ422" s="70"/>
      <c r="BK422" s="70"/>
      <c r="BL422" s="77">
        <f>IFERROR(BL417/BL421,"n/a")</f>
        <v>0.12709607767212977</v>
      </c>
      <c r="BM422" s="70"/>
      <c r="BN422" s="70"/>
      <c r="BO422" s="70"/>
      <c r="BP422" s="70"/>
      <c r="BQ422" s="77">
        <f>IFERROR(BQ417/BQ421,"n/a")</f>
        <v>9.034975272189151E-2</v>
      </c>
      <c r="BR422" s="70"/>
      <c r="BS422" s="70"/>
      <c r="BT422" s="70"/>
      <c r="BU422" s="70"/>
      <c r="BV422" s="77">
        <f>IFERROR(BV417/BV421,"n/a")</f>
        <v>8.7006175285143678E-2</v>
      </c>
      <c r="BW422" s="70"/>
      <c r="BX422" s="70"/>
      <c r="BY422" s="70"/>
      <c r="BZ422" s="70"/>
      <c r="CA422" s="77">
        <f>IFERROR(CA417/CA421,"n/a")</f>
        <v>6.9373529249766919E-2</v>
      </c>
      <c r="CB422" s="77">
        <f>IFERROR(CB417/CB421,"n/a")</f>
        <v>8.9485805755898776E-2</v>
      </c>
      <c r="CC422" s="77">
        <f>IFERROR(CC417/CC421,"n/a")</f>
        <v>0.10108412557083263</v>
      </c>
      <c r="CD422" s="77">
        <f>IFERROR(CD417/CD421,"n/a")</f>
        <v>0.11580110514765332</v>
      </c>
      <c r="CE422" s="77">
        <f>IFERROR(CE417/CE421,"n/a")</f>
        <v>0.12960047568986927</v>
      </c>
      <c r="CF422" s="6"/>
      <c r="CH422" s="39">
        <f>IFERROR(AVERAGE(CA422,CB422,CC422,CD422,CE422),"n/m")</f>
        <v>0.10106900828280416</v>
      </c>
      <c r="CI422" s="39">
        <f>IFERROR(AVERAGE(BB422,BG422,BL422,BQ422,BV422),"n/m")</f>
        <v>9.9666113479929111E-2</v>
      </c>
      <c r="CJ422" s="39">
        <f>IFERROR(AVERAGE(AC422,AH422,AM422,AR422,AW422,BB422,BG422,BL422,BQ422,BV422),"n/m")</f>
        <v>0.1049447014736616</v>
      </c>
      <c r="CK422" s="39">
        <f>IFERROR(AVERAGE(C422,D422,E422,F422,G422,H422,I422,N422,S422,X422,AC422,AH422,AM422,AR422,AW422,BB422,BG422,BL422,BQ422,BV422),"n/m")</f>
        <v>9.4662287779047824E-2</v>
      </c>
    </row>
    <row r="423" spans="2:89" ht="15" customHeight="1" x14ac:dyDescent="0.25">
      <c r="B423" s="15" t="s">
        <v>622</v>
      </c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  <c r="AZ423" s="15"/>
      <c r="BA423" s="15"/>
      <c r="BB423" s="15"/>
      <c r="BC423" s="15"/>
      <c r="BD423" s="15"/>
      <c r="BE423" s="15"/>
      <c r="BF423" s="15"/>
      <c r="BG423" s="15"/>
      <c r="BH423" s="15"/>
      <c r="BI423" s="15"/>
      <c r="BJ423" s="15"/>
      <c r="BK423" s="15"/>
      <c r="BL423" s="15"/>
      <c r="BM423" s="15"/>
      <c r="BN423" s="15"/>
      <c r="BO423" s="15"/>
      <c r="BP423" s="15"/>
      <c r="BQ423" s="15"/>
      <c r="BR423" s="15"/>
      <c r="BS423" s="15"/>
      <c r="BT423" s="15"/>
      <c r="BU423" s="15"/>
      <c r="BV423" s="15"/>
      <c r="BW423" s="15"/>
      <c r="BX423" s="15"/>
      <c r="BY423" s="15"/>
      <c r="BZ423" s="15"/>
      <c r="CA423" s="15"/>
      <c r="CB423" s="15"/>
      <c r="CC423" s="15"/>
      <c r="CD423" s="15"/>
      <c r="CE423" s="15"/>
      <c r="CF423" s="16"/>
    </row>
    <row r="424" spans="2:89" ht="15" customHeight="1" x14ac:dyDescent="0.25">
      <c r="B424" s="26" t="s">
        <v>330</v>
      </c>
      <c r="C424" s="47">
        <f t="shared" ref="C424:I424" si="493">C178</f>
        <v>245.40000000000003</v>
      </c>
      <c r="D424" s="47">
        <f t="shared" si="493"/>
        <v>262.7</v>
      </c>
      <c r="E424" s="47">
        <f t="shared" si="493"/>
        <v>176.2999999999999</v>
      </c>
      <c r="F424" s="47">
        <f t="shared" si="493"/>
        <v>85.499999999999801</v>
      </c>
      <c r="G424" s="47">
        <f t="shared" si="493"/>
        <v>97</v>
      </c>
      <c r="H424" s="47">
        <f t="shared" si="493"/>
        <v>82.4</v>
      </c>
      <c r="I424" s="47">
        <f t="shared" si="493"/>
        <v>84.499999999999858</v>
      </c>
      <c r="N424" s="47">
        <f>N178</f>
        <v>121.30000000000003</v>
      </c>
      <c r="S424" s="47">
        <f>S178</f>
        <v>155.60000000000016</v>
      </c>
      <c r="X424" s="47">
        <f>X178</f>
        <v>288.79999999999973</v>
      </c>
      <c r="AC424" s="47">
        <f>AC178</f>
        <v>425.39999999999986</v>
      </c>
      <c r="AH424" s="47">
        <f>AH178</f>
        <v>713.30000000000007</v>
      </c>
      <c r="AM424" s="47">
        <f>AM178</f>
        <v>469.99800000000027</v>
      </c>
      <c r="AR424" s="47">
        <f>AR178</f>
        <v>611.91500000000008</v>
      </c>
      <c r="AW424" s="47">
        <f>AW178</f>
        <v>720.99999999999966</v>
      </c>
      <c r="BB424" s="47">
        <f>BB178</f>
        <v>702.50000000000023</v>
      </c>
      <c r="BG424" s="47">
        <f>BG178</f>
        <v>866.80000000000018</v>
      </c>
      <c r="BL424" s="47">
        <f>BL178</f>
        <v>1168.8999999999994</v>
      </c>
      <c r="BQ424" s="47">
        <f>BQ178</f>
        <v>1995</v>
      </c>
      <c r="BV424" s="47">
        <f>BV178</f>
        <v>1137</v>
      </c>
      <c r="BY424" s="6"/>
      <c r="BZ424" s="6"/>
      <c r="CA424" s="37">
        <f>CA178</f>
        <v>2325.25646334676</v>
      </c>
      <c r="CB424" s="37">
        <f>CB178</f>
        <v>1290.8191379330897</v>
      </c>
      <c r="CC424" s="37">
        <f>CC178</f>
        <v>1695.1230910099953</v>
      </c>
      <c r="CD424" s="37">
        <f>CD178</f>
        <v>2044.3650536735167</v>
      </c>
      <c r="CE424" s="37">
        <f>CE178</f>
        <v>2368.8409653213325</v>
      </c>
      <c r="CF424" s="6"/>
    </row>
    <row r="425" spans="2:89" ht="15" customHeight="1" x14ac:dyDescent="0.25">
      <c r="B425" s="26" t="s">
        <v>623</v>
      </c>
      <c r="C425" s="47">
        <f t="shared" ref="C425:I425" si="494">C330</f>
        <v>1253.9720000000002</v>
      </c>
      <c r="D425" s="47">
        <f t="shared" si="494"/>
        <v>945.99099999999987</v>
      </c>
      <c r="E425" s="47">
        <f t="shared" si="494"/>
        <v>1021.704</v>
      </c>
      <c r="F425" s="47">
        <f t="shared" si="494"/>
        <v>1365.24</v>
      </c>
      <c r="G425" s="47">
        <f t="shared" si="494"/>
        <v>1425.44</v>
      </c>
      <c r="H425" s="47">
        <f t="shared" si="494"/>
        <v>1409.3209999999999</v>
      </c>
      <c r="I425" s="47">
        <f t="shared" si="494"/>
        <v>1410.5449999999998</v>
      </c>
      <c r="N425" s="47">
        <f>N330</f>
        <v>1537.877</v>
      </c>
      <c r="S425" s="47">
        <f>S330</f>
        <v>4351.1660000000002</v>
      </c>
      <c r="X425" s="47">
        <f>X330</f>
        <v>4057.2840000000001</v>
      </c>
      <c r="AC425" s="47">
        <f>AC330</f>
        <v>4139.9780000000001</v>
      </c>
      <c r="AH425" s="47">
        <f>AH330</f>
        <v>4679.5999999999995</v>
      </c>
      <c r="AM425" s="47">
        <f>AM330</f>
        <v>4946.3630000000003</v>
      </c>
      <c r="AR425" s="47">
        <f>AR330</f>
        <v>5350.8</v>
      </c>
      <c r="AW425" s="47">
        <f>AW330</f>
        <v>5890.7000000000007</v>
      </c>
      <c r="BB425" s="47">
        <f>BB330</f>
        <v>6535.2999999999993</v>
      </c>
      <c r="BG425" s="47">
        <f>BG330</f>
        <v>7170.5</v>
      </c>
      <c r="BL425" s="47">
        <f>BL330</f>
        <v>8033.2000000000007</v>
      </c>
      <c r="BQ425" s="47">
        <f>BQ330</f>
        <v>9453</v>
      </c>
      <c r="BV425" s="47">
        <f>BV330</f>
        <v>10032</v>
      </c>
      <c r="BY425" s="6"/>
      <c r="BZ425" s="6"/>
      <c r="CA425" s="37">
        <f>CA330</f>
        <v>18363.447131165824</v>
      </c>
      <c r="CB425" s="37">
        <f>CB330</f>
        <v>19436.497625620897</v>
      </c>
      <c r="CC425" s="37">
        <f>CC330</f>
        <v>20903.389046104174</v>
      </c>
      <c r="CD425" s="37">
        <f>CD330</f>
        <v>21034.970866102922</v>
      </c>
      <c r="CE425" s="37">
        <f>CE330</f>
        <v>20471.803843572754</v>
      </c>
      <c r="CF425" s="6"/>
    </row>
    <row r="426" spans="2:89" ht="15" customHeight="1" x14ac:dyDescent="0.25">
      <c r="B426" s="59" t="s">
        <v>624</v>
      </c>
      <c r="C426" s="77">
        <f t="shared" ref="C426:I426" si="495">IFERROR(C424/C425,"n/a")</f>
        <v>0.19569814955995826</v>
      </c>
      <c r="D426" s="77">
        <f t="shared" si="495"/>
        <v>0.27769820220276942</v>
      </c>
      <c r="E426" s="77">
        <f t="shared" si="495"/>
        <v>0.17255486912060627</v>
      </c>
      <c r="F426" s="77">
        <f t="shared" si="495"/>
        <v>6.2626351410740827E-2</v>
      </c>
      <c r="G426" s="77">
        <f t="shared" si="495"/>
        <v>6.8049163766977214E-2</v>
      </c>
      <c r="H426" s="77">
        <f t="shared" si="495"/>
        <v>5.8467872117140107E-2</v>
      </c>
      <c r="I426" s="77">
        <f t="shared" si="495"/>
        <v>5.9905922887961649E-2</v>
      </c>
      <c r="J426" s="70"/>
      <c r="K426" s="70"/>
      <c r="L426" s="70"/>
      <c r="M426" s="70"/>
      <c r="N426" s="77">
        <f>IFERROR(N424/N425,"n/a")</f>
        <v>7.8874968544298429E-2</v>
      </c>
      <c r="O426" s="70"/>
      <c r="P426" s="70"/>
      <c r="Q426" s="70"/>
      <c r="R426" s="70"/>
      <c r="S426" s="77">
        <f>IFERROR(S424/S425,"n/a")</f>
        <v>3.5760529476466803E-2</v>
      </c>
      <c r="T426" s="70"/>
      <c r="U426" s="70"/>
      <c r="V426" s="70"/>
      <c r="W426" s="70"/>
      <c r="X426" s="77">
        <f>IFERROR(X424/X425,"n/a")</f>
        <v>7.1180622307928099E-2</v>
      </c>
      <c r="Y426" s="70"/>
      <c r="Z426" s="70"/>
      <c r="AA426" s="70"/>
      <c r="AB426" s="70"/>
      <c r="AC426" s="77">
        <f>IFERROR(AC424/AC425,"n/a")</f>
        <v>0.10275416922505382</v>
      </c>
      <c r="AD426" s="70"/>
      <c r="AE426" s="70"/>
      <c r="AF426" s="70"/>
      <c r="AG426" s="70"/>
      <c r="AH426" s="77">
        <f>IFERROR(AH424/AH425,"n/a")</f>
        <v>0.1524275579109326</v>
      </c>
      <c r="AI426" s="70"/>
      <c r="AJ426" s="70"/>
      <c r="AK426" s="70"/>
      <c r="AL426" s="70"/>
      <c r="AM426" s="77">
        <f>IFERROR(AM424/AM425,"n/a")</f>
        <v>9.5018905810188264E-2</v>
      </c>
      <c r="AN426" s="70"/>
      <c r="AO426" s="70"/>
      <c r="AP426" s="70"/>
      <c r="AQ426" s="70"/>
      <c r="AR426" s="77">
        <f>IFERROR(AR424/AR425,"n/a")</f>
        <v>0.11435953502280034</v>
      </c>
      <c r="AS426" s="70"/>
      <c r="AT426" s="70"/>
      <c r="AU426" s="70"/>
      <c r="AV426" s="70"/>
      <c r="AW426" s="77">
        <f>IFERROR(AW424/AW425,"n/a")</f>
        <v>0.12239631962245566</v>
      </c>
      <c r="AX426" s="70"/>
      <c r="AY426" s="70"/>
      <c r="AZ426" s="70"/>
      <c r="BA426" s="70"/>
      <c r="BB426" s="77">
        <f>IFERROR(BB424/BB425,"n/a")</f>
        <v>0.10749315257141988</v>
      </c>
      <c r="BC426" s="70"/>
      <c r="BD426" s="70"/>
      <c r="BE426" s="70"/>
      <c r="BF426" s="70"/>
      <c r="BG426" s="77">
        <f>IFERROR(BG424/BG425,"n/a")</f>
        <v>0.12088417823024897</v>
      </c>
      <c r="BH426" s="70"/>
      <c r="BI426" s="70"/>
      <c r="BJ426" s="70"/>
      <c r="BK426" s="70"/>
      <c r="BL426" s="77">
        <f>IFERROR(BL424/BL425,"n/a")</f>
        <v>0.14550863914753764</v>
      </c>
      <c r="BM426" s="70"/>
      <c r="BN426" s="70"/>
      <c r="BO426" s="70"/>
      <c r="BP426" s="70"/>
      <c r="BQ426" s="77">
        <f>IFERROR(BQ424/BQ425,"n/a")</f>
        <v>0.21104411298000636</v>
      </c>
      <c r="BR426" s="70"/>
      <c r="BS426" s="70"/>
      <c r="BT426" s="70"/>
      <c r="BU426" s="70"/>
      <c r="BV426" s="77">
        <f>IFERROR(BV424/BV425,"n/a")</f>
        <v>0.11333732057416268</v>
      </c>
      <c r="BW426" s="70"/>
      <c r="BX426" s="70"/>
      <c r="BY426" s="70"/>
      <c r="BZ426" s="70"/>
      <c r="CA426" s="77">
        <f>IFERROR(CA424/CA425,"n/a")</f>
        <v>0.12662418154598071</v>
      </c>
      <c r="CB426" s="77">
        <f>IFERROR(CB424/CB425,"n/a")</f>
        <v>6.6412126443580632E-2</v>
      </c>
      <c r="CC426" s="77">
        <f>IFERROR(CC424/CC425,"n/a")</f>
        <v>8.1093218294471747E-2</v>
      </c>
      <c r="CD426" s="77">
        <f>IFERROR(CD424/CD425,"n/a")</f>
        <v>9.7188870224105495E-2</v>
      </c>
      <c r="CE426" s="77">
        <f>IFERROR(CE424/CE425,"n/a")</f>
        <v>0.11571237119219684</v>
      </c>
      <c r="CF426" s="6"/>
      <c r="CH426" s="39">
        <f>IFERROR(AVERAGE(CA426,CB426,CC426,CD426,CE426),"n/m")</f>
        <v>9.7406153540067084E-2</v>
      </c>
      <c r="CI426" s="39">
        <f>IFERROR(AVERAGE(BB426,BG426,BL426,BQ426,BV426),"n/m")</f>
        <v>0.1396534807006751</v>
      </c>
      <c r="CJ426" s="39">
        <f>IFERROR(AVERAGE(AC426,AH426,AM426,AR426,AW426,BB426,BG426,BL426,BQ426,BV426),"n/m")</f>
        <v>0.12852238910948061</v>
      </c>
      <c r="CK426" s="39">
        <f>IFERROR(AVERAGE(C426,D426,E426,F426,G426,H426,I426,N426,S426,X426,AC426,AH426,AM426,AR426,AW426,BB426,BG426,BL426,BQ426,BV426),"n/m")</f>
        <v>0.11830202712448268</v>
      </c>
    </row>
    <row r="427" spans="2:89" ht="15" customHeight="1" x14ac:dyDescent="0.25">
      <c r="B427" s="15" t="s">
        <v>625</v>
      </c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  <c r="AZ427" s="15"/>
      <c r="BA427" s="15"/>
      <c r="BB427" s="15"/>
      <c r="BC427" s="15"/>
      <c r="BD427" s="15"/>
      <c r="BE427" s="15"/>
      <c r="BF427" s="15"/>
      <c r="BG427" s="15"/>
      <c r="BH427" s="15"/>
      <c r="BI427" s="15"/>
      <c r="BJ427" s="15"/>
      <c r="BK427" s="15"/>
      <c r="BL427" s="15"/>
      <c r="BM427" s="15"/>
      <c r="BN427" s="15"/>
      <c r="BO427" s="15"/>
      <c r="BP427" s="15"/>
      <c r="BQ427" s="15"/>
      <c r="BR427" s="15"/>
      <c r="BS427" s="15"/>
      <c r="BT427" s="15"/>
      <c r="BU427" s="15"/>
      <c r="BV427" s="15"/>
      <c r="BW427" s="15"/>
      <c r="BX427" s="15"/>
      <c r="BY427" s="15"/>
      <c r="BZ427" s="15"/>
      <c r="CA427" s="15"/>
      <c r="CB427" s="15"/>
      <c r="CC427" s="15"/>
      <c r="CD427" s="15"/>
      <c r="CE427" s="15"/>
      <c r="CF427" s="16"/>
    </row>
    <row r="428" spans="2:89" ht="15" customHeight="1" x14ac:dyDescent="0.25">
      <c r="B428" s="26" t="s">
        <v>626</v>
      </c>
      <c r="C428" s="47">
        <f t="shared" ref="C428:I428" si="496">C410</f>
        <v>672.98199999999997</v>
      </c>
      <c r="D428" s="47">
        <f t="shared" si="496"/>
        <v>1104.2840000000001</v>
      </c>
      <c r="E428" s="47">
        <f t="shared" si="496"/>
        <v>1317.1499999999999</v>
      </c>
      <c r="F428" s="47">
        <f t="shared" si="496"/>
        <v>986.01999999999987</v>
      </c>
      <c r="G428" s="47">
        <f t="shared" si="496"/>
        <v>960.43600000000004</v>
      </c>
      <c r="H428" s="47">
        <f t="shared" si="496"/>
        <v>1034.0620000000001</v>
      </c>
      <c r="I428" s="47">
        <f t="shared" si="496"/>
        <v>1022.4649999999999</v>
      </c>
      <c r="N428" s="47">
        <f>N410</f>
        <v>988.48400000000004</v>
      </c>
      <c r="S428" s="47">
        <f>S410</f>
        <v>1476.7439999999999</v>
      </c>
      <c r="X428" s="47">
        <f>X410</f>
        <v>1404.4859999999999</v>
      </c>
      <c r="AC428" s="47">
        <f>AC410</f>
        <v>1636.1510000000001</v>
      </c>
      <c r="AH428" s="47">
        <f>AH410</f>
        <v>1580.8389999999999</v>
      </c>
      <c r="AM428" s="47">
        <f>AM410</f>
        <v>3075.5889999999999</v>
      </c>
      <c r="AR428" s="47">
        <f>AR410</f>
        <v>2752.6</v>
      </c>
      <c r="AW428" s="47">
        <f>AW410</f>
        <v>2418.5</v>
      </c>
      <c r="BB428" s="47">
        <f>BB410</f>
        <v>4842.4000000000005</v>
      </c>
      <c r="BG428" s="47">
        <f>BG410</f>
        <v>3982.8999999999996</v>
      </c>
      <c r="BL428" s="47">
        <f>BL410</f>
        <v>3073.3999999999996</v>
      </c>
      <c r="BQ428" s="47">
        <f>BQ410</f>
        <v>4743</v>
      </c>
      <c r="BV428" s="47">
        <f>BV410</f>
        <v>5256</v>
      </c>
      <c r="BY428" s="6"/>
      <c r="BZ428" s="6"/>
      <c r="CA428" s="37">
        <f>CA410</f>
        <v>12240.587978462001</v>
      </c>
      <c r="CB428" s="37">
        <f>CB410</f>
        <v>11005.269948286974</v>
      </c>
      <c r="CC428" s="37">
        <f>CC410</f>
        <v>9902.4138890864269</v>
      </c>
      <c r="CD428" s="37">
        <f>CD410</f>
        <v>10412.687944489739</v>
      </c>
      <c r="CE428" s="37">
        <f>CE410</f>
        <v>11632.564540620177</v>
      </c>
      <c r="CF428" s="6"/>
    </row>
    <row r="429" spans="2:89" ht="15" customHeight="1" x14ac:dyDescent="0.25">
      <c r="B429" s="26" t="s">
        <v>627</v>
      </c>
      <c r="C429" s="47">
        <f t="shared" ref="C429:I429" si="497">C221</f>
        <v>535</v>
      </c>
      <c r="D429" s="47">
        <f t="shared" si="497"/>
        <v>590.59999999999991</v>
      </c>
      <c r="E429" s="47">
        <f t="shared" si="497"/>
        <v>497.69999999999987</v>
      </c>
      <c r="F429" s="47">
        <f t="shared" si="497"/>
        <v>364.1</v>
      </c>
      <c r="G429" s="47">
        <f t="shared" si="497"/>
        <v>374.70000000000005</v>
      </c>
      <c r="H429" s="47">
        <f t="shared" si="497"/>
        <v>335.9</v>
      </c>
      <c r="I429" s="47">
        <f t="shared" si="497"/>
        <v>329.9</v>
      </c>
      <c r="N429" s="47">
        <f>N221</f>
        <v>390.20000000000005</v>
      </c>
      <c r="S429" s="47">
        <f>S221</f>
        <v>537.00000000000023</v>
      </c>
      <c r="X429" s="47">
        <f>X221</f>
        <v>766.69999999999982</v>
      </c>
      <c r="AC429" s="47">
        <f>AC221</f>
        <v>971.5999999999998</v>
      </c>
      <c r="AH429" s="47">
        <f>AH221</f>
        <v>1004.4000000000001</v>
      </c>
      <c r="AM429" s="47">
        <f>AM221</f>
        <v>1103.7650000000001</v>
      </c>
      <c r="AR429" s="47">
        <f>AR221</f>
        <v>1254.549</v>
      </c>
      <c r="AW429" s="47">
        <f>AW221</f>
        <v>1392.7999999999997</v>
      </c>
      <c r="BB429" s="47">
        <f>BB221</f>
        <v>1528.5000000000002</v>
      </c>
      <c r="BG429" s="47">
        <f>BG221</f>
        <v>1600.3000000000004</v>
      </c>
      <c r="BL429" s="47">
        <f>BL221</f>
        <v>2127.6999999999994</v>
      </c>
      <c r="BQ429" s="47">
        <f>BQ221</f>
        <v>2066</v>
      </c>
      <c r="BV429" s="47">
        <f>BV221</f>
        <v>2065</v>
      </c>
      <c r="BY429" s="6"/>
      <c r="BZ429" s="6"/>
      <c r="CA429" s="37">
        <f>CA221</f>
        <v>3197.2214312985925</v>
      </c>
      <c r="CB429" s="37">
        <f>CB221</f>
        <v>3595.1374518784769</v>
      </c>
      <c r="CC429" s="37">
        <f>CC221</f>
        <v>4123.9822192627798</v>
      </c>
      <c r="CD429" s="37">
        <f>CD221</f>
        <v>4627.8613086621071</v>
      </c>
      <c r="CE429" s="37">
        <f>CE221</f>
        <v>5170.0286847200787</v>
      </c>
      <c r="CF429" s="6"/>
    </row>
    <row r="430" spans="2:89" ht="15" customHeight="1" x14ac:dyDescent="0.25">
      <c r="B430" s="59" t="s">
        <v>628</v>
      </c>
      <c r="C430" s="78">
        <f t="shared" ref="C430:I430" si="498">IFERROR(C428/C429,"n/a")</f>
        <v>1.2579102803738318</v>
      </c>
      <c r="D430" s="78">
        <f t="shared" si="498"/>
        <v>1.8697663393159503</v>
      </c>
      <c r="E430" s="78">
        <f t="shared" si="498"/>
        <v>2.6464737793851723</v>
      </c>
      <c r="F430" s="78">
        <f t="shared" si="498"/>
        <v>2.7081021697335892</v>
      </c>
      <c r="G430" s="78">
        <f t="shared" si="498"/>
        <v>2.5632132372564715</v>
      </c>
      <c r="H430" s="78">
        <f t="shared" si="498"/>
        <v>3.0784816909794586</v>
      </c>
      <c r="I430" s="78">
        <f t="shared" si="498"/>
        <v>3.099317975143983</v>
      </c>
      <c r="J430" s="70"/>
      <c r="K430" s="70"/>
      <c r="L430" s="70"/>
      <c r="M430" s="70"/>
      <c r="N430" s="78">
        <f>IFERROR(N428/N429,"n/a")</f>
        <v>2.5332752434648897</v>
      </c>
      <c r="O430" s="70"/>
      <c r="P430" s="70"/>
      <c r="Q430" s="70"/>
      <c r="R430" s="70"/>
      <c r="S430" s="78">
        <f>IFERROR(S428/S429,"n/a")</f>
        <v>2.7499888268156409</v>
      </c>
      <c r="T430" s="70"/>
      <c r="U430" s="70"/>
      <c r="V430" s="70"/>
      <c r="W430" s="70"/>
      <c r="X430" s="78">
        <f>IFERROR(X428/X429,"n/a")</f>
        <v>1.8318586148428333</v>
      </c>
      <c r="Y430" s="70"/>
      <c r="Z430" s="70"/>
      <c r="AA430" s="70"/>
      <c r="AB430" s="70"/>
      <c r="AC430" s="78">
        <f>IFERROR(AC428/AC429,"n/a")</f>
        <v>1.6839759160148213</v>
      </c>
      <c r="AD430" s="70"/>
      <c r="AE430" s="70"/>
      <c r="AF430" s="70"/>
      <c r="AG430" s="70"/>
      <c r="AH430" s="78">
        <f>IFERROR(AH428/AH429,"n/a")</f>
        <v>1.5739137793707685</v>
      </c>
      <c r="AI430" s="70"/>
      <c r="AJ430" s="70"/>
      <c r="AK430" s="70"/>
      <c r="AL430" s="70"/>
      <c r="AM430" s="78">
        <f>IFERROR(AM428/AM429,"n/a")</f>
        <v>2.7864527322391992</v>
      </c>
      <c r="AN430" s="70"/>
      <c r="AO430" s="70"/>
      <c r="AP430" s="70"/>
      <c r="AQ430" s="70"/>
      <c r="AR430" s="78">
        <f>IFERROR(AR428/AR429,"n/a")</f>
        <v>2.1940952485713989</v>
      </c>
      <c r="AS430" s="70"/>
      <c r="AT430" s="70"/>
      <c r="AU430" s="70"/>
      <c r="AV430" s="70"/>
      <c r="AW430" s="78">
        <f>IFERROR(AW428/AW429,"n/a")</f>
        <v>1.7364302125215396</v>
      </c>
      <c r="AX430" s="70"/>
      <c r="AY430" s="70"/>
      <c r="AZ430" s="70"/>
      <c r="BA430" s="70"/>
      <c r="BB430" s="78">
        <f>IFERROR(BB428/BB429,"n/a")</f>
        <v>3.1680732744520772</v>
      </c>
      <c r="BC430" s="70"/>
      <c r="BD430" s="70"/>
      <c r="BE430" s="70"/>
      <c r="BF430" s="70"/>
      <c r="BG430" s="78">
        <f>IFERROR(BG428/BG429,"n/a")</f>
        <v>2.4888458414047356</v>
      </c>
      <c r="BH430" s="70"/>
      <c r="BI430" s="70"/>
      <c r="BJ430" s="70"/>
      <c r="BK430" s="70"/>
      <c r="BL430" s="78">
        <f>IFERROR(BL428/BL429,"n/a")</f>
        <v>1.4444705550594541</v>
      </c>
      <c r="BM430" s="70"/>
      <c r="BN430" s="70"/>
      <c r="BO430" s="70"/>
      <c r="BP430" s="70"/>
      <c r="BQ430" s="78">
        <f>IFERROR(BQ428/BQ429,"n/a")</f>
        <v>2.2957405614714426</v>
      </c>
      <c r="BR430" s="70"/>
      <c r="BS430" s="70"/>
      <c r="BT430" s="70"/>
      <c r="BU430" s="70"/>
      <c r="BV430" s="78">
        <f>IFERROR(BV428/BV429,"n/a")</f>
        <v>2.5452784503631962</v>
      </c>
      <c r="BW430" s="70"/>
      <c r="BX430" s="70"/>
      <c r="BY430" s="70"/>
      <c r="BZ430" s="70"/>
      <c r="CA430" s="78">
        <f>IFERROR(CA428/CA429,"n/a")</f>
        <v>3.8285080472172144</v>
      </c>
      <c r="CB430" s="78">
        <f>IFERROR(CB428/CB429,"n/a")</f>
        <v>3.0611541549090608</v>
      </c>
      <c r="CC430" s="78">
        <f>IFERROR(CC428/CC429,"n/a")</f>
        <v>2.4011776391355597</v>
      </c>
      <c r="CD430" s="78">
        <f>IFERROR(CD428/CD429,"n/a")</f>
        <v>2.2499999999999996</v>
      </c>
      <c r="CE430" s="78">
        <f>IFERROR(CE428/CE429,"n/a")</f>
        <v>2.25</v>
      </c>
      <c r="CF430" s="6"/>
    </row>
    <row r="431" spans="2:89" ht="15" customHeight="1" x14ac:dyDescent="0.25"/>
    <row r="432" spans="2:89" ht="15" customHeight="1" x14ac:dyDescent="0.25">
      <c r="B432" s="11" t="s">
        <v>629</v>
      </c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  <c r="AY432" s="11"/>
      <c r="AZ432" s="11"/>
      <c r="BA432" s="11"/>
      <c r="BB432" s="11"/>
      <c r="BC432" s="11"/>
      <c r="BD432" s="11"/>
      <c r="BE432" s="11"/>
      <c r="BF432" s="11"/>
      <c r="BG432" s="11"/>
      <c r="BH432" s="11"/>
      <c r="BI432" s="11"/>
      <c r="BJ432" s="11"/>
      <c r="BK432" s="11"/>
      <c r="BL432" s="11"/>
      <c r="BM432" s="11"/>
      <c r="BN432" s="11"/>
      <c r="BO432" s="11"/>
      <c r="BP432" s="11"/>
      <c r="BQ432" s="11"/>
      <c r="BR432" s="11"/>
      <c r="BS432" s="11"/>
      <c r="BT432" s="11"/>
      <c r="BU432" s="11"/>
      <c r="BV432" s="11"/>
      <c r="BW432" s="11"/>
      <c r="BX432" s="11"/>
      <c r="BY432" s="11"/>
      <c r="BZ432" s="11"/>
      <c r="CA432" s="11"/>
      <c r="CB432" s="11"/>
      <c r="CC432" s="11"/>
      <c r="CD432" s="11"/>
      <c r="CE432" s="11"/>
      <c r="CF432" s="11" t="s">
        <v>630</v>
      </c>
    </row>
    <row r="433" spans="2:84" ht="15" customHeight="1" x14ac:dyDescent="0.25">
      <c r="B433" s="76" t="s">
        <v>631</v>
      </c>
      <c r="BY433" s="6"/>
      <c r="BZ433" s="6"/>
      <c r="CA433" s="79">
        <v>485</v>
      </c>
      <c r="CB433" s="29">
        <f>CA433</f>
        <v>485</v>
      </c>
      <c r="CC433" s="29">
        <f>CB433</f>
        <v>485</v>
      </c>
      <c r="CD433" s="29">
        <f>CC433</f>
        <v>485</v>
      </c>
      <c r="CE433" s="29">
        <f>CD433</f>
        <v>485</v>
      </c>
      <c r="CF433" s="6"/>
    </row>
    <row r="434" spans="2:84" ht="15" customHeight="1" x14ac:dyDescent="0.25">
      <c r="B434" s="26" t="s">
        <v>632</v>
      </c>
      <c r="BY434" s="6"/>
      <c r="BZ434" s="6"/>
      <c r="CA434" s="63">
        <f>CA295+N(CA375)+(BX186-BX185)</f>
        <v>71.204401999999988</v>
      </c>
      <c r="CB434" s="63">
        <f>CB295+N(CB375)+0</f>
        <v>71.404402000000005</v>
      </c>
      <c r="CC434" s="63">
        <f>CC295+N(CC375)+0</f>
        <v>71.55440200000001</v>
      </c>
      <c r="CD434" s="63">
        <f>CD295+N(CD375)+0</f>
        <v>68.887190336080991</v>
      </c>
      <c r="CE434" s="63">
        <f>CE295+N(CE375)+0</f>
        <v>64.799426903357968</v>
      </c>
      <c r="CF434" s="6"/>
    </row>
    <row r="435" spans="2:84" ht="15" customHeight="1" x14ac:dyDescent="0.25">
      <c r="B435" s="26" t="s">
        <v>633</v>
      </c>
      <c r="BY435" s="6"/>
      <c r="BZ435" s="6"/>
      <c r="CA435" s="37">
        <f>IFERROR(CA433*CA434,"n/a")</f>
        <v>34534.134969999992</v>
      </c>
      <c r="CB435" s="37">
        <f>IFERROR(CB433*CB434,"n/a")</f>
        <v>34631.134969999999</v>
      </c>
      <c r="CC435" s="37">
        <f>IFERROR(CC433*CC434,"n/a")</f>
        <v>34703.884970000006</v>
      </c>
      <c r="CD435" s="37">
        <f>IFERROR(CD433*CD434,"n/a")</f>
        <v>33410.28731299928</v>
      </c>
      <c r="CE435" s="37">
        <f>IFERROR(CE433*CE434,"n/a")</f>
        <v>31427.722048128613</v>
      </c>
      <c r="CF435" s="6"/>
    </row>
    <row r="436" spans="2:84" ht="15" customHeight="1" x14ac:dyDescent="0.25">
      <c r="B436" s="26" t="s">
        <v>634</v>
      </c>
      <c r="BY436" s="6"/>
      <c r="BZ436" s="6"/>
      <c r="CA436" s="37">
        <f>CA428</f>
        <v>12240.587978462001</v>
      </c>
      <c r="CB436" s="37">
        <f>CB428</f>
        <v>11005.269948286974</v>
      </c>
      <c r="CC436" s="37">
        <f>CC428</f>
        <v>9902.4138890864269</v>
      </c>
      <c r="CD436" s="37">
        <f>CD428</f>
        <v>10412.687944489739</v>
      </c>
      <c r="CE436" s="37">
        <f>CE428</f>
        <v>11632.564540620177</v>
      </c>
      <c r="CF436" s="6"/>
    </row>
    <row r="437" spans="2:84" ht="15" customHeight="1" x14ac:dyDescent="0.25">
      <c r="B437" s="26" t="s">
        <v>635</v>
      </c>
      <c r="BY437" s="6"/>
      <c r="BZ437" s="6"/>
      <c r="CA437" s="37">
        <f>CA331</f>
        <v>2</v>
      </c>
      <c r="CB437" s="37">
        <f>CB331</f>
        <v>2</v>
      </c>
      <c r="CC437" s="37">
        <f>CC331</f>
        <v>2</v>
      </c>
      <c r="CD437" s="37">
        <f>CD331</f>
        <v>2</v>
      </c>
      <c r="CE437" s="37">
        <f>CE331</f>
        <v>2</v>
      </c>
      <c r="CF437" s="6"/>
    </row>
    <row r="438" spans="2:84" ht="15" customHeight="1" x14ac:dyDescent="0.25">
      <c r="B438" s="17" t="s">
        <v>636</v>
      </c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  <c r="AK438" s="32"/>
      <c r="AL438" s="32"/>
      <c r="AM438" s="32"/>
      <c r="AN438" s="32"/>
      <c r="AO438" s="32"/>
      <c r="AP438" s="32"/>
      <c r="AQ438" s="32"/>
      <c r="AR438" s="32"/>
      <c r="AS438" s="32"/>
      <c r="AT438" s="32"/>
      <c r="AU438" s="32"/>
      <c r="AV438" s="32"/>
      <c r="AW438" s="32"/>
      <c r="AX438" s="32"/>
      <c r="AY438" s="32"/>
      <c r="AZ438" s="32"/>
      <c r="BA438" s="32"/>
      <c r="BB438" s="32"/>
      <c r="BC438" s="32"/>
      <c r="BD438" s="32"/>
      <c r="BE438" s="32"/>
      <c r="BF438" s="32"/>
      <c r="BG438" s="32"/>
      <c r="BH438" s="32"/>
      <c r="BI438" s="32"/>
      <c r="BJ438" s="32"/>
      <c r="BK438" s="32"/>
      <c r="BL438" s="32"/>
      <c r="BM438" s="32"/>
      <c r="BN438" s="32"/>
      <c r="BO438" s="32"/>
      <c r="BP438" s="32"/>
      <c r="BQ438" s="32"/>
      <c r="BR438" s="32"/>
      <c r="BS438" s="32"/>
      <c r="BT438" s="32"/>
      <c r="BU438" s="32"/>
      <c r="BV438" s="32"/>
      <c r="BW438" s="32"/>
      <c r="BX438" s="32"/>
      <c r="BY438" s="57"/>
      <c r="BZ438" s="57"/>
      <c r="CA438" s="34">
        <f>IFERROR(CA435+CA436+CA437,"n/a")</f>
        <v>46776.722948461989</v>
      </c>
      <c r="CB438" s="34">
        <f>IFERROR(CB435+CB436+CB437,"n/a")</f>
        <v>45638.404918286971</v>
      </c>
      <c r="CC438" s="34">
        <f>IFERROR(CC435+CC436+CC437,"n/a")</f>
        <v>44608.298859086433</v>
      </c>
      <c r="CD438" s="34">
        <f>IFERROR(CD435+CD436+CD437,"n/a")</f>
        <v>43824.975257489015</v>
      </c>
      <c r="CE438" s="34">
        <f>IFERROR(CE435+CE436+CE437,"n/a")</f>
        <v>43062.286588748786</v>
      </c>
      <c r="CF438" s="6"/>
    </row>
    <row r="439" spans="2:84" ht="15" customHeight="1" x14ac:dyDescent="0.25">
      <c r="B439" s="15" t="s">
        <v>637</v>
      </c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  <c r="AV439" s="15"/>
      <c r="AW439" s="15"/>
      <c r="AX439" s="15"/>
      <c r="AY439" s="15"/>
      <c r="AZ439" s="15"/>
      <c r="BA439" s="15"/>
      <c r="BB439" s="15"/>
      <c r="BC439" s="15"/>
      <c r="BD439" s="15"/>
      <c r="BE439" s="15"/>
      <c r="BF439" s="15"/>
      <c r="BG439" s="15"/>
      <c r="BH439" s="15"/>
      <c r="BI439" s="15"/>
      <c r="BJ439" s="15"/>
      <c r="BK439" s="15"/>
      <c r="BL439" s="15"/>
      <c r="BM439" s="15"/>
      <c r="BN439" s="15"/>
      <c r="BO439" s="15"/>
      <c r="BP439" s="15"/>
      <c r="BQ439" s="15"/>
      <c r="BR439" s="15"/>
      <c r="BS439" s="15"/>
      <c r="BT439" s="15"/>
      <c r="BU439" s="15"/>
      <c r="BV439" s="15"/>
      <c r="BW439" s="15"/>
      <c r="BX439" s="15"/>
      <c r="BY439" s="15"/>
      <c r="BZ439" s="15"/>
      <c r="CA439" s="15"/>
      <c r="CB439" s="15"/>
      <c r="CC439" s="15"/>
      <c r="CD439" s="15"/>
      <c r="CE439" s="15"/>
      <c r="CF439" s="16"/>
    </row>
    <row r="440" spans="2:84" ht="15" customHeight="1" x14ac:dyDescent="0.25">
      <c r="B440" s="26" t="s">
        <v>638</v>
      </c>
      <c r="BY440" s="6"/>
      <c r="BZ440" s="6"/>
      <c r="CA440" s="56">
        <f>IFERROR(CA438/CA341,"n/a")</f>
        <v>5.1193513522168308</v>
      </c>
      <c r="CB440" s="56">
        <f>IFERROR(CB438/CB341,"n/a")</f>
        <v>4.649001341495465</v>
      </c>
      <c r="CC440" s="56">
        <f>IFERROR(CC438/CC341,"n/a")</f>
        <v>4.2073417238536415</v>
      </c>
      <c r="CD440" s="56">
        <f>IFERROR(CD438/CD341,"n/a")</f>
        <v>3.812979931783707</v>
      </c>
      <c r="CE440" s="56">
        <f>IFERROR(CE438/CE341,"n/a")</f>
        <v>3.4489086557951802</v>
      </c>
      <c r="CF440" s="6"/>
    </row>
    <row r="441" spans="2:84" ht="15" customHeight="1" x14ac:dyDescent="0.25">
      <c r="B441" s="26" t="s">
        <v>639</v>
      </c>
      <c r="BY441" s="6"/>
      <c r="BZ441" s="6"/>
      <c r="CA441" s="56">
        <f>IFERROR(CA438/CA221,"n/a")</f>
        <v>14.630429563166985</v>
      </c>
      <c r="CB441" s="56">
        <f>IFERROR(CB438/CB221,"n/a")</f>
        <v>12.69448123449096</v>
      </c>
      <c r="CC441" s="56">
        <f>IFERROR(CC438/CC221,"n/a")</f>
        <v>10.8168019373907</v>
      </c>
      <c r="CD441" s="56">
        <f>IFERROR(CD438/CD221,"n/a")</f>
        <v>9.4698117196080389</v>
      </c>
      <c r="CE441" s="56">
        <f>IFERROR(CE438/CE221,"n/a")</f>
        <v>8.3292161832715852</v>
      </c>
      <c r="CF441" s="6"/>
    </row>
    <row r="442" spans="2:84" ht="15" customHeight="1" x14ac:dyDescent="0.25">
      <c r="B442" s="26" t="s">
        <v>640</v>
      </c>
      <c r="BY442" s="6"/>
      <c r="BZ442" s="6"/>
      <c r="CA442" s="56">
        <f>IFERROR(CA438/CA219,"n/a")</f>
        <v>26.847525530637991</v>
      </c>
      <c r="CB442" s="56">
        <f>IFERROR(CB438/CB219,"n/a")</f>
        <v>20.153526454618873</v>
      </c>
      <c r="CC442" s="56">
        <f>IFERROR(CC438/CC219,"n/a")</f>
        <v>16.444928171636715</v>
      </c>
      <c r="CD442" s="56">
        <f>IFERROR(CD438/CD219,"n/a")</f>
        <v>14.035754023088158</v>
      </c>
      <c r="CE442" s="56">
        <f>IFERROR(CE438/CE219,"n/a")</f>
        <v>12.099267099388229</v>
      </c>
      <c r="CF442" s="6"/>
    </row>
    <row r="443" spans="2:84" ht="15" customHeight="1" x14ac:dyDescent="0.25">
      <c r="B443" s="26" t="s">
        <v>641</v>
      </c>
      <c r="BY443" s="6"/>
      <c r="BZ443" s="6"/>
      <c r="CA443" s="56">
        <f>IFERROR(CA438/CA408,"n/a")</f>
        <v>1.5283496467579789</v>
      </c>
      <c r="CB443" s="56">
        <f>IFERROR(CB438/CB408,"n/a")</f>
        <v>1.4991050239590522</v>
      </c>
      <c r="CC443" s="56">
        <f>IFERROR(CC438/CC408,"n/a")</f>
        <v>1.4479545637489144</v>
      </c>
      <c r="CD443" s="56">
        <f>IFERROR(CD438/CD408,"n/a")</f>
        <v>1.3934960478085754</v>
      </c>
      <c r="CE443" s="56">
        <f>IFERROR(CE438/CE408,"n/a")</f>
        <v>1.341238164137861</v>
      </c>
      <c r="CF443" s="6"/>
    </row>
    <row r="444" spans="2:84" ht="15" customHeight="1" x14ac:dyDescent="0.25">
      <c r="B444" s="26" t="s">
        <v>642</v>
      </c>
      <c r="BY444" s="6"/>
      <c r="BZ444" s="6"/>
      <c r="CA444" s="56">
        <f>IFERROR(CA433/CA189,"n/a")</f>
        <v>34.745908821986376</v>
      </c>
      <c r="CB444" s="56">
        <f>IFERROR(CB433/CB189,"n/a")</f>
        <v>26.800625241266943</v>
      </c>
      <c r="CC444" s="56">
        <f>IFERROR(CC433/CC189,"n/a")</f>
        <v>20.451323065479727</v>
      </c>
      <c r="CD444" s="56">
        <f>IFERROR(CD433/CD189,"n/a")</f>
        <v>16.65900426164227</v>
      </c>
      <c r="CE444" s="56">
        <f>IFERROR(CE433/CE189,"n/a")</f>
        <v>13.685597790295862</v>
      </c>
      <c r="CF444" s="6"/>
    </row>
    <row r="445" spans="2:84" ht="15" customHeight="1" x14ac:dyDescent="0.25">
      <c r="B445" s="26" t="s">
        <v>643</v>
      </c>
      <c r="BY445" s="6"/>
      <c r="BZ445" s="6"/>
      <c r="CA445" s="56">
        <f>IFERROR(CA433/CA231,"n/a")</f>
        <v>28.618037458999698</v>
      </c>
      <c r="CB445" s="56">
        <f>IFERROR(CB433/CB231,"n/a")</f>
        <v>26.406820043544059</v>
      </c>
      <c r="CC445" s="56">
        <f>IFERROR(CC433/CC231,"n/a")</f>
        <v>20.358844176489097</v>
      </c>
      <c r="CD445" s="56">
        <f>IFERROR(CD433/CD231,"n/a")</f>
        <v>16.596494385269192</v>
      </c>
      <c r="CE445" s="56">
        <f>IFERROR(CE433/CE231,"n/a")</f>
        <v>13.641256411576549</v>
      </c>
      <c r="CF445" s="6"/>
    </row>
    <row r="446" spans="2:84" ht="15" customHeight="1" x14ac:dyDescent="0.25">
      <c r="B446" s="26" t="s">
        <v>644</v>
      </c>
      <c r="BY446" s="6"/>
      <c r="BZ446" s="6"/>
      <c r="CA446" s="25">
        <f>IFERROR(CA280/CA435,"n/a")</f>
        <v>2.7160562625940719E-2</v>
      </c>
      <c r="CB446" s="25">
        <f>IFERROR(CB280/CB435,"n/a")</f>
        <v>4.39432437978046E-2</v>
      </c>
      <c r="CC446" s="25">
        <f>IFERROR(CC280/CC435,"n/a")</f>
        <v>5.4901782952610147E-2</v>
      </c>
      <c r="CD446" s="25">
        <f>IFERROR(CD280/CD435,"n/a")</f>
        <v>6.6834641608036996E-2</v>
      </c>
      <c r="CE446" s="25">
        <f>IFERROR(CE280/CE435,"n/a")</f>
        <v>8.1123658619868477E-2</v>
      </c>
      <c r="CF446" s="6"/>
    </row>
    <row r="447" spans="2:84" ht="15" customHeight="1" x14ac:dyDescent="0.25">
      <c r="B447" s="26" t="s">
        <v>645</v>
      </c>
      <c r="BY447" s="6"/>
      <c r="BZ447" s="6"/>
      <c r="CA447" s="25">
        <f>IFERROR(CA193/CA433,"n/a")</f>
        <v>7.0164948453608237E-3</v>
      </c>
      <c r="CB447" s="25">
        <f>IFERROR(CB193/CB433,"n/a")</f>
        <v>7.4374845360824738E-3</v>
      </c>
      <c r="CC447" s="25">
        <f>IFERROR(CC193/CC433,"n/a")</f>
        <v>7.8837336082474233E-3</v>
      </c>
      <c r="CD447" s="25">
        <f>IFERROR(CD193/CD433,"n/a")</f>
        <v>8.3567576247422677E-3</v>
      </c>
      <c r="CE447" s="25">
        <f>IFERROR(CE193/CE433,"n/a")</f>
        <v>8.858163082226804E-3</v>
      </c>
      <c r="CF447" s="6"/>
    </row>
  </sheetData>
  <dataValidations count="1">
    <dataValidation type="list" sqref="CF2" xr:uid="{00000000-0002-0000-0000-000000000000}">
      <formula1>"Bull,Base,Bear"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AJ47"/>
  <sheetViews>
    <sheetView showGridLines="0" zoomScale="60" zoomScaleNormal="60" workbookViewId="0">
      <selection activeCell="H26" sqref="H26"/>
    </sheetView>
  </sheetViews>
  <sheetFormatPr defaultColWidth="8.5703125" defaultRowHeight="15" x14ac:dyDescent="0.25"/>
  <cols>
    <col min="1" max="1" width="2.140625" customWidth="1"/>
    <col min="2" max="2" width="63.85546875" customWidth="1"/>
    <col min="3" max="8" width="11.85546875" customWidth="1"/>
    <col min="9" max="9" width="13.28515625" customWidth="1"/>
    <col min="10" max="12" width="12.5703125" customWidth="1"/>
    <col min="13" max="13" width="3.85546875" customWidth="1"/>
    <col min="14" max="14" width="63.85546875" customWidth="1"/>
    <col min="15" max="20" width="11.85546875" customWidth="1"/>
    <col min="21" max="21" width="13.28515625" customWidth="1"/>
    <col min="22" max="24" width="12.5703125" customWidth="1"/>
    <col min="25" max="25" width="3.85546875" customWidth="1"/>
    <col min="26" max="26" width="63.85546875" customWidth="1"/>
    <col min="27" max="32" width="11.85546875" customWidth="1"/>
    <col min="33" max="33" width="13.28515625" customWidth="1"/>
    <col min="34" max="36" width="12.5703125" customWidth="1"/>
  </cols>
  <sheetData>
    <row r="2" spans="2:36" ht="19.5" customHeight="1" x14ac:dyDescent="0.35">
      <c r="B2" s="80" t="s">
        <v>646</v>
      </c>
      <c r="J2" s="173" t="s">
        <v>647</v>
      </c>
      <c r="K2" s="81">
        <f>Model!$CA$433</f>
        <v>485</v>
      </c>
    </row>
    <row r="3" spans="2:36" ht="15" customHeight="1" x14ac:dyDescent="0.25">
      <c r="B3" s="4" t="s">
        <v>648</v>
      </c>
      <c r="J3" s="173" t="s">
        <v>649</v>
      </c>
      <c r="K3" s="82">
        <f ca="1">TODAY()</f>
        <v>46299</v>
      </c>
    </row>
    <row r="5" spans="2:36" ht="15" customHeight="1" x14ac:dyDescent="0.25">
      <c r="B5" s="11" t="s">
        <v>650</v>
      </c>
      <c r="C5" s="83" t="str">
        <f>Model!$CF$2</f>
        <v>Base</v>
      </c>
      <c r="N5" s="84" t="s">
        <v>650</v>
      </c>
      <c r="O5" s="85" t="s">
        <v>80</v>
      </c>
      <c r="P5" s="4" t="s">
        <v>651</v>
      </c>
      <c r="Z5" s="84" t="s">
        <v>650</v>
      </c>
      <c r="AA5" s="85" t="s">
        <v>81</v>
      </c>
      <c r="AB5" s="4" t="s">
        <v>652</v>
      </c>
    </row>
    <row r="7" spans="2:36" ht="32.1" customHeight="1" x14ac:dyDescent="0.25">
      <c r="B7" s="86" t="s">
        <v>653</v>
      </c>
      <c r="C7" s="171" t="s">
        <v>654</v>
      </c>
      <c r="D7" s="171" t="s">
        <v>64</v>
      </c>
      <c r="E7" s="171" t="s">
        <v>65</v>
      </c>
      <c r="F7" s="171" t="s">
        <v>66</v>
      </c>
      <c r="G7" s="171" t="s">
        <v>67</v>
      </c>
      <c r="H7" s="171" t="s">
        <v>68</v>
      </c>
      <c r="I7" s="171" t="s">
        <v>655</v>
      </c>
      <c r="J7" s="172" t="s">
        <v>656</v>
      </c>
      <c r="K7" s="172" t="s">
        <v>657</v>
      </c>
      <c r="L7" s="172" t="s">
        <v>658</v>
      </c>
      <c r="N7" s="86" t="s">
        <v>653</v>
      </c>
      <c r="O7" s="171" t="s">
        <v>654</v>
      </c>
      <c r="P7" s="171" t="s">
        <v>64</v>
      </c>
      <c r="Q7" s="171" t="s">
        <v>65</v>
      </c>
      <c r="R7" s="171" t="s">
        <v>66</v>
      </c>
      <c r="S7" s="171" t="s">
        <v>67</v>
      </c>
      <c r="T7" s="171" t="s">
        <v>68</v>
      </c>
      <c r="U7" s="171" t="s">
        <v>655</v>
      </c>
      <c r="V7" s="172" t="s">
        <v>656</v>
      </c>
      <c r="W7" s="172" t="s">
        <v>657</v>
      </c>
      <c r="X7" s="172" t="s">
        <v>658</v>
      </c>
      <c r="Z7" s="86" t="s">
        <v>653</v>
      </c>
      <c r="AA7" s="171" t="s">
        <v>654</v>
      </c>
      <c r="AB7" s="171" t="s">
        <v>64</v>
      </c>
      <c r="AC7" s="171" t="s">
        <v>65</v>
      </c>
      <c r="AD7" s="171" t="s">
        <v>66</v>
      </c>
      <c r="AE7" s="171" t="s">
        <v>67</v>
      </c>
      <c r="AF7" s="171" t="s">
        <v>68</v>
      </c>
      <c r="AG7" s="171" t="s">
        <v>655</v>
      </c>
      <c r="AH7" s="172" t="s">
        <v>656</v>
      </c>
      <c r="AI7" s="172" t="s">
        <v>657</v>
      </c>
      <c r="AJ7" s="172" t="s">
        <v>658</v>
      </c>
    </row>
    <row r="9" spans="2:36" ht="15" customHeight="1" x14ac:dyDescent="0.25">
      <c r="B9" s="87" t="s">
        <v>659</v>
      </c>
      <c r="C9" s="88">
        <f>Model!BV158</f>
        <v>6150</v>
      </c>
      <c r="D9" s="89">
        <f>Model!CA158</f>
        <v>7969.4587023425674</v>
      </c>
      <c r="E9" s="89">
        <f>Model!CB158</f>
        <v>9816.8190469065903</v>
      </c>
      <c r="F9" s="89">
        <f>Model!CC158</f>
        <v>10602.490072574432</v>
      </c>
      <c r="G9" s="89">
        <f>Model!CD158</f>
        <v>11493.628616342534</v>
      </c>
      <c r="H9" s="89">
        <f>Model!CE158</f>
        <v>12485.771844491006</v>
      </c>
      <c r="I9" s="90">
        <f>IFERROR((H9/C9)^(1/5)-1,"n/m")</f>
        <v>0.15214743096056571</v>
      </c>
      <c r="N9" s="87" t="s">
        <v>659</v>
      </c>
      <c r="O9" s="88">
        <v>6150</v>
      </c>
      <c r="P9" s="89">
        <v>8069.4587023425702</v>
      </c>
      <c r="Q9" s="89">
        <v>10326.5916507403</v>
      </c>
      <c r="R9" s="89">
        <v>11672.072528124399</v>
      </c>
      <c r="S9" s="89">
        <v>13190.6412373199</v>
      </c>
      <c r="T9" s="89">
        <v>14888.0577491729</v>
      </c>
      <c r="U9" s="90">
        <v>0.19341800517456101</v>
      </c>
      <c r="Z9" s="87" t="s">
        <v>659</v>
      </c>
      <c r="AA9" s="88">
        <v>6150</v>
      </c>
      <c r="AB9" s="89">
        <v>7869.4587023425702</v>
      </c>
      <c r="AC9" s="89">
        <v>9400.9540835808493</v>
      </c>
      <c r="AD9" s="89">
        <v>9752.4000317774808</v>
      </c>
      <c r="AE9" s="89">
        <v>10086.6279764516</v>
      </c>
      <c r="AF9" s="89">
        <v>10477.543562114401</v>
      </c>
      <c r="AG9" s="90">
        <v>0.11244070563743901</v>
      </c>
    </row>
    <row r="10" spans="2:36" ht="15" customHeight="1" x14ac:dyDescent="0.25">
      <c r="B10" s="91" t="s">
        <v>660</v>
      </c>
      <c r="C10" s="92"/>
      <c r="D10" s="93">
        <f>IFERROR(D9/C9-1,"")</f>
        <v>0.29584694347033613</v>
      </c>
      <c r="E10" s="93">
        <f>IFERROR(E9/D9-1,"")</f>
        <v>0.23180499624409934</v>
      </c>
      <c r="F10" s="93">
        <f>IFERROR(F9/E9-1,"")</f>
        <v>8.0033157575153391E-2</v>
      </c>
      <c r="G10" s="93">
        <f>IFERROR(G9/F9-1,"")</f>
        <v>8.4049929560718883E-2</v>
      </c>
      <c r="H10" s="93">
        <f>IFERROR(H9/G9-1,"")</f>
        <v>8.6321148983165008E-2</v>
      </c>
      <c r="N10" s="91" t="s">
        <v>660</v>
      </c>
      <c r="O10" s="92"/>
      <c r="P10" s="93">
        <v>0.31210710607196201</v>
      </c>
      <c r="Q10" s="93">
        <v>0.27971305531838597</v>
      </c>
      <c r="R10" s="93">
        <v>0.130292832610228</v>
      </c>
      <c r="S10" s="93">
        <v>0.130102747865594</v>
      </c>
      <c r="T10" s="93">
        <v>0.12868339615291099</v>
      </c>
      <c r="Z10" s="91" t="s">
        <v>660</v>
      </c>
      <c r="AA10" s="92"/>
      <c r="AB10" s="93">
        <v>0.27958678086871003</v>
      </c>
      <c r="AC10" s="93">
        <v>0.194612544415842</v>
      </c>
      <c r="AD10" s="93">
        <v>3.7384072411379199E-2</v>
      </c>
      <c r="AE10" s="93">
        <v>3.42713530602754E-2</v>
      </c>
      <c r="AF10" s="93">
        <v>3.87558246993411E-2</v>
      </c>
    </row>
    <row r="11" spans="2:36" ht="15" customHeight="1" x14ac:dyDescent="0.25">
      <c r="B11" s="87" t="s">
        <v>661</v>
      </c>
      <c r="C11" s="94">
        <f>Model!BV238</f>
        <v>3.8723181580324395E-2</v>
      </c>
      <c r="D11" s="95">
        <f>Model!CA238</f>
        <v>0.18579629944525689</v>
      </c>
      <c r="E11" s="95">
        <f>Model!CB238</f>
        <v>0.03</v>
      </c>
      <c r="F11" s="95">
        <f>Model!CC238</f>
        <v>0.03</v>
      </c>
      <c r="G11" s="95">
        <f>Model!CD238</f>
        <v>2.5000000000000001E-2</v>
      </c>
      <c r="H11" s="95">
        <f>Model!CE238</f>
        <v>2.5000000000000001E-2</v>
      </c>
      <c r="N11" s="87" t="s">
        <v>661</v>
      </c>
      <c r="O11" s="94">
        <v>3.8723181580324402E-2</v>
      </c>
      <c r="P11" s="95">
        <v>0.20197455342315301</v>
      </c>
      <c r="Q11" s="95">
        <v>0.05</v>
      </c>
      <c r="R11" s="95">
        <v>0.05</v>
      </c>
      <c r="S11" s="95">
        <v>4.4999999999999998E-2</v>
      </c>
      <c r="T11" s="95">
        <v>4.4999999999999998E-2</v>
      </c>
      <c r="Z11" s="87" t="s">
        <v>661</v>
      </c>
      <c r="AA11" s="94">
        <v>3.8723181580324402E-2</v>
      </c>
      <c r="AB11" s="95">
        <v>0.16961804546736101</v>
      </c>
      <c r="AC11" s="95">
        <v>0.01</v>
      </c>
      <c r="AD11" s="95">
        <v>0.01</v>
      </c>
      <c r="AE11" s="95">
        <v>5.0000000000000001E-3</v>
      </c>
      <c r="AF11" s="95">
        <v>5.0000000000000001E-3</v>
      </c>
    </row>
    <row r="12" spans="2:36" ht="15" customHeight="1" x14ac:dyDescent="0.25">
      <c r="B12" s="87" t="s">
        <v>662</v>
      </c>
      <c r="C12" s="88">
        <f>Model!BV211</f>
        <v>2065</v>
      </c>
      <c r="D12" s="89">
        <f>Model!CA211</f>
        <v>2709.562877706062</v>
      </c>
      <c r="E12" s="89">
        <f>Model!CB211</f>
        <v>3595.1374518784769</v>
      </c>
      <c r="F12" s="89">
        <f>Model!CC211</f>
        <v>4123.9822192627798</v>
      </c>
      <c r="G12" s="89">
        <f>Model!CD211</f>
        <v>4627.8613086621071</v>
      </c>
      <c r="H12" s="89">
        <f>Model!CE211</f>
        <v>5170.0286847200787</v>
      </c>
      <c r="I12" s="90">
        <f>IFERROR((H12/C12)^(1/5)-1,"n/m")</f>
        <v>0.20147455956939231</v>
      </c>
      <c r="N12" s="87" t="s">
        <v>662</v>
      </c>
      <c r="O12" s="88">
        <v>2065</v>
      </c>
      <c r="P12" s="89">
        <v>2779.5628777060601</v>
      </c>
      <c r="Q12" s="89">
        <v>3991.8063579556401</v>
      </c>
      <c r="R12" s="89">
        <v>4627.5927919933802</v>
      </c>
      <c r="S12" s="89">
        <v>5283.3715568588104</v>
      </c>
      <c r="T12" s="89">
        <v>5966.54140120796</v>
      </c>
      <c r="U12" s="90">
        <v>0.23640433901868199</v>
      </c>
      <c r="Z12" s="87" t="s">
        <v>662</v>
      </c>
      <c r="AA12" s="88">
        <v>2065</v>
      </c>
      <c r="AB12" s="89">
        <v>2639.5628777060601</v>
      </c>
      <c r="AC12" s="89">
        <v>3238.4502151922802</v>
      </c>
      <c r="AD12" s="89">
        <v>3488.1157126763201</v>
      </c>
      <c r="AE12" s="89">
        <v>3682.4909979845402</v>
      </c>
      <c r="AF12" s="89">
        <v>3856.7327560604699</v>
      </c>
      <c r="AG12" s="90">
        <v>0.13307823683857301</v>
      </c>
    </row>
    <row r="13" spans="2:36" ht="15" customHeight="1" x14ac:dyDescent="0.25">
      <c r="B13" s="91" t="s">
        <v>663</v>
      </c>
      <c r="C13" s="96">
        <f t="shared" ref="C13:H13" si="0">IFERROR(C12/C9,"")</f>
        <v>0.33577235772357722</v>
      </c>
      <c r="D13" s="97">
        <f t="shared" si="0"/>
        <v>0.33999333943591487</v>
      </c>
      <c r="E13" s="97">
        <f t="shared" si="0"/>
        <v>0.36622223906748613</v>
      </c>
      <c r="F13" s="97">
        <f t="shared" si="0"/>
        <v>0.38896355394194865</v>
      </c>
      <c r="G13" s="97">
        <f t="shared" si="0"/>
        <v>0.40264580169937408</v>
      </c>
      <c r="H13" s="97">
        <f t="shared" si="0"/>
        <v>0.41407361508060936</v>
      </c>
      <c r="J13" s="98">
        <f>IFERROR(AVERAGE(Model!C212,Model!D212,Model!E212,Model!F212,Model!G212,Model!H212,Model!I212,Model!N212,Model!S212,Model!X212,Model!AC212,Model!AH212,Model!AM212,Model!AR212,Model!AW212,Model!BB212,Model!BG212,Model!BL212,Model!BQ212,Model!BV212),"")</f>
        <v>0.24703765760422072</v>
      </c>
      <c r="K13" s="98">
        <f>IFERROR(MIN(Model!C212,Model!D212,Model!E212,Model!F212,Model!G212,Model!H212,Model!I212,Model!N212,Model!S212,Model!X212,Model!AC212,Model!AH212,Model!AM212,Model!AR212,Model!AW212,Model!BB212,Model!BG212,Model!BL212,Model!BQ212,Model!BV212),"")</f>
        <v>0.16190616411464467</v>
      </c>
      <c r="L13" s="98">
        <f>IFERROR(MAX(Model!C212,Model!D212,Model!E212,Model!F212,Model!G212,Model!H212,Model!I212,Model!N212,Model!S212,Model!X212,Model!AC212,Model!AH212,Model!AM212,Model!AR212,Model!AW212,Model!BB212,Model!BG212,Model!BL212,Model!BQ212,Model!BV212),"")</f>
        <v>0.33577235772357722</v>
      </c>
      <c r="N13" s="91" t="s">
        <v>663</v>
      </c>
      <c r="O13" s="96">
        <v>0.335772357723577</v>
      </c>
      <c r="P13" s="97">
        <v>0.34445468775980698</v>
      </c>
      <c r="Q13" s="97">
        <v>0.386556038329399</v>
      </c>
      <c r="R13" s="97">
        <v>0.39646710392203</v>
      </c>
      <c r="S13" s="97">
        <v>0.400539402277935</v>
      </c>
      <c r="T13" s="97">
        <v>0.40076022686971502</v>
      </c>
      <c r="V13" s="98">
        <v>0.247037657604221</v>
      </c>
      <c r="W13" s="98">
        <v>0.16190616411464501</v>
      </c>
      <c r="X13" s="98">
        <v>0.335772357723577</v>
      </c>
      <c r="Z13" s="91" t="s">
        <v>663</v>
      </c>
      <c r="AA13" s="96">
        <v>0.335772357723577</v>
      </c>
      <c r="AB13" s="97">
        <v>0.33541860724427203</v>
      </c>
      <c r="AC13" s="97">
        <v>0.34448101611817999</v>
      </c>
      <c r="AD13" s="97">
        <v>0.357667415334743</v>
      </c>
      <c r="AE13" s="97">
        <v>0.36508642993295198</v>
      </c>
      <c r="AF13" s="97">
        <v>0.36809512966435898</v>
      </c>
      <c r="AH13" s="98">
        <v>0.247037657604221</v>
      </c>
      <c r="AI13" s="98">
        <v>0.16190616411464501</v>
      </c>
      <c r="AJ13" s="98">
        <v>0.335772357723577</v>
      </c>
    </row>
    <row r="15" spans="2:36" ht="15" customHeight="1" x14ac:dyDescent="0.25">
      <c r="B15" s="87" t="s">
        <v>664</v>
      </c>
      <c r="C15" s="88">
        <f>Model!BV166</f>
        <v>1437</v>
      </c>
      <c r="D15" s="89">
        <f>Model!CA166</f>
        <v>1487.3104000806741</v>
      </c>
      <c r="E15" s="89">
        <f>Model!CB166</f>
        <v>2224.5369296065483</v>
      </c>
      <c r="F15" s="89">
        <f>Model!CC166</f>
        <v>2687.5870294784449</v>
      </c>
      <c r="G15" s="89">
        <f>Model!CD166</f>
        <v>3097.381254715563</v>
      </c>
      <c r="H15" s="89">
        <f>Model!CE166</f>
        <v>3534.082234900503</v>
      </c>
      <c r="I15" s="90">
        <f>IFERROR((H15/C15)^(1/5)-1,"n/m")</f>
        <v>0.19719246991960815</v>
      </c>
      <c r="N15" s="87" t="s">
        <v>664</v>
      </c>
      <c r="O15" s="88">
        <v>1437</v>
      </c>
      <c r="P15" s="89">
        <v>1557.31040008068</v>
      </c>
      <c r="Q15" s="89">
        <v>2567.9903608683198</v>
      </c>
      <c r="R15" s="89">
        <v>3078.8259584866701</v>
      </c>
      <c r="S15" s="89">
        <v>3574.3263345179498</v>
      </c>
      <c r="T15" s="89">
        <v>4077.7144485956001</v>
      </c>
      <c r="U15" s="90">
        <v>0.23194695482757</v>
      </c>
      <c r="Z15" s="87" t="s">
        <v>664</v>
      </c>
      <c r="AA15" s="88">
        <v>1437</v>
      </c>
      <c r="AB15" s="89">
        <v>1417.31040008068</v>
      </c>
      <c r="AC15" s="89">
        <v>1909.90199394653</v>
      </c>
      <c r="AD15" s="89">
        <v>2138.4195716878999</v>
      </c>
      <c r="AE15" s="89">
        <v>2297.5341343529199</v>
      </c>
      <c r="AF15" s="89">
        <v>2429.8500112125998</v>
      </c>
      <c r="AG15" s="90">
        <v>0.110771017899289</v>
      </c>
    </row>
    <row r="16" spans="2:36" ht="15" customHeight="1" x14ac:dyDescent="0.25">
      <c r="B16" s="91" t="s">
        <v>665</v>
      </c>
      <c r="C16" s="92"/>
      <c r="D16" s="93">
        <f>IFERROR(D15/C15-1,"")</f>
        <v>3.5010716827191368E-2</v>
      </c>
      <c r="E16" s="93">
        <f>IFERROR(E15/D15-1,"")</f>
        <v>0.49567765376069839</v>
      </c>
      <c r="F16" s="93">
        <f>IFERROR(F15/E15-1,"")</f>
        <v>0.20815572612399658</v>
      </c>
      <c r="G16" s="93">
        <f>IFERROR(G15/F15-1,"")</f>
        <v>0.15247663452098248</v>
      </c>
      <c r="H16" s="93">
        <f>IFERROR(H15/G15-1,"")</f>
        <v>0.14099038648215845</v>
      </c>
      <c r="N16" s="91" t="s">
        <v>665</v>
      </c>
      <c r="O16" s="92"/>
      <c r="P16" s="93">
        <v>8.3723312512648404E-2</v>
      </c>
      <c r="Q16" s="93">
        <v>0.64899069622554695</v>
      </c>
      <c r="R16" s="93">
        <v>0.19892426599515001</v>
      </c>
      <c r="S16" s="93">
        <v>0.16093809221838401</v>
      </c>
      <c r="T16" s="93">
        <v>0.14083440261632801</v>
      </c>
      <c r="Z16" s="91" t="s">
        <v>665</v>
      </c>
      <c r="AA16" s="92"/>
      <c r="AB16" s="93">
        <v>-1.37018788582631E-2</v>
      </c>
      <c r="AC16" s="93">
        <v>0.34755378485744398</v>
      </c>
      <c r="AD16" s="93">
        <v>0.119648850289522</v>
      </c>
      <c r="AE16" s="93">
        <v>7.4407550684463003E-2</v>
      </c>
      <c r="AF16" s="93">
        <v>5.7590385657949203E-2</v>
      </c>
    </row>
    <row r="17" spans="2:36" ht="15" customHeight="1" x14ac:dyDescent="0.25">
      <c r="B17" s="91" t="s">
        <v>666</v>
      </c>
      <c r="C17" s="96">
        <f t="shared" ref="C17:H17" si="1">IFERROR(C15/C9,"")</f>
        <v>0.23365853658536587</v>
      </c>
      <c r="D17" s="97">
        <f t="shared" si="1"/>
        <v>0.18662627609118415</v>
      </c>
      <c r="E17" s="97">
        <f t="shared" si="1"/>
        <v>0.22660465869619237</v>
      </c>
      <c r="F17" s="97">
        <f t="shared" si="1"/>
        <v>0.25348639905171461</v>
      </c>
      <c r="G17" s="97">
        <f t="shared" si="1"/>
        <v>0.26948680509055822</v>
      </c>
      <c r="H17" s="97">
        <f t="shared" si="1"/>
        <v>0.28304875973364968</v>
      </c>
      <c r="J17" s="98">
        <f>IFERROR(AVERAGE(Model!C247,Model!D247,Model!E247,Model!F247,Model!G247,Model!H247,Model!I247,Model!N247,Model!S247,Model!X247,Model!AC247,Model!AH247,Model!AM247,Model!AR247,Model!AW247,Model!BB247,Model!BG247,Model!BL247,Model!BQ247,Model!BV247),"")</f>
        <v>0.17151852126967787</v>
      </c>
      <c r="K17" s="98">
        <f>IFERROR(MIN(Model!C247,Model!D247,Model!E247,Model!F247,Model!G247,Model!H247,Model!I247,Model!N247,Model!S247,Model!X247,Model!AC247,Model!AH247,Model!AM247,Model!AR247,Model!AW247,Model!BB247,Model!BG247,Model!BL247,Model!BQ247,Model!BV247),"")</f>
        <v>7.6069886140557458E-2</v>
      </c>
      <c r="L17" s="98">
        <f>IFERROR(MAX(Model!C247,Model!D247,Model!E247,Model!F247,Model!G247,Model!H247,Model!I247,Model!N247,Model!S247,Model!X247,Model!AC247,Model!AH247,Model!AM247,Model!AR247,Model!AW247,Model!BB247,Model!BG247,Model!BL247,Model!BQ247,Model!BV247),"")</f>
        <v>0.41416768665850673</v>
      </c>
      <c r="N17" s="91" t="s">
        <v>666</v>
      </c>
      <c r="O17" s="96">
        <v>0.23365853658536601</v>
      </c>
      <c r="P17" s="97">
        <v>0.192988211170668</v>
      </c>
      <c r="Q17" s="97">
        <v>0.248677438570374</v>
      </c>
      <c r="R17" s="97">
        <v>0.26377714421051501</v>
      </c>
      <c r="S17" s="97">
        <v>0.27097441816590401</v>
      </c>
      <c r="T17" s="97">
        <v>0.27389163296482599</v>
      </c>
      <c r="V17" s="98">
        <v>0.17151852126967801</v>
      </c>
      <c r="W17" s="98">
        <v>7.6069886140557499E-2</v>
      </c>
      <c r="X17" s="98">
        <v>0.41416768665850701</v>
      </c>
      <c r="Z17" s="91" t="s">
        <v>666</v>
      </c>
      <c r="AA17" s="96">
        <v>0.23365853658536601</v>
      </c>
      <c r="AB17" s="97">
        <v>0.18010265428532901</v>
      </c>
      <c r="AC17" s="97">
        <v>0.20316044275572601</v>
      </c>
      <c r="AD17" s="97">
        <v>0.21927110913416401</v>
      </c>
      <c r="AE17" s="97">
        <v>0.22778019965808</v>
      </c>
      <c r="AF17" s="97">
        <v>0.23191027522888699</v>
      </c>
      <c r="AH17" s="98">
        <v>0.17151852126967801</v>
      </c>
      <c r="AI17" s="98">
        <v>7.6069886140557499E-2</v>
      </c>
      <c r="AJ17" s="98">
        <v>0.41416768665850701</v>
      </c>
    </row>
    <row r="19" spans="2:36" ht="15" customHeight="1" x14ac:dyDescent="0.25">
      <c r="B19" s="87" t="s">
        <v>667</v>
      </c>
      <c r="C19" s="88">
        <f>Model!BV229</f>
        <v>1020.6851549755302</v>
      </c>
      <c r="D19" s="89">
        <f>Model!CA229</f>
        <v>1088.168446252743</v>
      </c>
      <c r="E19" s="89">
        <f>Model!CB229</f>
        <v>1310.0691379330897</v>
      </c>
      <c r="F19" s="89">
        <f>Model!CC229</f>
        <v>1702.8230910099953</v>
      </c>
      <c r="G19" s="89">
        <f>Model!CD229</f>
        <v>2052.0650536735166</v>
      </c>
      <c r="H19" s="89">
        <f>Model!CE229</f>
        <v>2376.5409653213324</v>
      </c>
      <c r="I19" s="90">
        <f>IFERROR((H19/C19)^(1/5)-1,"n/m")</f>
        <v>0.18416085730859044</v>
      </c>
      <c r="N19" s="87" t="s">
        <v>667</v>
      </c>
      <c r="O19" s="88">
        <v>1020.6851549755301</v>
      </c>
      <c r="P19" s="89">
        <v>1143.39537514836</v>
      </c>
      <c r="Q19" s="89">
        <v>1575.7248332316401</v>
      </c>
      <c r="R19" s="89">
        <v>2000.6120432524499</v>
      </c>
      <c r="S19" s="89">
        <v>2370.81080370465</v>
      </c>
      <c r="T19" s="89">
        <v>2695.30466311083</v>
      </c>
      <c r="U19" s="90">
        <v>0.21434814254876899</v>
      </c>
      <c r="Z19" s="87" t="s">
        <v>667</v>
      </c>
      <c r="AA19" s="88">
        <v>1020.6851549755301</v>
      </c>
      <c r="AB19" s="89">
        <v>1032.9415173571299</v>
      </c>
      <c r="AC19" s="89">
        <v>1062.9974187514499</v>
      </c>
      <c r="AD19" s="89">
        <v>1270.10195965704</v>
      </c>
      <c r="AE19" s="89">
        <v>1432.05142117476</v>
      </c>
      <c r="AF19" s="89">
        <v>1560.9967767672299</v>
      </c>
      <c r="AG19" s="90">
        <v>8.8684504599147299E-2</v>
      </c>
    </row>
    <row r="21" spans="2:36" ht="15" customHeight="1" x14ac:dyDescent="0.25">
      <c r="B21" s="87" t="s">
        <v>668</v>
      </c>
      <c r="C21" s="99">
        <f>Model!BV186</f>
        <v>60.6</v>
      </c>
      <c r="D21" s="100">
        <f>Model!CA186</f>
        <v>64.208753312499994</v>
      </c>
      <c r="E21" s="100">
        <f>Model!CB186</f>
        <v>71.329402000000002</v>
      </c>
      <c r="F21" s="100">
        <f>Model!CC186</f>
        <v>71.479402000000007</v>
      </c>
      <c r="G21" s="100">
        <f>Model!CD186</f>
        <v>70.220796168040494</v>
      </c>
      <c r="H21" s="100">
        <f>Model!CE186</f>
        <v>66.84330861971948</v>
      </c>
      <c r="I21" s="90">
        <f>IFERROR((H21/C21)^(1/5)-1,"n/m")</f>
        <v>1.9804826077545412E-2</v>
      </c>
      <c r="N21" s="87" t="s">
        <v>668</v>
      </c>
      <c r="O21" s="99">
        <v>60.6</v>
      </c>
      <c r="P21" s="100">
        <v>64.160555895881501</v>
      </c>
      <c r="Q21" s="100">
        <v>71.136612333526102</v>
      </c>
      <c r="R21" s="100">
        <v>70.166256655263297</v>
      </c>
      <c r="S21" s="100">
        <v>67.066573058888693</v>
      </c>
      <c r="T21" s="100">
        <v>62.804937730537702</v>
      </c>
      <c r="U21" s="90">
        <v>7.173366932405E-3</v>
      </c>
      <c r="Z21" s="87" t="s">
        <v>668</v>
      </c>
      <c r="AA21" s="99">
        <v>60.6</v>
      </c>
      <c r="AB21" s="100">
        <v>64.208753312499994</v>
      </c>
      <c r="AC21" s="100">
        <v>71.329402000000002</v>
      </c>
      <c r="AD21" s="100">
        <v>71.479401999999993</v>
      </c>
      <c r="AE21" s="100">
        <v>71.629401999999999</v>
      </c>
      <c r="AF21" s="100">
        <v>71.308869426327206</v>
      </c>
      <c r="AG21" s="90">
        <v>3.3080550654718897E-2</v>
      </c>
    </row>
    <row r="23" spans="2:36" ht="15" customHeight="1" x14ac:dyDescent="0.25">
      <c r="B23" s="87" t="s">
        <v>669</v>
      </c>
      <c r="C23" s="101">
        <f>Model!BV231</f>
        <v>16.84298935603185</v>
      </c>
      <c r="D23" s="102">
        <f>Model!CA231</f>
        <v>16.947353594558908</v>
      </c>
      <c r="E23" s="102">
        <f>Model!CB231</f>
        <v>18.36646742016833</v>
      </c>
      <c r="F23" s="102">
        <f>Model!CC231</f>
        <v>23.822570465964379</v>
      </c>
      <c r="G23" s="102">
        <f>Model!CD231</f>
        <v>29.223038838278942</v>
      </c>
      <c r="H23" s="102">
        <f>Model!CE231</f>
        <v>35.553909798837033</v>
      </c>
      <c r="I23" s="90">
        <f>IFERROR((H23/C23)^(1/5)-1,"n/m")</f>
        <v>0.16116420223583816</v>
      </c>
      <c r="N23" s="87" t="s">
        <v>669</v>
      </c>
      <c r="O23" s="101">
        <v>16.8429893560319</v>
      </c>
      <c r="P23" s="102">
        <v>17.820845832505501</v>
      </c>
      <c r="Q23" s="102">
        <v>22.1506869886326</v>
      </c>
      <c r="R23" s="102">
        <v>28.512452261515701</v>
      </c>
      <c r="S23" s="102">
        <v>35.350111025099302</v>
      </c>
      <c r="T23" s="102">
        <v>42.915489776853804</v>
      </c>
      <c r="U23" s="90">
        <v>0.20569921963620499</v>
      </c>
      <c r="Z23" s="87" t="s">
        <v>669</v>
      </c>
      <c r="AA23" s="101">
        <v>16.8429893560319</v>
      </c>
      <c r="AB23" s="102">
        <v>16.087238329170901</v>
      </c>
      <c r="AC23" s="102">
        <v>14.902654290462801</v>
      </c>
      <c r="AD23" s="102">
        <v>17.768782671923201</v>
      </c>
      <c r="AE23" s="102">
        <v>19.992508400038901</v>
      </c>
      <c r="AF23" s="102">
        <v>21.890639822581601</v>
      </c>
      <c r="AG23" s="90">
        <v>5.3823444753837699E-2</v>
      </c>
    </row>
    <row r="24" spans="2:36" ht="15" customHeight="1" x14ac:dyDescent="0.25">
      <c r="B24" s="91" t="s">
        <v>670</v>
      </c>
      <c r="C24" s="92"/>
      <c r="D24" s="93">
        <f>IFERROR(D23/C23-1,"")</f>
        <v>6.1963014000054883E-3</v>
      </c>
      <c r="E24" s="93">
        <f>IFERROR(E23/D23-1,"")</f>
        <v>8.3736603339948035E-2</v>
      </c>
      <c r="F24" s="93">
        <f>IFERROR(F23/E23-1,"")</f>
        <v>0.29706872426674003</v>
      </c>
      <c r="G24" s="93">
        <f>IFERROR(G23/F23-1,"")</f>
        <v>0.22669545169486582</v>
      </c>
      <c r="H24" s="93">
        <f>IFERROR(H23/G23-1,"")</f>
        <v>0.2166397203108581</v>
      </c>
      <c r="N24" s="91" t="s">
        <v>670</v>
      </c>
      <c r="O24" s="92"/>
      <c r="P24" s="93">
        <v>5.8057180694202098E-2</v>
      </c>
      <c r="Q24" s="93">
        <v>0.242964963437896</v>
      </c>
      <c r="R24" s="93">
        <v>0.28720397142300103</v>
      </c>
      <c r="S24" s="93">
        <v>0.23981307187711301</v>
      </c>
      <c r="T24" s="93">
        <v>0.21401287103123801</v>
      </c>
      <c r="Z24" s="91" t="s">
        <v>670</v>
      </c>
      <c r="AA24" s="92"/>
      <c r="AB24" s="93">
        <v>-4.4870361839316399E-2</v>
      </c>
      <c r="AC24" s="93">
        <v>-7.3635015188413394E-2</v>
      </c>
      <c r="AD24" s="93">
        <v>0.192323348955001</v>
      </c>
      <c r="AE24" s="93">
        <v>0.125147893875104</v>
      </c>
      <c r="AF24" s="93">
        <v>9.4942134551714505E-2</v>
      </c>
    </row>
    <row r="26" spans="2:36" ht="15" customHeight="1" x14ac:dyDescent="0.25">
      <c r="B26" s="91" t="s">
        <v>671</v>
      </c>
      <c r="C26" s="103"/>
      <c r="D26" s="103"/>
      <c r="E26" s="103"/>
      <c r="F26" s="103"/>
      <c r="G26" s="103">
        <v>23</v>
      </c>
      <c r="H26" s="103">
        <v>23</v>
      </c>
      <c r="N26" s="91" t="s">
        <v>671</v>
      </c>
      <c r="O26" s="103"/>
      <c r="P26" s="103"/>
      <c r="Q26" s="103"/>
      <c r="R26" s="103"/>
      <c r="S26" s="103">
        <v>27</v>
      </c>
      <c r="T26" s="103">
        <v>27</v>
      </c>
      <c r="Z26" s="91" t="s">
        <v>671</v>
      </c>
      <c r="AA26" s="103"/>
      <c r="AB26" s="103"/>
      <c r="AC26" s="103"/>
      <c r="AD26" s="103">
        <v>18</v>
      </c>
      <c r="AE26" s="103">
        <v>18</v>
      </c>
      <c r="AF26" s="103">
        <v>18</v>
      </c>
    </row>
    <row r="27" spans="2:36" ht="15" customHeight="1" x14ac:dyDescent="0.25">
      <c r="B27" s="11" t="s">
        <v>672</v>
      </c>
      <c r="C27" s="104"/>
      <c r="D27" s="104"/>
      <c r="E27" s="104"/>
      <c r="F27" s="104"/>
      <c r="G27" s="104">
        <f>G26*G23</f>
        <v>672.12989328041567</v>
      </c>
      <c r="H27" s="104">
        <f>H26*H23</f>
        <v>817.73992537325171</v>
      </c>
      <c r="N27" s="11" t="s">
        <v>672</v>
      </c>
      <c r="O27" s="104"/>
      <c r="P27" s="104"/>
      <c r="Q27" s="104"/>
      <c r="R27" s="104"/>
      <c r="S27" s="104">
        <f>S26*S23</f>
        <v>954.4529976776812</v>
      </c>
      <c r="T27" s="104">
        <f>T26*T23</f>
        <v>1158.7182239750528</v>
      </c>
      <c r="Z27" s="11" t="s">
        <v>672</v>
      </c>
      <c r="AA27" s="104"/>
      <c r="AB27" s="104"/>
      <c r="AC27" s="104"/>
      <c r="AD27" s="104">
        <f>AD26*AD23</f>
        <v>319.8380880946176</v>
      </c>
      <c r="AE27" s="104">
        <f>AE26*AE23</f>
        <v>359.86515120070021</v>
      </c>
      <c r="AF27" s="104">
        <f>AF26*AF23</f>
        <v>394.0315168064688</v>
      </c>
    </row>
    <row r="28" spans="2:36" ht="15" customHeight="1" x14ac:dyDescent="0.25">
      <c r="B28" t="s">
        <v>673</v>
      </c>
      <c r="E28" s="105"/>
      <c r="F28" s="105"/>
      <c r="G28" s="105">
        <f>IFERROR(G27/$K$2-1,"")</f>
        <v>0.38583483150601161</v>
      </c>
      <c r="H28" s="105">
        <f>IFERROR(H27/$K$2-1,"")</f>
        <v>0.68606170180051906</v>
      </c>
      <c r="N28" t="s">
        <v>673</v>
      </c>
      <c r="O28" s="105"/>
      <c r="P28" s="105"/>
      <c r="Q28" s="105"/>
      <c r="R28" s="105"/>
      <c r="S28" s="105">
        <f>IFERROR(S27/$K$2-1,"")</f>
        <v>0.96794432510862105</v>
      </c>
      <c r="T28" s="105">
        <f>IFERROR(T27/$K$2-1,"")</f>
        <v>1.3891097401547481</v>
      </c>
      <c r="Z28" t="s">
        <v>673</v>
      </c>
      <c r="AA28" s="105"/>
      <c r="AB28" s="105"/>
      <c r="AC28" s="105"/>
      <c r="AD28" s="105">
        <f>IFERROR(AD27/$K$2-1,"")</f>
        <v>-0.34054002454718024</v>
      </c>
      <c r="AE28" s="105">
        <f>IFERROR(AE27/$K$2-1,"")</f>
        <v>-0.25800999752432952</v>
      </c>
      <c r="AF28" s="105">
        <f>IFERROR(AF27/$K$2-1,"")</f>
        <v>-0.1875638828732602</v>
      </c>
    </row>
    <row r="29" spans="2:36" ht="15" customHeight="1" x14ac:dyDescent="0.25">
      <c r="B29" s="83" t="s">
        <v>674</v>
      </c>
      <c r="C29" s="106"/>
      <c r="D29" s="106"/>
      <c r="E29" s="106"/>
      <c r="F29" s="106"/>
      <c r="G29" s="106">
        <f ca="1">IFERROR((G27/$K$2)^(1/((DATE(2029-1,12,31)-$K$3)/365.25))-1,"")</f>
        <v>0.15664254792243715</v>
      </c>
      <c r="H29" s="106">
        <f ca="1">IFERROR((H27/$K$2)^(1/((DATE(2030-1,12,31)-$K$3)/365.25))-1,"")</f>
        <v>0.17486449910928337</v>
      </c>
      <c r="N29" s="83" t="s">
        <v>674</v>
      </c>
      <c r="O29" s="106"/>
      <c r="P29" s="106"/>
      <c r="Q29" s="106"/>
      <c r="R29" s="106"/>
      <c r="S29" s="106">
        <f ca="1">IFERROR((S27/$K$2)^(1/((DATE(2029-1,12,31)-$K$3)/365.25))-1,"")</f>
        <v>0.35244962081753028</v>
      </c>
      <c r="T29" s="106">
        <f ca="1">IFERROR((T27/$K$2)^(1/((DATE(2030-1,12,31)-$K$3)/365.25))-1,"")</f>
        <v>0.30822174651619427</v>
      </c>
      <c r="Z29" s="83" t="s">
        <v>674</v>
      </c>
      <c r="AA29" s="106"/>
      <c r="AB29" s="106"/>
      <c r="AC29" s="106"/>
      <c r="AD29" s="106">
        <f ca="1">IFERROR((AD27/$K$2)^(1/((DATE(2028-1,12,31)-$K$3)/365.25))-1,"")</f>
        <v>-0.2851528377090301</v>
      </c>
      <c r="AE29" s="106">
        <f ca="1">IFERROR((AE27/$K$2)^(1/((DATE(2029-1,12,31)-$K$3)/365.25))-1,"")</f>
        <v>-0.1246105066523826</v>
      </c>
      <c r="AF29" s="106">
        <f ca="1">IFERROR((AF27/$K$2)^(1/((DATE(2030-1,12,31)-$K$3)/365.25))-1,"")</f>
        <v>-6.2068672895682742E-2</v>
      </c>
    </row>
    <row r="31" spans="2:36" ht="15" customHeight="1" x14ac:dyDescent="0.25">
      <c r="B31" s="87" t="s">
        <v>675</v>
      </c>
      <c r="C31" s="88">
        <f>Model!BV280</f>
        <v>978</v>
      </c>
      <c r="D31" s="89">
        <f>Model!CA280</f>
        <v>937.96653558537423</v>
      </c>
      <c r="E31" s="89">
        <f>Model!CB280</f>
        <v>1521.8044069813864</v>
      </c>
      <c r="F31" s="89">
        <f>Model!CC280</f>
        <v>1905.3051602352898</v>
      </c>
      <c r="G31" s="89">
        <f>Model!CD280</f>
        <v>2232.9645785858525</v>
      </c>
      <c r="H31" s="89">
        <f>Model!CE280</f>
        <v>2549.5317946324994</v>
      </c>
      <c r="I31" s="90">
        <f>IFERROR((H31/C31)^(1/5)-1,"n/m")</f>
        <v>0.21122357570597217</v>
      </c>
      <c r="N31" s="87" t="s">
        <v>675</v>
      </c>
      <c r="O31" s="88">
        <v>978</v>
      </c>
      <c r="P31" s="89">
        <v>980.41438899021296</v>
      </c>
      <c r="Q31" s="89">
        <v>1889.32869025163</v>
      </c>
      <c r="R31" s="89">
        <v>2257.8323539120101</v>
      </c>
      <c r="S31" s="89">
        <v>2626.1708863504</v>
      </c>
      <c r="T31" s="89">
        <v>2954.2639188654898</v>
      </c>
      <c r="U31" s="90">
        <v>0.247446954615274</v>
      </c>
      <c r="Z31" s="87" t="s">
        <v>675</v>
      </c>
      <c r="AA31" s="88">
        <v>978</v>
      </c>
      <c r="AB31" s="89">
        <v>895.49296207690702</v>
      </c>
      <c r="AC31" s="89">
        <v>1452.21351186587</v>
      </c>
      <c r="AD31" s="89">
        <v>1682.6312264707699</v>
      </c>
      <c r="AE31" s="89">
        <v>1849.29338762066</v>
      </c>
      <c r="AF31" s="89">
        <v>1971.04956677729</v>
      </c>
      <c r="AG31" s="90">
        <v>0.15046056898416099</v>
      </c>
    </row>
    <row r="32" spans="2:36" ht="15" customHeight="1" x14ac:dyDescent="0.25">
      <c r="B32" s="91" t="s">
        <v>676</v>
      </c>
      <c r="C32" s="96">
        <f t="shared" ref="C32:H32" si="2">IFERROR(C31/C9,"")</f>
        <v>0.15902439024390244</v>
      </c>
      <c r="D32" s="97">
        <f t="shared" si="2"/>
        <v>0.11769513722552642</v>
      </c>
      <c r="E32" s="97">
        <f t="shared" si="2"/>
        <v>0.15502011391978618</v>
      </c>
      <c r="F32" s="97">
        <f t="shared" si="2"/>
        <v>0.17970355522084022</v>
      </c>
      <c r="G32" s="97">
        <f t="shared" si="2"/>
        <v>0.1942784696741332</v>
      </c>
      <c r="H32" s="97">
        <f t="shared" si="2"/>
        <v>0.20419496899243825</v>
      </c>
      <c r="J32" s="98">
        <f>IFERROR(AVERAGE(Model!C282,Model!D282,Model!E282,Model!F282,Model!G282,Model!H282,Model!I282,Model!N282,Model!S282,Model!X282,Model!AC282,Model!AH282,Model!AM282,Model!AR282,Model!AW282,Model!BB282,Model!BG282,Model!BL282,Model!BQ282,Model!BV282),"")</f>
        <v>8.4088728919858607E-2</v>
      </c>
      <c r="K32" s="98">
        <f>IFERROR(MIN(Model!C282,Model!D282,Model!E282,Model!F282,Model!G282,Model!H282,Model!I282,Model!N282,Model!S282,Model!X282,Model!AC282,Model!AH282,Model!AM282,Model!AR282,Model!AW282,Model!BB282,Model!BG282,Model!BL282,Model!BQ282,Model!BV282),"")</f>
        <v>3.2730239303843368E-2</v>
      </c>
      <c r="L32" s="98">
        <f>IFERROR(MAX(Model!C282,Model!D282,Model!E282,Model!F282,Model!G282,Model!H282,Model!I282,Model!N282,Model!S282,Model!X282,Model!AC282,Model!AH282,Model!AM282,Model!AR282,Model!AW282,Model!BB282,Model!BG282,Model!BL282,Model!BQ282,Model!BV282),"")</f>
        <v>0.15902439024390244</v>
      </c>
      <c r="N32" s="91" t="s">
        <v>676</v>
      </c>
      <c r="O32" s="96">
        <v>0.159024390243902</v>
      </c>
      <c r="P32" s="97">
        <v>0.121496921312157</v>
      </c>
      <c r="Q32" s="97">
        <v>0.182957625725055</v>
      </c>
      <c r="R32" s="97">
        <v>0.19343885573634401</v>
      </c>
      <c r="S32" s="97">
        <v>0.19909349660122999</v>
      </c>
      <c r="T32" s="97">
        <v>0.19843178798991501</v>
      </c>
      <c r="V32" s="98">
        <v>8.4088728919858594E-2</v>
      </c>
      <c r="W32" s="98">
        <v>3.2730239303843403E-2</v>
      </c>
      <c r="X32" s="98">
        <v>0.159024390243902</v>
      </c>
      <c r="Z32" s="91" t="s">
        <v>676</v>
      </c>
      <c r="AA32" s="96">
        <v>0.159024390243902</v>
      </c>
      <c r="AB32" s="97">
        <v>0.11379346355936</v>
      </c>
      <c r="AC32" s="97">
        <v>0.15447512017979301</v>
      </c>
      <c r="AD32" s="97">
        <v>0.17253509095074401</v>
      </c>
      <c r="AE32" s="97">
        <v>0.18334109198218199</v>
      </c>
      <c r="AF32" s="97">
        <v>0.18812134305071099</v>
      </c>
      <c r="AH32" s="98">
        <v>8.4088728919858594E-2</v>
      </c>
      <c r="AI32" s="98">
        <v>3.2730239303843403E-2</v>
      </c>
      <c r="AJ32" s="98">
        <v>0.159024390243902</v>
      </c>
    </row>
    <row r="33" spans="2:36" ht="15" customHeight="1" x14ac:dyDescent="0.25">
      <c r="B33" s="91" t="s">
        <v>677</v>
      </c>
      <c r="C33" s="107">
        <f t="shared" ref="C33:H33" si="3">IFERROR(C31/C21,"")</f>
        <v>16.138613861386137</v>
      </c>
      <c r="D33" s="108">
        <f t="shared" si="3"/>
        <v>14.608078917532469</v>
      </c>
      <c r="E33" s="108">
        <f t="shared" si="3"/>
        <v>21.334882451157888</v>
      </c>
      <c r="F33" s="108">
        <f t="shared" si="3"/>
        <v>26.655303582915952</v>
      </c>
      <c r="G33" s="108">
        <f t="shared" si="3"/>
        <v>31.799191983558554</v>
      </c>
      <c r="H33" s="108">
        <f t="shared" si="3"/>
        <v>38.141914984147881</v>
      </c>
      <c r="N33" s="91" t="s">
        <v>677</v>
      </c>
      <c r="O33" s="107">
        <v>16.138613861386101</v>
      </c>
      <c r="P33" s="108">
        <v>15.280640501014499</v>
      </c>
      <c r="Q33" s="108">
        <v>26.5591603012167</v>
      </c>
      <c r="R33" s="108">
        <v>32.178321340484999</v>
      </c>
      <c r="S33" s="108">
        <v>39.157672243733899</v>
      </c>
      <c r="T33" s="108">
        <v>47.038720610482102</v>
      </c>
      <c r="Z33" s="91" t="s">
        <v>677</v>
      </c>
      <c r="AA33" s="107">
        <v>16.138613861386101</v>
      </c>
      <c r="AB33" s="108">
        <v>13.9465869664</v>
      </c>
      <c r="AC33" s="108">
        <v>20.359255386241198</v>
      </c>
      <c r="AD33" s="108">
        <v>23.540085386707101</v>
      </c>
      <c r="AE33" s="108">
        <v>25.817518169712798</v>
      </c>
      <c r="AF33" s="108">
        <v>27.6410155235133</v>
      </c>
    </row>
    <row r="34" spans="2:36" ht="15" customHeight="1" x14ac:dyDescent="0.25">
      <c r="B34" s="91" t="s">
        <v>678</v>
      </c>
      <c r="E34" s="109"/>
      <c r="F34" s="109" t="str">
        <f>IFERROR(F33/F$27,"")</f>
        <v/>
      </c>
      <c r="G34" s="109">
        <f>IFERROR(G33/G$27,"")</f>
        <v>4.7311081238119827E-2</v>
      </c>
      <c r="H34" s="109">
        <f>IFERROR(H33/H$27,"")</f>
        <v>4.6643087613385474E-2</v>
      </c>
      <c r="N34" s="91" t="s">
        <v>678</v>
      </c>
      <c r="Q34" s="109"/>
      <c r="R34" s="109" t="str">
        <f>IFERROR(R33/R$27,"")</f>
        <v/>
      </c>
      <c r="S34" s="109">
        <f>IFERROR(S33/S$27,"")</f>
        <v>4.102629709269083E-2</v>
      </c>
      <c r="T34" s="109">
        <f>IFERROR(T33/T$27,"")</f>
        <v>4.059547838050992E-2</v>
      </c>
      <c r="Z34" s="91" t="s">
        <v>678</v>
      </c>
      <c r="AC34" s="109"/>
      <c r="AD34" s="109">
        <f>IFERROR(AD33/AD$27,"")</f>
        <v>7.360000657502444E-2</v>
      </c>
      <c r="AE34" s="109">
        <f>IFERROR(AE33/AE$27,"")</f>
        <v>7.1742201442879155E-2</v>
      </c>
      <c r="AF34" s="109">
        <f>IFERROR(AF33/AF$27,"")</f>
        <v>7.014925036336464E-2</v>
      </c>
    </row>
    <row r="35" spans="2:36" ht="15" customHeight="1" x14ac:dyDescent="0.25">
      <c r="B35" s="87" t="s">
        <v>679</v>
      </c>
      <c r="C35" s="88">
        <f>Model!BV221</f>
        <v>2065</v>
      </c>
      <c r="D35" s="89">
        <f>Model!CA221</f>
        <v>3197.2214312985925</v>
      </c>
      <c r="E35" s="89">
        <f>Model!CB221</f>
        <v>3595.1374518784769</v>
      </c>
      <c r="F35" s="89">
        <f>Model!CC221</f>
        <v>4123.9822192627798</v>
      </c>
      <c r="G35" s="89">
        <f>Model!CD221</f>
        <v>4627.8613086621071</v>
      </c>
      <c r="H35" s="89">
        <f>Model!CE221</f>
        <v>5170.0286847200787</v>
      </c>
      <c r="I35" s="90">
        <f>IFERROR((H35/C35)^(1/5)-1,"n/m")</f>
        <v>0.20147455956939231</v>
      </c>
      <c r="N35" s="87" t="s">
        <v>679</v>
      </c>
      <c r="O35" s="88">
        <v>2065</v>
      </c>
      <c r="P35" s="89">
        <v>3267.2214312985898</v>
      </c>
      <c r="Q35" s="89">
        <v>3991.8063579556401</v>
      </c>
      <c r="R35" s="89">
        <v>4627.5927919933802</v>
      </c>
      <c r="S35" s="89">
        <v>5283.3715568588104</v>
      </c>
      <c r="T35" s="89">
        <v>5966.54140120796</v>
      </c>
      <c r="U35" s="90">
        <v>0.23640433901868199</v>
      </c>
      <c r="Z35" s="87" t="s">
        <v>679</v>
      </c>
      <c r="AA35" s="88">
        <v>2065</v>
      </c>
      <c r="AB35" s="89">
        <v>3127.2214312985898</v>
      </c>
      <c r="AC35" s="89">
        <v>3238.4502151922802</v>
      </c>
      <c r="AD35" s="89">
        <v>3488.1157126763201</v>
      </c>
      <c r="AE35" s="89">
        <v>3682.4909979845402</v>
      </c>
      <c r="AF35" s="89">
        <v>3856.7327560604699</v>
      </c>
      <c r="AG35" s="90">
        <v>0.13307823683857301</v>
      </c>
    </row>
    <row r="36" spans="2:36" ht="15" customHeight="1" x14ac:dyDescent="0.25">
      <c r="B36" s="91" t="s">
        <v>680</v>
      </c>
      <c r="C36" s="96">
        <f t="shared" ref="C36:H36" si="4">IFERROR(C35/C9,"")</f>
        <v>0.33577235772357722</v>
      </c>
      <c r="D36" s="97">
        <f t="shared" si="4"/>
        <v>0.4011842649186188</v>
      </c>
      <c r="E36" s="97">
        <f t="shared" si="4"/>
        <v>0.36622223906748613</v>
      </c>
      <c r="F36" s="97">
        <f t="shared" si="4"/>
        <v>0.38896355394194865</v>
      </c>
      <c r="G36" s="97">
        <f t="shared" si="4"/>
        <v>0.40264580169937408</v>
      </c>
      <c r="H36" s="97">
        <f t="shared" si="4"/>
        <v>0.41407361508060936</v>
      </c>
      <c r="J36" s="98">
        <f>IFERROR(AVERAGE(Model!C245,Model!D245,Model!E245,Model!F245,Model!G245,Model!H245,Model!I245,Model!N245,Model!S245,Model!X245,Model!AC245,Model!AH245,Model!AM245,Model!AR245,Model!AW245,Model!BB245,Model!BG245,Model!BL245,Model!BQ245,Model!BV245),"")</f>
        <v>0.24703765760422072</v>
      </c>
      <c r="K36" s="98">
        <f>IFERROR(MIN(Model!C245,Model!D245,Model!E245,Model!F245,Model!G245,Model!H245,Model!I245,Model!N245,Model!S245,Model!X245,Model!AC245,Model!AH245,Model!AM245,Model!AR245,Model!AW245,Model!BB245,Model!BG245,Model!BL245,Model!BQ245,Model!BV245),"")</f>
        <v>0.16190616411464467</v>
      </c>
      <c r="L36" s="98">
        <f>IFERROR(MAX(Model!C245,Model!D245,Model!E245,Model!F245,Model!G245,Model!H245,Model!I245,Model!N245,Model!S245,Model!X245,Model!AC245,Model!AH245,Model!AM245,Model!AR245,Model!AW245,Model!BB245,Model!BG245,Model!BL245,Model!BQ245,Model!BV245),"")</f>
        <v>0.33577235772357722</v>
      </c>
      <c r="N36" s="91" t="s">
        <v>680</v>
      </c>
      <c r="O36" s="96">
        <v>0.335772357723577</v>
      </c>
      <c r="P36" s="97">
        <v>0.40488731051441101</v>
      </c>
      <c r="Q36" s="97">
        <v>0.386556038329399</v>
      </c>
      <c r="R36" s="97">
        <v>0.39646710392203</v>
      </c>
      <c r="S36" s="97">
        <v>0.400539402277935</v>
      </c>
      <c r="T36" s="97">
        <v>0.40076022686971502</v>
      </c>
      <c r="V36" s="98">
        <v>0.247037657604221</v>
      </c>
      <c r="W36" s="98">
        <v>0.16190616411464501</v>
      </c>
      <c r="X36" s="98">
        <v>0.335772357723577</v>
      </c>
      <c r="Z36" s="91" t="s">
        <v>680</v>
      </c>
      <c r="AA36" s="96">
        <v>0.335772357723577</v>
      </c>
      <c r="AB36" s="97">
        <v>0.39738710749796402</v>
      </c>
      <c r="AC36" s="97">
        <v>0.34448101611817999</v>
      </c>
      <c r="AD36" s="97">
        <v>0.357667415334743</v>
      </c>
      <c r="AE36" s="97">
        <v>0.36508642993295198</v>
      </c>
      <c r="AF36" s="97">
        <v>0.36809512966435898</v>
      </c>
      <c r="AH36" s="98">
        <v>0.247037657604221</v>
      </c>
      <c r="AI36" s="98">
        <v>0.16190616411464501</v>
      </c>
      <c r="AJ36" s="98">
        <v>0.335772357723577</v>
      </c>
    </row>
    <row r="38" spans="2:36" ht="15" customHeight="1" x14ac:dyDescent="0.25">
      <c r="B38" s="87" t="s">
        <v>681</v>
      </c>
      <c r="C38" s="88">
        <f>Model!BV428</f>
        <v>5256</v>
      </c>
      <c r="D38" s="89">
        <f>Model!CA428</f>
        <v>12240.587978462001</v>
      </c>
      <c r="E38" s="89">
        <f>Model!CB428</f>
        <v>11005.269948286974</v>
      </c>
      <c r="F38" s="89">
        <f>Model!CC428</f>
        <v>9902.4138890864269</v>
      </c>
      <c r="G38" s="89">
        <f>Model!CD428</f>
        <v>10412.687944489739</v>
      </c>
      <c r="H38" s="89">
        <f>Model!CE428</f>
        <v>11632.564540620177</v>
      </c>
      <c r="N38" s="87" t="s">
        <v>681</v>
      </c>
      <c r="O38" s="88">
        <v>5256</v>
      </c>
      <c r="P38" s="89">
        <v>12297.972108862799</v>
      </c>
      <c r="Q38" s="89">
        <v>11194.4343683884</v>
      </c>
      <c r="R38" s="89">
        <v>11568.9819799835</v>
      </c>
      <c r="S38" s="89">
        <v>13208.428892147</v>
      </c>
      <c r="T38" s="89">
        <v>14916.3535030199</v>
      </c>
      <c r="Z38" s="87" t="s">
        <v>681</v>
      </c>
      <c r="AA38" s="88">
        <v>5256</v>
      </c>
      <c r="AB38" s="89">
        <v>12283.061551970501</v>
      </c>
      <c r="AC38" s="89">
        <v>11117.334416911001</v>
      </c>
      <c r="AD38" s="89">
        <v>9737.1522914749403</v>
      </c>
      <c r="AE38" s="89">
        <v>8457.2629050683008</v>
      </c>
      <c r="AF38" s="89">
        <v>7713.4655121209398</v>
      </c>
    </row>
    <row r="39" spans="2:36" ht="15" customHeight="1" x14ac:dyDescent="0.25">
      <c r="B39" s="91" t="s">
        <v>682</v>
      </c>
      <c r="C39" s="110">
        <f t="shared" ref="C39:H39" si="5">IFERROR(C38/C35,"")</f>
        <v>2.5452784503631962</v>
      </c>
      <c r="D39" s="111">
        <f t="shared" si="5"/>
        <v>3.8285080472172144</v>
      </c>
      <c r="E39" s="111">
        <f t="shared" si="5"/>
        <v>3.0611541549090608</v>
      </c>
      <c r="F39" s="111">
        <f t="shared" si="5"/>
        <v>2.4011776391355597</v>
      </c>
      <c r="G39" s="111">
        <f t="shared" si="5"/>
        <v>2.2499999999999996</v>
      </c>
      <c r="H39" s="111">
        <f t="shared" si="5"/>
        <v>2.25</v>
      </c>
      <c r="N39" s="91" t="s">
        <v>682</v>
      </c>
      <c r="O39" s="110">
        <v>2.5452784503632002</v>
      </c>
      <c r="P39" s="111">
        <v>3.7640461069009499</v>
      </c>
      <c r="Q39" s="111">
        <v>2.8043530583787</v>
      </c>
      <c r="R39" s="111">
        <v>2.5</v>
      </c>
      <c r="S39" s="111">
        <v>2.5</v>
      </c>
      <c r="T39" s="111">
        <v>2.5</v>
      </c>
      <c r="Z39" s="91" t="s">
        <v>682</v>
      </c>
      <c r="AA39" s="110">
        <v>2.5452784503632002</v>
      </c>
      <c r="AB39" s="111">
        <v>3.92778759733361</v>
      </c>
      <c r="AC39" s="111">
        <v>3.4329181176715702</v>
      </c>
      <c r="AD39" s="111">
        <v>2.7915221550961502</v>
      </c>
      <c r="AE39" s="111">
        <v>2.2966146854661802</v>
      </c>
      <c r="AF39" s="111">
        <v>2</v>
      </c>
    </row>
    <row r="41" spans="2:36" ht="15" customHeight="1" x14ac:dyDescent="0.25">
      <c r="B41" s="87" t="s">
        <v>683</v>
      </c>
      <c r="C41" s="94">
        <f>Model!BV411</f>
        <v>7.8373842524675205E-2</v>
      </c>
      <c r="D41" s="95">
        <f>Model!CA411</f>
        <v>4.4428422505675975E-2</v>
      </c>
      <c r="E41" s="95">
        <f>Model!CB411</f>
        <v>5.8019717855386788E-2</v>
      </c>
      <c r="F41" s="95">
        <f>Model!CC411</f>
        <v>6.8677986789391188E-2</v>
      </c>
      <c r="G41" s="95">
        <f>Model!CD411</f>
        <v>7.7439866465509793E-2</v>
      </c>
      <c r="H41" s="95">
        <f>Model!CE411</f>
        <v>8.6465218052788381E-2</v>
      </c>
      <c r="J41" s="98">
        <f>IFERROR(AVERAGE(Model!C411,Model!D411,Model!E411,Model!F411,Model!G411,Model!H411,Model!I411,Model!N411,Model!S411,Model!X411,Model!AC411,Model!AH411,Model!AM411,Model!AR411,Model!AW411,Model!BB411,Model!BG411,Model!BL411,Model!BQ411,Model!BV411),"")</f>
        <v>8.4286369931620891E-2</v>
      </c>
      <c r="K41" s="98">
        <f>IFERROR(MIN(Model!C411,Model!D411,Model!E411,Model!F411,Model!G411,Model!H411,Model!I411,Model!N411,Model!S411,Model!X411,Model!AC411,Model!AH411,Model!AM411,Model!AR411,Model!AW411,Model!BB411,Model!BG411,Model!BL411,Model!BQ411,Model!BV411),"")</f>
        <v>3.3617149985296635E-2</v>
      </c>
      <c r="L41" s="98">
        <f>IFERROR(MAX(Model!C411,Model!D411,Model!E411,Model!F411,Model!G411,Model!H411,Model!I411,Model!N411,Model!S411,Model!X411,Model!AC411,Model!AH411,Model!AM411,Model!AR411,Model!AW411,Model!BB411,Model!BG411,Model!BL411,Model!BQ411,Model!BV411),"")</f>
        <v>0.14888391629115655</v>
      </c>
      <c r="N41" s="87" t="s">
        <v>683</v>
      </c>
      <c r="O41" s="94">
        <v>7.8373842524675205E-2</v>
      </c>
      <c r="P41" s="95">
        <v>4.6221186768723499E-2</v>
      </c>
      <c r="Q41" s="95">
        <v>6.5919196239011504E-2</v>
      </c>
      <c r="R41" s="95">
        <v>7.6428956744356402E-2</v>
      </c>
      <c r="S41" s="95">
        <v>8.5709903973291299E-2</v>
      </c>
      <c r="T41" s="95">
        <v>9.45574474611834E-2</v>
      </c>
      <c r="V41" s="98">
        <v>8.4286369931620905E-2</v>
      </c>
      <c r="W41" s="98">
        <v>3.36171499852966E-2</v>
      </c>
      <c r="X41" s="98">
        <v>0.14888391629115699</v>
      </c>
      <c r="Z41" s="87" t="s">
        <v>683</v>
      </c>
      <c r="AA41" s="94">
        <v>7.8373842524675205E-2</v>
      </c>
      <c r="AB41" s="95">
        <v>4.2632746994451597E-2</v>
      </c>
      <c r="AC41" s="95">
        <v>5.0279489682873997E-2</v>
      </c>
      <c r="AD41" s="95">
        <v>5.64419009793325E-2</v>
      </c>
      <c r="AE41" s="95">
        <v>6.0805271060016E-2</v>
      </c>
      <c r="AF41" s="95">
        <v>6.4473684135162801E-2</v>
      </c>
      <c r="AH41" s="98">
        <v>8.4286369931620905E-2</v>
      </c>
      <c r="AI41" s="98">
        <v>3.36171499852966E-2</v>
      </c>
      <c r="AJ41" s="98">
        <v>0.14888391629115699</v>
      </c>
    </row>
    <row r="42" spans="2:36" ht="15" customHeight="1" x14ac:dyDescent="0.25">
      <c r="B42" s="87" t="s">
        <v>684</v>
      </c>
      <c r="C42" s="94">
        <f>Model!BV422</f>
        <v>8.7006175285143678E-2</v>
      </c>
      <c r="D42" s="95">
        <f>Model!CA422</f>
        <v>6.9373529249766919E-2</v>
      </c>
      <c r="E42" s="95">
        <f>Model!CB422</f>
        <v>8.9485805755898776E-2</v>
      </c>
      <c r="F42" s="95">
        <f>Model!CC422</f>
        <v>0.10108412557083263</v>
      </c>
      <c r="G42" s="95">
        <f>Model!CD422</f>
        <v>0.11580110514765332</v>
      </c>
      <c r="H42" s="95">
        <f>Model!CE422</f>
        <v>0.12960047568986927</v>
      </c>
      <c r="J42" s="98">
        <f>IFERROR(AVERAGE(Model!C422,Model!D422,Model!E422,Model!F422,Model!G422,Model!H422,Model!I422,Model!N422,Model!S422,Model!X422,Model!AC422,Model!AH422,Model!AM422,Model!AR422,Model!AW422,Model!BB422,Model!BG422,Model!BL422,Model!BQ422,Model!BV422),"")</f>
        <v>9.4662287779047824E-2</v>
      </c>
      <c r="K42" s="98">
        <f>IFERROR(MIN(Model!C422,Model!D422,Model!E422,Model!F422,Model!G422,Model!H422,Model!I422,Model!N422,Model!S422,Model!X422,Model!AC422,Model!AH422,Model!AM422,Model!AR422,Model!AW422,Model!BB422,Model!BG422,Model!BL422,Model!BQ422,Model!BV422),"")</f>
        <v>3.9851224458555365E-2</v>
      </c>
      <c r="L42" s="98">
        <f>IFERROR(MAX(Model!C422,Model!D422,Model!E422,Model!F422,Model!G422,Model!H422,Model!I422,Model!N422,Model!S422,Model!X422,Model!AC422,Model!AH422,Model!AM422,Model!AR422,Model!AW422,Model!BB422,Model!BG422,Model!BL422,Model!BQ422,Model!BV422),"")</f>
        <v>0.16330395128793587</v>
      </c>
      <c r="N42" s="87" t="s">
        <v>684</v>
      </c>
      <c r="O42" s="94">
        <v>8.7006175285143705E-2</v>
      </c>
      <c r="P42" s="95">
        <v>7.2154325163212907E-2</v>
      </c>
      <c r="Q42" s="95">
        <v>0.102063005664314</v>
      </c>
      <c r="R42" s="95">
        <v>0.11749610065836701</v>
      </c>
      <c r="S42" s="95">
        <v>0.13097034373014099</v>
      </c>
      <c r="T42" s="95">
        <v>0.14360783571365501</v>
      </c>
      <c r="V42" s="98">
        <v>9.4662287779047796E-2</v>
      </c>
      <c r="W42" s="98">
        <v>3.98512244585554E-2</v>
      </c>
      <c r="X42" s="98">
        <v>0.16330395128793601</v>
      </c>
      <c r="Z42" s="87" t="s">
        <v>684</v>
      </c>
      <c r="AA42" s="94">
        <v>8.7006175285143705E-2</v>
      </c>
      <c r="AB42" s="95">
        <v>6.6586740639583905E-2</v>
      </c>
      <c r="AC42" s="95">
        <v>7.7818990494522997E-2</v>
      </c>
      <c r="AD42" s="95">
        <v>8.2680599817084796E-2</v>
      </c>
      <c r="AE42" s="95">
        <v>8.32007253446687E-2</v>
      </c>
      <c r="AF42" s="95">
        <v>8.4675586138370895E-2</v>
      </c>
      <c r="AH42" s="98">
        <v>9.4662287779047796E-2</v>
      </c>
      <c r="AI42" s="98">
        <v>3.98512244585554E-2</v>
      </c>
      <c r="AJ42" s="98">
        <v>0.16330395128793601</v>
      </c>
    </row>
    <row r="44" spans="2:36" ht="15" customHeight="1" x14ac:dyDescent="0.25">
      <c r="B44" s="91" t="s">
        <v>685</v>
      </c>
      <c r="E44" s="112"/>
      <c r="F44" s="112">
        <f>F27*F21</f>
        <v>0</v>
      </c>
      <c r="G44" s="112">
        <f>G27*G21</f>
        <v>47197.496234490878</v>
      </c>
      <c r="H44" s="112">
        <f>H27*H21</f>
        <v>54660.442202390637</v>
      </c>
      <c r="N44" s="91" t="s">
        <v>685</v>
      </c>
      <c r="Q44" s="112"/>
      <c r="R44" s="112">
        <f>R27*R21</f>
        <v>0</v>
      </c>
      <c r="S44" s="112">
        <f>S27*S21</f>
        <v>64011.891700025524</v>
      </c>
      <c r="T44" s="112">
        <f>T27*T21</f>
        <v>72773.225903992425</v>
      </c>
      <c r="Z44" s="91" t="s">
        <v>685</v>
      </c>
      <c r="AC44" s="112"/>
      <c r="AD44" s="112">
        <f>AD27*AD21</f>
        <v>22861.835273826582</v>
      </c>
      <c r="AE44" s="112">
        <f>AE27*AE21</f>
        <v>25776.925581145737</v>
      </c>
      <c r="AF44" s="112">
        <f>AF27*AF21</f>
        <v>28097.941981810138</v>
      </c>
    </row>
    <row r="45" spans="2:36" ht="15" customHeight="1" x14ac:dyDescent="0.25">
      <c r="B45" s="91" t="s">
        <v>686</v>
      </c>
      <c r="E45" s="112"/>
      <c r="F45" s="112">
        <f>F38+Model!CC331</f>
        <v>9904.4138890864269</v>
      </c>
      <c r="G45" s="112">
        <f>G38+Model!CD331</f>
        <v>10414.687944489739</v>
      </c>
      <c r="H45" s="112">
        <f>H38+Model!CE331</f>
        <v>11634.564540620177</v>
      </c>
      <c r="N45" s="91" t="s">
        <v>686</v>
      </c>
      <c r="Q45" s="112"/>
      <c r="R45" s="112">
        <f>R38+Model!CC331</f>
        <v>11570.9819799835</v>
      </c>
      <c r="S45" s="112">
        <f>S38+Model!CD331</f>
        <v>13210.428892147</v>
      </c>
      <c r="T45" s="112">
        <f>T38+Model!CE331</f>
        <v>14918.3535030199</v>
      </c>
      <c r="Z45" s="91" t="s">
        <v>686</v>
      </c>
      <c r="AC45" s="112"/>
      <c r="AD45" s="112">
        <f>AD38+Model!CC331</f>
        <v>9739.1522914749403</v>
      </c>
      <c r="AE45" s="112">
        <f>AE38+Model!CD331</f>
        <v>8459.2629050683008</v>
      </c>
      <c r="AF45" s="112">
        <f>AF38+Model!CE331</f>
        <v>7715.4655121209398</v>
      </c>
    </row>
    <row r="46" spans="2:36" ht="15" customHeight="1" x14ac:dyDescent="0.25">
      <c r="B46" s="91" t="s">
        <v>687</v>
      </c>
      <c r="E46" s="112"/>
      <c r="F46" s="112">
        <f>F44+F45</f>
        <v>9904.4138890864269</v>
      </c>
      <c r="G46" s="112">
        <f>G44+G45</f>
        <v>57612.18417898062</v>
      </c>
      <c r="H46" s="112">
        <f>H44+H45</f>
        <v>66295.006743010817</v>
      </c>
      <c r="N46" s="91" t="s">
        <v>687</v>
      </c>
      <c r="Q46" s="112"/>
      <c r="R46" s="112">
        <f>R44+R45</f>
        <v>11570.9819799835</v>
      </c>
      <c r="S46" s="112">
        <f>S44+S45</f>
        <v>77222.320592172531</v>
      </c>
      <c r="T46" s="112">
        <f>T44+T45</f>
        <v>87691.579407012323</v>
      </c>
      <c r="Z46" s="91" t="s">
        <v>687</v>
      </c>
      <c r="AC46" s="112"/>
      <c r="AD46" s="112">
        <f>AD44+AD45</f>
        <v>32600.987565301522</v>
      </c>
      <c r="AE46" s="112">
        <f>AE44+AE45</f>
        <v>34236.188486214036</v>
      </c>
      <c r="AF46" s="112">
        <f>AF44+AF45</f>
        <v>35813.407493931081</v>
      </c>
    </row>
    <row r="47" spans="2:36" ht="15" customHeight="1" x14ac:dyDescent="0.25">
      <c r="B47" s="91" t="s">
        <v>688</v>
      </c>
      <c r="E47" s="113"/>
      <c r="F47" s="113">
        <f>IFERROR(F46/F35,"")</f>
        <v>2.4016626072788889</v>
      </c>
      <c r="G47" s="113">
        <f>IFERROR(G46/G35,"")</f>
        <v>12.44898676439291</v>
      </c>
      <c r="H47" s="113">
        <f>IFERROR(H46/H35,"")</f>
        <v>12.8229475667987</v>
      </c>
      <c r="N47" s="91" t="s">
        <v>688</v>
      </c>
      <c r="Q47" s="113"/>
      <c r="R47" s="113">
        <f>IFERROR(R46/R35,"")</f>
        <v>2.5004321901450601</v>
      </c>
      <c r="S47" s="113">
        <f>IFERROR(S46/S35,"")</f>
        <v>14.616106355784012</v>
      </c>
      <c r="T47" s="113">
        <f>IFERROR(T46/T35,"")</f>
        <v>14.697221306343181</v>
      </c>
      <c r="Z47" s="91" t="s">
        <v>688</v>
      </c>
      <c r="AC47" s="113"/>
      <c r="AD47" s="113">
        <f>IFERROR(AD46/AD35,"")</f>
        <v>9.3463033484883518</v>
      </c>
      <c r="AE47" s="113">
        <f>IFERROR(AE46/AE35,"")</f>
        <v>9.2970189214180845</v>
      </c>
      <c r="AF47" s="113">
        <f>IFERROR(AF46/AF35,"")</f>
        <v>9.2859448033193104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Q118"/>
  <sheetViews>
    <sheetView topLeftCell="A21" zoomScale="60" zoomScaleNormal="60" workbookViewId="0">
      <selection activeCell="C59" sqref="C59"/>
    </sheetView>
  </sheetViews>
  <sheetFormatPr defaultColWidth="8.5703125" defaultRowHeight="15" x14ac:dyDescent="0.25"/>
  <cols>
    <col min="1" max="1" width="10.5703125" customWidth="1"/>
    <col min="2" max="2" width="50" customWidth="1"/>
    <col min="3" max="14" width="12.5703125" customWidth="1"/>
    <col min="16" max="17" width="13.28515625" customWidth="1"/>
  </cols>
  <sheetData>
    <row r="2" spans="2:17" ht="17.25" customHeight="1" x14ac:dyDescent="0.3">
      <c r="B2" s="117" t="s">
        <v>689</v>
      </c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</row>
    <row r="3" spans="2:17" x14ac:dyDescent="0.25"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</row>
    <row r="4" spans="2:17" ht="15" customHeight="1" x14ac:dyDescent="0.25">
      <c r="B4" s="139" t="s">
        <v>690</v>
      </c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8"/>
      <c r="Q4" s="118"/>
    </row>
    <row r="5" spans="2:17" ht="15" customHeight="1" x14ac:dyDescent="0.25">
      <c r="B5" s="140" t="s">
        <v>691</v>
      </c>
      <c r="C5" s="141">
        <v>5.5E-2</v>
      </c>
      <c r="D5" s="142" t="s">
        <v>692</v>
      </c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18"/>
      <c r="Q5" s="118"/>
    </row>
    <row r="6" spans="2:17" ht="15" customHeight="1" x14ac:dyDescent="0.25">
      <c r="B6" s="140" t="s">
        <v>693</v>
      </c>
      <c r="C6" s="141">
        <v>0.05</v>
      </c>
      <c r="D6" s="142" t="s">
        <v>694</v>
      </c>
      <c r="E6" s="118"/>
      <c r="F6" s="118"/>
      <c r="G6" s="118"/>
      <c r="H6" s="118"/>
      <c r="I6" s="118"/>
      <c r="J6" s="118"/>
      <c r="K6" s="118"/>
      <c r="L6" s="118"/>
      <c r="M6" s="118"/>
      <c r="N6" s="118"/>
      <c r="O6" s="118"/>
      <c r="P6" s="118"/>
      <c r="Q6" s="118"/>
    </row>
    <row r="7" spans="2:17" ht="15" customHeight="1" x14ac:dyDescent="0.25">
      <c r="B7" s="140" t="s">
        <v>695</v>
      </c>
      <c r="C7" s="143">
        <v>1</v>
      </c>
      <c r="D7" s="142" t="s">
        <v>696</v>
      </c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</row>
    <row r="8" spans="2:17" ht="15" customHeight="1" x14ac:dyDescent="0.25">
      <c r="B8" s="140" t="s">
        <v>697</v>
      </c>
      <c r="C8" s="144">
        <f>C5+C7*C6</f>
        <v>0.10500000000000001</v>
      </c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18"/>
      <c r="P8" s="118"/>
      <c r="Q8" s="118"/>
    </row>
    <row r="9" spans="2:17" ht="15" customHeight="1" x14ac:dyDescent="0.25">
      <c r="B9" s="140" t="s">
        <v>698</v>
      </c>
      <c r="C9" s="141">
        <v>5.5E-2</v>
      </c>
      <c r="D9" s="142" t="s">
        <v>699</v>
      </c>
      <c r="E9" s="118"/>
      <c r="F9" s="118"/>
      <c r="G9" s="118"/>
      <c r="H9" s="118"/>
      <c r="I9" s="118"/>
      <c r="J9" s="118"/>
      <c r="K9" s="118"/>
      <c r="L9" s="118"/>
      <c r="M9" s="118"/>
      <c r="N9" s="118"/>
      <c r="O9" s="118"/>
      <c r="P9" s="118"/>
      <c r="Q9" s="118"/>
    </row>
    <row r="10" spans="2:17" ht="15" customHeight="1" x14ac:dyDescent="0.25">
      <c r="B10" s="140" t="s">
        <v>700</v>
      </c>
      <c r="C10" s="141">
        <v>0.22</v>
      </c>
      <c r="D10" s="142" t="s">
        <v>701</v>
      </c>
      <c r="E10" s="118"/>
      <c r="F10" s="118"/>
      <c r="G10" s="118"/>
      <c r="H10" s="118"/>
      <c r="I10" s="118"/>
      <c r="J10" s="118"/>
      <c r="K10" s="118"/>
      <c r="L10" s="118"/>
      <c r="M10" s="118"/>
      <c r="N10" s="118"/>
      <c r="O10" s="118"/>
      <c r="P10" s="118"/>
      <c r="Q10" s="118"/>
    </row>
    <row r="11" spans="2:17" ht="15" customHeight="1" x14ac:dyDescent="0.25">
      <c r="B11" s="140" t="s">
        <v>702</v>
      </c>
      <c r="C11" s="144">
        <f>C9*(1-C10)</f>
        <v>4.2900000000000001E-2</v>
      </c>
      <c r="D11" s="118"/>
      <c r="E11" s="118"/>
      <c r="F11" s="118"/>
      <c r="G11" s="118"/>
      <c r="H11" s="118"/>
      <c r="I11" s="118"/>
      <c r="J11" s="118"/>
      <c r="K11" s="118"/>
      <c r="L11" s="118"/>
      <c r="M11" s="118"/>
      <c r="N11" s="118"/>
      <c r="O11" s="118"/>
      <c r="P11" s="118"/>
      <c r="Q11" s="118"/>
    </row>
    <row r="12" spans="2:17" ht="15" customHeight="1" x14ac:dyDescent="0.25">
      <c r="B12" s="140" t="s">
        <v>703</v>
      </c>
      <c r="C12" s="141">
        <v>0.25</v>
      </c>
      <c r="D12" s="142" t="s">
        <v>704</v>
      </c>
      <c r="E12" s="118"/>
      <c r="F12" s="118"/>
      <c r="G12" s="118"/>
      <c r="H12" s="118"/>
      <c r="I12" s="118"/>
      <c r="J12" s="118"/>
      <c r="K12" s="118"/>
      <c r="L12" s="118"/>
      <c r="M12" s="118"/>
      <c r="N12" s="118"/>
      <c r="O12" s="118"/>
      <c r="P12" s="118"/>
      <c r="Q12" s="118"/>
    </row>
    <row r="13" spans="2:17" ht="15" customHeight="1" x14ac:dyDescent="0.25">
      <c r="B13" s="145" t="s">
        <v>705</v>
      </c>
      <c r="C13" s="146">
        <f>C8*(1-C12)+C11*C12</f>
        <v>8.9475000000000013E-2</v>
      </c>
      <c r="D13" s="118"/>
      <c r="E13" s="118"/>
      <c r="F13" s="118"/>
      <c r="G13" s="118"/>
      <c r="H13" s="118"/>
      <c r="I13" s="118"/>
      <c r="J13" s="118"/>
      <c r="K13" s="118"/>
      <c r="L13" s="118"/>
      <c r="M13" s="118"/>
      <c r="N13" s="118"/>
      <c r="O13" s="118"/>
      <c r="P13" s="118"/>
      <c r="Q13" s="118"/>
    </row>
    <row r="14" spans="2:17" x14ac:dyDescent="0.25">
      <c r="B14" s="118"/>
      <c r="C14" s="118"/>
      <c r="D14" s="118"/>
      <c r="E14" s="118"/>
      <c r="F14" s="118"/>
      <c r="G14" s="118"/>
      <c r="H14" s="118"/>
      <c r="I14" s="118"/>
      <c r="J14" s="118"/>
      <c r="K14" s="118"/>
      <c r="L14" s="118"/>
      <c r="M14" s="118"/>
      <c r="N14" s="118"/>
      <c r="O14" s="118"/>
      <c r="P14" s="118"/>
      <c r="Q14" s="118"/>
    </row>
    <row r="15" spans="2:17" ht="15" customHeight="1" x14ac:dyDescent="0.25">
      <c r="B15" s="118" t="s">
        <v>706</v>
      </c>
      <c r="C15" s="119">
        <f ca="1">TODAY()</f>
        <v>46299</v>
      </c>
      <c r="D15" s="142" t="s">
        <v>707</v>
      </c>
      <c r="E15" s="118"/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8"/>
    </row>
    <row r="16" spans="2:17" ht="15" customHeight="1" x14ac:dyDescent="0.25">
      <c r="B16" s="139" t="s">
        <v>708</v>
      </c>
      <c r="C16" s="118"/>
      <c r="D16" s="118"/>
      <c r="E16" s="118"/>
      <c r="F16" s="118"/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 s="118"/>
    </row>
    <row r="17" spans="2:17" ht="15" customHeight="1" x14ac:dyDescent="0.25">
      <c r="B17" s="118"/>
      <c r="C17" s="118"/>
      <c r="D17" s="138" t="s">
        <v>64</v>
      </c>
      <c r="E17" s="138" t="s">
        <v>65</v>
      </c>
      <c r="F17" s="138" t="s">
        <v>66</v>
      </c>
      <c r="G17" s="138" t="s">
        <v>67</v>
      </c>
      <c r="H17" s="138" t="s">
        <v>68</v>
      </c>
      <c r="I17" s="138" t="s">
        <v>709</v>
      </c>
      <c r="J17" s="138" t="s">
        <v>710</v>
      </c>
      <c r="K17" s="138" t="s">
        <v>711</v>
      </c>
      <c r="L17" s="138" t="s">
        <v>712</v>
      </c>
      <c r="M17" s="138" t="s">
        <v>713</v>
      </c>
      <c r="N17" s="138" t="s">
        <v>714</v>
      </c>
      <c r="O17" s="118"/>
      <c r="P17" s="138" t="s">
        <v>715</v>
      </c>
      <c r="Q17" s="138" t="s">
        <v>716</v>
      </c>
    </row>
    <row r="18" spans="2:17" ht="15" customHeight="1" x14ac:dyDescent="0.25">
      <c r="B18" s="118" t="s">
        <v>717</v>
      </c>
      <c r="C18" s="118"/>
      <c r="D18" s="147">
        <f>Model!CA219</f>
        <v>1742.3104000806741</v>
      </c>
      <c r="E18" s="147">
        <f>Model!CB219</f>
        <v>2264.5369296065483</v>
      </c>
      <c r="F18" s="147">
        <f>Model!CC219</f>
        <v>2712.5870294784449</v>
      </c>
      <c r="G18" s="147">
        <f>Model!CD219</f>
        <v>3122.381254715563</v>
      </c>
      <c r="H18" s="147">
        <f>Model!CE219</f>
        <v>3559.0822349005034</v>
      </c>
      <c r="I18" s="120">
        <f>H18*(1+I$31)</f>
        <v>3772.6271689945338</v>
      </c>
      <c r="J18" s="120">
        <f>I18*(1+J$31)</f>
        <v>3989.5532312117198</v>
      </c>
      <c r="K18" s="120">
        <f>J18*(1+K$31)</f>
        <v>4208.978658928364</v>
      </c>
      <c r="L18" s="120">
        <f>K18*(1+L$31)</f>
        <v>4429.9500385221027</v>
      </c>
      <c r="M18" s="120">
        <f>L18*(1+M$31)</f>
        <v>4651.4475404482082</v>
      </c>
      <c r="N18" s="118"/>
      <c r="O18" s="118"/>
      <c r="P18" s="121">
        <f>IFERROR(($H18/$D18)^(1/(VALUE(LEFT($H$17,4))-VALUE(LEFT($D$17,4))))-1,"n/m")</f>
        <v>0.19550975298297124</v>
      </c>
      <c r="Q18" s="121">
        <f>IFERROR(($M18/$D18)^(1/(VALUE(LEFT($M$17,4))-VALUE(LEFT($D$17,4))))-1,"n/m")</f>
        <v>0.11528210309987252</v>
      </c>
    </row>
    <row r="19" spans="2:17" ht="15" customHeight="1" x14ac:dyDescent="0.25">
      <c r="B19" s="122" t="s">
        <v>718</v>
      </c>
      <c r="C19" s="122"/>
      <c r="D19" s="123"/>
      <c r="E19" s="123">
        <f t="shared" ref="E19:M19" si="0">IFERROR(E18/D18-1,"")</f>
        <v>0.29973220013017987</v>
      </c>
      <c r="F19" s="123">
        <f t="shared" si="0"/>
        <v>0.19785506432422939</v>
      </c>
      <c r="G19" s="123">
        <f t="shared" si="0"/>
        <v>0.15107136500461338</v>
      </c>
      <c r="H19" s="123">
        <f t="shared" si="0"/>
        <v>0.13986151739971353</v>
      </c>
      <c r="I19" s="123">
        <f t="shared" si="0"/>
        <v>6.0000000000000053E-2</v>
      </c>
      <c r="J19" s="123">
        <f t="shared" si="0"/>
        <v>5.7500000000000107E-2</v>
      </c>
      <c r="K19" s="123">
        <f t="shared" si="0"/>
        <v>5.4999999999999938E-2</v>
      </c>
      <c r="L19" s="123">
        <f t="shared" si="0"/>
        <v>5.2499999999999991E-2</v>
      </c>
      <c r="M19" s="123">
        <f t="shared" si="0"/>
        <v>5.0000000000000044E-2</v>
      </c>
      <c r="N19" s="123"/>
      <c r="O19" s="118"/>
      <c r="P19" s="118"/>
      <c r="Q19" s="118"/>
    </row>
    <row r="20" spans="2:17" ht="15" customHeight="1" x14ac:dyDescent="0.25">
      <c r="B20" s="118" t="s">
        <v>719</v>
      </c>
      <c r="C20" s="118"/>
      <c r="D20" s="147">
        <f>-Model!CA164</f>
        <v>-106</v>
      </c>
      <c r="E20" s="147">
        <f>-Model!CB164</f>
        <v>-25</v>
      </c>
      <c r="F20" s="147">
        <f>-Model!CC164</f>
        <v>-10</v>
      </c>
      <c r="G20" s="147">
        <f>-Model!CD164</f>
        <v>-10</v>
      </c>
      <c r="H20" s="147">
        <f>-Model!CE164</f>
        <v>-10</v>
      </c>
      <c r="I20" s="120">
        <f>H20*(1+I$31)</f>
        <v>-10.600000000000001</v>
      </c>
      <c r="J20" s="120">
        <f>I20*(1+J$31)</f>
        <v>-11.209500000000002</v>
      </c>
      <c r="K20" s="120">
        <f>J20*(1+K$31)</f>
        <v>-11.826022500000001</v>
      </c>
      <c r="L20" s="120">
        <f>K20*(1+L$31)</f>
        <v>-12.44688868125</v>
      </c>
      <c r="M20" s="120">
        <f>L20*(1+M$31)</f>
        <v>-13.0692331153125</v>
      </c>
      <c r="N20" s="118"/>
      <c r="O20" s="118"/>
      <c r="P20" s="118"/>
      <c r="Q20" s="118"/>
    </row>
    <row r="21" spans="2:17" ht="15" customHeight="1" x14ac:dyDescent="0.25">
      <c r="B21" s="118" t="s">
        <v>720</v>
      </c>
      <c r="C21" s="118"/>
      <c r="D21" s="124">
        <f t="shared" ref="D21:M21" si="1">1-$C$10</f>
        <v>0.78</v>
      </c>
      <c r="E21" s="124">
        <f t="shared" si="1"/>
        <v>0.78</v>
      </c>
      <c r="F21" s="124">
        <f t="shared" si="1"/>
        <v>0.78</v>
      </c>
      <c r="G21" s="124">
        <f t="shared" si="1"/>
        <v>0.78</v>
      </c>
      <c r="H21" s="124">
        <f t="shared" si="1"/>
        <v>0.78</v>
      </c>
      <c r="I21" s="124">
        <f t="shared" si="1"/>
        <v>0.78</v>
      </c>
      <c r="J21" s="124">
        <f t="shared" si="1"/>
        <v>0.78</v>
      </c>
      <c r="K21" s="124">
        <f t="shared" si="1"/>
        <v>0.78</v>
      </c>
      <c r="L21" s="124">
        <f t="shared" si="1"/>
        <v>0.78</v>
      </c>
      <c r="M21" s="124">
        <f t="shared" si="1"/>
        <v>0.78</v>
      </c>
      <c r="N21" s="118"/>
      <c r="O21" s="118"/>
      <c r="P21" s="118"/>
      <c r="Q21" s="118"/>
    </row>
    <row r="22" spans="2:17" ht="15" customHeight="1" x14ac:dyDescent="0.25">
      <c r="B22" s="118" t="s">
        <v>721</v>
      </c>
      <c r="C22" s="118"/>
      <c r="D22" s="120">
        <f t="shared" ref="D22:M22" si="2">(D18+D20)*D21</f>
        <v>1276.3221120629257</v>
      </c>
      <c r="E22" s="120">
        <f t="shared" si="2"/>
        <v>1746.8388050931078</v>
      </c>
      <c r="F22" s="120">
        <f t="shared" si="2"/>
        <v>2108.017882993187</v>
      </c>
      <c r="G22" s="120">
        <f t="shared" si="2"/>
        <v>2427.6573786781391</v>
      </c>
      <c r="H22" s="120">
        <f t="shared" si="2"/>
        <v>2768.2841432223927</v>
      </c>
      <c r="I22" s="120">
        <f t="shared" si="2"/>
        <v>2934.3811918157367</v>
      </c>
      <c r="J22" s="120">
        <f t="shared" si="2"/>
        <v>3103.1081103451415</v>
      </c>
      <c r="K22" s="120">
        <f t="shared" si="2"/>
        <v>3273.7790564141237</v>
      </c>
      <c r="L22" s="120">
        <f t="shared" si="2"/>
        <v>3445.652456875865</v>
      </c>
      <c r="M22" s="120">
        <f t="shared" si="2"/>
        <v>3617.9350797196589</v>
      </c>
      <c r="N22" s="118"/>
      <c r="O22" s="118"/>
      <c r="P22" s="118"/>
      <c r="Q22" s="118"/>
    </row>
    <row r="23" spans="2:17" ht="15" customHeight="1" x14ac:dyDescent="0.25">
      <c r="B23" s="118" t="s">
        <v>722</v>
      </c>
      <c r="C23" s="118"/>
      <c r="D23" s="147">
        <f>Model!CA182</f>
        <v>971.25247762538788</v>
      </c>
      <c r="E23" s="147">
        <f>Model!CB182</f>
        <v>1330.6005222719286</v>
      </c>
      <c r="F23" s="147">
        <f>Model!CC182</f>
        <v>1411.3951897843349</v>
      </c>
      <c r="G23" s="147">
        <f>Model!CD182</f>
        <v>1505.4800539465443</v>
      </c>
      <c r="H23" s="147">
        <f>Model!CE182</f>
        <v>1610.9464498195753</v>
      </c>
      <c r="I23" s="120">
        <f>H23*(1+I$31)</f>
        <v>1707.6032368087499</v>
      </c>
      <c r="J23" s="120">
        <f>I23*(1+J$31)</f>
        <v>1805.7904229252531</v>
      </c>
      <c r="K23" s="120">
        <f>J23*(1+K$31)</f>
        <v>1905.1088961861419</v>
      </c>
      <c r="L23" s="120">
        <f>K23*(1+L$31)</f>
        <v>2005.1271132359143</v>
      </c>
      <c r="M23" s="120">
        <f>L23*(1+M$31)</f>
        <v>2105.3834688977099</v>
      </c>
      <c r="N23" s="118"/>
      <c r="O23" s="118"/>
      <c r="P23" s="118"/>
      <c r="Q23" s="118"/>
    </row>
    <row r="24" spans="2:17" ht="15" customHeight="1" x14ac:dyDescent="0.25">
      <c r="B24" s="118" t="s">
        <v>723</v>
      </c>
      <c r="C24" s="118"/>
      <c r="D24" s="147">
        <f>D29</f>
        <v>-635.25128321083116</v>
      </c>
      <c r="E24" s="147">
        <f>E29+Model!CB263</f>
        <v>-981.68190469065905</v>
      </c>
      <c r="F24" s="147">
        <f>F29+Model!CC263</f>
        <v>-1560.2490072574433</v>
      </c>
      <c r="G24" s="147">
        <f>G29+Model!CD263</f>
        <v>-1899.3628616342535</v>
      </c>
      <c r="H24" s="147">
        <f>H29+Model!CE263</f>
        <v>-1998.5771844491007</v>
      </c>
      <c r="I24" s="120">
        <f>I29</f>
        <v>-1323.4918155160469</v>
      </c>
      <c r="J24" s="120">
        <f>J29</f>
        <v>-1399.5925949082198</v>
      </c>
      <c r="K24" s="120">
        <f>K29</f>
        <v>-1476.5701876281719</v>
      </c>
      <c r="L24" s="120">
        <f>L29</f>
        <v>-1554.090122478651</v>
      </c>
      <c r="M24" s="120">
        <f>M29</f>
        <v>-1631.7946286025835</v>
      </c>
      <c r="N24" s="118"/>
      <c r="O24" s="118"/>
      <c r="P24" s="118"/>
      <c r="Q24" s="118"/>
    </row>
    <row r="25" spans="2:17" ht="15" customHeight="1" x14ac:dyDescent="0.25">
      <c r="B25" s="118" t="s">
        <v>724</v>
      </c>
      <c r="C25" s="118"/>
      <c r="D25" s="147">
        <f>Model!CA260</f>
        <v>-80.318304042380646</v>
      </c>
      <c r="E25" s="147">
        <f>Model!CB260</f>
        <v>-96.861081861319406</v>
      </c>
      <c r="F25" s="147">
        <f>Model!CC260</f>
        <v>-125.39154380961847</v>
      </c>
      <c r="G25" s="147">
        <f>Model!CD260</f>
        <v>-158.18306771435252</v>
      </c>
      <c r="H25" s="147">
        <f>Model!CE260</f>
        <v>-179.28883897074442</v>
      </c>
      <c r="I25" s="120">
        <f>H25*(1+I$31)</f>
        <v>-190.04616930898911</v>
      </c>
      <c r="J25" s="120">
        <f>I25*(1+J$31)</f>
        <v>-200.97382404425599</v>
      </c>
      <c r="K25" s="120">
        <f>J25*(1+K$31)</f>
        <v>-212.02738436669006</v>
      </c>
      <c r="L25" s="120">
        <f>K25*(1+L$31)</f>
        <v>-223.15882204594129</v>
      </c>
      <c r="M25" s="120">
        <f>L25*(1+M$31)</f>
        <v>-234.31676314823838</v>
      </c>
      <c r="N25" s="118"/>
      <c r="O25" s="118"/>
      <c r="P25" s="118"/>
      <c r="Q25" s="118"/>
    </row>
    <row r="26" spans="2:17" ht="15" customHeight="1" x14ac:dyDescent="0.25">
      <c r="B26" s="148" t="s">
        <v>725</v>
      </c>
      <c r="C26" s="118"/>
      <c r="D26" s="149">
        <f t="shared" ref="D26:M26" si="3">D22+D23+D24+D25</f>
        <v>1532.0050024351017</v>
      </c>
      <c r="E26" s="149">
        <f t="shared" si="3"/>
        <v>1998.8963408130583</v>
      </c>
      <c r="F26" s="149">
        <f t="shared" si="3"/>
        <v>1833.7725217104601</v>
      </c>
      <c r="G26" s="149">
        <f t="shared" si="3"/>
        <v>1875.5915032760772</v>
      </c>
      <c r="H26" s="149">
        <f t="shared" si="3"/>
        <v>2201.3645696221224</v>
      </c>
      <c r="I26" s="149">
        <f t="shared" si="3"/>
        <v>3128.4464437994502</v>
      </c>
      <c r="J26" s="149">
        <f t="shared" si="3"/>
        <v>3308.3321143179182</v>
      </c>
      <c r="K26" s="149">
        <f t="shared" si="3"/>
        <v>3490.2903806054037</v>
      </c>
      <c r="L26" s="149">
        <f t="shared" si="3"/>
        <v>3673.5306255871869</v>
      </c>
      <c r="M26" s="149">
        <f t="shared" si="3"/>
        <v>3857.2071568665469</v>
      </c>
      <c r="N26" s="149">
        <f>M26*(1+$C$32)</f>
        <v>4011.4954431412089</v>
      </c>
      <c r="O26" s="118"/>
      <c r="P26" s="121">
        <f>IFERROR(($H26/$D26)^(1/(VALUE(LEFT($H$17,4))-VALUE(LEFT($D$17,4))))-1,"n/m")</f>
        <v>9.4858381124641289E-2</v>
      </c>
      <c r="Q26" s="121">
        <f>IFERROR(($M26/$D26)^(1/(VALUE(LEFT($M$17,4))-VALUE(LEFT($D$17,4))))-1,"n/m")</f>
        <v>0.10804392144547403</v>
      </c>
    </row>
    <row r="27" spans="2:17" ht="15" customHeight="1" x14ac:dyDescent="0.25">
      <c r="B27" s="122" t="s">
        <v>718</v>
      </c>
      <c r="C27" s="122"/>
      <c r="D27" s="123"/>
      <c r="E27" s="123">
        <f t="shared" ref="E27:M27" si="4">IFERROR(E26/D26-1,"")</f>
        <v>0.30475836412794921</v>
      </c>
      <c r="F27" s="123">
        <f t="shared" si="4"/>
        <v>-8.2607494811578586E-2</v>
      </c>
      <c r="G27" s="123">
        <f t="shared" si="4"/>
        <v>2.2804890503327124E-2</v>
      </c>
      <c r="H27" s="123">
        <f t="shared" si="4"/>
        <v>0.17369084141030733</v>
      </c>
      <c r="I27" s="123">
        <f t="shared" si="4"/>
        <v>0.42113963628317452</v>
      </c>
      <c r="J27" s="123">
        <f t="shared" si="4"/>
        <v>5.7499999999999885E-2</v>
      </c>
      <c r="K27" s="123">
        <f t="shared" si="4"/>
        <v>5.4999999999999938E-2</v>
      </c>
      <c r="L27" s="123">
        <f t="shared" si="4"/>
        <v>5.2499999999999769E-2</v>
      </c>
      <c r="M27" s="123">
        <f t="shared" si="4"/>
        <v>5.0000000000000266E-2</v>
      </c>
      <c r="N27" s="123"/>
      <c r="O27" s="118"/>
      <c r="P27" s="118"/>
      <c r="Q27" s="118"/>
    </row>
    <row r="28" spans="2:17" ht="15" customHeight="1" x14ac:dyDescent="0.25">
      <c r="B28" s="118" t="s">
        <v>726</v>
      </c>
      <c r="C28" s="118"/>
      <c r="D28" s="118"/>
      <c r="E28" s="118"/>
      <c r="F28" s="118"/>
      <c r="G28" s="118"/>
      <c r="H28" s="118"/>
      <c r="I28" s="118"/>
      <c r="J28" s="118"/>
      <c r="K28" s="118"/>
      <c r="L28" s="118"/>
      <c r="M28" s="118"/>
      <c r="N28" s="149">
        <f>N26/($C$13-$C$32)</f>
        <v>81081.26211503199</v>
      </c>
      <c r="O28" s="118"/>
      <c r="P28" s="118"/>
      <c r="Q28" s="118"/>
    </row>
    <row r="29" spans="2:17" ht="15" customHeight="1" x14ac:dyDescent="0.25">
      <c r="B29" s="142" t="s">
        <v>727</v>
      </c>
      <c r="C29" s="118"/>
      <c r="D29" s="147">
        <f>Model!CA262</f>
        <v>-635.25128321083116</v>
      </c>
      <c r="E29" s="147">
        <f>Model!CB262</f>
        <v>-981.68190469065905</v>
      </c>
      <c r="F29" s="147">
        <f>Model!CC262</f>
        <v>-1060.2490072574433</v>
      </c>
      <c r="G29" s="147">
        <f>Model!CD262</f>
        <v>-1149.3628616342535</v>
      </c>
      <c r="H29" s="147">
        <f>Model!CE262</f>
        <v>-1248.5771844491007</v>
      </c>
      <c r="I29" s="120">
        <f>H29*(1+I$31)</f>
        <v>-1323.4918155160469</v>
      </c>
      <c r="J29" s="120">
        <f>I29*(1+J$31)</f>
        <v>-1399.5925949082198</v>
      </c>
      <c r="K29" s="120">
        <f>J29*(1+K$31)</f>
        <v>-1476.5701876281719</v>
      </c>
      <c r="L29" s="120">
        <f>K29*(1+L$31)</f>
        <v>-1554.090122478651</v>
      </c>
      <c r="M29" s="120">
        <f>L29*(1+M$31)</f>
        <v>-1631.7946286025835</v>
      </c>
      <c r="N29" s="118"/>
      <c r="O29" s="118"/>
      <c r="P29" s="118"/>
      <c r="Q29" s="118"/>
    </row>
    <row r="30" spans="2:17" x14ac:dyDescent="0.25">
      <c r="B30" s="118"/>
      <c r="C30" s="118"/>
      <c r="D30" s="118"/>
      <c r="E30" s="118"/>
      <c r="F30" s="118"/>
      <c r="G30" s="118"/>
      <c r="H30" s="118"/>
      <c r="I30" s="118"/>
      <c r="J30" s="118"/>
      <c r="K30" s="118"/>
      <c r="L30" s="118"/>
      <c r="M30" s="118"/>
      <c r="N30" s="118"/>
      <c r="O30" s="118"/>
      <c r="P30" s="118"/>
      <c r="Q30" s="118"/>
    </row>
    <row r="31" spans="2:17" ht="15" customHeight="1" x14ac:dyDescent="0.25">
      <c r="B31" s="118" t="s">
        <v>728</v>
      </c>
      <c r="C31" s="118"/>
      <c r="D31" s="118"/>
      <c r="E31" s="118"/>
      <c r="F31" s="118"/>
      <c r="G31" s="118"/>
      <c r="H31" s="118"/>
      <c r="I31" s="150">
        <v>0.06</v>
      </c>
      <c r="J31" s="151">
        <f>I31+($M$31-$I$31)/(COLUMNS($I$31:$M$31)-1)</f>
        <v>5.7499999999999996E-2</v>
      </c>
      <c r="K31" s="151">
        <f>J31+($M$31-$I$31)/(COLUMNS($I$31:$M$31)-1)</f>
        <v>5.4999999999999993E-2</v>
      </c>
      <c r="L31" s="151">
        <f>K31+($M$31-$I$31)/(COLUMNS($I$31:$M$31)-1)</f>
        <v>5.2499999999999991E-2</v>
      </c>
      <c r="M31" s="150">
        <v>0.05</v>
      </c>
      <c r="N31" s="118"/>
      <c r="O31" s="118"/>
      <c r="P31" s="118"/>
      <c r="Q31" s="118"/>
    </row>
    <row r="32" spans="2:17" ht="15" customHeight="1" x14ac:dyDescent="0.25">
      <c r="B32" s="118" t="s">
        <v>729</v>
      </c>
      <c r="C32" s="152">
        <v>0.04</v>
      </c>
      <c r="D32" s="118"/>
      <c r="E32" s="118"/>
      <c r="F32" s="118"/>
      <c r="G32" s="118"/>
      <c r="H32" s="118"/>
      <c r="I32" s="118"/>
      <c r="J32" s="118"/>
      <c r="K32" s="118"/>
      <c r="L32" s="118"/>
      <c r="M32" s="118"/>
      <c r="N32" s="118"/>
      <c r="O32" s="118"/>
      <c r="P32" s="118"/>
      <c r="Q32" s="118"/>
    </row>
    <row r="33" spans="2:17" x14ac:dyDescent="0.25">
      <c r="B33" s="118"/>
      <c r="C33" s="118"/>
      <c r="D33" s="118"/>
      <c r="E33" s="118"/>
      <c r="F33" s="118"/>
      <c r="G33" s="118"/>
      <c r="H33" s="118"/>
      <c r="I33" s="118"/>
      <c r="J33" s="118"/>
      <c r="K33" s="118"/>
      <c r="L33" s="118"/>
      <c r="M33" s="118"/>
      <c r="N33" s="118"/>
      <c r="O33" s="118"/>
      <c r="P33" s="118"/>
      <c r="Q33" s="118"/>
    </row>
    <row r="34" spans="2:17" ht="15" customHeight="1" x14ac:dyDescent="0.25">
      <c r="B34" s="118" t="s">
        <v>730</v>
      </c>
      <c r="C34" s="118"/>
      <c r="D34" s="125">
        <f ca="1">(DATE(2026,12,31)-$C$15)/365.25</f>
        <v>0.24093086926762491</v>
      </c>
      <c r="E34" s="125">
        <f ca="1">(DATE(2027,12,31)-$C$15)/365.25</f>
        <v>1.2402464065708418</v>
      </c>
      <c r="F34" s="125">
        <f ca="1">(DATE(2028,12,31)-$C$15)/365.25</f>
        <v>2.2422997946611911</v>
      </c>
      <c r="G34" s="125">
        <f ca="1">(DATE(2029,12,31)-$C$15)/365.25</f>
        <v>3.2416153319644079</v>
      </c>
      <c r="H34" s="125">
        <f ca="1">(DATE(2030,12,31)-$C$15)/365.25</f>
        <v>4.2409308692676246</v>
      </c>
      <c r="I34" s="125">
        <f ca="1">(DATE(2031,12,31)-$C$15)/365.25</f>
        <v>5.2402464065708418</v>
      </c>
      <c r="J34" s="125">
        <f ca="1">(DATE(2032,12,31)-$C$15)/365.25</f>
        <v>6.2422997946611911</v>
      </c>
      <c r="K34" s="125">
        <f ca="1">(DATE(2033,12,31)-$C$15)/365.25</f>
        <v>7.2416153319644083</v>
      </c>
      <c r="L34" s="125">
        <f ca="1">(DATE(2034,12,31)-$C$15)/365.25</f>
        <v>8.2409308692676255</v>
      </c>
      <c r="M34" s="125">
        <f ca="1">(DATE(2035,12,31)-$C$15)/365.25</f>
        <v>9.2402464065708418</v>
      </c>
      <c r="N34" s="125">
        <f ca="1">M34</f>
        <v>9.2402464065708418</v>
      </c>
      <c r="O34" s="118"/>
      <c r="P34" s="118"/>
      <c r="Q34" s="118"/>
    </row>
    <row r="35" spans="2:17" ht="15" customHeight="1" x14ac:dyDescent="0.25">
      <c r="B35" s="118" t="s">
        <v>731</v>
      </c>
      <c r="C35" s="118"/>
      <c r="D35" s="126">
        <f t="shared" ref="D35:N35" ca="1" si="5">1/(1+$C$13)^D34</f>
        <v>0.97956489105745015</v>
      </c>
      <c r="E35" s="126">
        <f t="shared" ca="1" si="5"/>
        <v>0.89916918678647051</v>
      </c>
      <c r="F35" s="126">
        <f t="shared" ca="1" si="5"/>
        <v>0.82517816067627092</v>
      </c>
      <c r="G35" s="126">
        <f t="shared" ca="1" si="5"/>
        <v>0.75745341882176775</v>
      </c>
      <c r="H35" s="126">
        <f t="shared" ca="1" si="5"/>
        <v>0.69528704106102612</v>
      </c>
      <c r="I35" s="126">
        <f t="shared" ca="1" si="5"/>
        <v>0.63822283648725442</v>
      </c>
      <c r="J35" s="126">
        <f t="shared" ca="1" si="5"/>
        <v>0.58570461939017748</v>
      </c>
      <c r="K35" s="126">
        <f t="shared" ca="1" si="5"/>
        <v>0.53763415892297217</v>
      </c>
      <c r="L35" s="126">
        <f t="shared" ca="1" si="5"/>
        <v>0.4935089792219236</v>
      </c>
      <c r="M35" s="126">
        <f t="shared" ca="1" si="5"/>
        <v>0.45300527976229099</v>
      </c>
      <c r="N35" s="126">
        <f t="shared" ca="1" si="5"/>
        <v>0.45300527976229099</v>
      </c>
      <c r="O35" s="118"/>
      <c r="P35" s="118"/>
      <c r="Q35" s="118"/>
    </row>
    <row r="36" spans="2:17" ht="15" customHeight="1" x14ac:dyDescent="0.25">
      <c r="B36" s="118" t="s">
        <v>732</v>
      </c>
      <c r="C36" s="118"/>
      <c r="D36" s="120">
        <f t="shared" ref="D36:M36" ca="1" si="6">D26*D35</f>
        <v>1500.698313309809</v>
      </c>
      <c r="E36" s="120">
        <f t="shared" ca="1" si="6"/>
        <v>1797.3459972393291</v>
      </c>
      <c r="F36" s="120">
        <f t="shared" ca="1" si="6"/>
        <v>1513.1890365637246</v>
      </c>
      <c r="G36" s="120">
        <f t="shared" ca="1" si="6"/>
        <v>1420.6731964695234</v>
      </c>
      <c r="H36" s="120">
        <f t="shared" ca="1" si="6"/>
        <v>1530.5802579091446</v>
      </c>
      <c r="I36" s="120">
        <f t="shared" ca="1" si="6"/>
        <v>1996.645963160149</v>
      </c>
      <c r="J36" s="120">
        <f t="shared" ca="1" si="6"/>
        <v>1937.7054018328774</v>
      </c>
      <c r="K36" s="120">
        <f t="shared" ca="1" si="6"/>
        <v>1876.4993331737267</v>
      </c>
      <c r="L36" s="120">
        <f t="shared" ca="1" si="6"/>
        <v>1812.920349174007</v>
      </c>
      <c r="M36" s="120">
        <f t="shared" ca="1" si="6"/>
        <v>1747.3352071974412</v>
      </c>
      <c r="N36" s="120">
        <f ca="1">N28*N35</f>
        <v>36730.239827899713</v>
      </c>
      <c r="O36" s="118"/>
      <c r="P36" s="118"/>
      <c r="Q36" s="118"/>
    </row>
    <row r="37" spans="2:17" ht="15" customHeight="1" x14ac:dyDescent="0.25">
      <c r="B37" s="118"/>
      <c r="C37" s="118"/>
      <c r="D37" s="142" t="s">
        <v>733</v>
      </c>
      <c r="E37" s="118"/>
      <c r="F37" s="118"/>
      <c r="G37" s="118"/>
      <c r="H37" s="118"/>
      <c r="I37" s="118"/>
      <c r="J37" s="118"/>
      <c r="K37" s="118"/>
      <c r="L37" s="118"/>
      <c r="M37" s="118"/>
      <c r="N37" s="118"/>
      <c r="O37" s="118"/>
      <c r="P37" s="118"/>
      <c r="Q37" s="118"/>
    </row>
    <row r="38" spans="2:17" x14ac:dyDescent="0.25">
      <c r="B38" s="118"/>
      <c r="C38" s="118"/>
      <c r="D38" s="118"/>
      <c r="E38" s="118"/>
      <c r="F38" s="118"/>
      <c r="G38" s="118"/>
      <c r="H38" s="118"/>
      <c r="I38" s="118"/>
      <c r="J38" s="118"/>
      <c r="K38" s="118"/>
      <c r="L38" s="118"/>
      <c r="M38" s="118"/>
      <c r="N38" s="118"/>
      <c r="O38" s="118"/>
      <c r="P38" s="118"/>
      <c r="Q38" s="118"/>
    </row>
    <row r="39" spans="2:17" ht="15.75" customHeight="1" x14ac:dyDescent="0.25">
      <c r="B39" s="118" t="s">
        <v>734</v>
      </c>
      <c r="C39" s="118"/>
      <c r="D39" s="153" t="str">
        <f t="shared" ref="D39:M39" si="7">D17</f>
        <v>2026E</v>
      </c>
      <c r="E39" s="153" t="str">
        <f t="shared" si="7"/>
        <v>2027E</v>
      </c>
      <c r="F39" s="153" t="str">
        <f t="shared" si="7"/>
        <v>2028E</v>
      </c>
      <c r="G39" s="153" t="str">
        <f t="shared" si="7"/>
        <v>2029E</v>
      </c>
      <c r="H39" s="153" t="str">
        <f t="shared" si="7"/>
        <v>2030E</v>
      </c>
      <c r="I39" s="153" t="str">
        <f t="shared" si="7"/>
        <v>2031E</v>
      </c>
      <c r="J39" s="153" t="str">
        <f t="shared" si="7"/>
        <v>2032E</v>
      </c>
      <c r="K39" s="153" t="str">
        <f t="shared" si="7"/>
        <v>2033E</v>
      </c>
      <c r="L39" s="153" t="str">
        <f t="shared" si="7"/>
        <v>2034E</v>
      </c>
      <c r="M39" s="153" t="str">
        <f t="shared" si="7"/>
        <v>2035E</v>
      </c>
      <c r="N39" s="153" t="s">
        <v>714</v>
      </c>
      <c r="O39" s="118"/>
      <c r="P39" s="118"/>
      <c r="Q39" s="118"/>
    </row>
    <row r="40" spans="2:17" ht="15.75" customHeight="1" x14ac:dyDescent="0.25">
      <c r="B40" s="118" t="s">
        <v>735</v>
      </c>
      <c r="C40" s="118"/>
      <c r="D40" s="127">
        <f t="shared" ref="D40:M40" si="8">D22</f>
        <v>1276.3221120629257</v>
      </c>
      <c r="E40" s="127">
        <f t="shared" si="8"/>
        <v>1746.8388050931078</v>
      </c>
      <c r="F40" s="127">
        <f t="shared" si="8"/>
        <v>2108.017882993187</v>
      </c>
      <c r="G40" s="127">
        <f t="shared" si="8"/>
        <v>2427.6573786781391</v>
      </c>
      <c r="H40" s="127">
        <f t="shared" si="8"/>
        <v>2768.2841432223927</v>
      </c>
      <c r="I40" s="127">
        <f t="shared" si="8"/>
        <v>2934.3811918157367</v>
      </c>
      <c r="J40" s="127">
        <f t="shared" si="8"/>
        <v>3103.1081103451415</v>
      </c>
      <c r="K40" s="127">
        <f t="shared" si="8"/>
        <v>3273.7790564141237</v>
      </c>
      <c r="L40" s="127">
        <f t="shared" si="8"/>
        <v>3445.652456875865</v>
      </c>
      <c r="M40" s="127">
        <f t="shared" si="8"/>
        <v>3617.9350797196589</v>
      </c>
      <c r="N40" s="127">
        <f>M40*(1+$C$32)</f>
        <v>3762.6524829084456</v>
      </c>
      <c r="O40" s="118"/>
      <c r="P40" s="118"/>
      <c r="Q40" s="118"/>
    </row>
    <row r="41" spans="2:17" ht="15.75" customHeight="1" x14ac:dyDescent="0.25">
      <c r="B41" s="118" t="s">
        <v>736</v>
      </c>
      <c r="C41" s="118"/>
      <c r="D41" s="127">
        <f t="shared" ref="D41:N41" si="9">D40-D26</f>
        <v>-255.68289037217596</v>
      </c>
      <c r="E41" s="127">
        <f t="shared" si="9"/>
        <v>-252.05753571995047</v>
      </c>
      <c r="F41" s="127">
        <f t="shared" si="9"/>
        <v>274.24536128272689</v>
      </c>
      <c r="G41" s="127">
        <f t="shared" si="9"/>
        <v>552.06587540206192</v>
      </c>
      <c r="H41" s="127">
        <f t="shared" si="9"/>
        <v>566.91957360027027</v>
      </c>
      <c r="I41" s="127">
        <f t="shared" si="9"/>
        <v>-194.06525198371355</v>
      </c>
      <c r="J41" s="127">
        <f t="shared" si="9"/>
        <v>-205.2240039727767</v>
      </c>
      <c r="K41" s="127">
        <f t="shared" si="9"/>
        <v>-216.51132419127998</v>
      </c>
      <c r="L41" s="127">
        <f t="shared" si="9"/>
        <v>-227.8781687113219</v>
      </c>
      <c r="M41" s="127">
        <f t="shared" si="9"/>
        <v>-239.27207714688802</v>
      </c>
      <c r="N41" s="127">
        <f t="shared" si="9"/>
        <v>-248.84296023276329</v>
      </c>
      <c r="O41" s="118"/>
      <c r="P41" s="118"/>
      <c r="Q41" s="118"/>
    </row>
    <row r="42" spans="2:17" ht="15.75" customHeight="1" x14ac:dyDescent="0.25">
      <c r="B42" s="118" t="s">
        <v>737</v>
      </c>
      <c r="C42" s="118"/>
      <c r="D42" s="147">
        <f>Model!BV408+Model!CA353+Model!CA355</f>
        <v>28829</v>
      </c>
      <c r="E42" s="127">
        <f t="shared" ref="E42:N42" si="10">D43</f>
        <v>28573.317109627824</v>
      </c>
      <c r="F42" s="127">
        <f t="shared" si="10"/>
        <v>28321.259573907875</v>
      </c>
      <c r="G42" s="127">
        <f t="shared" si="10"/>
        <v>28595.504935190602</v>
      </c>
      <c r="H42" s="127">
        <f t="shared" si="10"/>
        <v>29147.570810592664</v>
      </c>
      <c r="I42" s="127">
        <f t="shared" si="10"/>
        <v>29714.490384192934</v>
      </c>
      <c r="J42" s="127">
        <f t="shared" si="10"/>
        <v>29520.42513220922</v>
      </c>
      <c r="K42" s="127">
        <f t="shared" si="10"/>
        <v>29315.201128236444</v>
      </c>
      <c r="L42" s="127">
        <f t="shared" si="10"/>
        <v>29098.689804045163</v>
      </c>
      <c r="M42" s="127">
        <f t="shared" si="10"/>
        <v>28870.811635333841</v>
      </c>
      <c r="N42" s="127">
        <f t="shared" si="10"/>
        <v>28631.539558186952</v>
      </c>
      <c r="O42" s="118"/>
      <c r="P42" s="118"/>
      <c r="Q42" s="118"/>
    </row>
    <row r="43" spans="2:17" ht="15.75" customHeight="1" x14ac:dyDescent="0.25">
      <c r="B43" s="118" t="s">
        <v>738</v>
      </c>
      <c r="C43" s="118"/>
      <c r="D43" s="127">
        <f t="shared" ref="D43:M43" si="11">D42+D41</f>
        <v>28573.317109627824</v>
      </c>
      <c r="E43" s="127">
        <f t="shared" si="11"/>
        <v>28321.259573907875</v>
      </c>
      <c r="F43" s="127">
        <f t="shared" si="11"/>
        <v>28595.504935190602</v>
      </c>
      <c r="G43" s="127">
        <f t="shared" si="11"/>
        <v>29147.570810592664</v>
      </c>
      <c r="H43" s="127">
        <f t="shared" si="11"/>
        <v>29714.490384192934</v>
      </c>
      <c r="I43" s="127">
        <f t="shared" si="11"/>
        <v>29520.42513220922</v>
      </c>
      <c r="J43" s="127">
        <f t="shared" si="11"/>
        <v>29315.201128236444</v>
      </c>
      <c r="K43" s="127">
        <f t="shared" si="11"/>
        <v>29098.689804045163</v>
      </c>
      <c r="L43" s="127">
        <f t="shared" si="11"/>
        <v>28870.811635333841</v>
      </c>
      <c r="M43" s="127">
        <f t="shared" si="11"/>
        <v>28631.539558186952</v>
      </c>
      <c r="N43" s="127"/>
      <c r="O43" s="118"/>
      <c r="P43" s="118"/>
      <c r="Q43" s="118"/>
    </row>
    <row r="44" spans="2:17" ht="15.75" customHeight="1" x14ac:dyDescent="0.25">
      <c r="B44" s="128" t="s">
        <v>739</v>
      </c>
      <c r="C44" s="129"/>
      <c r="D44" s="130">
        <f t="shared" ref="D44:N44" si="12">IFERROR(D40/D42,"")</f>
        <v>4.4272160396230387E-2</v>
      </c>
      <c r="E44" s="130">
        <f t="shared" si="12"/>
        <v>6.11353172048935E-2</v>
      </c>
      <c r="F44" s="130">
        <f t="shared" si="12"/>
        <v>7.4432349221334959E-2</v>
      </c>
      <c r="G44" s="130">
        <f t="shared" si="12"/>
        <v>8.4896468314870757E-2</v>
      </c>
      <c r="H44" s="130">
        <f t="shared" si="12"/>
        <v>9.4974780615898077E-2</v>
      </c>
      <c r="I44" s="130">
        <f t="shared" si="12"/>
        <v>9.8752532985614469E-2</v>
      </c>
      <c r="J44" s="130">
        <f t="shared" si="12"/>
        <v>0.10511732457942805</v>
      </c>
      <c r="K44" s="130">
        <f t="shared" si="12"/>
        <v>0.11167513543889061</v>
      </c>
      <c r="L44" s="130">
        <f t="shared" si="12"/>
        <v>0.11841263232397724</v>
      </c>
      <c r="M44" s="130">
        <f t="shared" si="12"/>
        <v>0.1253146300636665</v>
      </c>
      <c r="N44" s="130">
        <f t="shared" si="12"/>
        <v>0.13141635207082486</v>
      </c>
      <c r="O44" s="118"/>
      <c r="P44" s="118"/>
      <c r="Q44" s="118"/>
    </row>
    <row r="45" spans="2:17" ht="15.75" customHeight="1" x14ac:dyDescent="0.25">
      <c r="B45" s="118" t="s">
        <v>740</v>
      </c>
      <c r="C45" s="131"/>
      <c r="D45" s="121">
        <f t="shared" ref="D45:N45" si="13">IFERROR(D41/D40,"")</f>
        <v>-0.2003278701791936</v>
      </c>
      <c r="E45" s="121">
        <f t="shared" si="13"/>
        <v>-0.14429352896503556</v>
      </c>
      <c r="F45" s="121">
        <f t="shared" si="13"/>
        <v>0.130096316305118</v>
      </c>
      <c r="G45" s="121">
        <f t="shared" si="13"/>
        <v>0.22740683271486281</v>
      </c>
      <c r="H45" s="121">
        <f t="shared" si="13"/>
        <v>0.20479096229636073</v>
      </c>
      <c r="I45" s="121">
        <f t="shared" si="13"/>
        <v>-6.6134983595512287E-2</v>
      </c>
      <c r="J45" s="121">
        <f t="shared" si="13"/>
        <v>-6.6134983595512162E-2</v>
      </c>
      <c r="K45" s="121">
        <f t="shared" si="13"/>
        <v>-6.6134983595512356E-2</v>
      </c>
      <c r="L45" s="121">
        <f t="shared" si="13"/>
        <v>-6.6134983595512273E-2</v>
      </c>
      <c r="M45" s="121">
        <f t="shared" si="13"/>
        <v>-6.6134983595512273E-2</v>
      </c>
      <c r="N45" s="121">
        <f t="shared" si="13"/>
        <v>-6.6134983595512203E-2</v>
      </c>
      <c r="O45" s="118"/>
      <c r="P45" s="118"/>
      <c r="Q45" s="118"/>
    </row>
    <row r="46" spans="2:17" ht="15.75" customHeight="1" x14ac:dyDescent="0.25">
      <c r="B46" s="128" t="s">
        <v>741</v>
      </c>
      <c r="C46" s="129"/>
      <c r="D46" s="130"/>
      <c r="E46" s="130">
        <f t="shared" ref="E46:M46" si="14">IFERROR((E40-D40)/D41,"")</f>
        <v>-1.8402353491283312</v>
      </c>
      <c r="F46" s="130">
        <f t="shared" si="14"/>
        <v>-1.4329231493454282</v>
      </c>
      <c r="G46" s="130">
        <f t="shared" si="14"/>
        <v>1.1655238002564692</v>
      </c>
      <c r="H46" s="130">
        <f t="shared" si="14"/>
        <v>0.61700383907297263</v>
      </c>
      <c r="I46" s="130">
        <f t="shared" si="14"/>
        <v>0.29298167910931483</v>
      </c>
      <c r="J46" s="130">
        <f t="shared" si="14"/>
        <v>-0.86943394968804033</v>
      </c>
      <c r="K46" s="130">
        <f t="shared" si="14"/>
        <v>-0.83163247361464576</v>
      </c>
      <c r="L46" s="130">
        <f t="shared" si="14"/>
        <v>-0.79383099754125253</v>
      </c>
      <c r="M46" s="130">
        <f t="shared" si="14"/>
        <v>-0.75602952146786406</v>
      </c>
      <c r="N46" s="130">
        <f>IFERROR($C$32/N45,"")</f>
        <v>-0.60482361717428967</v>
      </c>
      <c r="O46" s="118"/>
      <c r="P46" s="118"/>
      <c r="Q46" s="118"/>
    </row>
    <row r="47" spans="2:17" ht="15.75" customHeight="1" x14ac:dyDescent="0.25">
      <c r="B47" s="118" t="s">
        <v>742</v>
      </c>
      <c r="C47" s="121">
        <f>IFERROR((M40-D40)/SUM(D41:L41),"")</f>
        <v>56.003859905511376</v>
      </c>
      <c r="D47" s="121"/>
      <c r="E47" s="121"/>
      <c r="F47" s="121"/>
      <c r="G47" s="121"/>
      <c r="H47" s="121"/>
      <c r="I47" s="121"/>
      <c r="J47" s="121"/>
      <c r="K47" s="121"/>
      <c r="L47" s="121"/>
      <c r="M47" s="121"/>
      <c r="N47" s="121"/>
      <c r="O47" s="118"/>
      <c r="P47" s="118"/>
      <c r="Q47" s="118"/>
    </row>
    <row r="48" spans="2:17" x14ac:dyDescent="0.25">
      <c r="B48" s="118"/>
      <c r="C48" s="118"/>
      <c r="D48" s="142" t="s">
        <v>743</v>
      </c>
      <c r="E48" s="118"/>
      <c r="F48" s="118"/>
      <c r="G48" s="118"/>
      <c r="H48" s="118"/>
      <c r="I48" s="118"/>
      <c r="J48" s="118"/>
      <c r="K48" s="118"/>
      <c r="L48" s="118"/>
      <c r="M48" s="118"/>
      <c r="N48" s="118"/>
      <c r="O48" s="118"/>
      <c r="P48" s="118"/>
      <c r="Q48" s="118"/>
    </row>
    <row r="49" spans="2:17" ht="15" customHeight="1" x14ac:dyDescent="0.25">
      <c r="B49" s="139" t="s">
        <v>744</v>
      </c>
      <c r="C49" s="118"/>
      <c r="D49" s="118"/>
      <c r="E49" s="118"/>
      <c r="F49" s="118"/>
      <c r="G49" s="118"/>
      <c r="H49" s="118"/>
      <c r="I49" s="118"/>
      <c r="J49" s="118"/>
      <c r="K49" s="118"/>
      <c r="L49" s="118"/>
      <c r="M49" s="118"/>
      <c r="N49" s="118"/>
      <c r="O49" s="118"/>
      <c r="P49" s="118"/>
      <c r="Q49" s="118"/>
    </row>
    <row r="50" spans="2:17" ht="15" customHeight="1" x14ac:dyDescent="0.25">
      <c r="B50" s="140" t="s">
        <v>745</v>
      </c>
      <c r="C50" s="120">
        <f ca="1">SUM(D36:M36)</f>
        <v>17133.593056029731</v>
      </c>
      <c r="D50" s="118"/>
      <c r="E50" s="118"/>
      <c r="F50" s="118"/>
      <c r="G50" s="118"/>
      <c r="H50" s="118"/>
      <c r="I50" s="118"/>
      <c r="J50" s="118"/>
      <c r="K50" s="118"/>
      <c r="L50" s="118"/>
      <c r="M50" s="118"/>
      <c r="N50" s="118"/>
      <c r="O50" s="118"/>
      <c r="P50" s="118"/>
      <c r="Q50" s="118"/>
    </row>
    <row r="51" spans="2:17" ht="15" customHeight="1" x14ac:dyDescent="0.25">
      <c r="B51" s="140" t="s">
        <v>746</v>
      </c>
      <c r="C51" s="120">
        <f ca="1">N36</f>
        <v>36730.239827899713</v>
      </c>
      <c r="D51" s="118"/>
      <c r="E51" s="118"/>
      <c r="F51" s="118"/>
      <c r="G51" s="118"/>
      <c r="H51" s="118"/>
      <c r="I51" s="118"/>
      <c r="J51" s="118"/>
      <c r="K51" s="118"/>
      <c r="L51" s="118"/>
      <c r="M51" s="118"/>
      <c r="N51" s="118"/>
      <c r="O51" s="118"/>
      <c r="P51" s="118"/>
      <c r="Q51" s="118"/>
    </row>
    <row r="52" spans="2:17" ht="15" customHeight="1" x14ac:dyDescent="0.25">
      <c r="B52" s="145" t="s">
        <v>747</v>
      </c>
      <c r="C52" s="149">
        <f ca="1">C50+C51</f>
        <v>53863.832883929441</v>
      </c>
      <c r="D52" s="118"/>
      <c r="E52" s="118"/>
      <c r="F52" s="118"/>
      <c r="G52" s="118"/>
      <c r="H52" s="118"/>
      <c r="I52" s="118"/>
      <c r="J52" s="118"/>
      <c r="K52" s="118"/>
      <c r="L52" s="118"/>
      <c r="M52" s="118"/>
      <c r="N52" s="118"/>
      <c r="O52" s="118"/>
      <c r="P52" s="118"/>
      <c r="Q52" s="118"/>
    </row>
    <row r="53" spans="2:17" ht="15" customHeight="1" x14ac:dyDescent="0.25">
      <c r="B53" s="140" t="s">
        <v>748</v>
      </c>
      <c r="C53" s="120">
        <f>Model!CA428</f>
        <v>12240.587978462001</v>
      </c>
      <c r="D53" s="118"/>
      <c r="E53" s="118"/>
      <c r="F53" s="118"/>
      <c r="G53" s="118"/>
      <c r="H53" s="118"/>
      <c r="I53" s="118"/>
      <c r="J53" s="118"/>
      <c r="K53" s="118"/>
      <c r="L53" s="118"/>
      <c r="M53" s="118"/>
      <c r="N53" s="118"/>
      <c r="O53" s="118"/>
      <c r="P53" s="118"/>
      <c r="Q53" s="118"/>
    </row>
    <row r="54" spans="2:17" ht="15" customHeight="1" x14ac:dyDescent="0.25">
      <c r="B54" s="140" t="s">
        <v>749</v>
      </c>
      <c r="C54" s="120">
        <f>Model!CA331</f>
        <v>2</v>
      </c>
      <c r="D54" s="118"/>
      <c r="E54" s="118"/>
      <c r="F54" s="118"/>
      <c r="G54" s="118"/>
      <c r="H54" s="118"/>
      <c r="I54" s="118"/>
      <c r="J54" s="118"/>
      <c r="K54" s="118"/>
      <c r="L54" s="118"/>
      <c r="M54" s="118"/>
      <c r="N54" s="118"/>
      <c r="O54" s="118"/>
      <c r="P54" s="118"/>
      <c r="Q54" s="118"/>
    </row>
    <row r="55" spans="2:17" ht="15" customHeight="1" x14ac:dyDescent="0.25">
      <c r="B55" s="145" t="s">
        <v>750</v>
      </c>
      <c r="C55" s="149">
        <f ca="1">C52-C53-C54</f>
        <v>41621.244905467436</v>
      </c>
      <c r="D55" s="118"/>
      <c r="E55" s="118"/>
      <c r="F55" s="118"/>
      <c r="G55" s="118"/>
      <c r="H55" s="118"/>
      <c r="I55" s="118"/>
      <c r="J55" s="118"/>
      <c r="K55" s="118"/>
      <c r="L55" s="118"/>
      <c r="M55" s="118"/>
      <c r="N55" s="118"/>
      <c r="O55" s="118"/>
      <c r="P55" s="118"/>
      <c r="Q55" s="118"/>
    </row>
    <row r="56" spans="2:17" ht="15" customHeight="1" x14ac:dyDescent="0.25">
      <c r="B56" s="140" t="s">
        <v>751</v>
      </c>
      <c r="C56" s="132">
        <f>Model!CA434</f>
        <v>71.204401999999988</v>
      </c>
      <c r="D56" s="118"/>
      <c r="E56" s="118"/>
      <c r="F56" s="118"/>
      <c r="G56" s="118"/>
      <c r="H56" s="118"/>
      <c r="I56" s="118"/>
      <c r="J56" s="118"/>
      <c r="K56" s="118"/>
      <c r="L56" s="118"/>
      <c r="M56" s="118"/>
      <c r="N56" s="118"/>
      <c r="O56" s="118"/>
      <c r="P56" s="118"/>
      <c r="Q56" s="118"/>
    </row>
    <row r="57" spans="2:17" ht="15" customHeight="1" x14ac:dyDescent="0.25">
      <c r="B57" s="145" t="s">
        <v>752</v>
      </c>
      <c r="C57" s="154">
        <f ca="1">C55/C56</f>
        <v>584.53190724735589</v>
      </c>
      <c r="D57" s="118"/>
      <c r="E57" s="118"/>
      <c r="F57" s="118"/>
      <c r="G57" s="118"/>
      <c r="H57" s="118"/>
      <c r="I57" s="118"/>
      <c r="J57" s="118"/>
      <c r="K57" s="118"/>
      <c r="L57" s="118"/>
      <c r="M57" s="118"/>
      <c r="N57" s="118"/>
      <c r="O57" s="118"/>
      <c r="P57" s="118"/>
      <c r="Q57" s="118"/>
    </row>
    <row r="58" spans="2:17" ht="15" customHeight="1" x14ac:dyDescent="0.25">
      <c r="B58" s="140" t="s">
        <v>753</v>
      </c>
      <c r="C58" s="133">
        <f>Model!CA433</f>
        <v>485</v>
      </c>
      <c r="D58" s="118"/>
      <c r="E58" s="118"/>
      <c r="F58" s="118"/>
      <c r="G58" s="118"/>
      <c r="H58" s="118"/>
      <c r="I58" s="118"/>
      <c r="J58" s="118"/>
      <c r="K58" s="118"/>
      <c r="L58" s="118"/>
      <c r="M58" s="118"/>
      <c r="N58" s="118"/>
      <c r="O58" s="118"/>
      <c r="P58" s="118"/>
      <c r="Q58" s="118"/>
    </row>
    <row r="59" spans="2:17" ht="15" customHeight="1" x14ac:dyDescent="0.25">
      <c r="B59" s="140" t="s">
        <v>754</v>
      </c>
      <c r="C59" s="131">
        <f ca="1">C57/C58-1</f>
        <v>0.20522042731413581</v>
      </c>
      <c r="D59" s="118"/>
      <c r="E59" s="118"/>
      <c r="F59" s="118"/>
      <c r="G59" s="118"/>
      <c r="H59" s="118"/>
      <c r="I59" s="118"/>
      <c r="J59" s="118"/>
      <c r="K59" s="118"/>
      <c r="L59" s="118"/>
      <c r="M59" s="118"/>
      <c r="N59" s="118"/>
      <c r="O59" s="118"/>
      <c r="P59" s="118"/>
      <c r="Q59" s="118"/>
    </row>
    <row r="60" spans="2:17" ht="15" customHeight="1" x14ac:dyDescent="0.25">
      <c r="B60" s="118" t="s">
        <v>810</v>
      </c>
      <c r="C60" s="121">
        <f>1-((1+C13)/(1+F60))^F61</f>
        <v>0.14972720069101864</v>
      </c>
      <c r="D60" s="118"/>
      <c r="E60" s="159" t="s">
        <v>811</v>
      </c>
      <c r="F60" s="160">
        <v>0.15</v>
      </c>
      <c r="G60" s="118"/>
      <c r="H60" s="118"/>
      <c r="I60" s="118"/>
      <c r="J60" s="118"/>
      <c r="K60" s="118"/>
      <c r="L60" s="118"/>
      <c r="M60" s="118"/>
      <c r="N60" s="118"/>
      <c r="O60" s="118"/>
      <c r="P60" s="118"/>
      <c r="Q60" s="118"/>
    </row>
    <row r="61" spans="2:17" ht="15" customHeight="1" x14ac:dyDescent="0.25">
      <c r="B61" s="118" t="s">
        <v>812</v>
      </c>
      <c r="C61" s="161">
        <f ca="1">C57*(1-C60)</f>
        <v>497.01158106062712</v>
      </c>
      <c r="D61" s="170">
        <f ca="1">C61/C58-1</f>
        <v>2.4766146516757015E-2</v>
      </c>
      <c r="E61" s="159" t="s">
        <v>813</v>
      </c>
      <c r="F61" s="162">
        <v>3</v>
      </c>
      <c r="G61" s="118"/>
      <c r="H61" s="118"/>
      <c r="I61" s="118"/>
      <c r="J61" s="118"/>
      <c r="K61" s="118"/>
      <c r="L61" s="118"/>
      <c r="M61" s="118"/>
      <c r="N61" s="118"/>
      <c r="O61" s="118"/>
      <c r="P61" s="118"/>
      <c r="Q61" s="118"/>
    </row>
    <row r="62" spans="2:17" x14ac:dyDescent="0.25">
      <c r="B62" s="118"/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18"/>
      <c r="O62" s="118"/>
      <c r="P62" s="118"/>
      <c r="Q62" s="118"/>
    </row>
    <row r="63" spans="2:17" x14ac:dyDescent="0.25">
      <c r="B63" s="118"/>
      <c r="C63" s="118"/>
      <c r="D63" s="118"/>
      <c r="E63" s="118"/>
      <c r="F63" s="118"/>
      <c r="G63" s="118"/>
      <c r="H63" s="118"/>
      <c r="I63" s="118"/>
      <c r="J63" s="118"/>
      <c r="K63" s="118"/>
      <c r="L63" s="118"/>
      <c r="M63" s="118"/>
      <c r="N63" s="118"/>
      <c r="O63" s="118"/>
      <c r="P63" s="118"/>
      <c r="Q63" s="118"/>
    </row>
    <row r="64" spans="2:17" ht="15" customHeight="1" x14ac:dyDescent="0.25">
      <c r="B64" s="139" t="s">
        <v>755</v>
      </c>
      <c r="C64" s="118"/>
      <c r="D64" s="118"/>
      <c r="E64" s="118"/>
      <c r="F64" s="118"/>
      <c r="G64" s="118"/>
      <c r="H64" s="118"/>
      <c r="I64" s="118"/>
      <c r="J64" s="118"/>
      <c r="K64" s="118"/>
      <c r="L64" s="118"/>
      <c r="M64" s="118"/>
      <c r="N64" s="118"/>
      <c r="O64" s="118"/>
      <c r="P64" s="118"/>
      <c r="Q64" s="118"/>
    </row>
    <row r="65" spans="2:17" x14ac:dyDescent="0.25">
      <c r="B65" s="118" t="s">
        <v>756</v>
      </c>
      <c r="C65" s="134">
        <v>5.0000000000000001E-3</v>
      </c>
      <c r="D65" s="118"/>
      <c r="E65" s="118"/>
      <c r="F65" s="118"/>
      <c r="G65" s="118"/>
      <c r="H65" s="118"/>
      <c r="I65" s="118"/>
      <c r="J65" s="118"/>
      <c r="K65" s="118"/>
      <c r="L65" s="118"/>
      <c r="M65" s="118"/>
      <c r="N65" s="118"/>
      <c r="O65" s="118"/>
      <c r="P65" s="118"/>
      <c r="Q65" s="118"/>
    </row>
    <row r="66" spans="2:17" ht="15" customHeight="1" x14ac:dyDescent="0.25">
      <c r="B66" s="118" t="s">
        <v>757</v>
      </c>
      <c r="C66" s="134">
        <v>5.0000000000000001E-3</v>
      </c>
      <c r="D66" s="118"/>
      <c r="E66" s="118"/>
      <c r="F66" s="118"/>
      <c r="G66" s="118"/>
      <c r="H66" s="118"/>
      <c r="I66" s="118"/>
      <c r="J66" s="118"/>
      <c r="K66" s="118"/>
      <c r="L66" s="118"/>
      <c r="M66" s="118"/>
      <c r="N66" s="118"/>
      <c r="O66" s="118"/>
      <c r="P66" s="118"/>
      <c r="Q66" s="118"/>
    </row>
    <row r="67" spans="2:17" ht="15" customHeight="1" x14ac:dyDescent="0.25">
      <c r="B67" s="118" t="s">
        <v>758</v>
      </c>
      <c r="C67" s="118"/>
      <c r="D67" s="155">
        <f>E67-$C$65</f>
        <v>7.9475000000000004E-2</v>
      </c>
      <c r="E67" s="155">
        <f>F67-$C$65</f>
        <v>8.4475000000000008E-2</v>
      </c>
      <c r="F67" s="155">
        <f>$C$13</f>
        <v>8.9475000000000013E-2</v>
      </c>
      <c r="G67" s="155">
        <f>F67+$C$65</f>
        <v>9.4475000000000017E-2</v>
      </c>
      <c r="H67" s="155">
        <f>G67+$C$65</f>
        <v>9.9475000000000022E-2</v>
      </c>
      <c r="I67" s="118"/>
      <c r="J67" s="118"/>
      <c r="K67" s="118"/>
      <c r="L67" s="118"/>
      <c r="M67" s="118"/>
      <c r="N67" s="118"/>
      <c r="O67" s="118"/>
      <c r="P67" s="118"/>
      <c r="Q67" s="118"/>
    </row>
    <row r="68" spans="2:17" ht="15" customHeight="1" x14ac:dyDescent="0.25">
      <c r="B68" s="155">
        <f>B69-$C$66</f>
        <v>3.0000000000000002E-2</v>
      </c>
      <c r="C68" s="118"/>
      <c r="D68" s="135">
        <f t="shared" ref="D68:H72" ca="1" si="15">IFERROR((SUMPRODUCT($D$26:$M$26/(1+D$67)^$D$34:$M$34)+($M$26*(1+$B68)/(D$67-$B68))/(1+D$67)^$M$34-$C$53-$C$54)/$C$56,"")</f>
        <v>636.26722645164523</v>
      </c>
      <c r="E68" s="135">
        <f t="shared" ca="1" si="15"/>
        <v>558.35731563922684</v>
      </c>
      <c r="F68" s="135">
        <f t="shared" ca="1" si="15"/>
        <v>493.67323215097269</v>
      </c>
      <c r="G68" s="135">
        <f t="shared" ca="1" si="15"/>
        <v>439.13419230112203</v>
      </c>
      <c r="H68" s="135">
        <f t="shared" ca="1" si="15"/>
        <v>392.54642319207738</v>
      </c>
      <c r="I68" s="118"/>
      <c r="J68" s="118"/>
      <c r="K68" s="118"/>
      <c r="L68" s="118"/>
      <c r="M68" s="118"/>
      <c r="N68" s="118"/>
      <c r="O68" s="118"/>
      <c r="P68" s="118"/>
      <c r="Q68" s="118"/>
    </row>
    <row r="69" spans="2:17" ht="15" customHeight="1" x14ac:dyDescent="0.25">
      <c r="B69" s="155">
        <f>B70-$C$66</f>
        <v>3.5000000000000003E-2</v>
      </c>
      <c r="C69" s="118"/>
      <c r="D69" s="135">
        <f t="shared" ca="1" si="15"/>
        <v>701.81447252413409</v>
      </c>
      <c r="E69" s="135">
        <f t="shared" ca="1" si="15"/>
        <v>609.87251148636096</v>
      </c>
      <c r="F69" s="135">
        <f t="shared" ca="1" si="15"/>
        <v>534.93282784067958</v>
      </c>
      <c r="G69" s="135">
        <f t="shared" ca="1" si="15"/>
        <v>472.7036629362911</v>
      </c>
      <c r="H69" s="135">
        <f t="shared" ca="1" si="15"/>
        <v>420.22467868915572</v>
      </c>
      <c r="I69" s="118"/>
      <c r="J69" s="118"/>
      <c r="K69" s="118"/>
      <c r="L69" s="118"/>
      <c r="M69" s="118"/>
      <c r="N69" s="118"/>
      <c r="O69" s="118"/>
      <c r="P69" s="118"/>
      <c r="Q69" s="118"/>
    </row>
    <row r="70" spans="2:17" ht="15" customHeight="1" x14ac:dyDescent="0.25">
      <c r="B70" s="155">
        <f>$C$32</f>
        <v>0.04</v>
      </c>
      <c r="C70" s="118"/>
      <c r="D70" s="135">
        <f t="shared" ca="1" si="15"/>
        <v>783.96646744335874</v>
      </c>
      <c r="E70" s="135">
        <f t="shared" ca="1" si="15"/>
        <v>672.97066311699882</v>
      </c>
      <c r="F70" s="136">
        <f t="shared" ca="1" si="15"/>
        <v>584.53190724735589</v>
      </c>
      <c r="G70" s="135">
        <f t="shared" ca="1" si="15"/>
        <v>512.4354962396875</v>
      </c>
      <c r="H70" s="135">
        <f t="shared" ca="1" si="15"/>
        <v>452.55669719541072</v>
      </c>
      <c r="I70" s="118"/>
      <c r="J70" s="118"/>
      <c r="K70" s="118"/>
      <c r="L70" s="118"/>
      <c r="M70" s="118"/>
      <c r="N70" s="118"/>
      <c r="O70" s="118"/>
      <c r="P70" s="118"/>
      <c r="Q70" s="118"/>
    </row>
    <row r="71" spans="2:17" ht="15" customHeight="1" x14ac:dyDescent="0.25">
      <c r="B71" s="155">
        <f>B70+$C$66</f>
        <v>4.4999999999999998E-2</v>
      </c>
      <c r="C71" s="118"/>
      <c r="D71" s="135">
        <f t="shared" ca="1" si="15"/>
        <v>889.94790251319216</v>
      </c>
      <c r="E71" s="135">
        <f t="shared" ca="1" si="15"/>
        <v>752.05314701632267</v>
      </c>
      <c r="F71" s="135">
        <f t="shared" ca="1" si="15"/>
        <v>645.28311243406063</v>
      </c>
      <c r="G71" s="135">
        <f t="shared" ca="1" si="15"/>
        <v>560.19801843715118</v>
      </c>
      <c r="H71" s="135">
        <f t="shared" ca="1" si="15"/>
        <v>490.82391873172622</v>
      </c>
      <c r="I71" s="118"/>
      <c r="J71" s="118"/>
      <c r="K71" s="118"/>
      <c r="L71" s="118"/>
      <c r="M71" s="118"/>
      <c r="N71" s="118"/>
      <c r="O71" s="118"/>
      <c r="P71" s="118"/>
      <c r="Q71" s="118"/>
    </row>
    <row r="72" spans="2:17" ht="15" customHeight="1" x14ac:dyDescent="0.25">
      <c r="B72" s="155">
        <f>B71+$C$66</f>
        <v>4.9999999999999996E-2</v>
      </c>
      <c r="C72" s="118"/>
      <c r="D72" s="135">
        <f t="shared" ca="1" si="15"/>
        <v>1031.8857192861078</v>
      </c>
      <c r="E72" s="135">
        <f t="shared" ca="1" si="15"/>
        <v>854.07471253981589</v>
      </c>
      <c r="F72" s="135">
        <f t="shared" ca="1" si="15"/>
        <v>721.42410994165323</v>
      </c>
      <c r="G72" s="135">
        <f t="shared" ca="1" si="15"/>
        <v>618.69972493983403</v>
      </c>
      <c r="H72" s="135">
        <f t="shared" ca="1" si="15"/>
        <v>536.82579848659987</v>
      </c>
      <c r="I72" s="118"/>
      <c r="J72" s="118"/>
      <c r="K72" s="118"/>
      <c r="L72" s="118"/>
      <c r="M72" s="118"/>
      <c r="N72" s="118"/>
      <c r="O72" s="118"/>
      <c r="P72" s="118"/>
      <c r="Q72" s="118"/>
    </row>
    <row r="73" spans="2:17" x14ac:dyDescent="0.25">
      <c r="B73" s="118"/>
      <c r="C73" s="118"/>
      <c r="D73" s="118"/>
      <c r="E73" s="118"/>
      <c r="F73" s="118"/>
      <c r="G73" s="118"/>
      <c r="H73" s="118"/>
      <c r="I73" s="118"/>
      <c r="J73" s="118"/>
      <c r="K73" s="118"/>
      <c r="L73" s="118"/>
      <c r="M73" s="118"/>
      <c r="N73" s="118"/>
      <c r="O73" s="118"/>
      <c r="P73" s="118"/>
      <c r="Q73" s="118"/>
    </row>
    <row r="74" spans="2:17" x14ac:dyDescent="0.25">
      <c r="B74" s="118"/>
      <c r="C74" s="118"/>
      <c r="D74" s="118"/>
      <c r="E74" s="118"/>
      <c r="F74" s="118"/>
      <c r="G74" s="118"/>
      <c r="H74" s="118"/>
      <c r="I74" s="118"/>
      <c r="J74" s="118"/>
      <c r="K74" s="118"/>
      <c r="L74" s="118"/>
      <c r="M74" s="118"/>
      <c r="N74" s="118"/>
      <c r="O74" s="118"/>
      <c r="P74" s="118"/>
      <c r="Q74" s="118"/>
    </row>
    <row r="75" spans="2:17" ht="15" customHeight="1" x14ac:dyDescent="0.25">
      <c r="B75" s="139" t="s">
        <v>759</v>
      </c>
      <c r="C75" s="118"/>
      <c r="D75" s="118"/>
      <c r="E75" s="118"/>
      <c r="F75" s="118"/>
      <c r="G75" s="118"/>
      <c r="H75" s="118"/>
      <c r="I75" s="118"/>
      <c r="J75" s="118"/>
      <c r="K75" s="118"/>
      <c r="L75" s="118"/>
      <c r="M75" s="118"/>
      <c r="N75" s="118"/>
      <c r="O75" s="118"/>
      <c r="P75" s="118"/>
      <c r="Q75" s="118"/>
    </row>
    <row r="76" spans="2:17" ht="15" customHeight="1" x14ac:dyDescent="0.25">
      <c r="B76" s="142" t="s">
        <v>760</v>
      </c>
      <c r="C76" s="118"/>
      <c r="D76" s="118"/>
      <c r="E76" s="118"/>
      <c r="F76" s="118"/>
      <c r="G76" s="118"/>
      <c r="H76" s="118"/>
      <c r="I76" s="118"/>
      <c r="J76" s="118"/>
      <c r="K76" s="118"/>
      <c r="L76" s="118"/>
      <c r="M76" s="118"/>
      <c r="N76" s="118"/>
      <c r="O76" s="118"/>
      <c r="P76" s="118"/>
      <c r="Q76" s="118"/>
    </row>
    <row r="77" spans="2:17" x14ac:dyDescent="0.25">
      <c r="B77" s="118"/>
      <c r="C77" s="118"/>
      <c r="D77" s="118"/>
      <c r="E77" s="118"/>
      <c r="F77" s="118"/>
      <c r="G77" s="118"/>
      <c r="H77" s="118"/>
      <c r="I77" s="118"/>
      <c r="J77" s="118"/>
      <c r="K77" s="118"/>
      <c r="L77" s="118"/>
      <c r="M77" s="118"/>
      <c r="N77" s="118"/>
      <c r="O77" s="118"/>
      <c r="P77" s="118"/>
      <c r="Q77" s="118"/>
    </row>
    <row r="78" spans="2:17" ht="15" customHeight="1" x14ac:dyDescent="0.25">
      <c r="B78" s="139" t="s">
        <v>761</v>
      </c>
      <c r="C78" s="118"/>
      <c r="D78" s="118"/>
      <c r="E78" s="118"/>
      <c r="F78" s="118"/>
      <c r="G78" s="118"/>
      <c r="H78" s="118"/>
      <c r="I78" s="118"/>
      <c r="J78" s="118"/>
      <c r="K78" s="118"/>
      <c r="L78" s="118"/>
      <c r="M78" s="118"/>
      <c r="N78" s="118"/>
      <c r="O78" s="118"/>
      <c r="P78" s="118"/>
      <c r="Q78" s="118"/>
    </row>
    <row r="79" spans="2:17" ht="15" customHeight="1" x14ac:dyDescent="0.25">
      <c r="B79" s="142" t="s">
        <v>762</v>
      </c>
      <c r="C79" s="118"/>
      <c r="D79" s="118"/>
      <c r="E79" s="118"/>
      <c r="F79" s="118"/>
      <c r="G79" s="118"/>
      <c r="H79" s="118"/>
      <c r="I79" s="118"/>
      <c r="J79" s="118"/>
      <c r="K79" s="118"/>
      <c r="L79" s="118"/>
      <c r="M79" s="118"/>
      <c r="N79" s="118"/>
      <c r="O79" s="118"/>
      <c r="P79" s="118"/>
      <c r="Q79" s="118"/>
    </row>
    <row r="80" spans="2:17" ht="15" customHeight="1" x14ac:dyDescent="0.25">
      <c r="B80" s="142" t="s">
        <v>763</v>
      </c>
      <c r="C80" s="118"/>
      <c r="D80" s="118"/>
      <c r="E80" s="118"/>
      <c r="F80" s="118"/>
      <c r="G80" s="118"/>
      <c r="H80" s="118"/>
      <c r="I80" s="118"/>
      <c r="J80" s="118"/>
      <c r="K80" s="118"/>
      <c r="L80" s="118"/>
      <c r="M80" s="118"/>
      <c r="N80" s="118"/>
      <c r="O80" s="118"/>
      <c r="P80" s="118"/>
      <c r="Q80" s="118"/>
    </row>
    <row r="81" spans="2:17" x14ac:dyDescent="0.25">
      <c r="B81" s="118"/>
      <c r="C81" s="118"/>
      <c r="D81" s="118"/>
      <c r="E81" s="118"/>
      <c r="F81" s="118"/>
      <c r="G81" s="118"/>
      <c r="H81" s="118"/>
      <c r="I81" s="118"/>
      <c r="J81" s="118"/>
      <c r="K81" s="118"/>
      <c r="L81" s="118"/>
      <c r="M81" s="118"/>
      <c r="N81" s="118"/>
      <c r="O81" s="118"/>
      <c r="P81" s="118"/>
      <c r="Q81" s="118"/>
    </row>
    <row r="82" spans="2:17" ht="15" customHeight="1" x14ac:dyDescent="0.25">
      <c r="B82" s="139" t="s">
        <v>764</v>
      </c>
      <c r="C82" s="139" t="s">
        <v>765</v>
      </c>
      <c r="D82" s="139" t="s">
        <v>766</v>
      </c>
      <c r="E82" s="118"/>
      <c r="F82" s="118"/>
      <c r="G82" s="118"/>
      <c r="H82" s="118"/>
      <c r="I82" s="118"/>
      <c r="J82" s="118"/>
      <c r="K82" s="118"/>
      <c r="L82" s="118"/>
      <c r="M82" s="118"/>
      <c r="N82" s="118"/>
      <c r="O82" s="118"/>
      <c r="P82" s="118"/>
      <c r="Q82" s="118"/>
    </row>
    <row r="83" spans="2:17" ht="15" customHeight="1" x14ac:dyDescent="0.25">
      <c r="B83" s="118" t="s">
        <v>767</v>
      </c>
      <c r="C83" s="156">
        <f>$C$13</f>
        <v>8.9475000000000013E-2</v>
      </c>
      <c r="D83" s="142" t="s">
        <v>768</v>
      </c>
      <c r="E83" s="118"/>
      <c r="F83" s="118"/>
      <c r="G83" s="118"/>
      <c r="H83" s="118"/>
      <c r="I83" s="118"/>
      <c r="J83" s="118"/>
      <c r="K83" s="118"/>
      <c r="L83" s="118"/>
      <c r="M83" s="118"/>
      <c r="N83" s="118"/>
      <c r="O83" s="118"/>
      <c r="P83" s="118"/>
      <c r="Q83" s="118"/>
    </row>
    <row r="84" spans="2:17" ht="15" customHeight="1" x14ac:dyDescent="0.25">
      <c r="B84" s="118" t="s">
        <v>769</v>
      </c>
      <c r="C84" s="141">
        <v>0.09</v>
      </c>
      <c r="D84" s="142" t="s">
        <v>770</v>
      </c>
      <c r="E84" s="118"/>
      <c r="F84" s="118"/>
      <c r="G84" s="118"/>
      <c r="H84" s="118"/>
      <c r="I84" s="118"/>
      <c r="J84" s="118"/>
      <c r="K84" s="118"/>
      <c r="L84" s="118"/>
      <c r="M84" s="118"/>
      <c r="N84" s="118"/>
      <c r="O84" s="118"/>
      <c r="P84" s="118"/>
      <c r="Q84" s="118"/>
    </row>
    <row r="85" spans="2:17" ht="15" customHeight="1" x14ac:dyDescent="0.25">
      <c r="B85" s="118" t="s">
        <v>771</v>
      </c>
      <c r="C85" s="141">
        <v>0.15</v>
      </c>
      <c r="D85" s="142" t="s">
        <v>772</v>
      </c>
      <c r="E85" s="118"/>
      <c r="F85" s="118"/>
      <c r="G85" s="118"/>
      <c r="H85" s="118"/>
      <c r="I85" s="118"/>
      <c r="J85" s="118"/>
      <c r="K85" s="118"/>
      <c r="L85" s="118"/>
      <c r="M85" s="118"/>
      <c r="N85" s="118"/>
      <c r="O85" s="118"/>
      <c r="P85" s="118"/>
      <c r="Q85" s="118"/>
    </row>
    <row r="86" spans="2:17" ht="15" customHeight="1" x14ac:dyDescent="0.25">
      <c r="B86" s="118" t="s">
        <v>773</v>
      </c>
      <c r="C86" s="157">
        <v>15</v>
      </c>
      <c r="D86" s="142" t="s">
        <v>774</v>
      </c>
      <c r="E86" s="118"/>
      <c r="F86" s="118"/>
      <c r="G86" s="118"/>
      <c r="H86" s="118"/>
      <c r="I86" s="118"/>
      <c r="J86" s="118"/>
      <c r="K86" s="118"/>
      <c r="L86" s="118"/>
      <c r="M86" s="118"/>
      <c r="N86" s="118"/>
      <c r="O86" s="118"/>
      <c r="P86" s="118"/>
      <c r="Q86" s="118"/>
    </row>
    <row r="87" spans="2:17" x14ac:dyDescent="0.25">
      <c r="B87" s="118"/>
      <c r="C87" s="118"/>
      <c r="D87" s="118"/>
      <c r="E87" s="118"/>
      <c r="F87" s="118"/>
      <c r="G87" s="118"/>
      <c r="H87" s="118"/>
      <c r="I87" s="118"/>
      <c r="J87" s="118"/>
      <c r="K87" s="118"/>
      <c r="L87" s="118"/>
      <c r="M87" s="118"/>
      <c r="N87" s="118"/>
      <c r="O87" s="118"/>
      <c r="P87" s="118"/>
      <c r="Q87" s="118"/>
    </row>
    <row r="88" spans="2:17" ht="15" customHeight="1" x14ac:dyDescent="0.25">
      <c r="B88" s="139" t="s">
        <v>775</v>
      </c>
      <c r="C88" s="139" t="s">
        <v>765</v>
      </c>
      <c r="D88" s="118"/>
      <c r="E88" s="118"/>
      <c r="F88" s="118"/>
      <c r="G88" s="118"/>
      <c r="H88" s="118"/>
      <c r="I88" s="118"/>
      <c r="J88" s="118"/>
      <c r="K88" s="118"/>
      <c r="L88" s="118"/>
      <c r="M88" s="118"/>
      <c r="N88" s="118"/>
      <c r="O88" s="118"/>
      <c r="P88" s="118"/>
      <c r="Q88" s="118"/>
    </row>
    <row r="89" spans="2:17" ht="15" customHeight="1" x14ac:dyDescent="0.25">
      <c r="B89" s="118" t="s">
        <v>776</v>
      </c>
      <c r="C89" s="125">
        <f>1/C83</f>
        <v>11.176306230790722</v>
      </c>
      <c r="D89" s="118"/>
      <c r="E89" s="118"/>
      <c r="F89" s="118"/>
      <c r="G89" s="118"/>
      <c r="H89" s="118"/>
      <c r="I89" s="118"/>
      <c r="J89" s="118"/>
      <c r="K89" s="118"/>
      <c r="L89" s="118"/>
      <c r="M89" s="118"/>
      <c r="N89" s="118"/>
      <c r="O89" s="118"/>
      <c r="P89" s="118"/>
      <c r="Q89" s="118"/>
    </row>
    <row r="90" spans="2:17" ht="15" customHeight="1" x14ac:dyDescent="0.25">
      <c r="B90" s="118" t="s">
        <v>777</v>
      </c>
      <c r="C90" s="125">
        <f>1-C83/C85</f>
        <v>0.40349999999999986</v>
      </c>
      <c r="D90" s="118"/>
      <c r="E90" s="118"/>
      <c r="F90" s="118"/>
      <c r="G90" s="118"/>
      <c r="H90" s="118"/>
      <c r="I90" s="118"/>
      <c r="J90" s="118"/>
      <c r="K90" s="118"/>
      <c r="L90" s="118"/>
      <c r="M90" s="118"/>
      <c r="N90" s="118"/>
      <c r="O90" s="118"/>
      <c r="P90" s="118"/>
      <c r="Q90" s="118"/>
    </row>
    <row r="91" spans="2:17" ht="15" customHeight="1" x14ac:dyDescent="0.25">
      <c r="B91" s="118" t="s">
        <v>778</v>
      </c>
      <c r="C91" s="125">
        <f>C84*C90/(C83*(C83-C84))</f>
        <v>-773.08106813557606</v>
      </c>
      <c r="D91" s="118"/>
      <c r="E91" s="118"/>
      <c r="F91" s="118"/>
      <c r="G91" s="118"/>
      <c r="H91" s="118"/>
      <c r="I91" s="118"/>
      <c r="J91" s="118"/>
      <c r="K91" s="118"/>
      <c r="L91" s="118"/>
      <c r="M91" s="118"/>
      <c r="N91" s="118"/>
      <c r="O91" s="118"/>
      <c r="P91" s="118"/>
      <c r="Q91" s="118"/>
    </row>
    <row r="92" spans="2:17" ht="15" customHeight="1" x14ac:dyDescent="0.25">
      <c r="B92" s="118" t="s">
        <v>779</v>
      </c>
      <c r="C92" s="125">
        <f>1-((1+C84)/(1+C83))^C86</f>
        <v>-7.2526853543739556E-3</v>
      </c>
      <c r="D92" s="118"/>
      <c r="E92" s="118"/>
      <c r="F92" s="118"/>
      <c r="G92" s="118"/>
      <c r="H92" s="118"/>
      <c r="I92" s="118"/>
      <c r="J92" s="118"/>
      <c r="K92" s="118"/>
      <c r="L92" s="118"/>
      <c r="M92" s="118"/>
      <c r="N92" s="118"/>
      <c r="O92" s="118"/>
      <c r="P92" s="118"/>
      <c r="Q92" s="118"/>
    </row>
    <row r="93" spans="2:17" ht="15" customHeight="1" x14ac:dyDescent="0.25">
      <c r="B93" s="118" t="s">
        <v>780</v>
      </c>
      <c r="C93" s="125">
        <f>C91*C92</f>
        <v>5.6069137406106666</v>
      </c>
      <c r="D93" s="118"/>
      <c r="E93" s="118"/>
      <c r="F93" s="118"/>
      <c r="G93" s="118"/>
      <c r="H93" s="118"/>
      <c r="I93" s="118"/>
      <c r="J93" s="118"/>
      <c r="K93" s="118"/>
      <c r="L93" s="118"/>
      <c r="M93" s="118"/>
      <c r="N93" s="118"/>
      <c r="O93" s="118"/>
      <c r="P93" s="118"/>
      <c r="Q93" s="118"/>
    </row>
    <row r="94" spans="2:17" ht="15" customHeight="1" x14ac:dyDescent="0.25">
      <c r="B94" s="138" t="s">
        <v>781</v>
      </c>
      <c r="C94" s="158">
        <f>C89+C93</f>
        <v>16.783219971401387</v>
      </c>
      <c r="D94" s="118"/>
      <c r="E94" s="118"/>
      <c r="F94" s="118"/>
      <c r="G94" s="118"/>
      <c r="H94" s="118"/>
      <c r="I94" s="118"/>
      <c r="J94" s="118"/>
      <c r="K94" s="118"/>
      <c r="L94" s="118"/>
      <c r="M94" s="118"/>
      <c r="N94" s="118"/>
      <c r="O94" s="118"/>
      <c r="P94" s="118"/>
      <c r="Q94" s="118"/>
    </row>
    <row r="95" spans="2:17" x14ac:dyDescent="0.25">
      <c r="B95" s="118"/>
      <c r="C95" s="118"/>
      <c r="D95" s="118"/>
      <c r="E95" s="118"/>
      <c r="F95" s="118"/>
      <c r="G95" s="118"/>
      <c r="H95" s="118"/>
      <c r="I95" s="118"/>
      <c r="J95" s="118"/>
      <c r="K95" s="118"/>
      <c r="L95" s="118"/>
      <c r="M95" s="118"/>
      <c r="N95" s="118"/>
      <c r="O95" s="118"/>
      <c r="P95" s="118"/>
      <c r="Q95" s="118"/>
    </row>
    <row r="96" spans="2:17" ht="15" customHeight="1" x14ac:dyDescent="0.25">
      <c r="B96" s="139" t="s">
        <v>782</v>
      </c>
      <c r="C96" s="139" t="s">
        <v>783</v>
      </c>
      <c r="D96" s="118"/>
      <c r="E96" s="118"/>
      <c r="F96" s="118"/>
      <c r="G96" s="118"/>
      <c r="H96" s="118"/>
      <c r="I96" s="118"/>
      <c r="J96" s="118"/>
      <c r="K96" s="118"/>
      <c r="L96" s="118"/>
      <c r="M96" s="118"/>
      <c r="N96" s="118"/>
      <c r="O96" s="118"/>
      <c r="P96" s="118"/>
      <c r="Q96" s="118"/>
    </row>
    <row r="97" spans="2:17" ht="15" customHeight="1" x14ac:dyDescent="0.25">
      <c r="B97" s="118" t="s">
        <v>784</v>
      </c>
      <c r="C97" s="120">
        <f>Model!CC219</f>
        <v>2712.5870294784449</v>
      </c>
      <c r="D97" s="118"/>
      <c r="E97" s="118"/>
      <c r="F97" s="118"/>
      <c r="G97" s="118"/>
      <c r="H97" s="118"/>
      <c r="I97" s="118"/>
      <c r="J97" s="118"/>
      <c r="K97" s="118"/>
      <c r="L97" s="118"/>
      <c r="M97" s="118"/>
      <c r="N97" s="118"/>
      <c r="O97" s="118"/>
      <c r="P97" s="118"/>
      <c r="Q97" s="118"/>
    </row>
    <row r="98" spans="2:17" ht="15" customHeight="1" x14ac:dyDescent="0.25">
      <c r="B98" s="118" t="s">
        <v>785</v>
      </c>
      <c r="C98" s="120">
        <f>-Model!CC164</f>
        <v>-10</v>
      </c>
      <c r="D98" s="118"/>
      <c r="E98" s="118"/>
      <c r="F98" s="118"/>
      <c r="G98" s="118"/>
      <c r="H98" s="118"/>
      <c r="I98" s="118"/>
      <c r="J98" s="118"/>
      <c r="K98" s="118"/>
      <c r="L98" s="118"/>
      <c r="M98" s="118"/>
      <c r="N98" s="118"/>
      <c r="O98" s="118"/>
      <c r="P98" s="118"/>
      <c r="Q98" s="118"/>
    </row>
    <row r="99" spans="2:17" ht="15" customHeight="1" x14ac:dyDescent="0.25">
      <c r="B99" s="118" t="s">
        <v>786</v>
      </c>
      <c r="C99" s="131">
        <f>$C$10</f>
        <v>0.22</v>
      </c>
      <c r="D99" s="118"/>
      <c r="E99" s="118"/>
      <c r="F99" s="118"/>
      <c r="G99" s="118"/>
      <c r="H99" s="118"/>
      <c r="I99" s="118"/>
      <c r="J99" s="118"/>
      <c r="K99" s="118"/>
      <c r="L99" s="118"/>
      <c r="M99" s="118"/>
      <c r="N99" s="118"/>
      <c r="O99" s="118"/>
      <c r="P99" s="118"/>
      <c r="Q99" s="118"/>
    </row>
    <row r="100" spans="2:17" ht="15" customHeight="1" x14ac:dyDescent="0.25">
      <c r="B100" s="118" t="s">
        <v>787</v>
      </c>
      <c r="C100" s="120">
        <f>(C97+C98)*(1-C99)</f>
        <v>2108.017882993187</v>
      </c>
      <c r="D100" s="118"/>
      <c r="E100" s="118"/>
      <c r="F100" s="118"/>
      <c r="G100" s="118"/>
      <c r="H100" s="118"/>
      <c r="I100" s="118"/>
      <c r="J100" s="118"/>
      <c r="K100" s="118"/>
      <c r="L100" s="118"/>
      <c r="M100" s="118"/>
      <c r="N100" s="118"/>
      <c r="O100" s="118"/>
      <c r="P100" s="118"/>
      <c r="Q100" s="118"/>
    </row>
    <row r="101" spans="2:17" ht="15" customHeight="1" x14ac:dyDescent="0.25">
      <c r="B101" s="118" t="s">
        <v>788</v>
      </c>
      <c r="C101" s="137">
        <f>C94</f>
        <v>16.783219971401387</v>
      </c>
      <c r="D101" s="118"/>
      <c r="E101" s="118"/>
      <c r="F101" s="118"/>
      <c r="G101" s="118"/>
      <c r="H101" s="118"/>
      <c r="I101" s="118"/>
      <c r="J101" s="118"/>
      <c r="K101" s="118"/>
      <c r="L101" s="118"/>
      <c r="M101" s="118"/>
      <c r="N101" s="118"/>
      <c r="O101" s="118"/>
      <c r="P101" s="118"/>
      <c r="Q101" s="118"/>
    </row>
    <row r="102" spans="2:17" ht="15" customHeight="1" x14ac:dyDescent="0.25">
      <c r="B102" s="118" t="s">
        <v>789</v>
      </c>
      <c r="C102" s="120">
        <f>C100*C101</f>
        <v>35379.327833922529</v>
      </c>
      <c r="D102" s="118"/>
      <c r="E102" s="118"/>
      <c r="F102" s="118"/>
      <c r="G102" s="118"/>
      <c r="H102" s="118"/>
      <c r="I102" s="118"/>
      <c r="J102" s="118"/>
      <c r="K102" s="118"/>
      <c r="L102" s="118"/>
      <c r="M102" s="118"/>
      <c r="N102" s="118"/>
      <c r="O102" s="118"/>
      <c r="P102" s="118"/>
      <c r="Q102" s="118"/>
    </row>
    <row r="103" spans="2:17" ht="15" customHeight="1" x14ac:dyDescent="0.25">
      <c r="B103" s="118" t="s">
        <v>790</v>
      </c>
      <c r="C103" s="120">
        <f>Model!CB428+Model!CB331</f>
        <v>11007.269948286974</v>
      </c>
      <c r="D103" s="118"/>
      <c r="E103" s="118"/>
      <c r="F103" s="118"/>
      <c r="G103" s="118"/>
      <c r="H103" s="118"/>
      <c r="I103" s="118"/>
      <c r="J103" s="118"/>
      <c r="K103" s="118"/>
      <c r="L103" s="118"/>
      <c r="M103" s="118"/>
      <c r="N103" s="118"/>
      <c r="O103" s="118"/>
      <c r="P103" s="118"/>
      <c r="Q103" s="118"/>
    </row>
    <row r="104" spans="2:17" ht="15" customHeight="1" x14ac:dyDescent="0.25">
      <c r="B104" s="118" t="s">
        <v>791</v>
      </c>
      <c r="C104" s="120">
        <f>C102-C103</f>
        <v>24372.057885635557</v>
      </c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N104" s="118"/>
      <c r="O104" s="118"/>
      <c r="P104" s="118"/>
      <c r="Q104" s="118"/>
    </row>
    <row r="105" spans="2:17" ht="15" customHeight="1" x14ac:dyDescent="0.25">
      <c r="B105" s="118" t="s">
        <v>792</v>
      </c>
      <c r="C105" s="120">
        <f>Model!CC434</f>
        <v>71.55440200000001</v>
      </c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18"/>
      <c r="O105" s="118"/>
      <c r="P105" s="118"/>
      <c r="Q105" s="118"/>
    </row>
    <row r="106" spans="2:17" ht="15" customHeight="1" x14ac:dyDescent="0.25">
      <c r="B106" s="118" t="s">
        <v>793</v>
      </c>
      <c r="C106" s="133">
        <f>C104/C105</f>
        <v>340.6087844272048</v>
      </c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  <c r="O106" s="118"/>
      <c r="P106" s="118"/>
      <c r="Q106" s="118"/>
    </row>
    <row r="107" spans="2:17" x14ac:dyDescent="0.25"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  <c r="O107" s="118"/>
      <c r="P107" s="118"/>
      <c r="Q107" s="118"/>
    </row>
    <row r="108" spans="2:17" ht="15" customHeight="1" x14ac:dyDescent="0.25">
      <c r="B108" s="118" t="s">
        <v>753</v>
      </c>
      <c r="C108" s="133">
        <f>C58</f>
        <v>485</v>
      </c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  <c r="O108" s="118"/>
      <c r="P108" s="118"/>
      <c r="Q108" s="118"/>
    </row>
    <row r="109" spans="2:17" ht="15" customHeight="1" x14ac:dyDescent="0.25">
      <c r="B109" s="118" t="s">
        <v>754</v>
      </c>
      <c r="C109" s="131">
        <f>C106/C108-1</f>
        <v>-0.29771384654184574</v>
      </c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  <c r="O109" s="118"/>
      <c r="P109" s="118"/>
      <c r="Q109" s="118"/>
    </row>
    <row r="110" spans="2:17" x14ac:dyDescent="0.25">
      <c r="B110" s="118"/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18"/>
      <c r="O110" s="118"/>
      <c r="P110" s="118"/>
      <c r="Q110" s="118"/>
    </row>
    <row r="111" spans="2:17" ht="15" customHeight="1" x14ac:dyDescent="0.25">
      <c r="B111" s="139" t="s">
        <v>794</v>
      </c>
      <c r="C111" s="139" t="s">
        <v>783</v>
      </c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18"/>
      <c r="O111" s="118"/>
      <c r="P111" s="118"/>
      <c r="Q111" s="118"/>
    </row>
    <row r="112" spans="2:17" ht="15" customHeight="1" x14ac:dyDescent="0.25">
      <c r="B112" s="118" t="s">
        <v>795</v>
      </c>
      <c r="C112" s="120">
        <f>C58*C56</f>
        <v>34534.134969999992</v>
      </c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18"/>
      <c r="O112" s="118"/>
      <c r="P112" s="118"/>
      <c r="Q112" s="118"/>
    </row>
    <row r="113" spans="2:17" ht="15" customHeight="1" x14ac:dyDescent="0.25">
      <c r="B113" s="118" t="s">
        <v>796</v>
      </c>
      <c r="C113" s="120">
        <f>C53+C54</f>
        <v>12242.587978462001</v>
      </c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18"/>
      <c r="O113" s="118"/>
      <c r="P113" s="118"/>
      <c r="Q113" s="118"/>
    </row>
    <row r="114" spans="2:17" ht="15" customHeight="1" x14ac:dyDescent="0.25">
      <c r="B114" s="118" t="s">
        <v>797</v>
      </c>
      <c r="C114" s="120">
        <f>C112+C113</f>
        <v>46776.722948461989</v>
      </c>
      <c r="D114" s="118"/>
      <c r="E114" s="118"/>
      <c r="F114" s="118"/>
      <c r="G114" s="118"/>
      <c r="H114" s="118"/>
      <c r="I114" s="118"/>
      <c r="J114" s="118"/>
      <c r="K114" s="118"/>
      <c r="L114" s="118"/>
      <c r="M114" s="118"/>
      <c r="N114" s="118"/>
      <c r="O114" s="118"/>
      <c r="P114" s="118"/>
      <c r="Q114" s="118"/>
    </row>
    <row r="115" spans="2:17" ht="15" customHeight="1" x14ac:dyDescent="0.25">
      <c r="B115" s="118" t="s">
        <v>798</v>
      </c>
      <c r="C115" s="137">
        <f>C114/C100</f>
        <v>22.189908029643206</v>
      </c>
      <c r="D115" s="118"/>
      <c r="E115" s="118"/>
      <c r="F115" s="118"/>
      <c r="G115" s="118"/>
      <c r="H115" s="118"/>
      <c r="I115" s="118"/>
      <c r="J115" s="118"/>
      <c r="K115" s="118"/>
      <c r="L115" s="118"/>
      <c r="M115" s="118"/>
      <c r="N115" s="118"/>
      <c r="O115" s="118"/>
      <c r="P115" s="118"/>
      <c r="Q115" s="118"/>
    </row>
    <row r="116" spans="2:17" x14ac:dyDescent="0.25">
      <c r="B116" s="118"/>
      <c r="C116" s="118"/>
      <c r="D116" s="118"/>
      <c r="E116" s="118"/>
      <c r="F116" s="118"/>
      <c r="G116" s="118"/>
      <c r="H116" s="118"/>
      <c r="I116" s="118"/>
      <c r="J116" s="118"/>
      <c r="K116" s="118"/>
      <c r="L116" s="118"/>
      <c r="M116" s="118"/>
      <c r="N116" s="118"/>
      <c r="O116" s="118"/>
      <c r="P116" s="118"/>
      <c r="Q116" s="118"/>
    </row>
    <row r="117" spans="2:17" ht="15" customHeight="1" x14ac:dyDescent="0.25">
      <c r="B117" s="118" t="s">
        <v>799</v>
      </c>
      <c r="C117" s="137">
        <f>C94-C115</f>
        <v>-5.4066880582418193</v>
      </c>
      <c r="D117" s="118"/>
      <c r="E117" s="118"/>
      <c r="F117" s="118"/>
      <c r="G117" s="118"/>
      <c r="H117" s="118"/>
      <c r="I117" s="118"/>
      <c r="J117" s="118"/>
      <c r="K117" s="118"/>
      <c r="L117" s="118"/>
      <c r="M117" s="118"/>
      <c r="N117" s="118"/>
      <c r="O117" s="118"/>
      <c r="P117" s="118"/>
      <c r="Q117" s="118"/>
    </row>
    <row r="118" spans="2:17" ht="15" customHeight="1" x14ac:dyDescent="0.25">
      <c r="B118" s="118" t="s">
        <v>800</v>
      </c>
      <c r="C118" s="131">
        <f>C94/C115-1</f>
        <v>-0.24365527117188124</v>
      </c>
      <c r="D118" s="118"/>
      <c r="E118" s="118"/>
      <c r="F118" s="118"/>
      <c r="G118" s="118"/>
      <c r="H118" s="118"/>
      <c r="I118" s="118"/>
      <c r="J118" s="118"/>
      <c r="K118" s="118"/>
      <c r="L118" s="118"/>
      <c r="M118" s="118"/>
      <c r="N118" s="118"/>
      <c r="O118" s="118"/>
      <c r="P118" s="118"/>
      <c r="Q118" s="118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V21"/>
  <sheetViews>
    <sheetView zoomScale="70" zoomScaleNormal="70" workbookViewId="0"/>
  </sheetViews>
  <sheetFormatPr defaultColWidth="8.5703125" defaultRowHeight="15" x14ac:dyDescent="0.25"/>
  <cols>
    <col min="2" max="2" width="30" customWidth="1"/>
  </cols>
  <sheetData>
    <row r="2" spans="2:22" ht="17.25" customHeight="1" x14ac:dyDescent="0.3">
      <c r="B2" s="115" t="s">
        <v>801</v>
      </c>
    </row>
    <row r="3" spans="2:22" ht="15" customHeight="1" x14ac:dyDescent="0.25">
      <c r="B3" s="4" t="s">
        <v>802</v>
      </c>
    </row>
    <row r="7" spans="2:22" ht="15" customHeight="1" x14ac:dyDescent="0.25">
      <c r="C7" s="11">
        <v>2006</v>
      </c>
      <c r="D7" s="11">
        <v>2007</v>
      </c>
      <c r="E7" s="11">
        <v>2008</v>
      </c>
      <c r="F7" s="11">
        <v>2009</v>
      </c>
      <c r="G7" s="11">
        <v>2010</v>
      </c>
      <c r="H7" s="11">
        <v>2011</v>
      </c>
      <c r="I7" s="11">
        <v>2012</v>
      </c>
      <c r="J7" s="11">
        <v>2013</v>
      </c>
      <c r="K7" s="11">
        <v>2014</v>
      </c>
      <c r="L7" s="11">
        <v>2015</v>
      </c>
      <c r="M7" s="11">
        <v>2016</v>
      </c>
      <c r="N7" s="11">
        <v>2017</v>
      </c>
      <c r="O7" s="11">
        <v>2018</v>
      </c>
      <c r="P7" s="11">
        <v>2019</v>
      </c>
      <c r="Q7" s="11">
        <v>2020</v>
      </c>
      <c r="R7" s="11">
        <v>2021</v>
      </c>
      <c r="S7" s="11">
        <v>2022</v>
      </c>
      <c r="T7" s="11">
        <v>2023</v>
      </c>
      <c r="U7" s="11">
        <v>2024</v>
      </c>
      <c r="V7" s="11">
        <v>2025</v>
      </c>
    </row>
    <row r="8" spans="2:22" ht="15" customHeight="1" x14ac:dyDescent="0.25">
      <c r="B8" t="s">
        <v>803</v>
      </c>
      <c r="C8" s="116">
        <f>IFERROR(Model!C12+0,IFERROR(Model!C30+0,0))</f>
        <v>0</v>
      </c>
      <c r="D8" s="116">
        <f>IFERROR(Model!D12+0,IFERROR(Model!D30+0,0))</f>
        <v>-8.1434832989067507E-2</v>
      </c>
      <c r="E8" s="116">
        <f>IFERROR(Model!E12+0,IFERROR(Model!E30+0,0))</f>
        <v>-0.12598861380165205</v>
      </c>
      <c r="F8" s="116">
        <f>IFERROR(Model!F12+0,IFERROR(Model!F30+0,0))</f>
        <v>-0.22562203884409027</v>
      </c>
      <c r="G8" s="116">
        <f>IFERROR(Model!G12+0,IFERROR(Model!G30+0,0))</f>
        <v>5.353279146846468E-2</v>
      </c>
      <c r="H8" s="116">
        <f>IFERROR(Model!H12+0,IFERROR(Model!H30+0,0))</f>
        <v>-3.7944110701731537E-2</v>
      </c>
      <c r="I8" s="116">
        <f>IFERROR(Model!I12+0,IFERROR(Model!I30+0,0))</f>
        <v>2.6040583974287212E-2</v>
      </c>
      <c r="J8" s="116">
        <f>IFERROR(Model!N12+0,IFERROR(Model!N30+0,0))</f>
        <v>7.9481964607142075E-4</v>
      </c>
      <c r="K8" s="116">
        <f>IFERROR(Model!S12+0,IFERROR(Model!S30+0,0))</f>
        <v>0.13716879618166677</v>
      </c>
      <c r="L8" s="116">
        <f>IFERROR(Model!X12+0,IFERROR(Model!X30+0,0))</f>
        <v>7.1016775077028305E-2</v>
      </c>
      <c r="M8" s="116">
        <f>IFERROR(Model!AC12+0,IFERROR(Model!AC30+0,0))</f>
        <v>1.4090089629336111E-2</v>
      </c>
      <c r="N8" s="116">
        <f>IFERROR(Model!AH12+0,IFERROR(Model!AH30+0,0))</f>
        <v>-5.8502389267837129E-3</v>
      </c>
      <c r="O8" s="116">
        <f>IFERROR(Model!AM12+0,IFERROR(Model!AM30+0,0))</f>
        <v>8.3311139012542945E-2</v>
      </c>
      <c r="P8" s="116">
        <f>IFERROR(Model!AR12+0,IFERROR(Model!AR30+0,0))</f>
        <v>0.11876887775410339</v>
      </c>
      <c r="Q8" s="116">
        <f>IFERROR(Model!AW12+0,IFERROR(Model!AW30+0,0))</f>
        <v>-2.420392829860929E-2</v>
      </c>
      <c r="R8" s="116">
        <f>IFERROR(Model!BB12+0,IFERROR(Model!BB30+0,0))</f>
        <v>7.8820375335120652E-2</v>
      </c>
      <c r="S8" s="116">
        <f>IFERROR(Model!BG12+0,IFERROR(Model!BG30+0,0))</f>
        <v>3.2306163021868839E-2</v>
      </c>
      <c r="T8" s="116">
        <f>IFERROR(Model!BL12+0,IFERROR(Model!BL30+0,0))</f>
        <v>-4.2850264805007088E-2</v>
      </c>
      <c r="U8" s="116">
        <f>IFERROR(Model!BQ12+0,IFERROR(Model!BQ30+0,0))</f>
        <v>-3.8732394366197243E-2</v>
      </c>
      <c r="V8" s="116">
        <f>IFERROR(Model!BV12+0,IFERROR(Model!BV30+0,0))</f>
        <v>3.8723181580324395E-2</v>
      </c>
    </row>
    <row r="9" spans="2:22" ht="15" customHeight="1" x14ac:dyDescent="0.25">
      <c r="B9" t="s">
        <v>804</v>
      </c>
      <c r="C9" s="116">
        <f>IFERROR(Model!C14+0,IFERROR(Model!C31+0,0))</f>
        <v>0</v>
      </c>
      <c r="D9" s="116">
        <f>IFERROR(Model!D14+0,IFERROR(Model!D31+0,0))</f>
        <v>0.104</v>
      </c>
      <c r="E9" s="116">
        <f>IFERROR(Model!E14+0,IFERROR(Model!E31+0,0))</f>
        <v>6.9000000000000006E-2</v>
      </c>
      <c r="F9" s="116">
        <f>IFERROR(Model!F14+0,IFERROR(Model!F31+0,0))</f>
        <v>2.1000000000000001E-2</v>
      </c>
      <c r="G9" s="116">
        <f>IFERROR(Model!G14+0,IFERROR(Model!G31+0,0))</f>
        <v>-3.4000000000000002E-2</v>
      </c>
      <c r="H9" s="116">
        <f>IFERROR(Model!H14+0,IFERROR(Model!H31+0,0))</f>
        <v>2.7E-2</v>
      </c>
      <c r="I9" s="116">
        <f>IFERROR(Model!I14+0,IFERROR(Model!I31+0,0))</f>
        <v>8.0000000000000002E-3</v>
      </c>
      <c r="J9" s="116">
        <f>IFERROR(Model!N14+0,IFERROR(Model!N31+0,0))</f>
        <v>2.9041626331074655E-2</v>
      </c>
      <c r="K9" s="116">
        <f>IFERROR(Model!S14+0,IFERROR(Model!S31+0,0))</f>
        <v>4.4999999999999998E-2</v>
      </c>
      <c r="L9" s="116">
        <f>IFERROR(Model!X14+0,IFERROR(Model!X31+0,0))</f>
        <v>0.08</v>
      </c>
      <c r="M9" s="116">
        <f>IFERROR(Model!AC14+0,IFERROR(Model!AC31+0,0))</f>
        <v>7.2999999999999995E-2</v>
      </c>
      <c r="N9" s="116">
        <f>IFERROR(Model!AH14+0,IFERROR(Model!AH31+0,0))</f>
        <v>4.5031055900621064E-2</v>
      </c>
      <c r="O9" s="116">
        <f>IFERROR(Model!AM14+0,IFERROR(Model!AM31+0,0))</f>
        <v>1.857355126300142E-2</v>
      </c>
      <c r="P9" s="116">
        <f>IFERROR(Model!AR14+0,IFERROR(Model!AR31+0,0))</f>
        <v>4.5222465353756292E-2</v>
      </c>
      <c r="Q9" s="116">
        <f>IFERROR(Model!AW14+0,IFERROR(Model!AW31+0,0))</f>
        <v>3.0704815073272718E-2</v>
      </c>
      <c r="R9" s="116">
        <f>IFERROR(Model!BB14+0,IFERROR(Model!BB31+0,0))</f>
        <v>2.0988490182803021E-2</v>
      </c>
      <c r="S9" s="116">
        <f>IFERROR(Model!BG14+0,IFERROR(Model!BG31+0,0))</f>
        <v>0.10610079575596809</v>
      </c>
      <c r="T9" s="116">
        <f>IFERROR(Model!BL14+0,IFERROR(Model!BL31+0,0))</f>
        <v>0.18944844124700233</v>
      </c>
      <c r="U9" s="116">
        <f>IFERROR(Model!BQ14+0,IFERROR(Model!BQ31+0,0))</f>
        <v>9.879032258064524E-2</v>
      </c>
      <c r="V9" s="116">
        <f>IFERROR(Model!BV14+0,IFERROR(Model!BV31+0,0))</f>
        <v>6.8807339449541205E-2</v>
      </c>
    </row>
    <row r="11" spans="2:22" ht="15" customHeight="1" x14ac:dyDescent="0.25">
      <c r="C11" s="11">
        <f t="shared" ref="C11:V11" si="0">C7</f>
        <v>2006</v>
      </c>
      <c r="D11" s="11">
        <f t="shared" si="0"/>
        <v>2007</v>
      </c>
      <c r="E11" s="11">
        <f t="shared" si="0"/>
        <v>2008</v>
      </c>
      <c r="F11" s="11">
        <f t="shared" si="0"/>
        <v>2009</v>
      </c>
      <c r="G11" s="11">
        <f t="shared" si="0"/>
        <v>2010</v>
      </c>
      <c r="H11" s="11">
        <f t="shared" si="0"/>
        <v>2011</v>
      </c>
      <c r="I11" s="11">
        <f t="shared" si="0"/>
        <v>2012</v>
      </c>
      <c r="J11" s="11">
        <f t="shared" si="0"/>
        <v>2013</v>
      </c>
      <c r="K11" s="11">
        <f t="shared" si="0"/>
        <v>2014</v>
      </c>
      <c r="L11" s="11">
        <f t="shared" si="0"/>
        <v>2015</v>
      </c>
      <c r="M11" s="11">
        <f t="shared" si="0"/>
        <v>2016</v>
      </c>
      <c r="N11" s="11">
        <f t="shared" si="0"/>
        <v>2017</v>
      </c>
      <c r="O11" s="11">
        <f t="shared" si="0"/>
        <v>2018</v>
      </c>
      <c r="P11" s="11">
        <f t="shared" si="0"/>
        <v>2019</v>
      </c>
      <c r="Q11" s="11">
        <f t="shared" si="0"/>
        <v>2020</v>
      </c>
      <c r="R11" s="11">
        <f t="shared" si="0"/>
        <v>2021</v>
      </c>
      <c r="S11" s="11">
        <f t="shared" si="0"/>
        <v>2022</v>
      </c>
      <c r="T11" s="11">
        <f t="shared" si="0"/>
        <v>2023</v>
      </c>
      <c r="U11" s="11">
        <f t="shared" si="0"/>
        <v>2024</v>
      </c>
      <c r="V11" s="11">
        <f t="shared" si="0"/>
        <v>2025</v>
      </c>
    </row>
    <row r="12" spans="2:22" ht="15" customHeight="1" x14ac:dyDescent="0.25">
      <c r="B12" t="s">
        <v>805</v>
      </c>
      <c r="C12" s="114">
        <f>Model!C211</f>
        <v>535</v>
      </c>
      <c r="D12" s="114">
        <f>Model!D211</f>
        <v>590.59999999999991</v>
      </c>
      <c r="E12" s="114">
        <f>Model!E211</f>
        <v>497.69999999999987</v>
      </c>
      <c r="F12" s="114">
        <f>Model!F211</f>
        <v>364.1</v>
      </c>
      <c r="G12" s="114">
        <f>Model!G211</f>
        <v>374.70000000000005</v>
      </c>
      <c r="H12" s="114">
        <f>Model!H211</f>
        <v>335.9</v>
      </c>
      <c r="I12" s="114">
        <f>Model!I211</f>
        <v>329.9</v>
      </c>
      <c r="J12" s="114">
        <f>Model!N211</f>
        <v>390.20000000000005</v>
      </c>
      <c r="K12" s="114">
        <f>Model!S211</f>
        <v>537.00000000000023</v>
      </c>
      <c r="L12" s="114">
        <f>Model!X211</f>
        <v>766.69999999999982</v>
      </c>
      <c r="M12" s="114">
        <f>Model!AC211</f>
        <v>971.5999999999998</v>
      </c>
      <c r="N12" s="114">
        <f>Model!AH211</f>
        <v>1004.4000000000001</v>
      </c>
      <c r="O12" s="114">
        <f>Model!AM211</f>
        <v>1103.7650000000001</v>
      </c>
      <c r="P12" s="114">
        <f>Model!AR211</f>
        <v>1254.549</v>
      </c>
      <c r="Q12" s="114">
        <f>Model!AW211</f>
        <v>1392.7999999999997</v>
      </c>
      <c r="R12" s="114">
        <f>Model!BB211</f>
        <v>1528.5000000000002</v>
      </c>
      <c r="S12" s="114">
        <f>Model!BG211</f>
        <v>1600.3000000000004</v>
      </c>
      <c r="T12" s="114">
        <f>Model!BL211</f>
        <v>2127.6999999999994</v>
      </c>
      <c r="U12" s="114">
        <f>Model!BQ211</f>
        <v>2066</v>
      </c>
      <c r="V12" s="114">
        <f>Model!BV211</f>
        <v>2065</v>
      </c>
    </row>
    <row r="13" spans="2:22" ht="15" customHeight="1" x14ac:dyDescent="0.25">
      <c r="B13" t="s">
        <v>664</v>
      </c>
      <c r="C13" s="114">
        <f>Model!C166</f>
        <v>388</v>
      </c>
      <c r="D13" s="114">
        <f>Model!D166</f>
        <v>433</v>
      </c>
      <c r="E13" s="114">
        <f>Model!E166</f>
        <v>323.2999999999999</v>
      </c>
      <c r="F13" s="114">
        <f>Model!F166</f>
        <v>187.5999999999998</v>
      </c>
      <c r="G13" s="114">
        <f>Model!G166</f>
        <v>196.4</v>
      </c>
      <c r="H13" s="114">
        <f>Model!H166</f>
        <v>161</v>
      </c>
      <c r="I13" s="114">
        <f>Model!I166</f>
        <v>154.99999999999986</v>
      </c>
      <c r="J13" s="114">
        <f>Model!N166</f>
        <v>218.00000000000003</v>
      </c>
      <c r="K13" s="114">
        <f>Model!S166</f>
        <v>314.90000000000015</v>
      </c>
      <c r="L13" s="114">
        <f>Model!X166</f>
        <v>479.39999999999975</v>
      </c>
      <c r="M13" s="114">
        <f>Model!AC166</f>
        <v>667.3</v>
      </c>
      <c r="N13" s="114">
        <f>Model!AH166</f>
        <v>700.40000000000009</v>
      </c>
      <c r="O13" s="114">
        <f>Model!AM166</f>
        <v>690.73700000000019</v>
      </c>
      <c r="P13" s="114">
        <f>Model!AR166</f>
        <v>884.9340000000002</v>
      </c>
      <c r="Q13" s="114">
        <f>Model!AW166</f>
        <v>1005.3999999999997</v>
      </c>
      <c r="R13" s="114">
        <f>Model!BB166</f>
        <v>973.80000000000007</v>
      </c>
      <c r="S13" s="114">
        <f>Model!BG166</f>
        <v>1206.7</v>
      </c>
      <c r="T13" s="114">
        <f>Model!BL166</f>
        <v>1595.9999999999995</v>
      </c>
      <c r="U13" s="114">
        <f>Model!BQ166</f>
        <v>2707</v>
      </c>
      <c r="V13" s="114">
        <f>Model!BV166</f>
        <v>1437</v>
      </c>
    </row>
    <row r="14" spans="2:22" ht="15" customHeight="1" x14ac:dyDescent="0.25">
      <c r="B14" t="s">
        <v>806</v>
      </c>
      <c r="C14" s="116">
        <f>Model!C245</f>
        <v>0.24247643219724438</v>
      </c>
      <c r="D14" s="116">
        <f>Model!D245</f>
        <v>0.26759095645870146</v>
      </c>
      <c r="E14" s="116">
        <f>Model!E245</f>
        <v>0.2347530776850148</v>
      </c>
      <c r="F14" s="116">
        <f>Model!F245</f>
        <v>0.21384940678961592</v>
      </c>
      <c r="G14" s="116">
        <f>Model!G245</f>
        <v>0.21016321723035505</v>
      </c>
      <c r="H14" s="116">
        <f>Model!H245</f>
        <v>0.19598576346344593</v>
      </c>
      <c r="I14" s="116">
        <f>Model!I245</f>
        <v>0.16190616411464467</v>
      </c>
      <c r="J14" s="116">
        <f>Model!N245</f>
        <v>0.18102528415680819</v>
      </c>
      <c r="K14" s="116">
        <f>Model!S245</f>
        <v>0.18154158215010149</v>
      </c>
      <c r="L14" s="116">
        <f>Model!X245</f>
        <v>0.21660639620296074</v>
      </c>
      <c r="M14" s="116">
        <f>Model!AC245</f>
        <v>0.25442547397088083</v>
      </c>
      <c r="N14" s="116">
        <f>Model!AH245</f>
        <v>0.25327819245511402</v>
      </c>
      <c r="O14" s="116">
        <f>Model!AM245</f>
        <v>0.26006034024736913</v>
      </c>
      <c r="P14" s="116">
        <f>Model!AR245</f>
        <v>0.26472316039887761</v>
      </c>
      <c r="Q14" s="116">
        <f>Model!AW245</f>
        <v>0.29446711346962934</v>
      </c>
      <c r="R14" s="116">
        <f>Model!BB245</f>
        <v>0.282323605467307</v>
      </c>
      <c r="S14" s="116">
        <f>Model!BG245</f>
        <v>0.25975944292044745</v>
      </c>
      <c r="T14" s="116">
        <f>Model!BL245</f>
        <v>0.31394971374608976</v>
      </c>
      <c r="U14" s="116">
        <f>Model!BQ245</f>
        <v>0.31609547123623011</v>
      </c>
      <c r="V14" s="116">
        <f>Model!BV245</f>
        <v>0.33577235772357722</v>
      </c>
    </row>
    <row r="15" spans="2:22" ht="15" customHeight="1" x14ac:dyDescent="0.25">
      <c r="B15" t="s">
        <v>807</v>
      </c>
      <c r="C15" s="116">
        <f>Model!C247</f>
        <v>0.17585206671501086</v>
      </c>
      <c r="D15" s="116">
        <f>Model!D247</f>
        <v>0.19618503919169952</v>
      </c>
      <c r="E15" s="116">
        <f>Model!E247</f>
        <v>0.15249280694306869</v>
      </c>
      <c r="F15" s="116">
        <f>Model!F247</f>
        <v>0.11018442382238917</v>
      </c>
      <c r="G15" s="116">
        <f>Model!G247</f>
        <v>0.11015760839082393</v>
      </c>
      <c r="H15" s="116">
        <f>Model!H247</f>
        <v>9.3937802672267923E-2</v>
      </c>
      <c r="I15" s="116">
        <f>Model!I247</f>
        <v>7.6069886140557458E-2</v>
      </c>
      <c r="J15" s="116">
        <f>Model!N247</f>
        <v>0.10113662723266065</v>
      </c>
      <c r="K15" s="116">
        <f>Model!S247</f>
        <v>0.10645706558485468</v>
      </c>
      <c r="L15" s="116">
        <f>Model!X247</f>
        <v>0.13543903265905746</v>
      </c>
      <c r="M15" s="116">
        <f>Model!AC247</f>
        <v>0.17474075625851052</v>
      </c>
      <c r="N15" s="116">
        <f>Model!AH247</f>
        <v>0.17661892273552554</v>
      </c>
      <c r="O15" s="116">
        <f>Model!AM247</f>
        <v>0.16274596426000737</v>
      </c>
      <c r="P15" s="116">
        <f>Model!AR247</f>
        <v>0.18673047065074413</v>
      </c>
      <c r="Q15" s="116">
        <f>Model!AW247</f>
        <v>0.21256263345948115</v>
      </c>
      <c r="R15" s="116">
        <f>Model!BB247</f>
        <v>0.17986701145179165</v>
      </c>
      <c r="S15" s="116">
        <f>Model!BG247</f>
        <v>0.19587059912022986</v>
      </c>
      <c r="T15" s="116">
        <f>Model!BL247</f>
        <v>0.23549548486100449</v>
      </c>
      <c r="U15" s="116">
        <f>Model!BQ247</f>
        <v>0.41416768665850673</v>
      </c>
      <c r="V15" s="116">
        <f>Model!BV247</f>
        <v>0.23365853658536587</v>
      </c>
    </row>
    <row r="17" spans="2:22" ht="15" customHeight="1" x14ac:dyDescent="0.25">
      <c r="C17" s="11">
        <f t="shared" ref="C17:V17" si="1">C7</f>
        <v>2006</v>
      </c>
      <c r="D17" s="11">
        <f t="shared" si="1"/>
        <v>2007</v>
      </c>
      <c r="E17" s="11">
        <f t="shared" si="1"/>
        <v>2008</v>
      </c>
      <c r="F17" s="11">
        <f t="shared" si="1"/>
        <v>2009</v>
      </c>
      <c r="G17" s="11">
        <f t="shared" si="1"/>
        <v>2010</v>
      </c>
      <c r="H17" s="11">
        <f t="shared" si="1"/>
        <v>2011</v>
      </c>
      <c r="I17" s="11">
        <f t="shared" si="1"/>
        <v>2012</v>
      </c>
      <c r="J17" s="11">
        <f t="shared" si="1"/>
        <v>2013</v>
      </c>
      <c r="K17" s="11">
        <f t="shared" si="1"/>
        <v>2014</v>
      </c>
      <c r="L17" s="11">
        <f t="shared" si="1"/>
        <v>2015</v>
      </c>
      <c r="M17" s="11">
        <f t="shared" si="1"/>
        <v>2016</v>
      </c>
      <c r="N17" s="11">
        <f t="shared" si="1"/>
        <v>2017</v>
      </c>
      <c r="O17" s="11">
        <f t="shared" si="1"/>
        <v>2018</v>
      </c>
      <c r="P17" s="11">
        <f t="shared" si="1"/>
        <v>2019</v>
      </c>
      <c r="Q17" s="11">
        <f t="shared" si="1"/>
        <v>2020</v>
      </c>
      <c r="R17" s="11">
        <f t="shared" si="1"/>
        <v>2021</v>
      </c>
      <c r="S17" s="11">
        <f t="shared" si="1"/>
        <v>2022</v>
      </c>
      <c r="T17" s="11">
        <f t="shared" si="1"/>
        <v>2023</v>
      </c>
      <c r="U17" s="11">
        <f t="shared" si="1"/>
        <v>2024</v>
      </c>
      <c r="V17" s="11">
        <f t="shared" si="1"/>
        <v>2025</v>
      </c>
    </row>
    <row r="18" spans="2:22" ht="15" customHeight="1" x14ac:dyDescent="0.25">
      <c r="B18" t="s">
        <v>683</v>
      </c>
      <c r="C18" s="116">
        <f>IFERROR(Model!C411+0,NA())</f>
        <v>0.14210892254571714</v>
      </c>
      <c r="D18" s="116">
        <f>IFERROR(Model!D411+0,NA())</f>
        <v>0.14888391629115655</v>
      </c>
      <c r="E18" s="116">
        <f>IFERROR(Model!E411+0,NA())</f>
        <v>9.6542534716534664E-2</v>
      </c>
      <c r="F18" s="116">
        <f>IFERROR(Model!F411+0,NA())</f>
        <v>5.9397211205489776E-2</v>
      </c>
      <c r="G18" s="116">
        <f>IFERROR(Model!G411+0,NA())</f>
        <v>6.1867320514460512E-2</v>
      </c>
      <c r="H18" s="116">
        <f>IFERROR(Model!H411+0,NA())</f>
        <v>5.2294966826712072E-2</v>
      </c>
      <c r="I18" s="116">
        <f>IFERROR(Model!I411+0,NA())</f>
        <v>5.2185242159716386E-2</v>
      </c>
      <c r="J18" s="116">
        <f>IFERROR(Model!N411+0,NA())</f>
        <v>6.2340195851760927E-2</v>
      </c>
      <c r="K18" s="116">
        <f>IFERROR(Model!S411+0,NA())</f>
        <v>3.3617149985296635E-2</v>
      </c>
      <c r="L18" s="116">
        <f>IFERROR(Model!X411+0,NA())</f>
        <v>6.4646376575395501E-2</v>
      </c>
      <c r="M18" s="116">
        <f>IFERROR(Model!AC411+0,NA())</f>
        <v>8.3522915837170891E-2</v>
      </c>
      <c r="N18" s="116">
        <f>IFERROR(Model!AH411+0,NA())</f>
        <v>0.13074083416947649</v>
      </c>
      <c r="O18" s="116">
        <f>IFERROR(Model!AM411+0,NA())</f>
        <v>7.7709273461120304E-2</v>
      </c>
      <c r="P18" s="116">
        <f>IFERROR(Model!AR411+0,NA())</f>
        <v>8.8493879253323623E-2</v>
      </c>
      <c r="Q18" s="116">
        <f>IFERROR(Model!AW411+0,NA())</f>
        <v>9.8218958702364564E-2</v>
      </c>
      <c r="R18" s="116">
        <f>IFERROR(Model!BB411+0,NA())</f>
        <v>7.8341199660215785E-2</v>
      </c>
      <c r="S18" s="116">
        <f>IFERROR(Model!BG411+0,NA())</f>
        <v>7.7645377206850441E-2</v>
      </c>
      <c r="T18" s="116">
        <f>IFERROR(Model!BL411+0,NA())</f>
        <v>0.11746405068570739</v>
      </c>
      <c r="U18" s="116">
        <f>IFERROR(Model!BQ411+0,NA())</f>
        <v>8.1333230459273001E-2</v>
      </c>
      <c r="V18" s="116">
        <f>IFERROR(Model!BV411+0,NA())</f>
        <v>7.8373842524675205E-2</v>
      </c>
    </row>
    <row r="19" spans="2:22" ht="15" customHeight="1" x14ac:dyDescent="0.25">
      <c r="B19" t="s">
        <v>684</v>
      </c>
      <c r="C19" s="116">
        <f>IFERROR(Model!C422+0,NA())</f>
        <v>0.15775686101785949</v>
      </c>
      <c r="D19" s="116">
        <f>IFERROR(Model!D422+0,NA())</f>
        <v>0.16330395128793587</v>
      </c>
      <c r="E19" s="116">
        <f>IFERROR(Model!E422+0,NA())</f>
        <v>0.10230040503111822</v>
      </c>
      <c r="F19" s="116">
        <f>IFERROR(Model!F422+0,NA())</f>
        <v>5.7879714935246941E-2</v>
      </c>
      <c r="G19" s="116">
        <f>IFERROR(Model!G422+0,NA())</f>
        <v>6.5503104987585575E-2</v>
      </c>
      <c r="H19" s="116">
        <f>IFERROR(Model!H422+0,NA())</f>
        <v>5.619788235350321E-2</v>
      </c>
      <c r="I19" s="116">
        <f>IFERROR(Model!I422+0,NA())</f>
        <v>5.5462960652888055E-2</v>
      </c>
      <c r="J19" s="116">
        <f>IFERROR(Model!N422+0,NA())</f>
        <v>6.6682736872343593E-2</v>
      </c>
      <c r="K19" s="116">
        <f>IFERROR(Model!S422+0,NA())</f>
        <v>3.9851224458555365E-2</v>
      </c>
      <c r="L19" s="116">
        <f>IFERROR(Model!X422+0,NA())</f>
        <v>7.8859899247304355E-2</v>
      </c>
      <c r="M19" s="116">
        <f>IFERROR(Model!AC422+0,NA())</f>
        <v>0.10256416048000294</v>
      </c>
      <c r="N19" s="116">
        <f>IFERROR(Model!AH422+0,NA())</f>
        <v>0.12853746067445987</v>
      </c>
      <c r="O19" s="116">
        <f>IFERROR(Model!AM422+0,NA())</f>
        <v>9.9709943626846168E-2</v>
      </c>
      <c r="P19" s="116">
        <f>IFERROR(Model!AR422+0,NA())</f>
        <v>0.10627787774494643</v>
      </c>
      <c r="Q19" s="116">
        <f>IFERROR(Model!AW422+0,NA())</f>
        <v>0.11402700481071498</v>
      </c>
      <c r="R19" s="116">
        <f>IFERROR(Model!BB422+0,NA())</f>
        <v>9.817452396578083E-2</v>
      </c>
      <c r="S19" s="116">
        <f>IFERROR(Model!BG422+0,NA())</f>
        <v>9.5704037754699822E-2</v>
      </c>
      <c r="T19" s="116">
        <f>IFERROR(Model!BL422+0,NA())</f>
        <v>0.12709607767212977</v>
      </c>
      <c r="U19" s="116">
        <f>IFERROR(Model!BQ422+0,NA())</f>
        <v>9.034975272189151E-2</v>
      </c>
      <c r="V19" s="116">
        <f>IFERROR(Model!BV422+0,NA())</f>
        <v>8.7006175285143678E-2</v>
      </c>
    </row>
    <row r="20" spans="2:22" ht="15" customHeight="1" x14ac:dyDescent="0.25">
      <c r="B20" t="s">
        <v>808</v>
      </c>
      <c r="C20" s="116">
        <f>IFERROR(Model!C245+0,NA())</f>
        <v>0.24247643219724438</v>
      </c>
      <c r="D20" s="116">
        <f>IFERROR(Model!D245+0,NA())</f>
        <v>0.26759095645870146</v>
      </c>
      <c r="E20" s="116">
        <f>IFERROR(Model!E245+0,NA())</f>
        <v>0.2347530776850148</v>
      </c>
      <c r="F20" s="116">
        <f>IFERROR(Model!F245+0,NA())</f>
        <v>0.21384940678961592</v>
      </c>
      <c r="G20" s="116">
        <f>IFERROR(Model!G245+0,NA())</f>
        <v>0.21016321723035505</v>
      </c>
      <c r="H20" s="116">
        <f>IFERROR(Model!H245+0,NA())</f>
        <v>0.19598576346344593</v>
      </c>
      <c r="I20" s="116">
        <f>IFERROR(Model!I245+0,NA())</f>
        <v>0.16190616411464467</v>
      </c>
      <c r="J20" s="116">
        <f>IFERROR(Model!N245+0,NA())</f>
        <v>0.18102528415680819</v>
      </c>
      <c r="K20" s="116">
        <f>IFERROR(Model!S245+0,NA())</f>
        <v>0.18154158215010149</v>
      </c>
      <c r="L20" s="116">
        <f>IFERROR(Model!X245+0,NA())</f>
        <v>0.21660639620296074</v>
      </c>
      <c r="M20" s="116">
        <f>IFERROR(Model!AC245+0,NA())</f>
        <v>0.25442547397088083</v>
      </c>
      <c r="N20" s="116">
        <f>IFERROR(Model!AH245+0,NA())</f>
        <v>0.25327819245511402</v>
      </c>
      <c r="O20" s="116">
        <f>IFERROR(Model!AM245+0,NA())</f>
        <v>0.26006034024736913</v>
      </c>
      <c r="P20" s="116">
        <f>IFERROR(Model!AR245+0,NA())</f>
        <v>0.26472316039887761</v>
      </c>
      <c r="Q20" s="116">
        <f>IFERROR(Model!AW245+0,NA())</f>
        <v>0.29446711346962934</v>
      </c>
      <c r="R20" s="116">
        <f>IFERROR(Model!BB245+0,NA())</f>
        <v>0.282323605467307</v>
      </c>
      <c r="S20" s="116">
        <f>IFERROR(Model!BG245+0,NA())</f>
        <v>0.25975944292044745</v>
      </c>
      <c r="T20" s="116">
        <f>IFERROR(Model!BL245+0,NA())</f>
        <v>0.31394971374608976</v>
      </c>
      <c r="U20" s="116">
        <f>IFERROR(Model!BQ245+0,NA())</f>
        <v>0.31609547123623011</v>
      </c>
      <c r="V20" s="116">
        <f>IFERROR(Model!BV245+0,NA())</f>
        <v>0.33577235772357722</v>
      </c>
    </row>
    <row r="21" spans="2:22" ht="15" customHeight="1" x14ac:dyDescent="0.25">
      <c r="B21" t="s">
        <v>809</v>
      </c>
      <c r="C21" s="116">
        <f>IFERROR(Model!C282+0,NA())</f>
        <v>3.2730239303843368E-2</v>
      </c>
      <c r="D21" s="116">
        <f>IFERROR(Model!D282+0,NA())</f>
        <v>5.9193058764895105E-2</v>
      </c>
      <c r="E21" s="116">
        <f>IFERROR(Model!E282+0,NA())</f>
        <v>4.1218810433470136E-2</v>
      </c>
      <c r="F21" s="116">
        <f>IFERROR(Model!F282+0,NA())</f>
        <v>0.10521437801010221</v>
      </c>
      <c r="G21" s="116">
        <f>IFERROR(Model!G282+0,NA())</f>
        <v>7.5097874249817703E-2</v>
      </c>
      <c r="H21" s="116">
        <f>IFERROR(Model!H282+0,NA())</f>
        <v>6.0523367757745486E-2</v>
      </c>
      <c r="I21" s="116">
        <f>IFERROR(Model!I282+0,NA())</f>
        <v>3.5171770710639969E-2</v>
      </c>
      <c r="J21" s="116">
        <f>IFERROR(Model!N282+0,NA())</f>
        <v>7.1314312224541876E-2</v>
      </c>
      <c r="K21" s="116">
        <f>IFERROR(Model!S282+0,NA())</f>
        <v>5.0532454361054774E-2</v>
      </c>
      <c r="L21" s="116">
        <f>IFERROR(Model!X282+0,NA())</f>
        <v>7.201915470674651E-2</v>
      </c>
      <c r="M21" s="116">
        <f>IFERROR(Model!AC282+0,NA())</f>
        <v>7.6303288991306159E-2</v>
      </c>
      <c r="N21" s="116">
        <f>IFERROR(Model!AH282+0,NA())</f>
        <v>6.2425105910833181E-2</v>
      </c>
      <c r="O21" s="116">
        <f>IFERROR(Model!AM282+0,NA())</f>
        <v>7.7562074941126435E-2</v>
      </c>
      <c r="P21" s="116">
        <f>IFERROR(Model!AR282+0,NA())</f>
        <v>0.12082468013955398</v>
      </c>
      <c r="Q21" s="116">
        <f>IFERROR(Model!AW282+0,NA())</f>
        <v>0.14596503097317065</v>
      </c>
      <c r="R21" s="116">
        <f>IFERROR(Model!BB282+0,NA())</f>
        <v>0.13199113409678612</v>
      </c>
      <c r="S21" s="116">
        <f>IFERROR(Model!BG282+0,NA())</f>
        <v>8.268540912558639E-2</v>
      </c>
      <c r="T21" s="116">
        <f>IFERROR(Model!BL282+0,NA())</f>
        <v>0.12956678274213543</v>
      </c>
      <c r="U21" s="116">
        <f>IFERROR(Model!BQ282+0,NA())</f>
        <v>9.2411260709914317E-2</v>
      </c>
      <c r="V21" s="116">
        <f>IFERROR(Model!BV282+0,NA())</f>
        <v>0.15902439024390244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</vt:lpstr>
      <vt:lpstr>Bull-Base-Bear</vt:lpstr>
      <vt:lpstr>DCF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Payton Liske</cp:lastModifiedBy>
  <cp:revision>3</cp:revision>
  <dcterms:created xsi:type="dcterms:W3CDTF">2026-10-04T02:35:31Z</dcterms:created>
  <dcterms:modified xsi:type="dcterms:W3CDTF">2026-10-04T19:45:38Z</dcterms:modified>
  <dc:language>en-US</dc:language>
</cp:coreProperties>
</file>